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bonduni-my.sharepoint.com/personal/lorena_assumpcao_student_bond_edu_au/Documents/252/252- Portifolio/ASS2/"/>
    </mc:Choice>
  </mc:AlternateContent>
  <xr:revisionPtr revIDLastSave="1669" documentId="8_{BEBFDD91-F2CB-4BB2-9B9B-7F95B01E6E9E}" xr6:coauthVersionLast="47" xr6:coauthVersionMax="47" xr10:uidLastSave="{D1D13AFA-CD51-49B4-84F5-AD19FD5D6220}"/>
  <bookViews>
    <workbookView xWindow="-110" yWindow="-110" windowWidth="19420" windowHeight="11500" firstSheet="3" activeTab="3" xr2:uid="{3A2D8423-4201-45F1-8AB9-B6AE3EA0D359}"/>
  </bookViews>
  <sheets>
    <sheet name="Sheet1 (2)" sheetId="2" r:id="rId1"/>
    <sheet name="Sheet1" sheetId="1" r:id="rId2"/>
    <sheet name="ReturnsVtime" sheetId="3" r:id="rId3"/>
    <sheet name="Benchmark" sheetId="4" r:id="rId4"/>
    <sheet name="Metrics" sheetId="5" r:id="rId5"/>
    <sheet name="STD" sheetId="6" r:id="rId6"/>
    <sheet name="TopStock" sheetId="8" r:id="rId7"/>
    <sheet name="regression" sheetId="7" r:id="rId8"/>
    <sheet name="Distribution" sheetId="9" r:id="rId9"/>
    <sheet name="Sheet3" sheetId="10" r:id="rId10"/>
  </sheets>
  <definedNames>
    <definedName name="_xlnm._FilterDatabase" localSheetId="6" hidden="1">TopStock!$C$2:$G$2</definedName>
    <definedName name="_xlchart.v1.0" hidden="1">Distribution!$B$2:$B$73</definedName>
    <definedName name="CIQWBGuid" hidden="1">"89d96635-65bd-4ed3-bb2d-f72f11777bbe"</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2" i="4" l="1"/>
  <c r="L53" i="4"/>
  <c r="M53" i="4"/>
  <c r="N53" i="4" s="1"/>
  <c r="O53" i="4" s="1"/>
  <c r="P53" i="4" s="1"/>
  <c r="Q53" i="4" s="1"/>
  <c r="L54" i="4"/>
  <c r="M54" i="4"/>
  <c r="N54" i="4"/>
  <c r="O54" i="4"/>
  <c r="P54" i="4"/>
  <c r="Q54" i="4" s="1"/>
  <c r="H23" i="4"/>
  <c r="G23" i="4"/>
  <c r="F23" i="4"/>
  <c r="E23" i="4"/>
  <c r="D23" i="4"/>
  <c r="C23" i="4"/>
  <c r="N29" i="3"/>
  <c r="N28" i="3" a="1"/>
  <c r="N28" i="3" s="1"/>
  <c r="N43" i="3"/>
  <c r="N42" i="3" a="1"/>
  <c r="N42" i="3" s="1"/>
  <c r="N57" i="3"/>
  <c r="N56" i="3" a="1"/>
  <c r="N56" i="3" s="1"/>
  <c r="N71" i="3"/>
  <c r="N70" i="3" a="1"/>
  <c r="N70" i="3"/>
  <c r="N84" i="3" a="1"/>
  <c r="N84" i="3"/>
  <c r="N85" i="3"/>
  <c r="N15" i="3"/>
  <c r="N14" i="3" a="1"/>
  <c r="N14" i="3" s="1"/>
  <c r="AE38" i="1"/>
  <c r="AE37"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36" i="1"/>
  <c r="F5" i="10" a="1"/>
  <c r="F5" i="10" s="1"/>
  <c r="I3" i="10"/>
  <c r="F7" i="10" s="1"/>
  <c r="F6" i="10"/>
  <c r="AD11" i="1" a="1"/>
  <c r="C28" i="4" l="1"/>
  <c r="F27" i="4" s="1"/>
  <c r="AD11" i="1"/>
  <c r="G9" i="9"/>
  <c r="G8" i="9"/>
  <c r="F25" i="5"/>
  <c r="F24" i="5"/>
  <c r="F23" i="5"/>
  <c r="D38" i="8"/>
  <c r="D39" i="8"/>
  <c r="D31" i="8"/>
  <c r="D32" i="8"/>
  <c r="D33" i="8"/>
  <c r="D34" i="8"/>
  <c r="D35" i="8"/>
  <c r="D36" i="8"/>
  <c r="D37" i="8"/>
  <c r="D30" i="8"/>
  <c r="I17" i="5"/>
  <c r="Q10" i="7"/>
  <c r="Q11" i="7"/>
  <c r="Q19" i="7"/>
  <c r="Q20" i="7"/>
  <c r="Q21" i="7"/>
  <c r="Q22" i="7"/>
  <c r="Q23" i="7"/>
  <c r="Q24" i="7"/>
  <c r="Q25" i="7"/>
  <c r="Q32" i="7"/>
  <c r="Q33" i="7"/>
  <c r="Q41" i="7"/>
  <c r="Q42" i="7"/>
  <c r="Q43" i="7"/>
  <c r="Q44" i="7"/>
  <c r="Q45" i="7"/>
  <c r="Q46" i="7"/>
  <c r="Q47" i="7"/>
  <c r="Q54" i="7"/>
  <c r="Q63" i="7"/>
  <c r="Q64" i="7"/>
  <c r="Q65" i="7"/>
  <c r="Q66" i="7"/>
  <c r="Q67" i="7"/>
  <c r="Q68" i="7"/>
  <c r="Q69" i="7"/>
  <c r="N4" i="7"/>
  <c r="Q4" i="7" s="1"/>
  <c r="N5" i="7"/>
  <c r="Q5" i="7" s="1"/>
  <c r="N6" i="7"/>
  <c r="Q6" i="7" s="1"/>
  <c r="N7" i="7"/>
  <c r="Q7" i="7" s="1"/>
  <c r="N8" i="7"/>
  <c r="Q8" i="7" s="1"/>
  <c r="N9" i="7"/>
  <c r="Q9" i="7" s="1"/>
  <c r="N10" i="7"/>
  <c r="N11" i="7"/>
  <c r="N12" i="7"/>
  <c r="Q12" i="7" s="1"/>
  <c r="N13" i="7"/>
  <c r="Q13" i="7" s="1"/>
  <c r="N14" i="7"/>
  <c r="Q14" i="7" s="1"/>
  <c r="N15" i="7"/>
  <c r="Q15" i="7" s="1"/>
  <c r="N16" i="7"/>
  <c r="Q16" i="7" s="1"/>
  <c r="N17" i="7"/>
  <c r="Q17" i="7" s="1"/>
  <c r="N18" i="7"/>
  <c r="Q18" i="7" s="1"/>
  <c r="N19" i="7"/>
  <c r="N20" i="7"/>
  <c r="N21" i="7"/>
  <c r="N22" i="7"/>
  <c r="N23" i="7"/>
  <c r="N24" i="7"/>
  <c r="N25" i="7"/>
  <c r="N26" i="7"/>
  <c r="Q26" i="7" s="1"/>
  <c r="N27" i="7"/>
  <c r="Q27" i="7" s="1"/>
  <c r="N28" i="7"/>
  <c r="Q28" i="7" s="1"/>
  <c r="N29" i="7"/>
  <c r="Q29" i="7" s="1"/>
  <c r="N30" i="7"/>
  <c r="Q30" i="7" s="1"/>
  <c r="N31" i="7"/>
  <c r="Q31" i="7" s="1"/>
  <c r="N32" i="7"/>
  <c r="N33" i="7"/>
  <c r="N34" i="7"/>
  <c r="Q34" i="7" s="1"/>
  <c r="N35" i="7"/>
  <c r="Q35" i="7" s="1"/>
  <c r="N36" i="7"/>
  <c r="Q36" i="7" s="1"/>
  <c r="N37" i="7"/>
  <c r="Q37" i="7" s="1"/>
  <c r="N38" i="7"/>
  <c r="Q38" i="7" s="1"/>
  <c r="N39" i="7"/>
  <c r="Q39" i="7" s="1"/>
  <c r="N40" i="7"/>
  <c r="Q40" i="7" s="1"/>
  <c r="N41" i="7"/>
  <c r="N42" i="7"/>
  <c r="N43" i="7"/>
  <c r="N44" i="7"/>
  <c r="N45" i="7"/>
  <c r="N46" i="7"/>
  <c r="N47" i="7"/>
  <c r="N48" i="7"/>
  <c r="Q48" i="7" s="1"/>
  <c r="N49" i="7"/>
  <c r="Q49" i="7" s="1"/>
  <c r="N50" i="7"/>
  <c r="Q50" i="7" s="1"/>
  <c r="N51" i="7"/>
  <c r="Q51" i="7" s="1"/>
  <c r="N52" i="7"/>
  <c r="Q52" i="7" s="1"/>
  <c r="N53" i="7"/>
  <c r="Q53" i="7" s="1"/>
  <c r="N54" i="7"/>
  <c r="N55" i="7"/>
  <c r="Q55" i="7" s="1"/>
  <c r="N56" i="7"/>
  <c r="Q56" i="7" s="1"/>
  <c r="N57" i="7"/>
  <c r="Q57" i="7" s="1"/>
  <c r="N58" i="7"/>
  <c r="Q58" i="7" s="1"/>
  <c r="N59" i="7"/>
  <c r="Q59" i="7" s="1"/>
  <c r="N60" i="7"/>
  <c r="Q60" i="7" s="1"/>
  <c r="N61" i="7"/>
  <c r="Q61" i="7" s="1"/>
  <c r="N62" i="7"/>
  <c r="Q62" i="7" s="1"/>
  <c r="N63" i="7"/>
  <c r="N64" i="7"/>
  <c r="N65" i="7"/>
  <c r="N66" i="7"/>
  <c r="N67" i="7"/>
  <c r="N68" i="7"/>
  <c r="N69" i="7"/>
  <c r="N70" i="7"/>
  <c r="Q70" i="7" s="1"/>
  <c r="N71" i="7"/>
  <c r="Q71" i="7" s="1"/>
  <c r="N72" i="7"/>
  <c r="Q72" i="7" s="1"/>
  <c r="N73" i="7"/>
  <c r="Q73" i="7" s="1"/>
  <c r="N74" i="7"/>
  <c r="Q74" i="7" s="1"/>
  <c r="N3" i="7"/>
  <c r="AE13" i="7"/>
  <c r="AD13" i="7"/>
  <c r="AC13" i="7"/>
  <c r="AB13" i="7"/>
  <c r="AA13" i="7"/>
  <c r="Z13" i="7"/>
  <c r="Y13" i="7"/>
  <c r="X13" i="7"/>
  <c r="W13" i="7"/>
  <c r="V13" i="7"/>
  <c r="U13" i="7"/>
  <c r="T13" i="7"/>
  <c r="AE12" i="7" a="1"/>
  <c r="AE12" i="7" s="1"/>
  <c r="AD12" i="7" a="1"/>
  <c r="AD12" i="7" s="1"/>
  <c r="AC12" i="7" a="1"/>
  <c r="AC12" i="7" s="1"/>
  <c r="AB12" i="7" a="1"/>
  <c r="AB12" i="7" s="1"/>
  <c r="AA12" i="7" a="1"/>
  <c r="AA12" i="7" s="1"/>
  <c r="Z12" i="7" a="1"/>
  <c r="Z12" i="7" s="1"/>
  <c r="Y12" i="7" a="1"/>
  <c r="Y12" i="7" s="1"/>
  <c r="X12" i="7" a="1"/>
  <c r="X12" i="7" s="1"/>
  <c r="W12" i="7" a="1"/>
  <c r="W12" i="7" s="1"/>
  <c r="V12" i="7" a="1"/>
  <c r="V12" i="7" s="1"/>
  <c r="U12" i="7" a="1"/>
  <c r="U12" i="7" s="1"/>
  <c r="T12" i="7" a="1"/>
  <c r="T12" i="7" s="1"/>
  <c r="AE11" i="7"/>
  <c r="AD11" i="7"/>
  <c r="AC11" i="7"/>
  <c r="AB11" i="7"/>
  <c r="AA11" i="7"/>
  <c r="Z11" i="7"/>
  <c r="Y11" i="7"/>
  <c r="X11" i="7"/>
  <c r="W11" i="7"/>
  <c r="V11" i="7"/>
  <c r="U11" i="7"/>
  <c r="T11" i="7"/>
  <c r="AE10" i="7" a="1"/>
  <c r="AE10" i="7" s="1"/>
  <c r="AD10" i="7" a="1"/>
  <c r="AD10" i="7" s="1"/>
  <c r="AC10" i="7" a="1"/>
  <c r="AC10" i="7" s="1"/>
  <c r="AB10" i="7" a="1"/>
  <c r="AB10" i="7" s="1"/>
  <c r="AA10" i="7" a="1"/>
  <c r="AA10" i="7" s="1"/>
  <c r="Z10" i="7" a="1"/>
  <c r="Z10" i="7" s="1"/>
  <c r="Y10" i="7" a="1"/>
  <c r="Y10" i="7" s="1"/>
  <c r="X10" i="7" a="1"/>
  <c r="X10" i="7" s="1"/>
  <c r="W10" i="7" a="1"/>
  <c r="W10" i="7" s="1"/>
  <c r="V10" i="7" a="1"/>
  <c r="V10" i="7" s="1"/>
  <c r="U10" i="7" a="1"/>
  <c r="U10" i="7" s="1"/>
  <c r="T10" i="7" a="1"/>
  <c r="T10" i="7" s="1"/>
  <c r="AE9" i="7"/>
  <c r="AD9" i="7"/>
  <c r="AC9" i="7"/>
  <c r="AB9" i="7"/>
  <c r="AA9" i="7"/>
  <c r="Z9" i="7"/>
  <c r="Y9" i="7"/>
  <c r="X9" i="7"/>
  <c r="W9" i="7"/>
  <c r="V9" i="7"/>
  <c r="U9" i="7"/>
  <c r="T9" i="7"/>
  <c r="AE8" i="7" a="1"/>
  <c r="AE8" i="7" s="1"/>
  <c r="AD8" i="7" a="1"/>
  <c r="AD8" i="7" s="1"/>
  <c r="AC8" i="7" a="1"/>
  <c r="AC8" i="7" s="1"/>
  <c r="AB8" i="7" a="1"/>
  <c r="AB8" i="7" s="1"/>
  <c r="AA8" i="7" a="1"/>
  <c r="AA8" i="7" s="1"/>
  <c r="Z8" i="7" a="1"/>
  <c r="Z8" i="7" s="1"/>
  <c r="Y8" i="7" a="1"/>
  <c r="Y8" i="7" s="1"/>
  <c r="X8" i="7" a="1"/>
  <c r="X8" i="7" s="1"/>
  <c r="W8" i="7" a="1"/>
  <c r="W8" i="7" s="1"/>
  <c r="V8" i="7" a="1"/>
  <c r="V8" i="7" s="1"/>
  <c r="U8" i="7" a="1"/>
  <c r="U8" i="7" s="1"/>
  <c r="T8" i="7" a="1"/>
  <c r="T8" i="7" s="1"/>
  <c r="AE7" i="7"/>
  <c r="AD7" i="7"/>
  <c r="AC7" i="7"/>
  <c r="AB7" i="7"/>
  <c r="AA7" i="7"/>
  <c r="Z7" i="7"/>
  <c r="Y7" i="7"/>
  <c r="X7" i="7"/>
  <c r="W7" i="7"/>
  <c r="V7" i="7"/>
  <c r="U7" i="7"/>
  <c r="T7" i="7"/>
  <c r="AE6" i="7" a="1"/>
  <c r="AE6" i="7" s="1"/>
  <c r="AD6" i="7" a="1"/>
  <c r="AD6" i="7" s="1"/>
  <c r="AC6" i="7" a="1"/>
  <c r="AC6" i="7" s="1"/>
  <c r="AB6" i="7" a="1"/>
  <c r="AB6" i="7" s="1"/>
  <c r="AA6" i="7" a="1"/>
  <c r="AA6" i="7" s="1"/>
  <c r="Z6" i="7" a="1"/>
  <c r="Z6" i="7" s="1"/>
  <c r="Y6" i="7" a="1"/>
  <c r="Y6" i="7" s="1"/>
  <c r="X6" i="7" a="1"/>
  <c r="X6" i="7" s="1"/>
  <c r="W6" i="7" a="1"/>
  <c r="W6" i="7" s="1"/>
  <c r="V6" i="7" a="1"/>
  <c r="V6" i="7" s="1"/>
  <c r="U6" i="7" a="1"/>
  <c r="U6" i="7" s="1"/>
  <c r="T6" i="7" a="1"/>
  <c r="T6" i="7" s="1"/>
  <c r="AE5" i="7"/>
  <c r="AD5" i="7"/>
  <c r="AC5" i="7"/>
  <c r="AB5" i="7"/>
  <c r="AA5" i="7"/>
  <c r="Z5" i="7"/>
  <c r="Y5" i="7"/>
  <c r="X5" i="7"/>
  <c r="W5" i="7"/>
  <c r="V5" i="7"/>
  <c r="U5" i="7"/>
  <c r="T5" i="7"/>
  <c r="AE4" i="7" a="1"/>
  <c r="AE4" i="7" s="1"/>
  <c r="AD4" i="7" a="1"/>
  <c r="AD4" i="7" s="1"/>
  <c r="AC4" i="7" a="1"/>
  <c r="AC4" i="7" s="1"/>
  <c r="AB4" i="7" a="1"/>
  <c r="AB4" i="7" s="1"/>
  <c r="AA4" i="7" a="1"/>
  <c r="AA4" i="7" s="1"/>
  <c r="Z4" i="7" a="1"/>
  <c r="Z4" i="7" s="1"/>
  <c r="Y4" i="7" a="1"/>
  <c r="Y4" i="7" s="1"/>
  <c r="X4" i="7" a="1"/>
  <c r="X4" i="7" s="1"/>
  <c r="W4" i="7" a="1"/>
  <c r="W4" i="7" s="1"/>
  <c r="V4" i="7" a="1"/>
  <c r="V4" i="7" s="1"/>
  <c r="U4" i="7" a="1"/>
  <c r="U4" i="7" s="1"/>
  <c r="T4" i="7" a="1"/>
  <c r="T4" i="7" s="1"/>
  <c r="AE3" i="7"/>
  <c r="AD3" i="7"/>
  <c r="AC3" i="7"/>
  <c r="AB3" i="7"/>
  <c r="AA3" i="7"/>
  <c r="Z3" i="7"/>
  <c r="Y3" i="7"/>
  <c r="X3" i="7"/>
  <c r="W3" i="7"/>
  <c r="V3" i="7"/>
  <c r="U3" i="7"/>
  <c r="T3" i="7"/>
  <c r="AE2" i="7" a="1"/>
  <c r="AE2" i="7" s="1"/>
  <c r="AD2" i="7" a="1"/>
  <c r="AD2" i="7" s="1"/>
  <c r="AC2" i="7" a="1"/>
  <c r="AC2" i="7" s="1"/>
  <c r="AB2" i="7" a="1"/>
  <c r="AB2" i="7" s="1"/>
  <c r="AA2" i="7" a="1"/>
  <c r="AA2" i="7" s="1"/>
  <c r="Z2" i="7" a="1"/>
  <c r="Z2" i="7" s="1"/>
  <c r="Y2" i="7" a="1"/>
  <c r="Y2" i="7" s="1"/>
  <c r="X2" i="7" a="1"/>
  <c r="X2" i="7" s="1"/>
  <c r="W2" i="7" a="1"/>
  <c r="W2" i="7" s="1"/>
  <c r="V2" i="7" a="1"/>
  <c r="V2" i="7" s="1"/>
  <c r="U2" i="7" a="1"/>
  <c r="U2" i="7" s="1"/>
  <c r="T2" i="7" a="1"/>
  <c r="T2" i="7" s="1"/>
  <c r="E11" i="1" a="1"/>
  <c r="I11" i="1" a="1"/>
  <c r="S21" i="7" l="1"/>
  <c r="Q3" i="7"/>
  <c r="I5" i="5" s="1"/>
  <c r="S23" i="7" a="1"/>
  <c r="I11" i="1"/>
  <c r="E11" i="1"/>
  <c r="G11" i="1" a="1"/>
  <c r="AA11" i="1" a="1"/>
  <c r="S23" i="7" l="1"/>
  <c r="F26" i="5"/>
  <c r="I6" i="5"/>
  <c r="I18" i="5"/>
  <c r="G11" i="1"/>
  <c r="AA11" i="1"/>
  <c r="C10" i="5"/>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36" i="1"/>
  <c r="AA28" i="6"/>
  <c r="Z27" i="6"/>
  <c r="Y26" i="6"/>
  <c r="X25" i="6"/>
  <c r="W24" i="6"/>
  <c r="V23" i="6"/>
  <c r="U22" i="6"/>
  <c r="T21" i="6"/>
  <c r="S20" i="6"/>
  <c r="R19" i="6"/>
  <c r="Q18" i="6"/>
  <c r="P17" i="6"/>
  <c r="R31" i="6" s="1" a="1"/>
  <c r="R31" i="6" s="1"/>
  <c r="F6" i="5" s="1"/>
  <c r="B11" i="1" a="1"/>
  <c r="F27" i="5" l="1"/>
  <c r="B11" i="1"/>
  <c r="R30" i="6" a="1"/>
  <c r="R30" i="6" s="1"/>
  <c r="AA11" i="6" l="1"/>
  <c r="Z11" i="6"/>
  <c r="Y11" i="6"/>
  <c r="X11" i="6"/>
  <c r="W11" i="6"/>
  <c r="V11" i="6"/>
  <c r="U11" i="6"/>
  <c r="T11" i="6"/>
  <c r="S11" i="6"/>
  <c r="R11" i="6"/>
  <c r="Q11" i="6"/>
  <c r="P11" i="6"/>
  <c r="AA10" i="6" a="1"/>
  <c r="AA10" i="6" s="1"/>
  <c r="Z10" i="6" a="1"/>
  <c r="Z10" i="6" s="1"/>
  <c r="Y10" i="6" a="1"/>
  <c r="Y10" i="6" s="1"/>
  <c r="X10" i="6" a="1"/>
  <c r="X10" i="6" s="1"/>
  <c r="W10" i="6" a="1"/>
  <c r="W10" i="6" s="1"/>
  <c r="V10" i="6" a="1"/>
  <c r="V10" i="6" s="1"/>
  <c r="U10" i="6" a="1"/>
  <c r="U10" i="6" s="1"/>
  <c r="T10" i="6" a="1"/>
  <c r="T10" i="6" s="1"/>
  <c r="S10" i="6" a="1"/>
  <c r="S10" i="6" s="1"/>
  <c r="R10" i="6" a="1"/>
  <c r="R10" i="6" s="1"/>
  <c r="Q10" i="6" a="1"/>
  <c r="Q10" i="6" s="1"/>
  <c r="P10" i="6" a="1"/>
  <c r="P10" i="6" s="1"/>
  <c r="AA9" i="6"/>
  <c r="Z9" i="6"/>
  <c r="Y9" i="6"/>
  <c r="X9" i="6"/>
  <c r="W9" i="6"/>
  <c r="V9" i="6"/>
  <c r="U9" i="6"/>
  <c r="T9" i="6"/>
  <c r="S9" i="6"/>
  <c r="R9" i="6"/>
  <c r="Q9" i="6"/>
  <c r="P9" i="6"/>
  <c r="AA8" i="6" a="1"/>
  <c r="AA8" i="6" s="1"/>
  <c r="Z8" i="6" a="1"/>
  <c r="Z8" i="6" s="1"/>
  <c r="Y8" i="6" a="1"/>
  <c r="Y8" i="6" s="1"/>
  <c r="X8" i="6" a="1"/>
  <c r="X8" i="6" s="1"/>
  <c r="W8" i="6" a="1"/>
  <c r="W8" i="6" s="1"/>
  <c r="V8" i="6" a="1"/>
  <c r="V8" i="6" s="1"/>
  <c r="U8" i="6" a="1"/>
  <c r="U8" i="6" s="1"/>
  <c r="T8" i="6" a="1"/>
  <c r="T8" i="6" s="1"/>
  <c r="S8" i="6" a="1"/>
  <c r="S8" i="6" s="1"/>
  <c r="R8" i="6" a="1"/>
  <c r="R8" i="6" s="1"/>
  <c r="Q8" i="6" a="1"/>
  <c r="Q8" i="6" s="1"/>
  <c r="P8" i="6" a="1"/>
  <c r="P8" i="6" s="1"/>
  <c r="AA7" i="6"/>
  <c r="Z7" i="6"/>
  <c r="Y7" i="6"/>
  <c r="X7" i="6"/>
  <c r="W7" i="6"/>
  <c r="V7" i="6"/>
  <c r="U7" i="6"/>
  <c r="T7" i="6"/>
  <c r="S7" i="6"/>
  <c r="R7" i="6"/>
  <c r="Q7" i="6"/>
  <c r="P7" i="6"/>
  <c r="AA6" i="6" a="1"/>
  <c r="AA6" i="6" s="1"/>
  <c r="Z6" i="6" a="1"/>
  <c r="Z6" i="6" s="1"/>
  <c r="Y6" i="6" a="1"/>
  <c r="Y6" i="6" s="1"/>
  <c r="X6" i="6" a="1"/>
  <c r="X6" i="6" s="1"/>
  <c r="W6" i="6" a="1"/>
  <c r="W6" i="6" s="1"/>
  <c r="V6" i="6" a="1"/>
  <c r="V6" i="6" s="1"/>
  <c r="U6" i="6" a="1"/>
  <c r="U6" i="6" s="1"/>
  <c r="T6" i="6" a="1"/>
  <c r="T6" i="6" s="1"/>
  <c r="S6" i="6" a="1"/>
  <c r="S6" i="6" s="1"/>
  <c r="R6" i="6" a="1"/>
  <c r="R6" i="6" s="1"/>
  <c r="Q6" i="6" a="1"/>
  <c r="Q6" i="6" s="1"/>
  <c r="P6" i="6" a="1"/>
  <c r="P6" i="6" s="1"/>
  <c r="AA5" i="6"/>
  <c r="Z5" i="6"/>
  <c r="Y5" i="6"/>
  <c r="X5" i="6"/>
  <c r="W5" i="6"/>
  <c r="V5" i="6"/>
  <c r="U5" i="6"/>
  <c r="T5" i="6"/>
  <c r="S5" i="6"/>
  <c r="R5" i="6"/>
  <c r="Q5" i="6"/>
  <c r="P5" i="6"/>
  <c r="AA4" i="6" a="1"/>
  <c r="AA4" i="6" s="1"/>
  <c r="Z4" i="6" a="1"/>
  <c r="Z4" i="6" s="1"/>
  <c r="Y4" i="6" a="1"/>
  <c r="Y4" i="6" s="1"/>
  <c r="X4" i="6" a="1"/>
  <c r="X4" i="6" s="1"/>
  <c r="W4" i="6" a="1"/>
  <c r="W4" i="6" s="1"/>
  <c r="V4" i="6" a="1"/>
  <c r="V4" i="6" s="1"/>
  <c r="U4" i="6" a="1"/>
  <c r="U4" i="6" s="1"/>
  <c r="T4" i="6" a="1"/>
  <c r="T4" i="6" s="1"/>
  <c r="S4" i="6" a="1"/>
  <c r="S4" i="6" s="1"/>
  <c r="R4" i="6" a="1"/>
  <c r="R4" i="6" s="1"/>
  <c r="Q4" i="6" a="1"/>
  <c r="Q4" i="6" s="1"/>
  <c r="P4" i="6" a="1"/>
  <c r="P4" i="6" s="1"/>
  <c r="AA3" i="6"/>
  <c r="Z3" i="6"/>
  <c r="Y3" i="6"/>
  <c r="X3" i="6"/>
  <c r="W3" i="6"/>
  <c r="V3" i="6"/>
  <c r="U3" i="6"/>
  <c r="T3" i="6"/>
  <c r="S3" i="6"/>
  <c r="R3" i="6"/>
  <c r="Q3" i="6"/>
  <c r="P3" i="6"/>
  <c r="AA2" i="6" a="1"/>
  <c r="AA2" i="6" s="1"/>
  <c r="Z2" i="6" a="1"/>
  <c r="Z2" i="6" s="1"/>
  <c r="Y2" i="6" a="1"/>
  <c r="Y2" i="6" s="1"/>
  <c r="X2" i="6" a="1"/>
  <c r="X2" i="6" s="1"/>
  <c r="W2" i="6" a="1"/>
  <c r="W2" i="6" s="1"/>
  <c r="V2" i="6" a="1"/>
  <c r="V2" i="6" s="1"/>
  <c r="U2" i="6" a="1"/>
  <c r="U2" i="6" s="1"/>
  <c r="T2" i="6" a="1"/>
  <c r="T2" i="6" s="1"/>
  <c r="S2" i="6" a="1"/>
  <c r="S2" i="6" s="1"/>
  <c r="R2" i="6" a="1"/>
  <c r="R2" i="6" s="1"/>
  <c r="Q2" i="6" a="1"/>
  <c r="Q2" i="6" s="1"/>
  <c r="P2" i="6" a="1"/>
  <c r="P2" i="6" s="1"/>
  <c r="M85" i="3"/>
  <c r="L85" i="3"/>
  <c r="K85" i="3"/>
  <c r="J85" i="3"/>
  <c r="I85" i="3"/>
  <c r="H85" i="3"/>
  <c r="G85" i="3"/>
  <c r="F85" i="3"/>
  <c r="E85" i="3"/>
  <c r="D85" i="3"/>
  <c r="C85" i="3"/>
  <c r="B85" i="3"/>
  <c r="M71" i="3"/>
  <c r="L71" i="3"/>
  <c r="K71" i="3"/>
  <c r="J71" i="3"/>
  <c r="I71" i="3"/>
  <c r="H71" i="3"/>
  <c r="G71" i="3"/>
  <c r="F71" i="3"/>
  <c r="E71" i="3"/>
  <c r="D71" i="3"/>
  <c r="C71" i="3"/>
  <c r="B71" i="3"/>
  <c r="M57" i="3"/>
  <c r="L57" i="3"/>
  <c r="K57" i="3"/>
  <c r="J57" i="3"/>
  <c r="I57" i="3"/>
  <c r="H57" i="3"/>
  <c r="G57" i="3"/>
  <c r="F57" i="3"/>
  <c r="E57" i="3"/>
  <c r="D57" i="3"/>
  <c r="C57" i="3"/>
  <c r="B57" i="3"/>
  <c r="M43" i="3"/>
  <c r="L43" i="3"/>
  <c r="K43" i="3"/>
  <c r="J43" i="3"/>
  <c r="I43" i="3"/>
  <c r="H43" i="3"/>
  <c r="G43" i="3"/>
  <c r="F43" i="3"/>
  <c r="E43" i="3"/>
  <c r="D43" i="3"/>
  <c r="C43" i="3"/>
  <c r="B43" i="3"/>
  <c r="M29" i="3"/>
  <c r="L29" i="3"/>
  <c r="K29" i="3"/>
  <c r="J29" i="3"/>
  <c r="I29" i="3"/>
  <c r="H29" i="3"/>
  <c r="G29" i="3"/>
  <c r="F29" i="3"/>
  <c r="E29" i="3"/>
  <c r="D29" i="3"/>
  <c r="C29" i="3"/>
  <c r="B29" i="3"/>
  <c r="M15" i="3"/>
  <c r="L15" i="3"/>
  <c r="K15" i="3"/>
  <c r="J15" i="3"/>
  <c r="I15" i="3"/>
  <c r="H15" i="3"/>
  <c r="G15" i="3"/>
  <c r="F15" i="3"/>
  <c r="E15" i="3"/>
  <c r="D15" i="3"/>
  <c r="C15" i="3"/>
  <c r="B15" i="3"/>
  <c r="D22" i="4"/>
  <c r="E22" i="4"/>
  <c r="F22" i="4"/>
  <c r="G22" i="4"/>
  <c r="H22" i="4"/>
  <c r="C22" i="4"/>
  <c r="C16" i="4"/>
  <c r="D16" i="4"/>
  <c r="D21" i="4" s="1"/>
  <c r="E16" i="4"/>
  <c r="E21" i="4" s="1"/>
  <c r="F16" i="4"/>
  <c r="F21" i="4" s="1"/>
  <c r="G16" i="4"/>
  <c r="G21" i="4" s="1"/>
  <c r="H16" i="4"/>
  <c r="M28" i="3" a="1"/>
  <c r="M28" i="3" s="1"/>
  <c r="L28" i="3" a="1"/>
  <c r="L28" i="3" s="1"/>
  <c r="K28" i="3" a="1"/>
  <c r="K28" i="3" s="1"/>
  <c r="J28" i="3" a="1"/>
  <c r="J28" i="3" s="1"/>
  <c r="I28" i="3" a="1"/>
  <c r="I28" i="3" s="1"/>
  <c r="H28" i="3" a="1"/>
  <c r="H28" i="3" s="1"/>
  <c r="G28" i="3" a="1"/>
  <c r="G28" i="3" s="1"/>
  <c r="F28" i="3" a="1"/>
  <c r="F28" i="3" s="1"/>
  <c r="E28" i="3" a="1"/>
  <c r="E28" i="3" s="1"/>
  <c r="D28" i="3" a="1"/>
  <c r="D28" i="3" s="1"/>
  <c r="C28" i="3" a="1"/>
  <c r="C28" i="3" s="1"/>
  <c r="B28" i="3" a="1"/>
  <c r="B28" i="3" s="1"/>
  <c r="M42" i="3" a="1"/>
  <c r="M42" i="3" s="1"/>
  <c r="L42" i="3" a="1"/>
  <c r="L42" i="3" s="1"/>
  <c r="K42" i="3" a="1"/>
  <c r="K42" i="3" s="1"/>
  <c r="J42" i="3" a="1"/>
  <c r="J42" i="3" s="1"/>
  <c r="I42" i="3" a="1"/>
  <c r="I42" i="3" s="1"/>
  <c r="H42" i="3" a="1"/>
  <c r="H42" i="3" s="1"/>
  <c r="G42" i="3" a="1"/>
  <c r="G42" i="3" s="1"/>
  <c r="F42" i="3" a="1"/>
  <c r="F42" i="3" s="1"/>
  <c r="E42" i="3" a="1"/>
  <c r="E42" i="3" s="1"/>
  <c r="D42" i="3" a="1"/>
  <c r="D42" i="3" s="1"/>
  <c r="C42" i="3" a="1"/>
  <c r="C42" i="3" s="1"/>
  <c r="B42" i="3" a="1"/>
  <c r="B42" i="3" s="1"/>
  <c r="M56" i="3" a="1"/>
  <c r="M56" i="3" s="1"/>
  <c r="L56" i="3" a="1"/>
  <c r="L56" i="3" s="1"/>
  <c r="K56" i="3" a="1"/>
  <c r="K56" i="3" s="1"/>
  <c r="J56" i="3" a="1"/>
  <c r="J56" i="3" s="1"/>
  <c r="I56" i="3" a="1"/>
  <c r="I56" i="3" s="1"/>
  <c r="H56" i="3" a="1"/>
  <c r="H56" i="3" s="1"/>
  <c r="G56" i="3" a="1"/>
  <c r="G56" i="3" s="1"/>
  <c r="F56" i="3" a="1"/>
  <c r="F56" i="3" s="1"/>
  <c r="E56" i="3" a="1"/>
  <c r="E56" i="3" s="1"/>
  <c r="D56" i="3" a="1"/>
  <c r="D56" i="3" s="1"/>
  <c r="C56" i="3" a="1"/>
  <c r="C56" i="3" s="1"/>
  <c r="B56" i="3" a="1"/>
  <c r="B56" i="3" s="1"/>
  <c r="M70" i="3" a="1"/>
  <c r="M70" i="3" s="1"/>
  <c r="L70" i="3" a="1"/>
  <c r="L70" i="3" s="1"/>
  <c r="K70" i="3" a="1"/>
  <c r="K70" i="3" s="1"/>
  <c r="J70" i="3" a="1"/>
  <c r="J70" i="3" s="1"/>
  <c r="I70" i="3" a="1"/>
  <c r="I70" i="3" s="1"/>
  <c r="H70" i="3" a="1"/>
  <c r="H70" i="3" s="1"/>
  <c r="G70" i="3" a="1"/>
  <c r="G70" i="3" s="1"/>
  <c r="F70" i="3" a="1"/>
  <c r="F70" i="3" s="1"/>
  <c r="E70" i="3" a="1"/>
  <c r="E70" i="3" s="1"/>
  <c r="D70" i="3" a="1"/>
  <c r="D70" i="3" s="1"/>
  <c r="C70" i="3" a="1"/>
  <c r="C70" i="3" s="1"/>
  <c r="B70" i="3" a="1"/>
  <c r="B70" i="3" s="1"/>
  <c r="M84" i="3" a="1"/>
  <c r="M84" i="3" s="1"/>
  <c r="L84" i="3" a="1"/>
  <c r="L84" i="3" s="1"/>
  <c r="K84" i="3" a="1"/>
  <c r="K84" i="3" s="1"/>
  <c r="J84" i="3" a="1"/>
  <c r="J84" i="3" s="1"/>
  <c r="I84" i="3" a="1"/>
  <c r="I84" i="3" s="1"/>
  <c r="H84" i="3" a="1"/>
  <c r="H84" i="3" s="1"/>
  <c r="G84" i="3" a="1"/>
  <c r="G84" i="3" s="1"/>
  <c r="F84" i="3" a="1"/>
  <c r="F84" i="3" s="1"/>
  <c r="E84" i="3" a="1"/>
  <c r="E84" i="3" s="1"/>
  <c r="D84" i="3" a="1"/>
  <c r="D84" i="3" s="1"/>
  <c r="C84" i="3" a="1"/>
  <c r="C84" i="3" s="1"/>
  <c r="B84" i="3" a="1"/>
  <c r="B84" i="3" s="1"/>
  <c r="L14" i="3" a="1"/>
  <c r="L14" i="3" s="1"/>
  <c r="M14" i="3" a="1"/>
  <c r="M14" i="3" s="1"/>
  <c r="H14" i="3" a="1"/>
  <c r="H14" i="3" s="1"/>
  <c r="I14" i="3" a="1"/>
  <c r="I14" i="3" s="1"/>
  <c r="J14" i="3" a="1"/>
  <c r="J14" i="3" s="1"/>
  <c r="K14" i="3" a="1"/>
  <c r="K14" i="3" s="1"/>
  <c r="G14" i="3" a="1"/>
  <c r="G14" i="3" s="1"/>
  <c r="F14" i="3" a="1"/>
  <c r="F14" i="3" s="1"/>
  <c r="D14" i="3" a="1"/>
  <c r="D14" i="3" s="1"/>
  <c r="C14" i="3" a="1"/>
  <c r="C14" i="3" s="1"/>
  <c r="B14" i="3" a="1"/>
  <c r="B14" i="3" s="1"/>
  <c r="E14" i="3" a="1"/>
  <c r="E14" i="3" s="1"/>
  <c r="K11" i="1" a="1"/>
  <c r="Y11" i="1" a="1"/>
  <c r="U11" i="1" a="1"/>
  <c r="M11" i="1" a="1"/>
  <c r="B11" i="2" a="1"/>
  <c r="O11" i="1" a="1"/>
  <c r="S11" i="1" a="1"/>
  <c r="W11" i="1" a="1"/>
  <c r="Q11" i="1" a="1"/>
  <c r="M52" i="4" l="1"/>
  <c r="N52" i="4" s="1"/>
  <c r="O52" i="4" s="1"/>
  <c r="P52" i="4" s="1"/>
  <c r="Q52" i="4" s="1"/>
  <c r="C21" i="4"/>
  <c r="C27" i="4"/>
  <c r="F28" i="4" s="1"/>
  <c r="H21" i="4"/>
  <c r="C26" i="4" s="1"/>
  <c r="F26" i="4" s="1"/>
  <c r="F5" i="5" s="1"/>
  <c r="X58" i="1"/>
  <c r="X80" i="1"/>
  <c r="X102" i="1"/>
  <c r="X37" i="1"/>
  <c r="X59" i="1"/>
  <c r="X81" i="1"/>
  <c r="X103" i="1"/>
  <c r="X40" i="1"/>
  <c r="X84" i="1"/>
  <c r="X106" i="1"/>
  <c r="X41" i="1"/>
  <c r="X63" i="1"/>
  <c r="X107" i="1"/>
  <c r="X42" i="1"/>
  <c r="X86" i="1"/>
  <c r="X43" i="1"/>
  <c r="X87" i="1"/>
  <c r="X66" i="1"/>
  <c r="X88" i="1"/>
  <c r="X45" i="1"/>
  <c r="X89" i="1"/>
  <c r="X68" i="1"/>
  <c r="X69" i="1"/>
  <c r="X36" i="1"/>
  <c r="X48" i="1"/>
  <c r="X70" i="1"/>
  <c r="X71" i="1"/>
  <c r="X50" i="1"/>
  <c r="X94" i="1"/>
  <c r="X75" i="1"/>
  <c r="X76" i="1"/>
  <c r="X77" i="1"/>
  <c r="X99" i="1"/>
  <c r="X78" i="1"/>
  <c r="X57" i="1"/>
  <c r="X101" i="1"/>
  <c r="X38" i="1"/>
  <c r="X60" i="1"/>
  <c r="X82" i="1"/>
  <c r="X104" i="1"/>
  <c r="X39" i="1"/>
  <c r="X61" i="1"/>
  <c r="X83" i="1"/>
  <c r="X105" i="1"/>
  <c r="X62" i="1"/>
  <c r="X85" i="1"/>
  <c r="X64" i="1"/>
  <c r="X65" i="1"/>
  <c r="X44" i="1"/>
  <c r="X67" i="1"/>
  <c r="X46" i="1"/>
  <c r="X90" i="1"/>
  <c r="X47" i="1"/>
  <c r="X91" i="1"/>
  <c r="X92" i="1"/>
  <c r="X49" i="1"/>
  <c r="X93" i="1"/>
  <c r="X72" i="1"/>
  <c r="X51" i="1"/>
  <c r="X73" i="1"/>
  <c r="X95" i="1"/>
  <c r="X52" i="1"/>
  <c r="X74" i="1"/>
  <c r="X96" i="1"/>
  <c r="X53" i="1"/>
  <c r="X97" i="1"/>
  <c r="X54" i="1"/>
  <c r="X98" i="1"/>
  <c r="X55" i="1"/>
  <c r="X56" i="1"/>
  <c r="X100" i="1"/>
  <c r="X79" i="1"/>
  <c r="V53" i="1"/>
  <c r="V75" i="1"/>
  <c r="V97" i="1"/>
  <c r="V54" i="1"/>
  <c r="V76" i="1"/>
  <c r="V98" i="1"/>
  <c r="V79" i="1"/>
  <c r="V58" i="1"/>
  <c r="V80" i="1"/>
  <c r="V59" i="1"/>
  <c r="V81" i="1"/>
  <c r="V60" i="1"/>
  <c r="V104" i="1"/>
  <c r="V61" i="1"/>
  <c r="V105" i="1"/>
  <c r="V62" i="1"/>
  <c r="V106" i="1"/>
  <c r="V41" i="1"/>
  <c r="V63" i="1"/>
  <c r="V107" i="1"/>
  <c r="V42" i="1"/>
  <c r="V64" i="1"/>
  <c r="V43" i="1"/>
  <c r="V65" i="1"/>
  <c r="V36" i="1"/>
  <c r="V44" i="1"/>
  <c r="V88" i="1"/>
  <c r="V67" i="1"/>
  <c r="V69" i="1"/>
  <c r="V48" i="1"/>
  <c r="V70" i="1"/>
  <c r="V71" i="1"/>
  <c r="V72" i="1"/>
  <c r="V52" i="1"/>
  <c r="V74" i="1"/>
  <c r="V96" i="1"/>
  <c r="V55" i="1"/>
  <c r="V77" i="1"/>
  <c r="V99" i="1"/>
  <c r="V56" i="1"/>
  <c r="V78" i="1"/>
  <c r="V100" i="1"/>
  <c r="V57" i="1"/>
  <c r="V101" i="1"/>
  <c r="V102" i="1"/>
  <c r="V37" i="1"/>
  <c r="V103" i="1"/>
  <c r="V38" i="1"/>
  <c r="V82" i="1"/>
  <c r="V39" i="1"/>
  <c r="V83" i="1"/>
  <c r="V40" i="1"/>
  <c r="V84" i="1"/>
  <c r="V85" i="1"/>
  <c r="V86" i="1"/>
  <c r="V87" i="1"/>
  <c r="V66" i="1"/>
  <c r="V45" i="1"/>
  <c r="V89" i="1"/>
  <c r="V46" i="1"/>
  <c r="V68" i="1"/>
  <c r="V90" i="1"/>
  <c r="V47" i="1"/>
  <c r="V91" i="1"/>
  <c r="V92" i="1"/>
  <c r="V49" i="1"/>
  <c r="V93" i="1"/>
  <c r="V50" i="1"/>
  <c r="V94" i="1"/>
  <c r="V51" i="1"/>
  <c r="V73" i="1"/>
  <c r="V95" i="1"/>
  <c r="Z37" i="1"/>
  <c r="Z59" i="1"/>
  <c r="Z81" i="1"/>
  <c r="Z103" i="1"/>
  <c r="Z38" i="1"/>
  <c r="Z60" i="1"/>
  <c r="Z104" i="1"/>
  <c r="Z39" i="1"/>
  <c r="Z61" i="1"/>
  <c r="Z83" i="1"/>
  <c r="Z105" i="1"/>
  <c r="Z40" i="1"/>
  <c r="Z62" i="1"/>
  <c r="Z84" i="1"/>
  <c r="Z106" i="1"/>
  <c r="Z41" i="1"/>
  <c r="Z63" i="1"/>
  <c r="Z85" i="1"/>
  <c r="Z107" i="1"/>
  <c r="Z42" i="1"/>
  <c r="Z64" i="1"/>
  <c r="Z86" i="1"/>
  <c r="Z43" i="1"/>
  <c r="Z65" i="1"/>
  <c r="Z87" i="1"/>
  <c r="Z44" i="1"/>
  <c r="Z66" i="1"/>
  <c r="Z88" i="1"/>
  <c r="Z45" i="1"/>
  <c r="Z67" i="1"/>
  <c r="Z89" i="1"/>
  <c r="Z46" i="1"/>
  <c r="Z90" i="1"/>
  <c r="Z47" i="1"/>
  <c r="Z91" i="1"/>
  <c r="Z48" i="1"/>
  <c r="Z92" i="1"/>
  <c r="Z49" i="1"/>
  <c r="Z50" i="1"/>
  <c r="Z94" i="1"/>
  <c r="Z73" i="1"/>
  <c r="Z95" i="1"/>
  <c r="Z52" i="1"/>
  <c r="Z96" i="1"/>
  <c r="Z53" i="1"/>
  <c r="Z75" i="1"/>
  <c r="Z54" i="1"/>
  <c r="Z98" i="1"/>
  <c r="Z55" i="1"/>
  <c r="Z56" i="1"/>
  <c r="Z100" i="1"/>
  <c r="Z57" i="1"/>
  <c r="Z101" i="1"/>
  <c r="Z58" i="1"/>
  <c r="Z82" i="1"/>
  <c r="Z68" i="1"/>
  <c r="Z69" i="1"/>
  <c r="Z70" i="1"/>
  <c r="Z71" i="1"/>
  <c r="Z93" i="1"/>
  <c r="Z72" i="1"/>
  <c r="Z51" i="1"/>
  <c r="Z74" i="1"/>
  <c r="Z36" i="1"/>
  <c r="Z97" i="1"/>
  <c r="Z76" i="1"/>
  <c r="Z77" i="1"/>
  <c r="Z99" i="1"/>
  <c r="Z78" i="1"/>
  <c r="Z79" i="1"/>
  <c r="Z80" i="1"/>
  <c r="Z102" i="1"/>
  <c r="T37" i="1"/>
  <c r="T59" i="1"/>
  <c r="T81" i="1"/>
  <c r="T103" i="1"/>
  <c r="T38" i="1"/>
  <c r="T60" i="1"/>
  <c r="T82" i="1"/>
  <c r="T104" i="1"/>
  <c r="T39" i="1"/>
  <c r="T61" i="1"/>
  <c r="T83" i="1"/>
  <c r="T105" i="1"/>
  <c r="T93" i="1"/>
  <c r="T50" i="1"/>
  <c r="T51" i="1"/>
  <c r="T95" i="1"/>
  <c r="T52" i="1"/>
  <c r="T53" i="1"/>
  <c r="T97" i="1"/>
  <c r="T54" i="1"/>
  <c r="T55" i="1"/>
  <c r="T56" i="1"/>
  <c r="T57" i="1"/>
  <c r="T101" i="1"/>
  <c r="T58" i="1"/>
  <c r="T40" i="1"/>
  <c r="T62" i="1"/>
  <c r="T84" i="1"/>
  <c r="T106" i="1"/>
  <c r="T41" i="1"/>
  <c r="T63" i="1"/>
  <c r="T85" i="1"/>
  <c r="T107" i="1"/>
  <c r="T66" i="1"/>
  <c r="T88" i="1"/>
  <c r="T67" i="1"/>
  <c r="T46" i="1"/>
  <c r="T47" i="1"/>
  <c r="T91" i="1"/>
  <c r="T48" i="1"/>
  <c r="T92" i="1"/>
  <c r="T49" i="1"/>
  <c r="T72" i="1"/>
  <c r="T96" i="1"/>
  <c r="T98" i="1"/>
  <c r="T78" i="1"/>
  <c r="T102" i="1"/>
  <c r="T42" i="1"/>
  <c r="T64" i="1"/>
  <c r="T86" i="1"/>
  <c r="T43" i="1"/>
  <c r="T65" i="1"/>
  <c r="T87" i="1"/>
  <c r="T44" i="1"/>
  <c r="T45" i="1"/>
  <c r="T89" i="1"/>
  <c r="T68" i="1"/>
  <c r="T90" i="1"/>
  <c r="T69" i="1"/>
  <c r="T36" i="1"/>
  <c r="T70" i="1"/>
  <c r="T71" i="1"/>
  <c r="T94" i="1"/>
  <c r="T73" i="1"/>
  <c r="T74" i="1"/>
  <c r="T75" i="1"/>
  <c r="T76" i="1"/>
  <c r="T77" i="1"/>
  <c r="T99" i="1"/>
  <c r="T100" i="1"/>
  <c r="T79" i="1"/>
  <c r="T80" i="1"/>
  <c r="R54" i="1"/>
  <c r="R76" i="1"/>
  <c r="R98" i="1"/>
  <c r="R55" i="1"/>
  <c r="R77" i="1"/>
  <c r="R99" i="1"/>
  <c r="R56" i="1"/>
  <c r="R78" i="1"/>
  <c r="R100" i="1"/>
  <c r="R43" i="1"/>
  <c r="R36" i="1"/>
  <c r="R44" i="1"/>
  <c r="R88" i="1"/>
  <c r="R45" i="1"/>
  <c r="R67" i="1"/>
  <c r="R46" i="1"/>
  <c r="R90" i="1"/>
  <c r="R47" i="1"/>
  <c r="R91" i="1"/>
  <c r="R92" i="1"/>
  <c r="R49" i="1"/>
  <c r="R93" i="1"/>
  <c r="R50" i="1"/>
  <c r="R51" i="1"/>
  <c r="R73" i="1"/>
  <c r="R74" i="1"/>
  <c r="R75" i="1"/>
  <c r="R57" i="1"/>
  <c r="R79" i="1"/>
  <c r="R101" i="1"/>
  <c r="R58" i="1"/>
  <c r="R80" i="1"/>
  <c r="R102" i="1"/>
  <c r="R61" i="1"/>
  <c r="R83" i="1"/>
  <c r="R40" i="1"/>
  <c r="R84" i="1"/>
  <c r="R106" i="1"/>
  <c r="R41" i="1"/>
  <c r="R85" i="1"/>
  <c r="R42" i="1"/>
  <c r="R86" i="1"/>
  <c r="R87" i="1"/>
  <c r="R68" i="1"/>
  <c r="R70" i="1"/>
  <c r="R94" i="1"/>
  <c r="R52" i="1"/>
  <c r="R37" i="1"/>
  <c r="R59" i="1"/>
  <c r="R81" i="1"/>
  <c r="R103" i="1"/>
  <c r="R38" i="1"/>
  <c r="R60" i="1"/>
  <c r="R82" i="1"/>
  <c r="R104" i="1"/>
  <c r="R39" i="1"/>
  <c r="R105" i="1"/>
  <c r="R62" i="1"/>
  <c r="R63" i="1"/>
  <c r="R107" i="1"/>
  <c r="R64" i="1"/>
  <c r="R65" i="1"/>
  <c r="R66" i="1"/>
  <c r="R89" i="1"/>
  <c r="R69" i="1"/>
  <c r="R48" i="1"/>
  <c r="R71" i="1"/>
  <c r="R72" i="1"/>
  <c r="R95" i="1"/>
  <c r="R96" i="1"/>
  <c r="R53" i="1"/>
  <c r="R97" i="1"/>
  <c r="P47" i="1"/>
  <c r="P69" i="1"/>
  <c r="P91" i="1"/>
  <c r="P48" i="1"/>
  <c r="P70" i="1"/>
  <c r="P92" i="1"/>
  <c r="P49" i="1"/>
  <c r="P71" i="1"/>
  <c r="P93" i="1"/>
  <c r="P102" i="1"/>
  <c r="P59" i="1"/>
  <c r="P103" i="1"/>
  <c r="P38" i="1"/>
  <c r="P82" i="1"/>
  <c r="P39" i="1"/>
  <c r="P105" i="1"/>
  <c r="P62" i="1"/>
  <c r="P84" i="1"/>
  <c r="P63" i="1"/>
  <c r="P42" i="1"/>
  <c r="P86" i="1"/>
  <c r="P43" i="1"/>
  <c r="P65" i="1"/>
  <c r="P44" i="1"/>
  <c r="P66" i="1"/>
  <c r="P45" i="1"/>
  <c r="P46" i="1"/>
  <c r="P90" i="1"/>
  <c r="P50" i="1"/>
  <c r="P72" i="1"/>
  <c r="P94" i="1"/>
  <c r="P51" i="1"/>
  <c r="P73" i="1"/>
  <c r="P95" i="1"/>
  <c r="P54" i="1"/>
  <c r="P98" i="1"/>
  <c r="P77" i="1"/>
  <c r="P99" i="1"/>
  <c r="P56" i="1"/>
  <c r="P100" i="1"/>
  <c r="P57" i="1"/>
  <c r="P79" i="1"/>
  <c r="P80" i="1"/>
  <c r="P37" i="1"/>
  <c r="P60" i="1"/>
  <c r="P83" i="1"/>
  <c r="P106" i="1"/>
  <c r="P85" i="1"/>
  <c r="P36" i="1"/>
  <c r="P89" i="1"/>
  <c r="P52" i="1"/>
  <c r="P74" i="1"/>
  <c r="P96" i="1"/>
  <c r="P53" i="1"/>
  <c r="P75" i="1"/>
  <c r="P97" i="1"/>
  <c r="P76" i="1"/>
  <c r="P55" i="1"/>
  <c r="P78" i="1"/>
  <c r="P101" i="1"/>
  <c r="P58" i="1"/>
  <c r="P81" i="1"/>
  <c r="P104" i="1"/>
  <c r="P61" i="1"/>
  <c r="P40" i="1"/>
  <c r="P41" i="1"/>
  <c r="P107" i="1"/>
  <c r="P64" i="1"/>
  <c r="P87" i="1"/>
  <c r="P88" i="1"/>
  <c r="P67" i="1"/>
  <c r="P68" i="1"/>
  <c r="N37" i="1"/>
  <c r="N59" i="1"/>
  <c r="N81" i="1"/>
  <c r="N103" i="1"/>
  <c r="N38" i="1"/>
  <c r="N60" i="1"/>
  <c r="N82" i="1"/>
  <c r="N104" i="1"/>
  <c r="N39" i="1"/>
  <c r="N61" i="1"/>
  <c r="N83" i="1"/>
  <c r="N105" i="1"/>
  <c r="N40" i="1"/>
  <c r="N62" i="1"/>
  <c r="N84" i="1"/>
  <c r="N106" i="1"/>
  <c r="N41" i="1"/>
  <c r="N63" i="1"/>
  <c r="N85" i="1"/>
  <c r="N107" i="1"/>
  <c r="N42" i="1"/>
  <c r="N64" i="1"/>
  <c r="N86" i="1"/>
  <c r="N36" i="1"/>
  <c r="N43" i="1"/>
  <c r="N65" i="1"/>
  <c r="N87" i="1"/>
  <c r="N44" i="1"/>
  <c r="N73" i="1"/>
  <c r="N102" i="1"/>
  <c r="N45" i="1"/>
  <c r="N74" i="1"/>
  <c r="N46" i="1"/>
  <c r="N75" i="1"/>
  <c r="N47" i="1"/>
  <c r="N76" i="1"/>
  <c r="N48" i="1"/>
  <c r="N77" i="1"/>
  <c r="N49" i="1"/>
  <c r="N78" i="1"/>
  <c r="N50" i="1"/>
  <c r="N79" i="1"/>
  <c r="N51" i="1"/>
  <c r="N80" i="1"/>
  <c r="N52" i="1"/>
  <c r="N88" i="1"/>
  <c r="N53" i="1"/>
  <c r="N89" i="1"/>
  <c r="N54" i="1"/>
  <c r="N90" i="1"/>
  <c r="N55" i="1"/>
  <c r="N91" i="1"/>
  <c r="N56" i="1"/>
  <c r="N92" i="1"/>
  <c r="N57" i="1"/>
  <c r="N93" i="1"/>
  <c r="N58" i="1"/>
  <c r="N94" i="1"/>
  <c r="N66" i="1"/>
  <c r="N95" i="1"/>
  <c r="N67" i="1"/>
  <c r="N96" i="1"/>
  <c r="N68" i="1"/>
  <c r="N97" i="1"/>
  <c r="N69" i="1"/>
  <c r="N98" i="1"/>
  <c r="N70" i="1"/>
  <c r="N71" i="1"/>
  <c r="N72" i="1"/>
  <c r="N99" i="1"/>
  <c r="N100" i="1"/>
  <c r="N101" i="1"/>
  <c r="L53" i="1"/>
  <c r="L75" i="1"/>
  <c r="L97" i="1"/>
  <c r="L54" i="1"/>
  <c r="L76" i="1"/>
  <c r="L98" i="1"/>
  <c r="L55" i="1"/>
  <c r="L77" i="1"/>
  <c r="L99" i="1"/>
  <c r="L56" i="1"/>
  <c r="L78" i="1"/>
  <c r="L100" i="1"/>
  <c r="L57" i="1"/>
  <c r="L79" i="1"/>
  <c r="L101" i="1"/>
  <c r="L58" i="1"/>
  <c r="L80" i="1"/>
  <c r="L102" i="1"/>
  <c r="L37" i="1"/>
  <c r="L59" i="1"/>
  <c r="L66" i="1"/>
  <c r="L94" i="1"/>
  <c r="L38" i="1"/>
  <c r="L67" i="1"/>
  <c r="L95" i="1"/>
  <c r="L39" i="1"/>
  <c r="L68" i="1"/>
  <c r="L96" i="1"/>
  <c r="L40" i="1"/>
  <c r="L69" i="1"/>
  <c r="L103" i="1"/>
  <c r="L41" i="1"/>
  <c r="L70" i="1"/>
  <c r="L104" i="1"/>
  <c r="L42" i="1"/>
  <c r="L71" i="1"/>
  <c r="L105" i="1"/>
  <c r="L43" i="1"/>
  <c r="L72" i="1"/>
  <c r="L106" i="1"/>
  <c r="L44" i="1"/>
  <c r="L73" i="1"/>
  <c r="L107" i="1"/>
  <c r="L45" i="1"/>
  <c r="L74" i="1"/>
  <c r="L36" i="1"/>
  <c r="L46" i="1"/>
  <c r="L81" i="1"/>
  <c r="L47" i="1"/>
  <c r="L82" i="1"/>
  <c r="L48" i="1"/>
  <c r="L83" i="1"/>
  <c r="L49" i="1"/>
  <c r="L84" i="1"/>
  <c r="L50" i="1"/>
  <c r="L85" i="1"/>
  <c r="L51" i="1"/>
  <c r="L86" i="1"/>
  <c r="L52" i="1"/>
  <c r="L87" i="1"/>
  <c r="L60" i="1"/>
  <c r="L88" i="1"/>
  <c r="L61" i="1"/>
  <c r="L89" i="1"/>
  <c r="L62" i="1"/>
  <c r="L63" i="1"/>
  <c r="L64" i="1"/>
  <c r="L65" i="1"/>
  <c r="L90" i="1"/>
  <c r="L91" i="1"/>
  <c r="L92" i="1"/>
  <c r="L93" i="1"/>
  <c r="J47" i="1"/>
  <c r="J69" i="1"/>
  <c r="J91" i="1"/>
  <c r="J48" i="1"/>
  <c r="J70" i="1"/>
  <c r="J92" i="1"/>
  <c r="J49" i="1"/>
  <c r="J71" i="1"/>
  <c r="J93" i="1"/>
  <c r="J50" i="1"/>
  <c r="J72" i="1"/>
  <c r="J94" i="1"/>
  <c r="J51" i="1"/>
  <c r="J73" i="1"/>
  <c r="J95" i="1"/>
  <c r="J52" i="1"/>
  <c r="J74" i="1"/>
  <c r="J96" i="1"/>
  <c r="J56" i="1"/>
  <c r="J84" i="1"/>
  <c r="J57" i="1"/>
  <c r="J85" i="1"/>
  <c r="J58" i="1"/>
  <c r="J86" i="1"/>
  <c r="J59" i="1"/>
  <c r="J87" i="1"/>
  <c r="J60" i="1"/>
  <c r="J88" i="1"/>
  <c r="J61" i="1"/>
  <c r="J89" i="1"/>
  <c r="J62" i="1"/>
  <c r="J90" i="1"/>
  <c r="J63" i="1"/>
  <c r="J97" i="1"/>
  <c r="J64" i="1"/>
  <c r="J98" i="1"/>
  <c r="J37" i="1"/>
  <c r="J65" i="1"/>
  <c r="J99" i="1"/>
  <c r="J38" i="1"/>
  <c r="J66" i="1"/>
  <c r="J100" i="1"/>
  <c r="J39" i="1"/>
  <c r="J67" i="1"/>
  <c r="J101" i="1"/>
  <c r="J40" i="1"/>
  <c r="J68" i="1"/>
  <c r="J102" i="1"/>
  <c r="J41" i="1"/>
  <c r="J75" i="1"/>
  <c r="J103" i="1"/>
  <c r="J42" i="1"/>
  <c r="J76" i="1"/>
  <c r="J104" i="1"/>
  <c r="J43" i="1"/>
  <c r="J77" i="1"/>
  <c r="J105" i="1"/>
  <c r="J44" i="1"/>
  <c r="J78" i="1"/>
  <c r="J106" i="1"/>
  <c r="J45" i="1"/>
  <c r="J79" i="1"/>
  <c r="J107" i="1"/>
  <c r="J46" i="1"/>
  <c r="J53" i="1"/>
  <c r="J54" i="1"/>
  <c r="J55" i="1"/>
  <c r="J80" i="1"/>
  <c r="J81" i="1"/>
  <c r="J82" i="1"/>
  <c r="J83" i="1"/>
  <c r="J36" i="1"/>
  <c r="H41" i="1"/>
  <c r="H63" i="1"/>
  <c r="H85" i="1"/>
  <c r="H107" i="1"/>
  <c r="H42" i="1"/>
  <c r="H64" i="1"/>
  <c r="H86" i="1"/>
  <c r="H36" i="1"/>
  <c r="H43" i="1"/>
  <c r="H65" i="1"/>
  <c r="H87" i="1"/>
  <c r="H44" i="1"/>
  <c r="H66" i="1"/>
  <c r="H88" i="1"/>
  <c r="H45" i="1"/>
  <c r="H67" i="1"/>
  <c r="H89" i="1"/>
  <c r="H46" i="1"/>
  <c r="H68" i="1"/>
  <c r="H90" i="1"/>
  <c r="H40" i="1"/>
  <c r="H74" i="1"/>
  <c r="H102" i="1"/>
  <c r="H47" i="1"/>
  <c r="H75" i="1"/>
  <c r="H103" i="1"/>
  <c r="H48" i="1"/>
  <c r="H76" i="1"/>
  <c r="H104" i="1"/>
  <c r="H49" i="1"/>
  <c r="H77" i="1"/>
  <c r="H105" i="1"/>
  <c r="H50" i="1"/>
  <c r="H78" i="1"/>
  <c r="H106" i="1"/>
  <c r="H51" i="1"/>
  <c r="H79" i="1"/>
  <c r="H52" i="1"/>
  <c r="H80" i="1"/>
  <c r="H53" i="1"/>
  <c r="H81" i="1"/>
  <c r="H54" i="1"/>
  <c r="H82" i="1"/>
  <c r="H55" i="1"/>
  <c r="H83" i="1"/>
  <c r="H56" i="1"/>
  <c r="H84" i="1"/>
  <c r="H57" i="1"/>
  <c r="H91" i="1"/>
  <c r="H58" i="1"/>
  <c r="H92" i="1"/>
  <c r="H59" i="1"/>
  <c r="H93" i="1"/>
  <c r="H60" i="1"/>
  <c r="H94" i="1"/>
  <c r="H61" i="1"/>
  <c r="H95" i="1"/>
  <c r="H62" i="1"/>
  <c r="H96" i="1"/>
  <c r="H69" i="1"/>
  <c r="H97" i="1"/>
  <c r="H37" i="1"/>
  <c r="H38" i="1"/>
  <c r="H39" i="1"/>
  <c r="H70" i="1"/>
  <c r="H71" i="1"/>
  <c r="H72" i="1"/>
  <c r="H73" i="1"/>
  <c r="H98" i="1"/>
  <c r="H99" i="1"/>
  <c r="H100" i="1"/>
  <c r="H101" i="1"/>
  <c r="D53" i="1"/>
  <c r="D75" i="1"/>
  <c r="D97" i="1"/>
  <c r="D54" i="1"/>
  <c r="D76" i="1"/>
  <c r="D98" i="1"/>
  <c r="D55" i="1"/>
  <c r="D77" i="1"/>
  <c r="D99" i="1"/>
  <c r="D56" i="1"/>
  <c r="D78" i="1"/>
  <c r="D100" i="1"/>
  <c r="D57" i="1"/>
  <c r="D79" i="1"/>
  <c r="D101" i="1"/>
  <c r="D58" i="1"/>
  <c r="D80" i="1"/>
  <c r="D102" i="1"/>
  <c r="D37" i="1"/>
  <c r="D59" i="1"/>
  <c r="D81" i="1"/>
  <c r="D103" i="1"/>
  <c r="D38" i="1"/>
  <c r="D60" i="1"/>
  <c r="D82" i="1"/>
  <c r="D104" i="1"/>
  <c r="D39" i="1"/>
  <c r="D61" i="1"/>
  <c r="D83" i="1"/>
  <c r="D105" i="1"/>
  <c r="D40" i="1"/>
  <c r="D62" i="1"/>
  <c r="D84" i="1"/>
  <c r="D106" i="1"/>
  <c r="D41" i="1"/>
  <c r="D63" i="1"/>
  <c r="D85" i="1"/>
  <c r="D107" i="1"/>
  <c r="D42" i="1"/>
  <c r="D64" i="1"/>
  <c r="D86" i="1"/>
  <c r="D36" i="1"/>
  <c r="D43" i="1"/>
  <c r="D65" i="1"/>
  <c r="D87" i="1"/>
  <c r="D44" i="1"/>
  <c r="D66" i="1"/>
  <c r="D88" i="1"/>
  <c r="D45" i="1"/>
  <c r="D67" i="1"/>
  <c r="D89" i="1"/>
  <c r="D46" i="1"/>
  <c r="D68" i="1"/>
  <c r="D90" i="1"/>
  <c r="D47" i="1"/>
  <c r="D69" i="1"/>
  <c r="D91" i="1"/>
  <c r="D48" i="1"/>
  <c r="D93" i="1"/>
  <c r="D94" i="1"/>
  <c r="D95" i="1"/>
  <c r="D96" i="1"/>
  <c r="D49" i="1"/>
  <c r="D50" i="1"/>
  <c r="D51" i="1"/>
  <c r="D52" i="1"/>
  <c r="D70" i="1"/>
  <c r="D71" i="1"/>
  <c r="D72" i="1"/>
  <c r="D73" i="1"/>
  <c r="D74" i="1"/>
  <c r="D92" i="1"/>
  <c r="F37" i="1"/>
  <c r="F59" i="1"/>
  <c r="F81" i="1"/>
  <c r="F103" i="1"/>
  <c r="F38" i="1"/>
  <c r="F60" i="1"/>
  <c r="F82" i="1"/>
  <c r="F104" i="1"/>
  <c r="F39" i="1"/>
  <c r="F61" i="1"/>
  <c r="F83" i="1"/>
  <c r="F105" i="1"/>
  <c r="F40" i="1"/>
  <c r="F62" i="1"/>
  <c r="F84" i="1"/>
  <c r="F106" i="1"/>
  <c r="F41" i="1"/>
  <c r="F63" i="1"/>
  <c r="F85" i="1"/>
  <c r="F107" i="1"/>
  <c r="F42" i="1"/>
  <c r="F64" i="1"/>
  <c r="F86" i="1"/>
  <c r="F36" i="1"/>
  <c r="F43" i="1"/>
  <c r="F65" i="1"/>
  <c r="F87" i="1"/>
  <c r="F44" i="1"/>
  <c r="F66" i="1"/>
  <c r="F88" i="1"/>
  <c r="F45" i="1"/>
  <c r="F67" i="1"/>
  <c r="F89" i="1"/>
  <c r="F46" i="1"/>
  <c r="F68" i="1"/>
  <c r="F90" i="1"/>
  <c r="F47" i="1"/>
  <c r="F69" i="1"/>
  <c r="F91" i="1"/>
  <c r="F48" i="1"/>
  <c r="F70" i="1"/>
  <c r="F92" i="1"/>
  <c r="F49" i="1"/>
  <c r="F71" i="1"/>
  <c r="F93" i="1"/>
  <c r="F50" i="1"/>
  <c r="F72" i="1"/>
  <c r="F94" i="1"/>
  <c r="F51" i="1"/>
  <c r="F73" i="1"/>
  <c r="F95" i="1"/>
  <c r="F52" i="1"/>
  <c r="F74" i="1"/>
  <c r="F96" i="1"/>
  <c r="F53" i="1"/>
  <c r="F75" i="1"/>
  <c r="F97" i="1"/>
  <c r="F54" i="1"/>
  <c r="F76" i="1"/>
  <c r="F98" i="1"/>
  <c r="F55" i="1"/>
  <c r="F56" i="1"/>
  <c r="F57" i="1"/>
  <c r="F58" i="1"/>
  <c r="F77" i="1"/>
  <c r="F78" i="1"/>
  <c r="F79" i="1"/>
  <c r="F80" i="1"/>
  <c r="F99" i="1"/>
  <c r="F100" i="1"/>
  <c r="F101" i="1"/>
  <c r="F102" i="1"/>
  <c r="Y11" i="1"/>
  <c r="M11" i="1"/>
  <c r="K11" i="1"/>
  <c r="W11" i="1"/>
  <c r="U11" i="1"/>
  <c r="S11" i="1"/>
  <c r="Q11" i="1"/>
  <c r="O11" i="1"/>
  <c r="B11" i="2"/>
  <c r="M11" i="2" a="1"/>
  <c r="I11" i="2" a="1"/>
  <c r="D11" i="2" a="1"/>
  <c r="E11" i="2" a="1"/>
  <c r="F11" i="2" a="1"/>
  <c r="H11" i="2" a="1"/>
  <c r="N11" i="2" a="1"/>
  <c r="L11" i="2" a="1"/>
  <c r="K11" i="2" a="1"/>
  <c r="G11" i="2" a="1"/>
  <c r="J11" i="2" a="1"/>
  <c r="F11" i="5" l="1"/>
  <c r="F12" i="5"/>
  <c r="F10" i="5"/>
  <c r="D11" i="2"/>
  <c r="K11" i="2"/>
  <c r="I11" i="2"/>
  <c r="H11" i="2"/>
  <c r="E11" i="2"/>
  <c r="M11" i="2"/>
  <c r="J11" i="2"/>
  <c r="G11" i="2"/>
  <c r="L11" i="2"/>
  <c r="N11" i="2"/>
  <c r="F11"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8168">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1"/>
        </ext>
      </extLst>
    </bk>
    <bk>
      <extLst>
        <ext uri="{3e2802c4-a4d2-4d8b-9148-e3be6c30e623}">
          <xlrd:rvb i="202"/>
        </ext>
      </extLst>
    </bk>
    <bk>
      <extLst>
        <ext uri="{3e2802c4-a4d2-4d8b-9148-e3be6c30e623}">
          <xlrd:rvb i="203"/>
        </ext>
      </extLst>
    </bk>
    <bk>
      <extLst>
        <ext uri="{3e2802c4-a4d2-4d8b-9148-e3be6c30e623}">
          <xlrd:rvb i="204"/>
        </ext>
      </extLst>
    </bk>
    <bk>
      <extLst>
        <ext uri="{3e2802c4-a4d2-4d8b-9148-e3be6c30e623}">
          <xlrd:rvb i="205"/>
        </ext>
      </extLst>
    </bk>
    <bk>
      <extLst>
        <ext uri="{3e2802c4-a4d2-4d8b-9148-e3be6c30e623}">
          <xlrd:rvb i="206"/>
        </ext>
      </extLst>
    </bk>
    <bk>
      <extLst>
        <ext uri="{3e2802c4-a4d2-4d8b-9148-e3be6c30e623}">
          <xlrd:rvb i="207"/>
        </ext>
      </extLst>
    </bk>
    <bk>
      <extLst>
        <ext uri="{3e2802c4-a4d2-4d8b-9148-e3be6c30e623}">
          <xlrd:rvb i="208"/>
        </ext>
      </extLst>
    </bk>
    <bk>
      <extLst>
        <ext uri="{3e2802c4-a4d2-4d8b-9148-e3be6c30e623}">
          <xlrd:rvb i="209"/>
        </ext>
      </extLst>
    </bk>
    <bk>
      <extLst>
        <ext uri="{3e2802c4-a4d2-4d8b-9148-e3be6c30e623}">
          <xlrd:rvb i="210"/>
        </ext>
      </extLst>
    </bk>
    <bk>
      <extLst>
        <ext uri="{3e2802c4-a4d2-4d8b-9148-e3be6c30e623}">
          <xlrd:rvb i="211"/>
        </ext>
      </extLst>
    </bk>
    <bk>
      <extLst>
        <ext uri="{3e2802c4-a4d2-4d8b-9148-e3be6c30e623}">
          <xlrd:rvb i="212"/>
        </ext>
      </extLst>
    </bk>
    <bk>
      <extLst>
        <ext uri="{3e2802c4-a4d2-4d8b-9148-e3be6c30e623}">
          <xlrd:rvb i="213"/>
        </ext>
      </extLst>
    </bk>
    <bk>
      <extLst>
        <ext uri="{3e2802c4-a4d2-4d8b-9148-e3be6c30e623}">
          <xlrd:rvb i="214"/>
        </ext>
      </extLst>
    </bk>
    <bk>
      <extLst>
        <ext uri="{3e2802c4-a4d2-4d8b-9148-e3be6c30e623}">
          <xlrd:rvb i="215"/>
        </ext>
      </extLst>
    </bk>
    <bk>
      <extLst>
        <ext uri="{3e2802c4-a4d2-4d8b-9148-e3be6c30e623}">
          <xlrd:rvb i="216"/>
        </ext>
      </extLst>
    </bk>
    <bk>
      <extLst>
        <ext uri="{3e2802c4-a4d2-4d8b-9148-e3be6c30e623}">
          <xlrd:rvb i="217"/>
        </ext>
      </extLst>
    </bk>
    <bk>
      <extLst>
        <ext uri="{3e2802c4-a4d2-4d8b-9148-e3be6c30e623}">
          <xlrd:rvb i="218"/>
        </ext>
      </extLst>
    </bk>
    <bk>
      <extLst>
        <ext uri="{3e2802c4-a4d2-4d8b-9148-e3be6c30e623}">
          <xlrd:rvb i="219"/>
        </ext>
      </extLst>
    </bk>
    <bk>
      <extLst>
        <ext uri="{3e2802c4-a4d2-4d8b-9148-e3be6c30e623}">
          <xlrd:rvb i="220"/>
        </ext>
      </extLst>
    </bk>
    <bk>
      <extLst>
        <ext uri="{3e2802c4-a4d2-4d8b-9148-e3be6c30e623}">
          <xlrd:rvb i="221"/>
        </ext>
      </extLst>
    </bk>
    <bk>
      <extLst>
        <ext uri="{3e2802c4-a4d2-4d8b-9148-e3be6c30e623}">
          <xlrd:rvb i="222"/>
        </ext>
      </extLst>
    </bk>
    <bk>
      <extLst>
        <ext uri="{3e2802c4-a4d2-4d8b-9148-e3be6c30e623}">
          <xlrd:rvb i="223"/>
        </ext>
      </extLst>
    </bk>
    <bk>
      <extLst>
        <ext uri="{3e2802c4-a4d2-4d8b-9148-e3be6c30e623}">
          <xlrd:rvb i="224"/>
        </ext>
      </extLst>
    </bk>
    <bk>
      <extLst>
        <ext uri="{3e2802c4-a4d2-4d8b-9148-e3be6c30e623}">
          <xlrd:rvb i="225"/>
        </ext>
      </extLst>
    </bk>
    <bk>
      <extLst>
        <ext uri="{3e2802c4-a4d2-4d8b-9148-e3be6c30e623}">
          <xlrd:rvb i="226"/>
        </ext>
      </extLst>
    </bk>
    <bk>
      <extLst>
        <ext uri="{3e2802c4-a4d2-4d8b-9148-e3be6c30e623}">
          <xlrd:rvb i="227"/>
        </ext>
      </extLst>
    </bk>
    <bk>
      <extLst>
        <ext uri="{3e2802c4-a4d2-4d8b-9148-e3be6c30e623}">
          <xlrd:rvb i="228"/>
        </ext>
      </extLst>
    </bk>
    <bk>
      <extLst>
        <ext uri="{3e2802c4-a4d2-4d8b-9148-e3be6c30e623}">
          <xlrd:rvb i="229"/>
        </ext>
      </extLst>
    </bk>
    <bk>
      <extLst>
        <ext uri="{3e2802c4-a4d2-4d8b-9148-e3be6c30e623}">
          <xlrd:rvb i="230"/>
        </ext>
      </extLst>
    </bk>
    <bk>
      <extLst>
        <ext uri="{3e2802c4-a4d2-4d8b-9148-e3be6c30e623}">
          <xlrd:rvb i="231"/>
        </ext>
      </extLst>
    </bk>
    <bk>
      <extLst>
        <ext uri="{3e2802c4-a4d2-4d8b-9148-e3be6c30e623}">
          <xlrd:rvb i="232"/>
        </ext>
      </extLst>
    </bk>
    <bk>
      <extLst>
        <ext uri="{3e2802c4-a4d2-4d8b-9148-e3be6c30e623}">
          <xlrd:rvb i="233"/>
        </ext>
      </extLst>
    </bk>
    <bk>
      <extLst>
        <ext uri="{3e2802c4-a4d2-4d8b-9148-e3be6c30e623}">
          <xlrd:rvb i="234"/>
        </ext>
      </extLst>
    </bk>
    <bk>
      <extLst>
        <ext uri="{3e2802c4-a4d2-4d8b-9148-e3be6c30e623}">
          <xlrd:rvb i="235"/>
        </ext>
      </extLst>
    </bk>
    <bk>
      <extLst>
        <ext uri="{3e2802c4-a4d2-4d8b-9148-e3be6c30e623}">
          <xlrd:rvb i="236"/>
        </ext>
      </extLst>
    </bk>
    <bk>
      <extLst>
        <ext uri="{3e2802c4-a4d2-4d8b-9148-e3be6c30e623}">
          <xlrd:rvb i="237"/>
        </ext>
      </extLst>
    </bk>
    <bk>
      <extLst>
        <ext uri="{3e2802c4-a4d2-4d8b-9148-e3be6c30e623}">
          <xlrd:rvb i="238"/>
        </ext>
      </extLst>
    </bk>
    <bk>
      <extLst>
        <ext uri="{3e2802c4-a4d2-4d8b-9148-e3be6c30e623}">
          <xlrd:rvb i="239"/>
        </ext>
      </extLst>
    </bk>
    <bk>
      <extLst>
        <ext uri="{3e2802c4-a4d2-4d8b-9148-e3be6c30e623}">
          <xlrd:rvb i="240"/>
        </ext>
      </extLst>
    </bk>
    <bk>
      <extLst>
        <ext uri="{3e2802c4-a4d2-4d8b-9148-e3be6c30e623}">
          <xlrd:rvb i="241"/>
        </ext>
      </extLst>
    </bk>
    <bk>
      <extLst>
        <ext uri="{3e2802c4-a4d2-4d8b-9148-e3be6c30e623}">
          <xlrd:rvb i="242"/>
        </ext>
      </extLst>
    </bk>
    <bk>
      <extLst>
        <ext uri="{3e2802c4-a4d2-4d8b-9148-e3be6c30e623}">
          <xlrd:rvb i="243"/>
        </ext>
      </extLst>
    </bk>
    <bk>
      <extLst>
        <ext uri="{3e2802c4-a4d2-4d8b-9148-e3be6c30e623}">
          <xlrd:rvb i="244"/>
        </ext>
      </extLst>
    </bk>
    <bk>
      <extLst>
        <ext uri="{3e2802c4-a4d2-4d8b-9148-e3be6c30e623}">
          <xlrd:rvb i="245"/>
        </ext>
      </extLst>
    </bk>
    <bk>
      <extLst>
        <ext uri="{3e2802c4-a4d2-4d8b-9148-e3be6c30e623}">
          <xlrd:rvb i="246"/>
        </ext>
      </extLst>
    </bk>
    <bk>
      <extLst>
        <ext uri="{3e2802c4-a4d2-4d8b-9148-e3be6c30e623}">
          <xlrd:rvb i="247"/>
        </ext>
      </extLst>
    </bk>
    <bk>
      <extLst>
        <ext uri="{3e2802c4-a4d2-4d8b-9148-e3be6c30e623}">
          <xlrd:rvb i="248"/>
        </ext>
      </extLst>
    </bk>
    <bk>
      <extLst>
        <ext uri="{3e2802c4-a4d2-4d8b-9148-e3be6c30e623}">
          <xlrd:rvb i="249"/>
        </ext>
      </extLst>
    </bk>
    <bk>
      <extLst>
        <ext uri="{3e2802c4-a4d2-4d8b-9148-e3be6c30e623}">
          <xlrd:rvb i="250"/>
        </ext>
      </extLst>
    </bk>
    <bk>
      <extLst>
        <ext uri="{3e2802c4-a4d2-4d8b-9148-e3be6c30e623}">
          <xlrd:rvb i="251"/>
        </ext>
      </extLst>
    </bk>
    <bk>
      <extLst>
        <ext uri="{3e2802c4-a4d2-4d8b-9148-e3be6c30e623}">
          <xlrd:rvb i="252"/>
        </ext>
      </extLst>
    </bk>
    <bk>
      <extLst>
        <ext uri="{3e2802c4-a4d2-4d8b-9148-e3be6c30e623}">
          <xlrd:rvb i="253"/>
        </ext>
      </extLst>
    </bk>
    <bk>
      <extLst>
        <ext uri="{3e2802c4-a4d2-4d8b-9148-e3be6c30e623}">
          <xlrd:rvb i="254"/>
        </ext>
      </extLst>
    </bk>
    <bk>
      <extLst>
        <ext uri="{3e2802c4-a4d2-4d8b-9148-e3be6c30e623}">
          <xlrd:rvb i="255"/>
        </ext>
      </extLst>
    </bk>
    <bk>
      <extLst>
        <ext uri="{3e2802c4-a4d2-4d8b-9148-e3be6c30e623}">
          <xlrd:rvb i="256"/>
        </ext>
      </extLst>
    </bk>
    <bk>
      <extLst>
        <ext uri="{3e2802c4-a4d2-4d8b-9148-e3be6c30e623}">
          <xlrd:rvb i="257"/>
        </ext>
      </extLst>
    </bk>
    <bk>
      <extLst>
        <ext uri="{3e2802c4-a4d2-4d8b-9148-e3be6c30e623}">
          <xlrd:rvb i="258"/>
        </ext>
      </extLst>
    </bk>
    <bk>
      <extLst>
        <ext uri="{3e2802c4-a4d2-4d8b-9148-e3be6c30e623}">
          <xlrd:rvb i="259"/>
        </ext>
      </extLst>
    </bk>
    <bk>
      <extLst>
        <ext uri="{3e2802c4-a4d2-4d8b-9148-e3be6c30e623}">
          <xlrd:rvb i="260"/>
        </ext>
      </extLst>
    </bk>
    <bk>
      <extLst>
        <ext uri="{3e2802c4-a4d2-4d8b-9148-e3be6c30e623}">
          <xlrd:rvb i="261"/>
        </ext>
      </extLst>
    </bk>
    <bk>
      <extLst>
        <ext uri="{3e2802c4-a4d2-4d8b-9148-e3be6c30e623}">
          <xlrd:rvb i="262"/>
        </ext>
      </extLst>
    </bk>
    <bk>
      <extLst>
        <ext uri="{3e2802c4-a4d2-4d8b-9148-e3be6c30e623}">
          <xlrd:rvb i="263"/>
        </ext>
      </extLst>
    </bk>
    <bk>
      <extLst>
        <ext uri="{3e2802c4-a4d2-4d8b-9148-e3be6c30e623}">
          <xlrd:rvb i="264"/>
        </ext>
      </extLst>
    </bk>
    <bk>
      <extLst>
        <ext uri="{3e2802c4-a4d2-4d8b-9148-e3be6c30e623}">
          <xlrd:rvb i="265"/>
        </ext>
      </extLst>
    </bk>
    <bk>
      <extLst>
        <ext uri="{3e2802c4-a4d2-4d8b-9148-e3be6c30e623}">
          <xlrd:rvb i="266"/>
        </ext>
      </extLst>
    </bk>
    <bk>
      <extLst>
        <ext uri="{3e2802c4-a4d2-4d8b-9148-e3be6c30e623}">
          <xlrd:rvb i="267"/>
        </ext>
      </extLst>
    </bk>
    <bk>
      <extLst>
        <ext uri="{3e2802c4-a4d2-4d8b-9148-e3be6c30e623}">
          <xlrd:rvb i="268"/>
        </ext>
      </extLst>
    </bk>
    <bk>
      <extLst>
        <ext uri="{3e2802c4-a4d2-4d8b-9148-e3be6c30e623}">
          <xlrd:rvb i="269"/>
        </ext>
      </extLst>
    </bk>
    <bk>
      <extLst>
        <ext uri="{3e2802c4-a4d2-4d8b-9148-e3be6c30e623}">
          <xlrd:rvb i="270"/>
        </ext>
      </extLst>
    </bk>
    <bk>
      <extLst>
        <ext uri="{3e2802c4-a4d2-4d8b-9148-e3be6c30e623}">
          <xlrd:rvb i="271"/>
        </ext>
      </extLst>
    </bk>
    <bk>
      <extLst>
        <ext uri="{3e2802c4-a4d2-4d8b-9148-e3be6c30e623}">
          <xlrd:rvb i="272"/>
        </ext>
      </extLst>
    </bk>
    <bk>
      <extLst>
        <ext uri="{3e2802c4-a4d2-4d8b-9148-e3be6c30e623}">
          <xlrd:rvb i="273"/>
        </ext>
      </extLst>
    </bk>
    <bk>
      <extLst>
        <ext uri="{3e2802c4-a4d2-4d8b-9148-e3be6c30e623}">
          <xlrd:rvb i="274"/>
        </ext>
      </extLst>
    </bk>
    <bk>
      <extLst>
        <ext uri="{3e2802c4-a4d2-4d8b-9148-e3be6c30e623}">
          <xlrd:rvb i="275"/>
        </ext>
      </extLst>
    </bk>
    <bk>
      <extLst>
        <ext uri="{3e2802c4-a4d2-4d8b-9148-e3be6c30e623}">
          <xlrd:rvb i="276"/>
        </ext>
      </extLst>
    </bk>
    <bk>
      <extLst>
        <ext uri="{3e2802c4-a4d2-4d8b-9148-e3be6c30e623}">
          <xlrd:rvb i="277"/>
        </ext>
      </extLst>
    </bk>
    <bk>
      <extLst>
        <ext uri="{3e2802c4-a4d2-4d8b-9148-e3be6c30e623}">
          <xlrd:rvb i="278"/>
        </ext>
      </extLst>
    </bk>
    <bk>
      <extLst>
        <ext uri="{3e2802c4-a4d2-4d8b-9148-e3be6c30e623}">
          <xlrd:rvb i="279"/>
        </ext>
      </extLst>
    </bk>
    <bk>
      <extLst>
        <ext uri="{3e2802c4-a4d2-4d8b-9148-e3be6c30e623}">
          <xlrd:rvb i="280"/>
        </ext>
      </extLst>
    </bk>
    <bk>
      <extLst>
        <ext uri="{3e2802c4-a4d2-4d8b-9148-e3be6c30e623}">
          <xlrd:rvb i="281"/>
        </ext>
      </extLst>
    </bk>
    <bk>
      <extLst>
        <ext uri="{3e2802c4-a4d2-4d8b-9148-e3be6c30e623}">
          <xlrd:rvb i="282"/>
        </ext>
      </extLst>
    </bk>
    <bk>
      <extLst>
        <ext uri="{3e2802c4-a4d2-4d8b-9148-e3be6c30e623}">
          <xlrd:rvb i="283"/>
        </ext>
      </extLst>
    </bk>
    <bk>
      <extLst>
        <ext uri="{3e2802c4-a4d2-4d8b-9148-e3be6c30e623}">
          <xlrd:rvb i="284"/>
        </ext>
      </extLst>
    </bk>
    <bk>
      <extLst>
        <ext uri="{3e2802c4-a4d2-4d8b-9148-e3be6c30e623}">
          <xlrd:rvb i="285"/>
        </ext>
      </extLst>
    </bk>
    <bk>
      <extLst>
        <ext uri="{3e2802c4-a4d2-4d8b-9148-e3be6c30e623}">
          <xlrd:rvb i="286"/>
        </ext>
      </extLst>
    </bk>
    <bk>
      <extLst>
        <ext uri="{3e2802c4-a4d2-4d8b-9148-e3be6c30e623}">
          <xlrd:rvb i="287"/>
        </ext>
      </extLst>
    </bk>
    <bk>
      <extLst>
        <ext uri="{3e2802c4-a4d2-4d8b-9148-e3be6c30e623}">
          <xlrd:rvb i="288"/>
        </ext>
      </extLst>
    </bk>
    <bk>
      <extLst>
        <ext uri="{3e2802c4-a4d2-4d8b-9148-e3be6c30e623}">
          <xlrd:rvb i="289"/>
        </ext>
      </extLst>
    </bk>
    <bk>
      <extLst>
        <ext uri="{3e2802c4-a4d2-4d8b-9148-e3be6c30e623}">
          <xlrd:rvb i="290"/>
        </ext>
      </extLst>
    </bk>
    <bk>
      <extLst>
        <ext uri="{3e2802c4-a4d2-4d8b-9148-e3be6c30e623}">
          <xlrd:rvb i="291"/>
        </ext>
      </extLst>
    </bk>
    <bk>
      <extLst>
        <ext uri="{3e2802c4-a4d2-4d8b-9148-e3be6c30e623}">
          <xlrd:rvb i="292"/>
        </ext>
      </extLst>
    </bk>
    <bk>
      <extLst>
        <ext uri="{3e2802c4-a4d2-4d8b-9148-e3be6c30e623}">
          <xlrd:rvb i="293"/>
        </ext>
      </extLst>
    </bk>
    <bk>
      <extLst>
        <ext uri="{3e2802c4-a4d2-4d8b-9148-e3be6c30e623}">
          <xlrd:rvb i="294"/>
        </ext>
      </extLst>
    </bk>
    <bk>
      <extLst>
        <ext uri="{3e2802c4-a4d2-4d8b-9148-e3be6c30e623}">
          <xlrd:rvb i="295"/>
        </ext>
      </extLst>
    </bk>
    <bk>
      <extLst>
        <ext uri="{3e2802c4-a4d2-4d8b-9148-e3be6c30e623}">
          <xlrd:rvb i="296"/>
        </ext>
      </extLst>
    </bk>
    <bk>
      <extLst>
        <ext uri="{3e2802c4-a4d2-4d8b-9148-e3be6c30e623}">
          <xlrd:rvb i="297"/>
        </ext>
      </extLst>
    </bk>
    <bk>
      <extLst>
        <ext uri="{3e2802c4-a4d2-4d8b-9148-e3be6c30e623}">
          <xlrd:rvb i="298"/>
        </ext>
      </extLst>
    </bk>
    <bk>
      <extLst>
        <ext uri="{3e2802c4-a4d2-4d8b-9148-e3be6c30e623}">
          <xlrd:rvb i="299"/>
        </ext>
      </extLst>
    </bk>
    <bk>
      <extLst>
        <ext uri="{3e2802c4-a4d2-4d8b-9148-e3be6c30e623}">
          <xlrd:rvb i="300"/>
        </ext>
      </extLst>
    </bk>
    <bk>
      <extLst>
        <ext uri="{3e2802c4-a4d2-4d8b-9148-e3be6c30e623}">
          <xlrd:rvb i="301"/>
        </ext>
      </extLst>
    </bk>
    <bk>
      <extLst>
        <ext uri="{3e2802c4-a4d2-4d8b-9148-e3be6c30e623}">
          <xlrd:rvb i="302"/>
        </ext>
      </extLst>
    </bk>
    <bk>
      <extLst>
        <ext uri="{3e2802c4-a4d2-4d8b-9148-e3be6c30e623}">
          <xlrd:rvb i="303"/>
        </ext>
      </extLst>
    </bk>
    <bk>
      <extLst>
        <ext uri="{3e2802c4-a4d2-4d8b-9148-e3be6c30e623}">
          <xlrd:rvb i="304"/>
        </ext>
      </extLst>
    </bk>
    <bk>
      <extLst>
        <ext uri="{3e2802c4-a4d2-4d8b-9148-e3be6c30e623}">
          <xlrd:rvb i="305"/>
        </ext>
      </extLst>
    </bk>
    <bk>
      <extLst>
        <ext uri="{3e2802c4-a4d2-4d8b-9148-e3be6c30e623}">
          <xlrd:rvb i="306"/>
        </ext>
      </extLst>
    </bk>
    <bk>
      <extLst>
        <ext uri="{3e2802c4-a4d2-4d8b-9148-e3be6c30e623}">
          <xlrd:rvb i="307"/>
        </ext>
      </extLst>
    </bk>
    <bk>
      <extLst>
        <ext uri="{3e2802c4-a4d2-4d8b-9148-e3be6c30e623}">
          <xlrd:rvb i="308"/>
        </ext>
      </extLst>
    </bk>
    <bk>
      <extLst>
        <ext uri="{3e2802c4-a4d2-4d8b-9148-e3be6c30e623}">
          <xlrd:rvb i="309"/>
        </ext>
      </extLst>
    </bk>
    <bk>
      <extLst>
        <ext uri="{3e2802c4-a4d2-4d8b-9148-e3be6c30e623}">
          <xlrd:rvb i="310"/>
        </ext>
      </extLst>
    </bk>
    <bk>
      <extLst>
        <ext uri="{3e2802c4-a4d2-4d8b-9148-e3be6c30e623}">
          <xlrd:rvb i="311"/>
        </ext>
      </extLst>
    </bk>
    <bk>
      <extLst>
        <ext uri="{3e2802c4-a4d2-4d8b-9148-e3be6c30e623}">
          <xlrd:rvb i="312"/>
        </ext>
      </extLst>
    </bk>
    <bk>
      <extLst>
        <ext uri="{3e2802c4-a4d2-4d8b-9148-e3be6c30e623}">
          <xlrd:rvb i="313"/>
        </ext>
      </extLst>
    </bk>
    <bk>
      <extLst>
        <ext uri="{3e2802c4-a4d2-4d8b-9148-e3be6c30e623}">
          <xlrd:rvb i="314"/>
        </ext>
      </extLst>
    </bk>
    <bk>
      <extLst>
        <ext uri="{3e2802c4-a4d2-4d8b-9148-e3be6c30e623}">
          <xlrd:rvb i="315"/>
        </ext>
      </extLst>
    </bk>
    <bk>
      <extLst>
        <ext uri="{3e2802c4-a4d2-4d8b-9148-e3be6c30e623}">
          <xlrd:rvb i="316"/>
        </ext>
      </extLst>
    </bk>
    <bk>
      <extLst>
        <ext uri="{3e2802c4-a4d2-4d8b-9148-e3be6c30e623}">
          <xlrd:rvb i="317"/>
        </ext>
      </extLst>
    </bk>
    <bk>
      <extLst>
        <ext uri="{3e2802c4-a4d2-4d8b-9148-e3be6c30e623}">
          <xlrd:rvb i="318"/>
        </ext>
      </extLst>
    </bk>
    <bk>
      <extLst>
        <ext uri="{3e2802c4-a4d2-4d8b-9148-e3be6c30e623}">
          <xlrd:rvb i="319"/>
        </ext>
      </extLst>
    </bk>
    <bk>
      <extLst>
        <ext uri="{3e2802c4-a4d2-4d8b-9148-e3be6c30e623}">
          <xlrd:rvb i="320"/>
        </ext>
      </extLst>
    </bk>
    <bk>
      <extLst>
        <ext uri="{3e2802c4-a4d2-4d8b-9148-e3be6c30e623}">
          <xlrd:rvb i="321"/>
        </ext>
      </extLst>
    </bk>
    <bk>
      <extLst>
        <ext uri="{3e2802c4-a4d2-4d8b-9148-e3be6c30e623}">
          <xlrd:rvb i="322"/>
        </ext>
      </extLst>
    </bk>
    <bk>
      <extLst>
        <ext uri="{3e2802c4-a4d2-4d8b-9148-e3be6c30e623}">
          <xlrd:rvb i="323"/>
        </ext>
      </extLst>
    </bk>
    <bk>
      <extLst>
        <ext uri="{3e2802c4-a4d2-4d8b-9148-e3be6c30e623}">
          <xlrd:rvb i="324"/>
        </ext>
      </extLst>
    </bk>
    <bk>
      <extLst>
        <ext uri="{3e2802c4-a4d2-4d8b-9148-e3be6c30e623}">
          <xlrd:rvb i="325"/>
        </ext>
      </extLst>
    </bk>
    <bk>
      <extLst>
        <ext uri="{3e2802c4-a4d2-4d8b-9148-e3be6c30e623}">
          <xlrd:rvb i="326"/>
        </ext>
      </extLst>
    </bk>
    <bk>
      <extLst>
        <ext uri="{3e2802c4-a4d2-4d8b-9148-e3be6c30e623}">
          <xlrd:rvb i="327"/>
        </ext>
      </extLst>
    </bk>
    <bk>
      <extLst>
        <ext uri="{3e2802c4-a4d2-4d8b-9148-e3be6c30e623}">
          <xlrd:rvb i="328"/>
        </ext>
      </extLst>
    </bk>
    <bk>
      <extLst>
        <ext uri="{3e2802c4-a4d2-4d8b-9148-e3be6c30e623}">
          <xlrd:rvb i="329"/>
        </ext>
      </extLst>
    </bk>
    <bk>
      <extLst>
        <ext uri="{3e2802c4-a4d2-4d8b-9148-e3be6c30e623}">
          <xlrd:rvb i="330"/>
        </ext>
      </extLst>
    </bk>
    <bk>
      <extLst>
        <ext uri="{3e2802c4-a4d2-4d8b-9148-e3be6c30e623}">
          <xlrd:rvb i="331"/>
        </ext>
      </extLst>
    </bk>
    <bk>
      <extLst>
        <ext uri="{3e2802c4-a4d2-4d8b-9148-e3be6c30e623}">
          <xlrd:rvb i="332"/>
        </ext>
      </extLst>
    </bk>
    <bk>
      <extLst>
        <ext uri="{3e2802c4-a4d2-4d8b-9148-e3be6c30e623}">
          <xlrd:rvb i="333"/>
        </ext>
      </extLst>
    </bk>
    <bk>
      <extLst>
        <ext uri="{3e2802c4-a4d2-4d8b-9148-e3be6c30e623}">
          <xlrd:rvb i="334"/>
        </ext>
      </extLst>
    </bk>
    <bk>
      <extLst>
        <ext uri="{3e2802c4-a4d2-4d8b-9148-e3be6c30e623}">
          <xlrd:rvb i="335"/>
        </ext>
      </extLst>
    </bk>
    <bk>
      <extLst>
        <ext uri="{3e2802c4-a4d2-4d8b-9148-e3be6c30e623}">
          <xlrd:rvb i="336"/>
        </ext>
      </extLst>
    </bk>
    <bk>
      <extLst>
        <ext uri="{3e2802c4-a4d2-4d8b-9148-e3be6c30e623}">
          <xlrd:rvb i="337"/>
        </ext>
      </extLst>
    </bk>
    <bk>
      <extLst>
        <ext uri="{3e2802c4-a4d2-4d8b-9148-e3be6c30e623}">
          <xlrd:rvb i="338"/>
        </ext>
      </extLst>
    </bk>
    <bk>
      <extLst>
        <ext uri="{3e2802c4-a4d2-4d8b-9148-e3be6c30e623}">
          <xlrd:rvb i="339"/>
        </ext>
      </extLst>
    </bk>
    <bk>
      <extLst>
        <ext uri="{3e2802c4-a4d2-4d8b-9148-e3be6c30e623}">
          <xlrd:rvb i="340"/>
        </ext>
      </extLst>
    </bk>
    <bk>
      <extLst>
        <ext uri="{3e2802c4-a4d2-4d8b-9148-e3be6c30e623}">
          <xlrd:rvb i="341"/>
        </ext>
      </extLst>
    </bk>
    <bk>
      <extLst>
        <ext uri="{3e2802c4-a4d2-4d8b-9148-e3be6c30e623}">
          <xlrd:rvb i="342"/>
        </ext>
      </extLst>
    </bk>
    <bk>
      <extLst>
        <ext uri="{3e2802c4-a4d2-4d8b-9148-e3be6c30e623}">
          <xlrd:rvb i="343"/>
        </ext>
      </extLst>
    </bk>
    <bk>
      <extLst>
        <ext uri="{3e2802c4-a4d2-4d8b-9148-e3be6c30e623}">
          <xlrd:rvb i="344"/>
        </ext>
      </extLst>
    </bk>
    <bk>
      <extLst>
        <ext uri="{3e2802c4-a4d2-4d8b-9148-e3be6c30e623}">
          <xlrd:rvb i="345"/>
        </ext>
      </extLst>
    </bk>
    <bk>
      <extLst>
        <ext uri="{3e2802c4-a4d2-4d8b-9148-e3be6c30e623}">
          <xlrd:rvb i="346"/>
        </ext>
      </extLst>
    </bk>
    <bk>
      <extLst>
        <ext uri="{3e2802c4-a4d2-4d8b-9148-e3be6c30e623}">
          <xlrd:rvb i="347"/>
        </ext>
      </extLst>
    </bk>
    <bk>
      <extLst>
        <ext uri="{3e2802c4-a4d2-4d8b-9148-e3be6c30e623}">
          <xlrd:rvb i="348"/>
        </ext>
      </extLst>
    </bk>
    <bk>
      <extLst>
        <ext uri="{3e2802c4-a4d2-4d8b-9148-e3be6c30e623}">
          <xlrd:rvb i="349"/>
        </ext>
      </extLst>
    </bk>
    <bk>
      <extLst>
        <ext uri="{3e2802c4-a4d2-4d8b-9148-e3be6c30e623}">
          <xlrd:rvb i="350"/>
        </ext>
      </extLst>
    </bk>
    <bk>
      <extLst>
        <ext uri="{3e2802c4-a4d2-4d8b-9148-e3be6c30e623}">
          <xlrd:rvb i="351"/>
        </ext>
      </extLst>
    </bk>
    <bk>
      <extLst>
        <ext uri="{3e2802c4-a4d2-4d8b-9148-e3be6c30e623}">
          <xlrd:rvb i="352"/>
        </ext>
      </extLst>
    </bk>
    <bk>
      <extLst>
        <ext uri="{3e2802c4-a4d2-4d8b-9148-e3be6c30e623}">
          <xlrd:rvb i="353"/>
        </ext>
      </extLst>
    </bk>
    <bk>
      <extLst>
        <ext uri="{3e2802c4-a4d2-4d8b-9148-e3be6c30e623}">
          <xlrd:rvb i="354"/>
        </ext>
      </extLst>
    </bk>
    <bk>
      <extLst>
        <ext uri="{3e2802c4-a4d2-4d8b-9148-e3be6c30e623}">
          <xlrd:rvb i="355"/>
        </ext>
      </extLst>
    </bk>
    <bk>
      <extLst>
        <ext uri="{3e2802c4-a4d2-4d8b-9148-e3be6c30e623}">
          <xlrd:rvb i="356"/>
        </ext>
      </extLst>
    </bk>
    <bk>
      <extLst>
        <ext uri="{3e2802c4-a4d2-4d8b-9148-e3be6c30e623}">
          <xlrd:rvb i="357"/>
        </ext>
      </extLst>
    </bk>
    <bk>
      <extLst>
        <ext uri="{3e2802c4-a4d2-4d8b-9148-e3be6c30e623}">
          <xlrd:rvb i="358"/>
        </ext>
      </extLst>
    </bk>
    <bk>
      <extLst>
        <ext uri="{3e2802c4-a4d2-4d8b-9148-e3be6c30e623}">
          <xlrd:rvb i="359"/>
        </ext>
      </extLst>
    </bk>
    <bk>
      <extLst>
        <ext uri="{3e2802c4-a4d2-4d8b-9148-e3be6c30e623}">
          <xlrd:rvb i="360"/>
        </ext>
      </extLst>
    </bk>
    <bk>
      <extLst>
        <ext uri="{3e2802c4-a4d2-4d8b-9148-e3be6c30e623}">
          <xlrd:rvb i="361"/>
        </ext>
      </extLst>
    </bk>
    <bk>
      <extLst>
        <ext uri="{3e2802c4-a4d2-4d8b-9148-e3be6c30e623}">
          <xlrd:rvb i="362"/>
        </ext>
      </extLst>
    </bk>
    <bk>
      <extLst>
        <ext uri="{3e2802c4-a4d2-4d8b-9148-e3be6c30e623}">
          <xlrd:rvb i="363"/>
        </ext>
      </extLst>
    </bk>
    <bk>
      <extLst>
        <ext uri="{3e2802c4-a4d2-4d8b-9148-e3be6c30e623}">
          <xlrd:rvb i="364"/>
        </ext>
      </extLst>
    </bk>
    <bk>
      <extLst>
        <ext uri="{3e2802c4-a4d2-4d8b-9148-e3be6c30e623}">
          <xlrd:rvb i="365"/>
        </ext>
      </extLst>
    </bk>
    <bk>
      <extLst>
        <ext uri="{3e2802c4-a4d2-4d8b-9148-e3be6c30e623}">
          <xlrd:rvb i="366"/>
        </ext>
      </extLst>
    </bk>
    <bk>
      <extLst>
        <ext uri="{3e2802c4-a4d2-4d8b-9148-e3be6c30e623}">
          <xlrd:rvb i="367"/>
        </ext>
      </extLst>
    </bk>
    <bk>
      <extLst>
        <ext uri="{3e2802c4-a4d2-4d8b-9148-e3be6c30e623}">
          <xlrd:rvb i="368"/>
        </ext>
      </extLst>
    </bk>
    <bk>
      <extLst>
        <ext uri="{3e2802c4-a4d2-4d8b-9148-e3be6c30e623}">
          <xlrd:rvb i="369"/>
        </ext>
      </extLst>
    </bk>
    <bk>
      <extLst>
        <ext uri="{3e2802c4-a4d2-4d8b-9148-e3be6c30e623}">
          <xlrd:rvb i="370"/>
        </ext>
      </extLst>
    </bk>
    <bk>
      <extLst>
        <ext uri="{3e2802c4-a4d2-4d8b-9148-e3be6c30e623}">
          <xlrd:rvb i="371"/>
        </ext>
      </extLst>
    </bk>
    <bk>
      <extLst>
        <ext uri="{3e2802c4-a4d2-4d8b-9148-e3be6c30e623}">
          <xlrd:rvb i="372"/>
        </ext>
      </extLst>
    </bk>
    <bk>
      <extLst>
        <ext uri="{3e2802c4-a4d2-4d8b-9148-e3be6c30e623}">
          <xlrd:rvb i="373"/>
        </ext>
      </extLst>
    </bk>
    <bk>
      <extLst>
        <ext uri="{3e2802c4-a4d2-4d8b-9148-e3be6c30e623}">
          <xlrd:rvb i="374"/>
        </ext>
      </extLst>
    </bk>
    <bk>
      <extLst>
        <ext uri="{3e2802c4-a4d2-4d8b-9148-e3be6c30e623}">
          <xlrd:rvb i="375"/>
        </ext>
      </extLst>
    </bk>
    <bk>
      <extLst>
        <ext uri="{3e2802c4-a4d2-4d8b-9148-e3be6c30e623}">
          <xlrd:rvb i="376"/>
        </ext>
      </extLst>
    </bk>
    <bk>
      <extLst>
        <ext uri="{3e2802c4-a4d2-4d8b-9148-e3be6c30e623}">
          <xlrd:rvb i="377"/>
        </ext>
      </extLst>
    </bk>
    <bk>
      <extLst>
        <ext uri="{3e2802c4-a4d2-4d8b-9148-e3be6c30e623}">
          <xlrd:rvb i="378"/>
        </ext>
      </extLst>
    </bk>
    <bk>
      <extLst>
        <ext uri="{3e2802c4-a4d2-4d8b-9148-e3be6c30e623}">
          <xlrd:rvb i="379"/>
        </ext>
      </extLst>
    </bk>
    <bk>
      <extLst>
        <ext uri="{3e2802c4-a4d2-4d8b-9148-e3be6c30e623}">
          <xlrd:rvb i="380"/>
        </ext>
      </extLst>
    </bk>
    <bk>
      <extLst>
        <ext uri="{3e2802c4-a4d2-4d8b-9148-e3be6c30e623}">
          <xlrd:rvb i="381"/>
        </ext>
      </extLst>
    </bk>
    <bk>
      <extLst>
        <ext uri="{3e2802c4-a4d2-4d8b-9148-e3be6c30e623}">
          <xlrd:rvb i="382"/>
        </ext>
      </extLst>
    </bk>
    <bk>
      <extLst>
        <ext uri="{3e2802c4-a4d2-4d8b-9148-e3be6c30e623}">
          <xlrd:rvb i="383"/>
        </ext>
      </extLst>
    </bk>
    <bk>
      <extLst>
        <ext uri="{3e2802c4-a4d2-4d8b-9148-e3be6c30e623}">
          <xlrd:rvb i="384"/>
        </ext>
      </extLst>
    </bk>
    <bk>
      <extLst>
        <ext uri="{3e2802c4-a4d2-4d8b-9148-e3be6c30e623}">
          <xlrd:rvb i="385"/>
        </ext>
      </extLst>
    </bk>
    <bk>
      <extLst>
        <ext uri="{3e2802c4-a4d2-4d8b-9148-e3be6c30e623}">
          <xlrd:rvb i="386"/>
        </ext>
      </extLst>
    </bk>
    <bk>
      <extLst>
        <ext uri="{3e2802c4-a4d2-4d8b-9148-e3be6c30e623}">
          <xlrd:rvb i="387"/>
        </ext>
      </extLst>
    </bk>
    <bk>
      <extLst>
        <ext uri="{3e2802c4-a4d2-4d8b-9148-e3be6c30e623}">
          <xlrd:rvb i="388"/>
        </ext>
      </extLst>
    </bk>
    <bk>
      <extLst>
        <ext uri="{3e2802c4-a4d2-4d8b-9148-e3be6c30e623}">
          <xlrd:rvb i="389"/>
        </ext>
      </extLst>
    </bk>
    <bk>
      <extLst>
        <ext uri="{3e2802c4-a4d2-4d8b-9148-e3be6c30e623}">
          <xlrd:rvb i="390"/>
        </ext>
      </extLst>
    </bk>
    <bk>
      <extLst>
        <ext uri="{3e2802c4-a4d2-4d8b-9148-e3be6c30e623}">
          <xlrd:rvb i="391"/>
        </ext>
      </extLst>
    </bk>
    <bk>
      <extLst>
        <ext uri="{3e2802c4-a4d2-4d8b-9148-e3be6c30e623}">
          <xlrd:rvb i="392"/>
        </ext>
      </extLst>
    </bk>
    <bk>
      <extLst>
        <ext uri="{3e2802c4-a4d2-4d8b-9148-e3be6c30e623}">
          <xlrd:rvb i="393"/>
        </ext>
      </extLst>
    </bk>
    <bk>
      <extLst>
        <ext uri="{3e2802c4-a4d2-4d8b-9148-e3be6c30e623}">
          <xlrd:rvb i="394"/>
        </ext>
      </extLst>
    </bk>
    <bk>
      <extLst>
        <ext uri="{3e2802c4-a4d2-4d8b-9148-e3be6c30e623}">
          <xlrd:rvb i="395"/>
        </ext>
      </extLst>
    </bk>
    <bk>
      <extLst>
        <ext uri="{3e2802c4-a4d2-4d8b-9148-e3be6c30e623}">
          <xlrd:rvb i="396"/>
        </ext>
      </extLst>
    </bk>
    <bk>
      <extLst>
        <ext uri="{3e2802c4-a4d2-4d8b-9148-e3be6c30e623}">
          <xlrd:rvb i="397"/>
        </ext>
      </extLst>
    </bk>
    <bk>
      <extLst>
        <ext uri="{3e2802c4-a4d2-4d8b-9148-e3be6c30e623}">
          <xlrd:rvb i="398"/>
        </ext>
      </extLst>
    </bk>
    <bk>
      <extLst>
        <ext uri="{3e2802c4-a4d2-4d8b-9148-e3be6c30e623}">
          <xlrd:rvb i="399"/>
        </ext>
      </extLst>
    </bk>
    <bk>
      <extLst>
        <ext uri="{3e2802c4-a4d2-4d8b-9148-e3be6c30e623}">
          <xlrd:rvb i="400"/>
        </ext>
      </extLst>
    </bk>
    <bk>
      <extLst>
        <ext uri="{3e2802c4-a4d2-4d8b-9148-e3be6c30e623}">
          <xlrd:rvb i="401"/>
        </ext>
      </extLst>
    </bk>
    <bk>
      <extLst>
        <ext uri="{3e2802c4-a4d2-4d8b-9148-e3be6c30e623}">
          <xlrd:rvb i="402"/>
        </ext>
      </extLst>
    </bk>
    <bk>
      <extLst>
        <ext uri="{3e2802c4-a4d2-4d8b-9148-e3be6c30e623}">
          <xlrd:rvb i="403"/>
        </ext>
      </extLst>
    </bk>
    <bk>
      <extLst>
        <ext uri="{3e2802c4-a4d2-4d8b-9148-e3be6c30e623}">
          <xlrd:rvb i="404"/>
        </ext>
      </extLst>
    </bk>
    <bk>
      <extLst>
        <ext uri="{3e2802c4-a4d2-4d8b-9148-e3be6c30e623}">
          <xlrd:rvb i="405"/>
        </ext>
      </extLst>
    </bk>
    <bk>
      <extLst>
        <ext uri="{3e2802c4-a4d2-4d8b-9148-e3be6c30e623}">
          <xlrd:rvb i="406"/>
        </ext>
      </extLst>
    </bk>
    <bk>
      <extLst>
        <ext uri="{3e2802c4-a4d2-4d8b-9148-e3be6c30e623}">
          <xlrd:rvb i="407"/>
        </ext>
      </extLst>
    </bk>
    <bk>
      <extLst>
        <ext uri="{3e2802c4-a4d2-4d8b-9148-e3be6c30e623}">
          <xlrd:rvb i="408"/>
        </ext>
      </extLst>
    </bk>
    <bk>
      <extLst>
        <ext uri="{3e2802c4-a4d2-4d8b-9148-e3be6c30e623}">
          <xlrd:rvb i="409"/>
        </ext>
      </extLst>
    </bk>
    <bk>
      <extLst>
        <ext uri="{3e2802c4-a4d2-4d8b-9148-e3be6c30e623}">
          <xlrd:rvb i="410"/>
        </ext>
      </extLst>
    </bk>
    <bk>
      <extLst>
        <ext uri="{3e2802c4-a4d2-4d8b-9148-e3be6c30e623}">
          <xlrd:rvb i="411"/>
        </ext>
      </extLst>
    </bk>
    <bk>
      <extLst>
        <ext uri="{3e2802c4-a4d2-4d8b-9148-e3be6c30e623}">
          <xlrd:rvb i="412"/>
        </ext>
      </extLst>
    </bk>
    <bk>
      <extLst>
        <ext uri="{3e2802c4-a4d2-4d8b-9148-e3be6c30e623}">
          <xlrd:rvb i="413"/>
        </ext>
      </extLst>
    </bk>
    <bk>
      <extLst>
        <ext uri="{3e2802c4-a4d2-4d8b-9148-e3be6c30e623}">
          <xlrd:rvb i="414"/>
        </ext>
      </extLst>
    </bk>
    <bk>
      <extLst>
        <ext uri="{3e2802c4-a4d2-4d8b-9148-e3be6c30e623}">
          <xlrd:rvb i="415"/>
        </ext>
      </extLst>
    </bk>
    <bk>
      <extLst>
        <ext uri="{3e2802c4-a4d2-4d8b-9148-e3be6c30e623}">
          <xlrd:rvb i="416"/>
        </ext>
      </extLst>
    </bk>
    <bk>
      <extLst>
        <ext uri="{3e2802c4-a4d2-4d8b-9148-e3be6c30e623}">
          <xlrd:rvb i="417"/>
        </ext>
      </extLst>
    </bk>
    <bk>
      <extLst>
        <ext uri="{3e2802c4-a4d2-4d8b-9148-e3be6c30e623}">
          <xlrd:rvb i="418"/>
        </ext>
      </extLst>
    </bk>
    <bk>
      <extLst>
        <ext uri="{3e2802c4-a4d2-4d8b-9148-e3be6c30e623}">
          <xlrd:rvb i="419"/>
        </ext>
      </extLst>
    </bk>
    <bk>
      <extLst>
        <ext uri="{3e2802c4-a4d2-4d8b-9148-e3be6c30e623}">
          <xlrd:rvb i="420"/>
        </ext>
      </extLst>
    </bk>
    <bk>
      <extLst>
        <ext uri="{3e2802c4-a4d2-4d8b-9148-e3be6c30e623}">
          <xlrd:rvb i="421"/>
        </ext>
      </extLst>
    </bk>
    <bk>
      <extLst>
        <ext uri="{3e2802c4-a4d2-4d8b-9148-e3be6c30e623}">
          <xlrd:rvb i="422"/>
        </ext>
      </extLst>
    </bk>
    <bk>
      <extLst>
        <ext uri="{3e2802c4-a4d2-4d8b-9148-e3be6c30e623}">
          <xlrd:rvb i="423"/>
        </ext>
      </extLst>
    </bk>
    <bk>
      <extLst>
        <ext uri="{3e2802c4-a4d2-4d8b-9148-e3be6c30e623}">
          <xlrd:rvb i="424"/>
        </ext>
      </extLst>
    </bk>
    <bk>
      <extLst>
        <ext uri="{3e2802c4-a4d2-4d8b-9148-e3be6c30e623}">
          <xlrd:rvb i="425"/>
        </ext>
      </extLst>
    </bk>
    <bk>
      <extLst>
        <ext uri="{3e2802c4-a4d2-4d8b-9148-e3be6c30e623}">
          <xlrd:rvb i="426"/>
        </ext>
      </extLst>
    </bk>
    <bk>
      <extLst>
        <ext uri="{3e2802c4-a4d2-4d8b-9148-e3be6c30e623}">
          <xlrd:rvb i="427"/>
        </ext>
      </extLst>
    </bk>
    <bk>
      <extLst>
        <ext uri="{3e2802c4-a4d2-4d8b-9148-e3be6c30e623}">
          <xlrd:rvb i="428"/>
        </ext>
      </extLst>
    </bk>
    <bk>
      <extLst>
        <ext uri="{3e2802c4-a4d2-4d8b-9148-e3be6c30e623}">
          <xlrd:rvb i="429"/>
        </ext>
      </extLst>
    </bk>
    <bk>
      <extLst>
        <ext uri="{3e2802c4-a4d2-4d8b-9148-e3be6c30e623}">
          <xlrd:rvb i="430"/>
        </ext>
      </extLst>
    </bk>
    <bk>
      <extLst>
        <ext uri="{3e2802c4-a4d2-4d8b-9148-e3be6c30e623}">
          <xlrd:rvb i="431"/>
        </ext>
      </extLst>
    </bk>
    <bk>
      <extLst>
        <ext uri="{3e2802c4-a4d2-4d8b-9148-e3be6c30e623}">
          <xlrd:rvb i="432"/>
        </ext>
      </extLst>
    </bk>
    <bk>
      <extLst>
        <ext uri="{3e2802c4-a4d2-4d8b-9148-e3be6c30e623}">
          <xlrd:rvb i="433"/>
        </ext>
      </extLst>
    </bk>
    <bk>
      <extLst>
        <ext uri="{3e2802c4-a4d2-4d8b-9148-e3be6c30e623}">
          <xlrd:rvb i="434"/>
        </ext>
      </extLst>
    </bk>
    <bk>
      <extLst>
        <ext uri="{3e2802c4-a4d2-4d8b-9148-e3be6c30e623}">
          <xlrd:rvb i="435"/>
        </ext>
      </extLst>
    </bk>
    <bk>
      <extLst>
        <ext uri="{3e2802c4-a4d2-4d8b-9148-e3be6c30e623}">
          <xlrd:rvb i="436"/>
        </ext>
      </extLst>
    </bk>
    <bk>
      <extLst>
        <ext uri="{3e2802c4-a4d2-4d8b-9148-e3be6c30e623}">
          <xlrd:rvb i="437"/>
        </ext>
      </extLst>
    </bk>
    <bk>
      <extLst>
        <ext uri="{3e2802c4-a4d2-4d8b-9148-e3be6c30e623}">
          <xlrd:rvb i="438"/>
        </ext>
      </extLst>
    </bk>
    <bk>
      <extLst>
        <ext uri="{3e2802c4-a4d2-4d8b-9148-e3be6c30e623}">
          <xlrd:rvb i="439"/>
        </ext>
      </extLst>
    </bk>
    <bk>
      <extLst>
        <ext uri="{3e2802c4-a4d2-4d8b-9148-e3be6c30e623}">
          <xlrd:rvb i="440"/>
        </ext>
      </extLst>
    </bk>
    <bk>
      <extLst>
        <ext uri="{3e2802c4-a4d2-4d8b-9148-e3be6c30e623}">
          <xlrd:rvb i="441"/>
        </ext>
      </extLst>
    </bk>
    <bk>
      <extLst>
        <ext uri="{3e2802c4-a4d2-4d8b-9148-e3be6c30e623}">
          <xlrd:rvb i="442"/>
        </ext>
      </extLst>
    </bk>
    <bk>
      <extLst>
        <ext uri="{3e2802c4-a4d2-4d8b-9148-e3be6c30e623}">
          <xlrd:rvb i="443"/>
        </ext>
      </extLst>
    </bk>
    <bk>
      <extLst>
        <ext uri="{3e2802c4-a4d2-4d8b-9148-e3be6c30e623}">
          <xlrd:rvb i="444"/>
        </ext>
      </extLst>
    </bk>
    <bk>
      <extLst>
        <ext uri="{3e2802c4-a4d2-4d8b-9148-e3be6c30e623}">
          <xlrd:rvb i="445"/>
        </ext>
      </extLst>
    </bk>
    <bk>
      <extLst>
        <ext uri="{3e2802c4-a4d2-4d8b-9148-e3be6c30e623}">
          <xlrd:rvb i="446"/>
        </ext>
      </extLst>
    </bk>
    <bk>
      <extLst>
        <ext uri="{3e2802c4-a4d2-4d8b-9148-e3be6c30e623}">
          <xlrd:rvb i="447"/>
        </ext>
      </extLst>
    </bk>
    <bk>
      <extLst>
        <ext uri="{3e2802c4-a4d2-4d8b-9148-e3be6c30e623}">
          <xlrd:rvb i="448"/>
        </ext>
      </extLst>
    </bk>
    <bk>
      <extLst>
        <ext uri="{3e2802c4-a4d2-4d8b-9148-e3be6c30e623}">
          <xlrd:rvb i="449"/>
        </ext>
      </extLst>
    </bk>
    <bk>
      <extLst>
        <ext uri="{3e2802c4-a4d2-4d8b-9148-e3be6c30e623}">
          <xlrd:rvb i="450"/>
        </ext>
      </extLst>
    </bk>
    <bk>
      <extLst>
        <ext uri="{3e2802c4-a4d2-4d8b-9148-e3be6c30e623}">
          <xlrd:rvb i="451"/>
        </ext>
      </extLst>
    </bk>
    <bk>
      <extLst>
        <ext uri="{3e2802c4-a4d2-4d8b-9148-e3be6c30e623}">
          <xlrd:rvb i="452"/>
        </ext>
      </extLst>
    </bk>
    <bk>
      <extLst>
        <ext uri="{3e2802c4-a4d2-4d8b-9148-e3be6c30e623}">
          <xlrd:rvb i="453"/>
        </ext>
      </extLst>
    </bk>
    <bk>
      <extLst>
        <ext uri="{3e2802c4-a4d2-4d8b-9148-e3be6c30e623}">
          <xlrd:rvb i="454"/>
        </ext>
      </extLst>
    </bk>
    <bk>
      <extLst>
        <ext uri="{3e2802c4-a4d2-4d8b-9148-e3be6c30e623}">
          <xlrd:rvb i="455"/>
        </ext>
      </extLst>
    </bk>
    <bk>
      <extLst>
        <ext uri="{3e2802c4-a4d2-4d8b-9148-e3be6c30e623}">
          <xlrd:rvb i="456"/>
        </ext>
      </extLst>
    </bk>
    <bk>
      <extLst>
        <ext uri="{3e2802c4-a4d2-4d8b-9148-e3be6c30e623}">
          <xlrd:rvb i="457"/>
        </ext>
      </extLst>
    </bk>
    <bk>
      <extLst>
        <ext uri="{3e2802c4-a4d2-4d8b-9148-e3be6c30e623}">
          <xlrd:rvb i="458"/>
        </ext>
      </extLst>
    </bk>
    <bk>
      <extLst>
        <ext uri="{3e2802c4-a4d2-4d8b-9148-e3be6c30e623}">
          <xlrd:rvb i="459"/>
        </ext>
      </extLst>
    </bk>
    <bk>
      <extLst>
        <ext uri="{3e2802c4-a4d2-4d8b-9148-e3be6c30e623}">
          <xlrd:rvb i="460"/>
        </ext>
      </extLst>
    </bk>
    <bk>
      <extLst>
        <ext uri="{3e2802c4-a4d2-4d8b-9148-e3be6c30e623}">
          <xlrd:rvb i="461"/>
        </ext>
      </extLst>
    </bk>
    <bk>
      <extLst>
        <ext uri="{3e2802c4-a4d2-4d8b-9148-e3be6c30e623}">
          <xlrd:rvb i="462"/>
        </ext>
      </extLst>
    </bk>
    <bk>
      <extLst>
        <ext uri="{3e2802c4-a4d2-4d8b-9148-e3be6c30e623}">
          <xlrd:rvb i="463"/>
        </ext>
      </extLst>
    </bk>
    <bk>
      <extLst>
        <ext uri="{3e2802c4-a4d2-4d8b-9148-e3be6c30e623}">
          <xlrd:rvb i="464"/>
        </ext>
      </extLst>
    </bk>
    <bk>
      <extLst>
        <ext uri="{3e2802c4-a4d2-4d8b-9148-e3be6c30e623}">
          <xlrd:rvb i="465"/>
        </ext>
      </extLst>
    </bk>
    <bk>
      <extLst>
        <ext uri="{3e2802c4-a4d2-4d8b-9148-e3be6c30e623}">
          <xlrd:rvb i="466"/>
        </ext>
      </extLst>
    </bk>
    <bk>
      <extLst>
        <ext uri="{3e2802c4-a4d2-4d8b-9148-e3be6c30e623}">
          <xlrd:rvb i="467"/>
        </ext>
      </extLst>
    </bk>
    <bk>
      <extLst>
        <ext uri="{3e2802c4-a4d2-4d8b-9148-e3be6c30e623}">
          <xlrd:rvb i="468"/>
        </ext>
      </extLst>
    </bk>
    <bk>
      <extLst>
        <ext uri="{3e2802c4-a4d2-4d8b-9148-e3be6c30e623}">
          <xlrd:rvb i="469"/>
        </ext>
      </extLst>
    </bk>
    <bk>
      <extLst>
        <ext uri="{3e2802c4-a4d2-4d8b-9148-e3be6c30e623}">
          <xlrd:rvb i="470"/>
        </ext>
      </extLst>
    </bk>
    <bk>
      <extLst>
        <ext uri="{3e2802c4-a4d2-4d8b-9148-e3be6c30e623}">
          <xlrd:rvb i="471"/>
        </ext>
      </extLst>
    </bk>
    <bk>
      <extLst>
        <ext uri="{3e2802c4-a4d2-4d8b-9148-e3be6c30e623}">
          <xlrd:rvb i="472"/>
        </ext>
      </extLst>
    </bk>
    <bk>
      <extLst>
        <ext uri="{3e2802c4-a4d2-4d8b-9148-e3be6c30e623}">
          <xlrd:rvb i="473"/>
        </ext>
      </extLst>
    </bk>
    <bk>
      <extLst>
        <ext uri="{3e2802c4-a4d2-4d8b-9148-e3be6c30e623}">
          <xlrd:rvb i="474"/>
        </ext>
      </extLst>
    </bk>
    <bk>
      <extLst>
        <ext uri="{3e2802c4-a4d2-4d8b-9148-e3be6c30e623}">
          <xlrd:rvb i="475"/>
        </ext>
      </extLst>
    </bk>
    <bk>
      <extLst>
        <ext uri="{3e2802c4-a4d2-4d8b-9148-e3be6c30e623}">
          <xlrd:rvb i="476"/>
        </ext>
      </extLst>
    </bk>
    <bk>
      <extLst>
        <ext uri="{3e2802c4-a4d2-4d8b-9148-e3be6c30e623}">
          <xlrd:rvb i="477"/>
        </ext>
      </extLst>
    </bk>
    <bk>
      <extLst>
        <ext uri="{3e2802c4-a4d2-4d8b-9148-e3be6c30e623}">
          <xlrd:rvb i="478"/>
        </ext>
      </extLst>
    </bk>
    <bk>
      <extLst>
        <ext uri="{3e2802c4-a4d2-4d8b-9148-e3be6c30e623}">
          <xlrd:rvb i="479"/>
        </ext>
      </extLst>
    </bk>
    <bk>
      <extLst>
        <ext uri="{3e2802c4-a4d2-4d8b-9148-e3be6c30e623}">
          <xlrd:rvb i="480"/>
        </ext>
      </extLst>
    </bk>
    <bk>
      <extLst>
        <ext uri="{3e2802c4-a4d2-4d8b-9148-e3be6c30e623}">
          <xlrd:rvb i="481"/>
        </ext>
      </extLst>
    </bk>
    <bk>
      <extLst>
        <ext uri="{3e2802c4-a4d2-4d8b-9148-e3be6c30e623}">
          <xlrd:rvb i="482"/>
        </ext>
      </extLst>
    </bk>
    <bk>
      <extLst>
        <ext uri="{3e2802c4-a4d2-4d8b-9148-e3be6c30e623}">
          <xlrd:rvb i="483"/>
        </ext>
      </extLst>
    </bk>
    <bk>
      <extLst>
        <ext uri="{3e2802c4-a4d2-4d8b-9148-e3be6c30e623}">
          <xlrd:rvb i="484"/>
        </ext>
      </extLst>
    </bk>
    <bk>
      <extLst>
        <ext uri="{3e2802c4-a4d2-4d8b-9148-e3be6c30e623}">
          <xlrd:rvb i="485"/>
        </ext>
      </extLst>
    </bk>
    <bk>
      <extLst>
        <ext uri="{3e2802c4-a4d2-4d8b-9148-e3be6c30e623}">
          <xlrd:rvb i="486"/>
        </ext>
      </extLst>
    </bk>
    <bk>
      <extLst>
        <ext uri="{3e2802c4-a4d2-4d8b-9148-e3be6c30e623}">
          <xlrd:rvb i="487"/>
        </ext>
      </extLst>
    </bk>
    <bk>
      <extLst>
        <ext uri="{3e2802c4-a4d2-4d8b-9148-e3be6c30e623}">
          <xlrd:rvb i="488"/>
        </ext>
      </extLst>
    </bk>
    <bk>
      <extLst>
        <ext uri="{3e2802c4-a4d2-4d8b-9148-e3be6c30e623}">
          <xlrd:rvb i="489"/>
        </ext>
      </extLst>
    </bk>
    <bk>
      <extLst>
        <ext uri="{3e2802c4-a4d2-4d8b-9148-e3be6c30e623}">
          <xlrd:rvb i="490"/>
        </ext>
      </extLst>
    </bk>
    <bk>
      <extLst>
        <ext uri="{3e2802c4-a4d2-4d8b-9148-e3be6c30e623}">
          <xlrd:rvb i="491"/>
        </ext>
      </extLst>
    </bk>
    <bk>
      <extLst>
        <ext uri="{3e2802c4-a4d2-4d8b-9148-e3be6c30e623}">
          <xlrd:rvb i="492"/>
        </ext>
      </extLst>
    </bk>
    <bk>
      <extLst>
        <ext uri="{3e2802c4-a4d2-4d8b-9148-e3be6c30e623}">
          <xlrd:rvb i="493"/>
        </ext>
      </extLst>
    </bk>
    <bk>
      <extLst>
        <ext uri="{3e2802c4-a4d2-4d8b-9148-e3be6c30e623}">
          <xlrd:rvb i="494"/>
        </ext>
      </extLst>
    </bk>
    <bk>
      <extLst>
        <ext uri="{3e2802c4-a4d2-4d8b-9148-e3be6c30e623}">
          <xlrd:rvb i="495"/>
        </ext>
      </extLst>
    </bk>
    <bk>
      <extLst>
        <ext uri="{3e2802c4-a4d2-4d8b-9148-e3be6c30e623}">
          <xlrd:rvb i="496"/>
        </ext>
      </extLst>
    </bk>
    <bk>
      <extLst>
        <ext uri="{3e2802c4-a4d2-4d8b-9148-e3be6c30e623}">
          <xlrd:rvb i="497"/>
        </ext>
      </extLst>
    </bk>
    <bk>
      <extLst>
        <ext uri="{3e2802c4-a4d2-4d8b-9148-e3be6c30e623}">
          <xlrd:rvb i="498"/>
        </ext>
      </extLst>
    </bk>
    <bk>
      <extLst>
        <ext uri="{3e2802c4-a4d2-4d8b-9148-e3be6c30e623}">
          <xlrd:rvb i="499"/>
        </ext>
      </extLst>
    </bk>
    <bk>
      <extLst>
        <ext uri="{3e2802c4-a4d2-4d8b-9148-e3be6c30e623}">
          <xlrd:rvb i="500"/>
        </ext>
      </extLst>
    </bk>
    <bk>
      <extLst>
        <ext uri="{3e2802c4-a4d2-4d8b-9148-e3be6c30e623}">
          <xlrd:rvb i="501"/>
        </ext>
      </extLst>
    </bk>
    <bk>
      <extLst>
        <ext uri="{3e2802c4-a4d2-4d8b-9148-e3be6c30e623}">
          <xlrd:rvb i="502"/>
        </ext>
      </extLst>
    </bk>
    <bk>
      <extLst>
        <ext uri="{3e2802c4-a4d2-4d8b-9148-e3be6c30e623}">
          <xlrd:rvb i="503"/>
        </ext>
      </extLst>
    </bk>
    <bk>
      <extLst>
        <ext uri="{3e2802c4-a4d2-4d8b-9148-e3be6c30e623}">
          <xlrd:rvb i="504"/>
        </ext>
      </extLst>
    </bk>
    <bk>
      <extLst>
        <ext uri="{3e2802c4-a4d2-4d8b-9148-e3be6c30e623}">
          <xlrd:rvb i="505"/>
        </ext>
      </extLst>
    </bk>
    <bk>
      <extLst>
        <ext uri="{3e2802c4-a4d2-4d8b-9148-e3be6c30e623}">
          <xlrd:rvb i="506"/>
        </ext>
      </extLst>
    </bk>
    <bk>
      <extLst>
        <ext uri="{3e2802c4-a4d2-4d8b-9148-e3be6c30e623}">
          <xlrd:rvb i="507"/>
        </ext>
      </extLst>
    </bk>
    <bk>
      <extLst>
        <ext uri="{3e2802c4-a4d2-4d8b-9148-e3be6c30e623}">
          <xlrd:rvb i="508"/>
        </ext>
      </extLst>
    </bk>
    <bk>
      <extLst>
        <ext uri="{3e2802c4-a4d2-4d8b-9148-e3be6c30e623}">
          <xlrd:rvb i="509"/>
        </ext>
      </extLst>
    </bk>
    <bk>
      <extLst>
        <ext uri="{3e2802c4-a4d2-4d8b-9148-e3be6c30e623}">
          <xlrd:rvb i="510"/>
        </ext>
      </extLst>
    </bk>
    <bk>
      <extLst>
        <ext uri="{3e2802c4-a4d2-4d8b-9148-e3be6c30e623}">
          <xlrd:rvb i="511"/>
        </ext>
      </extLst>
    </bk>
    <bk>
      <extLst>
        <ext uri="{3e2802c4-a4d2-4d8b-9148-e3be6c30e623}">
          <xlrd:rvb i="512"/>
        </ext>
      </extLst>
    </bk>
    <bk>
      <extLst>
        <ext uri="{3e2802c4-a4d2-4d8b-9148-e3be6c30e623}">
          <xlrd:rvb i="513"/>
        </ext>
      </extLst>
    </bk>
    <bk>
      <extLst>
        <ext uri="{3e2802c4-a4d2-4d8b-9148-e3be6c30e623}">
          <xlrd:rvb i="514"/>
        </ext>
      </extLst>
    </bk>
    <bk>
      <extLst>
        <ext uri="{3e2802c4-a4d2-4d8b-9148-e3be6c30e623}">
          <xlrd:rvb i="515"/>
        </ext>
      </extLst>
    </bk>
    <bk>
      <extLst>
        <ext uri="{3e2802c4-a4d2-4d8b-9148-e3be6c30e623}">
          <xlrd:rvb i="516"/>
        </ext>
      </extLst>
    </bk>
    <bk>
      <extLst>
        <ext uri="{3e2802c4-a4d2-4d8b-9148-e3be6c30e623}">
          <xlrd:rvb i="517"/>
        </ext>
      </extLst>
    </bk>
    <bk>
      <extLst>
        <ext uri="{3e2802c4-a4d2-4d8b-9148-e3be6c30e623}">
          <xlrd:rvb i="518"/>
        </ext>
      </extLst>
    </bk>
    <bk>
      <extLst>
        <ext uri="{3e2802c4-a4d2-4d8b-9148-e3be6c30e623}">
          <xlrd:rvb i="519"/>
        </ext>
      </extLst>
    </bk>
    <bk>
      <extLst>
        <ext uri="{3e2802c4-a4d2-4d8b-9148-e3be6c30e623}">
          <xlrd:rvb i="520"/>
        </ext>
      </extLst>
    </bk>
    <bk>
      <extLst>
        <ext uri="{3e2802c4-a4d2-4d8b-9148-e3be6c30e623}">
          <xlrd:rvb i="521"/>
        </ext>
      </extLst>
    </bk>
    <bk>
      <extLst>
        <ext uri="{3e2802c4-a4d2-4d8b-9148-e3be6c30e623}">
          <xlrd:rvb i="522"/>
        </ext>
      </extLst>
    </bk>
    <bk>
      <extLst>
        <ext uri="{3e2802c4-a4d2-4d8b-9148-e3be6c30e623}">
          <xlrd:rvb i="523"/>
        </ext>
      </extLst>
    </bk>
    <bk>
      <extLst>
        <ext uri="{3e2802c4-a4d2-4d8b-9148-e3be6c30e623}">
          <xlrd:rvb i="524"/>
        </ext>
      </extLst>
    </bk>
    <bk>
      <extLst>
        <ext uri="{3e2802c4-a4d2-4d8b-9148-e3be6c30e623}">
          <xlrd:rvb i="525"/>
        </ext>
      </extLst>
    </bk>
    <bk>
      <extLst>
        <ext uri="{3e2802c4-a4d2-4d8b-9148-e3be6c30e623}">
          <xlrd:rvb i="526"/>
        </ext>
      </extLst>
    </bk>
    <bk>
      <extLst>
        <ext uri="{3e2802c4-a4d2-4d8b-9148-e3be6c30e623}">
          <xlrd:rvb i="527"/>
        </ext>
      </extLst>
    </bk>
    <bk>
      <extLst>
        <ext uri="{3e2802c4-a4d2-4d8b-9148-e3be6c30e623}">
          <xlrd:rvb i="528"/>
        </ext>
      </extLst>
    </bk>
    <bk>
      <extLst>
        <ext uri="{3e2802c4-a4d2-4d8b-9148-e3be6c30e623}">
          <xlrd:rvb i="529"/>
        </ext>
      </extLst>
    </bk>
    <bk>
      <extLst>
        <ext uri="{3e2802c4-a4d2-4d8b-9148-e3be6c30e623}">
          <xlrd:rvb i="530"/>
        </ext>
      </extLst>
    </bk>
    <bk>
      <extLst>
        <ext uri="{3e2802c4-a4d2-4d8b-9148-e3be6c30e623}">
          <xlrd:rvb i="531"/>
        </ext>
      </extLst>
    </bk>
    <bk>
      <extLst>
        <ext uri="{3e2802c4-a4d2-4d8b-9148-e3be6c30e623}">
          <xlrd:rvb i="532"/>
        </ext>
      </extLst>
    </bk>
    <bk>
      <extLst>
        <ext uri="{3e2802c4-a4d2-4d8b-9148-e3be6c30e623}">
          <xlrd:rvb i="533"/>
        </ext>
      </extLst>
    </bk>
    <bk>
      <extLst>
        <ext uri="{3e2802c4-a4d2-4d8b-9148-e3be6c30e623}">
          <xlrd:rvb i="534"/>
        </ext>
      </extLst>
    </bk>
    <bk>
      <extLst>
        <ext uri="{3e2802c4-a4d2-4d8b-9148-e3be6c30e623}">
          <xlrd:rvb i="535"/>
        </ext>
      </extLst>
    </bk>
    <bk>
      <extLst>
        <ext uri="{3e2802c4-a4d2-4d8b-9148-e3be6c30e623}">
          <xlrd:rvb i="536"/>
        </ext>
      </extLst>
    </bk>
    <bk>
      <extLst>
        <ext uri="{3e2802c4-a4d2-4d8b-9148-e3be6c30e623}">
          <xlrd:rvb i="537"/>
        </ext>
      </extLst>
    </bk>
    <bk>
      <extLst>
        <ext uri="{3e2802c4-a4d2-4d8b-9148-e3be6c30e623}">
          <xlrd:rvb i="538"/>
        </ext>
      </extLst>
    </bk>
    <bk>
      <extLst>
        <ext uri="{3e2802c4-a4d2-4d8b-9148-e3be6c30e623}">
          <xlrd:rvb i="539"/>
        </ext>
      </extLst>
    </bk>
    <bk>
      <extLst>
        <ext uri="{3e2802c4-a4d2-4d8b-9148-e3be6c30e623}">
          <xlrd:rvb i="540"/>
        </ext>
      </extLst>
    </bk>
    <bk>
      <extLst>
        <ext uri="{3e2802c4-a4d2-4d8b-9148-e3be6c30e623}">
          <xlrd:rvb i="541"/>
        </ext>
      </extLst>
    </bk>
    <bk>
      <extLst>
        <ext uri="{3e2802c4-a4d2-4d8b-9148-e3be6c30e623}">
          <xlrd:rvb i="542"/>
        </ext>
      </extLst>
    </bk>
    <bk>
      <extLst>
        <ext uri="{3e2802c4-a4d2-4d8b-9148-e3be6c30e623}">
          <xlrd:rvb i="543"/>
        </ext>
      </extLst>
    </bk>
    <bk>
      <extLst>
        <ext uri="{3e2802c4-a4d2-4d8b-9148-e3be6c30e623}">
          <xlrd:rvb i="544"/>
        </ext>
      </extLst>
    </bk>
    <bk>
      <extLst>
        <ext uri="{3e2802c4-a4d2-4d8b-9148-e3be6c30e623}">
          <xlrd:rvb i="545"/>
        </ext>
      </extLst>
    </bk>
    <bk>
      <extLst>
        <ext uri="{3e2802c4-a4d2-4d8b-9148-e3be6c30e623}">
          <xlrd:rvb i="546"/>
        </ext>
      </extLst>
    </bk>
    <bk>
      <extLst>
        <ext uri="{3e2802c4-a4d2-4d8b-9148-e3be6c30e623}">
          <xlrd:rvb i="547"/>
        </ext>
      </extLst>
    </bk>
    <bk>
      <extLst>
        <ext uri="{3e2802c4-a4d2-4d8b-9148-e3be6c30e623}">
          <xlrd:rvb i="548"/>
        </ext>
      </extLst>
    </bk>
    <bk>
      <extLst>
        <ext uri="{3e2802c4-a4d2-4d8b-9148-e3be6c30e623}">
          <xlrd:rvb i="549"/>
        </ext>
      </extLst>
    </bk>
    <bk>
      <extLst>
        <ext uri="{3e2802c4-a4d2-4d8b-9148-e3be6c30e623}">
          <xlrd:rvb i="550"/>
        </ext>
      </extLst>
    </bk>
    <bk>
      <extLst>
        <ext uri="{3e2802c4-a4d2-4d8b-9148-e3be6c30e623}">
          <xlrd:rvb i="551"/>
        </ext>
      </extLst>
    </bk>
    <bk>
      <extLst>
        <ext uri="{3e2802c4-a4d2-4d8b-9148-e3be6c30e623}">
          <xlrd:rvb i="552"/>
        </ext>
      </extLst>
    </bk>
    <bk>
      <extLst>
        <ext uri="{3e2802c4-a4d2-4d8b-9148-e3be6c30e623}">
          <xlrd:rvb i="553"/>
        </ext>
      </extLst>
    </bk>
    <bk>
      <extLst>
        <ext uri="{3e2802c4-a4d2-4d8b-9148-e3be6c30e623}">
          <xlrd:rvb i="554"/>
        </ext>
      </extLst>
    </bk>
    <bk>
      <extLst>
        <ext uri="{3e2802c4-a4d2-4d8b-9148-e3be6c30e623}">
          <xlrd:rvb i="555"/>
        </ext>
      </extLst>
    </bk>
    <bk>
      <extLst>
        <ext uri="{3e2802c4-a4d2-4d8b-9148-e3be6c30e623}">
          <xlrd:rvb i="556"/>
        </ext>
      </extLst>
    </bk>
    <bk>
      <extLst>
        <ext uri="{3e2802c4-a4d2-4d8b-9148-e3be6c30e623}">
          <xlrd:rvb i="557"/>
        </ext>
      </extLst>
    </bk>
    <bk>
      <extLst>
        <ext uri="{3e2802c4-a4d2-4d8b-9148-e3be6c30e623}">
          <xlrd:rvb i="558"/>
        </ext>
      </extLst>
    </bk>
    <bk>
      <extLst>
        <ext uri="{3e2802c4-a4d2-4d8b-9148-e3be6c30e623}">
          <xlrd:rvb i="559"/>
        </ext>
      </extLst>
    </bk>
    <bk>
      <extLst>
        <ext uri="{3e2802c4-a4d2-4d8b-9148-e3be6c30e623}">
          <xlrd:rvb i="560"/>
        </ext>
      </extLst>
    </bk>
    <bk>
      <extLst>
        <ext uri="{3e2802c4-a4d2-4d8b-9148-e3be6c30e623}">
          <xlrd:rvb i="561"/>
        </ext>
      </extLst>
    </bk>
    <bk>
      <extLst>
        <ext uri="{3e2802c4-a4d2-4d8b-9148-e3be6c30e623}">
          <xlrd:rvb i="562"/>
        </ext>
      </extLst>
    </bk>
    <bk>
      <extLst>
        <ext uri="{3e2802c4-a4d2-4d8b-9148-e3be6c30e623}">
          <xlrd:rvb i="563"/>
        </ext>
      </extLst>
    </bk>
    <bk>
      <extLst>
        <ext uri="{3e2802c4-a4d2-4d8b-9148-e3be6c30e623}">
          <xlrd:rvb i="564"/>
        </ext>
      </extLst>
    </bk>
    <bk>
      <extLst>
        <ext uri="{3e2802c4-a4d2-4d8b-9148-e3be6c30e623}">
          <xlrd:rvb i="565"/>
        </ext>
      </extLst>
    </bk>
    <bk>
      <extLst>
        <ext uri="{3e2802c4-a4d2-4d8b-9148-e3be6c30e623}">
          <xlrd:rvb i="566"/>
        </ext>
      </extLst>
    </bk>
    <bk>
      <extLst>
        <ext uri="{3e2802c4-a4d2-4d8b-9148-e3be6c30e623}">
          <xlrd:rvb i="567"/>
        </ext>
      </extLst>
    </bk>
    <bk>
      <extLst>
        <ext uri="{3e2802c4-a4d2-4d8b-9148-e3be6c30e623}">
          <xlrd:rvb i="568"/>
        </ext>
      </extLst>
    </bk>
    <bk>
      <extLst>
        <ext uri="{3e2802c4-a4d2-4d8b-9148-e3be6c30e623}">
          <xlrd:rvb i="569"/>
        </ext>
      </extLst>
    </bk>
    <bk>
      <extLst>
        <ext uri="{3e2802c4-a4d2-4d8b-9148-e3be6c30e623}">
          <xlrd:rvb i="570"/>
        </ext>
      </extLst>
    </bk>
    <bk>
      <extLst>
        <ext uri="{3e2802c4-a4d2-4d8b-9148-e3be6c30e623}">
          <xlrd:rvb i="571"/>
        </ext>
      </extLst>
    </bk>
    <bk>
      <extLst>
        <ext uri="{3e2802c4-a4d2-4d8b-9148-e3be6c30e623}">
          <xlrd:rvb i="572"/>
        </ext>
      </extLst>
    </bk>
    <bk>
      <extLst>
        <ext uri="{3e2802c4-a4d2-4d8b-9148-e3be6c30e623}">
          <xlrd:rvb i="573"/>
        </ext>
      </extLst>
    </bk>
    <bk>
      <extLst>
        <ext uri="{3e2802c4-a4d2-4d8b-9148-e3be6c30e623}">
          <xlrd:rvb i="574"/>
        </ext>
      </extLst>
    </bk>
    <bk>
      <extLst>
        <ext uri="{3e2802c4-a4d2-4d8b-9148-e3be6c30e623}">
          <xlrd:rvb i="575"/>
        </ext>
      </extLst>
    </bk>
    <bk>
      <extLst>
        <ext uri="{3e2802c4-a4d2-4d8b-9148-e3be6c30e623}">
          <xlrd:rvb i="576"/>
        </ext>
      </extLst>
    </bk>
    <bk>
      <extLst>
        <ext uri="{3e2802c4-a4d2-4d8b-9148-e3be6c30e623}">
          <xlrd:rvb i="577"/>
        </ext>
      </extLst>
    </bk>
    <bk>
      <extLst>
        <ext uri="{3e2802c4-a4d2-4d8b-9148-e3be6c30e623}">
          <xlrd:rvb i="578"/>
        </ext>
      </extLst>
    </bk>
    <bk>
      <extLst>
        <ext uri="{3e2802c4-a4d2-4d8b-9148-e3be6c30e623}">
          <xlrd:rvb i="579"/>
        </ext>
      </extLst>
    </bk>
    <bk>
      <extLst>
        <ext uri="{3e2802c4-a4d2-4d8b-9148-e3be6c30e623}">
          <xlrd:rvb i="580"/>
        </ext>
      </extLst>
    </bk>
    <bk>
      <extLst>
        <ext uri="{3e2802c4-a4d2-4d8b-9148-e3be6c30e623}">
          <xlrd:rvb i="581"/>
        </ext>
      </extLst>
    </bk>
    <bk>
      <extLst>
        <ext uri="{3e2802c4-a4d2-4d8b-9148-e3be6c30e623}">
          <xlrd:rvb i="582"/>
        </ext>
      </extLst>
    </bk>
    <bk>
      <extLst>
        <ext uri="{3e2802c4-a4d2-4d8b-9148-e3be6c30e623}">
          <xlrd:rvb i="583"/>
        </ext>
      </extLst>
    </bk>
    <bk>
      <extLst>
        <ext uri="{3e2802c4-a4d2-4d8b-9148-e3be6c30e623}">
          <xlrd:rvb i="584"/>
        </ext>
      </extLst>
    </bk>
    <bk>
      <extLst>
        <ext uri="{3e2802c4-a4d2-4d8b-9148-e3be6c30e623}">
          <xlrd:rvb i="585"/>
        </ext>
      </extLst>
    </bk>
    <bk>
      <extLst>
        <ext uri="{3e2802c4-a4d2-4d8b-9148-e3be6c30e623}">
          <xlrd:rvb i="586"/>
        </ext>
      </extLst>
    </bk>
    <bk>
      <extLst>
        <ext uri="{3e2802c4-a4d2-4d8b-9148-e3be6c30e623}">
          <xlrd:rvb i="587"/>
        </ext>
      </extLst>
    </bk>
    <bk>
      <extLst>
        <ext uri="{3e2802c4-a4d2-4d8b-9148-e3be6c30e623}">
          <xlrd:rvb i="588"/>
        </ext>
      </extLst>
    </bk>
    <bk>
      <extLst>
        <ext uri="{3e2802c4-a4d2-4d8b-9148-e3be6c30e623}">
          <xlrd:rvb i="589"/>
        </ext>
      </extLst>
    </bk>
    <bk>
      <extLst>
        <ext uri="{3e2802c4-a4d2-4d8b-9148-e3be6c30e623}">
          <xlrd:rvb i="590"/>
        </ext>
      </extLst>
    </bk>
    <bk>
      <extLst>
        <ext uri="{3e2802c4-a4d2-4d8b-9148-e3be6c30e623}">
          <xlrd:rvb i="591"/>
        </ext>
      </extLst>
    </bk>
    <bk>
      <extLst>
        <ext uri="{3e2802c4-a4d2-4d8b-9148-e3be6c30e623}">
          <xlrd:rvb i="592"/>
        </ext>
      </extLst>
    </bk>
    <bk>
      <extLst>
        <ext uri="{3e2802c4-a4d2-4d8b-9148-e3be6c30e623}">
          <xlrd:rvb i="593"/>
        </ext>
      </extLst>
    </bk>
    <bk>
      <extLst>
        <ext uri="{3e2802c4-a4d2-4d8b-9148-e3be6c30e623}">
          <xlrd:rvb i="594"/>
        </ext>
      </extLst>
    </bk>
    <bk>
      <extLst>
        <ext uri="{3e2802c4-a4d2-4d8b-9148-e3be6c30e623}">
          <xlrd:rvb i="595"/>
        </ext>
      </extLst>
    </bk>
    <bk>
      <extLst>
        <ext uri="{3e2802c4-a4d2-4d8b-9148-e3be6c30e623}">
          <xlrd:rvb i="596"/>
        </ext>
      </extLst>
    </bk>
    <bk>
      <extLst>
        <ext uri="{3e2802c4-a4d2-4d8b-9148-e3be6c30e623}">
          <xlrd:rvb i="597"/>
        </ext>
      </extLst>
    </bk>
    <bk>
      <extLst>
        <ext uri="{3e2802c4-a4d2-4d8b-9148-e3be6c30e623}">
          <xlrd:rvb i="598"/>
        </ext>
      </extLst>
    </bk>
    <bk>
      <extLst>
        <ext uri="{3e2802c4-a4d2-4d8b-9148-e3be6c30e623}">
          <xlrd:rvb i="599"/>
        </ext>
      </extLst>
    </bk>
    <bk>
      <extLst>
        <ext uri="{3e2802c4-a4d2-4d8b-9148-e3be6c30e623}">
          <xlrd:rvb i="600"/>
        </ext>
      </extLst>
    </bk>
    <bk>
      <extLst>
        <ext uri="{3e2802c4-a4d2-4d8b-9148-e3be6c30e623}">
          <xlrd:rvb i="601"/>
        </ext>
      </extLst>
    </bk>
    <bk>
      <extLst>
        <ext uri="{3e2802c4-a4d2-4d8b-9148-e3be6c30e623}">
          <xlrd:rvb i="602"/>
        </ext>
      </extLst>
    </bk>
    <bk>
      <extLst>
        <ext uri="{3e2802c4-a4d2-4d8b-9148-e3be6c30e623}">
          <xlrd:rvb i="603"/>
        </ext>
      </extLst>
    </bk>
    <bk>
      <extLst>
        <ext uri="{3e2802c4-a4d2-4d8b-9148-e3be6c30e623}">
          <xlrd:rvb i="604"/>
        </ext>
      </extLst>
    </bk>
    <bk>
      <extLst>
        <ext uri="{3e2802c4-a4d2-4d8b-9148-e3be6c30e623}">
          <xlrd:rvb i="605"/>
        </ext>
      </extLst>
    </bk>
    <bk>
      <extLst>
        <ext uri="{3e2802c4-a4d2-4d8b-9148-e3be6c30e623}">
          <xlrd:rvb i="606"/>
        </ext>
      </extLst>
    </bk>
    <bk>
      <extLst>
        <ext uri="{3e2802c4-a4d2-4d8b-9148-e3be6c30e623}">
          <xlrd:rvb i="607"/>
        </ext>
      </extLst>
    </bk>
    <bk>
      <extLst>
        <ext uri="{3e2802c4-a4d2-4d8b-9148-e3be6c30e623}">
          <xlrd:rvb i="608"/>
        </ext>
      </extLst>
    </bk>
    <bk>
      <extLst>
        <ext uri="{3e2802c4-a4d2-4d8b-9148-e3be6c30e623}">
          <xlrd:rvb i="609"/>
        </ext>
      </extLst>
    </bk>
    <bk>
      <extLst>
        <ext uri="{3e2802c4-a4d2-4d8b-9148-e3be6c30e623}">
          <xlrd:rvb i="610"/>
        </ext>
      </extLst>
    </bk>
    <bk>
      <extLst>
        <ext uri="{3e2802c4-a4d2-4d8b-9148-e3be6c30e623}">
          <xlrd:rvb i="611"/>
        </ext>
      </extLst>
    </bk>
    <bk>
      <extLst>
        <ext uri="{3e2802c4-a4d2-4d8b-9148-e3be6c30e623}">
          <xlrd:rvb i="612"/>
        </ext>
      </extLst>
    </bk>
    <bk>
      <extLst>
        <ext uri="{3e2802c4-a4d2-4d8b-9148-e3be6c30e623}">
          <xlrd:rvb i="613"/>
        </ext>
      </extLst>
    </bk>
    <bk>
      <extLst>
        <ext uri="{3e2802c4-a4d2-4d8b-9148-e3be6c30e623}">
          <xlrd:rvb i="614"/>
        </ext>
      </extLst>
    </bk>
    <bk>
      <extLst>
        <ext uri="{3e2802c4-a4d2-4d8b-9148-e3be6c30e623}">
          <xlrd:rvb i="615"/>
        </ext>
      </extLst>
    </bk>
    <bk>
      <extLst>
        <ext uri="{3e2802c4-a4d2-4d8b-9148-e3be6c30e623}">
          <xlrd:rvb i="616"/>
        </ext>
      </extLst>
    </bk>
    <bk>
      <extLst>
        <ext uri="{3e2802c4-a4d2-4d8b-9148-e3be6c30e623}">
          <xlrd:rvb i="617"/>
        </ext>
      </extLst>
    </bk>
    <bk>
      <extLst>
        <ext uri="{3e2802c4-a4d2-4d8b-9148-e3be6c30e623}">
          <xlrd:rvb i="618"/>
        </ext>
      </extLst>
    </bk>
    <bk>
      <extLst>
        <ext uri="{3e2802c4-a4d2-4d8b-9148-e3be6c30e623}">
          <xlrd:rvb i="619"/>
        </ext>
      </extLst>
    </bk>
    <bk>
      <extLst>
        <ext uri="{3e2802c4-a4d2-4d8b-9148-e3be6c30e623}">
          <xlrd:rvb i="620"/>
        </ext>
      </extLst>
    </bk>
    <bk>
      <extLst>
        <ext uri="{3e2802c4-a4d2-4d8b-9148-e3be6c30e623}">
          <xlrd:rvb i="621"/>
        </ext>
      </extLst>
    </bk>
    <bk>
      <extLst>
        <ext uri="{3e2802c4-a4d2-4d8b-9148-e3be6c30e623}">
          <xlrd:rvb i="622"/>
        </ext>
      </extLst>
    </bk>
    <bk>
      <extLst>
        <ext uri="{3e2802c4-a4d2-4d8b-9148-e3be6c30e623}">
          <xlrd:rvb i="623"/>
        </ext>
      </extLst>
    </bk>
    <bk>
      <extLst>
        <ext uri="{3e2802c4-a4d2-4d8b-9148-e3be6c30e623}">
          <xlrd:rvb i="624"/>
        </ext>
      </extLst>
    </bk>
    <bk>
      <extLst>
        <ext uri="{3e2802c4-a4d2-4d8b-9148-e3be6c30e623}">
          <xlrd:rvb i="625"/>
        </ext>
      </extLst>
    </bk>
    <bk>
      <extLst>
        <ext uri="{3e2802c4-a4d2-4d8b-9148-e3be6c30e623}">
          <xlrd:rvb i="626"/>
        </ext>
      </extLst>
    </bk>
    <bk>
      <extLst>
        <ext uri="{3e2802c4-a4d2-4d8b-9148-e3be6c30e623}">
          <xlrd:rvb i="627"/>
        </ext>
      </extLst>
    </bk>
    <bk>
      <extLst>
        <ext uri="{3e2802c4-a4d2-4d8b-9148-e3be6c30e623}">
          <xlrd:rvb i="628"/>
        </ext>
      </extLst>
    </bk>
    <bk>
      <extLst>
        <ext uri="{3e2802c4-a4d2-4d8b-9148-e3be6c30e623}">
          <xlrd:rvb i="629"/>
        </ext>
      </extLst>
    </bk>
    <bk>
      <extLst>
        <ext uri="{3e2802c4-a4d2-4d8b-9148-e3be6c30e623}">
          <xlrd:rvb i="630"/>
        </ext>
      </extLst>
    </bk>
    <bk>
      <extLst>
        <ext uri="{3e2802c4-a4d2-4d8b-9148-e3be6c30e623}">
          <xlrd:rvb i="631"/>
        </ext>
      </extLst>
    </bk>
    <bk>
      <extLst>
        <ext uri="{3e2802c4-a4d2-4d8b-9148-e3be6c30e623}">
          <xlrd:rvb i="632"/>
        </ext>
      </extLst>
    </bk>
    <bk>
      <extLst>
        <ext uri="{3e2802c4-a4d2-4d8b-9148-e3be6c30e623}">
          <xlrd:rvb i="633"/>
        </ext>
      </extLst>
    </bk>
    <bk>
      <extLst>
        <ext uri="{3e2802c4-a4d2-4d8b-9148-e3be6c30e623}">
          <xlrd:rvb i="634"/>
        </ext>
      </extLst>
    </bk>
    <bk>
      <extLst>
        <ext uri="{3e2802c4-a4d2-4d8b-9148-e3be6c30e623}">
          <xlrd:rvb i="635"/>
        </ext>
      </extLst>
    </bk>
    <bk>
      <extLst>
        <ext uri="{3e2802c4-a4d2-4d8b-9148-e3be6c30e623}">
          <xlrd:rvb i="636"/>
        </ext>
      </extLst>
    </bk>
    <bk>
      <extLst>
        <ext uri="{3e2802c4-a4d2-4d8b-9148-e3be6c30e623}">
          <xlrd:rvb i="637"/>
        </ext>
      </extLst>
    </bk>
    <bk>
      <extLst>
        <ext uri="{3e2802c4-a4d2-4d8b-9148-e3be6c30e623}">
          <xlrd:rvb i="638"/>
        </ext>
      </extLst>
    </bk>
    <bk>
      <extLst>
        <ext uri="{3e2802c4-a4d2-4d8b-9148-e3be6c30e623}">
          <xlrd:rvb i="639"/>
        </ext>
      </extLst>
    </bk>
    <bk>
      <extLst>
        <ext uri="{3e2802c4-a4d2-4d8b-9148-e3be6c30e623}">
          <xlrd:rvb i="640"/>
        </ext>
      </extLst>
    </bk>
    <bk>
      <extLst>
        <ext uri="{3e2802c4-a4d2-4d8b-9148-e3be6c30e623}">
          <xlrd:rvb i="641"/>
        </ext>
      </extLst>
    </bk>
    <bk>
      <extLst>
        <ext uri="{3e2802c4-a4d2-4d8b-9148-e3be6c30e623}">
          <xlrd:rvb i="642"/>
        </ext>
      </extLst>
    </bk>
    <bk>
      <extLst>
        <ext uri="{3e2802c4-a4d2-4d8b-9148-e3be6c30e623}">
          <xlrd:rvb i="643"/>
        </ext>
      </extLst>
    </bk>
    <bk>
      <extLst>
        <ext uri="{3e2802c4-a4d2-4d8b-9148-e3be6c30e623}">
          <xlrd:rvb i="644"/>
        </ext>
      </extLst>
    </bk>
    <bk>
      <extLst>
        <ext uri="{3e2802c4-a4d2-4d8b-9148-e3be6c30e623}">
          <xlrd:rvb i="645"/>
        </ext>
      </extLst>
    </bk>
    <bk>
      <extLst>
        <ext uri="{3e2802c4-a4d2-4d8b-9148-e3be6c30e623}">
          <xlrd:rvb i="646"/>
        </ext>
      </extLst>
    </bk>
    <bk>
      <extLst>
        <ext uri="{3e2802c4-a4d2-4d8b-9148-e3be6c30e623}">
          <xlrd:rvb i="647"/>
        </ext>
      </extLst>
    </bk>
    <bk>
      <extLst>
        <ext uri="{3e2802c4-a4d2-4d8b-9148-e3be6c30e623}">
          <xlrd:rvb i="648"/>
        </ext>
      </extLst>
    </bk>
    <bk>
      <extLst>
        <ext uri="{3e2802c4-a4d2-4d8b-9148-e3be6c30e623}">
          <xlrd:rvb i="649"/>
        </ext>
      </extLst>
    </bk>
    <bk>
      <extLst>
        <ext uri="{3e2802c4-a4d2-4d8b-9148-e3be6c30e623}">
          <xlrd:rvb i="650"/>
        </ext>
      </extLst>
    </bk>
    <bk>
      <extLst>
        <ext uri="{3e2802c4-a4d2-4d8b-9148-e3be6c30e623}">
          <xlrd:rvb i="651"/>
        </ext>
      </extLst>
    </bk>
    <bk>
      <extLst>
        <ext uri="{3e2802c4-a4d2-4d8b-9148-e3be6c30e623}">
          <xlrd:rvb i="652"/>
        </ext>
      </extLst>
    </bk>
    <bk>
      <extLst>
        <ext uri="{3e2802c4-a4d2-4d8b-9148-e3be6c30e623}">
          <xlrd:rvb i="653"/>
        </ext>
      </extLst>
    </bk>
    <bk>
      <extLst>
        <ext uri="{3e2802c4-a4d2-4d8b-9148-e3be6c30e623}">
          <xlrd:rvb i="654"/>
        </ext>
      </extLst>
    </bk>
    <bk>
      <extLst>
        <ext uri="{3e2802c4-a4d2-4d8b-9148-e3be6c30e623}">
          <xlrd:rvb i="655"/>
        </ext>
      </extLst>
    </bk>
    <bk>
      <extLst>
        <ext uri="{3e2802c4-a4d2-4d8b-9148-e3be6c30e623}">
          <xlrd:rvb i="656"/>
        </ext>
      </extLst>
    </bk>
    <bk>
      <extLst>
        <ext uri="{3e2802c4-a4d2-4d8b-9148-e3be6c30e623}">
          <xlrd:rvb i="657"/>
        </ext>
      </extLst>
    </bk>
    <bk>
      <extLst>
        <ext uri="{3e2802c4-a4d2-4d8b-9148-e3be6c30e623}">
          <xlrd:rvb i="658"/>
        </ext>
      </extLst>
    </bk>
    <bk>
      <extLst>
        <ext uri="{3e2802c4-a4d2-4d8b-9148-e3be6c30e623}">
          <xlrd:rvb i="659"/>
        </ext>
      </extLst>
    </bk>
    <bk>
      <extLst>
        <ext uri="{3e2802c4-a4d2-4d8b-9148-e3be6c30e623}">
          <xlrd:rvb i="660"/>
        </ext>
      </extLst>
    </bk>
    <bk>
      <extLst>
        <ext uri="{3e2802c4-a4d2-4d8b-9148-e3be6c30e623}">
          <xlrd:rvb i="661"/>
        </ext>
      </extLst>
    </bk>
    <bk>
      <extLst>
        <ext uri="{3e2802c4-a4d2-4d8b-9148-e3be6c30e623}">
          <xlrd:rvb i="662"/>
        </ext>
      </extLst>
    </bk>
    <bk>
      <extLst>
        <ext uri="{3e2802c4-a4d2-4d8b-9148-e3be6c30e623}">
          <xlrd:rvb i="663"/>
        </ext>
      </extLst>
    </bk>
    <bk>
      <extLst>
        <ext uri="{3e2802c4-a4d2-4d8b-9148-e3be6c30e623}">
          <xlrd:rvb i="664"/>
        </ext>
      </extLst>
    </bk>
    <bk>
      <extLst>
        <ext uri="{3e2802c4-a4d2-4d8b-9148-e3be6c30e623}">
          <xlrd:rvb i="665"/>
        </ext>
      </extLst>
    </bk>
    <bk>
      <extLst>
        <ext uri="{3e2802c4-a4d2-4d8b-9148-e3be6c30e623}">
          <xlrd:rvb i="666"/>
        </ext>
      </extLst>
    </bk>
    <bk>
      <extLst>
        <ext uri="{3e2802c4-a4d2-4d8b-9148-e3be6c30e623}">
          <xlrd:rvb i="667"/>
        </ext>
      </extLst>
    </bk>
    <bk>
      <extLst>
        <ext uri="{3e2802c4-a4d2-4d8b-9148-e3be6c30e623}">
          <xlrd:rvb i="668"/>
        </ext>
      </extLst>
    </bk>
    <bk>
      <extLst>
        <ext uri="{3e2802c4-a4d2-4d8b-9148-e3be6c30e623}">
          <xlrd:rvb i="669"/>
        </ext>
      </extLst>
    </bk>
    <bk>
      <extLst>
        <ext uri="{3e2802c4-a4d2-4d8b-9148-e3be6c30e623}">
          <xlrd:rvb i="670"/>
        </ext>
      </extLst>
    </bk>
    <bk>
      <extLst>
        <ext uri="{3e2802c4-a4d2-4d8b-9148-e3be6c30e623}">
          <xlrd:rvb i="671"/>
        </ext>
      </extLst>
    </bk>
    <bk>
      <extLst>
        <ext uri="{3e2802c4-a4d2-4d8b-9148-e3be6c30e623}">
          <xlrd:rvb i="672"/>
        </ext>
      </extLst>
    </bk>
    <bk>
      <extLst>
        <ext uri="{3e2802c4-a4d2-4d8b-9148-e3be6c30e623}">
          <xlrd:rvb i="673"/>
        </ext>
      </extLst>
    </bk>
    <bk>
      <extLst>
        <ext uri="{3e2802c4-a4d2-4d8b-9148-e3be6c30e623}">
          <xlrd:rvb i="674"/>
        </ext>
      </extLst>
    </bk>
    <bk>
      <extLst>
        <ext uri="{3e2802c4-a4d2-4d8b-9148-e3be6c30e623}">
          <xlrd:rvb i="675"/>
        </ext>
      </extLst>
    </bk>
    <bk>
      <extLst>
        <ext uri="{3e2802c4-a4d2-4d8b-9148-e3be6c30e623}">
          <xlrd:rvb i="676"/>
        </ext>
      </extLst>
    </bk>
    <bk>
      <extLst>
        <ext uri="{3e2802c4-a4d2-4d8b-9148-e3be6c30e623}">
          <xlrd:rvb i="677"/>
        </ext>
      </extLst>
    </bk>
    <bk>
      <extLst>
        <ext uri="{3e2802c4-a4d2-4d8b-9148-e3be6c30e623}">
          <xlrd:rvb i="678"/>
        </ext>
      </extLst>
    </bk>
    <bk>
      <extLst>
        <ext uri="{3e2802c4-a4d2-4d8b-9148-e3be6c30e623}">
          <xlrd:rvb i="679"/>
        </ext>
      </extLst>
    </bk>
    <bk>
      <extLst>
        <ext uri="{3e2802c4-a4d2-4d8b-9148-e3be6c30e623}">
          <xlrd:rvb i="680"/>
        </ext>
      </extLst>
    </bk>
    <bk>
      <extLst>
        <ext uri="{3e2802c4-a4d2-4d8b-9148-e3be6c30e623}">
          <xlrd:rvb i="681"/>
        </ext>
      </extLst>
    </bk>
    <bk>
      <extLst>
        <ext uri="{3e2802c4-a4d2-4d8b-9148-e3be6c30e623}">
          <xlrd:rvb i="682"/>
        </ext>
      </extLst>
    </bk>
    <bk>
      <extLst>
        <ext uri="{3e2802c4-a4d2-4d8b-9148-e3be6c30e623}">
          <xlrd:rvb i="683"/>
        </ext>
      </extLst>
    </bk>
    <bk>
      <extLst>
        <ext uri="{3e2802c4-a4d2-4d8b-9148-e3be6c30e623}">
          <xlrd:rvb i="684"/>
        </ext>
      </extLst>
    </bk>
    <bk>
      <extLst>
        <ext uri="{3e2802c4-a4d2-4d8b-9148-e3be6c30e623}">
          <xlrd:rvb i="685"/>
        </ext>
      </extLst>
    </bk>
    <bk>
      <extLst>
        <ext uri="{3e2802c4-a4d2-4d8b-9148-e3be6c30e623}">
          <xlrd:rvb i="686"/>
        </ext>
      </extLst>
    </bk>
    <bk>
      <extLst>
        <ext uri="{3e2802c4-a4d2-4d8b-9148-e3be6c30e623}">
          <xlrd:rvb i="687"/>
        </ext>
      </extLst>
    </bk>
    <bk>
      <extLst>
        <ext uri="{3e2802c4-a4d2-4d8b-9148-e3be6c30e623}">
          <xlrd:rvb i="688"/>
        </ext>
      </extLst>
    </bk>
    <bk>
      <extLst>
        <ext uri="{3e2802c4-a4d2-4d8b-9148-e3be6c30e623}">
          <xlrd:rvb i="689"/>
        </ext>
      </extLst>
    </bk>
    <bk>
      <extLst>
        <ext uri="{3e2802c4-a4d2-4d8b-9148-e3be6c30e623}">
          <xlrd:rvb i="690"/>
        </ext>
      </extLst>
    </bk>
    <bk>
      <extLst>
        <ext uri="{3e2802c4-a4d2-4d8b-9148-e3be6c30e623}">
          <xlrd:rvb i="691"/>
        </ext>
      </extLst>
    </bk>
    <bk>
      <extLst>
        <ext uri="{3e2802c4-a4d2-4d8b-9148-e3be6c30e623}">
          <xlrd:rvb i="692"/>
        </ext>
      </extLst>
    </bk>
    <bk>
      <extLst>
        <ext uri="{3e2802c4-a4d2-4d8b-9148-e3be6c30e623}">
          <xlrd:rvb i="693"/>
        </ext>
      </extLst>
    </bk>
    <bk>
      <extLst>
        <ext uri="{3e2802c4-a4d2-4d8b-9148-e3be6c30e623}">
          <xlrd:rvb i="694"/>
        </ext>
      </extLst>
    </bk>
    <bk>
      <extLst>
        <ext uri="{3e2802c4-a4d2-4d8b-9148-e3be6c30e623}">
          <xlrd:rvb i="695"/>
        </ext>
      </extLst>
    </bk>
    <bk>
      <extLst>
        <ext uri="{3e2802c4-a4d2-4d8b-9148-e3be6c30e623}">
          <xlrd:rvb i="696"/>
        </ext>
      </extLst>
    </bk>
    <bk>
      <extLst>
        <ext uri="{3e2802c4-a4d2-4d8b-9148-e3be6c30e623}">
          <xlrd:rvb i="697"/>
        </ext>
      </extLst>
    </bk>
    <bk>
      <extLst>
        <ext uri="{3e2802c4-a4d2-4d8b-9148-e3be6c30e623}">
          <xlrd:rvb i="698"/>
        </ext>
      </extLst>
    </bk>
    <bk>
      <extLst>
        <ext uri="{3e2802c4-a4d2-4d8b-9148-e3be6c30e623}">
          <xlrd:rvb i="699"/>
        </ext>
      </extLst>
    </bk>
    <bk>
      <extLst>
        <ext uri="{3e2802c4-a4d2-4d8b-9148-e3be6c30e623}">
          <xlrd:rvb i="700"/>
        </ext>
      </extLst>
    </bk>
    <bk>
      <extLst>
        <ext uri="{3e2802c4-a4d2-4d8b-9148-e3be6c30e623}">
          <xlrd:rvb i="701"/>
        </ext>
      </extLst>
    </bk>
    <bk>
      <extLst>
        <ext uri="{3e2802c4-a4d2-4d8b-9148-e3be6c30e623}">
          <xlrd:rvb i="702"/>
        </ext>
      </extLst>
    </bk>
    <bk>
      <extLst>
        <ext uri="{3e2802c4-a4d2-4d8b-9148-e3be6c30e623}">
          <xlrd:rvb i="703"/>
        </ext>
      </extLst>
    </bk>
    <bk>
      <extLst>
        <ext uri="{3e2802c4-a4d2-4d8b-9148-e3be6c30e623}">
          <xlrd:rvb i="704"/>
        </ext>
      </extLst>
    </bk>
    <bk>
      <extLst>
        <ext uri="{3e2802c4-a4d2-4d8b-9148-e3be6c30e623}">
          <xlrd:rvb i="705"/>
        </ext>
      </extLst>
    </bk>
    <bk>
      <extLst>
        <ext uri="{3e2802c4-a4d2-4d8b-9148-e3be6c30e623}">
          <xlrd:rvb i="706"/>
        </ext>
      </extLst>
    </bk>
    <bk>
      <extLst>
        <ext uri="{3e2802c4-a4d2-4d8b-9148-e3be6c30e623}">
          <xlrd:rvb i="707"/>
        </ext>
      </extLst>
    </bk>
    <bk>
      <extLst>
        <ext uri="{3e2802c4-a4d2-4d8b-9148-e3be6c30e623}">
          <xlrd:rvb i="708"/>
        </ext>
      </extLst>
    </bk>
    <bk>
      <extLst>
        <ext uri="{3e2802c4-a4d2-4d8b-9148-e3be6c30e623}">
          <xlrd:rvb i="709"/>
        </ext>
      </extLst>
    </bk>
    <bk>
      <extLst>
        <ext uri="{3e2802c4-a4d2-4d8b-9148-e3be6c30e623}">
          <xlrd:rvb i="710"/>
        </ext>
      </extLst>
    </bk>
    <bk>
      <extLst>
        <ext uri="{3e2802c4-a4d2-4d8b-9148-e3be6c30e623}">
          <xlrd:rvb i="711"/>
        </ext>
      </extLst>
    </bk>
    <bk>
      <extLst>
        <ext uri="{3e2802c4-a4d2-4d8b-9148-e3be6c30e623}">
          <xlrd:rvb i="712"/>
        </ext>
      </extLst>
    </bk>
    <bk>
      <extLst>
        <ext uri="{3e2802c4-a4d2-4d8b-9148-e3be6c30e623}">
          <xlrd:rvb i="713"/>
        </ext>
      </extLst>
    </bk>
    <bk>
      <extLst>
        <ext uri="{3e2802c4-a4d2-4d8b-9148-e3be6c30e623}">
          <xlrd:rvb i="714"/>
        </ext>
      </extLst>
    </bk>
    <bk>
      <extLst>
        <ext uri="{3e2802c4-a4d2-4d8b-9148-e3be6c30e623}">
          <xlrd:rvb i="715"/>
        </ext>
      </extLst>
    </bk>
    <bk>
      <extLst>
        <ext uri="{3e2802c4-a4d2-4d8b-9148-e3be6c30e623}">
          <xlrd:rvb i="716"/>
        </ext>
      </extLst>
    </bk>
    <bk>
      <extLst>
        <ext uri="{3e2802c4-a4d2-4d8b-9148-e3be6c30e623}">
          <xlrd:rvb i="717"/>
        </ext>
      </extLst>
    </bk>
    <bk>
      <extLst>
        <ext uri="{3e2802c4-a4d2-4d8b-9148-e3be6c30e623}">
          <xlrd:rvb i="718"/>
        </ext>
      </extLst>
    </bk>
    <bk>
      <extLst>
        <ext uri="{3e2802c4-a4d2-4d8b-9148-e3be6c30e623}">
          <xlrd:rvb i="719"/>
        </ext>
      </extLst>
    </bk>
    <bk>
      <extLst>
        <ext uri="{3e2802c4-a4d2-4d8b-9148-e3be6c30e623}">
          <xlrd:rvb i="720"/>
        </ext>
      </extLst>
    </bk>
    <bk>
      <extLst>
        <ext uri="{3e2802c4-a4d2-4d8b-9148-e3be6c30e623}">
          <xlrd:rvb i="721"/>
        </ext>
      </extLst>
    </bk>
    <bk>
      <extLst>
        <ext uri="{3e2802c4-a4d2-4d8b-9148-e3be6c30e623}">
          <xlrd:rvb i="722"/>
        </ext>
      </extLst>
    </bk>
    <bk>
      <extLst>
        <ext uri="{3e2802c4-a4d2-4d8b-9148-e3be6c30e623}">
          <xlrd:rvb i="723"/>
        </ext>
      </extLst>
    </bk>
    <bk>
      <extLst>
        <ext uri="{3e2802c4-a4d2-4d8b-9148-e3be6c30e623}">
          <xlrd:rvb i="724"/>
        </ext>
      </extLst>
    </bk>
    <bk>
      <extLst>
        <ext uri="{3e2802c4-a4d2-4d8b-9148-e3be6c30e623}">
          <xlrd:rvb i="725"/>
        </ext>
      </extLst>
    </bk>
    <bk>
      <extLst>
        <ext uri="{3e2802c4-a4d2-4d8b-9148-e3be6c30e623}">
          <xlrd:rvb i="726"/>
        </ext>
      </extLst>
    </bk>
    <bk>
      <extLst>
        <ext uri="{3e2802c4-a4d2-4d8b-9148-e3be6c30e623}">
          <xlrd:rvb i="727"/>
        </ext>
      </extLst>
    </bk>
    <bk>
      <extLst>
        <ext uri="{3e2802c4-a4d2-4d8b-9148-e3be6c30e623}">
          <xlrd:rvb i="728"/>
        </ext>
      </extLst>
    </bk>
    <bk>
      <extLst>
        <ext uri="{3e2802c4-a4d2-4d8b-9148-e3be6c30e623}">
          <xlrd:rvb i="729"/>
        </ext>
      </extLst>
    </bk>
    <bk>
      <extLst>
        <ext uri="{3e2802c4-a4d2-4d8b-9148-e3be6c30e623}">
          <xlrd:rvb i="730"/>
        </ext>
      </extLst>
    </bk>
    <bk>
      <extLst>
        <ext uri="{3e2802c4-a4d2-4d8b-9148-e3be6c30e623}">
          <xlrd:rvb i="731"/>
        </ext>
      </extLst>
    </bk>
    <bk>
      <extLst>
        <ext uri="{3e2802c4-a4d2-4d8b-9148-e3be6c30e623}">
          <xlrd:rvb i="732"/>
        </ext>
      </extLst>
    </bk>
    <bk>
      <extLst>
        <ext uri="{3e2802c4-a4d2-4d8b-9148-e3be6c30e623}">
          <xlrd:rvb i="733"/>
        </ext>
      </extLst>
    </bk>
    <bk>
      <extLst>
        <ext uri="{3e2802c4-a4d2-4d8b-9148-e3be6c30e623}">
          <xlrd:rvb i="734"/>
        </ext>
      </extLst>
    </bk>
    <bk>
      <extLst>
        <ext uri="{3e2802c4-a4d2-4d8b-9148-e3be6c30e623}">
          <xlrd:rvb i="735"/>
        </ext>
      </extLst>
    </bk>
    <bk>
      <extLst>
        <ext uri="{3e2802c4-a4d2-4d8b-9148-e3be6c30e623}">
          <xlrd:rvb i="736"/>
        </ext>
      </extLst>
    </bk>
    <bk>
      <extLst>
        <ext uri="{3e2802c4-a4d2-4d8b-9148-e3be6c30e623}">
          <xlrd:rvb i="737"/>
        </ext>
      </extLst>
    </bk>
    <bk>
      <extLst>
        <ext uri="{3e2802c4-a4d2-4d8b-9148-e3be6c30e623}">
          <xlrd:rvb i="738"/>
        </ext>
      </extLst>
    </bk>
    <bk>
      <extLst>
        <ext uri="{3e2802c4-a4d2-4d8b-9148-e3be6c30e623}">
          <xlrd:rvb i="739"/>
        </ext>
      </extLst>
    </bk>
    <bk>
      <extLst>
        <ext uri="{3e2802c4-a4d2-4d8b-9148-e3be6c30e623}">
          <xlrd:rvb i="740"/>
        </ext>
      </extLst>
    </bk>
    <bk>
      <extLst>
        <ext uri="{3e2802c4-a4d2-4d8b-9148-e3be6c30e623}">
          <xlrd:rvb i="741"/>
        </ext>
      </extLst>
    </bk>
    <bk>
      <extLst>
        <ext uri="{3e2802c4-a4d2-4d8b-9148-e3be6c30e623}">
          <xlrd:rvb i="742"/>
        </ext>
      </extLst>
    </bk>
    <bk>
      <extLst>
        <ext uri="{3e2802c4-a4d2-4d8b-9148-e3be6c30e623}">
          <xlrd:rvb i="743"/>
        </ext>
      </extLst>
    </bk>
    <bk>
      <extLst>
        <ext uri="{3e2802c4-a4d2-4d8b-9148-e3be6c30e623}">
          <xlrd:rvb i="744"/>
        </ext>
      </extLst>
    </bk>
    <bk>
      <extLst>
        <ext uri="{3e2802c4-a4d2-4d8b-9148-e3be6c30e623}">
          <xlrd:rvb i="745"/>
        </ext>
      </extLst>
    </bk>
    <bk>
      <extLst>
        <ext uri="{3e2802c4-a4d2-4d8b-9148-e3be6c30e623}">
          <xlrd:rvb i="746"/>
        </ext>
      </extLst>
    </bk>
    <bk>
      <extLst>
        <ext uri="{3e2802c4-a4d2-4d8b-9148-e3be6c30e623}">
          <xlrd:rvb i="747"/>
        </ext>
      </extLst>
    </bk>
    <bk>
      <extLst>
        <ext uri="{3e2802c4-a4d2-4d8b-9148-e3be6c30e623}">
          <xlrd:rvb i="748"/>
        </ext>
      </extLst>
    </bk>
    <bk>
      <extLst>
        <ext uri="{3e2802c4-a4d2-4d8b-9148-e3be6c30e623}">
          <xlrd:rvb i="749"/>
        </ext>
      </extLst>
    </bk>
    <bk>
      <extLst>
        <ext uri="{3e2802c4-a4d2-4d8b-9148-e3be6c30e623}">
          <xlrd:rvb i="750"/>
        </ext>
      </extLst>
    </bk>
    <bk>
      <extLst>
        <ext uri="{3e2802c4-a4d2-4d8b-9148-e3be6c30e623}">
          <xlrd:rvb i="751"/>
        </ext>
      </extLst>
    </bk>
    <bk>
      <extLst>
        <ext uri="{3e2802c4-a4d2-4d8b-9148-e3be6c30e623}">
          <xlrd:rvb i="752"/>
        </ext>
      </extLst>
    </bk>
    <bk>
      <extLst>
        <ext uri="{3e2802c4-a4d2-4d8b-9148-e3be6c30e623}">
          <xlrd:rvb i="753"/>
        </ext>
      </extLst>
    </bk>
    <bk>
      <extLst>
        <ext uri="{3e2802c4-a4d2-4d8b-9148-e3be6c30e623}">
          <xlrd:rvb i="754"/>
        </ext>
      </extLst>
    </bk>
    <bk>
      <extLst>
        <ext uri="{3e2802c4-a4d2-4d8b-9148-e3be6c30e623}">
          <xlrd:rvb i="755"/>
        </ext>
      </extLst>
    </bk>
    <bk>
      <extLst>
        <ext uri="{3e2802c4-a4d2-4d8b-9148-e3be6c30e623}">
          <xlrd:rvb i="756"/>
        </ext>
      </extLst>
    </bk>
    <bk>
      <extLst>
        <ext uri="{3e2802c4-a4d2-4d8b-9148-e3be6c30e623}">
          <xlrd:rvb i="757"/>
        </ext>
      </extLst>
    </bk>
    <bk>
      <extLst>
        <ext uri="{3e2802c4-a4d2-4d8b-9148-e3be6c30e623}">
          <xlrd:rvb i="758"/>
        </ext>
      </extLst>
    </bk>
    <bk>
      <extLst>
        <ext uri="{3e2802c4-a4d2-4d8b-9148-e3be6c30e623}">
          <xlrd:rvb i="759"/>
        </ext>
      </extLst>
    </bk>
    <bk>
      <extLst>
        <ext uri="{3e2802c4-a4d2-4d8b-9148-e3be6c30e623}">
          <xlrd:rvb i="760"/>
        </ext>
      </extLst>
    </bk>
    <bk>
      <extLst>
        <ext uri="{3e2802c4-a4d2-4d8b-9148-e3be6c30e623}">
          <xlrd:rvb i="761"/>
        </ext>
      </extLst>
    </bk>
    <bk>
      <extLst>
        <ext uri="{3e2802c4-a4d2-4d8b-9148-e3be6c30e623}">
          <xlrd:rvb i="762"/>
        </ext>
      </extLst>
    </bk>
    <bk>
      <extLst>
        <ext uri="{3e2802c4-a4d2-4d8b-9148-e3be6c30e623}">
          <xlrd:rvb i="763"/>
        </ext>
      </extLst>
    </bk>
    <bk>
      <extLst>
        <ext uri="{3e2802c4-a4d2-4d8b-9148-e3be6c30e623}">
          <xlrd:rvb i="764"/>
        </ext>
      </extLst>
    </bk>
    <bk>
      <extLst>
        <ext uri="{3e2802c4-a4d2-4d8b-9148-e3be6c30e623}">
          <xlrd:rvb i="765"/>
        </ext>
      </extLst>
    </bk>
    <bk>
      <extLst>
        <ext uri="{3e2802c4-a4d2-4d8b-9148-e3be6c30e623}">
          <xlrd:rvb i="766"/>
        </ext>
      </extLst>
    </bk>
    <bk>
      <extLst>
        <ext uri="{3e2802c4-a4d2-4d8b-9148-e3be6c30e623}">
          <xlrd:rvb i="767"/>
        </ext>
      </extLst>
    </bk>
    <bk>
      <extLst>
        <ext uri="{3e2802c4-a4d2-4d8b-9148-e3be6c30e623}">
          <xlrd:rvb i="768"/>
        </ext>
      </extLst>
    </bk>
    <bk>
      <extLst>
        <ext uri="{3e2802c4-a4d2-4d8b-9148-e3be6c30e623}">
          <xlrd:rvb i="769"/>
        </ext>
      </extLst>
    </bk>
    <bk>
      <extLst>
        <ext uri="{3e2802c4-a4d2-4d8b-9148-e3be6c30e623}">
          <xlrd:rvb i="770"/>
        </ext>
      </extLst>
    </bk>
    <bk>
      <extLst>
        <ext uri="{3e2802c4-a4d2-4d8b-9148-e3be6c30e623}">
          <xlrd:rvb i="771"/>
        </ext>
      </extLst>
    </bk>
    <bk>
      <extLst>
        <ext uri="{3e2802c4-a4d2-4d8b-9148-e3be6c30e623}">
          <xlrd:rvb i="772"/>
        </ext>
      </extLst>
    </bk>
    <bk>
      <extLst>
        <ext uri="{3e2802c4-a4d2-4d8b-9148-e3be6c30e623}">
          <xlrd:rvb i="773"/>
        </ext>
      </extLst>
    </bk>
    <bk>
      <extLst>
        <ext uri="{3e2802c4-a4d2-4d8b-9148-e3be6c30e623}">
          <xlrd:rvb i="774"/>
        </ext>
      </extLst>
    </bk>
    <bk>
      <extLst>
        <ext uri="{3e2802c4-a4d2-4d8b-9148-e3be6c30e623}">
          <xlrd:rvb i="775"/>
        </ext>
      </extLst>
    </bk>
    <bk>
      <extLst>
        <ext uri="{3e2802c4-a4d2-4d8b-9148-e3be6c30e623}">
          <xlrd:rvb i="776"/>
        </ext>
      </extLst>
    </bk>
    <bk>
      <extLst>
        <ext uri="{3e2802c4-a4d2-4d8b-9148-e3be6c30e623}">
          <xlrd:rvb i="777"/>
        </ext>
      </extLst>
    </bk>
    <bk>
      <extLst>
        <ext uri="{3e2802c4-a4d2-4d8b-9148-e3be6c30e623}">
          <xlrd:rvb i="778"/>
        </ext>
      </extLst>
    </bk>
    <bk>
      <extLst>
        <ext uri="{3e2802c4-a4d2-4d8b-9148-e3be6c30e623}">
          <xlrd:rvb i="779"/>
        </ext>
      </extLst>
    </bk>
    <bk>
      <extLst>
        <ext uri="{3e2802c4-a4d2-4d8b-9148-e3be6c30e623}">
          <xlrd:rvb i="780"/>
        </ext>
      </extLst>
    </bk>
    <bk>
      <extLst>
        <ext uri="{3e2802c4-a4d2-4d8b-9148-e3be6c30e623}">
          <xlrd:rvb i="781"/>
        </ext>
      </extLst>
    </bk>
    <bk>
      <extLst>
        <ext uri="{3e2802c4-a4d2-4d8b-9148-e3be6c30e623}">
          <xlrd:rvb i="782"/>
        </ext>
      </extLst>
    </bk>
    <bk>
      <extLst>
        <ext uri="{3e2802c4-a4d2-4d8b-9148-e3be6c30e623}">
          <xlrd:rvb i="783"/>
        </ext>
      </extLst>
    </bk>
    <bk>
      <extLst>
        <ext uri="{3e2802c4-a4d2-4d8b-9148-e3be6c30e623}">
          <xlrd:rvb i="784"/>
        </ext>
      </extLst>
    </bk>
    <bk>
      <extLst>
        <ext uri="{3e2802c4-a4d2-4d8b-9148-e3be6c30e623}">
          <xlrd:rvb i="785"/>
        </ext>
      </extLst>
    </bk>
    <bk>
      <extLst>
        <ext uri="{3e2802c4-a4d2-4d8b-9148-e3be6c30e623}">
          <xlrd:rvb i="786"/>
        </ext>
      </extLst>
    </bk>
    <bk>
      <extLst>
        <ext uri="{3e2802c4-a4d2-4d8b-9148-e3be6c30e623}">
          <xlrd:rvb i="787"/>
        </ext>
      </extLst>
    </bk>
    <bk>
      <extLst>
        <ext uri="{3e2802c4-a4d2-4d8b-9148-e3be6c30e623}">
          <xlrd:rvb i="788"/>
        </ext>
      </extLst>
    </bk>
    <bk>
      <extLst>
        <ext uri="{3e2802c4-a4d2-4d8b-9148-e3be6c30e623}">
          <xlrd:rvb i="789"/>
        </ext>
      </extLst>
    </bk>
    <bk>
      <extLst>
        <ext uri="{3e2802c4-a4d2-4d8b-9148-e3be6c30e623}">
          <xlrd:rvb i="790"/>
        </ext>
      </extLst>
    </bk>
    <bk>
      <extLst>
        <ext uri="{3e2802c4-a4d2-4d8b-9148-e3be6c30e623}">
          <xlrd:rvb i="791"/>
        </ext>
      </extLst>
    </bk>
    <bk>
      <extLst>
        <ext uri="{3e2802c4-a4d2-4d8b-9148-e3be6c30e623}">
          <xlrd:rvb i="792"/>
        </ext>
      </extLst>
    </bk>
    <bk>
      <extLst>
        <ext uri="{3e2802c4-a4d2-4d8b-9148-e3be6c30e623}">
          <xlrd:rvb i="793"/>
        </ext>
      </extLst>
    </bk>
    <bk>
      <extLst>
        <ext uri="{3e2802c4-a4d2-4d8b-9148-e3be6c30e623}">
          <xlrd:rvb i="794"/>
        </ext>
      </extLst>
    </bk>
    <bk>
      <extLst>
        <ext uri="{3e2802c4-a4d2-4d8b-9148-e3be6c30e623}">
          <xlrd:rvb i="795"/>
        </ext>
      </extLst>
    </bk>
    <bk>
      <extLst>
        <ext uri="{3e2802c4-a4d2-4d8b-9148-e3be6c30e623}">
          <xlrd:rvb i="796"/>
        </ext>
      </extLst>
    </bk>
    <bk>
      <extLst>
        <ext uri="{3e2802c4-a4d2-4d8b-9148-e3be6c30e623}">
          <xlrd:rvb i="797"/>
        </ext>
      </extLst>
    </bk>
    <bk>
      <extLst>
        <ext uri="{3e2802c4-a4d2-4d8b-9148-e3be6c30e623}">
          <xlrd:rvb i="798"/>
        </ext>
      </extLst>
    </bk>
    <bk>
      <extLst>
        <ext uri="{3e2802c4-a4d2-4d8b-9148-e3be6c30e623}">
          <xlrd:rvb i="799"/>
        </ext>
      </extLst>
    </bk>
    <bk>
      <extLst>
        <ext uri="{3e2802c4-a4d2-4d8b-9148-e3be6c30e623}">
          <xlrd:rvb i="800"/>
        </ext>
      </extLst>
    </bk>
    <bk>
      <extLst>
        <ext uri="{3e2802c4-a4d2-4d8b-9148-e3be6c30e623}">
          <xlrd:rvb i="801"/>
        </ext>
      </extLst>
    </bk>
    <bk>
      <extLst>
        <ext uri="{3e2802c4-a4d2-4d8b-9148-e3be6c30e623}">
          <xlrd:rvb i="802"/>
        </ext>
      </extLst>
    </bk>
    <bk>
      <extLst>
        <ext uri="{3e2802c4-a4d2-4d8b-9148-e3be6c30e623}">
          <xlrd:rvb i="803"/>
        </ext>
      </extLst>
    </bk>
    <bk>
      <extLst>
        <ext uri="{3e2802c4-a4d2-4d8b-9148-e3be6c30e623}">
          <xlrd:rvb i="804"/>
        </ext>
      </extLst>
    </bk>
    <bk>
      <extLst>
        <ext uri="{3e2802c4-a4d2-4d8b-9148-e3be6c30e623}">
          <xlrd:rvb i="805"/>
        </ext>
      </extLst>
    </bk>
    <bk>
      <extLst>
        <ext uri="{3e2802c4-a4d2-4d8b-9148-e3be6c30e623}">
          <xlrd:rvb i="806"/>
        </ext>
      </extLst>
    </bk>
    <bk>
      <extLst>
        <ext uri="{3e2802c4-a4d2-4d8b-9148-e3be6c30e623}">
          <xlrd:rvb i="807"/>
        </ext>
      </extLst>
    </bk>
    <bk>
      <extLst>
        <ext uri="{3e2802c4-a4d2-4d8b-9148-e3be6c30e623}">
          <xlrd:rvb i="808"/>
        </ext>
      </extLst>
    </bk>
    <bk>
      <extLst>
        <ext uri="{3e2802c4-a4d2-4d8b-9148-e3be6c30e623}">
          <xlrd:rvb i="809"/>
        </ext>
      </extLst>
    </bk>
    <bk>
      <extLst>
        <ext uri="{3e2802c4-a4d2-4d8b-9148-e3be6c30e623}">
          <xlrd:rvb i="810"/>
        </ext>
      </extLst>
    </bk>
    <bk>
      <extLst>
        <ext uri="{3e2802c4-a4d2-4d8b-9148-e3be6c30e623}">
          <xlrd:rvb i="811"/>
        </ext>
      </extLst>
    </bk>
    <bk>
      <extLst>
        <ext uri="{3e2802c4-a4d2-4d8b-9148-e3be6c30e623}">
          <xlrd:rvb i="812"/>
        </ext>
      </extLst>
    </bk>
    <bk>
      <extLst>
        <ext uri="{3e2802c4-a4d2-4d8b-9148-e3be6c30e623}">
          <xlrd:rvb i="813"/>
        </ext>
      </extLst>
    </bk>
    <bk>
      <extLst>
        <ext uri="{3e2802c4-a4d2-4d8b-9148-e3be6c30e623}">
          <xlrd:rvb i="814"/>
        </ext>
      </extLst>
    </bk>
    <bk>
      <extLst>
        <ext uri="{3e2802c4-a4d2-4d8b-9148-e3be6c30e623}">
          <xlrd:rvb i="815"/>
        </ext>
      </extLst>
    </bk>
    <bk>
      <extLst>
        <ext uri="{3e2802c4-a4d2-4d8b-9148-e3be6c30e623}">
          <xlrd:rvb i="816"/>
        </ext>
      </extLst>
    </bk>
    <bk>
      <extLst>
        <ext uri="{3e2802c4-a4d2-4d8b-9148-e3be6c30e623}">
          <xlrd:rvb i="817"/>
        </ext>
      </extLst>
    </bk>
    <bk>
      <extLst>
        <ext uri="{3e2802c4-a4d2-4d8b-9148-e3be6c30e623}">
          <xlrd:rvb i="818"/>
        </ext>
      </extLst>
    </bk>
    <bk>
      <extLst>
        <ext uri="{3e2802c4-a4d2-4d8b-9148-e3be6c30e623}">
          <xlrd:rvb i="819"/>
        </ext>
      </extLst>
    </bk>
    <bk>
      <extLst>
        <ext uri="{3e2802c4-a4d2-4d8b-9148-e3be6c30e623}">
          <xlrd:rvb i="820"/>
        </ext>
      </extLst>
    </bk>
    <bk>
      <extLst>
        <ext uri="{3e2802c4-a4d2-4d8b-9148-e3be6c30e623}">
          <xlrd:rvb i="821"/>
        </ext>
      </extLst>
    </bk>
    <bk>
      <extLst>
        <ext uri="{3e2802c4-a4d2-4d8b-9148-e3be6c30e623}">
          <xlrd:rvb i="822"/>
        </ext>
      </extLst>
    </bk>
    <bk>
      <extLst>
        <ext uri="{3e2802c4-a4d2-4d8b-9148-e3be6c30e623}">
          <xlrd:rvb i="823"/>
        </ext>
      </extLst>
    </bk>
    <bk>
      <extLst>
        <ext uri="{3e2802c4-a4d2-4d8b-9148-e3be6c30e623}">
          <xlrd:rvb i="824"/>
        </ext>
      </extLst>
    </bk>
    <bk>
      <extLst>
        <ext uri="{3e2802c4-a4d2-4d8b-9148-e3be6c30e623}">
          <xlrd:rvb i="825"/>
        </ext>
      </extLst>
    </bk>
    <bk>
      <extLst>
        <ext uri="{3e2802c4-a4d2-4d8b-9148-e3be6c30e623}">
          <xlrd:rvb i="826"/>
        </ext>
      </extLst>
    </bk>
    <bk>
      <extLst>
        <ext uri="{3e2802c4-a4d2-4d8b-9148-e3be6c30e623}">
          <xlrd:rvb i="827"/>
        </ext>
      </extLst>
    </bk>
    <bk>
      <extLst>
        <ext uri="{3e2802c4-a4d2-4d8b-9148-e3be6c30e623}">
          <xlrd:rvb i="828"/>
        </ext>
      </extLst>
    </bk>
    <bk>
      <extLst>
        <ext uri="{3e2802c4-a4d2-4d8b-9148-e3be6c30e623}">
          <xlrd:rvb i="829"/>
        </ext>
      </extLst>
    </bk>
    <bk>
      <extLst>
        <ext uri="{3e2802c4-a4d2-4d8b-9148-e3be6c30e623}">
          <xlrd:rvb i="830"/>
        </ext>
      </extLst>
    </bk>
    <bk>
      <extLst>
        <ext uri="{3e2802c4-a4d2-4d8b-9148-e3be6c30e623}">
          <xlrd:rvb i="831"/>
        </ext>
      </extLst>
    </bk>
    <bk>
      <extLst>
        <ext uri="{3e2802c4-a4d2-4d8b-9148-e3be6c30e623}">
          <xlrd:rvb i="832"/>
        </ext>
      </extLst>
    </bk>
    <bk>
      <extLst>
        <ext uri="{3e2802c4-a4d2-4d8b-9148-e3be6c30e623}">
          <xlrd:rvb i="833"/>
        </ext>
      </extLst>
    </bk>
    <bk>
      <extLst>
        <ext uri="{3e2802c4-a4d2-4d8b-9148-e3be6c30e623}">
          <xlrd:rvb i="834"/>
        </ext>
      </extLst>
    </bk>
    <bk>
      <extLst>
        <ext uri="{3e2802c4-a4d2-4d8b-9148-e3be6c30e623}">
          <xlrd:rvb i="835"/>
        </ext>
      </extLst>
    </bk>
    <bk>
      <extLst>
        <ext uri="{3e2802c4-a4d2-4d8b-9148-e3be6c30e623}">
          <xlrd:rvb i="836"/>
        </ext>
      </extLst>
    </bk>
    <bk>
      <extLst>
        <ext uri="{3e2802c4-a4d2-4d8b-9148-e3be6c30e623}">
          <xlrd:rvb i="837"/>
        </ext>
      </extLst>
    </bk>
    <bk>
      <extLst>
        <ext uri="{3e2802c4-a4d2-4d8b-9148-e3be6c30e623}">
          <xlrd:rvb i="838"/>
        </ext>
      </extLst>
    </bk>
    <bk>
      <extLst>
        <ext uri="{3e2802c4-a4d2-4d8b-9148-e3be6c30e623}">
          <xlrd:rvb i="839"/>
        </ext>
      </extLst>
    </bk>
    <bk>
      <extLst>
        <ext uri="{3e2802c4-a4d2-4d8b-9148-e3be6c30e623}">
          <xlrd:rvb i="840"/>
        </ext>
      </extLst>
    </bk>
    <bk>
      <extLst>
        <ext uri="{3e2802c4-a4d2-4d8b-9148-e3be6c30e623}">
          <xlrd:rvb i="841"/>
        </ext>
      </extLst>
    </bk>
    <bk>
      <extLst>
        <ext uri="{3e2802c4-a4d2-4d8b-9148-e3be6c30e623}">
          <xlrd:rvb i="842"/>
        </ext>
      </extLst>
    </bk>
    <bk>
      <extLst>
        <ext uri="{3e2802c4-a4d2-4d8b-9148-e3be6c30e623}">
          <xlrd:rvb i="843"/>
        </ext>
      </extLst>
    </bk>
    <bk>
      <extLst>
        <ext uri="{3e2802c4-a4d2-4d8b-9148-e3be6c30e623}">
          <xlrd:rvb i="844"/>
        </ext>
      </extLst>
    </bk>
    <bk>
      <extLst>
        <ext uri="{3e2802c4-a4d2-4d8b-9148-e3be6c30e623}">
          <xlrd:rvb i="845"/>
        </ext>
      </extLst>
    </bk>
    <bk>
      <extLst>
        <ext uri="{3e2802c4-a4d2-4d8b-9148-e3be6c30e623}">
          <xlrd:rvb i="846"/>
        </ext>
      </extLst>
    </bk>
    <bk>
      <extLst>
        <ext uri="{3e2802c4-a4d2-4d8b-9148-e3be6c30e623}">
          <xlrd:rvb i="847"/>
        </ext>
      </extLst>
    </bk>
    <bk>
      <extLst>
        <ext uri="{3e2802c4-a4d2-4d8b-9148-e3be6c30e623}">
          <xlrd:rvb i="848"/>
        </ext>
      </extLst>
    </bk>
    <bk>
      <extLst>
        <ext uri="{3e2802c4-a4d2-4d8b-9148-e3be6c30e623}">
          <xlrd:rvb i="849"/>
        </ext>
      </extLst>
    </bk>
    <bk>
      <extLst>
        <ext uri="{3e2802c4-a4d2-4d8b-9148-e3be6c30e623}">
          <xlrd:rvb i="850"/>
        </ext>
      </extLst>
    </bk>
    <bk>
      <extLst>
        <ext uri="{3e2802c4-a4d2-4d8b-9148-e3be6c30e623}">
          <xlrd:rvb i="851"/>
        </ext>
      </extLst>
    </bk>
    <bk>
      <extLst>
        <ext uri="{3e2802c4-a4d2-4d8b-9148-e3be6c30e623}">
          <xlrd:rvb i="852"/>
        </ext>
      </extLst>
    </bk>
    <bk>
      <extLst>
        <ext uri="{3e2802c4-a4d2-4d8b-9148-e3be6c30e623}">
          <xlrd:rvb i="853"/>
        </ext>
      </extLst>
    </bk>
    <bk>
      <extLst>
        <ext uri="{3e2802c4-a4d2-4d8b-9148-e3be6c30e623}">
          <xlrd:rvb i="854"/>
        </ext>
      </extLst>
    </bk>
    <bk>
      <extLst>
        <ext uri="{3e2802c4-a4d2-4d8b-9148-e3be6c30e623}">
          <xlrd:rvb i="855"/>
        </ext>
      </extLst>
    </bk>
    <bk>
      <extLst>
        <ext uri="{3e2802c4-a4d2-4d8b-9148-e3be6c30e623}">
          <xlrd:rvb i="856"/>
        </ext>
      </extLst>
    </bk>
    <bk>
      <extLst>
        <ext uri="{3e2802c4-a4d2-4d8b-9148-e3be6c30e623}">
          <xlrd:rvb i="857"/>
        </ext>
      </extLst>
    </bk>
    <bk>
      <extLst>
        <ext uri="{3e2802c4-a4d2-4d8b-9148-e3be6c30e623}">
          <xlrd:rvb i="858"/>
        </ext>
      </extLst>
    </bk>
    <bk>
      <extLst>
        <ext uri="{3e2802c4-a4d2-4d8b-9148-e3be6c30e623}">
          <xlrd:rvb i="859"/>
        </ext>
      </extLst>
    </bk>
    <bk>
      <extLst>
        <ext uri="{3e2802c4-a4d2-4d8b-9148-e3be6c30e623}">
          <xlrd:rvb i="860"/>
        </ext>
      </extLst>
    </bk>
    <bk>
      <extLst>
        <ext uri="{3e2802c4-a4d2-4d8b-9148-e3be6c30e623}">
          <xlrd:rvb i="861"/>
        </ext>
      </extLst>
    </bk>
    <bk>
      <extLst>
        <ext uri="{3e2802c4-a4d2-4d8b-9148-e3be6c30e623}">
          <xlrd:rvb i="862"/>
        </ext>
      </extLst>
    </bk>
    <bk>
      <extLst>
        <ext uri="{3e2802c4-a4d2-4d8b-9148-e3be6c30e623}">
          <xlrd:rvb i="863"/>
        </ext>
      </extLst>
    </bk>
    <bk>
      <extLst>
        <ext uri="{3e2802c4-a4d2-4d8b-9148-e3be6c30e623}">
          <xlrd:rvb i="864"/>
        </ext>
      </extLst>
    </bk>
    <bk>
      <extLst>
        <ext uri="{3e2802c4-a4d2-4d8b-9148-e3be6c30e623}">
          <xlrd:rvb i="865"/>
        </ext>
      </extLst>
    </bk>
    <bk>
      <extLst>
        <ext uri="{3e2802c4-a4d2-4d8b-9148-e3be6c30e623}">
          <xlrd:rvb i="866"/>
        </ext>
      </extLst>
    </bk>
    <bk>
      <extLst>
        <ext uri="{3e2802c4-a4d2-4d8b-9148-e3be6c30e623}">
          <xlrd:rvb i="867"/>
        </ext>
      </extLst>
    </bk>
    <bk>
      <extLst>
        <ext uri="{3e2802c4-a4d2-4d8b-9148-e3be6c30e623}">
          <xlrd:rvb i="868"/>
        </ext>
      </extLst>
    </bk>
    <bk>
      <extLst>
        <ext uri="{3e2802c4-a4d2-4d8b-9148-e3be6c30e623}">
          <xlrd:rvb i="869"/>
        </ext>
      </extLst>
    </bk>
    <bk>
      <extLst>
        <ext uri="{3e2802c4-a4d2-4d8b-9148-e3be6c30e623}">
          <xlrd:rvb i="870"/>
        </ext>
      </extLst>
    </bk>
    <bk>
      <extLst>
        <ext uri="{3e2802c4-a4d2-4d8b-9148-e3be6c30e623}">
          <xlrd:rvb i="871"/>
        </ext>
      </extLst>
    </bk>
    <bk>
      <extLst>
        <ext uri="{3e2802c4-a4d2-4d8b-9148-e3be6c30e623}">
          <xlrd:rvb i="872"/>
        </ext>
      </extLst>
    </bk>
    <bk>
      <extLst>
        <ext uri="{3e2802c4-a4d2-4d8b-9148-e3be6c30e623}">
          <xlrd:rvb i="873"/>
        </ext>
      </extLst>
    </bk>
    <bk>
      <extLst>
        <ext uri="{3e2802c4-a4d2-4d8b-9148-e3be6c30e623}">
          <xlrd:rvb i="874"/>
        </ext>
      </extLst>
    </bk>
    <bk>
      <extLst>
        <ext uri="{3e2802c4-a4d2-4d8b-9148-e3be6c30e623}">
          <xlrd:rvb i="875"/>
        </ext>
      </extLst>
    </bk>
    <bk>
      <extLst>
        <ext uri="{3e2802c4-a4d2-4d8b-9148-e3be6c30e623}">
          <xlrd:rvb i="876"/>
        </ext>
      </extLst>
    </bk>
    <bk>
      <extLst>
        <ext uri="{3e2802c4-a4d2-4d8b-9148-e3be6c30e623}">
          <xlrd:rvb i="877"/>
        </ext>
      </extLst>
    </bk>
    <bk>
      <extLst>
        <ext uri="{3e2802c4-a4d2-4d8b-9148-e3be6c30e623}">
          <xlrd:rvb i="878"/>
        </ext>
      </extLst>
    </bk>
    <bk>
      <extLst>
        <ext uri="{3e2802c4-a4d2-4d8b-9148-e3be6c30e623}">
          <xlrd:rvb i="879"/>
        </ext>
      </extLst>
    </bk>
    <bk>
      <extLst>
        <ext uri="{3e2802c4-a4d2-4d8b-9148-e3be6c30e623}">
          <xlrd:rvb i="880"/>
        </ext>
      </extLst>
    </bk>
    <bk>
      <extLst>
        <ext uri="{3e2802c4-a4d2-4d8b-9148-e3be6c30e623}">
          <xlrd:rvb i="881"/>
        </ext>
      </extLst>
    </bk>
    <bk>
      <extLst>
        <ext uri="{3e2802c4-a4d2-4d8b-9148-e3be6c30e623}">
          <xlrd:rvb i="882"/>
        </ext>
      </extLst>
    </bk>
    <bk>
      <extLst>
        <ext uri="{3e2802c4-a4d2-4d8b-9148-e3be6c30e623}">
          <xlrd:rvb i="883"/>
        </ext>
      </extLst>
    </bk>
    <bk>
      <extLst>
        <ext uri="{3e2802c4-a4d2-4d8b-9148-e3be6c30e623}">
          <xlrd:rvb i="884"/>
        </ext>
      </extLst>
    </bk>
    <bk>
      <extLst>
        <ext uri="{3e2802c4-a4d2-4d8b-9148-e3be6c30e623}">
          <xlrd:rvb i="885"/>
        </ext>
      </extLst>
    </bk>
    <bk>
      <extLst>
        <ext uri="{3e2802c4-a4d2-4d8b-9148-e3be6c30e623}">
          <xlrd:rvb i="886"/>
        </ext>
      </extLst>
    </bk>
    <bk>
      <extLst>
        <ext uri="{3e2802c4-a4d2-4d8b-9148-e3be6c30e623}">
          <xlrd:rvb i="887"/>
        </ext>
      </extLst>
    </bk>
    <bk>
      <extLst>
        <ext uri="{3e2802c4-a4d2-4d8b-9148-e3be6c30e623}">
          <xlrd:rvb i="888"/>
        </ext>
      </extLst>
    </bk>
    <bk>
      <extLst>
        <ext uri="{3e2802c4-a4d2-4d8b-9148-e3be6c30e623}">
          <xlrd:rvb i="889"/>
        </ext>
      </extLst>
    </bk>
    <bk>
      <extLst>
        <ext uri="{3e2802c4-a4d2-4d8b-9148-e3be6c30e623}">
          <xlrd:rvb i="890"/>
        </ext>
      </extLst>
    </bk>
    <bk>
      <extLst>
        <ext uri="{3e2802c4-a4d2-4d8b-9148-e3be6c30e623}">
          <xlrd:rvb i="891"/>
        </ext>
      </extLst>
    </bk>
    <bk>
      <extLst>
        <ext uri="{3e2802c4-a4d2-4d8b-9148-e3be6c30e623}">
          <xlrd:rvb i="892"/>
        </ext>
      </extLst>
    </bk>
    <bk>
      <extLst>
        <ext uri="{3e2802c4-a4d2-4d8b-9148-e3be6c30e623}">
          <xlrd:rvb i="893"/>
        </ext>
      </extLst>
    </bk>
    <bk>
      <extLst>
        <ext uri="{3e2802c4-a4d2-4d8b-9148-e3be6c30e623}">
          <xlrd:rvb i="894"/>
        </ext>
      </extLst>
    </bk>
    <bk>
      <extLst>
        <ext uri="{3e2802c4-a4d2-4d8b-9148-e3be6c30e623}">
          <xlrd:rvb i="895"/>
        </ext>
      </extLst>
    </bk>
    <bk>
      <extLst>
        <ext uri="{3e2802c4-a4d2-4d8b-9148-e3be6c30e623}">
          <xlrd:rvb i="896"/>
        </ext>
      </extLst>
    </bk>
    <bk>
      <extLst>
        <ext uri="{3e2802c4-a4d2-4d8b-9148-e3be6c30e623}">
          <xlrd:rvb i="897"/>
        </ext>
      </extLst>
    </bk>
    <bk>
      <extLst>
        <ext uri="{3e2802c4-a4d2-4d8b-9148-e3be6c30e623}">
          <xlrd:rvb i="898"/>
        </ext>
      </extLst>
    </bk>
    <bk>
      <extLst>
        <ext uri="{3e2802c4-a4d2-4d8b-9148-e3be6c30e623}">
          <xlrd:rvb i="899"/>
        </ext>
      </extLst>
    </bk>
    <bk>
      <extLst>
        <ext uri="{3e2802c4-a4d2-4d8b-9148-e3be6c30e623}">
          <xlrd:rvb i="900"/>
        </ext>
      </extLst>
    </bk>
    <bk>
      <extLst>
        <ext uri="{3e2802c4-a4d2-4d8b-9148-e3be6c30e623}">
          <xlrd:rvb i="901"/>
        </ext>
      </extLst>
    </bk>
    <bk>
      <extLst>
        <ext uri="{3e2802c4-a4d2-4d8b-9148-e3be6c30e623}">
          <xlrd:rvb i="902"/>
        </ext>
      </extLst>
    </bk>
    <bk>
      <extLst>
        <ext uri="{3e2802c4-a4d2-4d8b-9148-e3be6c30e623}">
          <xlrd:rvb i="903"/>
        </ext>
      </extLst>
    </bk>
    <bk>
      <extLst>
        <ext uri="{3e2802c4-a4d2-4d8b-9148-e3be6c30e623}">
          <xlrd:rvb i="904"/>
        </ext>
      </extLst>
    </bk>
    <bk>
      <extLst>
        <ext uri="{3e2802c4-a4d2-4d8b-9148-e3be6c30e623}">
          <xlrd:rvb i="905"/>
        </ext>
      </extLst>
    </bk>
    <bk>
      <extLst>
        <ext uri="{3e2802c4-a4d2-4d8b-9148-e3be6c30e623}">
          <xlrd:rvb i="906"/>
        </ext>
      </extLst>
    </bk>
    <bk>
      <extLst>
        <ext uri="{3e2802c4-a4d2-4d8b-9148-e3be6c30e623}">
          <xlrd:rvb i="907"/>
        </ext>
      </extLst>
    </bk>
    <bk>
      <extLst>
        <ext uri="{3e2802c4-a4d2-4d8b-9148-e3be6c30e623}">
          <xlrd:rvb i="908"/>
        </ext>
      </extLst>
    </bk>
    <bk>
      <extLst>
        <ext uri="{3e2802c4-a4d2-4d8b-9148-e3be6c30e623}">
          <xlrd:rvb i="909"/>
        </ext>
      </extLst>
    </bk>
    <bk>
      <extLst>
        <ext uri="{3e2802c4-a4d2-4d8b-9148-e3be6c30e623}">
          <xlrd:rvb i="910"/>
        </ext>
      </extLst>
    </bk>
    <bk>
      <extLst>
        <ext uri="{3e2802c4-a4d2-4d8b-9148-e3be6c30e623}">
          <xlrd:rvb i="911"/>
        </ext>
      </extLst>
    </bk>
    <bk>
      <extLst>
        <ext uri="{3e2802c4-a4d2-4d8b-9148-e3be6c30e623}">
          <xlrd:rvb i="912"/>
        </ext>
      </extLst>
    </bk>
    <bk>
      <extLst>
        <ext uri="{3e2802c4-a4d2-4d8b-9148-e3be6c30e623}">
          <xlrd:rvb i="913"/>
        </ext>
      </extLst>
    </bk>
    <bk>
      <extLst>
        <ext uri="{3e2802c4-a4d2-4d8b-9148-e3be6c30e623}">
          <xlrd:rvb i="914"/>
        </ext>
      </extLst>
    </bk>
    <bk>
      <extLst>
        <ext uri="{3e2802c4-a4d2-4d8b-9148-e3be6c30e623}">
          <xlrd:rvb i="915"/>
        </ext>
      </extLst>
    </bk>
    <bk>
      <extLst>
        <ext uri="{3e2802c4-a4d2-4d8b-9148-e3be6c30e623}">
          <xlrd:rvb i="916"/>
        </ext>
      </extLst>
    </bk>
    <bk>
      <extLst>
        <ext uri="{3e2802c4-a4d2-4d8b-9148-e3be6c30e623}">
          <xlrd:rvb i="917"/>
        </ext>
      </extLst>
    </bk>
    <bk>
      <extLst>
        <ext uri="{3e2802c4-a4d2-4d8b-9148-e3be6c30e623}">
          <xlrd:rvb i="918"/>
        </ext>
      </extLst>
    </bk>
    <bk>
      <extLst>
        <ext uri="{3e2802c4-a4d2-4d8b-9148-e3be6c30e623}">
          <xlrd:rvb i="919"/>
        </ext>
      </extLst>
    </bk>
    <bk>
      <extLst>
        <ext uri="{3e2802c4-a4d2-4d8b-9148-e3be6c30e623}">
          <xlrd:rvb i="920"/>
        </ext>
      </extLst>
    </bk>
    <bk>
      <extLst>
        <ext uri="{3e2802c4-a4d2-4d8b-9148-e3be6c30e623}">
          <xlrd:rvb i="921"/>
        </ext>
      </extLst>
    </bk>
    <bk>
      <extLst>
        <ext uri="{3e2802c4-a4d2-4d8b-9148-e3be6c30e623}">
          <xlrd:rvb i="922"/>
        </ext>
      </extLst>
    </bk>
    <bk>
      <extLst>
        <ext uri="{3e2802c4-a4d2-4d8b-9148-e3be6c30e623}">
          <xlrd:rvb i="923"/>
        </ext>
      </extLst>
    </bk>
    <bk>
      <extLst>
        <ext uri="{3e2802c4-a4d2-4d8b-9148-e3be6c30e623}">
          <xlrd:rvb i="924"/>
        </ext>
      </extLst>
    </bk>
    <bk>
      <extLst>
        <ext uri="{3e2802c4-a4d2-4d8b-9148-e3be6c30e623}">
          <xlrd:rvb i="925"/>
        </ext>
      </extLst>
    </bk>
    <bk>
      <extLst>
        <ext uri="{3e2802c4-a4d2-4d8b-9148-e3be6c30e623}">
          <xlrd:rvb i="926"/>
        </ext>
      </extLst>
    </bk>
    <bk>
      <extLst>
        <ext uri="{3e2802c4-a4d2-4d8b-9148-e3be6c30e623}">
          <xlrd:rvb i="927"/>
        </ext>
      </extLst>
    </bk>
    <bk>
      <extLst>
        <ext uri="{3e2802c4-a4d2-4d8b-9148-e3be6c30e623}">
          <xlrd:rvb i="928"/>
        </ext>
      </extLst>
    </bk>
    <bk>
      <extLst>
        <ext uri="{3e2802c4-a4d2-4d8b-9148-e3be6c30e623}">
          <xlrd:rvb i="929"/>
        </ext>
      </extLst>
    </bk>
    <bk>
      <extLst>
        <ext uri="{3e2802c4-a4d2-4d8b-9148-e3be6c30e623}">
          <xlrd:rvb i="930"/>
        </ext>
      </extLst>
    </bk>
    <bk>
      <extLst>
        <ext uri="{3e2802c4-a4d2-4d8b-9148-e3be6c30e623}">
          <xlrd:rvb i="931"/>
        </ext>
      </extLst>
    </bk>
    <bk>
      <extLst>
        <ext uri="{3e2802c4-a4d2-4d8b-9148-e3be6c30e623}">
          <xlrd:rvb i="932"/>
        </ext>
      </extLst>
    </bk>
    <bk>
      <extLst>
        <ext uri="{3e2802c4-a4d2-4d8b-9148-e3be6c30e623}">
          <xlrd:rvb i="933"/>
        </ext>
      </extLst>
    </bk>
    <bk>
      <extLst>
        <ext uri="{3e2802c4-a4d2-4d8b-9148-e3be6c30e623}">
          <xlrd:rvb i="934"/>
        </ext>
      </extLst>
    </bk>
    <bk>
      <extLst>
        <ext uri="{3e2802c4-a4d2-4d8b-9148-e3be6c30e623}">
          <xlrd:rvb i="935"/>
        </ext>
      </extLst>
    </bk>
    <bk>
      <extLst>
        <ext uri="{3e2802c4-a4d2-4d8b-9148-e3be6c30e623}">
          <xlrd:rvb i="936"/>
        </ext>
      </extLst>
    </bk>
    <bk>
      <extLst>
        <ext uri="{3e2802c4-a4d2-4d8b-9148-e3be6c30e623}">
          <xlrd:rvb i="937"/>
        </ext>
      </extLst>
    </bk>
    <bk>
      <extLst>
        <ext uri="{3e2802c4-a4d2-4d8b-9148-e3be6c30e623}">
          <xlrd:rvb i="938"/>
        </ext>
      </extLst>
    </bk>
    <bk>
      <extLst>
        <ext uri="{3e2802c4-a4d2-4d8b-9148-e3be6c30e623}">
          <xlrd:rvb i="939"/>
        </ext>
      </extLst>
    </bk>
    <bk>
      <extLst>
        <ext uri="{3e2802c4-a4d2-4d8b-9148-e3be6c30e623}">
          <xlrd:rvb i="940"/>
        </ext>
      </extLst>
    </bk>
    <bk>
      <extLst>
        <ext uri="{3e2802c4-a4d2-4d8b-9148-e3be6c30e623}">
          <xlrd:rvb i="941"/>
        </ext>
      </extLst>
    </bk>
    <bk>
      <extLst>
        <ext uri="{3e2802c4-a4d2-4d8b-9148-e3be6c30e623}">
          <xlrd:rvb i="942"/>
        </ext>
      </extLst>
    </bk>
    <bk>
      <extLst>
        <ext uri="{3e2802c4-a4d2-4d8b-9148-e3be6c30e623}">
          <xlrd:rvb i="943"/>
        </ext>
      </extLst>
    </bk>
    <bk>
      <extLst>
        <ext uri="{3e2802c4-a4d2-4d8b-9148-e3be6c30e623}">
          <xlrd:rvb i="944"/>
        </ext>
      </extLst>
    </bk>
    <bk>
      <extLst>
        <ext uri="{3e2802c4-a4d2-4d8b-9148-e3be6c30e623}">
          <xlrd:rvb i="945"/>
        </ext>
      </extLst>
    </bk>
    <bk>
      <extLst>
        <ext uri="{3e2802c4-a4d2-4d8b-9148-e3be6c30e623}">
          <xlrd:rvb i="946"/>
        </ext>
      </extLst>
    </bk>
    <bk>
      <extLst>
        <ext uri="{3e2802c4-a4d2-4d8b-9148-e3be6c30e623}">
          <xlrd:rvb i="947"/>
        </ext>
      </extLst>
    </bk>
    <bk>
      <extLst>
        <ext uri="{3e2802c4-a4d2-4d8b-9148-e3be6c30e623}">
          <xlrd:rvb i="948"/>
        </ext>
      </extLst>
    </bk>
    <bk>
      <extLst>
        <ext uri="{3e2802c4-a4d2-4d8b-9148-e3be6c30e623}">
          <xlrd:rvb i="949"/>
        </ext>
      </extLst>
    </bk>
    <bk>
      <extLst>
        <ext uri="{3e2802c4-a4d2-4d8b-9148-e3be6c30e623}">
          <xlrd:rvb i="950"/>
        </ext>
      </extLst>
    </bk>
    <bk>
      <extLst>
        <ext uri="{3e2802c4-a4d2-4d8b-9148-e3be6c30e623}">
          <xlrd:rvb i="951"/>
        </ext>
      </extLst>
    </bk>
    <bk>
      <extLst>
        <ext uri="{3e2802c4-a4d2-4d8b-9148-e3be6c30e623}">
          <xlrd:rvb i="952"/>
        </ext>
      </extLst>
    </bk>
    <bk>
      <extLst>
        <ext uri="{3e2802c4-a4d2-4d8b-9148-e3be6c30e623}">
          <xlrd:rvb i="953"/>
        </ext>
      </extLst>
    </bk>
    <bk>
      <extLst>
        <ext uri="{3e2802c4-a4d2-4d8b-9148-e3be6c30e623}">
          <xlrd:rvb i="954"/>
        </ext>
      </extLst>
    </bk>
    <bk>
      <extLst>
        <ext uri="{3e2802c4-a4d2-4d8b-9148-e3be6c30e623}">
          <xlrd:rvb i="955"/>
        </ext>
      </extLst>
    </bk>
    <bk>
      <extLst>
        <ext uri="{3e2802c4-a4d2-4d8b-9148-e3be6c30e623}">
          <xlrd:rvb i="956"/>
        </ext>
      </extLst>
    </bk>
    <bk>
      <extLst>
        <ext uri="{3e2802c4-a4d2-4d8b-9148-e3be6c30e623}">
          <xlrd:rvb i="957"/>
        </ext>
      </extLst>
    </bk>
    <bk>
      <extLst>
        <ext uri="{3e2802c4-a4d2-4d8b-9148-e3be6c30e623}">
          <xlrd:rvb i="958"/>
        </ext>
      </extLst>
    </bk>
    <bk>
      <extLst>
        <ext uri="{3e2802c4-a4d2-4d8b-9148-e3be6c30e623}">
          <xlrd:rvb i="959"/>
        </ext>
      </extLst>
    </bk>
    <bk>
      <extLst>
        <ext uri="{3e2802c4-a4d2-4d8b-9148-e3be6c30e623}">
          <xlrd:rvb i="960"/>
        </ext>
      </extLst>
    </bk>
    <bk>
      <extLst>
        <ext uri="{3e2802c4-a4d2-4d8b-9148-e3be6c30e623}">
          <xlrd:rvb i="961"/>
        </ext>
      </extLst>
    </bk>
    <bk>
      <extLst>
        <ext uri="{3e2802c4-a4d2-4d8b-9148-e3be6c30e623}">
          <xlrd:rvb i="962"/>
        </ext>
      </extLst>
    </bk>
    <bk>
      <extLst>
        <ext uri="{3e2802c4-a4d2-4d8b-9148-e3be6c30e623}">
          <xlrd:rvb i="963"/>
        </ext>
      </extLst>
    </bk>
    <bk>
      <extLst>
        <ext uri="{3e2802c4-a4d2-4d8b-9148-e3be6c30e623}">
          <xlrd:rvb i="964"/>
        </ext>
      </extLst>
    </bk>
    <bk>
      <extLst>
        <ext uri="{3e2802c4-a4d2-4d8b-9148-e3be6c30e623}">
          <xlrd:rvb i="965"/>
        </ext>
      </extLst>
    </bk>
    <bk>
      <extLst>
        <ext uri="{3e2802c4-a4d2-4d8b-9148-e3be6c30e623}">
          <xlrd:rvb i="966"/>
        </ext>
      </extLst>
    </bk>
    <bk>
      <extLst>
        <ext uri="{3e2802c4-a4d2-4d8b-9148-e3be6c30e623}">
          <xlrd:rvb i="967"/>
        </ext>
      </extLst>
    </bk>
    <bk>
      <extLst>
        <ext uri="{3e2802c4-a4d2-4d8b-9148-e3be6c30e623}">
          <xlrd:rvb i="968"/>
        </ext>
      </extLst>
    </bk>
    <bk>
      <extLst>
        <ext uri="{3e2802c4-a4d2-4d8b-9148-e3be6c30e623}">
          <xlrd:rvb i="969"/>
        </ext>
      </extLst>
    </bk>
    <bk>
      <extLst>
        <ext uri="{3e2802c4-a4d2-4d8b-9148-e3be6c30e623}">
          <xlrd:rvb i="970"/>
        </ext>
      </extLst>
    </bk>
    <bk>
      <extLst>
        <ext uri="{3e2802c4-a4d2-4d8b-9148-e3be6c30e623}">
          <xlrd:rvb i="971"/>
        </ext>
      </extLst>
    </bk>
    <bk>
      <extLst>
        <ext uri="{3e2802c4-a4d2-4d8b-9148-e3be6c30e623}">
          <xlrd:rvb i="972"/>
        </ext>
      </extLst>
    </bk>
    <bk>
      <extLst>
        <ext uri="{3e2802c4-a4d2-4d8b-9148-e3be6c30e623}">
          <xlrd:rvb i="973"/>
        </ext>
      </extLst>
    </bk>
    <bk>
      <extLst>
        <ext uri="{3e2802c4-a4d2-4d8b-9148-e3be6c30e623}">
          <xlrd:rvb i="974"/>
        </ext>
      </extLst>
    </bk>
    <bk>
      <extLst>
        <ext uri="{3e2802c4-a4d2-4d8b-9148-e3be6c30e623}">
          <xlrd:rvb i="975"/>
        </ext>
      </extLst>
    </bk>
    <bk>
      <extLst>
        <ext uri="{3e2802c4-a4d2-4d8b-9148-e3be6c30e623}">
          <xlrd:rvb i="976"/>
        </ext>
      </extLst>
    </bk>
    <bk>
      <extLst>
        <ext uri="{3e2802c4-a4d2-4d8b-9148-e3be6c30e623}">
          <xlrd:rvb i="977"/>
        </ext>
      </extLst>
    </bk>
    <bk>
      <extLst>
        <ext uri="{3e2802c4-a4d2-4d8b-9148-e3be6c30e623}">
          <xlrd:rvb i="978"/>
        </ext>
      </extLst>
    </bk>
    <bk>
      <extLst>
        <ext uri="{3e2802c4-a4d2-4d8b-9148-e3be6c30e623}">
          <xlrd:rvb i="979"/>
        </ext>
      </extLst>
    </bk>
    <bk>
      <extLst>
        <ext uri="{3e2802c4-a4d2-4d8b-9148-e3be6c30e623}">
          <xlrd:rvb i="980"/>
        </ext>
      </extLst>
    </bk>
    <bk>
      <extLst>
        <ext uri="{3e2802c4-a4d2-4d8b-9148-e3be6c30e623}">
          <xlrd:rvb i="981"/>
        </ext>
      </extLst>
    </bk>
    <bk>
      <extLst>
        <ext uri="{3e2802c4-a4d2-4d8b-9148-e3be6c30e623}">
          <xlrd:rvb i="982"/>
        </ext>
      </extLst>
    </bk>
    <bk>
      <extLst>
        <ext uri="{3e2802c4-a4d2-4d8b-9148-e3be6c30e623}">
          <xlrd:rvb i="983"/>
        </ext>
      </extLst>
    </bk>
    <bk>
      <extLst>
        <ext uri="{3e2802c4-a4d2-4d8b-9148-e3be6c30e623}">
          <xlrd:rvb i="984"/>
        </ext>
      </extLst>
    </bk>
    <bk>
      <extLst>
        <ext uri="{3e2802c4-a4d2-4d8b-9148-e3be6c30e623}">
          <xlrd:rvb i="985"/>
        </ext>
      </extLst>
    </bk>
    <bk>
      <extLst>
        <ext uri="{3e2802c4-a4d2-4d8b-9148-e3be6c30e623}">
          <xlrd:rvb i="986"/>
        </ext>
      </extLst>
    </bk>
    <bk>
      <extLst>
        <ext uri="{3e2802c4-a4d2-4d8b-9148-e3be6c30e623}">
          <xlrd:rvb i="987"/>
        </ext>
      </extLst>
    </bk>
    <bk>
      <extLst>
        <ext uri="{3e2802c4-a4d2-4d8b-9148-e3be6c30e623}">
          <xlrd:rvb i="988"/>
        </ext>
      </extLst>
    </bk>
    <bk>
      <extLst>
        <ext uri="{3e2802c4-a4d2-4d8b-9148-e3be6c30e623}">
          <xlrd:rvb i="989"/>
        </ext>
      </extLst>
    </bk>
    <bk>
      <extLst>
        <ext uri="{3e2802c4-a4d2-4d8b-9148-e3be6c30e623}">
          <xlrd:rvb i="990"/>
        </ext>
      </extLst>
    </bk>
    <bk>
      <extLst>
        <ext uri="{3e2802c4-a4d2-4d8b-9148-e3be6c30e623}">
          <xlrd:rvb i="991"/>
        </ext>
      </extLst>
    </bk>
    <bk>
      <extLst>
        <ext uri="{3e2802c4-a4d2-4d8b-9148-e3be6c30e623}">
          <xlrd:rvb i="992"/>
        </ext>
      </extLst>
    </bk>
    <bk>
      <extLst>
        <ext uri="{3e2802c4-a4d2-4d8b-9148-e3be6c30e623}">
          <xlrd:rvb i="993"/>
        </ext>
      </extLst>
    </bk>
    <bk>
      <extLst>
        <ext uri="{3e2802c4-a4d2-4d8b-9148-e3be6c30e623}">
          <xlrd:rvb i="994"/>
        </ext>
      </extLst>
    </bk>
    <bk>
      <extLst>
        <ext uri="{3e2802c4-a4d2-4d8b-9148-e3be6c30e623}">
          <xlrd:rvb i="995"/>
        </ext>
      </extLst>
    </bk>
    <bk>
      <extLst>
        <ext uri="{3e2802c4-a4d2-4d8b-9148-e3be6c30e623}">
          <xlrd:rvb i="996"/>
        </ext>
      </extLst>
    </bk>
    <bk>
      <extLst>
        <ext uri="{3e2802c4-a4d2-4d8b-9148-e3be6c30e623}">
          <xlrd:rvb i="997"/>
        </ext>
      </extLst>
    </bk>
    <bk>
      <extLst>
        <ext uri="{3e2802c4-a4d2-4d8b-9148-e3be6c30e623}">
          <xlrd:rvb i="998"/>
        </ext>
      </extLst>
    </bk>
    <bk>
      <extLst>
        <ext uri="{3e2802c4-a4d2-4d8b-9148-e3be6c30e623}">
          <xlrd:rvb i="999"/>
        </ext>
      </extLst>
    </bk>
    <bk>
      <extLst>
        <ext uri="{3e2802c4-a4d2-4d8b-9148-e3be6c30e623}">
          <xlrd:rvb i="1000"/>
        </ext>
      </extLst>
    </bk>
    <bk>
      <extLst>
        <ext uri="{3e2802c4-a4d2-4d8b-9148-e3be6c30e623}">
          <xlrd:rvb i="1001"/>
        </ext>
      </extLst>
    </bk>
    <bk>
      <extLst>
        <ext uri="{3e2802c4-a4d2-4d8b-9148-e3be6c30e623}">
          <xlrd:rvb i="1002"/>
        </ext>
      </extLst>
    </bk>
    <bk>
      <extLst>
        <ext uri="{3e2802c4-a4d2-4d8b-9148-e3be6c30e623}">
          <xlrd:rvb i="1003"/>
        </ext>
      </extLst>
    </bk>
    <bk>
      <extLst>
        <ext uri="{3e2802c4-a4d2-4d8b-9148-e3be6c30e623}">
          <xlrd:rvb i="1004"/>
        </ext>
      </extLst>
    </bk>
    <bk>
      <extLst>
        <ext uri="{3e2802c4-a4d2-4d8b-9148-e3be6c30e623}">
          <xlrd:rvb i="1005"/>
        </ext>
      </extLst>
    </bk>
    <bk>
      <extLst>
        <ext uri="{3e2802c4-a4d2-4d8b-9148-e3be6c30e623}">
          <xlrd:rvb i="1006"/>
        </ext>
      </extLst>
    </bk>
    <bk>
      <extLst>
        <ext uri="{3e2802c4-a4d2-4d8b-9148-e3be6c30e623}">
          <xlrd:rvb i="1007"/>
        </ext>
      </extLst>
    </bk>
    <bk>
      <extLst>
        <ext uri="{3e2802c4-a4d2-4d8b-9148-e3be6c30e623}">
          <xlrd:rvb i="1008"/>
        </ext>
      </extLst>
    </bk>
    <bk>
      <extLst>
        <ext uri="{3e2802c4-a4d2-4d8b-9148-e3be6c30e623}">
          <xlrd:rvb i="1009"/>
        </ext>
      </extLst>
    </bk>
    <bk>
      <extLst>
        <ext uri="{3e2802c4-a4d2-4d8b-9148-e3be6c30e623}">
          <xlrd:rvb i="1010"/>
        </ext>
      </extLst>
    </bk>
    <bk>
      <extLst>
        <ext uri="{3e2802c4-a4d2-4d8b-9148-e3be6c30e623}">
          <xlrd:rvb i="1011"/>
        </ext>
      </extLst>
    </bk>
    <bk>
      <extLst>
        <ext uri="{3e2802c4-a4d2-4d8b-9148-e3be6c30e623}">
          <xlrd:rvb i="1012"/>
        </ext>
      </extLst>
    </bk>
    <bk>
      <extLst>
        <ext uri="{3e2802c4-a4d2-4d8b-9148-e3be6c30e623}">
          <xlrd:rvb i="1013"/>
        </ext>
      </extLst>
    </bk>
    <bk>
      <extLst>
        <ext uri="{3e2802c4-a4d2-4d8b-9148-e3be6c30e623}">
          <xlrd:rvb i="1014"/>
        </ext>
      </extLst>
    </bk>
    <bk>
      <extLst>
        <ext uri="{3e2802c4-a4d2-4d8b-9148-e3be6c30e623}">
          <xlrd:rvb i="1015"/>
        </ext>
      </extLst>
    </bk>
    <bk>
      <extLst>
        <ext uri="{3e2802c4-a4d2-4d8b-9148-e3be6c30e623}">
          <xlrd:rvb i="1016"/>
        </ext>
      </extLst>
    </bk>
    <bk>
      <extLst>
        <ext uri="{3e2802c4-a4d2-4d8b-9148-e3be6c30e623}">
          <xlrd:rvb i="1017"/>
        </ext>
      </extLst>
    </bk>
    <bk>
      <extLst>
        <ext uri="{3e2802c4-a4d2-4d8b-9148-e3be6c30e623}">
          <xlrd:rvb i="1018"/>
        </ext>
      </extLst>
    </bk>
    <bk>
      <extLst>
        <ext uri="{3e2802c4-a4d2-4d8b-9148-e3be6c30e623}">
          <xlrd:rvb i="1019"/>
        </ext>
      </extLst>
    </bk>
    <bk>
      <extLst>
        <ext uri="{3e2802c4-a4d2-4d8b-9148-e3be6c30e623}">
          <xlrd:rvb i="1020"/>
        </ext>
      </extLst>
    </bk>
    <bk>
      <extLst>
        <ext uri="{3e2802c4-a4d2-4d8b-9148-e3be6c30e623}">
          <xlrd:rvb i="1021"/>
        </ext>
      </extLst>
    </bk>
    <bk>
      <extLst>
        <ext uri="{3e2802c4-a4d2-4d8b-9148-e3be6c30e623}">
          <xlrd:rvb i="1022"/>
        </ext>
      </extLst>
    </bk>
    <bk>
      <extLst>
        <ext uri="{3e2802c4-a4d2-4d8b-9148-e3be6c30e623}">
          <xlrd:rvb i="1023"/>
        </ext>
      </extLst>
    </bk>
    <bk>
      <extLst>
        <ext uri="{3e2802c4-a4d2-4d8b-9148-e3be6c30e623}">
          <xlrd:rvb i="1024"/>
        </ext>
      </extLst>
    </bk>
    <bk>
      <extLst>
        <ext uri="{3e2802c4-a4d2-4d8b-9148-e3be6c30e623}">
          <xlrd:rvb i="1025"/>
        </ext>
      </extLst>
    </bk>
    <bk>
      <extLst>
        <ext uri="{3e2802c4-a4d2-4d8b-9148-e3be6c30e623}">
          <xlrd:rvb i="1026"/>
        </ext>
      </extLst>
    </bk>
    <bk>
      <extLst>
        <ext uri="{3e2802c4-a4d2-4d8b-9148-e3be6c30e623}">
          <xlrd:rvb i="1027"/>
        </ext>
      </extLst>
    </bk>
    <bk>
      <extLst>
        <ext uri="{3e2802c4-a4d2-4d8b-9148-e3be6c30e623}">
          <xlrd:rvb i="1028"/>
        </ext>
      </extLst>
    </bk>
    <bk>
      <extLst>
        <ext uri="{3e2802c4-a4d2-4d8b-9148-e3be6c30e623}">
          <xlrd:rvb i="1029"/>
        </ext>
      </extLst>
    </bk>
    <bk>
      <extLst>
        <ext uri="{3e2802c4-a4d2-4d8b-9148-e3be6c30e623}">
          <xlrd:rvb i="1030"/>
        </ext>
      </extLst>
    </bk>
    <bk>
      <extLst>
        <ext uri="{3e2802c4-a4d2-4d8b-9148-e3be6c30e623}">
          <xlrd:rvb i="1031"/>
        </ext>
      </extLst>
    </bk>
    <bk>
      <extLst>
        <ext uri="{3e2802c4-a4d2-4d8b-9148-e3be6c30e623}">
          <xlrd:rvb i="1032"/>
        </ext>
      </extLst>
    </bk>
    <bk>
      <extLst>
        <ext uri="{3e2802c4-a4d2-4d8b-9148-e3be6c30e623}">
          <xlrd:rvb i="1033"/>
        </ext>
      </extLst>
    </bk>
    <bk>
      <extLst>
        <ext uri="{3e2802c4-a4d2-4d8b-9148-e3be6c30e623}">
          <xlrd:rvb i="1034"/>
        </ext>
      </extLst>
    </bk>
    <bk>
      <extLst>
        <ext uri="{3e2802c4-a4d2-4d8b-9148-e3be6c30e623}">
          <xlrd:rvb i="1035"/>
        </ext>
      </extLst>
    </bk>
    <bk>
      <extLst>
        <ext uri="{3e2802c4-a4d2-4d8b-9148-e3be6c30e623}">
          <xlrd:rvb i="1036"/>
        </ext>
      </extLst>
    </bk>
    <bk>
      <extLst>
        <ext uri="{3e2802c4-a4d2-4d8b-9148-e3be6c30e623}">
          <xlrd:rvb i="1037"/>
        </ext>
      </extLst>
    </bk>
    <bk>
      <extLst>
        <ext uri="{3e2802c4-a4d2-4d8b-9148-e3be6c30e623}">
          <xlrd:rvb i="1038"/>
        </ext>
      </extLst>
    </bk>
    <bk>
      <extLst>
        <ext uri="{3e2802c4-a4d2-4d8b-9148-e3be6c30e623}">
          <xlrd:rvb i="1039"/>
        </ext>
      </extLst>
    </bk>
    <bk>
      <extLst>
        <ext uri="{3e2802c4-a4d2-4d8b-9148-e3be6c30e623}">
          <xlrd:rvb i="1040"/>
        </ext>
      </extLst>
    </bk>
    <bk>
      <extLst>
        <ext uri="{3e2802c4-a4d2-4d8b-9148-e3be6c30e623}">
          <xlrd:rvb i="1041"/>
        </ext>
      </extLst>
    </bk>
    <bk>
      <extLst>
        <ext uri="{3e2802c4-a4d2-4d8b-9148-e3be6c30e623}">
          <xlrd:rvb i="1042"/>
        </ext>
      </extLst>
    </bk>
    <bk>
      <extLst>
        <ext uri="{3e2802c4-a4d2-4d8b-9148-e3be6c30e623}">
          <xlrd:rvb i="1043"/>
        </ext>
      </extLst>
    </bk>
    <bk>
      <extLst>
        <ext uri="{3e2802c4-a4d2-4d8b-9148-e3be6c30e623}">
          <xlrd:rvb i="1044"/>
        </ext>
      </extLst>
    </bk>
    <bk>
      <extLst>
        <ext uri="{3e2802c4-a4d2-4d8b-9148-e3be6c30e623}">
          <xlrd:rvb i="1045"/>
        </ext>
      </extLst>
    </bk>
    <bk>
      <extLst>
        <ext uri="{3e2802c4-a4d2-4d8b-9148-e3be6c30e623}">
          <xlrd:rvb i="1046"/>
        </ext>
      </extLst>
    </bk>
    <bk>
      <extLst>
        <ext uri="{3e2802c4-a4d2-4d8b-9148-e3be6c30e623}">
          <xlrd:rvb i="1047"/>
        </ext>
      </extLst>
    </bk>
    <bk>
      <extLst>
        <ext uri="{3e2802c4-a4d2-4d8b-9148-e3be6c30e623}">
          <xlrd:rvb i="1048"/>
        </ext>
      </extLst>
    </bk>
    <bk>
      <extLst>
        <ext uri="{3e2802c4-a4d2-4d8b-9148-e3be6c30e623}">
          <xlrd:rvb i="1049"/>
        </ext>
      </extLst>
    </bk>
    <bk>
      <extLst>
        <ext uri="{3e2802c4-a4d2-4d8b-9148-e3be6c30e623}">
          <xlrd:rvb i="1050"/>
        </ext>
      </extLst>
    </bk>
    <bk>
      <extLst>
        <ext uri="{3e2802c4-a4d2-4d8b-9148-e3be6c30e623}">
          <xlrd:rvb i="1051"/>
        </ext>
      </extLst>
    </bk>
    <bk>
      <extLst>
        <ext uri="{3e2802c4-a4d2-4d8b-9148-e3be6c30e623}">
          <xlrd:rvb i="1052"/>
        </ext>
      </extLst>
    </bk>
    <bk>
      <extLst>
        <ext uri="{3e2802c4-a4d2-4d8b-9148-e3be6c30e623}">
          <xlrd:rvb i="1053"/>
        </ext>
      </extLst>
    </bk>
    <bk>
      <extLst>
        <ext uri="{3e2802c4-a4d2-4d8b-9148-e3be6c30e623}">
          <xlrd:rvb i="1054"/>
        </ext>
      </extLst>
    </bk>
    <bk>
      <extLst>
        <ext uri="{3e2802c4-a4d2-4d8b-9148-e3be6c30e623}">
          <xlrd:rvb i="1055"/>
        </ext>
      </extLst>
    </bk>
    <bk>
      <extLst>
        <ext uri="{3e2802c4-a4d2-4d8b-9148-e3be6c30e623}">
          <xlrd:rvb i="1056"/>
        </ext>
      </extLst>
    </bk>
    <bk>
      <extLst>
        <ext uri="{3e2802c4-a4d2-4d8b-9148-e3be6c30e623}">
          <xlrd:rvb i="1057"/>
        </ext>
      </extLst>
    </bk>
    <bk>
      <extLst>
        <ext uri="{3e2802c4-a4d2-4d8b-9148-e3be6c30e623}">
          <xlrd:rvb i="1058"/>
        </ext>
      </extLst>
    </bk>
    <bk>
      <extLst>
        <ext uri="{3e2802c4-a4d2-4d8b-9148-e3be6c30e623}">
          <xlrd:rvb i="1059"/>
        </ext>
      </extLst>
    </bk>
    <bk>
      <extLst>
        <ext uri="{3e2802c4-a4d2-4d8b-9148-e3be6c30e623}">
          <xlrd:rvb i="1060"/>
        </ext>
      </extLst>
    </bk>
    <bk>
      <extLst>
        <ext uri="{3e2802c4-a4d2-4d8b-9148-e3be6c30e623}">
          <xlrd:rvb i="1061"/>
        </ext>
      </extLst>
    </bk>
    <bk>
      <extLst>
        <ext uri="{3e2802c4-a4d2-4d8b-9148-e3be6c30e623}">
          <xlrd:rvb i="1062"/>
        </ext>
      </extLst>
    </bk>
    <bk>
      <extLst>
        <ext uri="{3e2802c4-a4d2-4d8b-9148-e3be6c30e623}">
          <xlrd:rvb i="1063"/>
        </ext>
      </extLst>
    </bk>
    <bk>
      <extLst>
        <ext uri="{3e2802c4-a4d2-4d8b-9148-e3be6c30e623}">
          <xlrd:rvb i="1064"/>
        </ext>
      </extLst>
    </bk>
    <bk>
      <extLst>
        <ext uri="{3e2802c4-a4d2-4d8b-9148-e3be6c30e623}">
          <xlrd:rvb i="1065"/>
        </ext>
      </extLst>
    </bk>
    <bk>
      <extLst>
        <ext uri="{3e2802c4-a4d2-4d8b-9148-e3be6c30e623}">
          <xlrd:rvb i="1066"/>
        </ext>
      </extLst>
    </bk>
    <bk>
      <extLst>
        <ext uri="{3e2802c4-a4d2-4d8b-9148-e3be6c30e623}">
          <xlrd:rvb i="1067"/>
        </ext>
      </extLst>
    </bk>
    <bk>
      <extLst>
        <ext uri="{3e2802c4-a4d2-4d8b-9148-e3be6c30e623}">
          <xlrd:rvb i="1068"/>
        </ext>
      </extLst>
    </bk>
    <bk>
      <extLst>
        <ext uri="{3e2802c4-a4d2-4d8b-9148-e3be6c30e623}">
          <xlrd:rvb i="1069"/>
        </ext>
      </extLst>
    </bk>
    <bk>
      <extLst>
        <ext uri="{3e2802c4-a4d2-4d8b-9148-e3be6c30e623}">
          <xlrd:rvb i="1070"/>
        </ext>
      </extLst>
    </bk>
    <bk>
      <extLst>
        <ext uri="{3e2802c4-a4d2-4d8b-9148-e3be6c30e623}">
          <xlrd:rvb i="1071"/>
        </ext>
      </extLst>
    </bk>
    <bk>
      <extLst>
        <ext uri="{3e2802c4-a4d2-4d8b-9148-e3be6c30e623}">
          <xlrd:rvb i="1072"/>
        </ext>
      </extLst>
    </bk>
    <bk>
      <extLst>
        <ext uri="{3e2802c4-a4d2-4d8b-9148-e3be6c30e623}">
          <xlrd:rvb i="1073"/>
        </ext>
      </extLst>
    </bk>
    <bk>
      <extLst>
        <ext uri="{3e2802c4-a4d2-4d8b-9148-e3be6c30e623}">
          <xlrd:rvb i="1074"/>
        </ext>
      </extLst>
    </bk>
    <bk>
      <extLst>
        <ext uri="{3e2802c4-a4d2-4d8b-9148-e3be6c30e623}">
          <xlrd:rvb i="1075"/>
        </ext>
      </extLst>
    </bk>
    <bk>
      <extLst>
        <ext uri="{3e2802c4-a4d2-4d8b-9148-e3be6c30e623}">
          <xlrd:rvb i="1076"/>
        </ext>
      </extLst>
    </bk>
    <bk>
      <extLst>
        <ext uri="{3e2802c4-a4d2-4d8b-9148-e3be6c30e623}">
          <xlrd:rvb i="1077"/>
        </ext>
      </extLst>
    </bk>
    <bk>
      <extLst>
        <ext uri="{3e2802c4-a4d2-4d8b-9148-e3be6c30e623}">
          <xlrd:rvb i="1078"/>
        </ext>
      </extLst>
    </bk>
    <bk>
      <extLst>
        <ext uri="{3e2802c4-a4d2-4d8b-9148-e3be6c30e623}">
          <xlrd:rvb i="1079"/>
        </ext>
      </extLst>
    </bk>
    <bk>
      <extLst>
        <ext uri="{3e2802c4-a4d2-4d8b-9148-e3be6c30e623}">
          <xlrd:rvb i="1080"/>
        </ext>
      </extLst>
    </bk>
    <bk>
      <extLst>
        <ext uri="{3e2802c4-a4d2-4d8b-9148-e3be6c30e623}">
          <xlrd:rvb i="1081"/>
        </ext>
      </extLst>
    </bk>
    <bk>
      <extLst>
        <ext uri="{3e2802c4-a4d2-4d8b-9148-e3be6c30e623}">
          <xlrd:rvb i="1082"/>
        </ext>
      </extLst>
    </bk>
    <bk>
      <extLst>
        <ext uri="{3e2802c4-a4d2-4d8b-9148-e3be6c30e623}">
          <xlrd:rvb i="1083"/>
        </ext>
      </extLst>
    </bk>
    <bk>
      <extLst>
        <ext uri="{3e2802c4-a4d2-4d8b-9148-e3be6c30e623}">
          <xlrd:rvb i="1084"/>
        </ext>
      </extLst>
    </bk>
    <bk>
      <extLst>
        <ext uri="{3e2802c4-a4d2-4d8b-9148-e3be6c30e623}">
          <xlrd:rvb i="1085"/>
        </ext>
      </extLst>
    </bk>
    <bk>
      <extLst>
        <ext uri="{3e2802c4-a4d2-4d8b-9148-e3be6c30e623}">
          <xlrd:rvb i="1086"/>
        </ext>
      </extLst>
    </bk>
    <bk>
      <extLst>
        <ext uri="{3e2802c4-a4d2-4d8b-9148-e3be6c30e623}">
          <xlrd:rvb i="1087"/>
        </ext>
      </extLst>
    </bk>
    <bk>
      <extLst>
        <ext uri="{3e2802c4-a4d2-4d8b-9148-e3be6c30e623}">
          <xlrd:rvb i="1088"/>
        </ext>
      </extLst>
    </bk>
    <bk>
      <extLst>
        <ext uri="{3e2802c4-a4d2-4d8b-9148-e3be6c30e623}">
          <xlrd:rvb i="1089"/>
        </ext>
      </extLst>
    </bk>
    <bk>
      <extLst>
        <ext uri="{3e2802c4-a4d2-4d8b-9148-e3be6c30e623}">
          <xlrd:rvb i="1090"/>
        </ext>
      </extLst>
    </bk>
    <bk>
      <extLst>
        <ext uri="{3e2802c4-a4d2-4d8b-9148-e3be6c30e623}">
          <xlrd:rvb i="1091"/>
        </ext>
      </extLst>
    </bk>
    <bk>
      <extLst>
        <ext uri="{3e2802c4-a4d2-4d8b-9148-e3be6c30e623}">
          <xlrd:rvb i="1092"/>
        </ext>
      </extLst>
    </bk>
    <bk>
      <extLst>
        <ext uri="{3e2802c4-a4d2-4d8b-9148-e3be6c30e623}">
          <xlrd:rvb i="1093"/>
        </ext>
      </extLst>
    </bk>
    <bk>
      <extLst>
        <ext uri="{3e2802c4-a4d2-4d8b-9148-e3be6c30e623}">
          <xlrd:rvb i="1094"/>
        </ext>
      </extLst>
    </bk>
    <bk>
      <extLst>
        <ext uri="{3e2802c4-a4d2-4d8b-9148-e3be6c30e623}">
          <xlrd:rvb i="1095"/>
        </ext>
      </extLst>
    </bk>
    <bk>
      <extLst>
        <ext uri="{3e2802c4-a4d2-4d8b-9148-e3be6c30e623}">
          <xlrd:rvb i="1096"/>
        </ext>
      </extLst>
    </bk>
    <bk>
      <extLst>
        <ext uri="{3e2802c4-a4d2-4d8b-9148-e3be6c30e623}">
          <xlrd:rvb i="1097"/>
        </ext>
      </extLst>
    </bk>
    <bk>
      <extLst>
        <ext uri="{3e2802c4-a4d2-4d8b-9148-e3be6c30e623}">
          <xlrd:rvb i="1098"/>
        </ext>
      </extLst>
    </bk>
    <bk>
      <extLst>
        <ext uri="{3e2802c4-a4d2-4d8b-9148-e3be6c30e623}">
          <xlrd:rvb i="1099"/>
        </ext>
      </extLst>
    </bk>
    <bk>
      <extLst>
        <ext uri="{3e2802c4-a4d2-4d8b-9148-e3be6c30e623}">
          <xlrd:rvb i="1100"/>
        </ext>
      </extLst>
    </bk>
    <bk>
      <extLst>
        <ext uri="{3e2802c4-a4d2-4d8b-9148-e3be6c30e623}">
          <xlrd:rvb i="1101"/>
        </ext>
      </extLst>
    </bk>
    <bk>
      <extLst>
        <ext uri="{3e2802c4-a4d2-4d8b-9148-e3be6c30e623}">
          <xlrd:rvb i="1102"/>
        </ext>
      </extLst>
    </bk>
    <bk>
      <extLst>
        <ext uri="{3e2802c4-a4d2-4d8b-9148-e3be6c30e623}">
          <xlrd:rvb i="1103"/>
        </ext>
      </extLst>
    </bk>
    <bk>
      <extLst>
        <ext uri="{3e2802c4-a4d2-4d8b-9148-e3be6c30e623}">
          <xlrd:rvb i="1104"/>
        </ext>
      </extLst>
    </bk>
    <bk>
      <extLst>
        <ext uri="{3e2802c4-a4d2-4d8b-9148-e3be6c30e623}">
          <xlrd:rvb i="1105"/>
        </ext>
      </extLst>
    </bk>
    <bk>
      <extLst>
        <ext uri="{3e2802c4-a4d2-4d8b-9148-e3be6c30e623}">
          <xlrd:rvb i="1106"/>
        </ext>
      </extLst>
    </bk>
    <bk>
      <extLst>
        <ext uri="{3e2802c4-a4d2-4d8b-9148-e3be6c30e623}">
          <xlrd:rvb i="1107"/>
        </ext>
      </extLst>
    </bk>
    <bk>
      <extLst>
        <ext uri="{3e2802c4-a4d2-4d8b-9148-e3be6c30e623}">
          <xlrd:rvb i="1108"/>
        </ext>
      </extLst>
    </bk>
    <bk>
      <extLst>
        <ext uri="{3e2802c4-a4d2-4d8b-9148-e3be6c30e623}">
          <xlrd:rvb i="1109"/>
        </ext>
      </extLst>
    </bk>
    <bk>
      <extLst>
        <ext uri="{3e2802c4-a4d2-4d8b-9148-e3be6c30e623}">
          <xlrd:rvb i="1110"/>
        </ext>
      </extLst>
    </bk>
    <bk>
      <extLst>
        <ext uri="{3e2802c4-a4d2-4d8b-9148-e3be6c30e623}">
          <xlrd:rvb i="1111"/>
        </ext>
      </extLst>
    </bk>
    <bk>
      <extLst>
        <ext uri="{3e2802c4-a4d2-4d8b-9148-e3be6c30e623}">
          <xlrd:rvb i="1112"/>
        </ext>
      </extLst>
    </bk>
    <bk>
      <extLst>
        <ext uri="{3e2802c4-a4d2-4d8b-9148-e3be6c30e623}">
          <xlrd:rvb i="1113"/>
        </ext>
      </extLst>
    </bk>
    <bk>
      <extLst>
        <ext uri="{3e2802c4-a4d2-4d8b-9148-e3be6c30e623}">
          <xlrd:rvb i="1114"/>
        </ext>
      </extLst>
    </bk>
    <bk>
      <extLst>
        <ext uri="{3e2802c4-a4d2-4d8b-9148-e3be6c30e623}">
          <xlrd:rvb i="1115"/>
        </ext>
      </extLst>
    </bk>
    <bk>
      <extLst>
        <ext uri="{3e2802c4-a4d2-4d8b-9148-e3be6c30e623}">
          <xlrd:rvb i="1116"/>
        </ext>
      </extLst>
    </bk>
    <bk>
      <extLst>
        <ext uri="{3e2802c4-a4d2-4d8b-9148-e3be6c30e623}">
          <xlrd:rvb i="1117"/>
        </ext>
      </extLst>
    </bk>
    <bk>
      <extLst>
        <ext uri="{3e2802c4-a4d2-4d8b-9148-e3be6c30e623}">
          <xlrd:rvb i="1118"/>
        </ext>
      </extLst>
    </bk>
    <bk>
      <extLst>
        <ext uri="{3e2802c4-a4d2-4d8b-9148-e3be6c30e623}">
          <xlrd:rvb i="1119"/>
        </ext>
      </extLst>
    </bk>
    <bk>
      <extLst>
        <ext uri="{3e2802c4-a4d2-4d8b-9148-e3be6c30e623}">
          <xlrd:rvb i="1120"/>
        </ext>
      </extLst>
    </bk>
    <bk>
      <extLst>
        <ext uri="{3e2802c4-a4d2-4d8b-9148-e3be6c30e623}">
          <xlrd:rvb i="1121"/>
        </ext>
      </extLst>
    </bk>
    <bk>
      <extLst>
        <ext uri="{3e2802c4-a4d2-4d8b-9148-e3be6c30e623}">
          <xlrd:rvb i="1122"/>
        </ext>
      </extLst>
    </bk>
    <bk>
      <extLst>
        <ext uri="{3e2802c4-a4d2-4d8b-9148-e3be6c30e623}">
          <xlrd:rvb i="1123"/>
        </ext>
      </extLst>
    </bk>
    <bk>
      <extLst>
        <ext uri="{3e2802c4-a4d2-4d8b-9148-e3be6c30e623}">
          <xlrd:rvb i="1124"/>
        </ext>
      </extLst>
    </bk>
    <bk>
      <extLst>
        <ext uri="{3e2802c4-a4d2-4d8b-9148-e3be6c30e623}">
          <xlrd:rvb i="1125"/>
        </ext>
      </extLst>
    </bk>
    <bk>
      <extLst>
        <ext uri="{3e2802c4-a4d2-4d8b-9148-e3be6c30e623}">
          <xlrd:rvb i="1126"/>
        </ext>
      </extLst>
    </bk>
    <bk>
      <extLst>
        <ext uri="{3e2802c4-a4d2-4d8b-9148-e3be6c30e623}">
          <xlrd:rvb i="1127"/>
        </ext>
      </extLst>
    </bk>
    <bk>
      <extLst>
        <ext uri="{3e2802c4-a4d2-4d8b-9148-e3be6c30e623}">
          <xlrd:rvb i="1128"/>
        </ext>
      </extLst>
    </bk>
    <bk>
      <extLst>
        <ext uri="{3e2802c4-a4d2-4d8b-9148-e3be6c30e623}">
          <xlrd:rvb i="1129"/>
        </ext>
      </extLst>
    </bk>
    <bk>
      <extLst>
        <ext uri="{3e2802c4-a4d2-4d8b-9148-e3be6c30e623}">
          <xlrd:rvb i="1130"/>
        </ext>
      </extLst>
    </bk>
    <bk>
      <extLst>
        <ext uri="{3e2802c4-a4d2-4d8b-9148-e3be6c30e623}">
          <xlrd:rvb i="1131"/>
        </ext>
      </extLst>
    </bk>
    <bk>
      <extLst>
        <ext uri="{3e2802c4-a4d2-4d8b-9148-e3be6c30e623}">
          <xlrd:rvb i="1132"/>
        </ext>
      </extLst>
    </bk>
    <bk>
      <extLst>
        <ext uri="{3e2802c4-a4d2-4d8b-9148-e3be6c30e623}">
          <xlrd:rvb i="1133"/>
        </ext>
      </extLst>
    </bk>
    <bk>
      <extLst>
        <ext uri="{3e2802c4-a4d2-4d8b-9148-e3be6c30e623}">
          <xlrd:rvb i="1134"/>
        </ext>
      </extLst>
    </bk>
    <bk>
      <extLst>
        <ext uri="{3e2802c4-a4d2-4d8b-9148-e3be6c30e623}">
          <xlrd:rvb i="1135"/>
        </ext>
      </extLst>
    </bk>
    <bk>
      <extLst>
        <ext uri="{3e2802c4-a4d2-4d8b-9148-e3be6c30e623}">
          <xlrd:rvb i="1136"/>
        </ext>
      </extLst>
    </bk>
    <bk>
      <extLst>
        <ext uri="{3e2802c4-a4d2-4d8b-9148-e3be6c30e623}">
          <xlrd:rvb i="1137"/>
        </ext>
      </extLst>
    </bk>
    <bk>
      <extLst>
        <ext uri="{3e2802c4-a4d2-4d8b-9148-e3be6c30e623}">
          <xlrd:rvb i="1138"/>
        </ext>
      </extLst>
    </bk>
    <bk>
      <extLst>
        <ext uri="{3e2802c4-a4d2-4d8b-9148-e3be6c30e623}">
          <xlrd:rvb i="1139"/>
        </ext>
      </extLst>
    </bk>
    <bk>
      <extLst>
        <ext uri="{3e2802c4-a4d2-4d8b-9148-e3be6c30e623}">
          <xlrd:rvb i="1140"/>
        </ext>
      </extLst>
    </bk>
    <bk>
      <extLst>
        <ext uri="{3e2802c4-a4d2-4d8b-9148-e3be6c30e623}">
          <xlrd:rvb i="1141"/>
        </ext>
      </extLst>
    </bk>
    <bk>
      <extLst>
        <ext uri="{3e2802c4-a4d2-4d8b-9148-e3be6c30e623}">
          <xlrd:rvb i="1142"/>
        </ext>
      </extLst>
    </bk>
    <bk>
      <extLst>
        <ext uri="{3e2802c4-a4d2-4d8b-9148-e3be6c30e623}">
          <xlrd:rvb i="1143"/>
        </ext>
      </extLst>
    </bk>
    <bk>
      <extLst>
        <ext uri="{3e2802c4-a4d2-4d8b-9148-e3be6c30e623}">
          <xlrd:rvb i="1144"/>
        </ext>
      </extLst>
    </bk>
    <bk>
      <extLst>
        <ext uri="{3e2802c4-a4d2-4d8b-9148-e3be6c30e623}">
          <xlrd:rvb i="1145"/>
        </ext>
      </extLst>
    </bk>
    <bk>
      <extLst>
        <ext uri="{3e2802c4-a4d2-4d8b-9148-e3be6c30e623}">
          <xlrd:rvb i="1146"/>
        </ext>
      </extLst>
    </bk>
    <bk>
      <extLst>
        <ext uri="{3e2802c4-a4d2-4d8b-9148-e3be6c30e623}">
          <xlrd:rvb i="1147"/>
        </ext>
      </extLst>
    </bk>
    <bk>
      <extLst>
        <ext uri="{3e2802c4-a4d2-4d8b-9148-e3be6c30e623}">
          <xlrd:rvb i="1148"/>
        </ext>
      </extLst>
    </bk>
    <bk>
      <extLst>
        <ext uri="{3e2802c4-a4d2-4d8b-9148-e3be6c30e623}">
          <xlrd:rvb i="1149"/>
        </ext>
      </extLst>
    </bk>
    <bk>
      <extLst>
        <ext uri="{3e2802c4-a4d2-4d8b-9148-e3be6c30e623}">
          <xlrd:rvb i="1150"/>
        </ext>
      </extLst>
    </bk>
    <bk>
      <extLst>
        <ext uri="{3e2802c4-a4d2-4d8b-9148-e3be6c30e623}">
          <xlrd:rvb i="1151"/>
        </ext>
      </extLst>
    </bk>
    <bk>
      <extLst>
        <ext uri="{3e2802c4-a4d2-4d8b-9148-e3be6c30e623}">
          <xlrd:rvb i="1152"/>
        </ext>
      </extLst>
    </bk>
    <bk>
      <extLst>
        <ext uri="{3e2802c4-a4d2-4d8b-9148-e3be6c30e623}">
          <xlrd:rvb i="1153"/>
        </ext>
      </extLst>
    </bk>
    <bk>
      <extLst>
        <ext uri="{3e2802c4-a4d2-4d8b-9148-e3be6c30e623}">
          <xlrd:rvb i="1154"/>
        </ext>
      </extLst>
    </bk>
    <bk>
      <extLst>
        <ext uri="{3e2802c4-a4d2-4d8b-9148-e3be6c30e623}">
          <xlrd:rvb i="1155"/>
        </ext>
      </extLst>
    </bk>
    <bk>
      <extLst>
        <ext uri="{3e2802c4-a4d2-4d8b-9148-e3be6c30e623}">
          <xlrd:rvb i="1156"/>
        </ext>
      </extLst>
    </bk>
    <bk>
      <extLst>
        <ext uri="{3e2802c4-a4d2-4d8b-9148-e3be6c30e623}">
          <xlrd:rvb i="1157"/>
        </ext>
      </extLst>
    </bk>
    <bk>
      <extLst>
        <ext uri="{3e2802c4-a4d2-4d8b-9148-e3be6c30e623}">
          <xlrd:rvb i="1158"/>
        </ext>
      </extLst>
    </bk>
    <bk>
      <extLst>
        <ext uri="{3e2802c4-a4d2-4d8b-9148-e3be6c30e623}">
          <xlrd:rvb i="1159"/>
        </ext>
      </extLst>
    </bk>
    <bk>
      <extLst>
        <ext uri="{3e2802c4-a4d2-4d8b-9148-e3be6c30e623}">
          <xlrd:rvb i="1160"/>
        </ext>
      </extLst>
    </bk>
    <bk>
      <extLst>
        <ext uri="{3e2802c4-a4d2-4d8b-9148-e3be6c30e623}">
          <xlrd:rvb i="1161"/>
        </ext>
      </extLst>
    </bk>
    <bk>
      <extLst>
        <ext uri="{3e2802c4-a4d2-4d8b-9148-e3be6c30e623}">
          <xlrd:rvb i="1162"/>
        </ext>
      </extLst>
    </bk>
    <bk>
      <extLst>
        <ext uri="{3e2802c4-a4d2-4d8b-9148-e3be6c30e623}">
          <xlrd:rvb i="1163"/>
        </ext>
      </extLst>
    </bk>
    <bk>
      <extLst>
        <ext uri="{3e2802c4-a4d2-4d8b-9148-e3be6c30e623}">
          <xlrd:rvb i="1164"/>
        </ext>
      </extLst>
    </bk>
    <bk>
      <extLst>
        <ext uri="{3e2802c4-a4d2-4d8b-9148-e3be6c30e623}">
          <xlrd:rvb i="1165"/>
        </ext>
      </extLst>
    </bk>
    <bk>
      <extLst>
        <ext uri="{3e2802c4-a4d2-4d8b-9148-e3be6c30e623}">
          <xlrd:rvb i="1166"/>
        </ext>
      </extLst>
    </bk>
    <bk>
      <extLst>
        <ext uri="{3e2802c4-a4d2-4d8b-9148-e3be6c30e623}">
          <xlrd:rvb i="1167"/>
        </ext>
      </extLst>
    </bk>
    <bk>
      <extLst>
        <ext uri="{3e2802c4-a4d2-4d8b-9148-e3be6c30e623}">
          <xlrd:rvb i="1168"/>
        </ext>
      </extLst>
    </bk>
    <bk>
      <extLst>
        <ext uri="{3e2802c4-a4d2-4d8b-9148-e3be6c30e623}">
          <xlrd:rvb i="1169"/>
        </ext>
      </extLst>
    </bk>
    <bk>
      <extLst>
        <ext uri="{3e2802c4-a4d2-4d8b-9148-e3be6c30e623}">
          <xlrd:rvb i="1170"/>
        </ext>
      </extLst>
    </bk>
    <bk>
      <extLst>
        <ext uri="{3e2802c4-a4d2-4d8b-9148-e3be6c30e623}">
          <xlrd:rvb i="1171"/>
        </ext>
      </extLst>
    </bk>
    <bk>
      <extLst>
        <ext uri="{3e2802c4-a4d2-4d8b-9148-e3be6c30e623}">
          <xlrd:rvb i="1172"/>
        </ext>
      </extLst>
    </bk>
    <bk>
      <extLst>
        <ext uri="{3e2802c4-a4d2-4d8b-9148-e3be6c30e623}">
          <xlrd:rvb i="1173"/>
        </ext>
      </extLst>
    </bk>
    <bk>
      <extLst>
        <ext uri="{3e2802c4-a4d2-4d8b-9148-e3be6c30e623}">
          <xlrd:rvb i="1174"/>
        </ext>
      </extLst>
    </bk>
    <bk>
      <extLst>
        <ext uri="{3e2802c4-a4d2-4d8b-9148-e3be6c30e623}">
          <xlrd:rvb i="1175"/>
        </ext>
      </extLst>
    </bk>
    <bk>
      <extLst>
        <ext uri="{3e2802c4-a4d2-4d8b-9148-e3be6c30e623}">
          <xlrd:rvb i="1176"/>
        </ext>
      </extLst>
    </bk>
    <bk>
      <extLst>
        <ext uri="{3e2802c4-a4d2-4d8b-9148-e3be6c30e623}">
          <xlrd:rvb i="1177"/>
        </ext>
      </extLst>
    </bk>
    <bk>
      <extLst>
        <ext uri="{3e2802c4-a4d2-4d8b-9148-e3be6c30e623}">
          <xlrd:rvb i="1178"/>
        </ext>
      </extLst>
    </bk>
    <bk>
      <extLst>
        <ext uri="{3e2802c4-a4d2-4d8b-9148-e3be6c30e623}">
          <xlrd:rvb i="1179"/>
        </ext>
      </extLst>
    </bk>
    <bk>
      <extLst>
        <ext uri="{3e2802c4-a4d2-4d8b-9148-e3be6c30e623}">
          <xlrd:rvb i="1180"/>
        </ext>
      </extLst>
    </bk>
    <bk>
      <extLst>
        <ext uri="{3e2802c4-a4d2-4d8b-9148-e3be6c30e623}">
          <xlrd:rvb i="1181"/>
        </ext>
      </extLst>
    </bk>
    <bk>
      <extLst>
        <ext uri="{3e2802c4-a4d2-4d8b-9148-e3be6c30e623}">
          <xlrd:rvb i="1182"/>
        </ext>
      </extLst>
    </bk>
    <bk>
      <extLst>
        <ext uri="{3e2802c4-a4d2-4d8b-9148-e3be6c30e623}">
          <xlrd:rvb i="1183"/>
        </ext>
      </extLst>
    </bk>
    <bk>
      <extLst>
        <ext uri="{3e2802c4-a4d2-4d8b-9148-e3be6c30e623}">
          <xlrd:rvb i="1184"/>
        </ext>
      </extLst>
    </bk>
    <bk>
      <extLst>
        <ext uri="{3e2802c4-a4d2-4d8b-9148-e3be6c30e623}">
          <xlrd:rvb i="1185"/>
        </ext>
      </extLst>
    </bk>
    <bk>
      <extLst>
        <ext uri="{3e2802c4-a4d2-4d8b-9148-e3be6c30e623}">
          <xlrd:rvb i="1186"/>
        </ext>
      </extLst>
    </bk>
    <bk>
      <extLst>
        <ext uri="{3e2802c4-a4d2-4d8b-9148-e3be6c30e623}">
          <xlrd:rvb i="1187"/>
        </ext>
      </extLst>
    </bk>
    <bk>
      <extLst>
        <ext uri="{3e2802c4-a4d2-4d8b-9148-e3be6c30e623}">
          <xlrd:rvb i="1188"/>
        </ext>
      </extLst>
    </bk>
    <bk>
      <extLst>
        <ext uri="{3e2802c4-a4d2-4d8b-9148-e3be6c30e623}">
          <xlrd:rvb i="1189"/>
        </ext>
      </extLst>
    </bk>
    <bk>
      <extLst>
        <ext uri="{3e2802c4-a4d2-4d8b-9148-e3be6c30e623}">
          <xlrd:rvb i="1190"/>
        </ext>
      </extLst>
    </bk>
    <bk>
      <extLst>
        <ext uri="{3e2802c4-a4d2-4d8b-9148-e3be6c30e623}">
          <xlrd:rvb i="1191"/>
        </ext>
      </extLst>
    </bk>
    <bk>
      <extLst>
        <ext uri="{3e2802c4-a4d2-4d8b-9148-e3be6c30e623}">
          <xlrd:rvb i="1192"/>
        </ext>
      </extLst>
    </bk>
    <bk>
      <extLst>
        <ext uri="{3e2802c4-a4d2-4d8b-9148-e3be6c30e623}">
          <xlrd:rvb i="1193"/>
        </ext>
      </extLst>
    </bk>
    <bk>
      <extLst>
        <ext uri="{3e2802c4-a4d2-4d8b-9148-e3be6c30e623}">
          <xlrd:rvb i="1194"/>
        </ext>
      </extLst>
    </bk>
    <bk>
      <extLst>
        <ext uri="{3e2802c4-a4d2-4d8b-9148-e3be6c30e623}">
          <xlrd:rvb i="1195"/>
        </ext>
      </extLst>
    </bk>
    <bk>
      <extLst>
        <ext uri="{3e2802c4-a4d2-4d8b-9148-e3be6c30e623}">
          <xlrd:rvb i="1196"/>
        </ext>
      </extLst>
    </bk>
    <bk>
      <extLst>
        <ext uri="{3e2802c4-a4d2-4d8b-9148-e3be6c30e623}">
          <xlrd:rvb i="1197"/>
        </ext>
      </extLst>
    </bk>
    <bk>
      <extLst>
        <ext uri="{3e2802c4-a4d2-4d8b-9148-e3be6c30e623}">
          <xlrd:rvb i="1198"/>
        </ext>
      </extLst>
    </bk>
    <bk>
      <extLst>
        <ext uri="{3e2802c4-a4d2-4d8b-9148-e3be6c30e623}">
          <xlrd:rvb i="1199"/>
        </ext>
      </extLst>
    </bk>
    <bk>
      <extLst>
        <ext uri="{3e2802c4-a4d2-4d8b-9148-e3be6c30e623}">
          <xlrd:rvb i="1200"/>
        </ext>
      </extLst>
    </bk>
    <bk>
      <extLst>
        <ext uri="{3e2802c4-a4d2-4d8b-9148-e3be6c30e623}">
          <xlrd:rvb i="1201"/>
        </ext>
      </extLst>
    </bk>
    <bk>
      <extLst>
        <ext uri="{3e2802c4-a4d2-4d8b-9148-e3be6c30e623}">
          <xlrd:rvb i="1202"/>
        </ext>
      </extLst>
    </bk>
    <bk>
      <extLst>
        <ext uri="{3e2802c4-a4d2-4d8b-9148-e3be6c30e623}">
          <xlrd:rvb i="1203"/>
        </ext>
      </extLst>
    </bk>
    <bk>
      <extLst>
        <ext uri="{3e2802c4-a4d2-4d8b-9148-e3be6c30e623}">
          <xlrd:rvb i="1204"/>
        </ext>
      </extLst>
    </bk>
    <bk>
      <extLst>
        <ext uri="{3e2802c4-a4d2-4d8b-9148-e3be6c30e623}">
          <xlrd:rvb i="1205"/>
        </ext>
      </extLst>
    </bk>
    <bk>
      <extLst>
        <ext uri="{3e2802c4-a4d2-4d8b-9148-e3be6c30e623}">
          <xlrd:rvb i="1206"/>
        </ext>
      </extLst>
    </bk>
    <bk>
      <extLst>
        <ext uri="{3e2802c4-a4d2-4d8b-9148-e3be6c30e623}">
          <xlrd:rvb i="1207"/>
        </ext>
      </extLst>
    </bk>
    <bk>
      <extLst>
        <ext uri="{3e2802c4-a4d2-4d8b-9148-e3be6c30e623}">
          <xlrd:rvb i="1208"/>
        </ext>
      </extLst>
    </bk>
    <bk>
      <extLst>
        <ext uri="{3e2802c4-a4d2-4d8b-9148-e3be6c30e623}">
          <xlrd:rvb i="1209"/>
        </ext>
      </extLst>
    </bk>
    <bk>
      <extLst>
        <ext uri="{3e2802c4-a4d2-4d8b-9148-e3be6c30e623}">
          <xlrd:rvb i="1210"/>
        </ext>
      </extLst>
    </bk>
    <bk>
      <extLst>
        <ext uri="{3e2802c4-a4d2-4d8b-9148-e3be6c30e623}">
          <xlrd:rvb i="1211"/>
        </ext>
      </extLst>
    </bk>
    <bk>
      <extLst>
        <ext uri="{3e2802c4-a4d2-4d8b-9148-e3be6c30e623}">
          <xlrd:rvb i="1212"/>
        </ext>
      </extLst>
    </bk>
    <bk>
      <extLst>
        <ext uri="{3e2802c4-a4d2-4d8b-9148-e3be6c30e623}">
          <xlrd:rvb i="1213"/>
        </ext>
      </extLst>
    </bk>
    <bk>
      <extLst>
        <ext uri="{3e2802c4-a4d2-4d8b-9148-e3be6c30e623}">
          <xlrd:rvb i="1214"/>
        </ext>
      </extLst>
    </bk>
    <bk>
      <extLst>
        <ext uri="{3e2802c4-a4d2-4d8b-9148-e3be6c30e623}">
          <xlrd:rvb i="1215"/>
        </ext>
      </extLst>
    </bk>
    <bk>
      <extLst>
        <ext uri="{3e2802c4-a4d2-4d8b-9148-e3be6c30e623}">
          <xlrd:rvb i="1216"/>
        </ext>
      </extLst>
    </bk>
    <bk>
      <extLst>
        <ext uri="{3e2802c4-a4d2-4d8b-9148-e3be6c30e623}">
          <xlrd:rvb i="1217"/>
        </ext>
      </extLst>
    </bk>
    <bk>
      <extLst>
        <ext uri="{3e2802c4-a4d2-4d8b-9148-e3be6c30e623}">
          <xlrd:rvb i="1218"/>
        </ext>
      </extLst>
    </bk>
    <bk>
      <extLst>
        <ext uri="{3e2802c4-a4d2-4d8b-9148-e3be6c30e623}">
          <xlrd:rvb i="1219"/>
        </ext>
      </extLst>
    </bk>
    <bk>
      <extLst>
        <ext uri="{3e2802c4-a4d2-4d8b-9148-e3be6c30e623}">
          <xlrd:rvb i="1220"/>
        </ext>
      </extLst>
    </bk>
    <bk>
      <extLst>
        <ext uri="{3e2802c4-a4d2-4d8b-9148-e3be6c30e623}">
          <xlrd:rvb i="1221"/>
        </ext>
      </extLst>
    </bk>
    <bk>
      <extLst>
        <ext uri="{3e2802c4-a4d2-4d8b-9148-e3be6c30e623}">
          <xlrd:rvb i="1222"/>
        </ext>
      </extLst>
    </bk>
    <bk>
      <extLst>
        <ext uri="{3e2802c4-a4d2-4d8b-9148-e3be6c30e623}">
          <xlrd:rvb i="1223"/>
        </ext>
      </extLst>
    </bk>
    <bk>
      <extLst>
        <ext uri="{3e2802c4-a4d2-4d8b-9148-e3be6c30e623}">
          <xlrd:rvb i="1224"/>
        </ext>
      </extLst>
    </bk>
    <bk>
      <extLst>
        <ext uri="{3e2802c4-a4d2-4d8b-9148-e3be6c30e623}">
          <xlrd:rvb i="1225"/>
        </ext>
      </extLst>
    </bk>
    <bk>
      <extLst>
        <ext uri="{3e2802c4-a4d2-4d8b-9148-e3be6c30e623}">
          <xlrd:rvb i="1226"/>
        </ext>
      </extLst>
    </bk>
    <bk>
      <extLst>
        <ext uri="{3e2802c4-a4d2-4d8b-9148-e3be6c30e623}">
          <xlrd:rvb i="1227"/>
        </ext>
      </extLst>
    </bk>
    <bk>
      <extLst>
        <ext uri="{3e2802c4-a4d2-4d8b-9148-e3be6c30e623}">
          <xlrd:rvb i="1228"/>
        </ext>
      </extLst>
    </bk>
    <bk>
      <extLst>
        <ext uri="{3e2802c4-a4d2-4d8b-9148-e3be6c30e623}">
          <xlrd:rvb i="1229"/>
        </ext>
      </extLst>
    </bk>
    <bk>
      <extLst>
        <ext uri="{3e2802c4-a4d2-4d8b-9148-e3be6c30e623}">
          <xlrd:rvb i="1230"/>
        </ext>
      </extLst>
    </bk>
    <bk>
      <extLst>
        <ext uri="{3e2802c4-a4d2-4d8b-9148-e3be6c30e623}">
          <xlrd:rvb i="1231"/>
        </ext>
      </extLst>
    </bk>
    <bk>
      <extLst>
        <ext uri="{3e2802c4-a4d2-4d8b-9148-e3be6c30e623}">
          <xlrd:rvb i="1232"/>
        </ext>
      </extLst>
    </bk>
    <bk>
      <extLst>
        <ext uri="{3e2802c4-a4d2-4d8b-9148-e3be6c30e623}">
          <xlrd:rvb i="1233"/>
        </ext>
      </extLst>
    </bk>
    <bk>
      <extLst>
        <ext uri="{3e2802c4-a4d2-4d8b-9148-e3be6c30e623}">
          <xlrd:rvb i="1234"/>
        </ext>
      </extLst>
    </bk>
    <bk>
      <extLst>
        <ext uri="{3e2802c4-a4d2-4d8b-9148-e3be6c30e623}">
          <xlrd:rvb i="1235"/>
        </ext>
      </extLst>
    </bk>
    <bk>
      <extLst>
        <ext uri="{3e2802c4-a4d2-4d8b-9148-e3be6c30e623}">
          <xlrd:rvb i="1236"/>
        </ext>
      </extLst>
    </bk>
    <bk>
      <extLst>
        <ext uri="{3e2802c4-a4d2-4d8b-9148-e3be6c30e623}">
          <xlrd:rvb i="1237"/>
        </ext>
      </extLst>
    </bk>
    <bk>
      <extLst>
        <ext uri="{3e2802c4-a4d2-4d8b-9148-e3be6c30e623}">
          <xlrd:rvb i="1238"/>
        </ext>
      </extLst>
    </bk>
    <bk>
      <extLst>
        <ext uri="{3e2802c4-a4d2-4d8b-9148-e3be6c30e623}">
          <xlrd:rvb i="1239"/>
        </ext>
      </extLst>
    </bk>
    <bk>
      <extLst>
        <ext uri="{3e2802c4-a4d2-4d8b-9148-e3be6c30e623}">
          <xlrd:rvb i="1240"/>
        </ext>
      </extLst>
    </bk>
    <bk>
      <extLst>
        <ext uri="{3e2802c4-a4d2-4d8b-9148-e3be6c30e623}">
          <xlrd:rvb i="1241"/>
        </ext>
      </extLst>
    </bk>
    <bk>
      <extLst>
        <ext uri="{3e2802c4-a4d2-4d8b-9148-e3be6c30e623}">
          <xlrd:rvb i="1242"/>
        </ext>
      </extLst>
    </bk>
    <bk>
      <extLst>
        <ext uri="{3e2802c4-a4d2-4d8b-9148-e3be6c30e623}">
          <xlrd:rvb i="1243"/>
        </ext>
      </extLst>
    </bk>
    <bk>
      <extLst>
        <ext uri="{3e2802c4-a4d2-4d8b-9148-e3be6c30e623}">
          <xlrd:rvb i="1244"/>
        </ext>
      </extLst>
    </bk>
    <bk>
      <extLst>
        <ext uri="{3e2802c4-a4d2-4d8b-9148-e3be6c30e623}">
          <xlrd:rvb i="1245"/>
        </ext>
      </extLst>
    </bk>
    <bk>
      <extLst>
        <ext uri="{3e2802c4-a4d2-4d8b-9148-e3be6c30e623}">
          <xlrd:rvb i="1246"/>
        </ext>
      </extLst>
    </bk>
    <bk>
      <extLst>
        <ext uri="{3e2802c4-a4d2-4d8b-9148-e3be6c30e623}">
          <xlrd:rvb i="1247"/>
        </ext>
      </extLst>
    </bk>
    <bk>
      <extLst>
        <ext uri="{3e2802c4-a4d2-4d8b-9148-e3be6c30e623}">
          <xlrd:rvb i="1248"/>
        </ext>
      </extLst>
    </bk>
    <bk>
      <extLst>
        <ext uri="{3e2802c4-a4d2-4d8b-9148-e3be6c30e623}">
          <xlrd:rvb i="1249"/>
        </ext>
      </extLst>
    </bk>
    <bk>
      <extLst>
        <ext uri="{3e2802c4-a4d2-4d8b-9148-e3be6c30e623}">
          <xlrd:rvb i="1250"/>
        </ext>
      </extLst>
    </bk>
    <bk>
      <extLst>
        <ext uri="{3e2802c4-a4d2-4d8b-9148-e3be6c30e623}">
          <xlrd:rvb i="1251"/>
        </ext>
      </extLst>
    </bk>
    <bk>
      <extLst>
        <ext uri="{3e2802c4-a4d2-4d8b-9148-e3be6c30e623}">
          <xlrd:rvb i="1252"/>
        </ext>
      </extLst>
    </bk>
    <bk>
      <extLst>
        <ext uri="{3e2802c4-a4d2-4d8b-9148-e3be6c30e623}">
          <xlrd:rvb i="1253"/>
        </ext>
      </extLst>
    </bk>
    <bk>
      <extLst>
        <ext uri="{3e2802c4-a4d2-4d8b-9148-e3be6c30e623}">
          <xlrd:rvb i="1254"/>
        </ext>
      </extLst>
    </bk>
    <bk>
      <extLst>
        <ext uri="{3e2802c4-a4d2-4d8b-9148-e3be6c30e623}">
          <xlrd:rvb i="1255"/>
        </ext>
      </extLst>
    </bk>
    <bk>
      <extLst>
        <ext uri="{3e2802c4-a4d2-4d8b-9148-e3be6c30e623}">
          <xlrd:rvb i="1256"/>
        </ext>
      </extLst>
    </bk>
    <bk>
      <extLst>
        <ext uri="{3e2802c4-a4d2-4d8b-9148-e3be6c30e623}">
          <xlrd:rvb i="1257"/>
        </ext>
      </extLst>
    </bk>
    <bk>
      <extLst>
        <ext uri="{3e2802c4-a4d2-4d8b-9148-e3be6c30e623}">
          <xlrd:rvb i="1258"/>
        </ext>
      </extLst>
    </bk>
    <bk>
      <extLst>
        <ext uri="{3e2802c4-a4d2-4d8b-9148-e3be6c30e623}">
          <xlrd:rvb i="1259"/>
        </ext>
      </extLst>
    </bk>
    <bk>
      <extLst>
        <ext uri="{3e2802c4-a4d2-4d8b-9148-e3be6c30e623}">
          <xlrd:rvb i="1260"/>
        </ext>
      </extLst>
    </bk>
    <bk>
      <extLst>
        <ext uri="{3e2802c4-a4d2-4d8b-9148-e3be6c30e623}">
          <xlrd:rvb i="1261"/>
        </ext>
      </extLst>
    </bk>
    <bk>
      <extLst>
        <ext uri="{3e2802c4-a4d2-4d8b-9148-e3be6c30e623}">
          <xlrd:rvb i="1262"/>
        </ext>
      </extLst>
    </bk>
    <bk>
      <extLst>
        <ext uri="{3e2802c4-a4d2-4d8b-9148-e3be6c30e623}">
          <xlrd:rvb i="1263"/>
        </ext>
      </extLst>
    </bk>
    <bk>
      <extLst>
        <ext uri="{3e2802c4-a4d2-4d8b-9148-e3be6c30e623}">
          <xlrd:rvb i="1264"/>
        </ext>
      </extLst>
    </bk>
    <bk>
      <extLst>
        <ext uri="{3e2802c4-a4d2-4d8b-9148-e3be6c30e623}">
          <xlrd:rvb i="1265"/>
        </ext>
      </extLst>
    </bk>
    <bk>
      <extLst>
        <ext uri="{3e2802c4-a4d2-4d8b-9148-e3be6c30e623}">
          <xlrd:rvb i="1266"/>
        </ext>
      </extLst>
    </bk>
    <bk>
      <extLst>
        <ext uri="{3e2802c4-a4d2-4d8b-9148-e3be6c30e623}">
          <xlrd:rvb i="1267"/>
        </ext>
      </extLst>
    </bk>
    <bk>
      <extLst>
        <ext uri="{3e2802c4-a4d2-4d8b-9148-e3be6c30e623}">
          <xlrd:rvb i="1268"/>
        </ext>
      </extLst>
    </bk>
    <bk>
      <extLst>
        <ext uri="{3e2802c4-a4d2-4d8b-9148-e3be6c30e623}">
          <xlrd:rvb i="1269"/>
        </ext>
      </extLst>
    </bk>
    <bk>
      <extLst>
        <ext uri="{3e2802c4-a4d2-4d8b-9148-e3be6c30e623}">
          <xlrd:rvb i="1270"/>
        </ext>
      </extLst>
    </bk>
    <bk>
      <extLst>
        <ext uri="{3e2802c4-a4d2-4d8b-9148-e3be6c30e623}">
          <xlrd:rvb i="1271"/>
        </ext>
      </extLst>
    </bk>
    <bk>
      <extLst>
        <ext uri="{3e2802c4-a4d2-4d8b-9148-e3be6c30e623}">
          <xlrd:rvb i="1272"/>
        </ext>
      </extLst>
    </bk>
    <bk>
      <extLst>
        <ext uri="{3e2802c4-a4d2-4d8b-9148-e3be6c30e623}">
          <xlrd:rvb i="1273"/>
        </ext>
      </extLst>
    </bk>
    <bk>
      <extLst>
        <ext uri="{3e2802c4-a4d2-4d8b-9148-e3be6c30e623}">
          <xlrd:rvb i="1274"/>
        </ext>
      </extLst>
    </bk>
    <bk>
      <extLst>
        <ext uri="{3e2802c4-a4d2-4d8b-9148-e3be6c30e623}">
          <xlrd:rvb i="1275"/>
        </ext>
      </extLst>
    </bk>
    <bk>
      <extLst>
        <ext uri="{3e2802c4-a4d2-4d8b-9148-e3be6c30e623}">
          <xlrd:rvb i="1276"/>
        </ext>
      </extLst>
    </bk>
    <bk>
      <extLst>
        <ext uri="{3e2802c4-a4d2-4d8b-9148-e3be6c30e623}">
          <xlrd:rvb i="1277"/>
        </ext>
      </extLst>
    </bk>
    <bk>
      <extLst>
        <ext uri="{3e2802c4-a4d2-4d8b-9148-e3be6c30e623}">
          <xlrd:rvb i="1278"/>
        </ext>
      </extLst>
    </bk>
    <bk>
      <extLst>
        <ext uri="{3e2802c4-a4d2-4d8b-9148-e3be6c30e623}">
          <xlrd:rvb i="1279"/>
        </ext>
      </extLst>
    </bk>
    <bk>
      <extLst>
        <ext uri="{3e2802c4-a4d2-4d8b-9148-e3be6c30e623}">
          <xlrd:rvb i="1280"/>
        </ext>
      </extLst>
    </bk>
    <bk>
      <extLst>
        <ext uri="{3e2802c4-a4d2-4d8b-9148-e3be6c30e623}">
          <xlrd:rvb i="1281"/>
        </ext>
      </extLst>
    </bk>
    <bk>
      <extLst>
        <ext uri="{3e2802c4-a4d2-4d8b-9148-e3be6c30e623}">
          <xlrd:rvb i="1282"/>
        </ext>
      </extLst>
    </bk>
    <bk>
      <extLst>
        <ext uri="{3e2802c4-a4d2-4d8b-9148-e3be6c30e623}">
          <xlrd:rvb i="1283"/>
        </ext>
      </extLst>
    </bk>
    <bk>
      <extLst>
        <ext uri="{3e2802c4-a4d2-4d8b-9148-e3be6c30e623}">
          <xlrd:rvb i="1284"/>
        </ext>
      </extLst>
    </bk>
    <bk>
      <extLst>
        <ext uri="{3e2802c4-a4d2-4d8b-9148-e3be6c30e623}">
          <xlrd:rvb i="1285"/>
        </ext>
      </extLst>
    </bk>
    <bk>
      <extLst>
        <ext uri="{3e2802c4-a4d2-4d8b-9148-e3be6c30e623}">
          <xlrd:rvb i="1286"/>
        </ext>
      </extLst>
    </bk>
    <bk>
      <extLst>
        <ext uri="{3e2802c4-a4d2-4d8b-9148-e3be6c30e623}">
          <xlrd:rvb i="1287"/>
        </ext>
      </extLst>
    </bk>
    <bk>
      <extLst>
        <ext uri="{3e2802c4-a4d2-4d8b-9148-e3be6c30e623}">
          <xlrd:rvb i="1288"/>
        </ext>
      </extLst>
    </bk>
    <bk>
      <extLst>
        <ext uri="{3e2802c4-a4d2-4d8b-9148-e3be6c30e623}">
          <xlrd:rvb i="1289"/>
        </ext>
      </extLst>
    </bk>
    <bk>
      <extLst>
        <ext uri="{3e2802c4-a4d2-4d8b-9148-e3be6c30e623}">
          <xlrd:rvb i="1290"/>
        </ext>
      </extLst>
    </bk>
    <bk>
      <extLst>
        <ext uri="{3e2802c4-a4d2-4d8b-9148-e3be6c30e623}">
          <xlrd:rvb i="1291"/>
        </ext>
      </extLst>
    </bk>
    <bk>
      <extLst>
        <ext uri="{3e2802c4-a4d2-4d8b-9148-e3be6c30e623}">
          <xlrd:rvb i="1292"/>
        </ext>
      </extLst>
    </bk>
    <bk>
      <extLst>
        <ext uri="{3e2802c4-a4d2-4d8b-9148-e3be6c30e623}">
          <xlrd:rvb i="1293"/>
        </ext>
      </extLst>
    </bk>
    <bk>
      <extLst>
        <ext uri="{3e2802c4-a4d2-4d8b-9148-e3be6c30e623}">
          <xlrd:rvb i="1294"/>
        </ext>
      </extLst>
    </bk>
    <bk>
      <extLst>
        <ext uri="{3e2802c4-a4d2-4d8b-9148-e3be6c30e623}">
          <xlrd:rvb i="1295"/>
        </ext>
      </extLst>
    </bk>
    <bk>
      <extLst>
        <ext uri="{3e2802c4-a4d2-4d8b-9148-e3be6c30e623}">
          <xlrd:rvb i="1296"/>
        </ext>
      </extLst>
    </bk>
    <bk>
      <extLst>
        <ext uri="{3e2802c4-a4d2-4d8b-9148-e3be6c30e623}">
          <xlrd:rvb i="1297"/>
        </ext>
      </extLst>
    </bk>
    <bk>
      <extLst>
        <ext uri="{3e2802c4-a4d2-4d8b-9148-e3be6c30e623}">
          <xlrd:rvb i="1298"/>
        </ext>
      </extLst>
    </bk>
    <bk>
      <extLst>
        <ext uri="{3e2802c4-a4d2-4d8b-9148-e3be6c30e623}">
          <xlrd:rvb i="1299"/>
        </ext>
      </extLst>
    </bk>
    <bk>
      <extLst>
        <ext uri="{3e2802c4-a4d2-4d8b-9148-e3be6c30e623}">
          <xlrd:rvb i="1300"/>
        </ext>
      </extLst>
    </bk>
    <bk>
      <extLst>
        <ext uri="{3e2802c4-a4d2-4d8b-9148-e3be6c30e623}">
          <xlrd:rvb i="1301"/>
        </ext>
      </extLst>
    </bk>
    <bk>
      <extLst>
        <ext uri="{3e2802c4-a4d2-4d8b-9148-e3be6c30e623}">
          <xlrd:rvb i="1302"/>
        </ext>
      </extLst>
    </bk>
    <bk>
      <extLst>
        <ext uri="{3e2802c4-a4d2-4d8b-9148-e3be6c30e623}">
          <xlrd:rvb i="1303"/>
        </ext>
      </extLst>
    </bk>
    <bk>
      <extLst>
        <ext uri="{3e2802c4-a4d2-4d8b-9148-e3be6c30e623}">
          <xlrd:rvb i="1304"/>
        </ext>
      </extLst>
    </bk>
    <bk>
      <extLst>
        <ext uri="{3e2802c4-a4d2-4d8b-9148-e3be6c30e623}">
          <xlrd:rvb i="1305"/>
        </ext>
      </extLst>
    </bk>
    <bk>
      <extLst>
        <ext uri="{3e2802c4-a4d2-4d8b-9148-e3be6c30e623}">
          <xlrd:rvb i="1306"/>
        </ext>
      </extLst>
    </bk>
    <bk>
      <extLst>
        <ext uri="{3e2802c4-a4d2-4d8b-9148-e3be6c30e623}">
          <xlrd:rvb i="1307"/>
        </ext>
      </extLst>
    </bk>
    <bk>
      <extLst>
        <ext uri="{3e2802c4-a4d2-4d8b-9148-e3be6c30e623}">
          <xlrd:rvb i="1308"/>
        </ext>
      </extLst>
    </bk>
    <bk>
      <extLst>
        <ext uri="{3e2802c4-a4d2-4d8b-9148-e3be6c30e623}">
          <xlrd:rvb i="1309"/>
        </ext>
      </extLst>
    </bk>
    <bk>
      <extLst>
        <ext uri="{3e2802c4-a4d2-4d8b-9148-e3be6c30e623}">
          <xlrd:rvb i="1310"/>
        </ext>
      </extLst>
    </bk>
    <bk>
      <extLst>
        <ext uri="{3e2802c4-a4d2-4d8b-9148-e3be6c30e623}">
          <xlrd:rvb i="1311"/>
        </ext>
      </extLst>
    </bk>
    <bk>
      <extLst>
        <ext uri="{3e2802c4-a4d2-4d8b-9148-e3be6c30e623}">
          <xlrd:rvb i="1312"/>
        </ext>
      </extLst>
    </bk>
    <bk>
      <extLst>
        <ext uri="{3e2802c4-a4d2-4d8b-9148-e3be6c30e623}">
          <xlrd:rvb i="1313"/>
        </ext>
      </extLst>
    </bk>
    <bk>
      <extLst>
        <ext uri="{3e2802c4-a4d2-4d8b-9148-e3be6c30e623}">
          <xlrd:rvb i="1314"/>
        </ext>
      </extLst>
    </bk>
    <bk>
      <extLst>
        <ext uri="{3e2802c4-a4d2-4d8b-9148-e3be6c30e623}">
          <xlrd:rvb i="1315"/>
        </ext>
      </extLst>
    </bk>
    <bk>
      <extLst>
        <ext uri="{3e2802c4-a4d2-4d8b-9148-e3be6c30e623}">
          <xlrd:rvb i="1316"/>
        </ext>
      </extLst>
    </bk>
    <bk>
      <extLst>
        <ext uri="{3e2802c4-a4d2-4d8b-9148-e3be6c30e623}">
          <xlrd:rvb i="1317"/>
        </ext>
      </extLst>
    </bk>
    <bk>
      <extLst>
        <ext uri="{3e2802c4-a4d2-4d8b-9148-e3be6c30e623}">
          <xlrd:rvb i="1318"/>
        </ext>
      </extLst>
    </bk>
    <bk>
      <extLst>
        <ext uri="{3e2802c4-a4d2-4d8b-9148-e3be6c30e623}">
          <xlrd:rvb i="1319"/>
        </ext>
      </extLst>
    </bk>
    <bk>
      <extLst>
        <ext uri="{3e2802c4-a4d2-4d8b-9148-e3be6c30e623}">
          <xlrd:rvb i="1320"/>
        </ext>
      </extLst>
    </bk>
    <bk>
      <extLst>
        <ext uri="{3e2802c4-a4d2-4d8b-9148-e3be6c30e623}">
          <xlrd:rvb i="1321"/>
        </ext>
      </extLst>
    </bk>
    <bk>
      <extLst>
        <ext uri="{3e2802c4-a4d2-4d8b-9148-e3be6c30e623}">
          <xlrd:rvb i="1322"/>
        </ext>
      </extLst>
    </bk>
    <bk>
      <extLst>
        <ext uri="{3e2802c4-a4d2-4d8b-9148-e3be6c30e623}">
          <xlrd:rvb i="1323"/>
        </ext>
      </extLst>
    </bk>
    <bk>
      <extLst>
        <ext uri="{3e2802c4-a4d2-4d8b-9148-e3be6c30e623}">
          <xlrd:rvb i="1324"/>
        </ext>
      </extLst>
    </bk>
    <bk>
      <extLst>
        <ext uri="{3e2802c4-a4d2-4d8b-9148-e3be6c30e623}">
          <xlrd:rvb i="1325"/>
        </ext>
      </extLst>
    </bk>
    <bk>
      <extLst>
        <ext uri="{3e2802c4-a4d2-4d8b-9148-e3be6c30e623}">
          <xlrd:rvb i="1326"/>
        </ext>
      </extLst>
    </bk>
    <bk>
      <extLst>
        <ext uri="{3e2802c4-a4d2-4d8b-9148-e3be6c30e623}">
          <xlrd:rvb i="1327"/>
        </ext>
      </extLst>
    </bk>
    <bk>
      <extLst>
        <ext uri="{3e2802c4-a4d2-4d8b-9148-e3be6c30e623}">
          <xlrd:rvb i="1328"/>
        </ext>
      </extLst>
    </bk>
    <bk>
      <extLst>
        <ext uri="{3e2802c4-a4d2-4d8b-9148-e3be6c30e623}">
          <xlrd:rvb i="1329"/>
        </ext>
      </extLst>
    </bk>
    <bk>
      <extLst>
        <ext uri="{3e2802c4-a4d2-4d8b-9148-e3be6c30e623}">
          <xlrd:rvb i="1330"/>
        </ext>
      </extLst>
    </bk>
    <bk>
      <extLst>
        <ext uri="{3e2802c4-a4d2-4d8b-9148-e3be6c30e623}">
          <xlrd:rvb i="1331"/>
        </ext>
      </extLst>
    </bk>
    <bk>
      <extLst>
        <ext uri="{3e2802c4-a4d2-4d8b-9148-e3be6c30e623}">
          <xlrd:rvb i="1332"/>
        </ext>
      </extLst>
    </bk>
    <bk>
      <extLst>
        <ext uri="{3e2802c4-a4d2-4d8b-9148-e3be6c30e623}">
          <xlrd:rvb i="1333"/>
        </ext>
      </extLst>
    </bk>
    <bk>
      <extLst>
        <ext uri="{3e2802c4-a4d2-4d8b-9148-e3be6c30e623}">
          <xlrd:rvb i="1334"/>
        </ext>
      </extLst>
    </bk>
    <bk>
      <extLst>
        <ext uri="{3e2802c4-a4d2-4d8b-9148-e3be6c30e623}">
          <xlrd:rvb i="1335"/>
        </ext>
      </extLst>
    </bk>
    <bk>
      <extLst>
        <ext uri="{3e2802c4-a4d2-4d8b-9148-e3be6c30e623}">
          <xlrd:rvb i="1336"/>
        </ext>
      </extLst>
    </bk>
    <bk>
      <extLst>
        <ext uri="{3e2802c4-a4d2-4d8b-9148-e3be6c30e623}">
          <xlrd:rvb i="1337"/>
        </ext>
      </extLst>
    </bk>
    <bk>
      <extLst>
        <ext uri="{3e2802c4-a4d2-4d8b-9148-e3be6c30e623}">
          <xlrd:rvb i="1338"/>
        </ext>
      </extLst>
    </bk>
    <bk>
      <extLst>
        <ext uri="{3e2802c4-a4d2-4d8b-9148-e3be6c30e623}">
          <xlrd:rvb i="1339"/>
        </ext>
      </extLst>
    </bk>
    <bk>
      <extLst>
        <ext uri="{3e2802c4-a4d2-4d8b-9148-e3be6c30e623}">
          <xlrd:rvb i="1340"/>
        </ext>
      </extLst>
    </bk>
    <bk>
      <extLst>
        <ext uri="{3e2802c4-a4d2-4d8b-9148-e3be6c30e623}">
          <xlrd:rvb i="1341"/>
        </ext>
      </extLst>
    </bk>
    <bk>
      <extLst>
        <ext uri="{3e2802c4-a4d2-4d8b-9148-e3be6c30e623}">
          <xlrd:rvb i="1342"/>
        </ext>
      </extLst>
    </bk>
    <bk>
      <extLst>
        <ext uri="{3e2802c4-a4d2-4d8b-9148-e3be6c30e623}">
          <xlrd:rvb i="1343"/>
        </ext>
      </extLst>
    </bk>
    <bk>
      <extLst>
        <ext uri="{3e2802c4-a4d2-4d8b-9148-e3be6c30e623}">
          <xlrd:rvb i="1344"/>
        </ext>
      </extLst>
    </bk>
    <bk>
      <extLst>
        <ext uri="{3e2802c4-a4d2-4d8b-9148-e3be6c30e623}">
          <xlrd:rvb i="1345"/>
        </ext>
      </extLst>
    </bk>
    <bk>
      <extLst>
        <ext uri="{3e2802c4-a4d2-4d8b-9148-e3be6c30e623}">
          <xlrd:rvb i="1346"/>
        </ext>
      </extLst>
    </bk>
    <bk>
      <extLst>
        <ext uri="{3e2802c4-a4d2-4d8b-9148-e3be6c30e623}">
          <xlrd:rvb i="1347"/>
        </ext>
      </extLst>
    </bk>
    <bk>
      <extLst>
        <ext uri="{3e2802c4-a4d2-4d8b-9148-e3be6c30e623}">
          <xlrd:rvb i="1348"/>
        </ext>
      </extLst>
    </bk>
    <bk>
      <extLst>
        <ext uri="{3e2802c4-a4d2-4d8b-9148-e3be6c30e623}">
          <xlrd:rvb i="1349"/>
        </ext>
      </extLst>
    </bk>
    <bk>
      <extLst>
        <ext uri="{3e2802c4-a4d2-4d8b-9148-e3be6c30e623}">
          <xlrd:rvb i="1350"/>
        </ext>
      </extLst>
    </bk>
    <bk>
      <extLst>
        <ext uri="{3e2802c4-a4d2-4d8b-9148-e3be6c30e623}">
          <xlrd:rvb i="1351"/>
        </ext>
      </extLst>
    </bk>
    <bk>
      <extLst>
        <ext uri="{3e2802c4-a4d2-4d8b-9148-e3be6c30e623}">
          <xlrd:rvb i="1352"/>
        </ext>
      </extLst>
    </bk>
    <bk>
      <extLst>
        <ext uri="{3e2802c4-a4d2-4d8b-9148-e3be6c30e623}">
          <xlrd:rvb i="1353"/>
        </ext>
      </extLst>
    </bk>
    <bk>
      <extLst>
        <ext uri="{3e2802c4-a4d2-4d8b-9148-e3be6c30e623}">
          <xlrd:rvb i="1354"/>
        </ext>
      </extLst>
    </bk>
    <bk>
      <extLst>
        <ext uri="{3e2802c4-a4d2-4d8b-9148-e3be6c30e623}">
          <xlrd:rvb i="1355"/>
        </ext>
      </extLst>
    </bk>
    <bk>
      <extLst>
        <ext uri="{3e2802c4-a4d2-4d8b-9148-e3be6c30e623}">
          <xlrd:rvb i="1356"/>
        </ext>
      </extLst>
    </bk>
    <bk>
      <extLst>
        <ext uri="{3e2802c4-a4d2-4d8b-9148-e3be6c30e623}">
          <xlrd:rvb i="1357"/>
        </ext>
      </extLst>
    </bk>
    <bk>
      <extLst>
        <ext uri="{3e2802c4-a4d2-4d8b-9148-e3be6c30e623}">
          <xlrd:rvb i="1358"/>
        </ext>
      </extLst>
    </bk>
    <bk>
      <extLst>
        <ext uri="{3e2802c4-a4d2-4d8b-9148-e3be6c30e623}">
          <xlrd:rvb i="1359"/>
        </ext>
      </extLst>
    </bk>
    <bk>
      <extLst>
        <ext uri="{3e2802c4-a4d2-4d8b-9148-e3be6c30e623}">
          <xlrd:rvb i="1360"/>
        </ext>
      </extLst>
    </bk>
    <bk>
      <extLst>
        <ext uri="{3e2802c4-a4d2-4d8b-9148-e3be6c30e623}">
          <xlrd:rvb i="1361"/>
        </ext>
      </extLst>
    </bk>
    <bk>
      <extLst>
        <ext uri="{3e2802c4-a4d2-4d8b-9148-e3be6c30e623}">
          <xlrd:rvb i="1362"/>
        </ext>
      </extLst>
    </bk>
    <bk>
      <extLst>
        <ext uri="{3e2802c4-a4d2-4d8b-9148-e3be6c30e623}">
          <xlrd:rvb i="1363"/>
        </ext>
      </extLst>
    </bk>
    <bk>
      <extLst>
        <ext uri="{3e2802c4-a4d2-4d8b-9148-e3be6c30e623}">
          <xlrd:rvb i="1364"/>
        </ext>
      </extLst>
    </bk>
    <bk>
      <extLst>
        <ext uri="{3e2802c4-a4d2-4d8b-9148-e3be6c30e623}">
          <xlrd:rvb i="1365"/>
        </ext>
      </extLst>
    </bk>
    <bk>
      <extLst>
        <ext uri="{3e2802c4-a4d2-4d8b-9148-e3be6c30e623}">
          <xlrd:rvb i="1366"/>
        </ext>
      </extLst>
    </bk>
    <bk>
      <extLst>
        <ext uri="{3e2802c4-a4d2-4d8b-9148-e3be6c30e623}">
          <xlrd:rvb i="1367"/>
        </ext>
      </extLst>
    </bk>
    <bk>
      <extLst>
        <ext uri="{3e2802c4-a4d2-4d8b-9148-e3be6c30e623}">
          <xlrd:rvb i="1368"/>
        </ext>
      </extLst>
    </bk>
    <bk>
      <extLst>
        <ext uri="{3e2802c4-a4d2-4d8b-9148-e3be6c30e623}">
          <xlrd:rvb i="1369"/>
        </ext>
      </extLst>
    </bk>
    <bk>
      <extLst>
        <ext uri="{3e2802c4-a4d2-4d8b-9148-e3be6c30e623}">
          <xlrd:rvb i="1370"/>
        </ext>
      </extLst>
    </bk>
    <bk>
      <extLst>
        <ext uri="{3e2802c4-a4d2-4d8b-9148-e3be6c30e623}">
          <xlrd:rvb i="1371"/>
        </ext>
      </extLst>
    </bk>
    <bk>
      <extLst>
        <ext uri="{3e2802c4-a4d2-4d8b-9148-e3be6c30e623}">
          <xlrd:rvb i="1372"/>
        </ext>
      </extLst>
    </bk>
    <bk>
      <extLst>
        <ext uri="{3e2802c4-a4d2-4d8b-9148-e3be6c30e623}">
          <xlrd:rvb i="1373"/>
        </ext>
      </extLst>
    </bk>
    <bk>
      <extLst>
        <ext uri="{3e2802c4-a4d2-4d8b-9148-e3be6c30e623}">
          <xlrd:rvb i="1374"/>
        </ext>
      </extLst>
    </bk>
    <bk>
      <extLst>
        <ext uri="{3e2802c4-a4d2-4d8b-9148-e3be6c30e623}">
          <xlrd:rvb i="1375"/>
        </ext>
      </extLst>
    </bk>
    <bk>
      <extLst>
        <ext uri="{3e2802c4-a4d2-4d8b-9148-e3be6c30e623}">
          <xlrd:rvb i="1376"/>
        </ext>
      </extLst>
    </bk>
    <bk>
      <extLst>
        <ext uri="{3e2802c4-a4d2-4d8b-9148-e3be6c30e623}">
          <xlrd:rvb i="1377"/>
        </ext>
      </extLst>
    </bk>
    <bk>
      <extLst>
        <ext uri="{3e2802c4-a4d2-4d8b-9148-e3be6c30e623}">
          <xlrd:rvb i="1378"/>
        </ext>
      </extLst>
    </bk>
    <bk>
      <extLst>
        <ext uri="{3e2802c4-a4d2-4d8b-9148-e3be6c30e623}">
          <xlrd:rvb i="1379"/>
        </ext>
      </extLst>
    </bk>
    <bk>
      <extLst>
        <ext uri="{3e2802c4-a4d2-4d8b-9148-e3be6c30e623}">
          <xlrd:rvb i="1380"/>
        </ext>
      </extLst>
    </bk>
    <bk>
      <extLst>
        <ext uri="{3e2802c4-a4d2-4d8b-9148-e3be6c30e623}">
          <xlrd:rvb i="1381"/>
        </ext>
      </extLst>
    </bk>
    <bk>
      <extLst>
        <ext uri="{3e2802c4-a4d2-4d8b-9148-e3be6c30e623}">
          <xlrd:rvb i="1382"/>
        </ext>
      </extLst>
    </bk>
    <bk>
      <extLst>
        <ext uri="{3e2802c4-a4d2-4d8b-9148-e3be6c30e623}">
          <xlrd:rvb i="1383"/>
        </ext>
      </extLst>
    </bk>
    <bk>
      <extLst>
        <ext uri="{3e2802c4-a4d2-4d8b-9148-e3be6c30e623}">
          <xlrd:rvb i="1384"/>
        </ext>
      </extLst>
    </bk>
    <bk>
      <extLst>
        <ext uri="{3e2802c4-a4d2-4d8b-9148-e3be6c30e623}">
          <xlrd:rvb i="1385"/>
        </ext>
      </extLst>
    </bk>
    <bk>
      <extLst>
        <ext uri="{3e2802c4-a4d2-4d8b-9148-e3be6c30e623}">
          <xlrd:rvb i="1386"/>
        </ext>
      </extLst>
    </bk>
    <bk>
      <extLst>
        <ext uri="{3e2802c4-a4d2-4d8b-9148-e3be6c30e623}">
          <xlrd:rvb i="1387"/>
        </ext>
      </extLst>
    </bk>
    <bk>
      <extLst>
        <ext uri="{3e2802c4-a4d2-4d8b-9148-e3be6c30e623}">
          <xlrd:rvb i="1388"/>
        </ext>
      </extLst>
    </bk>
    <bk>
      <extLst>
        <ext uri="{3e2802c4-a4d2-4d8b-9148-e3be6c30e623}">
          <xlrd:rvb i="1389"/>
        </ext>
      </extLst>
    </bk>
    <bk>
      <extLst>
        <ext uri="{3e2802c4-a4d2-4d8b-9148-e3be6c30e623}">
          <xlrd:rvb i="1390"/>
        </ext>
      </extLst>
    </bk>
    <bk>
      <extLst>
        <ext uri="{3e2802c4-a4d2-4d8b-9148-e3be6c30e623}">
          <xlrd:rvb i="1391"/>
        </ext>
      </extLst>
    </bk>
    <bk>
      <extLst>
        <ext uri="{3e2802c4-a4d2-4d8b-9148-e3be6c30e623}">
          <xlrd:rvb i="1392"/>
        </ext>
      </extLst>
    </bk>
    <bk>
      <extLst>
        <ext uri="{3e2802c4-a4d2-4d8b-9148-e3be6c30e623}">
          <xlrd:rvb i="1393"/>
        </ext>
      </extLst>
    </bk>
    <bk>
      <extLst>
        <ext uri="{3e2802c4-a4d2-4d8b-9148-e3be6c30e623}">
          <xlrd:rvb i="1394"/>
        </ext>
      </extLst>
    </bk>
    <bk>
      <extLst>
        <ext uri="{3e2802c4-a4d2-4d8b-9148-e3be6c30e623}">
          <xlrd:rvb i="1395"/>
        </ext>
      </extLst>
    </bk>
    <bk>
      <extLst>
        <ext uri="{3e2802c4-a4d2-4d8b-9148-e3be6c30e623}">
          <xlrd:rvb i="1396"/>
        </ext>
      </extLst>
    </bk>
    <bk>
      <extLst>
        <ext uri="{3e2802c4-a4d2-4d8b-9148-e3be6c30e623}">
          <xlrd:rvb i="1397"/>
        </ext>
      </extLst>
    </bk>
    <bk>
      <extLst>
        <ext uri="{3e2802c4-a4d2-4d8b-9148-e3be6c30e623}">
          <xlrd:rvb i="1398"/>
        </ext>
      </extLst>
    </bk>
    <bk>
      <extLst>
        <ext uri="{3e2802c4-a4d2-4d8b-9148-e3be6c30e623}">
          <xlrd:rvb i="1399"/>
        </ext>
      </extLst>
    </bk>
    <bk>
      <extLst>
        <ext uri="{3e2802c4-a4d2-4d8b-9148-e3be6c30e623}">
          <xlrd:rvb i="1400"/>
        </ext>
      </extLst>
    </bk>
    <bk>
      <extLst>
        <ext uri="{3e2802c4-a4d2-4d8b-9148-e3be6c30e623}">
          <xlrd:rvb i="1401"/>
        </ext>
      </extLst>
    </bk>
    <bk>
      <extLst>
        <ext uri="{3e2802c4-a4d2-4d8b-9148-e3be6c30e623}">
          <xlrd:rvb i="1402"/>
        </ext>
      </extLst>
    </bk>
    <bk>
      <extLst>
        <ext uri="{3e2802c4-a4d2-4d8b-9148-e3be6c30e623}">
          <xlrd:rvb i="1403"/>
        </ext>
      </extLst>
    </bk>
    <bk>
      <extLst>
        <ext uri="{3e2802c4-a4d2-4d8b-9148-e3be6c30e623}">
          <xlrd:rvb i="1404"/>
        </ext>
      </extLst>
    </bk>
    <bk>
      <extLst>
        <ext uri="{3e2802c4-a4d2-4d8b-9148-e3be6c30e623}">
          <xlrd:rvb i="1405"/>
        </ext>
      </extLst>
    </bk>
    <bk>
      <extLst>
        <ext uri="{3e2802c4-a4d2-4d8b-9148-e3be6c30e623}">
          <xlrd:rvb i="1406"/>
        </ext>
      </extLst>
    </bk>
    <bk>
      <extLst>
        <ext uri="{3e2802c4-a4d2-4d8b-9148-e3be6c30e623}">
          <xlrd:rvb i="1407"/>
        </ext>
      </extLst>
    </bk>
    <bk>
      <extLst>
        <ext uri="{3e2802c4-a4d2-4d8b-9148-e3be6c30e623}">
          <xlrd:rvb i="1408"/>
        </ext>
      </extLst>
    </bk>
    <bk>
      <extLst>
        <ext uri="{3e2802c4-a4d2-4d8b-9148-e3be6c30e623}">
          <xlrd:rvb i="1409"/>
        </ext>
      </extLst>
    </bk>
    <bk>
      <extLst>
        <ext uri="{3e2802c4-a4d2-4d8b-9148-e3be6c30e623}">
          <xlrd:rvb i="1410"/>
        </ext>
      </extLst>
    </bk>
    <bk>
      <extLst>
        <ext uri="{3e2802c4-a4d2-4d8b-9148-e3be6c30e623}">
          <xlrd:rvb i="1411"/>
        </ext>
      </extLst>
    </bk>
    <bk>
      <extLst>
        <ext uri="{3e2802c4-a4d2-4d8b-9148-e3be6c30e623}">
          <xlrd:rvb i="1412"/>
        </ext>
      </extLst>
    </bk>
    <bk>
      <extLst>
        <ext uri="{3e2802c4-a4d2-4d8b-9148-e3be6c30e623}">
          <xlrd:rvb i="1413"/>
        </ext>
      </extLst>
    </bk>
    <bk>
      <extLst>
        <ext uri="{3e2802c4-a4d2-4d8b-9148-e3be6c30e623}">
          <xlrd:rvb i="1414"/>
        </ext>
      </extLst>
    </bk>
    <bk>
      <extLst>
        <ext uri="{3e2802c4-a4d2-4d8b-9148-e3be6c30e623}">
          <xlrd:rvb i="1415"/>
        </ext>
      </extLst>
    </bk>
    <bk>
      <extLst>
        <ext uri="{3e2802c4-a4d2-4d8b-9148-e3be6c30e623}">
          <xlrd:rvb i="1416"/>
        </ext>
      </extLst>
    </bk>
    <bk>
      <extLst>
        <ext uri="{3e2802c4-a4d2-4d8b-9148-e3be6c30e623}">
          <xlrd:rvb i="1417"/>
        </ext>
      </extLst>
    </bk>
    <bk>
      <extLst>
        <ext uri="{3e2802c4-a4d2-4d8b-9148-e3be6c30e623}">
          <xlrd:rvb i="1418"/>
        </ext>
      </extLst>
    </bk>
    <bk>
      <extLst>
        <ext uri="{3e2802c4-a4d2-4d8b-9148-e3be6c30e623}">
          <xlrd:rvb i="1419"/>
        </ext>
      </extLst>
    </bk>
    <bk>
      <extLst>
        <ext uri="{3e2802c4-a4d2-4d8b-9148-e3be6c30e623}">
          <xlrd:rvb i="1420"/>
        </ext>
      </extLst>
    </bk>
    <bk>
      <extLst>
        <ext uri="{3e2802c4-a4d2-4d8b-9148-e3be6c30e623}">
          <xlrd:rvb i="1421"/>
        </ext>
      </extLst>
    </bk>
    <bk>
      <extLst>
        <ext uri="{3e2802c4-a4d2-4d8b-9148-e3be6c30e623}">
          <xlrd:rvb i="1422"/>
        </ext>
      </extLst>
    </bk>
    <bk>
      <extLst>
        <ext uri="{3e2802c4-a4d2-4d8b-9148-e3be6c30e623}">
          <xlrd:rvb i="1423"/>
        </ext>
      </extLst>
    </bk>
    <bk>
      <extLst>
        <ext uri="{3e2802c4-a4d2-4d8b-9148-e3be6c30e623}">
          <xlrd:rvb i="1424"/>
        </ext>
      </extLst>
    </bk>
    <bk>
      <extLst>
        <ext uri="{3e2802c4-a4d2-4d8b-9148-e3be6c30e623}">
          <xlrd:rvb i="1425"/>
        </ext>
      </extLst>
    </bk>
    <bk>
      <extLst>
        <ext uri="{3e2802c4-a4d2-4d8b-9148-e3be6c30e623}">
          <xlrd:rvb i="1426"/>
        </ext>
      </extLst>
    </bk>
    <bk>
      <extLst>
        <ext uri="{3e2802c4-a4d2-4d8b-9148-e3be6c30e623}">
          <xlrd:rvb i="1427"/>
        </ext>
      </extLst>
    </bk>
    <bk>
      <extLst>
        <ext uri="{3e2802c4-a4d2-4d8b-9148-e3be6c30e623}">
          <xlrd:rvb i="1428"/>
        </ext>
      </extLst>
    </bk>
    <bk>
      <extLst>
        <ext uri="{3e2802c4-a4d2-4d8b-9148-e3be6c30e623}">
          <xlrd:rvb i="1429"/>
        </ext>
      </extLst>
    </bk>
    <bk>
      <extLst>
        <ext uri="{3e2802c4-a4d2-4d8b-9148-e3be6c30e623}">
          <xlrd:rvb i="1430"/>
        </ext>
      </extLst>
    </bk>
    <bk>
      <extLst>
        <ext uri="{3e2802c4-a4d2-4d8b-9148-e3be6c30e623}">
          <xlrd:rvb i="1431"/>
        </ext>
      </extLst>
    </bk>
    <bk>
      <extLst>
        <ext uri="{3e2802c4-a4d2-4d8b-9148-e3be6c30e623}">
          <xlrd:rvb i="1432"/>
        </ext>
      </extLst>
    </bk>
    <bk>
      <extLst>
        <ext uri="{3e2802c4-a4d2-4d8b-9148-e3be6c30e623}">
          <xlrd:rvb i="1433"/>
        </ext>
      </extLst>
    </bk>
    <bk>
      <extLst>
        <ext uri="{3e2802c4-a4d2-4d8b-9148-e3be6c30e623}">
          <xlrd:rvb i="1434"/>
        </ext>
      </extLst>
    </bk>
    <bk>
      <extLst>
        <ext uri="{3e2802c4-a4d2-4d8b-9148-e3be6c30e623}">
          <xlrd:rvb i="1435"/>
        </ext>
      </extLst>
    </bk>
    <bk>
      <extLst>
        <ext uri="{3e2802c4-a4d2-4d8b-9148-e3be6c30e623}">
          <xlrd:rvb i="1436"/>
        </ext>
      </extLst>
    </bk>
    <bk>
      <extLst>
        <ext uri="{3e2802c4-a4d2-4d8b-9148-e3be6c30e623}">
          <xlrd:rvb i="1437"/>
        </ext>
      </extLst>
    </bk>
    <bk>
      <extLst>
        <ext uri="{3e2802c4-a4d2-4d8b-9148-e3be6c30e623}">
          <xlrd:rvb i="1438"/>
        </ext>
      </extLst>
    </bk>
    <bk>
      <extLst>
        <ext uri="{3e2802c4-a4d2-4d8b-9148-e3be6c30e623}">
          <xlrd:rvb i="1439"/>
        </ext>
      </extLst>
    </bk>
    <bk>
      <extLst>
        <ext uri="{3e2802c4-a4d2-4d8b-9148-e3be6c30e623}">
          <xlrd:rvb i="1440"/>
        </ext>
      </extLst>
    </bk>
    <bk>
      <extLst>
        <ext uri="{3e2802c4-a4d2-4d8b-9148-e3be6c30e623}">
          <xlrd:rvb i="1441"/>
        </ext>
      </extLst>
    </bk>
    <bk>
      <extLst>
        <ext uri="{3e2802c4-a4d2-4d8b-9148-e3be6c30e623}">
          <xlrd:rvb i="1442"/>
        </ext>
      </extLst>
    </bk>
    <bk>
      <extLst>
        <ext uri="{3e2802c4-a4d2-4d8b-9148-e3be6c30e623}">
          <xlrd:rvb i="1443"/>
        </ext>
      </extLst>
    </bk>
    <bk>
      <extLst>
        <ext uri="{3e2802c4-a4d2-4d8b-9148-e3be6c30e623}">
          <xlrd:rvb i="1444"/>
        </ext>
      </extLst>
    </bk>
    <bk>
      <extLst>
        <ext uri="{3e2802c4-a4d2-4d8b-9148-e3be6c30e623}">
          <xlrd:rvb i="1445"/>
        </ext>
      </extLst>
    </bk>
    <bk>
      <extLst>
        <ext uri="{3e2802c4-a4d2-4d8b-9148-e3be6c30e623}">
          <xlrd:rvb i="1446"/>
        </ext>
      </extLst>
    </bk>
    <bk>
      <extLst>
        <ext uri="{3e2802c4-a4d2-4d8b-9148-e3be6c30e623}">
          <xlrd:rvb i="1447"/>
        </ext>
      </extLst>
    </bk>
    <bk>
      <extLst>
        <ext uri="{3e2802c4-a4d2-4d8b-9148-e3be6c30e623}">
          <xlrd:rvb i="1448"/>
        </ext>
      </extLst>
    </bk>
    <bk>
      <extLst>
        <ext uri="{3e2802c4-a4d2-4d8b-9148-e3be6c30e623}">
          <xlrd:rvb i="1449"/>
        </ext>
      </extLst>
    </bk>
    <bk>
      <extLst>
        <ext uri="{3e2802c4-a4d2-4d8b-9148-e3be6c30e623}">
          <xlrd:rvb i="1450"/>
        </ext>
      </extLst>
    </bk>
    <bk>
      <extLst>
        <ext uri="{3e2802c4-a4d2-4d8b-9148-e3be6c30e623}">
          <xlrd:rvb i="1451"/>
        </ext>
      </extLst>
    </bk>
    <bk>
      <extLst>
        <ext uri="{3e2802c4-a4d2-4d8b-9148-e3be6c30e623}">
          <xlrd:rvb i="1452"/>
        </ext>
      </extLst>
    </bk>
    <bk>
      <extLst>
        <ext uri="{3e2802c4-a4d2-4d8b-9148-e3be6c30e623}">
          <xlrd:rvb i="1453"/>
        </ext>
      </extLst>
    </bk>
    <bk>
      <extLst>
        <ext uri="{3e2802c4-a4d2-4d8b-9148-e3be6c30e623}">
          <xlrd:rvb i="1454"/>
        </ext>
      </extLst>
    </bk>
    <bk>
      <extLst>
        <ext uri="{3e2802c4-a4d2-4d8b-9148-e3be6c30e623}">
          <xlrd:rvb i="1455"/>
        </ext>
      </extLst>
    </bk>
    <bk>
      <extLst>
        <ext uri="{3e2802c4-a4d2-4d8b-9148-e3be6c30e623}">
          <xlrd:rvb i="1456"/>
        </ext>
      </extLst>
    </bk>
    <bk>
      <extLst>
        <ext uri="{3e2802c4-a4d2-4d8b-9148-e3be6c30e623}">
          <xlrd:rvb i="1457"/>
        </ext>
      </extLst>
    </bk>
    <bk>
      <extLst>
        <ext uri="{3e2802c4-a4d2-4d8b-9148-e3be6c30e623}">
          <xlrd:rvb i="1458"/>
        </ext>
      </extLst>
    </bk>
    <bk>
      <extLst>
        <ext uri="{3e2802c4-a4d2-4d8b-9148-e3be6c30e623}">
          <xlrd:rvb i="1459"/>
        </ext>
      </extLst>
    </bk>
    <bk>
      <extLst>
        <ext uri="{3e2802c4-a4d2-4d8b-9148-e3be6c30e623}">
          <xlrd:rvb i="1460"/>
        </ext>
      </extLst>
    </bk>
    <bk>
      <extLst>
        <ext uri="{3e2802c4-a4d2-4d8b-9148-e3be6c30e623}">
          <xlrd:rvb i="1461"/>
        </ext>
      </extLst>
    </bk>
    <bk>
      <extLst>
        <ext uri="{3e2802c4-a4d2-4d8b-9148-e3be6c30e623}">
          <xlrd:rvb i="1462"/>
        </ext>
      </extLst>
    </bk>
    <bk>
      <extLst>
        <ext uri="{3e2802c4-a4d2-4d8b-9148-e3be6c30e623}">
          <xlrd:rvb i="1463"/>
        </ext>
      </extLst>
    </bk>
    <bk>
      <extLst>
        <ext uri="{3e2802c4-a4d2-4d8b-9148-e3be6c30e623}">
          <xlrd:rvb i="1464"/>
        </ext>
      </extLst>
    </bk>
    <bk>
      <extLst>
        <ext uri="{3e2802c4-a4d2-4d8b-9148-e3be6c30e623}">
          <xlrd:rvb i="1465"/>
        </ext>
      </extLst>
    </bk>
    <bk>
      <extLst>
        <ext uri="{3e2802c4-a4d2-4d8b-9148-e3be6c30e623}">
          <xlrd:rvb i="1466"/>
        </ext>
      </extLst>
    </bk>
    <bk>
      <extLst>
        <ext uri="{3e2802c4-a4d2-4d8b-9148-e3be6c30e623}">
          <xlrd:rvb i="1467"/>
        </ext>
      </extLst>
    </bk>
    <bk>
      <extLst>
        <ext uri="{3e2802c4-a4d2-4d8b-9148-e3be6c30e623}">
          <xlrd:rvb i="1468"/>
        </ext>
      </extLst>
    </bk>
    <bk>
      <extLst>
        <ext uri="{3e2802c4-a4d2-4d8b-9148-e3be6c30e623}">
          <xlrd:rvb i="1469"/>
        </ext>
      </extLst>
    </bk>
    <bk>
      <extLst>
        <ext uri="{3e2802c4-a4d2-4d8b-9148-e3be6c30e623}">
          <xlrd:rvb i="1470"/>
        </ext>
      </extLst>
    </bk>
    <bk>
      <extLst>
        <ext uri="{3e2802c4-a4d2-4d8b-9148-e3be6c30e623}">
          <xlrd:rvb i="1471"/>
        </ext>
      </extLst>
    </bk>
    <bk>
      <extLst>
        <ext uri="{3e2802c4-a4d2-4d8b-9148-e3be6c30e623}">
          <xlrd:rvb i="1472"/>
        </ext>
      </extLst>
    </bk>
    <bk>
      <extLst>
        <ext uri="{3e2802c4-a4d2-4d8b-9148-e3be6c30e623}">
          <xlrd:rvb i="1473"/>
        </ext>
      </extLst>
    </bk>
    <bk>
      <extLst>
        <ext uri="{3e2802c4-a4d2-4d8b-9148-e3be6c30e623}">
          <xlrd:rvb i="1474"/>
        </ext>
      </extLst>
    </bk>
    <bk>
      <extLst>
        <ext uri="{3e2802c4-a4d2-4d8b-9148-e3be6c30e623}">
          <xlrd:rvb i="1475"/>
        </ext>
      </extLst>
    </bk>
    <bk>
      <extLst>
        <ext uri="{3e2802c4-a4d2-4d8b-9148-e3be6c30e623}">
          <xlrd:rvb i="1476"/>
        </ext>
      </extLst>
    </bk>
    <bk>
      <extLst>
        <ext uri="{3e2802c4-a4d2-4d8b-9148-e3be6c30e623}">
          <xlrd:rvb i="1477"/>
        </ext>
      </extLst>
    </bk>
    <bk>
      <extLst>
        <ext uri="{3e2802c4-a4d2-4d8b-9148-e3be6c30e623}">
          <xlrd:rvb i="1478"/>
        </ext>
      </extLst>
    </bk>
    <bk>
      <extLst>
        <ext uri="{3e2802c4-a4d2-4d8b-9148-e3be6c30e623}">
          <xlrd:rvb i="1479"/>
        </ext>
      </extLst>
    </bk>
    <bk>
      <extLst>
        <ext uri="{3e2802c4-a4d2-4d8b-9148-e3be6c30e623}">
          <xlrd:rvb i="1480"/>
        </ext>
      </extLst>
    </bk>
    <bk>
      <extLst>
        <ext uri="{3e2802c4-a4d2-4d8b-9148-e3be6c30e623}">
          <xlrd:rvb i="1481"/>
        </ext>
      </extLst>
    </bk>
    <bk>
      <extLst>
        <ext uri="{3e2802c4-a4d2-4d8b-9148-e3be6c30e623}">
          <xlrd:rvb i="1482"/>
        </ext>
      </extLst>
    </bk>
    <bk>
      <extLst>
        <ext uri="{3e2802c4-a4d2-4d8b-9148-e3be6c30e623}">
          <xlrd:rvb i="1483"/>
        </ext>
      </extLst>
    </bk>
    <bk>
      <extLst>
        <ext uri="{3e2802c4-a4d2-4d8b-9148-e3be6c30e623}">
          <xlrd:rvb i="1484"/>
        </ext>
      </extLst>
    </bk>
    <bk>
      <extLst>
        <ext uri="{3e2802c4-a4d2-4d8b-9148-e3be6c30e623}">
          <xlrd:rvb i="1485"/>
        </ext>
      </extLst>
    </bk>
    <bk>
      <extLst>
        <ext uri="{3e2802c4-a4d2-4d8b-9148-e3be6c30e623}">
          <xlrd:rvb i="1486"/>
        </ext>
      </extLst>
    </bk>
    <bk>
      <extLst>
        <ext uri="{3e2802c4-a4d2-4d8b-9148-e3be6c30e623}">
          <xlrd:rvb i="1487"/>
        </ext>
      </extLst>
    </bk>
    <bk>
      <extLst>
        <ext uri="{3e2802c4-a4d2-4d8b-9148-e3be6c30e623}">
          <xlrd:rvb i="1488"/>
        </ext>
      </extLst>
    </bk>
    <bk>
      <extLst>
        <ext uri="{3e2802c4-a4d2-4d8b-9148-e3be6c30e623}">
          <xlrd:rvb i="1489"/>
        </ext>
      </extLst>
    </bk>
    <bk>
      <extLst>
        <ext uri="{3e2802c4-a4d2-4d8b-9148-e3be6c30e623}">
          <xlrd:rvb i="1490"/>
        </ext>
      </extLst>
    </bk>
    <bk>
      <extLst>
        <ext uri="{3e2802c4-a4d2-4d8b-9148-e3be6c30e623}">
          <xlrd:rvb i="1491"/>
        </ext>
      </extLst>
    </bk>
    <bk>
      <extLst>
        <ext uri="{3e2802c4-a4d2-4d8b-9148-e3be6c30e623}">
          <xlrd:rvb i="1492"/>
        </ext>
      </extLst>
    </bk>
    <bk>
      <extLst>
        <ext uri="{3e2802c4-a4d2-4d8b-9148-e3be6c30e623}">
          <xlrd:rvb i="1493"/>
        </ext>
      </extLst>
    </bk>
    <bk>
      <extLst>
        <ext uri="{3e2802c4-a4d2-4d8b-9148-e3be6c30e623}">
          <xlrd:rvb i="1494"/>
        </ext>
      </extLst>
    </bk>
    <bk>
      <extLst>
        <ext uri="{3e2802c4-a4d2-4d8b-9148-e3be6c30e623}">
          <xlrd:rvb i="1495"/>
        </ext>
      </extLst>
    </bk>
    <bk>
      <extLst>
        <ext uri="{3e2802c4-a4d2-4d8b-9148-e3be6c30e623}">
          <xlrd:rvb i="1496"/>
        </ext>
      </extLst>
    </bk>
    <bk>
      <extLst>
        <ext uri="{3e2802c4-a4d2-4d8b-9148-e3be6c30e623}">
          <xlrd:rvb i="1497"/>
        </ext>
      </extLst>
    </bk>
    <bk>
      <extLst>
        <ext uri="{3e2802c4-a4d2-4d8b-9148-e3be6c30e623}">
          <xlrd:rvb i="1498"/>
        </ext>
      </extLst>
    </bk>
    <bk>
      <extLst>
        <ext uri="{3e2802c4-a4d2-4d8b-9148-e3be6c30e623}">
          <xlrd:rvb i="1499"/>
        </ext>
      </extLst>
    </bk>
    <bk>
      <extLst>
        <ext uri="{3e2802c4-a4d2-4d8b-9148-e3be6c30e623}">
          <xlrd:rvb i="1500"/>
        </ext>
      </extLst>
    </bk>
    <bk>
      <extLst>
        <ext uri="{3e2802c4-a4d2-4d8b-9148-e3be6c30e623}">
          <xlrd:rvb i="1501"/>
        </ext>
      </extLst>
    </bk>
    <bk>
      <extLst>
        <ext uri="{3e2802c4-a4d2-4d8b-9148-e3be6c30e623}">
          <xlrd:rvb i="1502"/>
        </ext>
      </extLst>
    </bk>
    <bk>
      <extLst>
        <ext uri="{3e2802c4-a4d2-4d8b-9148-e3be6c30e623}">
          <xlrd:rvb i="1503"/>
        </ext>
      </extLst>
    </bk>
    <bk>
      <extLst>
        <ext uri="{3e2802c4-a4d2-4d8b-9148-e3be6c30e623}">
          <xlrd:rvb i="1504"/>
        </ext>
      </extLst>
    </bk>
    <bk>
      <extLst>
        <ext uri="{3e2802c4-a4d2-4d8b-9148-e3be6c30e623}">
          <xlrd:rvb i="1505"/>
        </ext>
      </extLst>
    </bk>
    <bk>
      <extLst>
        <ext uri="{3e2802c4-a4d2-4d8b-9148-e3be6c30e623}">
          <xlrd:rvb i="1506"/>
        </ext>
      </extLst>
    </bk>
    <bk>
      <extLst>
        <ext uri="{3e2802c4-a4d2-4d8b-9148-e3be6c30e623}">
          <xlrd:rvb i="1507"/>
        </ext>
      </extLst>
    </bk>
    <bk>
      <extLst>
        <ext uri="{3e2802c4-a4d2-4d8b-9148-e3be6c30e623}">
          <xlrd:rvb i="1508"/>
        </ext>
      </extLst>
    </bk>
    <bk>
      <extLst>
        <ext uri="{3e2802c4-a4d2-4d8b-9148-e3be6c30e623}">
          <xlrd:rvb i="1509"/>
        </ext>
      </extLst>
    </bk>
    <bk>
      <extLst>
        <ext uri="{3e2802c4-a4d2-4d8b-9148-e3be6c30e623}">
          <xlrd:rvb i="1510"/>
        </ext>
      </extLst>
    </bk>
    <bk>
      <extLst>
        <ext uri="{3e2802c4-a4d2-4d8b-9148-e3be6c30e623}">
          <xlrd:rvb i="1511"/>
        </ext>
      </extLst>
    </bk>
    <bk>
      <extLst>
        <ext uri="{3e2802c4-a4d2-4d8b-9148-e3be6c30e623}">
          <xlrd:rvb i="1512"/>
        </ext>
      </extLst>
    </bk>
    <bk>
      <extLst>
        <ext uri="{3e2802c4-a4d2-4d8b-9148-e3be6c30e623}">
          <xlrd:rvb i="1513"/>
        </ext>
      </extLst>
    </bk>
    <bk>
      <extLst>
        <ext uri="{3e2802c4-a4d2-4d8b-9148-e3be6c30e623}">
          <xlrd:rvb i="1514"/>
        </ext>
      </extLst>
    </bk>
    <bk>
      <extLst>
        <ext uri="{3e2802c4-a4d2-4d8b-9148-e3be6c30e623}">
          <xlrd:rvb i="1515"/>
        </ext>
      </extLst>
    </bk>
    <bk>
      <extLst>
        <ext uri="{3e2802c4-a4d2-4d8b-9148-e3be6c30e623}">
          <xlrd:rvb i="1516"/>
        </ext>
      </extLst>
    </bk>
    <bk>
      <extLst>
        <ext uri="{3e2802c4-a4d2-4d8b-9148-e3be6c30e623}">
          <xlrd:rvb i="1517"/>
        </ext>
      </extLst>
    </bk>
    <bk>
      <extLst>
        <ext uri="{3e2802c4-a4d2-4d8b-9148-e3be6c30e623}">
          <xlrd:rvb i="1518"/>
        </ext>
      </extLst>
    </bk>
    <bk>
      <extLst>
        <ext uri="{3e2802c4-a4d2-4d8b-9148-e3be6c30e623}">
          <xlrd:rvb i="1519"/>
        </ext>
      </extLst>
    </bk>
    <bk>
      <extLst>
        <ext uri="{3e2802c4-a4d2-4d8b-9148-e3be6c30e623}">
          <xlrd:rvb i="1520"/>
        </ext>
      </extLst>
    </bk>
    <bk>
      <extLst>
        <ext uri="{3e2802c4-a4d2-4d8b-9148-e3be6c30e623}">
          <xlrd:rvb i="1521"/>
        </ext>
      </extLst>
    </bk>
    <bk>
      <extLst>
        <ext uri="{3e2802c4-a4d2-4d8b-9148-e3be6c30e623}">
          <xlrd:rvb i="1522"/>
        </ext>
      </extLst>
    </bk>
    <bk>
      <extLst>
        <ext uri="{3e2802c4-a4d2-4d8b-9148-e3be6c30e623}">
          <xlrd:rvb i="1523"/>
        </ext>
      </extLst>
    </bk>
    <bk>
      <extLst>
        <ext uri="{3e2802c4-a4d2-4d8b-9148-e3be6c30e623}">
          <xlrd:rvb i="1524"/>
        </ext>
      </extLst>
    </bk>
    <bk>
      <extLst>
        <ext uri="{3e2802c4-a4d2-4d8b-9148-e3be6c30e623}">
          <xlrd:rvb i="1525"/>
        </ext>
      </extLst>
    </bk>
    <bk>
      <extLst>
        <ext uri="{3e2802c4-a4d2-4d8b-9148-e3be6c30e623}">
          <xlrd:rvb i="1526"/>
        </ext>
      </extLst>
    </bk>
    <bk>
      <extLst>
        <ext uri="{3e2802c4-a4d2-4d8b-9148-e3be6c30e623}">
          <xlrd:rvb i="1527"/>
        </ext>
      </extLst>
    </bk>
    <bk>
      <extLst>
        <ext uri="{3e2802c4-a4d2-4d8b-9148-e3be6c30e623}">
          <xlrd:rvb i="1528"/>
        </ext>
      </extLst>
    </bk>
    <bk>
      <extLst>
        <ext uri="{3e2802c4-a4d2-4d8b-9148-e3be6c30e623}">
          <xlrd:rvb i="1529"/>
        </ext>
      </extLst>
    </bk>
    <bk>
      <extLst>
        <ext uri="{3e2802c4-a4d2-4d8b-9148-e3be6c30e623}">
          <xlrd:rvb i="1530"/>
        </ext>
      </extLst>
    </bk>
    <bk>
      <extLst>
        <ext uri="{3e2802c4-a4d2-4d8b-9148-e3be6c30e623}">
          <xlrd:rvb i="1531"/>
        </ext>
      </extLst>
    </bk>
    <bk>
      <extLst>
        <ext uri="{3e2802c4-a4d2-4d8b-9148-e3be6c30e623}">
          <xlrd:rvb i="1532"/>
        </ext>
      </extLst>
    </bk>
    <bk>
      <extLst>
        <ext uri="{3e2802c4-a4d2-4d8b-9148-e3be6c30e623}">
          <xlrd:rvb i="1533"/>
        </ext>
      </extLst>
    </bk>
    <bk>
      <extLst>
        <ext uri="{3e2802c4-a4d2-4d8b-9148-e3be6c30e623}">
          <xlrd:rvb i="1534"/>
        </ext>
      </extLst>
    </bk>
    <bk>
      <extLst>
        <ext uri="{3e2802c4-a4d2-4d8b-9148-e3be6c30e623}">
          <xlrd:rvb i="1535"/>
        </ext>
      </extLst>
    </bk>
    <bk>
      <extLst>
        <ext uri="{3e2802c4-a4d2-4d8b-9148-e3be6c30e623}">
          <xlrd:rvb i="1536"/>
        </ext>
      </extLst>
    </bk>
    <bk>
      <extLst>
        <ext uri="{3e2802c4-a4d2-4d8b-9148-e3be6c30e623}">
          <xlrd:rvb i="1537"/>
        </ext>
      </extLst>
    </bk>
    <bk>
      <extLst>
        <ext uri="{3e2802c4-a4d2-4d8b-9148-e3be6c30e623}">
          <xlrd:rvb i="1538"/>
        </ext>
      </extLst>
    </bk>
    <bk>
      <extLst>
        <ext uri="{3e2802c4-a4d2-4d8b-9148-e3be6c30e623}">
          <xlrd:rvb i="1539"/>
        </ext>
      </extLst>
    </bk>
    <bk>
      <extLst>
        <ext uri="{3e2802c4-a4d2-4d8b-9148-e3be6c30e623}">
          <xlrd:rvb i="1540"/>
        </ext>
      </extLst>
    </bk>
    <bk>
      <extLst>
        <ext uri="{3e2802c4-a4d2-4d8b-9148-e3be6c30e623}">
          <xlrd:rvb i="1541"/>
        </ext>
      </extLst>
    </bk>
    <bk>
      <extLst>
        <ext uri="{3e2802c4-a4d2-4d8b-9148-e3be6c30e623}">
          <xlrd:rvb i="1542"/>
        </ext>
      </extLst>
    </bk>
    <bk>
      <extLst>
        <ext uri="{3e2802c4-a4d2-4d8b-9148-e3be6c30e623}">
          <xlrd:rvb i="1543"/>
        </ext>
      </extLst>
    </bk>
    <bk>
      <extLst>
        <ext uri="{3e2802c4-a4d2-4d8b-9148-e3be6c30e623}">
          <xlrd:rvb i="1544"/>
        </ext>
      </extLst>
    </bk>
    <bk>
      <extLst>
        <ext uri="{3e2802c4-a4d2-4d8b-9148-e3be6c30e623}">
          <xlrd:rvb i="1545"/>
        </ext>
      </extLst>
    </bk>
    <bk>
      <extLst>
        <ext uri="{3e2802c4-a4d2-4d8b-9148-e3be6c30e623}">
          <xlrd:rvb i="1546"/>
        </ext>
      </extLst>
    </bk>
    <bk>
      <extLst>
        <ext uri="{3e2802c4-a4d2-4d8b-9148-e3be6c30e623}">
          <xlrd:rvb i="1547"/>
        </ext>
      </extLst>
    </bk>
    <bk>
      <extLst>
        <ext uri="{3e2802c4-a4d2-4d8b-9148-e3be6c30e623}">
          <xlrd:rvb i="1548"/>
        </ext>
      </extLst>
    </bk>
    <bk>
      <extLst>
        <ext uri="{3e2802c4-a4d2-4d8b-9148-e3be6c30e623}">
          <xlrd:rvb i="1549"/>
        </ext>
      </extLst>
    </bk>
    <bk>
      <extLst>
        <ext uri="{3e2802c4-a4d2-4d8b-9148-e3be6c30e623}">
          <xlrd:rvb i="1550"/>
        </ext>
      </extLst>
    </bk>
    <bk>
      <extLst>
        <ext uri="{3e2802c4-a4d2-4d8b-9148-e3be6c30e623}">
          <xlrd:rvb i="1551"/>
        </ext>
      </extLst>
    </bk>
    <bk>
      <extLst>
        <ext uri="{3e2802c4-a4d2-4d8b-9148-e3be6c30e623}">
          <xlrd:rvb i="1552"/>
        </ext>
      </extLst>
    </bk>
    <bk>
      <extLst>
        <ext uri="{3e2802c4-a4d2-4d8b-9148-e3be6c30e623}">
          <xlrd:rvb i="1553"/>
        </ext>
      </extLst>
    </bk>
    <bk>
      <extLst>
        <ext uri="{3e2802c4-a4d2-4d8b-9148-e3be6c30e623}">
          <xlrd:rvb i="1554"/>
        </ext>
      </extLst>
    </bk>
    <bk>
      <extLst>
        <ext uri="{3e2802c4-a4d2-4d8b-9148-e3be6c30e623}">
          <xlrd:rvb i="1555"/>
        </ext>
      </extLst>
    </bk>
    <bk>
      <extLst>
        <ext uri="{3e2802c4-a4d2-4d8b-9148-e3be6c30e623}">
          <xlrd:rvb i="1556"/>
        </ext>
      </extLst>
    </bk>
    <bk>
      <extLst>
        <ext uri="{3e2802c4-a4d2-4d8b-9148-e3be6c30e623}">
          <xlrd:rvb i="1557"/>
        </ext>
      </extLst>
    </bk>
    <bk>
      <extLst>
        <ext uri="{3e2802c4-a4d2-4d8b-9148-e3be6c30e623}">
          <xlrd:rvb i="1558"/>
        </ext>
      </extLst>
    </bk>
    <bk>
      <extLst>
        <ext uri="{3e2802c4-a4d2-4d8b-9148-e3be6c30e623}">
          <xlrd:rvb i="1559"/>
        </ext>
      </extLst>
    </bk>
    <bk>
      <extLst>
        <ext uri="{3e2802c4-a4d2-4d8b-9148-e3be6c30e623}">
          <xlrd:rvb i="1560"/>
        </ext>
      </extLst>
    </bk>
    <bk>
      <extLst>
        <ext uri="{3e2802c4-a4d2-4d8b-9148-e3be6c30e623}">
          <xlrd:rvb i="1561"/>
        </ext>
      </extLst>
    </bk>
    <bk>
      <extLst>
        <ext uri="{3e2802c4-a4d2-4d8b-9148-e3be6c30e623}">
          <xlrd:rvb i="1562"/>
        </ext>
      </extLst>
    </bk>
    <bk>
      <extLst>
        <ext uri="{3e2802c4-a4d2-4d8b-9148-e3be6c30e623}">
          <xlrd:rvb i="1563"/>
        </ext>
      </extLst>
    </bk>
    <bk>
      <extLst>
        <ext uri="{3e2802c4-a4d2-4d8b-9148-e3be6c30e623}">
          <xlrd:rvb i="1564"/>
        </ext>
      </extLst>
    </bk>
    <bk>
      <extLst>
        <ext uri="{3e2802c4-a4d2-4d8b-9148-e3be6c30e623}">
          <xlrd:rvb i="1565"/>
        </ext>
      </extLst>
    </bk>
    <bk>
      <extLst>
        <ext uri="{3e2802c4-a4d2-4d8b-9148-e3be6c30e623}">
          <xlrd:rvb i="1566"/>
        </ext>
      </extLst>
    </bk>
    <bk>
      <extLst>
        <ext uri="{3e2802c4-a4d2-4d8b-9148-e3be6c30e623}">
          <xlrd:rvb i="1567"/>
        </ext>
      </extLst>
    </bk>
    <bk>
      <extLst>
        <ext uri="{3e2802c4-a4d2-4d8b-9148-e3be6c30e623}">
          <xlrd:rvb i="1568"/>
        </ext>
      </extLst>
    </bk>
    <bk>
      <extLst>
        <ext uri="{3e2802c4-a4d2-4d8b-9148-e3be6c30e623}">
          <xlrd:rvb i="1569"/>
        </ext>
      </extLst>
    </bk>
    <bk>
      <extLst>
        <ext uri="{3e2802c4-a4d2-4d8b-9148-e3be6c30e623}">
          <xlrd:rvb i="1570"/>
        </ext>
      </extLst>
    </bk>
    <bk>
      <extLst>
        <ext uri="{3e2802c4-a4d2-4d8b-9148-e3be6c30e623}">
          <xlrd:rvb i="1571"/>
        </ext>
      </extLst>
    </bk>
    <bk>
      <extLst>
        <ext uri="{3e2802c4-a4d2-4d8b-9148-e3be6c30e623}">
          <xlrd:rvb i="1572"/>
        </ext>
      </extLst>
    </bk>
    <bk>
      <extLst>
        <ext uri="{3e2802c4-a4d2-4d8b-9148-e3be6c30e623}">
          <xlrd:rvb i="1573"/>
        </ext>
      </extLst>
    </bk>
    <bk>
      <extLst>
        <ext uri="{3e2802c4-a4d2-4d8b-9148-e3be6c30e623}">
          <xlrd:rvb i="1574"/>
        </ext>
      </extLst>
    </bk>
    <bk>
      <extLst>
        <ext uri="{3e2802c4-a4d2-4d8b-9148-e3be6c30e623}">
          <xlrd:rvb i="1575"/>
        </ext>
      </extLst>
    </bk>
    <bk>
      <extLst>
        <ext uri="{3e2802c4-a4d2-4d8b-9148-e3be6c30e623}">
          <xlrd:rvb i="1576"/>
        </ext>
      </extLst>
    </bk>
    <bk>
      <extLst>
        <ext uri="{3e2802c4-a4d2-4d8b-9148-e3be6c30e623}">
          <xlrd:rvb i="1577"/>
        </ext>
      </extLst>
    </bk>
    <bk>
      <extLst>
        <ext uri="{3e2802c4-a4d2-4d8b-9148-e3be6c30e623}">
          <xlrd:rvb i="1578"/>
        </ext>
      </extLst>
    </bk>
    <bk>
      <extLst>
        <ext uri="{3e2802c4-a4d2-4d8b-9148-e3be6c30e623}">
          <xlrd:rvb i="1579"/>
        </ext>
      </extLst>
    </bk>
    <bk>
      <extLst>
        <ext uri="{3e2802c4-a4d2-4d8b-9148-e3be6c30e623}">
          <xlrd:rvb i="1580"/>
        </ext>
      </extLst>
    </bk>
    <bk>
      <extLst>
        <ext uri="{3e2802c4-a4d2-4d8b-9148-e3be6c30e623}">
          <xlrd:rvb i="1581"/>
        </ext>
      </extLst>
    </bk>
    <bk>
      <extLst>
        <ext uri="{3e2802c4-a4d2-4d8b-9148-e3be6c30e623}">
          <xlrd:rvb i="1582"/>
        </ext>
      </extLst>
    </bk>
    <bk>
      <extLst>
        <ext uri="{3e2802c4-a4d2-4d8b-9148-e3be6c30e623}">
          <xlrd:rvb i="1583"/>
        </ext>
      </extLst>
    </bk>
    <bk>
      <extLst>
        <ext uri="{3e2802c4-a4d2-4d8b-9148-e3be6c30e623}">
          <xlrd:rvb i="1584"/>
        </ext>
      </extLst>
    </bk>
    <bk>
      <extLst>
        <ext uri="{3e2802c4-a4d2-4d8b-9148-e3be6c30e623}">
          <xlrd:rvb i="1585"/>
        </ext>
      </extLst>
    </bk>
    <bk>
      <extLst>
        <ext uri="{3e2802c4-a4d2-4d8b-9148-e3be6c30e623}">
          <xlrd:rvb i="1586"/>
        </ext>
      </extLst>
    </bk>
    <bk>
      <extLst>
        <ext uri="{3e2802c4-a4d2-4d8b-9148-e3be6c30e623}">
          <xlrd:rvb i="1587"/>
        </ext>
      </extLst>
    </bk>
    <bk>
      <extLst>
        <ext uri="{3e2802c4-a4d2-4d8b-9148-e3be6c30e623}">
          <xlrd:rvb i="1588"/>
        </ext>
      </extLst>
    </bk>
    <bk>
      <extLst>
        <ext uri="{3e2802c4-a4d2-4d8b-9148-e3be6c30e623}">
          <xlrd:rvb i="1589"/>
        </ext>
      </extLst>
    </bk>
    <bk>
      <extLst>
        <ext uri="{3e2802c4-a4d2-4d8b-9148-e3be6c30e623}">
          <xlrd:rvb i="1590"/>
        </ext>
      </extLst>
    </bk>
    <bk>
      <extLst>
        <ext uri="{3e2802c4-a4d2-4d8b-9148-e3be6c30e623}">
          <xlrd:rvb i="1591"/>
        </ext>
      </extLst>
    </bk>
    <bk>
      <extLst>
        <ext uri="{3e2802c4-a4d2-4d8b-9148-e3be6c30e623}">
          <xlrd:rvb i="1592"/>
        </ext>
      </extLst>
    </bk>
    <bk>
      <extLst>
        <ext uri="{3e2802c4-a4d2-4d8b-9148-e3be6c30e623}">
          <xlrd:rvb i="1593"/>
        </ext>
      </extLst>
    </bk>
    <bk>
      <extLst>
        <ext uri="{3e2802c4-a4d2-4d8b-9148-e3be6c30e623}">
          <xlrd:rvb i="1594"/>
        </ext>
      </extLst>
    </bk>
    <bk>
      <extLst>
        <ext uri="{3e2802c4-a4d2-4d8b-9148-e3be6c30e623}">
          <xlrd:rvb i="1595"/>
        </ext>
      </extLst>
    </bk>
    <bk>
      <extLst>
        <ext uri="{3e2802c4-a4d2-4d8b-9148-e3be6c30e623}">
          <xlrd:rvb i="1596"/>
        </ext>
      </extLst>
    </bk>
    <bk>
      <extLst>
        <ext uri="{3e2802c4-a4d2-4d8b-9148-e3be6c30e623}">
          <xlrd:rvb i="1597"/>
        </ext>
      </extLst>
    </bk>
    <bk>
      <extLst>
        <ext uri="{3e2802c4-a4d2-4d8b-9148-e3be6c30e623}">
          <xlrd:rvb i="1598"/>
        </ext>
      </extLst>
    </bk>
    <bk>
      <extLst>
        <ext uri="{3e2802c4-a4d2-4d8b-9148-e3be6c30e623}">
          <xlrd:rvb i="1599"/>
        </ext>
      </extLst>
    </bk>
    <bk>
      <extLst>
        <ext uri="{3e2802c4-a4d2-4d8b-9148-e3be6c30e623}">
          <xlrd:rvb i="1600"/>
        </ext>
      </extLst>
    </bk>
    <bk>
      <extLst>
        <ext uri="{3e2802c4-a4d2-4d8b-9148-e3be6c30e623}">
          <xlrd:rvb i="1601"/>
        </ext>
      </extLst>
    </bk>
    <bk>
      <extLst>
        <ext uri="{3e2802c4-a4d2-4d8b-9148-e3be6c30e623}">
          <xlrd:rvb i="1602"/>
        </ext>
      </extLst>
    </bk>
    <bk>
      <extLst>
        <ext uri="{3e2802c4-a4d2-4d8b-9148-e3be6c30e623}">
          <xlrd:rvb i="1603"/>
        </ext>
      </extLst>
    </bk>
    <bk>
      <extLst>
        <ext uri="{3e2802c4-a4d2-4d8b-9148-e3be6c30e623}">
          <xlrd:rvb i="1604"/>
        </ext>
      </extLst>
    </bk>
    <bk>
      <extLst>
        <ext uri="{3e2802c4-a4d2-4d8b-9148-e3be6c30e623}">
          <xlrd:rvb i="1605"/>
        </ext>
      </extLst>
    </bk>
    <bk>
      <extLst>
        <ext uri="{3e2802c4-a4d2-4d8b-9148-e3be6c30e623}">
          <xlrd:rvb i="1606"/>
        </ext>
      </extLst>
    </bk>
    <bk>
      <extLst>
        <ext uri="{3e2802c4-a4d2-4d8b-9148-e3be6c30e623}">
          <xlrd:rvb i="1607"/>
        </ext>
      </extLst>
    </bk>
    <bk>
      <extLst>
        <ext uri="{3e2802c4-a4d2-4d8b-9148-e3be6c30e623}">
          <xlrd:rvb i="1608"/>
        </ext>
      </extLst>
    </bk>
    <bk>
      <extLst>
        <ext uri="{3e2802c4-a4d2-4d8b-9148-e3be6c30e623}">
          <xlrd:rvb i="1609"/>
        </ext>
      </extLst>
    </bk>
    <bk>
      <extLst>
        <ext uri="{3e2802c4-a4d2-4d8b-9148-e3be6c30e623}">
          <xlrd:rvb i="1610"/>
        </ext>
      </extLst>
    </bk>
    <bk>
      <extLst>
        <ext uri="{3e2802c4-a4d2-4d8b-9148-e3be6c30e623}">
          <xlrd:rvb i="1611"/>
        </ext>
      </extLst>
    </bk>
    <bk>
      <extLst>
        <ext uri="{3e2802c4-a4d2-4d8b-9148-e3be6c30e623}">
          <xlrd:rvb i="1612"/>
        </ext>
      </extLst>
    </bk>
    <bk>
      <extLst>
        <ext uri="{3e2802c4-a4d2-4d8b-9148-e3be6c30e623}">
          <xlrd:rvb i="1613"/>
        </ext>
      </extLst>
    </bk>
    <bk>
      <extLst>
        <ext uri="{3e2802c4-a4d2-4d8b-9148-e3be6c30e623}">
          <xlrd:rvb i="1614"/>
        </ext>
      </extLst>
    </bk>
    <bk>
      <extLst>
        <ext uri="{3e2802c4-a4d2-4d8b-9148-e3be6c30e623}">
          <xlrd:rvb i="1615"/>
        </ext>
      </extLst>
    </bk>
    <bk>
      <extLst>
        <ext uri="{3e2802c4-a4d2-4d8b-9148-e3be6c30e623}">
          <xlrd:rvb i="1616"/>
        </ext>
      </extLst>
    </bk>
    <bk>
      <extLst>
        <ext uri="{3e2802c4-a4d2-4d8b-9148-e3be6c30e623}">
          <xlrd:rvb i="1617"/>
        </ext>
      </extLst>
    </bk>
    <bk>
      <extLst>
        <ext uri="{3e2802c4-a4d2-4d8b-9148-e3be6c30e623}">
          <xlrd:rvb i="1618"/>
        </ext>
      </extLst>
    </bk>
    <bk>
      <extLst>
        <ext uri="{3e2802c4-a4d2-4d8b-9148-e3be6c30e623}">
          <xlrd:rvb i="1619"/>
        </ext>
      </extLst>
    </bk>
    <bk>
      <extLst>
        <ext uri="{3e2802c4-a4d2-4d8b-9148-e3be6c30e623}">
          <xlrd:rvb i="1620"/>
        </ext>
      </extLst>
    </bk>
    <bk>
      <extLst>
        <ext uri="{3e2802c4-a4d2-4d8b-9148-e3be6c30e623}">
          <xlrd:rvb i="1621"/>
        </ext>
      </extLst>
    </bk>
    <bk>
      <extLst>
        <ext uri="{3e2802c4-a4d2-4d8b-9148-e3be6c30e623}">
          <xlrd:rvb i="1622"/>
        </ext>
      </extLst>
    </bk>
    <bk>
      <extLst>
        <ext uri="{3e2802c4-a4d2-4d8b-9148-e3be6c30e623}">
          <xlrd:rvb i="1623"/>
        </ext>
      </extLst>
    </bk>
    <bk>
      <extLst>
        <ext uri="{3e2802c4-a4d2-4d8b-9148-e3be6c30e623}">
          <xlrd:rvb i="1624"/>
        </ext>
      </extLst>
    </bk>
    <bk>
      <extLst>
        <ext uri="{3e2802c4-a4d2-4d8b-9148-e3be6c30e623}">
          <xlrd:rvb i="1625"/>
        </ext>
      </extLst>
    </bk>
    <bk>
      <extLst>
        <ext uri="{3e2802c4-a4d2-4d8b-9148-e3be6c30e623}">
          <xlrd:rvb i="1626"/>
        </ext>
      </extLst>
    </bk>
    <bk>
      <extLst>
        <ext uri="{3e2802c4-a4d2-4d8b-9148-e3be6c30e623}">
          <xlrd:rvb i="1627"/>
        </ext>
      </extLst>
    </bk>
    <bk>
      <extLst>
        <ext uri="{3e2802c4-a4d2-4d8b-9148-e3be6c30e623}">
          <xlrd:rvb i="1628"/>
        </ext>
      </extLst>
    </bk>
    <bk>
      <extLst>
        <ext uri="{3e2802c4-a4d2-4d8b-9148-e3be6c30e623}">
          <xlrd:rvb i="1629"/>
        </ext>
      </extLst>
    </bk>
    <bk>
      <extLst>
        <ext uri="{3e2802c4-a4d2-4d8b-9148-e3be6c30e623}">
          <xlrd:rvb i="1630"/>
        </ext>
      </extLst>
    </bk>
    <bk>
      <extLst>
        <ext uri="{3e2802c4-a4d2-4d8b-9148-e3be6c30e623}">
          <xlrd:rvb i="1631"/>
        </ext>
      </extLst>
    </bk>
    <bk>
      <extLst>
        <ext uri="{3e2802c4-a4d2-4d8b-9148-e3be6c30e623}">
          <xlrd:rvb i="1632"/>
        </ext>
      </extLst>
    </bk>
    <bk>
      <extLst>
        <ext uri="{3e2802c4-a4d2-4d8b-9148-e3be6c30e623}">
          <xlrd:rvb i="1633"/>
        </ext>
      </extLst>
    </bk>
    <bk>
      <extLst>
        <ext uri="{3e2802c4-a4d2-4d8b-9148-e3be6c30e623}">
          <xlrd:rvb i="1634"/>
        </ext>
      </extLst>
    </bk>
    <bk>
      <extLst>
        <ext uri="{3e2802c4-a4d2-4d8b-9148-e3be6c30e623}">
          <xlrd:rvb i="1635"/>
        </ext>
      </extLst>
    </bk>
    <bk>
      <extLst>
        <ext uri="{3e2802c4-a4d2-4d8b-9148-e3be6c30e623}">
          <xlrd:rvb i="1636"/>
        </ext>
      </extLst>
    </bk>
    <bk>
      <extLst>
        <ext uri="{3e2802c4-a4d2-4d8b-9148-e3be6c30e623}">
          <xlrd:rvb i="1637"/>
        </ext>
      </extLst>
    </bk>
    <bk>
      <extLst>
        <ext uri="{3e2802c4-a4d2-4d8b-9148-e3be6c30e623}">
          <xlrd:rvb i="1638"/>
        </ext>
      </extLst>
    </bk>
    <bk>
      <extLst>
        <ext uri="{3e2802c4-a4d2-4d8b-9148-e3be6c30e623}">
          <xlrd:rvb i="1639"/>
        </ext>
      </extLst>
    </bk>
    <bk>
      <extLst>
        <ext uri="{3e2802c4-a4d2-4d8b-9148-e3be6c30e623}">
          <xlrd:rvb i="1640"/>
        </ext>
      </extLst>
    </bk>
    <bk>
      <extLst>
        <ext uri="{3e2802c4-a4d2-4d8b-9148-e3be6c30e623}">
          <xlrd:rvb i="1641"/>
        </ext>
      </extLst>
    </bk>
    <bk>
      <extLst>
        <ext uri="{3e2802c4-a4d2-4d8b-9148-e3be6c30e623}">
          <xlrd:rvb i="1642"/>
        </ext>
      </extLst>
    </bk>
    <bk>
      <extLst>
        <ext uri="{3e2802c4-a4d2-4d8b-9148-e3be6c30e623}">
          <xlrd:rvb i="1643"/>
        </ext>
      </extLst>
    </bk>
    <bk>
      <extLst>
        <ext uri="{3e2802c4-a4d2-4d8b-9148-e3be6c30e623}">
          <xlrd:rvb i="1644"/>
        </ext>
      </extLst>
    </bk>
    <bk>
      <extLst>
        <ext uri="{3e2802c4-a4d2-4d8b-9148-e3be6c30e623}">
          <xlrd:rvb i="1645"/>
        </ext>
      </extLst>
    </bk>
    <bk>
      <extLst>
        <ext uri="{3e2802c4-a4d2-4d8b-9148-e3be6c30e623}">
          <xlrd:rvb i="1646"/>
        </ext>
      </extLst>
    </bk>
    <bk>
      <extLst>
        <ext uri="{3e2802c4-a4d2-4d8b-9148-e3be6c30e623}">
          <xlrd:rvb i="1647"/>
        </ext>
      </extLst>
    </bk>
    <bk>
      <extLst>
        <ext uri="{3e2802c4-a4d2-4d8b-9148-e3be6c30e623}">
          <xlrd:rvb i="1648"/>
        </ext>
      </extLst>
    </bk>
    <bk>
      <extLst>
        <ext uri="{3e2802c4-a4d2-4d8b-9148-e3be6c30e623}">
          <xlrd:rvb i="1649"/>
        </ext>
      </extLst>
    </bk>
    <bk>
      <extLst>
        <ext uri="{3e2802c4-a4d2-4d8b-9148-e3be6c30e623}">
          <xlrd:rvb i="1650"/>
        </ext>
      </extLst>
    </bk>
    <bk>
      <extLst>
        <ext uri="{3e2802c4-a4d2-4d8b-9148-e3be6c30e623}">
          <xlrd:rvb i="1651"/>
        </ext>
      </extLst>
    </bk>
    <bk>
      <extLst>
        <ext uri="{3e2802c4-a4d2-4d8b-9148-e3be6c30e623}">
          <xlrd:rvb i="1652"/>
        </ext>
      </extLst>
    </bk>
    <bk>
      <extLst>
        <ext uri="{3e2802c4-a4d2-4d8b-9148-e3be6c30e623}">
          <xlrd:rvb i="1653"/>
        </ext>
      </extLst>
    </bk>
    <bk>
      <extLst>
        <ext uri="{3e2802c4-a4d2-4d8b-9148-e3be6c30e623}">
          <xlrd:rvb i="1654"/>
        </ext>
      </extLst>
    </bk>
    <bk>
      <extLst>
        <ext uri="{3e2802c4-a4d2-4d8b-9148-e3be6c30e623}">
          <xlrd:rvb i="1655"/>
        </ext>
      </extLst>
    </bk>
    <bk>
      <extLst>
        <ext uri="{3e2802c4-a4d2-4d8b-9148-e3be6c30e623}">
          <xlrd:rvb i="1656"/>
        </ext>
      </extLst>
    </bk>
    <bk>
      <extLst>
        <ext uri="{3e2802c4-a4d2-4d8b-9148-e3be6c30e623}">
          <xlrd:rvb i="1657"/>
        </ext>
      </extLst>
    </bk>
    <bk>
      <extLst>
        <ext uri="{3e2802c4-a4d2-4d8b-9148-e3be6c30e623}">
          <xlrd:rvb i="1658"/>
        </ext>
      </extLst>
    </bk>
    <bk>
      <extLst>
        <ext uri="{3e2802c4-a4d2-4d8b-9148-e3be6c30e623}">
          <xlrd:rvb i="1659"/>
        </ext>
      </extLst>
    </bk>
    <bk>
      <extLst>
        <ext uri="{3e2802c4-a4d2-4d8b-9148-e3be6c30e623}">
          <xlrd:rvb i="1660"/>
        </ext>
      </extLst>
    </bk>
    <bk>
      <extLst>
        <ext uri="{3e2802c4-a4d2-4d8b-9148-e3be6c30e623}">
          <xlrd:rvb i="1661"/>
        </ext>
      </extLst>
    </bk>
    <bk>
      <extLst>
        <ext uri="{3e2802c4-a4d2-4d8b-9148-e3be6c30e623}">
          <xlrd:rvb i="1662"/>
        </ext>
      </extLst>
    </bk>
    <bk>
      <extLst>
        <ext uri="{3e2802c4-a4d2-4d8b-9148-e3be6c30e623}">
          <xlrd:rvb i="1663"/>
        </ext>
      </extLst>
    </bk>
    <bk>
      <extLst>
        <ext uri="{3e2802c4-a4d2-4d8b-9148-e3be6c30e623}">
          <xlrd:rvb i="1664"/>
        </ext>
      </extLst>
    </bk>
    <bk>
      <extLst>
        <ext uri="{3e2802c4-a4d2-4d8b-9148-e3be6c30e623}">
          <xlrd:rvb i="1665"/>
        </ext>
      </extLst>
    </bk>
    <bk>
      <extLst>
        <ext uri="{3e2802c4-a4d2-4d8b-9148-e3be6c30e623}">
          <xlrd:rvb i="1666"/>
        </ext>
      </extLst>
    </bk>
    <bk>
      <extLst>
        <ext uri="{3e2802c4-a4d2-4d8b-9148-e3be6c30e623}">
          <xlrd:rvb i="1667"/>
        </ext>
      </extLst>
    </bk>
    <bk>
      <extLst>
        <ext uri="{3e2802c4-a4d2-4d8b-9148-e3be6c30e623}">
          <xlrd:rvb i="1668"/>
        </ext>
      </extLst>
    </bk>
    <bk>
      <extLst>
        <ext uri="{3e2802c4-a4d2-4d8b-9148-e3be6c30e623}">
          <xlrd:rvb i="1669"/>
        </ext>
      </extLst>
    </bk>
    <bk>
      <extLst>
        <ext uri="{3e2802c4-a4d2-4d8b-9148-e3be6c30e623}">
          <xlrd:rvb i="1670"/>
        </ext>
      </extLst>
    </bk>
    <bk>
      <extLst>
        <ext uri="{3e2802c4-a4d2-4d8b-9148-e3be6c30e623}">
          <xlrd:rvb i="1671"/>
        </ext>
      </extLst>
    </bk>
    <bk>
      <extLst>
        <ext uri="{3e2802c4-a4d2-4d8b-9148-e3be6c30e623}">
          <xlrd:rvb i="1672"/>
        </ext>
      </extLst>
    </bk>
    <bk>
      <extLst>
        <ext uri="{3e2802c4-a4d2-4d8b-9148-e3be6c30e623}">
          <xlrd:rvb i="1673"/>
        </ext>
      </extLst>
    </bk>
    <bk>
      <extLst>
        <ext uri="{3e2802c4-a4d2-4d8b-9148-e3be6c30e623}">
          <xlrd:rvb i="1674"/>
        </ext>
      </extLst>
    </bk>
    <bk>
      <extLst>
        <ext uri="{3e2802c4-a4d2-4d8b-9148-e3be6c30e623}">
          <xlrd:rvb i="1675"/>
        </ext>
      </extLst>
    </bk>
    <bk>
      <extLst>
        <ext uri="{3e2802c4-a4d2-4d8b-9148-e3be6c30e623}">
          <xlrd:rvb i="1676"/>
        </ext>
      </extLst>
    </bk>
    <bk>
      <extLst>
        <ext uri="{3e2802c4-a4d2-4d8b-9148-e3be6c30e623}">
          <xlrd:rvb i="1677"/>
        </ext>
      </extLst>
    </bk>
    <bk>
      <extLst>
        <ext uri="{3e2802c4-a4d2-4d8b-9148-e3be6c30e623}">
          <xlrd:rvb i="1678"/>
        </ext>
      </extLst>
    </bk>
    <bk>
      <extLst>
        <ext uri="{3e2802c4-a4d2-4d8b-9148-e3be6c30e623}">
          <xlrd:rvb i="1679"/>
        </ext>
      </extLst>
    </bk>
    <bk>
      <extLst>
        <ext uri="{3e2802c4-a4d2-4d8b-9148-e3be6c30e623}">
          <xlrd:rvb i="1680"/>
        </ext>
      </extLst>
    </bk>
    <bk>
      <extLst>
        <ext uri="{3e2802c4-a4d2-4d8b-9148-e3be6c30e623}">
          <xlrd:rvb i="1681"/>
        </ext>
      </extLst>
    </bk>
    <bk>
      <extLst>
        <ext uri="{3e2802c4-a4d2-4d8b-9148-e3be6c30e623}">
          <xlrd:rvb i="1682"/>
        </ext>
      </extLst>
    </bk>
    <bk>
      <extLst>
        <ext uri="{3e2802c4-a4d2-4d8b-9148-e3be6c30e623}">
          <xlrd:rvb i="1683"/>
        </ext>
      </extLst>
    </bk>
    <bk>
      <extLst>
        <ext uri="{3e2802c4-a4d2-4d8b-9148-e3be6c30e623}">
          <xlrd:rvb i="1684"/>
        </ext>
      </extLst>
    </bk>
    <bk>
      <extLst>
        <ext uri="{3e2802c4-a4d2-4d8b-9148-e3be6c30e623}">
          <xlrd:rvb i="1685"/>
        </ext>
      </extLst>
    </bk>
    <bk>
      <extLst>
        <ext uri="{3e2802c4-a4d2-4d8b-9148-e3be6c30e623}">
          <xlrd:rvb i="1686"/>
        </ext>
      </extLst>
    </bk>
    <bk>
      <extLst>
        <ext uri="{3e2802c4-a4d2-4d8b-9148-e3be6c30e623}">
          <xlrd:rvb i="1687"/>
        </ext>
      </extLst>
    </bk>
    <bk>
      <extLst>
        <ext uri="{3e2802c4-a4d2-4d8b-9148-e3be6c30e623}">
          <xlrd:rvb i="1688"/>
        </ext>
      </extLst>
    </bk>
    <bk>
      <extLst>
        <ext uri="{3e2802c4-a4d2-4d8b-9148-e3be6c30e623}">
          <xlrd:rvb i="1689"/>
        </ext>
      </extLst>
    </bk>
    <bk>
      <extLst>
        <ext uri="{3e2802c4-a4d2-4d8b-9148-e3be6c30e623}">
          <xlrd:rvb i="1690"/>
        </ext>
      </extLst>
    </bk>
    <bk>
      <extLst>
        <ext uri="{3e2802c4-a4d2-4d8b-9148-e3be6c30e623}">
          <xlrd:rvb i="1691"/>
        </ext>
      </extLst>
    </bk>
    <bk>
      <extLst>
        <ext uri="{3e2802c4-a4d2-4d8b-9148-e3be6c30e623}">
          <xlrd:rvb i="1692"/>
        </ext>
      </extLst>
    </bk>
    <bk>
      <extLst>
        <ext uri="{3e2802c4-a4d2-4d8b-9148-e3be6c30e623}">
          <xlrd:rvb i="1693"/>
        </ext>
      </extLst>
    </bk>
    <bk>
      <extLst>
        <ext uri="{3e2802c4-a4d2-4d8b-9148-e3be6c30e623}">
          <xlrd:rvb i="1694"/>
        </ext>
      </extLst>
    </bk>
    <bk>
      <extLst>
        <ext uri="{3e2802c4-a4d2-4d8b-9148-e3be6c30e623}">
          <xlrd:rvb i="1695"/>
        </ext>
      </extLst>
    </bk>
    <bk>
      <extLst>
        <ext uri="{3e2802c4-a4d2-4d8b-9148-e3be6c30e623}">
          <xlrd:rvb i="1696"/>
        </ext>
      </extLst>
    </bk>
    <bk>
      <extLst>
        <ext uri="{3e2802c4-a4d2-4d8b-9148-e3be6c30e623}">
          <xlrd:rvb i="1697"/>
        </ext>
      </extLst>
    </bk>
    <bk>
      <extLst>
        <ext uri="{3e2802c4-a4d2-4d8b-9148-e3be6c30e623}">
          <xlrd:rvb i="1698"/>
        </ext>
      </extLst>
    </bk>
    <bk>
      <extLst>
        <ext uri="{3e2802c4-a4d2-4d8b-9148-e3be6c30e623}">
          <xlrd:rvb i="1699"/>
        </ext>
      </extLst>
    </bk>
    <bk>
      <extLst>
        <ext uri="{3e2802c4-a4d2-4d8b-9148-e3be6c30e623}">
          <xlrd:rvb i="1700"/>
        </ext>
      </extLst>
    </bk>
    <bk>
      <extLst>
        <ext uri="{3e2802c4-a4d2-4d8b-9148-e3be6c30e623}">
          <xlrd:rvb i="1701"/>
        </ext>
      </extLst>
    </bk>
    <bk>
      <extLst>
        <ext uri="{3e2802c4-a4d2-4d8b-9148-e3be6c30e623}">
          <xlrd:rvb i="1702"/>
        </ext>
      </extLst>
    </bk>
    <bk>
      <extLst>
        <ext uri="{3e2802c4-a4d2-4d8b-9148-e3be6c30e623}">
          <xlrd:rvb i="1703"/>
        </ext>
      </extLst>
    </bk>
    <bk>
      <extLst>
        <ext uri="{3e2802c4-a4d2-4d8b-9148-e3be6c30e623}">
          <xlrd:rvb i="1704"/>
        </ext>
      </extLst>
    </bk>
    <bk>
      <extLst>
        <ext uri="{3e2802c4-a4d2-4d8b-9148-e3be6c30e623}">
          <xlrd:rvb i="1705"/>
        </ext>
      </extLst>
    </bk>
    <bk>
      <extLst>
        <ext uri="{3e2802c4-a4d2-4d8b-9148-e3be6c30e623}">
          <xlrd:rvb i="1706"/>
        </ext>
      </extLst>
    </bk>
    <bk>
      <extLst>
        <ext uri="{3e2802c4-a4d2-4d8b-9148-e3be6c30e623}">
          <xlrd:rvb i="1707"/>
        </ext>
      </extLst>
    </bk>
    <bk>
      <extLst>
        <ext uri="{3e2802c4-a4d2-4d8b-9148-e3be6c30e623}">
          <xlrd:rvb i="1708"/>
        </ext>
      </extLst>
    </bk>
    <bk>
      <extLst>
        <ext uri="{3e2802c4-a4d2-4d8b-9148-e3be6c30e623}">
          <xlrd:rvb i="1709"/>
        </ext>
      </extLst>
    </bk>
    <bk>
      <extLst>
        <ext uri="{3e2802c4-a4d2-4d8b-9148-e3be6c30e623}">
          <xlrd:rvb i="1710"/>
        </ext>
      </extLst>
    </bk>
    <bk>
      <extLst>
        <ext uri="{3e2802c4-a4d2-4d8b-9148-e3be6c30e623}">
          <xlrd:rvb i="1711"/>
        </ext>
      </extLst>
    </bk>
    <bk>
      <extLst>
        <ext uri="{3e2802c4-a4d2-4d8b-9148-e3be6c30e623}">
          <xlrd:rvb i="1712"/>
        </ext>
      </extLst>
    </bk>
    <bk>
      <extLst>
        <ext uri="{3e2802c4-a4d2-4d8b-9148-e3be6c30e623}">
          <xlrd:rvb i="1713"/>
        </ext>
      </extLst>
    </bk>
    <bk>
      <extLst>
        <ext uri="{3e2802c4-a4d2-4d8b-9148-e3be6c30e623}">
          <xlrd:rvb i="1714"/>
        </ext>
      </extLst>
    </bk>
    <bk>
      <extLst>
        <ext uri="{3e2802c4-a4d2-4d8b-9148-e3be6c30e623}">
          <xlrd:rvb i="1715"/>
        </ext>
      </extLst>
    </bk>
    <bk>
      <extLst>
        <ext uri="{3e2802c4-a4d2-4d8b-9148-e3be6c30e623}">
          <xlrd:rvb i="1716"/>
        </ext>
      </extLst>
    </bk>
    <bk>
      <extLst>
        <ext uri="{3e2802c4-a4d2-4d8b-9148-e3be6c30e623}">
          <xlrd:rvb i="1717"/>
        </ext>
      </extLst>
    </bk>
    <bk>
      <extLst>
        <ext uri="{3e2802c4-a4d2-4d8b-9148-e3be6c30e623}">
          <xlrd:rvb i="1718"/>
        </ext>
      </extLst>
    </bk>
    <bk>
      <extLst>
        <ext uri="{3e2802c4-a4d2-4d8b-9148-e3be6c30e623}">
          <xlrd:rvb i="1719"/>
        </ext>
      </extLst>
    </bk>
    <bk>
      <extLst>
        <ext uri="{3e2802c4-a4d2-4d8b-9148-e3be6c30e623}">
          <xlrd:rvb i="1720"/>
        </ext>
      </extLst>
    </bk>
    <bk>
      <extLst>
        <ext uri="{3e2802c4-a4d2-4d8b-9148-e3be6c30e623}">
          <xlrd:rvb i="1721"/>
        </ext>
      </extLst>
    </bk>
    <bk>
      <extLst>
        <ext uri="{3e2802c4-a4d2-4d8b-9148-e3be6c30e623}">
          <xlrd:rvb i="1722"/>
        </ext>
      </extLst>
    </bk>
    <bk>
      <extLst>
        <ext uri="{3e2802c4-a4d2-4d8b-9148-e3be6c30e623}">
          <xlrd:rvb i="1723"/>
        </ext>
      </extLst>
    </bk>
    <bk>
      <extLst>
        <ext uri="{3e2802c4-a4d2-4d8b-9148-e3be6c30e623}">
          <xlrd:rvb i="1724"/>
        </ext>
      </extLst>
    </bk>
    <bk>
      <extLst>
        <ext uri="{3e2802c4-a4d2-4d8b-9148-e3be6c30e623}">
          <xlrd:rvb i="1725"/>
        </ext>
      </extLst>
    </bk>
    <bk>
      <extLst>
        <ext uri="{3e2802c4-a4d2-4d8b-9148-e3be6c30e623}">
          <xlrd:rvb i="1726"/>
        </ext>
      </extLst>
    </bk>
    <bk>
      <extLst>
        <ext uri="{3e2802c4-a4d2-4d8b-9148-e3be6c30e623}">
          <xlrd:rvb i="1727"/>
        </ext>
      </extLst>
    </bk>
    <bk>
      <extLst>
        <ext uri="{3e2802c4-a4d2-4d8b-9148-e3be6c30e623}">
          <xlrd:rvb i="1728"/>
        </ext>
      </extLst>
    </bk>
    <bk>
      <extLst>
        <ext uri="{3e2802c4-a4d2-4d8b-9148-e3be6c30e623}">
          <xlrd:rvb i="1729"/>
        </ext>
      </extLst>
    </bk>
    <bk>
      <extLst>
        <ext uri="{3e2802c4-a4d2-4d8b-9148-e3be6c30e623}">
          <xlrd:rvb i="1730"/>
        </ext>
      </extLst>
    </bk>
    <bk>
      <extLst>
        <ext uri="{3e2802c4-a4d2-4d8b-9148-e3be6c30e623}">
          <xlrd:rvb i="1731"/>
        </ext>
      </extLst>
    </bk>
    <bk>
      <extLst>
        <ext uri="{3e2802c4-a4d2-4d8b-9148-e3be6c30e623}">
          <xlrd:rvb i="1732"/>
        </ext>
      </extLst>
    </bk>
    <bk>
      <extLst>
        <ext uri="{3e2802c4-a4d2-4d8b-9148-e3be6c30e623}">
          <xlrd:rvb i="1733"/>
        </ext>
      </extLst>
    </bk>
    <bk>
      <extLst>
        <ext uri="{3e2802c4-a4d2-4d8b-9148-e3be6c30e623}">
          <xlrd:rvb i="1734"/>
        </ext>
      </extLst>
    </bk>
    <bk>
      <extLst>
        <ext uri="{3e2802c4-a4d2-4d8b-9148-e3be6c30e623}">
          <xlrd:rvb i="1735"/>
        </ext>
      </extLst>
    </bk>
    <bk>
      <extLst>
        <ext uri="{3e2802c4-a4d2-4d8b-9148-e3be6c30e623}">
          <xlrd:rvb i="1736"/>
        </ext>
      </extLst>
    </bk>
    <bk>
      <extLst>
        <ext uri="{3e2802c4-a4d2-4d8b-9148-e3be6c30e623}">
          <xlrd:rvb i="1737"/>
        </ext>
      </extLst>
    </bk>
    <bk>
      <extLst>
        <ext uri="{3e2802c4-a4d2-4d8b-9148-e3be6c30e623}">
          <xlrd:rvb i="1738"/>
        </ext>
      </extLst>
    </bk>
    <bk>
      <extLst>
        <ext uri="{3e2802c4-a4d2-4d8b-9148-e3be6c30e623}">
          <xlrd:rvb i="1739"/>
        </ext>
      </extLst>
    </bk>
    <bk>
      <extLst>
        <ext uri="{3e2802c4-a4d2-4d8b-9148-e3be6c30e623}">
          <xlrd:rvb i="1740"/>
        </ext>
      </extLst>
    </bk>
    <bk>
      <extLst>
        <ext uri="{3e2802c4-a4d2-4d8b-9148-e3be6c30e623}">
          <xlrd:rvb i="1741"/>
        </ext>
      </extLst>
    </bk>
    <bk>
      <extLst>
        <ext uri="{3e2802c4-a4d2-4d8b-9148-e3be6c30e623}">
          <xlrd:rvb i="1742"/>
        </ext>
      </extLst>
    </bk>
    <bk>
      <extLst>
        <ext uri="{3e2802c4-a4d2-4d8b-9148-e3be6c30e623}">
          <xlrd:rvb i="1743"/>
        </ext>
      </extLst>
    </bk>
    <bk>
      <extLst>
        <ext uri="{3e2802c4-a4d2-4d8b-9148-e3be6c30e623}">
          <xlrd:rvb i="1744"/>
        </ext>
      </extLst>
    </bk>
    <bk>
      <extLst>
        <ext uri="{3e2802c4-a4d2-4d8b-9148-e3be6c30e623}">
          <xlrd:rvb i="1745"/>
        </ext>
      </extLst>
    </bk>
    <bk>
      <extLst>
        <ext uri="{3e2802c4-a4d2-4d8b-9148-e3be6c30e623}">
          <xlrd:rvb i="1746"/>
        </ext>
      </extLst>
    </bk>
    <bk>
      <extLst>
        <ext uri="{3e2802c4-a4d2-4d8b-9148-e3be6c30e623}">
          <xlrd:rvb i="1747"/>
        </ext>
      </extLst>
    </bk>
    <bk>
      <extLst>
        <ext uri="{3e2802c4-a4d2-4d8b-9148-e3be6c30e623}">
          <xlrd:rvb i="1748"/>
        </ext>
      </extLst>
    </bk>
    <bk>
      <extLst>
        <ext uri="{3e2802c4-a4d2-4d8b-9148-e3be6c30e623}">
          <xlrd:rvb i="1749"/>
        </ext>
      </extLst>
    </bk>
    <bk>
      <extLst>
        <ext uri="{3e2802c4-a4d2-4d8b-9148-e3be6c30e623}">
          <xlrd:rvb i="1750"/>
        </ext>
      </extLst>
    </bk>
    <bk>
      <extLst>
        <ext uri="{3e2802c4-a4d2-4d8b-9148-e3be6c30e623}">
          <xlrd:rvb i="1751"/>
        </ext>
      </extLst>
    </bk>
    <bk>
      <extLst>
        <ext uri="{3e2802c4-a4d2-4d8b-9148-e3be6c30e623}">
          <xlrd:rvb i="1752"/>
        </ext>
      </extLst>
    </bk>
    <bk>
      <extLst>
        <ext uri="{3e2802c4-a4d2-4d8b-9148-e3be6c30e623}">
          <xlrd:rvb i="1753"/>
        </ext>
      </extLst>
    </bk>
    <bk>
      <extLst>
        <ext uri="{3e2802c4-a4d2-4d8b-9148-e3be6c30e623}">
          <xlrd:rvb i="1754"/>
        </ext>
      </extLst>
    </bk>
    <bk>
      <extLst>
        <ext uri="{3e2802c4-a4d2-4d8b-9148-e3be6c30e623}">
          <xlrd:rvb i="1755"/>
        </ext>
      </extLst>
    </bk>
    <bk>
      <extLst>
        <ext uri="{3e2802c4-a4d2-4d8b-9148-e3be6c30e623}">
          <xlrd:rvb i="1756"/>
        </ext>
      </extLst>
    </bk>
    <bk>
      <extLst>
        <ext uri="{3e2802c4-a4d2-4d8b-9148-e3be6c30e623}">
          <xlrd:rvb i="1757"/>
        </ext>
      </extLst>
    </bk>
    <bk>
      <extLst>
        <ext uri="{3e2802c4-a4d2-4d8b-9148-e3be6c30e623}">
          <xlrd:rvb i="1758"/>
        </ext>
      </extLst>
    </bk>
    <bk>
      <extLst>
        <ext uri="{3e2802c4-a4d2-4d8b-9148-e3be6c30e623}">
          <xlrd:rvb i="1759"/>
        </ext>
      </extLst>
    </bk>
    <bk>
      <extLst>
        <ext uri="{3e2802c4-a4d2-4d8b-9148-e3be6c30e623}">
          <xlrd:rvb i="1760"/>
        </ext>
      </extLst>
    </bk>
    <bk>
      <extLst>
        <ext uri="{3e2802c4-a4d2-4d8b-9148-e3be6c30e623}">
          <xlrd:rvb i="1761"/>
        </ext>
      </extLst>
    </bk>
    <bk>
      <extLst>
        <ext uri="{3e2802c4-a4d2-4d8b-9148-e3be6c30e623}">
          <xlrd:rvb i="1762"/>
        </ext>
      </extLst>
    </bk>
    <bk>
      <extLst>
        <ext uri="{3e2802c4-a4d2-4d8b-9148-e3be6c30e623}">
          <xlrd:rvb i="1763"/>
        </ext>
      </extLst>
    </bk>
    <bk>
      <extLst>
        <ext uri="{3e2802c4-a4d2-4d8b-9148-e3be6c30e623}">
          <xlrd:rvb i="1764"/>
        </ext>
      </extLst>
    </bk>
    <bk>
      <extLst>
        <ext uri="{3e2802c4-a4d2-4d8b-9148-e3be6c30e623}">
          <xlrd:rvb i="1765"/>
        </ext>
      </extLst>
    </bk>
    <bk>
      <extLst>
        <ext uri="{3e2802c4-a4d2-4d8b-9148-e3be6c30e623}">
          <xlrd:rvb i="1766"/>
        </ext>
      </extLst>
    </bk>
    <bk>
      <extLst>
        <ext uri="{3e2802c4-a4d2-4d8b-9148-e3be6c30e623}">
          <xlrd:rvb i="1767"/>
        </ext>
      </extLst>
    </bk>
    <bk>
      <extLst>
        <ext uri="{3e2802c4-a4d2-4d8b-9148-e3be6c30e623}">
          <xlrd:rvb i="1768"/>
        </ext>
      </extLst>
    </bk>
    <bk>
      <extLst>
        <ext uri="{3e2802c4-a4d2-4d8b-9148-e3be6c30e623}">
          <xlrd:rvb i="1769"/>
        </ext>
      </extLst>
    </bk>
    <bk>
      <extLst>
        <ext uri="{3e2802c4-a4d2-4d8b-9148-e3be6c30e623}">
          <xlrd:rvb i="1770"/>
        </ext>
      </extLst>
    </bk>
    <bk>
      <extLst>
        <ext uri="{3e2802c4-a4d2-4d8b-9148-e3be6c30e623}">
          <xlrd:rvb i="1771"/>
        </ext>
      </extLst>
    </bk>
    <bk>
      <extLst>
        <ext uri="{3e2802c4-a4d2-4d8b-9148-e3be6c30e623}">
          <xlrd:rvb i="1772"/>
        </ext>
      </extLst>
    </bk>
    <bk>
      <extLst>
        <ext uri="{3e2802c4-a4d2-4d8b-9148-e3be6c30e623}">
          <xlrd:rvb i="1773"/>
        </ext>
      </extLst>
    </bk>
    <bk>
      <extLst>
        <ext uri="{3e2802c4-a4d2-4d8b-9148-e3be6c30e623}">
          <xlrd:rvb i="1774"/>
        </ext>
      </extLst>
    </bk>
    <bk>
      <extLst>
        <ext uri="{3e2802c4-a4d2-4d8b-9148-e3be6c30e623}">
          <xlrd:rvb i="1775"/>
        </ext>
      </extLst>
    </bk>
    <bk>
      <extLst>
        <ext uri="{3e2802c4-a4d2-4d8b-9148-e3be6c30e623}">
          <xlrd:rvb i="1776"/>
        </ext>
      </extLst>
    </bk>
    <bk>
      <extLst>
        <ext uri="{3e2802c4-a4d2-4d8b-9148-e3be6c30e623}">
          <xlrd:rvb i="1777"/>
        </ext>
      </extLst>
    </bk>
    <bk>
      <extLst>
        <ext uri="{3e2802c4-a4d2-4d8b-9148-e3be6c30e623}">
          <xlrd:rvb i="1778"/>
        </ext>
      </extLst>
    </bk>
    <bk>
      <extLst>
        <ext uri="{3e2802c4-a4d2-4d8b-9148-e3be6c30e623}">
          <xlrd:rvb i="1779"/>
        </ext>
      </extLst>
    </bk>
    <bk>
      <extLst>
        <ext uri="{3e2802c4-a4d2-4d8b-9148-e3be6c30e623}">
          <xlrd:rvb i="1780"/>
        </ext>
      </extLst>
    </bk>
    <bk>
      <extLst>
        <ext uri="{3e2802c4-a4d2-4d8b-9148-e3be6c30e623}">
          <xlrd:rvb i="1781"/>
        </ext>
      </extLst>
    </bk>
    <bk>
      <extLst>
        <ext uri="{3e2802c4-a4d2-4d8b-9148-e3be6c30e623}">
          <xlrd:rvb i="1782"/>
        </ext>
      </extLst>
    </bk>
    <bk>
      <extLst>
        <ext uri="{3e2802c4-a4d2-4d8b-9148-e3be6c30e623}">
          <xlrd:rvb i="1783"/>
        </ext>
      </extLst>
    </bk>
    <bk>
      <extLst>
        <ext uri="{3e2802c4-a4d2-4d8b-9148-e3be6c30e623}">
          <xlrd:rvb i="1784"/>
        </ext>
      </extLst>
    </bk>
    <bk>
      <extLst>
        <ext uri="{3e2802c4-a4d2-4d8b-9148-e3be6c30e623}">
          <xlrd:rvb i="1785"/>
        </ext>
      </extLst>
    </bk>
    <bk>
      <extLst>
        <ext uri="{3e2802c4-a4d2-4d8b-9148-e3be6c30e623}">
          <xlrd:rvb i="1786"/>
        </ext>
      </extLst>
    </bk>
    <bk>
      <extLst>
        <ext uri="{3e2802c4-a4d2-4d8b-9148-e3be6c30e623}">
          <xlrd:rvb i="1787"/>
        </ext>
      </extLst>
    </bk>
    <bk>
      <extLst>
        <ext uri="{3e2802c4-a4d2-4d8b-9148-e3be6c30e623}">
          <xlrd:rvb i="1788"/>
        </ext>
      </extLst>
    </bk>
    <bk>
      <extLst>
        <ext uri="{3e2802c4-a4d2-4d8b-9148-e3be6c30e623}">
          <xlrd:rvb i="1789"/>
        </ext>
      </extLst>
    </bk>
    <bk>
      <extLst>
        <ext uri="{3e2802c4-a4d2-4d8b-9148-e3be6c30e623}">
          <xlrd:rvb i="1790"/>
        </ext>
      </extLst>
    </bk>
    <bk>
      <extLst>
        <ext uri="{3e2802c4-a4d2-4d8b-9148-e3be6c30e623}">
          <xlrd:rvb i="1791"/>
        </ext>
      </extLst>
    </bk>
    <bk>
      <extLst>
        <ext uri="{3e2802c4-a4d2-4d8b-9148-e3be6c30e623}">
          <xlrd:rvb i="1792"/>
        </ext>
      </extLst>
    </bk>
    <bk>
      <extLst>
        <ext uri="{3e2802c4-a4d2-4d8b-9148-e3be6c30e623}">
          <xlrd:rvb i="1793"/>
        </ext>
      </extLst>
    </bk>
    <bk>
      <extLst>
        <ext uri="{3e2802c4-a4d2-4d8b-9148-e3be6c30e623}">
          <xlrd:rvb i="1794"/>
        </ext>
      </extLst>
    </bk>
    <bk>
      <extLst>
        <ext uri="{3e2802c4-a4d2-4d8b-9148-e3be6c30e623}">
          <xlrd:rvb i="1795"/>
        </ext>
      </extLst>
    </bk>
    <bk>
      <extLst>
        <ext uri="{3e2802c4-a4d2-4d8b-9148-e3be6c30e623}">
          <xlrd:rvb i="1796"/>
        </ext>
      </extLst>
    </bk>
    <bk>
      <extLst>
        <ext uri="{3e2802c4-a4d2-4d8b-9148-e3be6c30e623}">
          <xlrd:rvb i="1797"/>
        </ext>
      </extLst>
    </bk>
    <bk>
      <extLst>
        <ext uri="{3e2802c4-a4d2-4d8b-9148-e3be6c30e623}">
          <xlrd:rvb i="1798"/>
        </ext>
      </extLst>
    </bk>
    <bk>
      <extLst>
        <ext uri="{3e2802c4-a4d2-4d8b-9148-e3be6c30e623}">
          <xlrd:rvb i="1799"/>
        </ext>
      </extLst>
    </bk>
    <bk>
      <extLst>
        <ext uri="{3e2802c4-a4d2-4d8b-9148-e3be6c30e623}">
          <xlrd:rvb i="1800"/>
        </ext>
      </extLst>
    </bk>
    <bk>
      <extLst>
        <ext uri="{3e2802c4-a4d2-4d8b-9148-e3be6c30e623}">
          <xlrd:rvb i="1801"/>
        </ext>
      </extLst>
    </bk>
    <bk>
      <extLst>
        <ext uri="{3e2802c4-a4d2-4d8b-9148-e3be6c30e623}">
          <xlrd:rvb i="1802"/>
        </ext>
      </extLst>
    </bk>
    <bk>
      <extLst>
        <ext uri="{3e2802c4-a4d2-4d8b-9148-e3be6c30e623}">
          <xlrd:rvb i="1803"/>
        </ext>
      </extLst>
    </bk>
    <bk>
      <extLst>
        <ext uri="{3e2802c4-a4d2-4d8b-9148-e3be6c30e623}">
          <xlrd:rvb i="1804"/>
        </ext>
      </extLst>
    </bk>
    <bk>
      <extLst>
        <ext uri="{3e2802c4-a4d2-4d8b-9148-e3be6c30e623}">
          <xlrd:rvb i="1805"/>
        </ext>
      </extLst>
    </bk>
    <bk>
      <extLst>
        <ext uri="{3e2802c4-a4d2-4d8b-9148-e3be6c30e623}">
          <xlrd:rvb i="1806"/>
        </ext>
      </extLst>
    </bk>
    <bk>
      <extLst>
        <ext uri="{3e2802c4-a4d2-4d8b-9148-e3be6c30e623}">
          <xlrd:rvb i="1807"/>
        </ext>
      </extLst>
    </bk>
    <bk>
      <extLst>
        <ext uri="{3e2802c4-a4d2-4d8b-9148-e3be6c30e623}">
          <xlrd:rvb i="1808"/>
        </ext>
      </extLst>
    </bk>
    <bk>
      <extLst>
        <ext uri="{3e2802c4-a4d2-4d8b-9148-e3be6c30e623}">
          <xlrd:rvb i="1809"/>
        </ext>
      </extLst>
    </bk>
    <bk>
      <extLst>
        <ext uri="{3e2802c4-a4d2-4d8b-9148-e3be6c30e623}">
          <xlrd:rvb i="1810"/>
        </ext>
      </extLst>
    </bk>
    <bk>
      <extLst>
        <ext uri="{3e2802c4-a4d2-4d8b-9148-e3be6c30e623}">
          <xlrd:rvb i="1811"/>
        </ext>
      </extLst>
    </bk>
    <bk>
      <extLst>
        <ext uri="{3e2802c4-a4d2-4d8b-9148-e3be6c30e623}">
          <xlrd:rvb i="1812"/>
        </ext>
      </extLst>
    </bk>
    <bk>
      <extLst>
        <ext uri="{3e2802c4-a4d2-4d8b-9148-e3be6c30e623}">
          <xlrd:rvb i="1813"/>
        </ext>
      </extLst>
    </bk>
    <bk>
      <extLst>
        <ext uri="{3e2802c4-a4d2-4d8b-9148-e3be6c30e623}">
          <xlrd:rvb i="1814"/>
        </ext>
      </extLst>
    </bk>
    <bk>
      <extLst>
        <ext uri="{3e2802c4-a4d2-4d8b-9148-e3be6c30e623}">
          <xlrd:rvb i="1815"/>
        </ext>
      </extLst>
    </bk>
    <bk>
      <extLst>
        <ext uri="{3e2802c4-a4d2-4d8b-9148-e3be6c30e623}">
          <xlrd:rvb i="1816"/>
        </ext>
      </extLst>
    </bk>
    <bk>
      <extLst>
        <ext uri="{3e2802c4-a4d2-4d8b-9148-e3be6c30e623}">
          <xlrd:rvb i="1817"/>
        </ext>
      </extLst>
    </bk>
    <bk>
      <extLst>
        <ext uri="{3e2802c4-a4d2-4d8b-9148-e3be6c30e623}">
          <xlrd:rvb i="1818"/>
        </ext>
      </extLst>
    </bk>
    <bk>
      <extLst>
        <ext uri="{3e2802c4-a4d2-4d8b-9148-e3be6c30e623}">
          <xlrd:rvb i="1819"/>
        </ext>
      </extLst>
    </bk>
    <bk>
      <extLst>
        <ext uri="{3e2802c4-a4d2-4d8b-9148-e3be6c30e623}">
          <xlrd:rvb i="1820"/>
        </ext>
      </extLst>
    </bk>
    <bk>
      <extLst>
        <ext uri="{3e2802c4-a4d2-4d8b-9148-e3be6c30e623}">
          <xlrd:rvb i="1821"/>
        </ext>
      </extLst>
    </bk>
    <bk>
      <extLst>
        <ext uri="{3e2802c4-a4d2-4d8b-9148-e3be6c30e623}">
          <xlrd:rvb i="1822"/>
        </ext>
      </extLst>
    </bk>
    <bk>
      <extLst>
        <ext uri="{3e2802c4-a4d2-4d8b-9148-e3be6c30e623}">
          <xlrd:rvb i="1823"/>
        </ext>
      </extLst>
    </bk>
    <bk>
      <extLst>
        <ext uri="{3e2802c4-a4d2-4d8b-9148-e3be6c30e623}">
          <xlrd:rvb i="1824"/>
        </ext>
      </extLst>
    </bk>
    <bk>
      <extLst>
        <ext uri="{3e2802c4-a4d2-4d8b-9148-e3be6c30e623}">
          <xlrd:rvb i="1825"/>
        </ext>
      </extLst>
    </bk>
    <bk>
      <extLst>
        <ext uri="{3e2802c4-a4d2-4d8b-9148-e3be6c30e623}">
          <xlrd:rvb i="1826"/>
        </ext>
      </extLst>
    </bk>
    <bk>
      <extLst>
        <ext uri="{3e2802c4-a4d2-4d8b-9148-e3be6c30e623}">
          <xlrd:rvb i="1827"/>
        </ext>
      </extLst>
    </bk>
    <bk>
      <extLst>
        <ext uri="{3e2802c4-a4d2-4d8b-9148-e3be6c30e623}">
          <xlrd:rvb i="1828"/>
        </ext>
      </extLst>
    </bk>
    <bk>
      <extLst>
        <ext uri="{3e2802c4-a4d2-4d8b-9148-e3be6c30e623}">
          <xlrd:rvb i="1829"/>
        </ext>
      </extLst>
    </bk>
    <bk>
      <extLst>
        <ext uri="{3e2802c4-a4d2-4d8b-9148-e3be6c30e623}">
          <xlrd:rvb i="1830"/>
        </ext>
      </extLst>
    </bk>
    <bk>
      <extLst>
        <ext uri="{3e2802c4-a4d2-4d8b-9148-e3be6c30e623}">
          <xlrd:rvb i="1831"/>
        </ext>
      </extLst>
    </bk>
    <bk>
      <extLst>
        <ext uri="{3e2802c4-a4d2-4d8b-9148-e3be6c30e623}">
          <xlrd:rvb i="1832"/>
        </ext>
      </extLst>
    </bk>
    <bk>
      <extLst>
        <ext uri="{3e2802c4-a4d2-4d8b-9148-e3be6c30e623}">
          <xlrd:rvb i="1833"/>
        </ext>
      </extLst>
    </bk>
    <bk>
      <extLst>
        <ext uri="{3e2802c4-a4d2-4d8b-9148-e3be6c30e623}">
          <xlrd:rvb i="1834"/>
        </ext>
      </extLst>
    </bk>
    <bk>
      <extLst>
        <ext uri="{3e2802c4-a4d2-4d8b-9148-e3be6c30e623}">
          <xlrd:rvb i="1835"/>
        </ext>
      </extLst>
    </bk>
    <bk>
      <extLst>
        <ext uri="{3e2802c4-a4d2-4d8b-9148-e3be6c30e623}">
          <xlrd:rvb i="1836"/>
        </ext>
      </extLst>
    </bk>
    <bk>
      <extLst>
        <ext uri="{3e2802c4-a4d2-4d8b-9148-e3be6c30e623}">
          <xlrd:rvb i="1837"/>
        </ext>
      </extLst>
    </bk>
    <bk>
      <extLst>
        <ext uri="{3e2802c4-a4d2-4d8b-9148-e3be6c30e623}">
          <xlrd:rvb i="1838"/>
        </ext>
      </extLst>
    </bk>
    <bk>
      <extLst>
        <ext uri="{3e2802c4-a4d2-4d8b-9148-e3be6c30e623}">
          <xlrd:rvb i="1839"/>
        </ext>
      </extLst>
    </bk>
    <bk>
      <extLst>
        <ext uri="{3e2802c4-a4d2-4d8b-9148-e3be6c30e623}">
          <xlrd:rvb i="1840"/>
        </ext>
      </extLst>
    </bk>
    <bk>
      <extLst>
        <ext uri="{3e2802c4-a4d2-4d8b-9148-e3be6c30e623}">
          <xlrd:rvb i="1841"/>
        </ext>
      </extLst>
    </bk>
    <bk>
      <extLst>
        <ext uri="{3e2802c4-a4d2-4d8b-9148-e3be6c30e623}">
          <xlrd:rvb i="1842"/>
        </ext>
      </extLst>
    </bk>
    <bk>
      <extLst>
        <ext uri="{3e2802c4-a4d2-4d8b-9148-e3be6c30e623}">
          <xlrd:rvb i="1843"/>
        </ext>
      </extLst>
    </bk>
    <bk>
      <extLst>
        <ext uri="{3e2802c4-a4d2-4d8b-9148-e3be6c30e623}">
          <xlrd:rvb i="1844"/>
        </ext>
      </extLst>
    </bk>
    <bk>
      <extLst>
        <ext uri="{3e2802c4-a4d2-4d8b-9148-e3be6c30e623}">
          <xlrd:rvb i="1845"/>
        </ext>
      </extLst>
    </bk>
    <bk>
      <extLst>
        <ext uri="{3e2802c4-a4d2-4d8b-9148-e3be6c30e623}">
          <xlrd:rvb i="1846"/>
        </ext>
      </extLst>
    </bk>
    <bk>
      <extLst>
        <ext uri="{3e2802c4-a4d2-4d8b-9148-e3be6c30e623}">
          <xlrd:rvb i="1847"/>
        </ext>
      </extLst>
    </bk>
    <bk>
      <extLst>
        <ext uri="{3e2802c4-a4d2-4d8b-9148-e3be6c30e623}">
          <xlrd:rvb i="1848"/>
        </ext>
      </extLst>
    </bk>
    <bk>
      <extLst>
        <ext uri="{3e2802c4-a4d2-4d8b-9148-e3be6c30e623}">
          <xlrd:rvb i="1849"/>
        </ext>
      </extLst>
    </bk>
    <bk>
      <extLst>
        <ext uri="{3e2802c4-a4d2-4d8b-9148-e3be6c30e623}">
          <xlrd:rvb i="1850"/>
        </ext>
      </extLst>
    </bk>
    <bk>
      <extLst>
        <ext uri="{3e2802c4-a4d2-4d8b-9148-e3be6c30e623}">
          <xlrd:rvb i="1851"/>
        </ext>
      </extLst>
    </bk>
    <bk>
      <extLst>
        <ext uri="{3e2802c4-a4d2-4d8b-9148-e3be6c30e623}">
          <xlrd:rvb i="1852"/>
        </ext>
      </extLst>
    </bk>
    <bk>
      <extLst>
        <ext uri="{3e2802c4-a4d2-4d8b-9148-e3be6c30e623}">
          <xlrd:rvb i="1853"/>
        </ext>
      </extLst>
    </bk>
    <bk>
      <extLst>
        <ext uri="{3e2802c4-a4d2-4d8b-9148-e3be6c30e623}">
          <xlrd:rvb i="1854"/>
        </ext>
      </extLst>
    </bk>
    <bk>
      <extLst>
        <ext uri="{3e2802c4-a4d2-4d8b-9148-e3be6c30e623}">
          <xlrd:rvb i="1855"/>
        </ext>
      </extLst>
    </bk>
    <bk>
      <extLst>
        <ext uri="{3e2802c4-a4d2-4d8b-9148-e3be6c30e623}">
          <xlrd:rvb i="1856"/>
        </ext>
      </extLst>
    </bk>
    <bk>
      <extLst>
        <ext uri="{3e2802c4-a4d2-4d8b-9148-e3be6c30e623}">
          <xlrd:rvb i="1857"/>
        </ext>
      </extLst>
    </bk>
    <bk>
      <extLst>
        <ext uri="{3e2802c4-a4d2-4d8b-9148-e3be6c30e623}">
          <xlrd:rvb i="1858"/>
        </ext>
      </extLst>
    </bk>
    <bk>
      <extLst>
        <ext uri="{3e2802c4-a4d2-4d8b-9148-e3be6c30e623}">
          <xlrd:rvb i="1859"/>
        </ext>
      </extLst>
    </bk>
    <bk>
      <extLst>
        <ext uri="{3e2802c4-a4d2-4d8b-9148-e3be6c30e623}">
          <xlrd:rvb i="1860"/>
        </ext>
      </extLst>
    </bk>
    <bk>
      <extLst>
        <ext uri="{3e2802c4-a4d2-4d8b-9148-e3be6c30e623}">
          <xlrd:rvb i="1861"/>
        </ext>
      </extLst>
    </bk>
    <bk>
      <extLst>
        <ext uri="{3e2802c4-a4d2-4d8b-9148-e3be6c30e623}">
          <xlrd:rvb i="1862"/>
        </ext>
      </extLst>
    </bk>
    <bk>
      <extLst>
        <ext uri="{3e2802c4-a4d2-4d8b-9148-e3be6c30e623}">
          <xlrd:rvb i="1863"/>
        </ext>
      </extLst>
    </bk>
    <bk>
      <extLst>
        <ext uri="{3e2802c4-a4d2-4d8b-9148-e3be6c30e623}">
          <xlrd:rvb i="1864"/>
        </ext>
      </extLst>
    </bk>
    <bk>
      <extLst>
        <ext uri="{3e2802c4-a4d2-4d8b-9148-e3be6c30e623}">
          <xlrd:rvb i="1865"/>
        </ext>
      </extLst>
    </bk>
    <bk>
      <extLst>
        <ext uri="{3e2802c4-a4d2-4d8b-9148-e3be6c30e623}">
          <xlrd:rvb i="1866"/>
        </ext>
      </extLst>
    </bk>
    <bk>
      <extLst>
        <ext uri="{3e2802c4-a4d2-4d8b-9148-e3be6c30e623}">
          <xlrd:rvb i="1867"/>
        </ext>
      </extLst>
    </bk>
    <bk>
      <extLst>
        <ext uri="{3e2802c4-a4d2-4d8b-9148-e3be6c30e623}">
          <xlrd:rvb i="1868"/>
        </ext>
      </extLst>
    </bk>
    <bk>
      <extLst>
        <ext uri="{3e2802c4-a4d2-4d8b-9148-e3be6c30e623}">
          <xlrd:rvb i="1869"/>
        </ext>
      </extLst>
    </bk>
    <bk>
      <extLst>
        <ext uri="{3e2802c4-a4d2-4d8b-9148-e3be6c30e623}">
          <xlrd:rvb i="1870"/>
        </ext>
      </extLst>
    </bk>
    <bk>
      <extLst>
        <ext uri="{3e2802c4-a4d2-4d8b-9148-e3be6c30e623}">
          <xlrd:rvb i="1871"/>
        </ext>
      </extLst>
    </bk>
    <bk>
      <extLst>
        <ext uri="{3e2802c4-a4d2-4d8b-9148-e3be6c30e623}">
          <xlrd:rvb i="1872"/>
        </ext>
      </extLst>
    </bk>
    <bk>
      <extLst>
        <ext uri="{3e2802c4-a4d2-4d8b-9148-e3be6c30e623}">
          <xlrd:rvb i="1873"/>
        </ext>
      </extLst>
    </bk>
    <bk>
      <extLst>
        <ext uri="{3e2802c4-a4d2-4d8b-9148-e3be6c30e623}">
          <xlrd:rvb i="1874"/>
        </ext>
      </extLst>
    </bk>
    <bk>
      <extLst>
        <ext uri="{3e2802c4-a4d2-4d8b-9148-e3be6c30e623}">
          <xlrd:rvb i="1875"/>
        </ext>
      </extLst>
    </bk>
    <bk>
      <extLst>
        <ext uri="{3e2802c4-a4d2-4d8b-9148-e3be6c30e623}">
          <xlrd:rvb i="1876"/>
        </ext>
      </extLst>
    </bk>
    <bk>
      <extLst>
        <ext uri="{3e2802c4-a4d2-4d8b-9148-e3be6c30e623}">
          <xlrd:rvb i="1877"/>
        </ext>
      </extLst>
    </bk>
    <bk>
      <extLst>
        <ext uri="{3e2802c4-a4d2-4d8b-9148-e3be6c30e623}">
          <xlrd:rvb i="1878"/>
        </ext>
      </extLst>
    </bk>
    <bk>
      <extLst>
        <ext uri="{3e2802c4-a4d2-4d8b-9148-e3be6c30e623}">
          <xlrd:rvb i="1879"/>
        </ext>
      </extLst>
    </bk>
    <bk>
      <extLst>
        <ext uri="{3e2802c4-a4d2-4d8b-9148-e3be6c30e623}">
          <xlrd:rvb i="1880"/>
        </ext>
      </extLst>
    </bk>
    <bk>
      <extLst>
        <ext uri="{3e2802c4-a4d2-4d8b-9148-e3be6c30e623}">
          <xlrd:rvb i="1881"/>
        </ext>
      </extLst>
    </bk>
    <bk>
      <extLst>
        <ext uri="{3e2802c4-a4d2-4d8b-9148-e3be6c30e623}">
          <xlrd:rvb i="1882"/>
        </ext>
      </extLst>
    </bk>
    <bk>
      <extLst>
        <ext uri="{3e2802c4-a4d2-4d8b-9148-e3be6c30e623}">
          <xlrd:rvb i="1883"/>
        </ext>
      </extLst>
    </bk>
    <bk>
      <extLst>
        <ext uri="{3e2802c4-a4d2-4d8b-9148-e3be6c30e623}">
          <xlrd:rvb i="1884"/>
        </ext>
      </extLst>
    </bk>
    <bk>
      <extLst>
        <ext uri="{3e2802c4-a4d2-4d8b-9148-e3be6c30e623}">
          <xlrd:rvb i="1885"/>
        </ext>
      </extLst>
    </bk>
    <bk>
      <extLst>
        <ext uri="{3e2802c4-a4d2-4d8b-9148-e3be6c30e623}">
          <xlrd:rvb i="1886"/>
        </ext>
      </extLst>
    </bk>
    <bk>
      <extLst>
        <ext uri="{3e2802c4-a4d2-4d8b-9148-e3be6c30e623}">
          <xlrd:rvb i="1887"/>
        </ext>
      </extLst>
    </bk>
    <bk>
      <extLst>
        <ext uri="{3e2802c4-a4d2-4d8b-9148-e3be6c30e623}">
          <xlrd:rvb i="1888"/>
        </ext>
      </extLst>
    </bk>
    <bk>
      <extLst>
        <ext uri="{3e2802c4-a4d2-4d8b-9148-e3be6c30e623}">
          <xlrd:rvb i="1889"/>
        </ext>
      </extLst>
    </bk>
    <bk>
      <extLst>
        <ext uri="{3e2802c4-a4d2-4d8b-9148-e3be6c30e623}">
          <xlrd:rvb i="1890"/>
        </ext>
      </extLst>
    </bk>
    <bk>
      <extLst>
        <ext uri="{3e2802c4-a4d2-4d8b-9148-e3be6c30e623}">
          <xlrd:rvb i="1891"/>
        </ext>
      </extLst>
    </bk>
    <bk>
      <extLst>
        <ext uri="{3e2802c4-a4d2-4d8b-9148-e3be6c30e623}">
          <xlrd:rvb i="1892"/>
        </ext>
      </extLst>
    </bk>
    <bk>
      <extLst>
        <ext uri="{3e2802c4-a4d2-4d8b-9148-e3be6c30e623}">
          <xlrd:rvb i="1893"/>
        </ext>
      </extLst>
    </bk>
    <bk>
      <extLst>
        <ext uri="{3e2802c4-a4d2-4d8b-9148-e3be6c30e623}">
          <xlrd:rvb i="1894"/>
        </ext>
      </extLst>
    </bk>
    <bk>
      <extLst>
        <ext uri="{3e2802c4-a4d2-4d8b-9148-e3be6c30e623}">
          <xlrd:rvb i="1895"/>
        </ext>
      </extLst>
    </bk>
    <bk>
      <extLst>
        <ext uri="{3e2802c4-a4d2-4d8b-9148-e3be6c30e623}">
          <xlrd:rvb i="1896"/>
        </ext>
      </extLst>
    </bk>
    <bk>
      <extLst>
        <ext uri="{3e2802c4-a4d2-4d8b-9148-e3be6c30e623}">
          <xlrd:rvb i="1897"/>
        </ext>
      </extLst>
    </bk>
    <bk>
      <extLst>
        <ext uri="{3e2802c4-a4d2-4d8b-9148-e3be6c30e623}">
          <xlrd:rvb i="1898"/>
        </ext>
      </extLst>
    </bk>
    <bk>
      <extLst>
        <ext uri="{3e2802c4-a4d2-4d8b-9148-e3be6c30e623}">
          <xlrd:rvb i="1899"/>
        </ext>
      </extLst>
    </bk>
    <bk>
      <extLst>
        <ext uri="{3e2802c4-a4d2-4d8b-9148-e3be6c30e623}">
          <xlrd:rvb i="1900"/>
        </ext>
      </extLst>
    </bk>
    <bk>
      <extLst>
        <ext uri="{3e2802c4-a4d2-4d8b-9148-e3be6c30e623}">
          <xlrd:rvb i="1901"/>
        </ext>
      </extLst>
    </bk>
    <bk>
      <extLst>
        <ext uri="{3e2802c4-a4d2-4d8b-9148-e3be6c30e623}">
          <xlrd:rvb i="1902"/>
        </ext>
      </extLst>
    </bk>
    <bk>
      <extLst>
        <ext uri="{3e2802c4-a4d2-4d8b-9148-e3be6c30e623}">
          <xlrd:rvb i="1903"/>
        </ext>
      </extLst>
    </bk>
    <bk>
      <extLst>
        <ext uri="{3e2802c4-a4d2-4d8b-9148-e3be6c30e623}">
          <xlrd:rvb i="1904"/>
        </ext>
      </extLst>
    </bk>
    <bk>
      <extLst>
        <ext uri="{3e2802c4-a4d2-4d8b-9148-e3be6c30e623}">
          <xlrd:rvb i="1905"/>
        </ext>
      </extLst>
    </bk>
    <bk>
      <extLst>
        <ext uri="{3e2802c4-a4d2-4d8b-9148-e3be6c30e623}">
          <xlrd:rvb i="1906"/>
        </ext>
      </extLst>
    </bk>
    <bk>
      <extLst>
        <ext uri="{3e2802c4-a4d2-4d8b-9148-e3be6c30e623}">
          <xlrd:rvb i="1907"/>
        </ext>
      </extLst>
    </bk>
    <bk>
      <extLst>
        <ext uri="{3e2802c4-a4d2-4d8b-9148-e3be6c30e623}">
          <xlrd:rvb i="1908"/>
        </ext>
      </extLst>
    </bk>
    <bk>
      <extLst>
        <ext uri="{3e2802c4-a4d2-4d8b-9148-e3be6c30e623}">
          <xlrd:rvb i="1909"/>
        </ext>
      </extLst>
    </bk>
    <bk>
      <extLst>
        <ext uri="{3e2802c4-a4d2-4d8b-9148-e3be6c30e623}">
          <xlrd:rvb i="1910"/>
        </ext>
      </extLst>
    </bk>
    <bk>
      <extLst>
        <ext uri="{3e2802c4-a4d2-4d8b-9148-e3be6c30e623}">
          <xlrd:rvb i="1911"/>
        </ext>
      </extLst>
    </bk>
    <bk>
      <extLst>
        <ext uri="{3e2802c4-a4d2-4d8b-9148-e3be6c30e623}">
          <xlrd:rvb i="1912"/>
        </ext>
      </extLst>
    </bk>
    <bk>
      <extLst>
        <ext uri="{3e2802c4-a4d2-4d8b-9148-e3be6c30e623}">
          <xlrd:rvb i="1913"/>
        </ext>
      </extLst>
    </bk>
    <bk>
      <extLst>
        <ext uri="{3e2802c4-a4d2-4d8b-9148-e3be6c30e623}">
          <xlrd:rvb i="1914"/>
        </ext>
      </extLst>
    </bk>
    <bk>
      <extLst>
        <ext uri="{3e2802c4-a4d2-4d8b-9148-e3be6c30e623}">
          <xlrd:rvb i="1915"/>
        </ext>
      </extLst>
    </bk>
    <bk>
      <extLst>
        <ext uri="{3e2802c4-a4d2-4d8b-9148-e3be6c30e623}">
          <xlrd:rvb i="1916"/>
        </ext>
      </extLst>
    </bk>
    <bk>
      <extLst>
        <ext uri="{3e2802c4-a4d2-4d8b-9148-e3be6c30e623}">
          <xlrd:rvb i="1917"/>
        </ext>
      </extLst>
    </bk>
    <bk>
      <extLst>
        <ext uri="{3e2802c4-a4d2-4d8b-9148-e3be6c30e623}">
          <xlrd:rvb i="1918"/>
        </ext>
      </extLst>
    </bk>
    <bk>
      <extLst>
        <ext uri="{3e2802c4-a4d2-4d8b-9148-e3be6c30e623}">
          <xlrd:rvb i="1919"/>
        </ext>
      </extLst>
    </bk>
    <bk>
      <extLst>
        <ext uri="{3e2802c4-a4d2-4d8b-9148-e3be6c30e623}">
          <xlrd:rvb i="1920"/>
        </ext>
      </extLst>
    </bk>
    <bk>
      <extLst>
        <ext uri="{3e2802c4-a4d2-4d8b-9148-e3be6c30e623}">
          <xlrd:rvb i="1921"/>
        </ext>
      </extLst>
    </bk>
    <bk>
      <extLst>
        <ext uri="{3e2802c4-a4d2-4d8b-9148-e3be6c30e623}">
          <xlrd:rvb i="1922"/>
        </ext>
      </extLst>
    </bk>
    <bk>
      <extLst>
        <ext uri="{3e2802c4-a4d2-4d8b-9148-e3be6c30e623}">
          <xlrd:rvb i="1923"/>
        </ext>
      </extLst>
    </bk>
    <bk>
      <extLst>
        <ext uri="{3e2802c4-a4d2-4d8b-9148-e3be6c30e623}">
          <xlrd:rvb i="1924"/>
        </ext>
      </extLst>
    </bk>
    <bk>
      <extLst>
        <ext uri="{3e2802c4-a4d2-4d8b-9148-e3be6c30e623}">
          <xlrd:rvb i="1925"/>
        </ext>
      </extLst>
    </bk>
    <bk>
      <extLst>
        <ext uri="{3e2802c4-a4d2-4d8b-9148-e3be6c30e623}">
          <xlrd:rvb i="1926"/>
        </ext>
      </extLst>
    </bk>
    <bk>
      <extLst>
        <ext uri="{3e2802c4-a4d2-4d8b-9148-e3be6c30e623}">
          <xlrd:rvb i="1927"/>
        </ext>
      </extLst>
    </bk>
    <bk>
      <extLst>
        <ext uri="{3e2802c4-a4d2-4d8b-9148-e3be6c30e623}">
          <xlrd:rvb i="1928"/>
        </ext>
      </extLst>
    </bk>
    <bk>
      <extLst>
        <ext uri="{3e2802c4-a4d2-4d8b-9148-e3be6c30e623}">
          <xlrd:rvb i="1929"/>
        </ext>
      </extLst>
    </bk>
    <bk>
      <extLst>
        <ext uri="{3e2802c4-a4d2-4d8b-9148-e3be6c30e623}">
          <xlrd:rvb i="1930"/>
        </ext>
      </extLst>
    </bk>
    <bk>
      <extLst>
        <ext uri="{3e2802c4-a4d2-4d8b-9148-e3be6c30e623}">
          <xlrd:rvb i="1931"/>
        </ext>
      </extLst>
    </bk>
    <bk>
      <extLst>
        <ext uri="{3e2802c4-a4d2-4d8b-9148-e3be6c30e623}">
          <xlrd:rvb i="1932"/>
        </ext>
      </extLst>
    </bk>
    <bk>
      <extLst>
        <ext uri="{3e2802c4-a4d2-4d8b-9148-e3be6c30e623}">
          <xlrd:rvb i="1933"/>
        </ext>
      </extLst>
    </bk>
    <bk>
      <extLst>
        <ext uri="{3e2802c4-a4d2-4d8b-9148-e3be6c30e623}">
          <xlrd:rvb i="1934"/>
        </ext>
      </extLst>
    </bk>
    <bk>
      <extLst>
        <ext uri="{3e2802c4-a4d2-4d8b-9148-e3be6c30e623}">
          <xlrd:rvb i="1935"/>
        </ext>
      </extLst>
    </bk>
    <bk>
      <extLst>
        <ext uri="{3e2802c4-a4d2-4d8b-9148-e3be6c30e623}">
          <xlrd:rvb i="1936"/>
        </ext>
      </extLst>
    </bk>
    <bk>
      <extLst>
        <ext uri="{3e2802c4-a4d2-4d8b-9148-e3be6c30e623}">
          <xlrd:rvb i="1937"/>
        </ext>
      </extLst>
    </bk>
    <bk>
      <extLst>
        <ext uri="{3e2802c4-a4d2-4d8b-9148-e3be6c30e623}">
          <xlrd:rvb i="1938"/>
        </ext>
      </extLst>
    </bk>
    <bk>
      <extLst>
        <ext uri="{3e2802c4-a4d2-4d8b-9148-e3be6c30e623}">
          <xlrd:rvb i="1939"/>
        </ext>
      </extLst>
    </bk>
    <bk>
      <extLst>
        <ext uri="{3e2802c4-a4d2-4d8b-9148-e3be6c30e623}">
          <xlrd:rvb i="1940"/>
        </ext>
      </extLst>
    </bk>
    <bk>
      <extLst>
        <ext uri="{3e2802c4-a4d2-4d8b-9148-e3be6c30e623}">
          <xlrd:rvb i="1941"/>
        </ext>
      </extLst>
    </bk>
    <bk>
      <extLst>
        <ext uri="{3e2802c4-a4d2-4d8b-9148-e3be6c30e623}">
          <xlrd:rvb i="1942"/>
        </ext>
      </extLst>
    </bk>
    <bk>
      <extLst>
        <ext uri="{3e2802c4-a4d2-4d8b-9148-e3be6c30e623}">
          <xlrd:rvb i="1943"/>
        </ext>
      </extLst>
    </bk>
    <bk>
      <extLst>
        <ext uri="{3e2802c4-a4d2-4d8b-9148-e3be6c30e623}">
          <xlrd:rvb i="1944"/>
        </ext>
      </extLst>
    </bk>
    <bk>
      <extLst>
        <ext uri="{3e2802c4-a4d2-4d8b-9148-e3be6c30e623}">
          <xlrd:rvb i="1945"/>
        </ext>
      </extLst>
    </bk>
    <bk>
      <extLst>
        <ext uri="{3e2802c4-a4d2-4d8b-9148-e3be6c30e623}">
          <xlrd:rvb i="1946"/>
        </ext>
      </extLst>
    </bk>
    <bk>
      <extLst>
        <ext uri="{3e2802c4-a4d2-4d8b-9148-e3be6c30e623}">
          <xlrd:rvb i="1947"/>
        </ext>
      </extLst>
    </bk>
    <bk>
      <extLst>
        <ext uri="{3e2802c4-a4d2-4d8b-9148-e3be6c30e623}">
          <xlrd:rvb i="1948"/>
        </ext>
      </extLst>
    </bk>
    <bk>
      <extLst>
        <ext uri="{3e2802c4-a4d2-4d8b-9148-e3be6c30e623}">
          <xlrd:rvb i="1949"/>
        </ext>
      </extLst>
    </bk>
    <bk>
      <extLst>
        <ext uri="{3e2802c4-a4d2-4d8b-9148-e3be6c30e623}">
          <xlrd:rvb i="1950"/>
        </ext>
      </extLst>
    </bk>
    <bk>
      <extLst>
        <ext uri="{3e2802c4-a4d2-4d8b-9148-e3be6c30e623}">
          <xlrd:rvb i="1951"/>
        </ext>
      </extLst>
    </bk>
    <bk>
      <extLst>
        <ext uri="{3e2802c4-a4d2-4d8b-9148-e3be6c30e623}">
          <xlrd:rvb i="1952"/>
        </ext>
      </extLst>
    </bk>
    <bk>
      <extLst>
        <ext uri="{3e2802c4-a4d2-4d8b-9148-e3be6c30e623}">
          <xlrd:rvb i="1953"/>
        </ext>
      </extLst>
    </bk>
    <bk>
      <extLst>
        <ext uri="{3e2802c4-a4d2-4d8b-9148-e3be6c30e623}">
          <xlrd:rvb i="1954"/>
        </ext>
      </extLst>
    </bk>
    <bk>
      <extLst>
        <ext uri="{3e2802c4-a4d2-4d8b-9148-e3be6c30e623}">
          <xlrd:rvb i="1955"/>
        </ext>
      </extLst>
    </bk>
    <bk>
      <extLst>
        <ext uri="{3e2802c4-a4d2-4d8b-9148-e3be6c30e623}">
          <xlrd:rvb i="1956"/>
        </ext>
      </extLst>
    </bk>
    <bk>
      <extLst>
        <ext uri="{3e2802c4-a4d2-4d8b-9148-e3be6c30e623}">
          <xlrd:rvb i="1957"/>
        </ext>
      </extLst>
    </bk>
    <bk>
      <extLst>
        <ext uri="{3e2802c4-a4d2-4d8b-9148-e3be6c30e623}">
          <xlrd:rvb i="1958"/>
        </ext>
      </extLst>
    </bk>
    <bk>
      <extLst>
        <ext uri="{3e2802c4-a4d2-4d8b-9148-e3be6c30e623}">
          <xlrd:rvb i="1959"/>
        </ext>
      </extLst>
    </bk>
    <bk>
      <extLst>
        <ext uri="{3e2802c4-a4d2-4d8b-9148-e3be6c30e623}">
          <xlrd:rvb i="1960"/>
        </ext>
      </extLst>
    </bk>
    <bk>
      <extLst>
        <ext uri="{3e2802c4-a4d2-4d8b-9148-e3be6c30e623}">
          <xlrd:rvb i="1961"/>
        </ext>
      </extLst>
    </bk>
    <bk>
      <extLst>
        <ext uri="{3e2802c4-a4d2-4d8b-9148-e3be6c30e623}">
          <xlrd:rvb i="1962"/>
        </ext>
      </extLst>
    </bk>
    <bk>
      <extLst>
        <ext uri="{3e2802c4-a4d2-4d8b-9148-e3be6c30e623}">
          <xlrd:rvb i="1963"/>
        </ext>
      </extLst>
    </bk>
    <bk>
      <extLst>
        <ext uri="{3e2802c4-a4d2-4d8b-9148-e3be6c30e623}">
          <xlrd:rvb i="1964"/>
        </ext>
      </extLst>
    </bk>
    <bk>
      <extLst>
        <ext uri="{3e2802c4-a4d2-4d8b-9148-e3be6c30e623}">
          <xlrd:rvb i="1965"/>
        </ext>
      </extLst>
    </bk>
    <bk>
      <extLst>
        <ext uri="{3e2802c4-a4d2-4d8b-9148-e3be6c30e623}">
          <xlrd:rvb i="1966"/>
        </ext>
      </extLst>
    </bk>
    <bk>
      <extLst>
        <ext uri="{3e2802c4-a4d2-4d8b-9148-e3be6c30e623}">
          <xlrd:rvb i="1967"/>
        </ext>
      </extLst>
    </bk>
    <bk>
      <extLst>
        <ext uri="{3e2802c4-a4d2-4d8b-9148-e3be6c30e623}">
          <xlrd:rvb i="1968"/>
        </ext>
      </extLst>
    </bk>
    <bk>
      <extLst>
        <ext uri="{3e2802c4-a4d2-4d8b-9148-e3be6c30e623}">
          <xlrd:rvb i="1969"/>
        </ext>
      </extLst>
    </bk>
    <bk>
      <extLst>
        <ext uri="{3e2802c4-a4d2-4d8b-9148-e3be6c30e623}">
          <xlrd:rvb i="1970"/>
        </ext>
      </extLst>
    </bk>
    <bk>
      <extLst>
        <ext uri="{3e2802c4-a4d2-4d8b-9148-e3be6c30e623}">
          <xlrd:rvb i="1971"/>
        </ext>
      </extLst>
    </bk>
    <bk>
      <extLst>
        <ext uri="{3e2802c4-a4d2-4d8b-9148-e3be6c30e623}">
          <xlrd:rvb i="1972"/>
        </ext>
      </extLst>
    </bk>
    <bk>
      <extLst>
        <ext uri="{3e2802c4-a4d2-4d8b-9148-e3be6c30e623}">
          <xlrd:rvb i="1973"/>
        </ext>
      </extLst>
    </bk>
    <bk>
      <extLst>
        <ext uri="{3e2802c4-a4d2-4d8b-9148-e3be6c30e623}">
          <xlrd:rvb i="1974"/>
        </ext>
      </extLst>
    </bk>
    <bk>
      <extLst>
        <ext uri="{3e2802c4-a4d2-4d8b-9148-e3be6c30e623}">
          <xlrd:rvb i="1975"/>
        </ext>
      </extLst>
    </bk>
    <bk>
      <extLst>
        <ext uri="{3e2802c4-a4d2-4d8b-9148-e3be6c30e623}">
          <xlrd:rvb i="1976"/>
        </ext>
      </extLst>
    </bk>
    <bk>
      <extLst>
        <ext uri="{3e2802c4-a4d2-4d8b-9148-e3be6c30e623}">
          <xlrd:rvb i="1977"/>
        </ext>
      </extLst>
    </bk>
    <bk>
      <extLst>
        <ext uri="{3e2802c4-a4d2-4d8b-9148-e3be6c30e623}">
          <xlrd:rvb i="1978"/>
        </ext>
      </extLst>
    </bk>
    <bk>
      <extLst>
        <ext uri="{3e2802c4-a4d2-4d8b-9148-e3be6c30e623}">
          <xlrd:rvb i="1979"/>
        </ext>
      </extLst>
    </bk>
    <bk>
      <extLst>
        <ext uri="{3e2802c4-a4d2-4d8b-9148-e3be6c30e623}">
          <xlrd:rvb i="1980"/>
        </ext>
      </extLst>
    </bk>
    <bk>
      <extLst>
        <ext uri="{3e2802c4-a4d2-4d8b-9148-e3be6c30e623}">
          <xlrd:rvb i="1981"/>
        </ext>
      </extLst>
    </bk>
    <bk>
      <extLst>
        <ext uri="{3e2802c4-a4d2-4d8b-9148-e3be6c30e623}">
          <xlrd:rvb i="1982"/>
        </ext>
      </extLst>
    </bk>
    <bk>
      <extLst>
        <ext uri="{3e2802c4-a4d2-4d8b-9148-e3be6c30e623}">
          <xlrd:rvb i="1983"/>
        </ext>
      </extLst>
    </bk>
    <bk>
      <extLst>
        <ext uri="{3e2802c4-a4d2-4d8b-9148-e3be6c30e623}">
          <xlrd:rvb i="1984"/>
        </ext>
      </extLst>
    </bk>
    <bk>
      <extLst>
        <ext uri="{3e2802c4-a4d2-4d8b-9148-e3be6c30e623}">
          <xlrd:rvb i="1985"/>
        </ext>
      </extLst>
    </bk>
    <bk>
      <extLst>
        <ext uri="{3e2802c4-a4d2-4d8b-9148-e3be6c30e623}">
          <xlrd:rvb i="1986"/>
        </ext>
      </extLst>
    </bk>
    <bk>
      <extLst>
        <ext uri="{3e2802c4-a4d2-4d8b-9148-e3be6c30e623}">
          <xlrd:rvb i="1987"/>
        </ext>
      </extLst>
    </bk>
    <bk>
      <extLst>
        <ext uri="{3e2802c4-a4d2-4d8b-9148-e3be6c30e623}">
          <xlrd:rvb i="1988"/>
        </ext>
      </extLst>
    </bk>
    <bk>
      <extLst>
        <ext uri="{3e2802c4-a4d2-4d8b-9148-e3be6c30e623}">
          <xlrd:rvb i="1989"/>
        </ext>
      </extLst>
    </bk>
    <bk>
      <extLst>
        <ext uri="{3e2802c4-a4d2-4d8b-9148-e3be6c30e623}">
          <xlrd:rvb i="1990"/>
        </ext>
      </extLst>
    </bk>
    <bk>
      <extLst>
        <ext uri="{3e2802c4-a4d2-4d8b-9148-e3be6c30e623}">
          <xlrd:rvb i="1991"/>
        </ext>
      </extLst>
    </bk>
    <bk>
      <extLst>
        <ext uri="{3e2802c4-a4d2-4d8b-9148-e3be6c30e623}">
          <xlrd:rvb i="1992"/>
        </ext>
      </extLst>
    </bk>
    <bk>
      <extLst>
        <ext uri="{3e2802c4-a4d2-4d8b-9148-e3be6c30e623}">
          <xlrd:rvb i="1993"/>
        </ext>
      </extLst>
    </bk>
    <bk>
      <extLst>
        <ext uri="{3e2802c4-a4d2-4d8b-9148-e3be6c30e623}">
          <xlrd:rvb i="1994"/>
        </ext>
      </extLst>
    </bk>
    <bk>
      <extLst>
        <ext uri="{3e2802c4-a4d2-4d8b-9148-e3be6c30e623}">
          <xlrd:rvb i="1995"/>
        </ext>
      </extLst>
    </bk>
    <bk>
      <extLst>
        <ext uri="{3e2802c4-a4d2-4d8b-9148-e3be6c30e623}">
          <xlrd:rvb i="1996"/>
        </ext>
      </extLst>
    </bk>
    <bk>
      <extLst>
        <ext uri="{3e2802c4-a4d2-4d8b-9148-e3be6c30e623}">
          <xlrd:rvb i="1997"/>
        </ext>
      </extLst>
    </bk>
    <bk>
      <extLst>
        <ext uri="{3e2802c4-a4d2-4d8b-9148-e3be6c30e623}">
          <xlrd:rvb i="1998"/>
        </ext>
      </extLst>
    </bk>
    <bk>
      <extLst>
        <ext uri="{3e2802c4-a4d2-4d8b-9148-e3be6c30e623}">
          <xlrd:rvb i="1999"/>
        </ext>
      </extLst>
    </bk>
    <bk>
      <extLst>
        <ext uri="{3e2802c4-a4d2-4d8b-9148-e3be6c30e623}">
          <xlrd:rvb i="2000"/>
        </ext>
      </extLst>
    </bk>
    <bk>
      <extLst>
        <ext uri="{3e2802c4-a4d2-4d8b-9148-e3be6c30e623}">
          <xlrd:rvb i="2001"/>
        </ext>
      </extLst>
    </bk>
    <bk>
      <extLst>
        <ext uri="{3e2802c4-a4d2-4d8b-9148-e3be6c30e623}">
          <xlrd:rvb i="2002"/>
        </ext>
      </extLst>
    </bk>
    <bk>
      <extLst>
        <ext uri="{3e2802c4-a4d2-4d8b-9148-e3be6c30e623}">
          <xlrd:rvb i="2003"/>
        </ext>
      </extLst>
    </bk>
    <bk>
      <extLst>
        <ext uri="{3e2802c4-a4d2-4d8b-9148-e3be6c30e623}">
          <xlrd:rvb i="2004"/>
        </ext>
      </extLst>
    </bk>
    <bk>
      <extLst>
        <ext uri="{3e2802c4-a4d2-4d8b-9148-e3be6c30e623}">
          <xlrd:rvb i="2005"/>
        </ext>
      </extLst>
    </bk>
    <bk>
      <extLst>
        <ext uri="{3e2802c4-a4d2-4d8b-9148-e3be6c30e623}">
          <xlrd:rvb i="2006"/>
        </ext>
      </extLst>
    </bk>
    <bk>
      <extLst>
        <ext uri="{3e2802c4-a4d2-4d8b-9148-e3be6c30e623}">
          <xlrd:rvb i="2007"/>
        </ext>
      </extLst>
    </bk>
    <bk>
      <extLst>
        <ext uri="{3e2802c4-a4d2-4d8b-9148-e3be6c30e623}">
          <xlrd:rvb i="2008"/>
        </ext>
      </extLst>
    </bk>
    <bk>
      <extLst>
        <ext uri="{3e2802c4-a4d2-4d8b-9148-e3be6c30e623}">
          <xlrd:rvb i="2009"/>
        </ext>
      </extLst>
    </bk>
    <bk>
      <extLst>
        <ext uri="{3e2802c4-a4d2-4d8b-9148-e3be6c30e623}">
          <xlrd:rvb i="2010"/>
        </ext>
      </extLst>
    </bk>
    <bk>
      <extLst>
        <ext uri="{3e2802c4-a4d2-4d8b-9148-e3be6c30e623}">
          <xlrd:rvb i="2011"/>
        </ext>
      </extLst>
    </bk>
    <bk>
      <extLst>
        <ext uri="{3e2802c4-a4d2-4d8b-9148-e3be6c30e623}">
          <xlrd:rvb i="2012"/>
        </ext>
      </extLst>
    </bk>
    <bk>
      <extLst>
        <ext uri="{3e2802c4-a4d2-4d8b-9148-e3be6c30e623}">
          <xlrd:rvb i="2013"/>
        </ext>
      </extLst>
    </bk>
    <bk>
      <extLst>
        <ext uri="{3e2802c4-a4d2-4d8b-9148-e3be6c30e623}">
          <xlrd:rvb i="2014"/>
        </ext>
      </extLst>
    </bk>
    <bk>
      <extLst>
        <ext uri="{3e2802c4-a4d2-4d8b-9148-e3be6c30e623}">
          <xlrd:rvb i="2015"/>
        </ext>
      </extLst>
    </bk>
    <bk>
      <extLst>
        <ext uri="{3e2802c4-a4d2-4d8b-9148-e3be6c30e623}">
          <xlrd:rvb i="2016"/>
        </ext>
      </extLst>
    </bk>
    <bk>
      <extLst>
        <ext uri="{3e2802c4-a4d2-4d8b-9148-e3be6c30e623}">
          <xlrd:rvb i="2017"/>
        </ext>
      </extLst>
    </bk>
    <bk>
      <extLst>
        <ext uri="{3e2802c4-a4d2-4d8b-9148-e3be6c30e623}">
          <xlrd:rvb i="2018"/>
        </ext>
      </extLst>
    </bk>
    <bk>
      <extLst>
        <ext uri="{3e2802c4-a4d2-4d8b-9148-e3be6c30e623}">
          <xlrd:rvb i="2019"/>
        </ext>
      </extLst>
    </bk>
    <bk>
      <extLst>
        <ext uri="{3e2802c4-a4d2-4d8b-9148-e3be6c30e623}">
          <xlrd:rvb i="2020"/>
        </ext>
      </extLst>
    </bk>
    <bk>
      <extLst>
        <ext uri="{3e2802c4-a4d2-4d8b-9148-e3be6c30e623}">
          <xlrd:rvb i="2021"/>
        </ext>
      </extLst>
    </bk>
    <bk>
      <extLst>
        <ext uri="{3e2802c4-a4d2-4d8b-9148-e3be6c30e623}">
          <xlrd:rvb i="2022"/>
        </ext>
      </extLst>
    </bk>
    <bk>
      <extLst>
        <ext uri="{3e2802c4-a4d2-4d8b-9148-e3be6c30e623}">
          <xlrd:rvb i="2023"/>
        </ext>
      </extLst>
    </bk>
    <bk>
      <extLst>
        <ext uri="{3e2802c4-a4d2-4d8b-9148-e3be6c30e623}">
          <xlrd:rvb i="2024"/>
        </ext>
      </extLst>
    </bk>
    <bk>
      <extLst>
        <ext uri="{3e2802c4-a4d2-4d8b-9148-e3be6c30e623}">
          <xlrd:rvb i="2025"/>
        </ext>
      </extLst>
    </bk>
    <bk>
      <extLst>
        <ext uri="{3e2802c4-a4d2-4d8b-9148-e3be6c30e623}">
          <xlrd:rvb i="2026"/>
        </ext>
      </extLst>
    </bk>
    <bk>
      <extLst>
        <ext uri="{3e2802c4-a4d2-4d8b-9148-e3be6c30e623}">
          <xlrd:rvb i="2027"/>
        </ext>
      </extLst>
    </bk>
    <bk>
      <extLst>
        <ext uri="{3e2802c4-a4d2-4d8b-9148-e3be6c30e623}">
          <xlrd:rvb i="2028"/>
        </ext>
      </extLst>
    </bk>
    <bk>
      <extLst>
        <ext uri="{3e2802c4-a4d2-4d8b-9148-e3be6c30e623}">
          <xlrd:rvb i="2029"/>
        </ext>
      </extLst>
    </bk>
    <bk>
      <extLst>
        <ext uri="{3e2802c4-a4d2-4d8b-9148-e3be6c30e623}">
          <xlrd:rvb i="2030"/>
        </ext>
      </extLst>
    </bk>
    <bk>
      <extLst>
        <ext uri="{3e2802c4-a4d2-4d8b-9148-e3be6c30e623}">
          <xlrd:rvb i="2031"/>
        </ext>
      </extLst>
    </bk>
    <bk>
      <extLst>
        <ext uri="{3e2802c4-a4d2-4d8b-9148-e3be6c30e623}">
          <xlrd:rvb i="2032"/>
        </ext>
      </extLst>
    </bk>
    <bk>
      <extLst>
        <ext uri="{3e2802c4-a4d2-4d8b-9148-e3be6c30e623}">
          <xlrd:rvb i="2033"/>
        </ext>
      </extLst>
    </bk>
    <bk>
      <extLst>
        <ext uri="{3e2802c4-a4d2-4d8b-9148-e3be6c30e623}">
          <xlrd:rvb i="2034"/>
        </ext>
      </extLst>
    </bk>
    <bk>
      <extLst>
        <ext uri="{3e2802c4-a4d2-4d8b-9148-e3be6c30e623}">
          <xlrd:rvb i="2035"/>
        </ext>
      </extLst>
    </bk>
    <bk>
      <extLst>
        <ext uri="{3e2802c4-a4d2-4d8b-9148-e3be6c30e623}">
          <xlrd:rvb i="2036"/>
        </ext>
      </extLst>
    </bk>
    <bk>
      <extLst>
        <ext uri="{3e2802c4-a4d2-4d8b-9148-e3be6c30e623}">
          <xlrd:rvb i="2037"/>
        </ext>
      </extLst>
    </bk>
    <bk>
      <extLst>
        <ext uri="{3e2802c4-a4d2-4d8b-9148-e3be6c30e623}">
          <xlrd:rvb i="2038"/>
        </ext>
      </extLst>
    </bk>
    <bk>
      <extLst>
        <ext uri="{3e2802c4-a4d2-4d8b-9148-e3be6c30e623}">
          <xlrd:rvb i="2039"/>
        </ext>
      </extLst>
    </bk>
    <bk>
      <extLst>
        <ext uri="{3e2802c4-a4d2-4d8b-9148-e3be6c30e623}">
          <xlrd:rvb i="2040"/>
        </ext>
      </extLst>
    </bk>
    <bk>
      <extLst>
        <ext uri="{3e2802c4-a4d2-4d8b-9148-e3be6c30e623}">
          <xlrd:rvb i="2041"/>
        </ext>
      </extLst>
    </bk>
    <bk>
      <extLst>
        <ext uri="{3e2802c4-a4d2-4d8b-9148-e3be6c30e623}">
          <xlrd:rvb i="2042"/>
        </ext>
      </extLst>
    </bk>
    <bk>
      <extLst>
        <ext uri="{3e2802c4-a4d2-4d8b-9148-e3be6c30e623}">
          <xlrd:rvb i="2043"/>
        </ext>
      </extLst>
    </bk>
    <bk>
      <extLst>
        <ext uri="{3e2802c4-a4d2-4d8b-9148-e3be6c30e623}">
          <xlrd:rvb i="2044"/>
        </ext>
      </extLst>
    </bk>
    <bk>
      <extLst>
        <ext uri="{3e2802c4-a4d2-4d8b-9148-e3be6c30e623}">
          <xlrd:rvb i="2045"/>
        </ext>
      </extLst>
    </bk>
    <bk>
      <extLst>
        <ext uri="{3e2802c4-a4d2-4d8b-9148-e3be6c30e623}">
          <xlrd:rvb i="2046"/>
        </ext>
      </extLst>
    </bk>
    <bk>
      <extLst>
        <ext uri="{3e2802c4-a4d2-4d8b-9148-e3be6c30e623}">
          <xlrd:rvb i="2047"/>
        </ext>
      </extLst>
    </bk>
    <bk>
      <extLst>
        <ext uri="{3e2802c4-a4d2-4d8b-9148-e3be6c30e623}">
          <xlrd:rvb i="2048"/>
        </ext>
      </extLst>
    </bk>
    <bk>
      <extLst>
        <ext uri="{3e2802c4-a4d2-4d8b-9148-e3be6c30e623}">
          <xlrd:rvb i="2049"/>
        </ext>
      </extLst>
    </bk>
    <bk>
      <extLst>
        <ext uri="{3e2802c4-a4d2-4d8b-9148-e3be6c30e623}">
          <xlrd:rvb i="2050"/>
        </ext>
      </extLst>
    </bk>
    <bk>
      <extLst>
        <ext uri="{3e2802c4-a4d2-4d8b-9148-e3be6c30e623}">
          <xlrd:rvb i="2051"/>
        </ext>
      </extLst>
    </bk>
    <bk>
      <extLst>
        <ext uri="{3e2802c4-a4d2-4d8b-9148-e3be6c30e623}">
          <xlrd:rvb i="2052"/>
        </ext>
      </extLst>
    </bk>
    <bk>
      <extLst>
        <ext uri="{3e2802c4-a4d2-4d8b-9148-e3be6c30e623}">
          <xlrd:rvb i="2053"/>
        </ext>
      </extLst>
    </bk>
    <bk>
      <extLst>
        <ext uri="{3e2802c4-a4d2-4d8b-9148-e3be6c30e623}">
          <xlrd:rvb i="2054"/>
        </ext>
      </extLst>
    </bk>
    <bk>
      <extLst>
        <ext uri="{3e2802c4-a4d2-4d8b-9148-e3be6c30e623}">
          <xlrd:rvb i="2055"/>
        </ext>
      </extLst>
    </bk>
    <bk>
      <extLst>
        <ext uri="{3e2802c4-a4d2-4d8b-9148-e3be6c30e623}">
          <xlrd:rvb i="2056"/>
        </ext>
      </extLst>
    </bk>
    <bk>
      <extLst>
        <ext uri="{3e2802c4-a4d2-4d8b-9148-e3be6c30e623}">
          <xlrd:rvb i="2057"/>
        </ext>
      </extLst>
    </bk>
    <bk>
      <extLst>
        <ext uri="{3e2802c4-a4d2-4d8b-9148-e3be6c30e623}">
          <xlrd:rvb i="2058"/>
        </ext>
      </extLst>
    </bk>
    <bk>
      <extLst>
        <ext uri="{3e2802c4-a4d2-4d8b-9148-e3be6c30e623}">
          <xlrd:rvb i="2059"/>
        </ext>
      </extLst>
    </bk>
    <bk>
      <extLst>
        <ext uri="{3e2802c4-a4d2-4d8b-9148-e3be6c30e623}">
          <xlrd:rvb i="2060"/>
        </ext>
      </extLst>
    </bk>
    <bk>
      <extLst>
        <ext uri="{3e2802c4-a4d2-4d8b-9148-e3be6c30e623}">
          <xlrd:rvb i="2061"/>
        </ext>
      </extLst>
    </bk>
    <bk>
      <extLst>
        <ext uri="{3e2802c4-a4d2-4d8b-9148-e3be6c30e623}">
          <xlrd:rvb i="2062"/>
        </ext>
      </extLst>
    </bk>
    <bk>
      <extLst>
        <ext uri="{3e2802c4-a4d2-4d8b-9148-e3be6c30e623}">
          <xlrd:rvb i="2063"/>
        </ext>
      </extLst>
    </bk>
    <bk>
      <extLst>
        <ext uri="{3e2802c4-a4d2-4d8b-9148-e3be6c30e623}">
          <xlrd:rvb i="2064"/>
        </ext>
      </extLst>
    </bk>
    <bk>
      <extLst>
        <ext uri="{3e2802c4-a4d2-4d8b-9148-e3be6c30e623}">
          <xlrd:rvb i="2065"/>
        </ext>
      </extLst>
    </bk>
    <bk>
      <extLst>
        <ext uri="{3e2802c4-a4d2-4d8b-9148-e3be6c30e623}">
          <xlrd:rvb i="2066"/>
        </ext>
      </extLst>
    </bk>
    <bk>
      <extLst>
        <ext uri="{3e2802c4-a4d2-4d8b-9148-e3be6c30e623}">
          <xlrd:rvb i="2067"/>
        </ext>
      </extLst>
    </bk>
    <bk>
      <extLst>
        <ext uri="{3e2802c4-a4d2-4d8b-9148-e3be6c30e623}">
          <xlrd:rvb i="2068"/>
        </ext>
      </extLst>
    </bk>
    <bk>
      <extLst>
        <ext uri="{3e2802c4-a4d2-4d8b-9148-e3be6c30e623}">
          <xlrd:rvb i="2069"/>
        </ext>
      </extLst>
    </bk>
    <bk>
      <extLst>
        <ext uri="{3e2802c4-a4d2-4d8b-9148-e3be6c30e623}">
          <xlrd:rvb i="2070"/>
        </ext>
      </extLst>
    </bk>
    <bk>
      <extLst>
        <ext uri="{3e2802c4-a4d2-4d8b-9148-e3be6c30e623}">
          <xlrd:rvb i="2071"/>
        </ext>
      </extLst>
    </bk>
    <bk>
      <extLst>
        <ext uri="{3e2802c4-a4d2-4d8b-9148-e3be6c30e623}">
          <xlrd:rvb i="2072"/>
        </ext>
      </extLst>
    </bk>
    <bk>
      <extLst>
        <ext uri="{3e2802c4-a4d2-4d8b-9148-e3be6c30e623}">
          <xlrd:rvb i="2073"/>
        </ext>
      </extLst>
    </bk>
    <bk>
      <extLst>
        <ext uri="{3e2802c4-a4d2-4d8b-9148-e3be6c30e623}">
          <xlrd:rvb i="2074"/>
        </ext>
      </extLst>
    </bk>
    <bk>
      <extLst>
        <ext uri="{3e2802c4-a4d2-4d8b-9148-e3be6c30e623}">
          <xlrd:rvb i="2075"/>
        </ext>
      </extLst>
    </bk>
    <bk>
      <extLst>
        <ext uri="{3e2802c4-a4d2-4d8b-9148-e3be6c30e623}">
          <xlrd:rvb i="2076"/>
        </ext>
      </extLst>
    </bk>
    <bk>
      <extLst>
        <ext uri="{3e2802c4-a4d2-4d8b-9148-e3be6c30e623}">
          <xlrd:rvb i="2077"/>
        </ext>
      </extLst>
    </bk>
    <bk>
      <extLst>
        <ext uri="{3e2802c4-a4d2-4d8b-9148-e3be6c30e623}">
          <xlrd:rvb i="2078"/>
        </ext>
      </extLst>
    </bk>
    <bk>
      <extLst>
        <ext uri="{3e2802c4-a4d2-4d8b-9148-e3be6c30e623}">
          <xlrd:rvb i="2079"/>
        </ext>
      </extLst>
    </bk>
    <bk>
      <extLst>
        <ext uri="{3e2802c4-a4d2-4d8b-9148-e3be6c30e623}">
          <xlrd:rvb i="2080"/>
        </ext>
      </extLst>
    </bk>
    <bk>
      <extLst>
        <ext uri="{3e2802c4-a4d2-4d8b-9148-e3be6c30e623}">
          <xlrd:rvb i="2081"/>
        </ext>
      </extLst>
    </bk>
    <bk>
      <extLst>
        <ext uri="{3e2802c4-a4d2-4d8b-9148-e3be6c30e623}">
          <xlrd:rvb i="2082"/>
        </ext>
      </extLst>
    </bk>
    <bk>
      <extLst>
        <ext uri="{3e2802c4-a4d2-4d8b-9148-e3be6c30e623}">
          <xlrd:rvb i="2083"/>
        </ext>
      </extLst>
    </bk>
    <bk>
      <extLst>
        <ext uri="{3e2802c4-a4d2-4d8b-9148-e3be6c30e623}">
          <xlrd:rvb i="2084"/>
        </ext>
      </extLst>
    </bk>
    <bk>
      <extLst>
        <ext uri="{3e2802c4-a4d2-4d8b-9148-e3be6c30e623}">
          <xlrd:rvb i="2085"/>
        </ext>
      </extLst>
    </bk>
    <bk>
      <extLst>
        <ext uri="{3e2802c4-a4d2-4d8b-9148-e3be6c30e623}">
          <xlrd:rvb i="2086"/>
        </ext>
      </extLst>
    </bk>
    <bk>
      <extLst>
        <ext uri="{3e2802c4-a4d2-4d8b-9148-e3be6c30e623}">
          <xlrd:rvb i="2087"/>
        </ext>
      </extLst>
    </bk>
    <bk>
      <extLst>
        <ext uri="{3e2802c4-a4d2-4d8b-9148-e3be6c30e623}">
          <xlrd:rvb i="2088"/>
        </ext>
      </extLst>
    </bk>
    <bk>
      <extLst>
        <ext uri="{3e2802c4-a4d2-4d8b-9148-e3be6c30e623}">
          <xlrd:rvb i="2089"/>
        </ext>
      </extLst>
    </bk>
    <bk>
      <extLst>
        <ext uri="{3e2802c4-a4d2-4d8b-9148-e3be6c30e623}">
          <xlrd:rvb i="2090"/>
        </ext>
      </extLst>
    </bk>
    <bk>
      <extLst>
        <ext uri="{3e2802c4-a4d2-4d8b-9148-e3be6c30e623}">
          <xlrd:rvb i="2091"/>
        </ext>
      </extLst>
    </bk>
    <bk>
      <extLst>
        <ext uri="{3e2802c4-a4d2-4d8b-9148-e3be6c30e623}">
          <xlrd:rvb i="2092"/>
        </ext>
      </extLst>
    </bk>
    <bk>
      <extLst>
        <ext uri="{3e2802c4-a4d2-4d8b-9148-e3be6c30e623}">
          <xlrd:rvb i="2093"/>
        </ext>
      </extLst>
    </bk>
    <bk>
      <extLst>
        <ext uri="{3e2802c4-a4d2-4d8b-9148-e3be6c30e623}">
          <xlrd:rvb i="2094"/>
        </ext>
      </extLst>
    </bk>
    <bk>
      <extLst>
        <ext uri="{3e2802c4-a4d2-4d8b-9148-e3be6c30e623}">
          <xlrd:rvb i="2095"/>
        </ext>
      </extLst>
    </bk>
    <bk>
      <extLst>
        <ext uri="{3e2802c4-a4d2-4d8b-9148-e3be6c30e623}">
          <xlrd:rvb i="2096"/>
        </ext>
      </extLst>
    </bk>
    <bk>
      <extLst>
        <ext uri="{3e2802c4-a4d2-4d8b-9148-e3be6c30e623}">
          <xlrd:rvb i="2097"/>
        </ext>
      </extLst>
    </bk>
    <bk>
      <extLst>
        <ext uri="{3e2802c4-a4d2-4d8b-9148-e3be6c30e623}">
          <xlrd:rvb i="2098"/>
        </ext>
      </extLst>
    </bk>
    <bk>
      <extLst>
        <ext uri="{3e2802c4-a4d2-4d8b-9148-e3be6c30e623}">
          <xlrd:rvb i="2099"/>
        </ext>
      </extLst>
    </bk>
    <bk>
      <extLst>
        <ext uri="{3e2802c4-a4d2-4d8b-9148-e3be6c30e623}">
          <xlrd:rvb i="2100"/>
        </ext>
      </extLst>
    </bk>
    <bk>
      <extLst>
        <ext uri="{3e2802c4-a4d2-4d8b-9148-e3be6c30e623}">
          <xlrd:rvb i="2101"/>
        </ext>
      </extLst>
    </bk>
    <bk>
      <extLst>
        <ext uri="{3e2802c4-a4d2-4d8b-9148-e3be6c30e623}">
          <xlrd:rvb i="2102"/>
        </ext>
      </extLst>
    </bk>
    <bk>
      <extLst>
        <ext uri="{3e2802c4-a4d2-4d8b-9148-e3be6c30e623}">
          <xlrd:rvb i="2103"/>
        </ext>
      </extLst>
    </bk>
    <bk>
      <extLst>
        <ext uri="{3e2802c4-a4d2-4d8b-9148-e3be6c30e623}">
          <xlrd:rvb i="2104"/>
        </ext>
      </extLst>
    </bk>
    <bk>
      <extLst>
        <ext uri="{3e2802c4-a4d2-4d8b-9148-e3be6c30e623}">
          <xlrd:rvb i="2105"/>
        </ext>
      </extLst>
    </bk>
    <bk>
      <extLst>
        <ext uri="{3e2802c4-a4d2-4d8b-9148-e3be6c30e623}">
          <xlrd:rvb i="2106"/>
        </ext>
      </extLst>
    </bk>
    <bk>
      <extLst>
        <ext uri="{3e2802c4-a4d2-4d8b-9148-e3be6c30e623}">
          <xlrd:rvb i="2107"/>
        </ext>
      </extLst>
    </bk>
    <bk>
      <extLst>
        <ext uri="{3e2802c4-a4d2-4d8b-9148-e3be6c30e623}">
          <xlrd:rvb i="2108"/>
        </ext>
      </extLst>
    </bk>
    <bk>
      <extLst>
        <ext uri="{3e2802c4-a4d2-4d8b-9148-e3be6c30e623}">
          <xlrd:rvb i="2109"/>
        </ext>
      </extLst>
    </bk>
    <bk>
      <extLst>
        <ext uri="{3e2802c4-a4d2-4d8b-9148-e3be6c30e623}">
          <xlrd:rvb i="2110"/>
        </ext>
      </extLst>
    </bk>
    <bk>
      <extLst>
        <ext uri="{3e2802c4-a4d2-4d8b-9148-e3be6c30e623}">
          <xlrd:rvb i="2111"/>
        </ext>
      </extLst>
    </bk>
    <bk>
      <extLst>
        <ext uri="{3e2802c4-a4d2-4d8b-9148-e3be6c30e623}">
          <xlrd:rvb i="2112"/>
        </ext>
      </extLst>
    </bk>
    <bk>
      <extLst>
        <ext uri="{3e2802c4-a4d2-4d8b-9148-e3be6c30e623}">
          <xlrd:rvb i="2113"/>
        </ext>
      </extLst>
    </bk>
    <bk>
      <extLst>
        <ext uri="{3e2802c4-a4d2-4d8b-9148-e3be6c30e623}">
          <xlrd:rvb i="2114"/>
        </ext>
      </extLst>
    </bk>
    <bk>
      <extLst>
        <ext uri="{3e2802c4-a4d2-4d8b-9148-e3be6c30e623}">
          <xlrd:rvb i="2115"/>
        </ext>
      </extLst>
    </bk>
    <bk>
      <extLst>
        <ext uri="{3e2802c4-a4d2-4d8b-9148-e3be6c30e623}">
          <xlrd:rvb i="2116"/>
        </ext>
      </extLst>
    </bk>
    <bk>
      <extLst>
        <ext uri="{3e2802c4-a4d2-4d8b-9148-e3be6c30e623}">
          <xlrd:rvb i="2117"/>
        </ext>
      </extLst>
    </bk>
    <bk>
      <extLst>
        <ext uri="{3e2802c4-a4d2-4d8b-9148-e3be6c30e623}">
          <xlrd:rvb i="2118"/>
        </ext>
      </extLst>
    </bk>
    <bk>
      <extLst>
        <ext uri="{3e2802c4-a4d2-4d8b-9148-e3be6c30e623}">
          <xlrd:rvb i="2119"/>
        </ext>
      </extLst>
    </bk>
    <bk>
      <extLst>
        <ext uri="{3e2802c4-a4d2-4d8b-9148-e3be6c30e623}">
          <xlrd:rvb i="2120"/>
        </ext>
      </extLst>
    </bk>
    <bk>
      <extLst>
        <ext uri="{3e2802c4-a4d2-4d8b-9148-e3be6c30e623}">
          <xlrd:rvb i="2121"/>
        </ext>
      </extLst>
    </bk>
    <bk>
      <extLst>
        <ext uri="{3e2802c4-a4d2-4d8b-9148-e3be6c30e623}">
          <xlrd:rvb i="2122"/>
        </ext>
      </extLst>
    </bk>
    <bk>
      <extLst>
        <ext uri="{3e2802c4-a4d2-4d8b-9148-e3be6c30e623}">
          <xlrd:rvb i="2123"/>
        </ext>
      </extLst>
    </bk>
    <bk>
      <extLst>
        <ext uri="{3e2802c4-a4d2-4d8b-9148-e3be6c30e623}">
          <xlrd:rvb i="2124"/>
        </ext>
      </extLst>
    </bk>
    <bk>
      <extLst>
        <ext uri="{3e2802c4-a4d2-4d8b-9148-e3be6c30e623}">
          <xlrd:rvb i="2125"/>
        </ext>
      </extLst>
    </bk>
    <bk>
      <extLst>
        <ext uri="{3e2802c4-a4d2-4d8b-9148-e3be6c30e623}">
          <xlrd:rvb i="2126"/>
        </ext>
      </extLst>
    </bk>
    <bk>
      <extLst>
        <ext uri="{3e2802c4-a4d2-4d8b-9148-e3be6c30e623}">
          <xlrd:rvb i="2127"/>
        </ext>
      </extLst>
    </bk>
    <bk>
      <extLst>
        <ext uri="{3e2802c4-a4d2-4d8b-9148-e3be6c30e623}">
          <xlrd:rvb i="2128"/>
        </ext>
      </extLst>
    </bk>
    <bk>
      <extLst>
        <ext uri="{3e2802c4-a4d2-4d8b-9148-e3be6c30e623}">
          <xlrd:rvb i="2129"/>
        </ext>
      </extLst>
    </bk>
    <bk>
      <extLst>
        <ext uri="{3e2802c4-a4d2-4d8b-9148-e3be6c30e623}">
          <xlrd:rvb i="2130"/>
        </ext>
      </extLst>
    </bk>
    <bk>
      <extLst>
        <ext uri="{3e2802c4-a4d2-4d8b-9148-e3be6c30e623}">
          <xlrd:rvb i="2131"/>
        </ext>
      </extLst>
    </bk>
    <bk>
      <extLst>
        <ext uri="{3e2802c4-a4d2-4d8b-9148-e3be6c30e623}">
          <xlrd:rvb i="2132"/>
        </ext>
      </extLst>
    </bk>
    <bk>
      <extLst>
        <ext uri="{3e2802c4-a4d2-4d8b-9148-e3be6c30e623}">
          <xlrd:rvb i="2133"/>
        </ext>
      </extLst>
    </bk>
    <bk>
      <extLst>
        <ext uri="{3e2802c4-a4d2-4d8b-9148-e3be6c30e623}">
          <xlrd:rvb i="2134"/>
        </ext>
      </extLst>
    </bk>
    <bk>
      <extLst>
        <ext uri="{3e2802c4-a4d2-4d8b-9148-e3be6c30e623}">
          <xlrd:rvb i="2135"/>
        </ext>
      </extLst>
    </bk>
    <bk>
      <extLst>
        <ext uri="{3e2802c4-a4d2-4d8b-9148-e3be6c30e623}">
          <xlrd:rvb i="2136"/>
        </ext>
      </extLst>
    </bk>
    <bk>
      <extLst>
        <ext uri="{3e2802c4-a4d2-4d8b-9148-e3be6c30e623}">
          <xlrd:rvb i="2137"/>
        </ext>
      </extLst>
    </bk>
    <bk>
      <extLst>
        <ext uri="{3e2802c4-a4d2-4d8b-9148-e3be6c30e623}">
          <xlrd:rvb i="2138"/>
        </ext>
      </extLst>
    </bk>
    <bk>
      <extLst>
        <ext uri="{3e2802c4-a4d2-4d8b-9148-e3be6c30e623}">
          <xlrd:rvb i="2139"/>
        </ext>
      </extLst>
    </bk>
    <bk>
      <extLst>
        <ext uri="{3e2802c4-a4d2-4d8b-9148-e3be6c30e623}">
          <xlrd:rvb i="2140"/>
        </ext>
      </extLst>
    </bk>
    <bk>
      <extLst>
        <ext uri="{3e2802c4-a4d2-4d8b-9148-e3be6c30e623}">
          <xlrd:rvb i="2141"/>
        </ext>
      </extLst>
    </bk>
    <bk>
      <extLst>
        <ext uri="{3e2802c4-a4d2-4d8b-9148-e3be6c30e623}">
          <xlrd:rvb i="2142"/>
        </ext>
      </extLst>
    </bk>
    <bk>
      <extLst>
        <ext uri="{3e2802c4-a4d2-4d8b-9148-e3be6c30e623}">
          <xlrd:rvb i="2143"/>
        </ext>
      </extLst>
    </bk>
    <bk>
      <extLst>
        <ext uri="{3e2802c4-a4d2-4d8b-9148-e3be6c30e623}">
          <xlrd:rvb i="2144"/>
        </ext>
      </extLst>
    </bk>
    <bk>
      <extLst>
        <ext uri="{3e2802c4-a4d2-4d8b-9148-e3be6c30e623}">
          <xlrd:rvb i="2145"/>
        </ext>
      </extLst>
    </bk>
    <bk>
      <extLst>
        <ext uri="{3e2802c4-a4d2-4d8b-9148-e3be6c30e623}">
          <xlrd:rvb i="2146"/>
        </ext>
      </extLst>
    </bk>
    <bk>
      <extLst>
        <ext uri="{3e2802c4-a4d2-4d8b-9148-e3be6c30e623}">
          <xlrd:rvb i="2147"/>
        </ext>
      </extLst>
    </bk>
    <bk>
      <extLst>
        <ext uri="{3e2802c4-a4d2-4d8b-9148-e3be6c30e623}">
          <xlrd:rvb i="2148"/>
        </ext>
      </extLst>
    </bk>
    <bk>
      <extLst>
        <ext uri="{3e2802c4-a4d2-4d8b-9148-e3be6c30e623}">
          <xlrd:rvb i="2149"/>
        </ext>
      </extLst>
    </bk>
    <bk>
      <extLst>
        <ext uri="{3e2802c4-a4d2-4d8b-9148-e3be6c30e623}">
          <xlrd:rvb i="2150"/>
        </ext>
      </extLst>
    </bk>
    <bk>
      <extLst>
        <ext uri="{3e2802c4-a4d2-4d8b-9148-e3be6c30e623}">
          <xlrd:rvb i="2151"/>
        </ext>
      </extLst>
    </bk>
    <bk>
      <extLst>
        <ext uri="{3e2802c4-a4d2-4d8b-9148-e3be6c30e623}">
          <xlrd:rvb i="2152"/>
        </ext>
      </extLst>
    </bk>
    <bk>
      <extLst>
        <ext uri="{3e2802c4-a4d2-4d8b-9148-e3be6c30e623}">
          <xlrd:rvb i="2153"/>
        </ext>
      </extLst>
    </bk>
    <bk>
      <extLst>
        <ext uri="{3e2802c4-a4d2-4d8b-9148-e3be6c30e623}">
          <xlrd:rvb i="2154"/>
        </ext>
      </extLst>
    </bk>
    <bk>
      <extLst>
        <ext uri="{3e2802c4-a4d2-4d8b-9148-e3be6c30e623}">
          <xlrd:rvb i="2155"/>
        </ext>
      </extLst>
    </bk>
    <bk>
      <extLst>
        <ext uri="{3e2802c4-a4d2-4d8b-9148-e3be6c30e623}">
          <xlrd:rvb i="2156"/>
        </ext>
      </extLst>
    </bk>
    <bk>
      <extLst>
        <ext uri="{3e2802c4-a4d2-4d8b-9148-e3be6c30e623}">
          <xlrd:rvb i="2157"/>
        </ext>
      </extLst>
    </bk>
    <bk>
      <extLst>
        <ext uri="{3e2802c4-a4d2-4d8b-9148-e3be6c30e623}">
          <xlrd:rvb i="2158"/>
        </ext>
      </extLst>
    </bk>
    <bk>
      <extLst>
        <ext uri="{3e2802c4-a4d2-4d8b-9148-e3be6c30e623}">
          <xlrd:rvb i="2159"/>
        </ext>
      </extLst>
    </bk>
    <bk>
      <extLst>
        <ext uri="{3e2802c4-a4d2-4d8b-9148-e3be6c30e623}">
          <xlrd:rvb i="2160"/>
        </ext>
      </extLst>
    </bk>
    <bk>
      <extLst>
        <ext uri="{3e2802c4-a4d2-4d8b-9148-e3be6c30e623}">
          <xlrd:rvb i="2161"/>
        </ext>
      </extLst>
    </bk>
    <bk>
      <extLst>
        <ext uri="{3e2802c4-a4d2-4d8b-9148-e3be6c30e623}">
          <xlrd:rvb i="2162"/>
        </ext>
      </extLst>
    </bk>
    <bk>
      <extLst>
        <ext uri="{3e2802c4-a4d2-4d8b-9148-e3be6c30e623}">
          <xlrd:rvb i="2163"/>
        </ext>
      </extLst>
    </bk>
    <bk>
      <extLst>
        <ext uri="{3e2802c4-a4d2-4d8b-9148-e3be6c30e623}">
          <xlrd:rvb i="2164"/>
        </ext>
      </extLst>
    </bk>
    <bk>
      <extLst>
        <ext uri="{3e2802c4-a4d2-4d8b-9148-e3be6c30e623}">
          <xlrd:rvb i="2165"/>
        </ext>
      </extLst>
    </bk>
    <bk>
      <extLst>
        <ext uri="{3e2802c4-a4d2-4d8b-9148-e3be6c30e623}">
          <xlrd:rvb i="2166"/>
        </ext>
      </extLst>
    </bk>
    <bk>
      <extLst>
        <ext uri="{3e2802c4-a4d2-4d8b-9148-e3be6c30e623}">
          <xlrd:rvb i="2167"/>
        </ext>
      </extLst>
    </bk>
    <bk>
      <extLst>
        <ext uri="{3e2802c4-a4d2-4d8b-9148-e3be6c30e623}">
          <xlrd:rvb i="2168"/>
        </ext>
      </extLst>
    </bk>
    <bk>
      <extLst>
        <ext uri="{3e2802c4-a4d2-4d8b-9148-e3be6c30e623}">
          <xlrd:rvb i="2169"/>
        </ext>
      </extLst>
    </bk>
    <bk>
      <extLst>
        <ext uri="{3e2802c4-a4d2-4d8b-9148-e3be6c30e623}">
          <xlrd:rvb i="2170"/>
        </ext>
      </extLst>
    </bk>
    <bk>
      <extLst>
        <ext uri="{3e2802c4-a4d2-4d8b-9148-e3be6c30e623}">
          <xlrd:rvb i="2171"/>
        </ext>
      </extLst>
    </bk>
    <bk>
      <extLst>
        <ext uri="{3e2802c4-a4d2-4d8b-9148-e3be6c30e623}">
          <xlrd:rvb i="2172"/>
        </ext>
      </extLst>
    </bk>
    <bk>
      <extLst>
        <ext uri="{3e2802c4-a4d2-4d8b-9148-e3be6c30e623}">
          <xlrd:rvb i="2173"/>
        </ext>
      </extLst>
    </bk>
    <bk>
      <extLst>
        <ext uri="{3e2802c4-a4d2-4d8b-9148-e3be6c30e623}">
          <xlrd:rvb i="2174"/>
        </ext>
      </extLst>
    </bk>
    <bk>
      <extLst>
        <ext uri="{3e2802c4-a4d2-4d8b-9148-e3be6c30e623}">
          <xlrd:rvb i="2175"/>
        </ext>
      </extLst>
    </bk>
    <bk>
      <extLst>
        <ext uri="{3e2802c4-a4d2-4d8b-9148-e3be6c30e623}">
          <xlrd:rvb i="2176"/>
        </ext>
      </extLst>
    </bk>
    <bk>
      <extLst>
        <ext uri="{3e2802c4-a4d2-4d8b-9148-e3be6c30e623}">
          <xlrd:rvb i="2177"/>
        </ext>
      </extLst>
    </bk>
    <bk>
      <extLst>
        <ext uri="{3e2802c4-a4d2-4d8b-9148-e3be6c30e623}">
          <xlrd:rvb i="2178"/>
        </ext>
      </extLst>
    </bk>
    <bk>
      <extLst>
        <ext uri="{3e2802c4-a4d2-4d8b-9148-e3be6c30e623}">
          <xlrd:rvb i="2179"/>
        </ext>
      </extLst>
    </bk>
    <bk>
      <extLst>
        <ext uri="{3e2802c4-a4d2-4d8b-9148-e3be6c30e623}">
          <xlrd:rvb i="2180"/>
        </ext>
      </extLst>
    </bk>
    <bk>
      <extLst>
        <ext uri="{3e2802c4-a4d2-4d8b-9148-e3be6c30e623}">
          <xlrd:rvb i="2181"/>
        </ext>
      </extLst>
    </bk>
    <bk>
      <extLst>
        <ext uri="{3e2802c4-a4d2-4d8b-9148-e3be6c30e623}">
          <xlrd:rvb i="2182"/>
        </ext>
      </extLst>
    </bk>
    <bk>
      <extLst>
        <ext uri="{3e2802c4-a4d2-4d8b-9148-e3be6c30e623}">
          <xlrd:rvb i="2183"/>
        </ext>
      </extLst>
    </bk>
    <bk>
      <extLst>
        <ext uri="{3e2802c4-a4d2-4d8b-9148-e3be6c30e623}">
          <xlrd:rvb i="2184"/>
        </ext>
      </extLst>
    </bk>
    <bk>
      <extLst>
        <ext uri="{3e2802c4-a4d2-4d8b-9148-e3be6c30e623}">
          <xlrd:rvb i="2185"/>
        </ext>
      </extLst>
    </bk>
    <bk>
      <extLst>
        <ext uri="{3e2802c4-a4d2-4d8b-9148-e3be6c30e623}">
          <xlrd:rvb i="2186"/>
        </ext>
      </extLst>
    </bk>
    <bk>
      <extLst>
        <ext uri="{3e2802c4-a4d2-4d8b-9148-e3be6c30e623}">
          <xlrd:rvb i="2187"/>
        </ext>
      </extLst>
    </bk>
    <bk>
      <extLst>
        <ext uri="{3e2802c4-a4d2-4d8b-9148-e3be6c30e623}">
          <xlrd:rvb i="2188"/>
        </ext>
      </extLst>
    </bk>
    <bk>
      <extLst>
        <ext uri="{3e2802c4-a4d2-4d8b-9148-e3be6c30e623}">
          <xlrd:rvb i="2189"/>
        </ext>
      </extLst>
    </bk>
    <bk>
      <extLst>
        <ext uri="{3e2802c4-a4d2-4d8b-9148-e3be6c30e623}">
          <xlrd:rvb i="2190"/>
        </ext>
      </extLst>
    </bk>
    <bk>
      <extLst>
        <ext uri="{3e2802c4-a4d2-4d8b-9148-e3be6c30e623}">
          <xlrd:rvb i="2191"/>
        </ext>
      </extLst>
    </bk>
    <bk>
      <extLst>
        <ext uri="{3e2802c4-a4d2-4d8b-9148-e3be6c30e623}">
          <xlrd:rvb i="2192"/>
        </ext>
      </extLst>
    </bk>
    <bk>
      <extLst>
        <ext uri="{3e2802c4-a4d2-4d8b-9148-e3be6c30e623}">
          <xlrd:rvb i="2193"/>
        </ext>
      </extLst>
    </bk>
    <bk>
      <extLst>
        <ext uri="{3e2802c4-a4d2-4d8b-9148-e3be6c30e623}">
          <xlrd:rvb i="2194"/>
        </ext>
      </extLst>
    </bk>
    <bk>
      <extLst>
        <ext uri="{3e2802c4-a4d2-4d8b-9148-e3be6c30e623}">
          <xlrd:rvb i="2195"/>
        </ext>
      </extLst>
    </bk>
    <bk>
      <extLst>
        <ext uri="{3e2802c4-a4d2-4d8b-9148-e3be6c30e623}">
          <xlrd:rvb i="2196"/>
        </ext>
      </extLst>
    </bk>
    <bk>
      <extLst>
        <ext uri="{3e2802c4-a4d2-4d8b-9148-e3be6c30e623}">
          <xlrd:rvb i="2197"/>
        </ext>
      </extLst>
    </bk>
    <bk>
      <extLst>
        <ext uri="{3e2802c4-a4d2-4d8b-9148-e3be6c30e623}">
          <xlrd:rvb i="2198"/>
        </ext>
      </extLst>
    </bk>
    <bk>
      <extLst>
        <ext uri="{3e2802c4-a4d2-4d8b-9148-e3be6c30e623}">
          <xlrd:rvb i="2199"/>
        </ext>
      </extLst>
    </bk>
    <bk>
      <extLst>
        <ext uri="{3e2802c4-a4d2-4d8b-9148-e3be6c30e623}">
          <xlrd:rvb i="2200"/>
        </ext>
      </extLst>
    </bk>
    <bk>
      <extLst>
        <ext uri="{3e2802c4-a4d2-4d8b-9148-e3be6c30e623}">
          <xlrd:rvb i="2201"/>
        </ext>
      </extLst>
    </bk>
    <bk>
      <extLst>
        <ext uri="{3e2802c4-a4d2-4d8b-9148-e3be6c30e623}">
          <xlrd:rvb i="2202"/>
        </ext>
      </extLst>
    </bk>
    <bk>
      <extLst>
        <ext uri="{3e2802c4-a4d2-4d8b-9148-e3be6c30e623}">
          <xlrd:rvb i="2203"/>
        </ext>
      </extLst>
    </bk>
    <bk>
      <extLst>
        <ext uri="{3e2802c4-a4d2-4d8b-9148-e3be6c30e623}">
          <xlrd:rvb i="2204"/>
        </ext>
      </extLst>
    </bk>
    <bk>
      <extLst>
        <ext uri="{3e2802c4-a4d2-4d8b-9148-e3be6c30e623}">
          <xlrd:rvb i="2205"/>
        </ext>
      </extLst>
    </bk>
    <bk>
      <extLst>
        <ext uri="{3e2802c4-a4d2-4d8b-9148-e3be6c30e623}">
          <xlrd:rvb i="2206"/>
        </ext>
      </extLst>
    </bk>
    <bk>
      <extLst>
        <ext uri="{3e2802c4-a4d2-4d8b-9148-e3be6c30e623}">
          <xlrd:rvb i="2207"/>
        </ext>
      </extLst>
    </bk>
    <bk>
      <extLst>
        <ext uri="{3e2802c4-a4d2-4d8b-9148-e3be6c30e623}">
          <xlrd:rvb i="2208"/>
        </ext>
      </extLst>
    </bk>
    <bk>
      <extLst>
        <ext uri="{3e2802c4-a4d2-4d8b-9148-e3be6c30e623}">
          <xlrd:rvb i="2209"/>
        </ext>
      </extLst>
    </bk>
    <bk>
      <extLst>
        <ext uri="{3e2802c4-a4d2-4d8b-9148-e3be6c30e623}">
          <xlrd:rvb i="2210"/>
        </ext>
      </extLst>
    </bk>
    <bk>
      <extLst>
        <ext uri="{3e2802c4-a4d2-4d8b-9148-e3be6c30e623}">
          <xlrd:rvb i="2211"/>
        </ext>
      </extLst>
    </bk>
    <bk>
      <extLst>
        <ext uri="{3e2802c4-a4d2-4d8b-9148-e3be6c30e623}">
          <xlrd:rvb i="2212"/>
        </ext>
      </extLst>
    </bk>
    <bk>
      <extLst>
        <ext uri="{3e2802c4-a4d2-4d8b-9148-e3be6c30e623}">
          <xlrd:rvb i="2213"/>
        </ext>
      </extLst>
    </bk>
    <bk>
      <extLst>
        <ext uri="{3e2802c4-a4d2-4d8b-9148-e3be6c30e623}">
          <xlrd:rvb i="2214"/>
        </ext>
      </extLst>
    </bk>
    <bk>
      <extLst>
        <ext uri="{3e2802c4-a4d2-4d8b-9148-e3be6c30e623}">
          <xlrd:rvb i="2215"/>
        </ext>
      </extLst>
    </bk>
    <bk>
      <extLst>
        <ext uri="{3e2802c4-a4d2-4d8b-9148-e3be6c30e623}">
          <xlrd:rvb i="2216"/>
        </ext>
      </extLst>
    </bk>
    <bk>
      <extLst>
        <ext uri="{3e2802c4-a4d2-4d8b-9148-e3be6c30e623}">
          <xlrd:rvb i="2217"/>
        </ext>
      </extLst>
    </bk>
    <bk>
      <extLst>
        <ext uri="{3e2802c4-a4d2-4d8b-9148-e3be6c30e623}">
          <xlrd:rvb i="2218"/>
        </ext>
      </extLst>
    </bk>
    <bk>
      <extLst>
        <ext uri="{3e2802c4-a4d2-4d8b-9148-e3be6c30e623}">
          <xlrd:rvb i="2219"/>
        </ext>
      </extLst>
    </bk>
    <bk>
      <extLst>
        <ext uri="{3e2802c4-a4d2-4d8b-9148-e3be6c30e623}">
          <xlrd:rvb i="2220"/>
        </ext>
      </extLst>
    </bk>
    <bk>
      <extLst>
        <ext uri="{3e2802c4-a4d2-4d8b-9148-e3be6c30e623}">
          <xlrd:rvb i="2221"/>
        </ext>
      </extLst>
    </bk>
    <bk>
      <extLst>
        <ext uri="{3e2802c4-a4d2-4d8b-9148-e3be6c30e623}">
          <xlrd:rvb i="2222"/>
        </ext>
      </extLst>
    </bk>
    <bk>
      <extLst>
        <ext uri="{3e2802c4-a4d2-4d8b-9148-e3be6c30e623}">
          <xlrd:rvb i="2223"/>
        </ext>
      </extLst>
    </bk>
    <bk>
      <extLst>
        <ext uri="{3e2802c4-a4d2-4d8b-9148-e3be6c30e623}">
          <xlrd:rvb i="2224"/>
        </ext>
      </extLst>
    </bk>
    <bk>
      <extLst>
        <ext uri="{3e2802c4-a4d2-4d8b-9148-e3be6c30e623}">
          <xlrd:rvb i="2225"/>
        </ext>
      </extLst>
    </bk>
    <bk>
      <extLst>
        <ext uri="{3e2802c4-a4d2-4d8b-9148-e3be6c30e623}">
          <xlrd:rvb i="2226"/>
        </ext>
      </extLst>
    </bk>
    <bk>
      <extLst>
        <ext uri="{3e2802c4-a4d2-4d8b-9148-e3be6c30e623}">
          <xlrd:rvb i="2227"/>
        </ext>
      </extLst>
    </bk>
    <bk>
      <extLst>
        <ext uri="{3e2802c4-a4d2-4d8b-9148-e3be6c30e623}">
          <xlrd:rvb i="2228"/>
        </ext>
      </extLst>
    </bk>
    <bk>
      <extLst>
        <ext uri="{3e2802c4-a4d2-4d8b-9148-e3be6c30e623}">
          <xlrd:rvb i="2229"/>
        </ext>
      </extLst>
    </bk>
    <bk>
      <extLst>
        <ext uri="{3e2802c4-a4d2-4d8b-9148-e3be6c30e623}">
          <xlrd:rvb i="2230"/>
        </ext>
      </extLst>
    </bk>
    <bk>
      <extLst>
        <ext uri="{3e2802c4-a4d2-4d8b-9148-e3be6c30e623}">
          <xlrd:rvb i="2231"/>
        </ext>
      </extLst>
    </bk>
    <bk>
      <extLst>
        <ext uri="{3e2802c4-a4d2-4d8b-9148-e3be6c30e623}">
          <xlrd:rvb i="2232"/>
        </ext>
      </extLst>
    </bk>
    <bk>
      <extLst>
        <ext uri="{3e2802c4-a4d2-4d8b-9148-e3be6c30e623}">
          <xlrd:rvb i="2233"/>
        </ext>
      </extLst>
    </bk>
    <bk>
      <extLst>
        <ext uri="{3e2802c4-a4d2-4d8b-9148-e3be6c30e623}">
          <xlrd:rvb i="2234"/>
        </ext>
      </extLst>
    </bk>
    <bk>
      <extLst>
        <ext uri="{3e2802c4-a4d2-4d8b-9148-e3be6c30e623}">
          <xlrd:rvb i="2235"/>
        </ext>
      </extLst>
    </bk>
    <bk>
      <extLst>
        <ext uri="{3e2802c4-a4d2-4d8b-9148-e3be6c30e623}">
          <xlrd:rvb i="2236"/>
        </ext>
      </extLst>
    </bk>
    <bk>
      <extLst>
        <ext uri="{3e2802c4-a4d2-4d8b-9148-e3be6c30e623}">
          <xlrd:rvb i="2237"/>
        </ext>
      </extLst>
    </bk>
    <bk>
      <extLst>
        <ext uri="{3e2802c4-a4d2-4d8b-9148-e3be6c30e623}">
          <xlrd:rvb i="2238"/>
        </ext>
      </extLst>
    </bk>
    <bk>
      <extLst>
        <ext uri="{3e2802c4-a4d2-4d8b-9148-e3be6c30e623}">
          <xlrd:rvb i="2239"/>
        </ext>
      </extLst>
    </bk>
    <bk>
      <extLst>
        <ext uri="{3e2802c4-a4d2-4d8b-9148-e3be6c30e623}">
          <xlrd:rvb i="2240"/>
        </ext>
      </extLst>
    </bk>
    <bk>
      <extLst>
        <ext uri="{3e2802c4-a4d2-4d8b-9148-e3be6c30e623}">
          <xlrd:rvb i="2241"/>
        </ext>
      </extLst>
    </bk>
    <bk>
      <extLst>
        <ext uri="{3e2802c4-a4d2-4d8b-9148-e3be6c30e623}">
          <xlrd:rvb i="2242"/>
        </ext>
      </extLst>
    </bk>
    <bk>
      <extLst>
        <ext uri="{3e2802c4-a4d2-4d8b-9148-e3be6c30e623}">
          <xlrd:rvb i="2243"/>
        </ext>
      </extLst>
    </bk>
    <bk>
      <extLst>
        <ext uri="{3e2802c4-a4d2-4d8b-9148-e3be6c30e623}">
          <xlrd:rvb i="2244"/>
        </ext>
      </extLst>
    </bk>
    <bk>
      <extLst>
        <ext uri="{3e2802c4-a4d2-4d8b-9148-e3be6c30e623}">
          <xlrd:rvb i="2245"/>
        </ext>
      </extLst>
    </bk>
    <bk>
      <extLst>
        <ext uri="{3e2802c4-a4d2-4d8b-9148-e3be6c30e623}">
          <xlrd:rvb i="2246"/>
        </ext>
      </extLst>
    </bk>
    <bk>
      <extLst>
        <ext uri="{3e2802c4-a4d2-4d8b-9148-e3be6c30e623}">
          <xlrd:rvb i="2247"/>
        </ext>
      </extLst>
    </bk>
    <bk>
      <extLst>
        <ext uri="{3e2802c4-a4d2-4d8b-9148-e3be6c30e623}">
          <xlrd:rvb i="2248"/>
        </ext>
      </extLst>
    </bk>
    <bk>
      <extLst>
        <ext uri="{3e2802c4-a4d2-4d8b-9148-e3be6c30e623}">
          <xlrd:rvb i="2249"/>
        </ext>
      </extLst>
    </bk>
    <bk>
      <extLst>
        <ext uri="{3e2802c4-a4d2-4d8b-9148-e3be6c30e623}">
          <xlrd:rvb i="2250"/>
        </ext>
      </extLst>
    </bk>
    <bk>
      <extLst>
        <ext uri="{3e2802c4-a4d2-4d8b-9148-e3be6c30e623}">
          <xlrd:rvb i="2251"/>
        </ext>
      </extLst>
    </bk>
    <bk>
      <extLst>
        <ext uri="{3e2802c4-a4d2-4d8b-9148-e3be6c30e623}">
          <xlrd:rvb i="2252"/>
        </ext>
      </extLst>
    </bk>
    <bk>
      <extLst>
        <ext uri="{3e2802c4-a4d2-4d8b-9148-e3be6c30e623}">
          <xlrd:rvb i="2253"/>
        </ext>
      </extLst>
    </bk>
    <bk>
      <extLst>
        <ext uri="{3e2802c4-a4d2-4d8b-9148-e3be6c30e623}">
          <xlrd:rvb i="2254"/>
        </ext>
      </extLst>
    </bk>
    <bk>
      <extLst>
        <ext uri="{3e2802c4-a4d2-4d8b-9148-e3be6c30e623}">
          <xlrd:rvb i="2255"/>
        </ext>
      </extLst>
    </bk>
    <bk>
      <extLst>
        <ext uri="{3e2802c4-a4d2-4d8b-9148-e3be6c30e623}">
          <xlrd:rvb i="2256"/>
        </ext>
      </extLst>
    </bk>
    <bk>
      <extLst>
        <ext uri="{3e2802c4-a4d2-4d8b-9148-e3be6c30e623}">
          <xlrd:rvb i="2257"/>
        </ext>
      </extLst>
    </bk>
    <bk>
      <extLst>
        <ext uri="{3e2802c4-a4d2-4d8b-9148-e3be6c30e623}">
          <xlrd:rvb i="2258"/>
        </ext>
      </extLst>
    </bk>
    <bk>
      <extLst>
        <ext uri="{3e2802c4-a4d2-4d8b-9148-e3be6c30e623}">
          <xlrd:rvb i="2259"/>
        </ext>
      </extLst>
    </bk>
    <bk>
      <extLst>
        <ext uri="{3e2802c4-a4d2-4d8b-9148-e3be6c30e623}">
          <xlrd:rvb i="2260"/>
        </ext>
      </extLst>
    </bk>
    <bk>
      <extLst>
        <ext uri="{3e2802c4-a4d2-4d8b-9148-e3be6c30e623}">
          <xlrd:rvb i="2261"/>
        </ext>
      </extLst>
    </bk>
    <bk>
      <extLst>
        <ext uri="{3e2802c4-a4d2-4d8b-9148-e3be6c30e623}">
          <xlrd:rvb i="2262"/>
        </ext>
      </extLst>
    </bk>
    <bk>
      <extLst>
        <ext uri="{3e2802c4-a4d2-4d8b-9148-e3be6c30e623}">
          <xlrd:rvb i="2263"/>
        </ext>
      </extLst>
    </bk>
    <bk>
      <extLst>
        <ext uri="{3e2802c4-a4d2-4d8b-9148-e3be6c30e623}">
          <xlrd:rvb i="2264"/>
        </ext>
      </extLst>
    </bk>
    <bk>
      <extLst>
        <ext uri="{3e2802c4-a4d2-4d8b-9148-e3be6c30e623}">
          <xlrd:rvb i="2265"/>
        </ext>
      </extLst>
    </bk>
    <bk>
      <extLst>
        <ext uri="{3e2802c4-a4d2-4d8b-9148-e3be6c30e623}">
          <xlrd:rvb i="2266"/>
        </ext>
      </extLst>
    </bk>
    <bk>
      <extLst>
        <ext uri="{3e2802c4-a4d2-4d8b-9148-e3be6c30e623}">
          <xlrd:rvb i="2267"/>
        </ext>
      </extLst>
    </bk>
    <bk>
      <extLst>
        <ext uri="{3e2802c4-a4d2-4d8b-9148-e3be6c30e623}">
          <xlrd:rvb i="2268"/>
        </ext>
      </extLst>
    </bk>
    <bk>
      <extLst>
        <ext uri="{3e2802c4-a4d2-4d8b-9148-e3be6c30e623}">
          <xlrd:rvb i="2269"/>
        </ext>
      </extLst>
    </bk>
    <bk>
      <extLst>
        <ext uri="{3e2802c4-a4d2-4d8b-9148-e3be6c30e623}">
          <xlrd:rvb i="2270"/>
        </ext>
      </extLst>
    </bk>
    <bk>
      <extLst>
        <ext uri="{3e2802c4-a4d2-4d8b-9148-e3be6c30e623}">
          <xlrd:rvb i="2271"/>
        </ext>
      </extLst>
    </bk>
    <bk>
      <extLst>
        <ext uri="{3e2802c4-a4d2-4d8b-9148-e3be6c30e623}">
          <xlrd:rvb i="2272"/>
        </ext>
      </extLst>
    </bk>
    <bk>
      <extLst>
        <ext uri="{3e2802c4-a4d2-4d8b-9148-e3be6c30e623}">
          <xlrd:rvb i="2273"/>
        </ext>
      </extLst>
    </bk>
    <bk>
      <extLst>
        <ext uri="{3e2802c4-a4d2-4d8b-9148-e3be6c30e623}">
          <xlrd:rvb i="2274"/>
        </ext>
      </extLst>
    </bk>
    <bk>
      <extLst>
        <ext uri="{3e2802c4-a4d2-4d8b-9148-e3be6c30e623}">
          <xlrd:rvb i="2275"/>
        </ext>
      </extLst>
    </bk>
    <bk>
      <extLst>
        <ext uri="{3e2802c4-a4d2-4d8b-9148-e3be6c30e623}">
          <xlrd:rvb i="2276"/>
        </ext>
      </extLst>
    </bk>
    <bk>
      <extLst>
        <ext uri="{3e2802c4-a4d2-4d8b-9148-e3be6c30e623}">
          <xlrd:rvb i="2277"/>
        </ext>
      </extLst>
    </bk>
    <bk>
      <extLst>
        <ext uri="{3e2802c4-a4d2-4d8b-9148-e3be6c30e623}">
          <xlrd:rvb i="2278"/>
        </ext>
      </extLst>
    </bk>
    <bk>
      <extLst>
        <ext uri="{3e2802c4-a4d2-4d8b-9148-e3be6c30e623}">
          <xlrd:rvb i="2279"/>
        </ext>
      </extLst>
    </bk>
    <bk>
      <extLst>
        <ext uri="{3e2802c4-a4d2-4d8b-9148-e3be6c30e623}">
          <xlrd:rvb i="2280"/>
        </ext>
      </extLst>
    </bk>
    <bk>
      <extLst>
        <ext uri="{3e2802c4-a4d2-4d8b-9148-e3be6c30e623}">
          <xlrd:rvb i="2281"/>
        </ext>
      </extLst>
    </bk>
    <bk>
      <extLst>
        <ext uri="{3e2802c4-a4d2-4d8b-9148-e3be6c30e623}">
          <xlrd:rvb i="2282"/>
        </ext>
      </extLst>
    </bk>
    <bk>
      <extLst>
        <ext uri="{3e2802c4-a4d2-4d8b-9148-e3be6c30e623}">
          <xlrd:rvb i="2283"/>
        </ext>
      </extLst>
    </bk>
    <bk>
      <extLst>
        <ext uri="{3e2802c4-a4d2-4d8b-9148-e3be6c30e623}">
          <xlrd:rvb i="2284"/>
        </ext>
      </extLst>
    </bk>
    <bk>
      <extLst>
        <ext uri="{3e2802c4-a4d2-4d8b-9148-e3be6c30e623}">
          <xlrd:rvb i="2285"/>
        </ext>
      </extLst>
    </bk>
    <bk>
      <extLst>
        <ext uri="{3e2802c4-a4d2-4d8b-9148-e3be6c30e623}">
          <xlrd:rvb i="2286"/>
        </ext>
      </extLst>
    </bk>
    <bk>
      <extLst>
        <ext uri="{3e2802c4-a4d2-4d8b-9148-e3be6c30e623}">
          <xlrd:rvb i="2287"/>
        </ext>
      </extLst>
    </bk>
    <bk>
      <extLst>
        <ext uri="{3e2802c4-a4d2-4d8b-9148-e3be6c30e623}">
          <xlrd:rvb i="2288"/>
        </ext>
      </extLst>
    </bk>
    <bk>
      <extLst>
        <ext uri="{3e2802c4-a4d2-4d8b-9148-e3be6c30e623}">
          <xlrd:rvb i="2289"/>
        </ext>
      </extLst>
    </bk>
    <bk>
      <extLst>
        <ext uri="{3e2802c4-a4d2-4d8b-9148-e3be6c30e623}">
          <xlrd:rvb i="2290"/>
        </ext>
      </extLst>
    </bk>
    <bk>
      <extLst>
        <ext uri="{3e2802c4-a4d2-4d8b-9148-e3be6c30e623}">
          <xlrd:rvb i="2291"/>
        </ext>
      </extLst>
    </bk>
    <bk>
      <extLst>
        <ext uri="{3e2802c4-a4d2-4d8b-9148-e3be6c30e623}">
          <xlrd:rvb i="2292"/>
        </ext>
      </extLst>
    </bk>
    <bk>
      <extLst>
        <ext uri="{3e2802c4-a4d2-4d8b-9148-e3be6c30e623}">
          <xlrd:rvb i="2293"/>
        </ext>
      </extLst>
    </bk>
    <bk>
      <extLst>
        <ext uri="{3e2802c4-a4d2-4d8b-9148-e3be6c30e623}">
          <xlrd:rvb i="2294"/>
        </ext>
      </extLst>
    </bk>
    <bk>
      <extLst>
        <ext uri="{3e2802c4-a4d2-4d8b-9148-e3be6c30e623}">
          <xlrd:rvb i="2295"/>
        </ext>
      </extLst>
    </bk>
    <bk>
      <extLst>
        <ext uri="{3e2802c4-a4d2-4d8b-9148-e3be6c30e623}">
          <xlrd:rvb i="2296"/>
        </ext>
      </extLst>
    </bk>
    <bk>
      <extLst>
        <ext uri="{3e2802c4-a4d2-4d8b-9148-e3be6c30e623}">
          <xlrd:rvb i="2297"/>
        </ext>
      </extLst>
    </bk>
    <bk>
      <extLst>
        <ext uri="{3e2802c4-a4d2-4d8b-9148-e3be6c30e623}">
          <xlrd:rvb i="2298"/>
        </ext>
      </extLst>
    </bk>
    <bk>
      <extLst>
        <ext uri="{3e2802c4-a4d2-4d8b-9148-e3be6c30e623}">
          <xlrd:rvb i="2299"/>
        </ext>
      </extLst>
    </bk>
    <bk>
      <extLst>
        <ext uri="{3e2802c4-a4d2-4d8b-9148-e3be6c30e623}">
          <xlrd:rvb i="2300"/>
        </ext>
      </extLst>
    </bk>
    <bk>
      <extLst>
        <ext uri="{3e2802c4-a4d2-4d8b-9148-e3be6c30e623}">
          <xlrd:rvb i="2301"/>
        </ext>
      </extLst>
    </bk>
    <bk>
      <extLst>
        <ext uri="{3e2802c4-a4d2-4d8b-9148-e3be6c30e623}">
          <xlrd:rvb i="2302"/>
        </ext>
      </extLst>
    </bk>
    <bk>
      <extLst>
        <ext uri="{3e2802c4-a4d2-4d8b-9148-e3be6c30e623}">
          <xlrd:rvb i="2303"/>
        </ext>
      </extLst>
    </bk>
    <bk>
      <extLst>
        <ext uri="{3e2802c4-a4d2-4d8b-9148-e3be6c30e623}">
          <xlrd:rvb i="2304"/>
        </ext>
      </extLst>
    </bk>
    <bk>
      <extLst>
        <ext uri="{3e2802c4-a4d2-4d8b-9148-e3be6c30e623}">
          <xlrd:rvb i="2305"/>
        </ext>
      </extLst>
    </bk>
    <bk>
      <extLst>
        <ext uri="{3e2802c4-a4d2-4d8b-9148-e3be6c30e623}">
          <xlrd:rvb i="2306"/>
        </ext>
      </extLst>
    </bk>
    <bk>
      <extLst>
        <ext uri="{3e2802c4-a4d2-4d8b-9148-e3be6c30e623}">
          <xlrd:rvb i="2307"/>
        </ext>
      </extLst>
    </bk>
    <bk>
      <extLst>
        <ext uri="{3e2802c4-a4d2-4d8b-9148-e3be6c30e623}">
          <xlrd:rvb i="2308"/>
        </ext>
      </extLst>
    </bk>
    <bk>
      <extLst>
        <ext uri="{3e2802c4-a4d2-4d8b-9148-e3be6c30e623}">
          <xlrd:rvb i="2309"/>
        </ext>
      </extLst>
    </bk>
    <bk>
      <extLst>
        <ext uri="{3e2802c4-a4d2-4d8b-9148-e3be6c30e623}">
          <xlrd:rvb i="2310"/>
        </ext>
      </extLst>
    </bk>
    <bk>
      <extLst>
        <ext uri="{3e2802c4-a4d2-4d8b-9148-e3be6c30e623}">
          <xlrd:rvb i="2311"/>
        </ext>
      </extLst>
    </bk>
    <bk>
      <extLst>
        <ext uri="{3e2802c4-a4d2-4d8b-9148-e3be6c30e623}">
          <xlrd:rvb i="2312"/>
        </ext>
      </extLst>
    </bk>
    <bk>
      <extLst>
        <ext uri="{3e2802c4-a4d2-4d8b-9148-e3be6c30e623}">
          <xlrd:rvb i="2313"/>
        </ext>
      </extLst>
    </bk>
    <bk>
      <extLst>
        <ext uri="{3e2802c4-a4d2-4d8b-9148-e3be6c30e623}">
          <xlrd:rvb i="2314"/>
        </ext>
      </extLst>
    </bk>
    <bk>
      <extLst>
        <ext uri="{3e2802c4-a4d2-4d8b-9148-e3be6c30e623}">
          <xlrd:rvb i="2315"/>
        </ext>
      </extLst>
    </bk>
    <bk>
      <extLst>
        <ext uri="{3e2802c4-a4d2-4d8b-9148-e3be6c30e623}">
          <xlrd:rvb i="2316"/>
        </ext>
      </extLst>
    </bk>
    <bk>
      <extLst>
        <ext uri="{3e2802c4-a4d2-4d8b-9148-e3be6c30e623}">
          <xlrd:rvb i="2317"/>
        </ext>
      </extLst>
    </bk>
    <bk>
      <extLst>
        <ext uri="{3e2802c4-a4d2-4d8b-9148-e3be6c30e623}">
          <xlrd:rvb i="2318"/>
        </ext>
      </extLst>
    </bk>
    <bk>
      <extLst>
        <ext uri="{3e2802c4-a4d2-4d8b-9148-e3be6c30e623}">
          <xlrd:rvb i="2319"/>
        </ext>
      </extLst>
    </bk>
    <bk>
      <extLst>
        <ext uri="{3e2802c4-a4d2-4d8b-9148-e3be6c30e623}">
          <xlrd:rvb i="2320"/>
        </ext>
      </extLst>
    </bk>
    <bk>
      <extLst>
        <ext uri="{3e2802c4-a4d2-4d8b-9148-e3be6c30e623}">
          <xlrd:rvb i="2321"/>
        </ext>
      </extLst>
    </bk>
    <bk>
      <extLst>
        <ext uri="{3e2802c4-a4d2-4d8b-9148-e3be6c30e623}">
          <xlrd:rvb i="2322"/>
        </ext>
      </extLst>
    </bk>
    <bk>
      <extLst>
        <ext uri="{3e2802c4-a4d2-4d8b-9148-e3be6c30e623}">
          <xlrd:rvb i="2323"/>
        </ext>
      </extLst>
    </bk>
    <bk>
      <extLst>
        <ext uri="{3e2802c4-a4d2-4d8b-9148-e3be6c30e623}">
          <xlrd:rvb i="2324"/>
        </ext>
      </extLst>
    </bk>
    <bk>
      <extLst>
        <ext uri="{3e2802c4-a4d2-4d8b-9148-e3be6c30e623}">
          <xlrd:rvb i="2325"/>
        </ext>
      </extLst>
    </bk>
    <bk>
      <extLst>
        <ext uri="{3e2802c4-a4d2-4d8b-9148-e3be6c30e623}">
          <xlrd:rvb i="2326"/>
        </ext>
      </extLst>
    </bk>
    <bk>
      <extLst>
        <ext uri="{3e2802c4-a4d2-4d8b-9148-e3be6c30e623}">
          <xlrd:rvb i="2327"/>
        </ext>
      </extLst>
    </bk>
    <bk>
      <extLst>
        <ext uri="{3e2802c4-a4d2-4d8b-9148-e3be6c30e623}">
          <xlrd:rvb i="2328"/>
        </ext>
      </extLst>
    </bk>
    <bk>
      <extLst>
        <ext uri="{3e2802c4-a4d2-4d8b-9148-e3be6c30e623}">
          <xlrd:rvb i="2329"/>
        </ext>
      </extLst>
    </bk>
    <bk>
      <extLst>
        <ext uri="{3e2802c4-a4d2-4d8b-9148-e3be6c30e623}">
          <xlrd:rvb i="2330"/>
        </ext>
      </extLst>
    </bk>
    <bk>
      <extLst>
        <ext uri="{3e2802c4-a4d2-4d8b-9148-e3be6c30e623}">
          <xlrd:rvb i="2331"/>
        </ext>
      </extLst>
    </bk>
    <bk>
      <extLst>
        <ext uri="{3e2802c4-a4d2-4d8b-9148-e3be6c30e623}">
          <xlrd:rvb i="2332"/>
        </ext>
      </extLst>
    </bk>
    <bk>
      <extLst>
        <ext uri="{3e2802c4-a4d2-4d8b-9148-e3be6c30e623}">
          <xlrd:rvb i="2333"/>
        </ext>
      </extLst>
    </bk>
    <bk>
      <extLst>
        <ext uri="{3e2802c4-a4d2-4d8b-9148-e3be6c30e623}">
          <xlrd:rvb i="2334"/>
        </ext>
      </extLst>
    </bk>
    <bk>
      <extLst>
        <ext uri="{3e2802c4-a4d2-4d8b-9148-e3be6c30e623}">
          <xlrd:rvb i="2335"/>
        </ext>
      </extLst>
    </bk>
    <bk>
      <extLst>
        <ext uri="{3e2802c4-a4d2-4d8b-9148-e3be6c30e623}">
          <xlrd:rvb i="2336"/>
        </ext>
      </extLst>
    </bk>
    <bk>
      <extLst>
        <ext uri="{3e2802c4-a4d2-4d8b-9148-e3be6c30e623}">
          <xlrd:rvb i="2337"/>
        </ext>
      </extLst>
    </bk>
    <bk>
      <extLst>
        <ext uri="{3e2802c4-a4d2-4d8b-9148-e3be6c30e623}">
          <xlrd:rvb i="2338"/>
        </ext>
      </extLst>
    </bk>
    <bk>
      <extLst>
        <ext uri="{3e2802c4-a4d2-4d8b-9148-e3be6c30e623}">
          <xlrd:rvb i="2339"/>
        </ext>
      </extLst>
    </bk>
    <bk>
      <extLst>
        <ext uri="{3e2802c4-a4d2-4d8b-9148-e3be6c30e623}">
          <xlrd:rvb i="2340"/>
        </ext>
      </extLst>
    </bk>
    <bk>
      <extLst>
        <ext uri="{3e2802c4-a4d2-4d8b-9148-e3be6c30e623}">
          <xlrd:rvb i="2341"/>
        </ext>
      </extLst>
    </bk>
    <bk>
      <extLst>
        <ext uri="{3e2802c4-a4d2-4d8b-9148-e3be6c30e623}">
          <xlrd:rvb i="2342"/>
        </ext>
      </extLst>
    </bk>
    <bk>
      <extLst>
        <ext uri="{3e2802c4-a4d2-4d8b-9148-e3be6c30e623}">
          <xlrd:rvb i="2343"/>
        </ext>
      </extLst>
    </bk>
    <bk>
      <extLst>
        <ext uri="{3e2802c4-a4d2-4d8b-9148-e3be6c30e623}">
          <xlrd:rvb i="2344"/>
        </ext>
      </extLst>
    </bk>
    <bk>
      <extLst>
        <ext uri="{3e2802c4-a4d2-4d8b-9148-e3be6c30e623}">
          <xlrd:rvb i="2345"/>
        </ext>
      </extLst>
    </bk>
    <bk>
      <extLst>
        <ext uri="{3e2802c4-a4d2-4d8b-9148-e3be6c30e623}">
          <xlrd:rvb i="2346"/>
        </ext>
      </extLst>
    </bk>
    <bk>
      <extLst>
        <ext uri="{3e2802c4-a4d2-4d8b-9148-e3be6c30e623}">
          <xlrd:rvb i="2347"/>
        </ext>
      </extLst>
    </bk>
    <bk>
      <extLst>
        <ext uri="{3e2802c4-a4d2-4d8b-9148-e3be6c30e623}">
          <xlrd:rvb i="2348"/>
        </ext>
      </extLst>
    </bk>
    <bk>
      <extLst>
        <ext uri="{3e2802c4-a4d2-4d8b-9148-e3be6c30e623}">
          <xlrd:rvb i="2349"/>
        </ext>
      </extLst>
    </bk>
    <bk>
      <extLst>
        <ext uri="{3e2802c4-a4d2-4d8b-9148-e3be6c30e623}">
          <xlrd:rvb i="2350"/>
        </ext>
      </extLst>
    </bk>
    <bk>
      <extLst>
        <ext uri="{3e2802c4-a4d2-4d8b-9148-e3be6c30e623}">
          <xlrd:rvb i="2351"/>
        </ext>
      </extLst>
    </bk>
    <bk>
      <extLst>
        <ext uri="{3e2802c4-a4d2-4d8b-9148-e3be6c30e623}">
          <xlrd:rvb i="2352"/>
        </ext>
      </extLst>
    </bk>
    <bk>
      <extLst>
        <ext uri="{3e2802c4-a4d2-4d8b-9148-e3be6c30e623}">
          <xlrd:rvb i="2353"/>
        </ext>
      </extLst>
    </bk>
    <bk>
      <extLst>
        <ext uri="{3e2802c4-a4d2-4d8b-9148-e3be6c30e623}">
          <xlrd:rvb i="2354"/>
        </ext>
      </extLst>
    </bk>
    <bk>
      <extLst>
        <ext uri="{3e2802c4-a4d2-4d8b-9148-e3be6c30e623}">
          <xlrd:rvb i="2355"/>
        </ext>
      </extLst>
    </bk>
    <bk>
      <extLst>
        <ext uri="{3e2802c4-a4d2-4d8b-9148-e3be6c30e623}">
          <xlrd:rvb i="2356"/>
        </ext>
      </extLst>
    </bk>
    <bk>
      <extLst>
        <ext uri="{3e2802c4-a4d2-4d8b-9148-e3be6c30e623}">
          <xlrd:rvb i="2357"/>
        </ext>
      </extLst>
    </bk>
    <bk>
      <extLst>
        <ext uri="{3e2802c4-a4d2-4d8b-9148-e3be6c30e623}">
          <xlrd:rvb i="2358"/>
        </ext>
      </extLst>
    </bk>
    <bk>
      <extLst>
        <ext uri="{3e2802c4-a4d2-4d8b-9148-e3be6c30e623}">
          <xlrd:rvb i="2359"/>
        </ext>
      </extLst>
    </bk>
    <bk>
      <extLst>
        <ext uri="{3e2802c4-a4d2-4d8b-9148-e3be6c30e623}">
          <xlrd:rvb i="2360"/>
        </ext>
      </extLst>
    </bk>
    <bk>
      <extLst>
        <ext uri="{3e2802c4-a4d2-4d8b-9148-e3be6c30e623}">
          <xlrd:rvb i="2361"/>
        </ext>
      </extLst>
    </bk>
    <bk>
      <extLst>
        <ext uri="{3e2802c4-a4d2-4d8b-9148-e3be6c30e623}">
          <xlrd:rvb i="2362"/>
        </ext>
      </extLst>
    </bk>
    <bk>
      <extLst>
        <ext uri="{3e2802c4-a4d2-4d8b-9148-e3be6c30e623}">
          <xlrd:rvb i="2363"/>
        </ext>
      </extLst>
    </bk>
    <bk>
      <extLst>
        <ext uri="{3e2802c4-a4d2-4d8b-9148-e3be6c30e623}">
          <xlrd:rvb i="2364"/>
        </ext>
      </extLst>
    </bk>
    <bk>
      <extLst>
        <ext uri="{3e2802c4-a4d2-4d8b-9148-e3be6c30e623}">
          <xlrd:rvb i="2365"/>
        </ext>
      </extLst>
    </bk>
    <bk>
      <extLst>
        <ext uri="{3e2802c4-a4d2-4d8b-9148-e3be6c30e623}">
          <xlrd:rvb i="2366"/>
        </ext>
      </extLst>
    </bk>
    <bk>
      <extLst>
        <ext uri="{3e2802c4-a4d2-4d8b-9148-e3be6c30e623}">
          <xlrd:rvb i="2367"/>
        </ext>
      </extLst>
    </bk>
    <bk>
      <extLst>
        <ext uri="{3e2802c4-a4d2-4d8b-9148-e3be6c30e623}">
          <xlrd:rvb i="2368"/>
        </ext>
      </extLst>
    </bk>
    <bk>
      <extLst>
        <ext uri="{3e2802c4-a4d2-4d8b-9148-e3be6c30e623}">
          <xlrd:rvb i="2369"/>
        </ext>
      </extLst>
    </bk>
    <bk>
      <extLst>
        <ext uri="{3e2802c4-a4d2-4d8b-9148-e3be6c30e623}">
          <xlrd:rvb i="2370"/>
        </ext>
      </extLst>
    </bk>
    <bk>
      <extLst>
        <ext uri="{3e2802c4-a4d2-4d8b-9148-e3be6c30e623}">
          <xlrd:rvb i="2371"/>
        </ext>
      </extLst>
    </bk>
    <bk>
      <extLst>
        <ext uri="{3e2802c4-a4d2-4d8b-9148-e3be6c30e623}">
          <xlrd:rvb i="2372"/>
        </ext>
      </extLst>
    </bk>
    <bk>
      <extLst>
        <ext uri="{3e2802c4-a4d2-4d8b-9148-e3be6c30e623}">
          <xlrd:rvb i="2373"/>
        </ext>
      </extLst>
    </bk>
    <bk>
      <extLst>
        <ext uri="{3e2802c4-a4d2-4d8b-9148-e3be6c30e623}">
          <xlrd:rvb i="2374"/>
        </ext>
      </extLst>
    </bk>
    <bk>
      <extLst>
        <ext uri="{3e2802c4-a4d2-4d8b-9148-e3be6c30e623}">
          <xlrd:rvb i="2375"/>
        </ext>
      </extLst>
    </bk>
    <bk>
      <extLst>
        <ext uri="{3e2802c4-a4d2-4d8b-9148-e3be6c30e623}">
          <xlrd:rvb i="2376"/>
        </ext>
      </extLst>
    </bk>
    <bk>
      <extLst>
        <ext uri="{3e2802c4-a4d2-4d8b-9148-e3be6c30e623}">
          <xlrd:rvb i="2377"/>
        </ext>
      </extLst>
    </bk>
    <bk>
      <extLst>
        <ext uri="{3e2802c4-a4d2-4d8b-9148-e3be6c30e623}">
          <xlrd:rvb i="2378"/>
        </ext>
      </extLst>
    </bk>
    <bk>
      <extLst>
        <ext uri="{3e2802c4-a4d2-4d8b-9148-e3be6c30e623}">
          <xlrd:rvb i="2379"/>
        </ext>
      </extLst>
    </bk>
    <bk>
      <extLst>
        <ext uri="{3e2802c4-a4d2-4d8b-9148-e3be6c30e623}">
          <xlrd:rvb i="2380"/>
        </ext>
      </extLst>
    </bk>
    <bk>
      <extLst>
        <ext uri="{3e2802c4-a4d2-4d8b-9148-e3be6c30e623}">
          <xlrd:rvb i="2381"/>
        </ext>
      </extLst>
    </bk>
    <bk>
      <extLst>
        <ext uri="{3e2802c4-a4d2-4d8b-9148-e3be6c30e623}">
          <xlrd:rvb i="2382"/>
        </ext>
      </extLst>
    </bk>
    <bk>
      <extLst>
        <ext uri="{3e2802c4-a4d2-4d8b-9148-e3be6c30e623}">
          <xlrd:rvb i="2383"/>
        </ext>
      </extLst>
    </bk>
    <bk>
      <extLst>
        <ext uri="{3e2802c4-a4d2-4d8b-9148-e3be6c30e623}">
          <xlrd:rvb i="2384"/>
        </ext>
      </extLst>
    </bk>
    <bk>
      <extLst>
        <ext uri="{3e2802c4-a4d2-4d8b-9148-e3be6c30e623}">
          <xlrd:rvb i="2385"/>
        </ext>
      </extLst>
    </bk>
    <bk>
      <extLst>
        <ext uri="{3e2802c4-a4d2-4d8b-9148-e3be6c30e623}">
          <xlrd:rvb i="2386"/>
        </ext>
      </extLst>
    </bk>
    <bk>
      <extLst>
        <ext uri="{3e2802c4-a4d2-4d8b-9148-e3be6c30e623}">
          <xlrd:rvb i="2387"/>
        </ext>
      </extLst>
    </bk>
    <bk>
      <extLst>
        <ext uri="{3e2802c4-a4d2-4d8b-9148-e3be6c30e623}">
          <xlrd:rvb i="2388"/>
        </ext>
      </extLst>
    </bk>
    <bk>
      <extLst>
        <ext uri="{3e2802c4-a4d2-4d8b-9148-e3be6c30e623}">
          <xlrd:rvb i="2389"/>
        </ext>
      </extLst>
    </bk>
    <bk>
      <extLst>
        <ext uri="{3e2802c4-a4d2-4d8b-9148-e3be6c30e623}">
          <xlrd:rvb i="2390"/>
        </ext>
      </extLst>
    </bk>
    <bk>
      <extLst>
        <ext uri="{3e2802c4-a4d2-4d8b-9148-e3be6c30e623}">
          <xlrd:rvb i="2391"/>
        </ext>
      </extLst>
    </bk>
    <bk>
      <extLst>
        <ext uri="{3e2802c4-a4d2-4d8b-9148-e3be6c30e623}">
          <xlrd:rvb i="2392"/>
        </ext>
      </extLst>
    </bk>
    <bk>
      <extLst>
        <ext uri="{3e2802c4-a4d2-4d8b-9148-e3be6c30e623}">
          <xlrd:rvb i="2393"/>
        </ext>
      </extLst>
    </bk>
    <bk>
      <extLst>
        <ext uri="{3e2802c4-a4d2-4d8b-9148-e3be6c30e623}">
          <xlrd:rvb i="2394"/>
        </ext>
      </extLst>
    </bk>
    <bk>
      <extLst>
        <ext uri="{3e2802c4-a4d2-4d8b-9148-e3be6c30e623}">
          <xlrd:rvb i="2395"/>
        </ext>
      </extLst>
    </bk>
    <bk>
      <extLst>
        <ext uri="{3e2802c4-a4d2-4d8b-9148-e3be6c30e623}">
          <xlrd:rvb i="2396"/>
        </ext>
      </extLst>
    </bk>
    <bk>
      <extLst>
        <ext uri="{3e2802c4-a4d2-4d8b-9148-e3be6c30e623}">
          <xlrd:rvb i="2397"/>
        </ext>
      </extLst>
    </bk>
    <bk>
      <extLst>
        <ext uri="{3e2802c4-a4d2-4d8b-9148-e3be6c30e623}">
          <xlrd:rvb i="2398"/>
        </ext>
      </extLst>
    </bk>
    <bk>
      <extLst>
        <ext uri="{3e2802c4-a4d2-4d8b-9148-e3be6c30e623}">
          <xlrd:rvb i="2399"/>
        </ext>
      </extLst>
    </bk>
    <bk>
      <extLst>
        <ext uri="{3e2802c4-a4d2-4d8b-9148-e3be6c30e623}">
          <xlrd:rvb i="2400"/>
        </ext>
      </extLst>
    </bk>
    <bk>
      <extLst>
        <ext uri="{3e2802c4-a4d2-4d8b-9148-e3be6c30e623}">
          <xlrd:rvb i="2401"/>
        </ext>
      </extLst>
    </bk>
    <bk>
      <extLst>
        <ext uri="{3e2802c4-a4d2-4d8b-9148-e3be6c30e623}">
          <xlrd:rvb i="2402"/>
        </ext>
      </extLst>
    </bk>
    <bk>
      <extLst>
        <ext uri="{3e2802c4-a4d2-4d8b-9148-e3be6c30e623}">
          <xlrd:rvb i="2403"/>
        </ext>
      </extLst>
    </bk>
    <bk>
      <extLst>
        <ext uri="{3e2802c4-a4d2-4d8b-9148-e3be6c30e623}">
          <xlrd:rvb i="2404"/>
        </ext>
      </extLst>
    </bk>
    <bk>
      <extLst>
        <ext uri="{3e2802c4-a4d2-4d8b-9148-e3be6c30e623}">
          <xlrd:rvb i="2405"/>
        </ext>
      </extLst>
    </bk>
    <bk>
      <extLst>
        <ext uri="{3e2802c4-a4d2-4d8b-9148-e3be6c30e623}">
          <xlrd:rvb i="2406"/>
        </ext>
      </extLst>
    </bk>
    <bk>
      <extLst>
        <ext uri="{3e2802c4-a4d2-4d8b-9148-e3be6c30e623}">
          <xlrd:rvb i="2407"/>
        </ext>
      </extLst>
    </bk>
    <bk>
      <extLst>
        <ext uri="{3e2802c4-a4d2-4d8b-9148-e3be6c30e623}">
          <xlrd:rvb i="2408"/>
        </ext>
      </extLst>
    </bk>
    <bk>
      <extLst>
        <ext uri="{3e2802c4-a4d2-4d8b-9148-e3be6c30e623}">
          <xlrd:rvb i="2409"/>
        </ext>
      </extLst>
    </bk>
    <bk>
      <extLst>
        <ext uri="{3e2802c4-a4d2-4d8b-9148-e3be6c30e623}">
          <xlrd:rvb i="2410"/>
        </ext>
      </extLst>
    </bk>
    <bk>
      <extLst>
        <ext uri="{3e2802c4-a4d2-4d8b-9148-e3be6c30e623}">
          <xlrd:rvb i="2411"/>
        </ext>
      </extLst>
    </bk>
    <bk>
      <extLst>
        <ext uri="{3e2802c4-a4d2-4d8b-9148-e3be6c30e623}">
          <xlrd:rvb i="2412"/>
        </ext>
      </extLst>
    </bk>
    <bk>
      <extLst>
        <ext uri="{3e2802c4-a4d2-4d8b-9148-e3be6c30e623}">
          <xlrd:rvb i="2413"/>
        </ext>
      </extLst>
    </bk>
    <bk>
      <extLst>
        <ext uri="{3e2802c4-a4d2-4d8b-9148-e3be6c30e623}">
          <xlrd:rvb i="2414"/>
        </ext>
      </extLst>
    </bk>
    <bk>
      <extLst>
        <ext uri="{3e2802c4-a4d2-4d8b-9148-e3be6c30e623}">
          <xlrd:rvb i="2415"/>
        </ext>
      </extLst>
    </bk>
    <bk>
      <extLst>
        <ext uri="{3e2802c4-a4d2-4d8b-9148-e3be6c30e623}">
          <xlrd:rvb i="2416"/>
        </ext>
      </extLst>
    </bk>
    <bk>
      <extLst>
        <ext uri="{3e2802c4-a4d2-4d8b-9148-e3be6c30e623}">
          <xlrd:rvb i="2417"/>
        </ext>
      </extLst>
    </bk>
    <bk>
      <extLst>
        <ext uri="{3e2802c4-a4d2-4d8b-9148-e3be6c30e623}">
          <xlrd:rvb i="2418"/>
        </ext>
      </extLst>
    </bk>
    <bk>
      <extLst>
        <ext uri="{3e2802c4-a4d2-4d8b-9148-e3be6c30e623}">
          <xlrd:rvb i="2419"/>
        </ext>
      </extLst>
    </bk>
    <bk>
      <extLst>
        <ext uri="{3e2802c4-a4d2-4d8b-9148-e3be6c30e623}">
          <xlrd:rvb i="2420"/>
        </ext>
      </extLst>
    </bk>
    <bk>
      <extLst>
        <ext uri="{3e2802c4-a4d2-4d8b-9148-e3be6c30e623}">
          <xlrd:rvb i="2421"/>
        </ext>
      </extLst>
    </bk>
    <bk>
      <extLst>
        <ext uri="{3e2802c4-a4d2-4d8b-9148-e3be6c30e623}">
          <xlrd:rvb i="2422"/>
        </ext>
      </extLst>
    </bk>
    <bk>
      <extLst>
        <ext uri="{3e2802c4-a4d2-4d8b-9148-e3be6c30e623}">
          <xlrd:rvb i="2423"/>
        </ext>
      </extLst>
    </bk>
    <bk>
      <extLst>
        <ext uri="{3e2802c4-a4d2-4d8b-9148-e3be6c30e623}">
          <xlrd:rvb i="2424"/>
        </ext>
      </extLst>
    </bk>
    <bk>
      <extLst>
        <ext uri="{3e2802c4-a4d2-4d8b-9148-e3be6c30e623}">
          <xlrd:rvb i="2425"/>
        </ext>
      </extLst>
    </bk>
    <bk>
      <extLst>
        <ext uri="{3e2802c4-a4d2-4d8b-9148-e3be6c30e623}">
          <xlrd:rvb i="2426"/>
        </ext>
      </extLst>
    </bk>
    <bk>
      <extLst>
        <ext uri="{3e2802c4-a4d2-4d8b-9148-e3be6c30e623}">
          <xlrd:rvb i="2427"/>
        </ext>
      </extLst>
    </bk>
    <bk>
      <extLst>
        <ext uri="{3e2802c4-a4d2-4d8b-9148-e3be6c30e623}">
          <xlrd:rvb i="2428"/>
        </ext>
      </extLst>
    </bk>
    <bk>
      <extLst>
        <ext uri="{3e2802c4-a4d2-4d8b-9148-e3be6c30e623}">
          <xlrd:rvb i="2429"/>
        </ext>
      </extLst>
    </bk>
    <bk>
      <extLst>
        <ext uri="{3e2802c4-a4d2-4d8b-9148-e3be6c30e623}">
          <xlrd:rvb i="2430"/>
        </ext>
      </extLst>
    </bk>
    <bk>
      <extLst>
        <ext uri="{3e2802c4-a4d2-4d8b-9148-e3be6c30e623}">
          <xlrd:rvb i="2431"/>
        </ext>
      </extLst>
    </bk>
    <bk>
      <extLst>
        <ext uri="{3e2802c4-a4d2-4d8b-9148-e3be6c30e623}">
          <xlrd:rvb i="2432"/>
        </ext>
      </extLst>
    </bk>
    <bk>
      <extLst>
        <ext uri="{3e2802c4-a4d2-4d8b-9148-e3be6c30e623}">
          <xlrd:rvb i="2433"/>
        </ext>
      </extLst>
    </bk>
    <bk>
      <extLst>
        <ext uri="{3e2802c4-a4d2-4d8b-9148-e3be6c30e623}">
          <xlrd:rvb i="2434"/>
        </ext>
      </extLst>
    </bk>
    <bk>
      <extLst>
        <ext uri="{3e2802c4-a4d2-4d8b-9148-e3be6c30e623}">
          <xlrd:rvb i="2435"/>
        </ext>
      </extLst>
    </bk>
    <bk>
      <extLst>
        <ext uri="{3e2802c4-a4d2-4d8b-9148-e3be6c30e623}">
          <xlrd:rvb i="2436"/>
        </ext>
      </extLst>
    </bk>
    <bk>
      <extLst>
        <ext uri="{3e2802c4-a4d2-4d8b-9148-e3be6c30e623}">
          <xlrd:rvb i="2437"/>
        </ext>
      </extLst>
    </bk>
    <bk>
      <extLst>
        <ext uri="{3e2802c4-a4d2-4d8b-9148-e3be6c30e623}">
          <xlrd:rvb i="2438"/>
        </ext>
      </extLst>
    </bk>
    <bk>
      <extLst>
        <ext uri="{3e2802c4-a4d2-4d8b-9148-e3be6c30e623}">
          <xlrd:rvb i="2439"/>
        </ext>
      </extLst>
    </bk>
    <bk>
      <extLst>
        <ext uri="{3e2802c4-a4d2-4d8b-9148-e3be6c30e623}">
          <xlrd:rvb i="2440"/>
        </ext>
      </extLst>
    </bk>
    <bk>
      <extLst>
        <ext uri="{3e2802c4-a4d2-4d8b-9148-e3be6c30e623}">
          <xlrd:rvb i="2441"/>
        </ext>
      </extLst>
    </bk>
    <bk>
      <extLst>
        <ext uri="{3e2802c4-a4d2-4d8b-9148-e3be6c30e623}">
          <xlrd:rvb i="2442"/>
        </ext>
      </extLst>
    </bk>
    <bk>
      <extLst>
        <ext uri="{3e2802c4-a4d2-4d8b-9148-e3be6c30e623}">
          <xlrd:rvb i="2443"/>
        </ext>
      </extLst>
    </bk>
    <bk>
      <extLst>
        <ext uri="{3e2802c4-a4d2-4d8b-9148-e3be6c30e623}">
          <xlrd:rvb i="2444"/>
        </ext>
      </extLst>
    </bk>
    <bk>
      <extLst>
        <ext uri="{3e2802c4-a4d2-4d8b-9148-e3be6c30e623}">
          <xlrd:rvb i="2445"/>
        </ext>
      </extLst>
    </bk>
    <bk>
      <extLst>
        <ext uri="{3e2802c4-a4d2-4d8b-9148-e3be6c30e623}">
          <xlrd:rvb i="2446"/>
        </ext>
      </extLst>
    </bk>
    <bk>
      <extLst>
        <ext uri="{3e2802c4-a4d2-4d8b-9148-e3be6c30e623}">
          <xlrd:rvb i="2447"/>
        </ext>
      </extLst>
    </bk>
    <bk>
      <extLst>
        <ext uri="{3e2802c4-a4d2-4d8b-9148-e3be6c30e623}">
          <xlrd:rvb i="2448"/>
        </ext>
      </extLst>
    </bk>
    <bk>
      <extLst>
        <ext uri="{3e2802c4-a4d2-4d8b-9148-e3be6c30e623}">
          <xlrd:rvb i="2449"/>
        </ext>
      </extLst>
    </bk>
    <bk>
      <extLst>
        <ext uri="{3e2802c4-a4d2-4d8b-9148-e3be6c30e623}">
          <xlrd:rvb i="2450"/>
        </ext>
      </extLst>
    </bk>
    <bk>
      <extLst>
        <ext uri="{3e2802c4-a4d2-4d8b-9148-e3be6c30e623}">
          <xlrd:rvb i="2451"/>
        </ext>
      </extLst>
    </bk>
    <bk>
      <extLst>
        <ext uri="{3e2802c4-a4d2-4d8b-9148-e3be6c30e623}">
          <xlrd:rvb i="2452"/>
        </ext>
      </extLst>
    </bk>
    <bk>
      <extLst>
        <ext uri="{3e2802c4-a4d2-4d8b-9148-e3be6c30e623}">
          <xlrd:rvb i="2453"/>
        </ext>
      </extLst>
    </bk>
    <bk>
      <extLst>
        <ext uri="{3e2802c4-a4d2-4d8b-9148-e3be6c30e623}">
          <xlrd:rvb i="2454"/>
        </ext>
      </extLst>
    </bk>
    <bk>
      <extLst>
        <ext uri="{3e2802c4-a4d2-4d8b-9148-e3be6c30e623}">
          <xlrd:rvb i="2455"/>
        </ext>
      </extLst>
    </bk>
    <bk>
      <extLst>
        <ext uri="{3e2802c4-a4d2-4d8b-9148-e3be6c30e623}">
          <xlrd:rvb i="2456"/>
        </ext>
      </extLst>
    </bk>
    <bk>
      <extLst>
        <ext uri="{3e2802c4-a4d2-4d8b-9148-e3be6c30e623}">
          <xlrd:rvb i="2457"/>
        </ext>
      </extLst>
    </bk>
    <bk>
      <extLst>
        <ext uri="{3e2802c4-a4d2-4d8b-9148-e3be6c30e623}">
          <xlrd:rvb i="2458"/>
        </ext>
      </extLst>
    </bk>
    <bk>
      <extLst>
        <ext uri="{3e2802c4-a4d2-4d8b-9148-e3be6c30e623}">
          <xlrd:rvb i="2459"/>
        </ext>
      </extLst>
    </bk>
    <bk>
      <extLst>
        <ext uri="{3e2802c4-a4d2-4d8b-9148-e3be6c30e623}">
          <xlrd:rvb i="2460"/>
        </ext>
      </extLst>
    </bk>
    <bk>
      <extLst>
        <ext uri="{3e2802c4-a4d2-4d8b-9148-e3be6c30e623}">
          <xlrd:rvb i="2461"/>
        </ext>
      </extLst>
    </bk>
    <bk>
      <extLst>
        <ext uri="{3e2802c4-a4d2-4d8b-9148-e3be6c30e623}">
          <xlrd:rvb i="2462"/>
        </ext>
      </extLst>
    </bk>
    <bk>
      <extLst>
        <ext uri="{3e2802c4-a4d2-4d8b-9148-e3be6c30e623}">
          <xlrd:rvb i="2463"/>
        </ext>
      </extLst>
    </bk>
    <bk>
      <extLst>
        <ext uri="{3e2802c4-a4d2-4d8b-9148-e3be6c30e623}">
          <xlrd:rvb i="2464"/>
        </ext>
      </extLst>
    </bk>
    <bk>
      <extLst>
        <ext uri="{3e2802c4-a4d2-4d8b-9148-e3be6c30e623}">
          <xlrd:rvb i="2465"/>
        </ext>
      </extLst>
    </bk>
    <bk>
      <extLst>
        <ext uri="{3e2802c4-a4d2-4d8b-9148-e3be6c30e623}">
          <xlrd:rvb i="2466"/>
        </ext>
      </extLst>
    </bk>
    <bk>
      <extLst>
        <ext uri="{3e2802c4-a4d2-4d8b-9148-e3be6c30e623}">
          <xlrd:rvb i="2467"/>
        </ext>
      </extLst>
    </bk>
    <bk>
      <extLst>
        <ext uri="{3e2802c4-a4d2-4d8b-9148-e3be6c30e623}">
          <xlrd:rvb i="2468"/>
        </ext>
      </extLst>
    </bk>
    <bk>
      <extLst>
        <ext uri="{3e2802c4-a4d2-4d8b-9148-e3be6c30e623}">
          <xlrd:rvb i="2469"/>
        </ext>
      </extLst>
    </bk>
    <bk>
      <extLst>
        <ext uri="{3e2802c4-a4d2-4d8b-9148-e3be6c30e623}">
          <xlrd:rvb i="2470"/>
        </ext>
      </extLst>
    </bk>
    <bk>
      <extLst>
        <ext uri="{3e2802c4-a4d2-4d8b-9148-e3be6c30e623}">
          <xlrd:rvb i="2471"/>
        </ext>
      </extLst>
    </bk>
    <bk>
      <extLst>
        <ext uri="{3e2802c4-a4d2-4d8b-9148-e3be6c30e623}">
          <xlrd:rvb i="2472"/>
        </ext>
      </extLst>
    </bk>
    <bk>
      <extLst>
        <ext uri="{3e2802c4-a4d2-4d8b-9148-e3be6c30e623}">
          <xlrd:rvb i="2473"/>
        </ext>
      </extLst>
    </bk>
    <bk>
      <extLst>
        <ext uri="{3e2802c4-a4d2-4d8b-9148-e3be6c30e623}">
          <xlrd:rvb i="2474"/>
        </ext>
      </extLst>
    </bk>
    <bk>
      <extLst>
        <ext uri="{3e2802c4-a4d2-4d8b-9148-e3be6c30e623}">
          <xlrd:rvb i="2475"/>
        </ext>
      </extLst>
    </bk>
    <bk>
      <extLst>
        <ext uri="{3e2802c4-a4d2-4d8b-9148-e3be6c30e623}">
          <xlrd:rvb i="2476"/>
        </ext>
      </extLst>
    </bk>
    <bk>
      <extLst>
        <ext uri="{3e2802c4-a4d2-4d8b-9148-e3be6c30e623}">
          <xlrd:rvb i="2477"/>
        </ext>
      </extLst>
    </bk>
    <bk>
      <extLst>
        <ext uri="{3e2802c4-a4d2-4d8b-9148-e3be6c30e623}">
          <xlrd:rvb i="2478"/>
        </ext>
      </extLst>
    </bk>
    <bk>
      <extLst>
        <ext uri="{3e2802c4-a4d2-4d8b-9148-e3be6c30e623}">
          <xlrd:rvb i="2479"/>
        </ext>
      </extLst>
    </bk>
    <bk>
      <extLst>
        <ext uri="{3e2802c4-a4d2-4d8b-9148-e3be6c30e623}">
          <xlrd:rvb i="2480"/>
        </ext>
      </extLst>
    </bk>
    <bk>
      <extLst>
        <ext uri="{3e2802c4-a4d2-4d8b-9148-e3be6c30e623}">
          <xlrd:rvb i="2481"/>
        </ext>
      </extLst>
    </bk>
    <bk>
      <extLst>
        <ext uri="{3e2802c4-a4d2-4d8b-9148-e3be6c30e623}">
          <xlrd:rvb i="2482"/>
        </ext>
      </extLst>
    </bk>
    <bk>
      <extLst>
        <ext uri="{3e2802c4-a4d2-4d8b-9148-e3be6c30e623}">
          <xlrd:rvb i="2483"/>
        </ext>
      </extLst>
    </bk>
    <bk>
      <extLst>
        <ext uri="{3e2802c4-a4d2-4d8b-9148-e3be6c30e623}">
          <xlrd:rvb i="2484"/>
        </ext>
      </extLst>
    </bk>
    <bk>
      <extLst>
        <ext uri="{3e2802c4-a4d2-4d8b-9148-e3be6c30e623}">
          <xlrd:rvb i="2485"/>
        </ext>
      </extLst>
    </bk>
    <bk>
      <extLst>
        <ext uri="{3e2802c4-a4d2-4d8b-9148-e3be6c30e623}">
          <xlrd:rvb i="2486"/>
        </ext>
      </extLst>
    </bk>
    <bk>
      <extLst>
        <ext uri="{3e2802c4-a4d2-4d8b-9148-e3be6c30e623}">
          <xlrd:rvb i="2487"/>
        </ext>
      </extLst>
    </bk>
    <bk>
      <extLst>
        <ext uri="{3e2802c4-a4d2-4d8b-9148-e3be6c30e623}">
          <xlrd:rvb i="2488"/>
        </ext>
      </extLst>
    </bk>
    <bk>
      <extLst>
        <ext uri="{3e2802c4-a4d2-4d8b-9148-e3be6c30e623}">
          <xlrd:rvb i="2489"/>
        </ext>
      </extLst>
    </bk>
    <bk>
      <extLst>
        <ext uri="{3e2802c4-a4d2-4d8b-9148-e3be6c30e623}">
          <xlrd:rvb i="2490"/>
        </ext>
      </extLst>
    </bk>
    <bk>
      <extLst>
        <ext uri="{3e2802c4-a4d2-4d8b-9148-e3be6c30e623}">
          <xlrd:rvb i="2491"/>
        </ext>
      </extLst>
    </bk>
    <bk>
      <extLst>
        <ext uri="{3e2802c4-a4d2-4d8b-9148-e3be6c30e623}">
          <xlrd:rvb i="2492"/>
        </ext>
      </extLst>
    </bk>
    <bk>
      <extLst>
        <ext uri="{3e2802c4-a4d2-4d8b-9148-e3be6c30e623}">
          <xlrd:rvb i="2493"/>
        </ext>
      </extLst>
    </bk>
    <bk>
      <extLst>
        <ext uri="{3e2802c4-a4d2-4d8b-9148-e3be6c30e623}">
          <xlrd:rvb i="2494"/>
        </ext>
      </extLst>
    </bk>
    <bk>
      <extLst>
        <ext uri="{3e2802c4-a4d2-4d8b-9148-e3be6c30e623}">
          <xlrd:rvb i="2495"/>
        </ext>
      </extLst>
    </bk>
    <bk>
      <extLst>
        <ext uri="{3e2802c4-a4d2-4d8b-9148-e3be6c30e623}">
          <xlrd:rvb i="2496"/>
        </ext>
      </extLst>
    </bk>
    <bk>
      <extLst>
        <ext uri="{3e2802c4-a4d2-4d8b-9148-e3be6c30e623}">
          <xlrd:rvb i="2497"/>
        </ext>
      </extLst>
    </bk>
    <bk>
      <extLst>
        <ext uri="{3e2802c4-a4d2-4d8b-9148-e3be6c30e623}">
          <xlrd:rvb i="2498"/>
        </ext>
      </extLst>
    </bk>
    <bk>
      <extLst>
        <ext uri="{3e2802c4-a4d2-4d8b-9148-e3be6c30e623}">
          <xlrd:rvb i="2499"/>
        </ext>
      </extLst>
    </bk>
    <bk>
      <extLst>
        <ext uri="{3e2802c4-a4d2-4d8b-9148-e3be6c30e623}">
          <xlrd:rvb i="2500"/>
        </ext>
      </extLst>
    </bk>
    <bk>
      <extLst>
        <ext uri="{3e2802c4-a4d2-4d8b-9148-e3be6c30e623}">
          <xlrd:rvb i="2501"/>
        </ext>
      </extLst>
    </bk>
    <bk>
      <extLst>
        <ext uri="{3e2802c4-a4d2-4d8b-9148-e3be6c30e623}">
          <xlrd:rvb i="2502"/>
        </ext>
      </extLst>
    </bk>
    <bk>
      <extLst>
        <ext uri="{3e2802c4-a4d2-4d8b-9148-e3be6c30e623}">
          <xlrd:rvb i="2503"/>
        </ext>
      </extLst>
    </bk>
    <bk>
      <extLst>
        <ext uri="{3e2802c4-a4d2-4d8b-9148-e3be6c30e623}">
          <xlrd:rvb i="2504"/>
        </ext>
      </extLst>
    </bk>
    <bk>
      <extLst>
        <ext uri="{3e2802c4-a4d2-4d8b-9148-e3be6c30e623}">
          <xlrd:rvb i="2505"/>
        </ext>
      </extLst>
    </bk>
    <bk>
      <extLst>
        <ext uri="{3e2802c4-a4d2-4d8b-9148-e3be6c30e623}">
          <xlrd:rvb i="2506"/>
        </ext>
      </extLst>
    </bk>
    <bk>
      <extLst>
        <ext uri="{3e2802c4-a4d2-4d8b-9148-e3be6c30e623}">
          <xlrd:rvb i="2507"/>
        </ext>
      </extLst>
    </bk>
    <bk>
      <extLst>
        <ext uri="{3e2802c4-a4d2-4d8b-9148-e3be6c30e623}">
          <xlrd:rvb i="2508"/>
        </ext>
      </extLst>
    </bk>
    <bk>
      <extLst>
        <ext uri="{3e2802c4-a4d2-4d8b-9148-e3be6c30e623}">
          <xlrd:rvb i="2509"/>
        </ext>
      </extLst>
    </bk>
    <bk>
      <extLst>
        <ext uri="{3e2802c4-a4d2-4d8b-9148-e3be6c30e623}">
          <xlrd:rvb i="2510"/>
        </ext>
      </extLst>
    </bk>
    <bk>
      <extLst>
        <ext uri="{3e2802c4-a4d2-4d8b-9148-e3be6c30e623}">
          <xlrd:rvb i="2511"/>
        </ext>
      </extLst>
    </bk>
    <bk>
      <extLst>
        <ext uri="{3e2802c4-a4d2-4d8b-9148-e3be6c30e623}">
          <xlrd:rvb i="2512"/>
        </ext>
      </extLst>
    </bk>
    <bk>
      <extLst>
        <ext uri="{3e2802c4-a4d2-4d8b-9148-e3be6c30e623}">
          <xlrd:rvb i="2513"/>
        </ext>
      </extLst>
    </bk>
    <bk>
      <extLst>
        <ext uri="{3e2802c4-a4d2-4d8b-9148-e3be6c30e623}">
          <xlrd:rvb i="2514"/>
        </ext>
      </extLst>
    </bk>
    <bk>
      <extLst>
        <ext uri="{3e2802c4-a4d2-4d8b-9148-e3be6c30e623}">
          <xlrd:rvb i="2515"/>
        </ext>
      </extLst>
    </bk>
    <bk>
      <extLst>
        <ext uri="{3e2802c4-a4d2-4d8b-9148-e3be6c30e623}">
          <xlrd:rvb i="2516"/>
        </ext>
      </extLst>
    </bk>
    <bk>
      <extLst>
        <ext uri="{3e2802c4-a4d2-4d8b-9148-e3be6c30e623}">
          <xlrd:rvb i="2517"/>
        </ext>
      </extLst>
    </bk>
    <bk>
      <extLst>
        <ext uri="{3e2802c4-a4d2-4d8b-9148-e3be6c30e623}">
          <xlrd:rvb i="2518"/>
        </ext>
      </extLst>
    </bk>
    <bk>
      <extLst>
        <ext uri="{3e2802c4-a4d2-4d8b-9148-e3be6c30e623}">
          <xlrd:rvb i="2519"/>
        </ext>
      </extLst>
    </bk>
    <bk>
      <extLst>
        <ext uri="{3e2802c4-a4d2-4d8b-9148-e3be6c30e623}">
          <xlrd:rvb i="2520"/>
        </ext>
      </extLst>
    </bk>
    <bk>
      <extLst>
        <ext uri="{3e2802c4-a4d2-4d8b-9148-e3be6c30e623}">
          <xlrd:rvb i="2521"/>
        </ext>
      </extLst>
    </bk>
    <bk>
      <extLst>
        <ext uri="{3e2802c4-a4d2-4d8b-9148-e3be6c30e623}">
          <xlrd:rvb i="2522"/>
        </ext>
      </extLst>
    </bk>
    <bk>
      <extLst>
        <ext uri="{3e2802c4-a4d2-4d8b-9148-e3be6c30e623}">
          <xlrd:rvb i="2523"/>
        </ext>
      </extLst>
    </bk>
    <bk>
      <extLst>
        <ext uri="{3e2802c4-a4d2-4d8b-9148-e3be6c30e623}">
          <xlrd:rvb i="2524"/>
        </ext>
      </extLst>
    </bk>
    <bk>
      <extLst>
        <ext uri="{3e2802c4-a4d2-4d8b-9148-e3be6c30e623}">
          <xlrd:rvb i="2525"/>
        </ext>
      </extLst>
    </bk>
    <bk>
      <extLst>
        <ext uri="{3e2802c4-a4d2-4d8b-9148-e3be6c30e623}">
          <xlrd:rvb i="2526"/>
        </ext>
      </extLst>
    </bk>
    <bk>
      <extLst>
        <ext uri="{3e2802c4-a4d2-4d8b-9148-e3be6c30e623}">
          <xlrd:rvb i="2527"/>
        </ext>
      </extLst>
    </bk>
    <bk>
      <extLst>
        <ext uri="{3e2802c4-a4d2-4d8b-9148-e3be6c30e623}">
          <xlrd:rvb i="2528"/>
        </ext>
      </extLst>
    </bk>
    <bk>
      <extLst>
        <ext uri="{3e2802c4-a4d2-4d8b-9148-e3be6c30e623}">
          <xlrd:rvb i="2529"/>
        </ext>
      </extLst>
    </bk>
    <bk>
      <extLst>
        <ext uri="{3e2802c4-a4d2-4d8b-9148-e3be6c30e623}">
          <xlrd:rvb i="2530"/>
        </ext>
      </extLst>
    </bk>
    <bk>
      <extLst>
        <ext uri="{3e2802c4-a4d2-4d8b-9148-e3be6c30e623}">
          <xlrd:rvb i="2531"/>
        </ext>
      </extLst>
    </bk>
    <bk>
      <extLst>
        <ext uri="{3e2802c4-a4d2-4d8b-9148-e3be6c30e623}">
          <xlrd:rvb i="2532"/>
        </ext>
      </extLst>
    </bk>
    <bk>
      <extLst>
        <ext uri="{3e2802c4-a4d2-4d8b-9148-e3be6c30e623}">
          <xlrd:rvb i="2533"/>
        </ext>
      </extLst>
    </bk>
    <bk>
      <extLst>
        <ext uri="{3e2802c4-a4d2-4d8b-9148-e3be6c30e623}">
          <xlrd:rvb i="2534"/>
        </ext>
      </extLst>
    </bk>
    <bk>
      <extLst>
        <ext uri="{3e2802c4-a4d2-4d8b-9148-e3be6c30e623}">
          <xlrd:rvb i="2535"/>
        </ext>
      </extLst>
    </bk>
    <bk>
      <extLst>
        <ext uri="{3e2802c4-a4d2-4d8b-9148-e3be6c30e623}">
          <xlrd:rvb i="2536"/>
        </ext>
      </extLst>
    </bk>
    <bk>
      <extLst>
        <ext uri="{3e2802c4-a4d2-4d8b-9148-e3be6c30e623}">
          <xlrd:rvb i="2537"/>
        </ext>
      </extLst>
    </bk>
    <bk>
      <extLst>
        <ext uri="{3e2802c4-a4d2-4d8b-9148-e3be6c30e623}">
          <xlrd:rvb i="2538"/>
        </ext>
      </extLst>
    </bk>
    <bk>
      <extLst>
        <ext uri="{3e2802c4-a4d2-4d8b-9148-e3be6c30e623}">
          <xlrd:rvb i="2539"/>
        </ext>
      </extLst>
    </bk>
    <bk>
      <extLst>
        <ext uri="{3e2802c4-a4d2-4d8b-9148-e3be6c30e623}">
          <xlrd:rvb i="2540"/>
        </ext>
      </extLst>
    </bk>
    <bk>
      <extLst>
        <ext uri="{3e2802c4-a4d2-4d8b-9148-e3be6c30e623}">
          <xlrd:rvb i="2541"/>
        </ext>
      </extLst>
    </bk>
    <bk>
      <extLst>
        <ext uri="{3e2802c4-a4d2-4d8b-9148-e3be6c30e623}">
          <xlrd:rvb i="2542"/>
        </ext>
      </extLst>
    </bk>
    <bk>
      <extLst>
        <ext uri="{3e2802c4-a4d2-4d8b-9148-e3be6c30e623}">
          <xlrd:rvb i="2543"/>
        </ext>
      </extLst>
    </bk>
    <bk>
      <extLst>
        <ext uri="{3e2802c4-a4d2-4d8b-9148-e3be6c30e623}">
          <xlrd:rvb i="2544"/>
        </ext>
      </extLst>
    </bk>
    <bk>
      <extLst>
        <ext uri="{3e2802c4-a4d2-4d8b-9148-e3be6c30e623}">
          <xlrd:rvb i="2545"/>
        </ext>
      </extLst>
    </bk>
    <bk>
      <extLst>
        <ext uri="{3e2802c4-a4d2-4d8b-9148-e3be6c30e623}">
          <xlrd:rvb i="2546"/>
        </ext>
      </extLst>
    </bk>
    <bk>
      <extLst>
        <ext uri="{3e2802c4-a4d2-4d8b-9148-e3be6c30e623}">
          <xlrd:rvb i="2547"/>
        </ext>
      </extLst>
    </bk>
    <bk>
      <extLst>
        <ext uri="{3e2802c4-a4d2-4d8b-9148-e3be6c30e623}">
          <xlrd:rvb i="2548"/>
        </ext>
      </extLst>
    </bk>
    <bk>
      <extLst>
        <ext uri="{3e2802c4-a4d2-4d8b-9148-e3be6c30e623}">
          <xlrd:rvb i="2549"/>
        </ext>
      </extLst>
    </bk>
    <bk>
      <extLst>
        <ext uri="{3e2802c4-a4d2-4d8b-9148-e3be6c30e623}">
          <xlrd:rvb i="2550"/>
        </ext>
      </extLst>
    </bk>
    <bk>
      <extLst>
        <ext uri="{3e2802c4-a4d2-4d8b-9148-e3be6c30e623}">
          <xlrd:rvb i="2551"/>
        </ext>
      </extLst>
    </bk>
    <bk>
      <extLst>
        <ext uri="{3e2802c4-a4d2-4d8b-9148-e3be6c30e623}">
          <xlrd:rvb i="2552"/>
        </ext>
      </extLst>
    </bk>
    <bk>
      <extLst>
        <ext uri="{3e2802c4-a4d2-4d8b-9148-e3be6c30e623}">
          <xlrd:rvb i="2553"/>
        </ext>
      </extLst>
    </bk>
    <bk>
      <extLst>
        <ext uri="{3e2802c4-a4d2-4d8b-9148-e3be6c30e623}">
          <xlrd:rvb i="2554"/>
        </ext>
      </extLst>
    </bk>
    <bk>
      <extLst>
        <ext uri="{3e2802c4-a4d2-4d8b-9148-e3be6c30e623}">
          <xlrd:rvb i="2555"/>
        </ext>
      </extLst>
    </bk>
    <bk>
      <extLst>
        <ext uri="{3e2802c4-a4d2-4d8b-9148-e3be6c30e623}">
          <xlrd:rvb i="2556"/>
        </ext>
      </extLst>
    </bk>
    <bk>
      <extLst>
        <ext uri="{3e2802c4-a4d2-4d8b-9148-e3be6c30e623}">
          <xlrd:rvb i="2557"/>
        </ext>
      </extLst>
    </bk>
    <bk>
      <extLst>
        <ext uri="{3e2802c4-a4d2-4d8b-9148-e3be6c30e623}">
          <xlrd:rvb i="2558"/>
        </ext>
      </extLst>
    </bk>
    <bk>
      <extLst>
        <ext uri="{3e2802c4-a4d2-4d8b-9148-e3be6c30e623}">
          <xlrd:rvb i="2559"/>
        </ext>
      </extLst>
    </bk>
    <bk>
      <extLst>
        <ext uri="{3e2802c4-a4d2-4d8b-9148-e3be6c30e623}">
          <xlrd:rvb i="2560"/>
        </ext>
      </extLst>
    </bk>
    <bk>
      <extLst>
        <ext uri="{3e2802c4-a4d2-4d8b-9148-e3be6c30e623}">
          <xlrd:rvb i="2561"/>
        </ext>
      </extLst>
    </bk>
    <bk>
      <extLst>
        <ext uri="{3e2802c4-a4d2-4d8b-9148-e3be6c30e623}">
          <xlrd:rvb i="2562"/>
        </ext>
      </extLst>
    </bk>
    <bk>
      <extLst>
        <ext uri="{3e2802c4-a4d2-4d8b-9148-e3be6c30e623}">
          <xlrd:rvb i="2563"/>
        </ext>
      </extLst>
    </bk>
    <bk>
      <extLst>
        <ext uri="{3e2802c4-a4d2-4d8b-9148-e3be6c30e623}">
          <xlrd:rvb i="2564"/>
        </ext>
      </extLst>
    </bk>
    <bk>
      <extLst>
        <ext uri="{3e2802c4-a4d2-4d8b-9148-e3be6c30e623}">
          <xlrd:rvb i="2565"/>
        </ext>
      </extLst>
    </bk>
    <bk>
      <extLst>
        <ext uri="{3e2802c4-a4d2-4d8b-9148-e3be6c30e623}">
          <xlrd:rvb i="2566"/>
        </ext>
      </extLst>
    </bk>
    <bk>
      <extLst>
        <ext uri="{3e2802c4-a4d2-4d8b-9148-e3be6c30e623}">
          <xlrd:rvb i="2567"/>
        </ext>
      </extLst>
    </bk>
    <bk>
      <extLst>
        <ext uri="{3e2802c4-a4d2-4d8b-9148-e3be6c30e623}">
          <xlrd:rvb i="2568"/>
        </ext>
      </extLst>
    </bk>
    <bk>
      <extLst>
        <ext uri="{3e2802c4-a4d2-4d8b-9148-e3be6c30e623}">
          <xlrd:rvb i="2569"/>
        </ext>
      </extLst>
    </bk>
    <bk>
      <extLst>
        <ext uri="{3e2802c4-a4d2-4d8b-9148-e3be6c30e623}">
          <xlrd:rvb i="2570"/>
        </ext>
      </extLst>
    </bk>
    <bk>
      <extLst>
        <ext uri="{3e2802c4-a4d2-4d8b-9148-e3be6c30e623}">
          <xlrd:rvb i="2571"/>
        </ext>
      </extLst>
    </bk>
    <bk>
      <extLst>
        <ext uri="{3e2802c4-a4d2-4d8b-9148-e3be6c30e623}">
          <xlrd:rvb i="2572"/>
        </ext>
      </extLst>
    </bk>
    <bk>
      <extLst>
        <ext uri="{3e2802c4-a4d2-4d8b-9148-e3be6c30e623}">
          <xlrd:rvb i="2573"/>
        </ext>
      </extLst>
    </bk>
    <bk>
      <extLst>
        <ext uri="{3e2802c4-a4d2-4d8b-9148-e3be6c30e623}">
          <xlrd:rvb i="2574"/>
        </ext>
      </extLst>
    </bk>
    <bk>
      <extLst>
        <ext uri="{3e2802c4-a4d2-4d8b-9148-e3be6c30e623}">
          <xlrd:rvb i="2575"/>
        </ext>
      </extLst>
    </bk>
    <bk>
      <extLst>
        <ext uri="{3e2802c4-a4d2-4d8b-9148-e3be6c30e623}">
          <xlrd:rvb i="2576"/>
        </ext>
      </extLst>
    </bk>
    <bk>
      <extLst>
        <ext uri="{3e2802c4-a4d2-4d8b-9148-e3be6c30e623}">
          <xlrd:rvb i="2577"/>
        </ext>
      </extLst>
    </bk>
    <bk>
      <extLst>
        <ext uri="{3e2802c4-a4d2-4d8b-9148-e3be6c30e623}">
          <xlrd:rvb i="2578"/>
        </ext>
      </extLst>
    </bk>
    <bk>
      <extLst>
        <ext uri="{3e2802c4-a4d2-4d8b-9148-e3be6c30e623}">
          <xlrd:rvb i="2579"/>
        </ext>
      </extLst>
    </bk>
    <bk>
      <extLst>
        <ext uri="{3e2802c4-a4d2-4d8b-9148-e3be6c30e623}">
          <xlrd:rvb i="2580"/>
        </ext>
      </extLst>
    </bk>
    <bk>
      <extLst>
        <ext uri="{3e2802c4-a4d2-4d8b-9148-e3be6c30e623}">
          <xlrd:rvb i="2581"/>
        </ext>
      </extLst>
    </bk>
    <bk>
      <extLst>
        <ext uri="{3e2802c4-a4d2-4d8b-9148-e3be6c30e623}">
          <xlrd:rvb i="2582"/>
        </ext>
      </extLst>
    </bk>
    <bk>
      <extLst>
        <ext uri="{3e2802c4-a4d2-4d8b-9148-e3be6c30e623}">
          <xlrd:rvb i="2583"/>
        </ext>
      </extLst>
    </bk>
    <bk>
      <extLst>
        <ext uri="{3e2802c4-a4d2-4d8b-9148-e3be6c30e623}">
          <xlrd:rvb i="2584"/>
        </ext>
      </extLst>
    </bk>
    <bk>
      <extLst>
        <ext uri="{3e2802c4-a4d2-4d8b-9148-e3be6c30e623}">
          <xlrd:rvb i="2585"/>
        </ext>
      </extLst>
    </bk>
    <bk>
      <extLst>
        <ext uri="{3e2802c4-a4d2-4d8b-9148-e3be6c30e623}">
          <xlrd:rvb i="2586"/>
        </ext>
      </extLst>
    </bk>
    <bk>
      <extLst>
        <ext uri="{3e2802c4-a4d2-4d8b-9148-e3be6c30e623}">
          <xlrd:rvb i="2587"/>
        </ext>
      </extLst>
    </bk>
    <bk>
      <extLst>
        <ext uri="{3e2802c4-a4d2-4d8b-9148-e3be6c30e623}">
          <xlrd:rvb i="2588"/>
        </ext>
      </extLst>
    </bk>
    <bk>
      <extLst>
        <ext uri="{3e2802c4-a4d2-4d8b-9148-e3be6c30e623}">
          <xlrd:rvb i="2589"/>
        </ext>
      </extLst>
    </bk>
    <bk>
      <extLst>
        <ext uri="{3e2802c4-a4d2-4d8b-9148-e3be6c30e623}">
          <xlrd:rvb i="2590"/>
        </ext>
      </extLst>
    </bk>
    <bk>
      <extLst>
        <ext uri="{3e2802c4-a4d2-4d8b-9148-e3be6c30e623}">
          <xlrd:rvb i="2591"/>
        </ext>
      </extLst>
    </bk>
    <bk>
      <extLst>
        <ext uri="{3e2802c4-a4d2-4d8b-9148-e3be6c30e623}">
          <xlrd:rvb i="2592"/>
        </ext>
      </extLst>
    </bk>
    <bk>
      <extLst>
        <ext uri="{3e2802c4-a4d2-4d8b-9148-e3be6c30e623}">
          <xlrd:rvb i="2593"/>
        </ext>
      </extLst>
    </bk>
    <bk>
      <extLst>
        <ext uri="{3e2802c4-a4d2-4d8b-9148-e3be6c30e623}">
          <xlrd:rvb i="2594"/>
        </ext>
      </extLst>
    </bk>
    <bk>
      <extLst>
        <ext uri="{3e2802c4-a4d2-4d8b-9148-e3be6c30e623}">
          <xlrd:rvb i="2595"/>
        </ext>
      </extLst>
    </bk>
    <bk>
      <extLst>
        <ext uri="{3e2802c4-a4d2-4d8b-9148-e3be6c30e623}">
          <xlrd:rvb i="2596"/>
        </ext>
      </extLst>
    </bk>
    <bk>
      <extLst>
        <ext uri="{3e2802c4-a4d2-4d8b-9148-e3be6c30e623}">
          <xlrd:rvb i="2597"/>
        </ext>
      </extLst>
    </bk>
    <bk>
      <extLst>
        <ext uri="{3e2802c4-a4d2-4d8b-9148-e3be6c30e623}">
          <xlrd:rvb i="2598"/>
        </ext>
      </extLst>
    </bk>
    <bk>
      <extLst>
        <ext uri="{3e2802c4-a4d2-4d8b-9148-e3be6c30e623}">
          <xlrd:rvb i="2599"/>
        </ext>
      </extLst>
    </bk>
    <bk>
      <extLst>
        <ext uri="{3e2802c4-a4d2-4d8b-9148-e3be6c30e623}">
          <xlrd:rvb i="2600"/>
        </ext>
      </extLst>
    </bk>
    <bk>
      <extLst>
        <ext uri="{3e2802c4-a4d2-4d8b-9148-e3be6c30e623}">
          <xlrd:rvb i="2601"/>
        </ext>
      </extLst>
    </bk>
    <bk>
      <extLst>
        <ext uri="{3e2802c4-a4d2-4d8b-9148-e3be6c30e623}">
          <xlrd:rvb i="2602"/>
        </ext>
      </extLst>
    </bk>
    <bk>
      <extLst>
        <ext uri="{3e2802c4-a4d2-4d8b-9148-e3be6c30e623}">
          <xlrd:rvb i="2603"/>
        </ext>
      </extLst>
    </bk>
    <bk>
      <extLst>
        <ext uri="{3e2802c4-a4d2-4d8b-9148-e3be6c30e623}">
          <xlrd:rvb i="2604"/>
        </ext>
      </extLst>
    </bk>
    <bk>
      <extLst>
        <ext uri="{3e2802c4-a4d2-4d8b-9148-e3be6c30e623}">
          <xlrd:rvb i="2605"/>
        </ext>
      </extLst>
    </bk>
    <bk>
      <extLst>
        <ext uri="{3e2802c4-a4d2-4d8b-9148-e3be6c30e623}">
          <xlrd:rvb i="2606"/>
        </ext>
      </extLst>
    </bk>
    <bk>
      <extLst>
        <ext uri="{3e2802c4-a4d2-4d8b-9148-e3be6c30e623}">
          <xlrd:rvb i="2607"/>
        </ext>
      </extLst>
    </bk>
    <bk>
      <extLst>
        <ext uri="{3e2802c4-a4d2-4d8b-9148-e3be6c30e623}">
          <xlrd:rvb i="2608"/>
        </ext>
      </extLst>
    </bk>
    <bk>
      <extLst>
        <ext uri="{3e2802c4-a4d2-4d8b-9148-e3be6c30e623}">
          <xlrd:rvb i="2609"/>
        </ext>
      </extLst>
    </bk>
    <bk>
      <extLst>
        <ext uri="{3e2802c4-a4d2-4d8b-9148-e3be6c30e623}">
          <xlrd:rvb i="2610"/>
        </ext>
      </extLst>
    </bk>
    <bk>
      <extLst>
        <ext uri="{3e2802c4-a4d2-4d8b-9148-e3be6c30e623}">
          <xlrd:rvb i="2611"/>
        </ext>
      </extLst>
    </bk>
    <bk>
      <extLst>
        <ext uri="{3e2802c4-a4d2-4d8b-9148-e3be6c30e623}">
          <xlrd:rvb i="2612"/>
        </ext>
      </extLst>
    </bk>
    <bk>
      <extLst>
        <ext uri="{3e2802c4-a4d2-4d8b-9148-e3be6c30e623}">
          <xlrd:rvb i="2613"/>
        </ext>
      </extLst>
    </bk>
    <bk>
      <extLst>
        <ext uri="{3e2802c4-a4d2-4d8b-9148-e3be6c30e623}">
          <xlrd:rvb i="2614"/>
        </ext>
      </extLst>
    </bk>
    <bk>
      <extLst>
        <ext uri="{3e2802c4-a4d2-4d8b-9148-e3be6c30e623}">
          <xlrd:rvb i="2615"/>
        </ext>
      </extLst>
    </bk>
    <bk>
      <extLst>
        <ext uri="{3e2802c4-a4d2-4d8b-9148-e3be6c30e623}">
          <xlrd:rvb i="2616"/>
        </ext>
      </extLst>
    </bk>
    <bk>
      <extLst>
        <ext uri="{3e2802c4-a4d2-4d8b-9148-e3be6c30e623}">
          <xlrd:rvb i="2617"/>
        </ext>
      </extLst>
    </bk>
    <bk>
      <extLst>
        <ext uri="{3e2802c4-a4d2-4d8b-9148-e3be6c30e623}">
          <xlrd:rvb i="2618"/>
        </ext>
      </extLst>
    </bk>
    <bk>
      <extLst>
        <ext uri="{3e2802c4-a4d2-4d8b-9148-e3be6c30e623}">
          <xlrd:rvb i="2619"/>
        </ext>
      </extLst>
    </bk>
    <bk>
      <extLst>
        <ext uri="{3e2802c4-a4d2-4d8b-9148-e3be6c30e623}">
          <xlrd:rvb i="2620"/>
        </ext>
      </extLst>
    </bk>
    <bk>
      <extLst>
        <ext uri="{3e2802c4-a4d2-4d8b-9148-e3be6c30e623}">
          <xlrd:rvb i="2621"/>
        </ext>
      </extLst>
    </bk>
    <bk>
      <extLst>
        <ext uri="{3e2802c4-a4d2-4d8b-9148-e3be6c30e623}">
          <xlrd:rvb i="2622"/>
        </ext>
      </extLst>
    </bk>
    <bk>
      <extLst>
        <ext uri="{3e2802c4-a4d2-4d8b-9148-e3be6c30e623}">
          <xlrd:rvb i="2623"/>
        </ext>
      </extLst>
    </bk>
    <bk>
      <extLst>
        <ext uri="{3e2802c4-a4d2-4d8b-9148-e3be6c30e623}">
          <xlrd:rvb i="2624"/>
        </ext>
      </extLst>
    </bk>
    <bk>
      <extLst>
        <ext uri="{3e2802c4-a4d2-4d8b-9148-e3be6c30e623}">
          <xlrd:rvb i="2625"/>
        </ext>
      </extLst>
    </bk>
    <bk>
      <extLst>
        <ext uri="{3e2802c4-a4d2-4d8b-9148-e3be6c30e623}">
          <xlrd:rvb i="2626"/>
        </ext>
      </extLst>
    </bk>
    <bk>
      <extLst>
        <ext uri="{3e2802c4-a4d2-4d8b-9148-e3be6c30e623}">
          <xlrd:rvb i="2627"/>
        </ext>
      </extLst>
    </bk>
    <bk>
      <extLst>
        <ext uri="{3e2802c4-a4d2-4d8b-9148-e3be6c30e623}">
          <xlrd:rvb i="2628"/>
        </ext>
      </extLst>
    </bk>
    <bk>
      <extLst>
        <ext uri="{3e2802c4-a4d2-4d8b-9148-e3be6c30e623}">
          <xlrd:rvb i="2629"/>
        </ext>
      </extLst>
    </bk>
    <bk>
      <extLst>
        <ext uri="{3e2802c4-a4d2-4d8b-9148-e3be6c30e623}">
          <xlrd:rvb i="2630"/>
        </ext>
      </extLst>
    </bk>
    <bk>
      <extLst>
        <ext uri="{3e2802c4-a4d2-4d8b-9148-e3be6c30e623}">
          <xlrd:rvb i="2631"/>
        </ext>
      </extLst>
    </bk>
    <bk>
      <extLst>
        <ext uri="{3e2802c4-a4d2-4d8b-9148-e3be6c30e623}">
          <xlrd:rvb i="2632"/>
        </ext>
      </extLst>
    </bk>
    <bk>
      <extLst>
        <ext uri="{3e2802c4-a4d2-4d8b-9148-e3be6c30e623}">
          <xlrd:rvb i="2633"/>
        </ext>
      </extLst>
    </bk>
    <bk>
      <extLst>
        <ext uri="{3e2802c4-a4d2-4d8b-9148-e3be6c30e623}">
          <xlrd:rvb i="2634"/>
        </ext>
      </extLst>
    </bk>
    <bk>
      <extLst>
        <ext uri="{3e2802c4-a4d2-4d8b-9148-e3be6c30e623}">
          <xlrd:rvb i="2635"/>
        </ext>
      </extLst>
    </bk>
    <bk>
      <extLst>
        <ext uri="{3e2802c4-a4d2-4d8b-9148-e3be6c30e623}">
          <xlrd:rvb i="2636"/>
        </ext>
      </extLst>
    </bk>
    <bk>
      <extLst>
        <ext uri="{3e2802c4-a4d2-4d8b-9148-e3be6c30e623}">
          <xlrd:rvb i="2637"/>
        </ext>
      </extLst>
    </bk>
    <bk>
      <extLst>
        <ext uri="{3e2802c4-a4d2-4d8b-9148-e3be6c30e623}">
          <xlrd:rvb i="2638"/>
        </ext>
      </extLst>
    </bk>
    <bk>
      <extLst>
        <ext uri="{3e2802c4-a4d2-4d8b-9148-e3be6c30e623}">
          <xlrd:rvb i="2639"/>
        </ext>
      </extLst>
    </bk>
    <bk>
      <extLst>
        <ext uri="{3e2802c4-a4d2-4d8b-9148-e3be6c30e623}">
          <xlrd:rvb i="2640"/>
        </ext>
      </extLst>
    </bk>
    <bk>
      <extLst>
        <ext uri="{3e2802c4-a4d2-4d8b-9148-e3be6c30e623}">
          <xlrd:rvb i="2641"/>
        </ext>
      </extLst>
    </bk>
    <bk>
      <extLst>
        <ext uri="{3e2802c4-a4d2-4d8b-9148-e3be6c30e623}">
          <xlrd:rvb i="2642"/>
        </ext>
      </extLst>
    </bk>
    <bk>
      <extLst>
        <ext uri="{3e2802c4-a4d2-4d8b-9148-e3be6c30e623}">
          <xlrd:rvb i="2643"/>
        </ext>
      </extLst>
    </bk>
    <bk>
      <extLst>
        <ext uri="{3e2802c4-a4d2-4d8b-9148-e3be6c30e623}">
          <xlrd:rvb i="2644"/>
        </ext>
      </extLst>
    </bk>
    <bk>
      <extLst>
        <ext uri="{3e2802c4-a4d2-4d8b-9148-e3be6c30e623}">
          <xlrd:rvb i="2645"/>
        </ext>
      </extLst>
    </bk>
    <bk>
      <extLst>
        <ext uri="{3e2802c4-a4d2-4d8b-9148-e3be6c30e623}">
          <xlrd:rvb i="2646"/>
        </ext>
      </extLst>
    </bk>
    <bk>
      <extLst>
        <ext uri="{3e2802c4-a4d2-4d8b-9148-e3be6c30e623}">
          <xlrd:rvb i="2647"/>
        </ext>
      </extLst>
    </bk>
    <bk>
      <extLst>
        <ext uri="{3e2802c4-a4d2-4d8b-9148-e3be6c30e623}">
          <xlrd:rvb i="2648"/>
        </ext>
      </extLst>
    </bk>
    <bk>
      <extLst>
        <ext uri="{3e2802c4-a4d2-4d8b-9148-e3be6c30e623}">
          <xlrd:rvb i="2649"/>
        </ext>
      </extLst>
    </bk>
    <bk>
      <extLst>
        <ext uri="{3e2802c4-a4d2-4d8b-9148-e3be6c30e623}">
          <xlrd:rvb i="2650"/>
        </ext>
      </extLst>
    </bk>
    <bk>
      <extLst>
        <ext uri="{3e2802c4-a4d2-4d8b-9148-e3be6c30e623}">
          <xlrd:rvb i="2651"/>
        </ext>
      </extLst>
    </bk>
    <bk>
      <extLst>
        <ext uri="{3e2802c4-a4d2-4d8b-9148-e3be6c30e623}">
          <xlrd:rvb i="2652"/>
        </ext>
      </extLst>
    </bk>
    <bk>
      <extLst>
        <ext uri="{3e2802c4-a4d2-4d8b-9148-e3be6c30e623}">
          <xlrd:rvb i="2653"/>
        </ext>
      </extLst>
    </bk>
    <bk>
      <extLst>
        <ext uri="{3e2802c4-a4d2-4d8b-9148-e3be6c30e623}">
          <xlrd:rvb i="2654"/>
        </ext>
      </extLst>
    </bk>
    <bk>
      <extLst>
        <ext uri="{3e2802c4-a4d2-4d8b-9148-e3be6c30e623}">
          <xlrd:rvb i="2655"/>
        </ext>
      </extLst>
    </bk>
    <bk>
      <extLst>
        <ext uri="{3e2802c4-a4d2-4d8b-9148-e3be6c30e623}">
          <xlrd:rvb i="2656"/>
        </ext>
      </extLst>
    </bk>
    <bk>
      <extLst>
        <ext uri="{3e2802c4-a4d2-4d8b-9148-e3be6c30e623}">
          <xlrd:rvb i="2657"/>
        </ext>
      </extLst>
    </bk>
    <bk>
      <extLst>
        <ext uri="{3e2802c4-a4d2-4d8b-9148-e3be6c30e623}">
          <xlrd:rvb i="2658"/>
        </ext>
      </extLst>
    </bk>
    <bk>
      <extLst>
        <ext uri="{3e2802c4-a4d2-4d8b-9148-e3be6c30e623}">
          <xlrd:rvb i="2659"/>
        </ext>
      </extLst>
    </bk>
    <bk>
      <extLst>
        <ext uri="{3e2802c4-a4d2-4d8b-9148-e3be6c30e623}">
          <xlrd:rvb i="2660"/>
        </ext>
      </extLst>
    </bk>
    <bk>
      <extLst>
        <ext uri="{3e2802c4-a4d2-4d8b-9148-e3be6c30e623}">
          <xlrd:rvb i="2661"/>
        </ext>
      </extLst>
    </bk>
    <bk>
      <extLst>
        <ext uri="{3e2802c4-a4d2-4d8b-9148-e3be6c30e623}">
          <xlrd:rvb i="2662"/>
        </ext>
      </extLst>
    </bk>
    <bk>
      <extLst>
        <ext uri="{3e2802c4-a4d2-4d8b-9148-e3be6c30e623}">
          <xlrd:rvb i="2663"/>
        </ext>
      </extLst>
    </bk>
    <bk>
      <extLst>
        <ext uri="{3e2802c4-a4d2-4d8b-9148-e3be6c30e623}">
          <xlrd:rvb i="2664"/>
        </ext>
      </extLst>
    </bk>
    <bk>
      <extLst>
        <ext uri="{3e2802c4-a4d2-4d8b-9148-e3be6c30e623}">
          <xlrd:rvb i="2665"/>
        </ext>
      </extLst>
    </bk>
    <bk>
      <extLst>
        <ext uri="{3e2802c4-a4d2-4d8b-9148-e3be6c30e623}">
          <xlrd:rvb i="2666"/>
        </ext>
      </extLst>
    </bk>
    <bk>
      <extLst>
        <ext uri="{3e2802c4-a4d2-4d8b-9148-e3be6c30e623}">
          <xlrd:rvb i="2667"/>
        </ext>
      </extLst>
    </bk>
    <bk>
      <extLst>
        <ext uri="{3e2802c4-a4d2-4d8b-9148-e3be6c30e623}">
          <xlrd:rvb i="2668"/>
        </ext>
      </extLst>
    </bk>
    <bk>
      <extLst>
        <ext uri="{3e2802c4-a4d2-4d8b-9148-e3be6c30e623}">
          <xlrd:rvb i="2669"/>
        </ext>
      </extLst>
    </bk>
    <bk>
      <extLst>
        <ext uri="{3e2802c4-a4d2-4d8b-9148-e3be6c30e623}">
          <xlrd:rvb i="2670"/>
        </ext>
      </extLst>
    </bk>
    <bk>
      <extLst>
        <ext uri="{3e2802c4-a4d2-4d8b-9148-e3be6c30e623}">
          <xlrd:rvb i="2671"/>
        </ext>
      </extLst>
    </bk>
    <bk>
      <extLst>
        <ext uri="{3e2802c4-a4d2-4d8b-9148-e3be6c30e623}">
          <xlrd:rvb i="2672"/>
        </ext>
      </extLst>
    </bk>
    <bk>
      <extLst>
        <ext uri="{3e2802c4-a4d2-4d8b-9148-e3be6c30e623}">
          <xlrd:rvb i="2673"/>
        </ext>
      </extLst>
    </bk>
    <bk>
      <extLst>
        <ext uri="{3e2802c4-a4d2-4d8b-9148-e3be6c30e623}">
          <xlrd:rvb i="2674"/>
        </ext>
      </extLst>
    </bk>
    <bk>
      <extLst>
        <ext uri="{3e2802c4-a4d2-4d8b-9148-e3be6c30e623}">
          <xlrd:rvb i="2675"/>
        </ext>
      </extLst>
    </bk>
    <bk>
      <extLst>
        <ext uri="{3e2802c4-a4d2-4d8b-9148-e3be6c30e623}">
          <xlrd:rvb i="2676"/>
        </ext>
      </extLst>
    </bk>
    <bk>
      <extLst>
        <ext uri="{3e2802c4-a4d2-4d8b-9148-e3be6c30e623}">
          <xlrd:rvb i="2677"/>
        </ext>
      </extLst>
    </bk>
    <bk>
      <extLst>
        <ext uri="{3e2802c4-a4d2-4d8b-9148-e3be6c30e623}">
          <xlrd:rvb i="2678"/>
        </ext>
      </extLst>
    </bk>
    <bk>
      <extLst>
        <ext uri="{3e2802c4-a4d2-4d8b-9148-e3be6c30e623}">
          <xlrd:rvb i="2679"/>
        </ext>
      </extLst>
    </bk>
    <bk>
      <extLst>
        <ext uri="{3e2802c4-a4d2-4d8b-9148-e3be6c30e623}">
          <xlrd:rvb i="2680"/>
        </ext>
      </extLst>
    </bk>
    <bk>
      <extLst>
        <ext uri="{3e2802c4-a4d2-4d8b-9148-e3be6c30e623}">
          <xlrd:rvb i="2681"/>
        </ext>
      </extLst>
    </bk>
    <bk>
      <extLst>
        <ext uri="{3e2802c4-a4d2-4d8b-9148-e3be6c30e623}">
          <xlrd:rvb i="2682"/>
        </ext>
      </extLst>
    </bk>
    <bk>
      <extLst>
        <ext uri="{3e2802c4-a4d2-4d8b-9148-e3be6c30e623}">
          <xlrd:rvb i="2683"/>
        </ext>
      </extLst>
    </bk>
    <bk>
      <extLst>
        <ext uri="{3e2802c4-a4d2-4d8b-9148-e3be6c30e623}">
          <xlrd:rvb i="2684"/>
        </ext>
      </extLst>
    </bk>
    <bk>
      <extLst>
        <ext uri="{3e2802c4-a4d2-4d8b-9148-e3be6c30e623}">
          <xlrd:rvb i="2685"/>
        </ext>
      </extLst>
    </bk>
    <bk>
      <extLst>
        <ext uri="{3e2802c4-a4d2-4d8b-9148-e3be6c30e623}">
          <xlrd:rvb i="2686"/>
        </ext>
      </extLst>
    </bk>
    <bk>
      <extLst>
        <ext uri="{3e2802c4-a4d2-4d8b-9148-e3be6c30e623}">
          <xlrd:rvb i="2687"/>
        </ext>
      </extLst>
    </bk>
    <bk>
      <extLst>
        <ext uri="{3e2802c4-a4d2-4d8b-9148-e3be6c30e623}">
          <xlrd:rvb i="2688"/>
        </ext>
      </extLst>
    </bk>
    <bk>
      <extLst>
        <ext uri="{3e2802c4-a4d2-4d8b-9148-e3be6c30e623}">
          <xlrd:rvb i="2689"/>
        </ext>
      </extLst>
    </bk>
    <bk>
      <extLst>
        <ext uri="{3e2802c4-a4d2-4d8b-9148-e3be6c30e623}">
          <xlrd:rvb i="2690"/>
        </ext>
      </extLst>
    </bk>
    <bk>
      <extLst>
        <ext uri="{3e2802c4-a4d2-4d8b-9148-e3be6c30e623}">
          <xlrd:rvb i="2691"/>
        </ext>
      </extLst>
    </bk>
    <bk>
      <extLst>
        <ext uri="{3e2802c4-a4d2-4d8b-9148-e3be6c30e623}">
          <xlrd:rvb i="2692"/>
        </ext>
      </extLst>
    </bk>
    <bk>
      <extLst>
        <ext uri="{3e2802c4-a4d2-4d8b-9148-e3be6c30e623}">
          <xlrd:rvb i="2693"/>
        </ext>
      </extLst>
    </bk>
    <bk>
      <extLst>
        <ext uri="{3e2802c4-a4d2-4d8b-9148-e3be6c30e623}">
          <xlrd:rvb i="2694"/>
        </ext>
      </extLst>
    </bk>
    <bk>
      <extLst>
        <ext uri="{3e2802c4-a4d2-4d8b-9148-e3be6c30e623}">
          <xlrd:rvb i="2695"/>
        </ext>
      </extLst>
    </bk>
    <bk>
      <extLst>
        <ext uri="{3e2802c4-a4d2-4d8b-9148-e3be6c30e623}">
          <xlrd:rvb i="2696"/>
        </ext>
      </extLst>
    </bk>
    <bk>
      <extLst>
        <ext uri="{3e2802c4-a4d2-4d8b-9148-e3be6c30e623}">
          <xlrd:rvb i="2697"/>
        </ext>
      </extLst>
    </bk>
    <bk>
      <extLst>
        <ext uri="{3e2802c4-a4d2-4d8b-9148-e3be6c30e623}">
          <xlrd:rvb i="2698"/>
        </ext>
      </extLst>
    </bk>
    <bk>
      <extLst>
        <ext uri="{3e2802c4-a4d2-4d8b-9148-e3be6c30e623}">
          <xlrd:rvb i="2699"/>
        </ext>
      </extLst>
    </bk>
    <bk>
      <extLst>
        <ext uri="{3e2802c4-a4d2-4d8b-9148-e3be6c30e623}">
          <xlrd:rvb i="2700"/>
        </ext>
      </extLst>
    </bk>
    <bk>
      <extLst>
        <ext uri="{3e2802c4-a4d2-4d8b-9148-e3be6c30e623}">
          <xlrd:rvb i="2701"/>
        </ext>
      </extLst>
    </bk>
    <bk>
      <extLst>
        <ext uri="{3e2802c4-a4d2-4d8b-9148-e3be6c30e623}">
          <xlrd:rvb i="2702"/>
        </ext>
      </extLst>
    </bk>
    <bk>
      <extLst>
        <ext uri="{3e2802c4-a4d2-4d8b-9148-e3be6c30e623}">
          <xlrd:rvb i="2703"/>
        </ext>
      </extLst>
    </bk>
    <bk>
      <extLst>
        <ext uri="{3e2802c4-a4d2-4d8b-9148-e3be6c30e623}">
          <xlrd:rvb i="2704"/>
        </ext>
      </extLst>
    </bk>
    <bk>
      <extLst>
        <ext uri="{3e2802c4-a4d2-4d8b-9148-e3be6c30e623}">
          <xlrd:rvb i="2705"/>
        </ext>
      </extLst>
    </bk>
    <bk>
      <extLst>
        <ext uri="{3e2802c4-a4d2-4d8b-9148-e3be6c30e623}">
          <xlrd:rvb i="2706"/>
        </ext>
      </extLst>
    </bk>
    <bk>
      <extLst>
        <ext uri="{3e2802c4-a4d2-4d8b-9148-e3be6c30e623}">
          <xlrd:rvb i="2707"/>
        </ext>
      </extLst>
    </bk>
    <bk>
      <extLst>
        <ext uri="{3e2802c4-a4d2-4d8b-9148-e3be6c30e623}">
          <xlrd:rvb i="2708"/>
        </ext>
      </extLst>
    </bk>
    <bk>
      <extLst>
        <ext uri="{3e2802c4-a4d2-4d8b-9148-e3be6c30e623}">
          <xlrd:rvb i="2709"/>
        </ext>
      </extLst>
    </bk>
    <bk>
      <extLst>
        <ext uri="{3e2802c4-a4d2-4d8b-9148-e3be6c30e623}">
          <xlrd:rvb i="2710"/>
        </ext>
      </extLst>
    </bk>
    <bk>
      <extLst>
        <ext uri="{3e2802c4-a4d2-4d8b-9148-e3be6c30e623}">
          <xlrd:rvb i="2711"/>
        </ext>
      </extLst>
    </bk>
    <bk>
      <extLst>
        <ext uri="{3e2802c4-a4d2-4d8b-9148-e3be6c30e623}">
          <xlrd:rvb i="2712"/>
        </ext>
      </extLst>
    </bk>
    <bk>
      <extLst>
        <ext uri="{3e2802c4-a4d2-4d8b-9148-e3be6c30e623}">
          <xlrd:rvb i="2713"/>
        </ext>
      </extLst>
    </bk>
    <bk>
      <extLst>
        <ext uri="{3e2802c4-a4d2-4d8b-9148-e3be6c30e623}">
          <xlrd:rvb i="2714"/>
        </ext>
      </extLst>
    </bk>
    <bk>
      <extLst>
        <ext uri="{3e2802c4-a4d2-4d8b-9148-e3be6c30e623}">
          <xlrd:rvb i="2715"/>
        </ext>
      </extLst>
    </bk>
    <bk>
      <extLst>
        <ext uri="{3e2802c4-a4d2-4d8b-9148-e3be6c30e623}">
          <xlrd:rvb i="2716"/>
        </ext>
      </extLst>
    </bk>
    <bk>
      <extLst>
        <ext uri="{3e2802c4-a4d2-4d8b-9148-e3be6c30e623}">
          <xlrd:rvb i="2717"/>
        </ext>
      </extLst>
    </bk>
    <bk>
      <extLst>
        <ext uri="{3e2802c4-a4d2-4d8b-9148-e3be6c30e623}">
          <xlrd:rvb i="2718"/>
        </ext>
      </extLst>
    </bk>
    <bk>
      <extLst>
        <ext uri="{3e2802c4-a4d2-4d8b-9148-e3be6c30e623}">
          <xlrd:rvb i="2719"/>
        </ext>
      </extLst>
    </bk>
    <bk>
      <extLst>
        <ext uri="{3e2802c4-a4d2-4d8b-9148-e3be6c30e623}">
          <xlrd:rvb i="2720"/>
        </ext>
      </extLst>
    </bk>
    <bk>
      <extLst>
        <ext uri="{3e2802c4-a4d2-4d8b-9148-e3be6c30e623}">
          <xlrd:rvb i="2721"/>
        </ext>
      </extLst>
    </bk>
    <bk>
      <extLst>
        <ext uri="{3e2802c4-a4d2-4d8b-9148-e3be6c30e623}">
          <xlrd:rvb i="2722"/>
        </ext>
      </extLst>
    </bk>
    <bk>
      <extLst>
        <ext uri="{3e2802c4-a4d2-4d8b-9148-e3be6c30e623}">
          <xlrd:rvb i="2723"/>
        </ext>
      </extLst>
    </bk>
    <bk>
      <extLst>
        <ext uri="{3e2802c4-a4d2-4d8b-9148-e3be6c30e623}">
          <xlrd:rvb i="2724"/>
        </ext>
      </extLst>
    </bk>
    <bk>
      <extLst>
        <ext uri="{3e2802c4-a4d2-4d8b-9148-e3be6c30e623}">
          <xlrd:rvb i="2725"/>
        </ext>
      </extLst>
    </bk>
    <bk>
      <extLst>
        <ext uri="{3e2802c4-a4d2-4d8b-9148-e3be6c30e623}">
          <xlrd:rvb i="2726"/>
        </ext>
      </extLst>
    </bk>
    <bk>
      <extLst>
        <ext uri="{3e2802c4-a4d2-4d8b-9148-e3be6c30e623}">
          <xlrd:rvb i="2727"/>
        </ext>
      </extLst>
    </bk>
    <bk>
      <extLst>
        <ext uri="{3e2802c4-a4d2-4d8b-9148-e3be6c30e623}">
          <xlrd:rvb i="2728"/>
        </ext>
      </extLst>
    </bk>
    <bk>
      <extLst>
        <ext uri="{3e2802c4-a4d2-4d8b-9148-e3be6c30e623}">
          <xlrd:rvb i="2729"/>
        </ext>
      </extLst>
    </bk>
    <bk>
      <extLst>
        <ext uri="{3e2802c4-a4d2-4d8b-9148-e3be6c30e623}">
          <xlrd:rvb i="2730"/>
        </ext>
      </extLst>
    </bk>
    <bk>
      <extLst>
        <ext uri="{3e2802c4-a4d2-4d8b-9148-e3be6c30e623}">
          <xlrd:rvb i="2731"/>
        </ext>
      </extLst>
    </bk>
    <bk>
      <extLst>
        <ext uri="{3e2802c4-a4d2-4d8b-9148-e3be6c30e623}">
          <xlrd:rvb i="2732"/>
        </ext>
      </extLst>
    </bk>
    <bk>
      <extLst>
        <ext uri="{3e2802c4-a4d2-4d8b-9148-e3be6c30e623}">
          <xlrd:rvb i="2733"/>
        </ext>
      </extLst>
    </bk>
    <bk>
      <extLst>
        <ext uri="{3e2802c4-a4d2-4d8b-9148-e3be6c30e623}">
          <xlrd:rvb i="2734"/>
        </ext>
      </extLst>
    </bk>
    <bk>
      <extLst>
        <ext uri="{3e2802c4-a4d2-4d8b-9148-e3be6c30e623}">
          <xlrd:rvb i="2735"/>
        </ext>
      </extLst>
    </bk>
    <bk>
      <extLst>
        <ext uri="{3e2802c4-a4d2-4d8b-9148-e3be6c30e623}">
          <xlrd:rvb i="2736"/>
        </ext>
      </extLst>
    </bk>
    <bk>
      <extLst>
        <ext uri="{3e2802c4-a4d2-4d8b-9148-e3be6c30e623}">
          <xlrd:rvb i="2737"/>
        </ext>
      </extLst>
    </bk>
    <bk>
      <extLst>
        <ext uri="{3e2802c4-a4d2-4d8b-9148-e3be6c30e623}">
          <xlrd:rvb i="2738"/>
        </ext>
      </extLst>
    </bk>
    <bk>
      <extLst>
        <ext uri="{3e2802c4-a4d2-4d8b-9148-e3be6c30e623}">
          <xlrd:rvb i="2739"/>
        </ext>
      </extLst>
    </bk>
    <bk>
      <extLst>
        <ext uri="{3e2802c4-a4d2-4d8b-9148-e3be6c30e623}">
          <xlrd:rvb i="2740"/>
        </ext>
      </extLst>
    </bk>
    <bk>
      <extLst>
        <ext uri="{3e2802c4-a4d2-4d8b-9148-e3be6c30e623}">
          <xlrd:rvb i="2741"/>
        </ext>
      </extLst>
    </bk>
    <bk>
      <extLst>
        <ext uri="{3e2802c4-a4d2-4d8b-9148-e3be6c30e623}">
          <xlrd:rvb i="2742"/>
        </ext>
      </extLst>
    </bk>
    <bk>
      <extLst>
        <ext uri="{3e2802c4-a4d2-4d8b-9148-e3be6c30e623}">
          <xlrd:rvb i="2743"/>
        </ext>
      </extLst>
    </bk>
    <bk>
      <extLst>
        <ext uri="{3e2802c4-a4d2-4d8b-9148-e3be6c30e623}">
          <xlrd:rvb i="2744"/>
        </ext>
      </extLst>
    </bk>
    <bk>
      <extLst>
        <ext uri="{3e2802c4-a4d2-4d8b-9148-e3be6c30e623}">
          <xlrd:rvb i="2745"/>
        </ext>
      </extLst>
    </bk>
    <bk>
      <extLst>
        <ext uri="{3e2802c4-a4d2-4d8b-9148-e3be6c30e623}">
          <xlrd:rvb i="2746"/>
        </ext>
      </extLst>
    </bk>
    <bk>
      <extLst>
        <ext uri="{3e2802c4-a4d2-4d8b-9148-e3be6c30e623}">
          <xlrd:rvb i="2747"/>
        </ext>
      </extLst>
    </bk>
    <bk>
      <extLst>
        <ext uri="{3e2802c4-a4d2-4d8b-9148-e3be6c30e623}">
          <xlrd:rvb i="2748"/>
        </ext>
      </extLst>
    </bk>
    <bk>
      <extLst>
        <ext uri="{3e2802c4-a4d2-4d8b-9148-e3be6c30e623}">
          <xlrd:rvb i="2749"/>
        </ext>
      </extLst>
    </bk>
    <bk>
      <extLst>
        <ext uri="{3e2802c4-a4d2-4d8b-9148-e3be6c30e623}">
          <xlrd:rvb i="2750"/>
        </ext>
      </extLst>
    </bk>
    <bk>
      <extLst>
        <ext uri="{3e2802c4-a4d2-4d8b-9148-e3be6c30e623}">
          <xlrd:rvb i="2751"/>
        </ext>
      </extLst>
    </bk>
    <bk>
      <extLst>
        <ext uri="{3e2802c4-a4d2-4d8b-9148-e3be6c30e623}">
          <xlrd:rvb i="2752"/>
        </ext>
      </extLst>
    </bk>
    <bk>
      <extLst>
        <ext uri="{3e2802c4-a4d2-4d8b-9148-e3be6c30e623}">
          <xlrd:rvb i="2753"/>
        </ext>
      </extLst>
    </bk>
    <bk>
      <extLst>
        <ext uri="{3e2802c4-a4d2-4d8b-9148-e3be6c30e623}">
          <xlrd:rvb i="2754"/>
        </ext>
      </extLst>
    </bk>
    <bk>
      <extLst>
        <ext uri="{3e2802c4-a4d2-4d8b-9148-e3be6c30e623}">
          <xlrd:rvb i="2755"/>
        </ext>
      </extLst>
    </bk>
    <bk>
      <extLst>
        <ext uri="{3e2802c4-a4d2-4d8b-9148-e3be6c30e623}">
          <xlrd:rvb i="2756"/>
        </ext>
      </extLst>
    </bk>
    <bk>
      <extLst>
        <ext uri="{3e2802c4-a4d2-4d8b-9148-e3be6c30e623}">
          <xlrd:rvb i="2757"/>
        </ext>
      </extLst>
    </bk>
    <bk>
      <extLst>
        <ext uri="{3e2802c4-a4d2-4d8b-9148-e3be6c30e623}">
          <xlrd:rvb i="2758"/>
        </ext>
      </extLst>
    </bk>
    <bk>
      <extLst>
        <ext uri="{3e2802c4-a4d2-4d8b-9148-e3be6c30e623}">
          <xlrd:rvb i="2759"/>
        </ext>
      </extLst>
    </bk>
    <bk>
      <extLst>
        <ext uri="{3e2802c4-a4d2-4d8b-9148-e3be6c30e623}">
          <xlrd:rvb i="2760"/>
        </ext>
      </extLst>
    </bk>
    <bk>
      <extLst>
        <ext uri="{3e2802c4-a4d2-4d8b-9148-e3be6c30e623}">
          <xlrd:rvb i="2761"/>
        </ext>
      </extLst>
    </bk>
    <bk>
      <extLst>
        <ext uri="{3e2802c4-a4d2-4d8b-9148-e3be6c30e623}">
          <xlrd:rvb i="2762"/>
        </ext>
      </extLst>
    </bk>
    <bk>
      <extLst>
        <ext uri="{3e2802c4-a4d2-4d8b-9148-e3be6c30e623}">
          <xlrd:rvb i="2763"/>
        </ext>
      </extLst>
    </bk>
    <bk>
      <extLst>
        <ext uri="{3e2802c4-a4d2-4d8b-9148-e3be6c30e623}">
          <xlrd:rvb i="2764"/>
        </ext>
      </extLst>
    </bk>
    <bk>
      <extLst>
        <ext uri="{3e2802c4-a4d2-4d8b-9148-e3be6c30e623}">
          <xlrd:rvb i="2765"/>
        </ext>
      </extLst>
    </bk>
    <bk>
      <extLst>
        <ext uri="{3e2802c4-a4d2-4d8b-9148-e3be6c30e623}">
          <xlrd:rvb i="2766"/>
        </ext>
      </extLst>
    </bk>
    <bk>
      <extLst>
        <ext uri="{3e2802c4-a4d2-4d8b-9148-e3be6c30e623}">
          <xlrd:rvb i="2767"/>
        </ext>
      </extLst>
    </bk>
    <bk>
      <extLst>
        <ext uri="{3e2802c4-a4d2-4d8b-9148-e3be6c30e623}">
          <xlrd:rvb i="2768"/>
        </ext>
      </extLst>
    </bk>
    <bk>
      <extLst>
        <ext uri="{3e2802c4-a4d2-4d8b-9148-e3be6c30e623}">
          <xlrd:rvb i="2769"/>
        </ext>
      </extLst>
    </bk>
    <bk>
      <extLst>
        <ext uri="{3e2802c4-a4d2-4d8b-9148-e3be6c30e623}">
          <xlrd:rvb i="2770"/>
        </ext>
      </extLst>
    </bk>
    <bk>
      <extLst>
        <ext uri="{3e2802c4-a4d2-4d8b-9148-e3be6c30e623}">
          <xlrd:rvb i="2771"/>
        </ext>
      </extLst>
    </bk>
    <bk>
      <extLst>
        <ext uri="{3e2802c4-a4d2-4d8b-9148-e3be6c30e623}">
          <xlrd:rvb i="2772"/>
        </ext>
      </extLst>
    </bk>
    <bk>
      <extLst>
        <ext uri="{3e2802c4-a4d2-4d8b-9148-e3be6c30e623}">
          <xlrd:rvb i="2773"/>
        </ext>
      </extLst>
    </bk>
    <bk>
      <extLst>
        <ext uri="{3e2802c4-a4d2-4d8b-9148-e3be6c30e623}">
          <xlrd:rvb i="2774"/>
        </ext>
      </extLst>
    </bk>
    <bk>
      <extLst>
        <ext uri="{3e2802c4-a4d2-4d8b-9148-e3be6c30e623}">
          <xlrd:rvb i="2775"/>
        </ext>
      </extLst>
    </bk>
    <bk>
      <extLst>
        <ext uri="{3e2802c4-a4d2-4d8b-9148-e3be6c30e623}">
          <xlrd:rvb i="2776"/>
        </ext>
      </extLst>
    </bk>
    <bk>
      <extLst>
        <ext uri="{3e2802c4-a4d2-4d8b-9148-e3be6c30e623}">
          <xlrd:rvb i="2777"/>
        </ext>
      </extLst>
    </bk>
    <bk>
      <extLst>
        <ext uri="{3e2802c4-a4d2-4d8b-9148-e3be6c30e623}">
          <xlrd:rvb i="2778"/>
        </ext>
      </extLst>
    </bk>
    <bk>
      <extLst>
        <ext uri="{3e2802c4-a4d2-4d8b-9148-e3be6c30e623}">
          <xlrd:rvb i="2779"/>
        </ext>
      </extLst>
    </bk>
    <bk>
      <extLst>
        <ext uri="{3e2802c4-a4d2-4d8b-9148-e3be6c30e623}">
          <xlrd:rvb i="2780"/>
        </ext>
      </extLst>
    </bk>
    <bk>
      <extLst>
        <ext uri="{3e2802c4-a4d2-4d8b-9148-e3be6c30e623}">
          <xlrd:rvb i="2781"/>
        </ext>
      </extLst>
    </bk>
    <bk>
      <extLst>
        <ext uri="{3e2802c4-a4d2-4d8b-9148-e3be6c30e623}">
          <xlrd:rvb i="2782"/>
        </ext>
      </extLst>
    </bk>
    <bk>
      <extLst>
        <ext uri="{3e2802c4-a4d2-4d8b-9148-e3be6c30e623}">
          <xlrd:rvb i="2783"/>
        </ext>
      </extLst>
    </bk>
    <bk>
      <extLst>
        <ext uri="{3e2802c4-a4d2-4d8b-9148-e3be6c30e623}">
          <xlrd:rvb i="2784"/>
        </ext>
      </extLst>
    </bk>
    <bk>
      <extLst>
        <ext uri="{3e2802c4-a4d2-4d8b-9148-e3be6c30e623}">
          <xlrd:rvb i="2785"/>
        </ext>
      </extLst>
    </bk>
    <bk>
      <extLst>
        <ext uri="{3e2802c4-a4d2-4d8b-9148-e3be6c30e623}">
          <xlrd:rvb i="2786"/>
        </ext>
      </extLst>
    </bk>
    <bk>
      <extLst>
        <ext uri="{3e2802c4-a4d2-4d8b-9148-e3be6c30e623}">
          <xlrd:rvb i="2787"/>
        </ext>
      </extLst>
    </bk>
    <bk>
      <extLst>
        <ext uri="{3e2802c4-a4d2-4d8b-9148-e3be6c30e623}">
          <xlrd:rvb i="2788"/>
        </ext>
      </extLst>
    </bk>
    <bk>
      <extLst>
        <ext uri="{3e2802c4-a4d2-4d8b-9148-e3be6c30e623}">
          <xlrd:rvb i="2789"/>
        </ext>
      </extLst>
    </bk>
    <bk>
      <extLst>
        <ext uri="{3e2802c4-a4d2-4d8b-9148-e3be6c30e623}">
          <xlrd:rvb i="2790"/>
        </ext>
      </extLst>
    </bk>
    <bk>
      <extLst>
        <ext uri="{3e2802c4-a4d2-4d8b-9148-e3be6c30e623}">
          <xlrd:rvb i="2791"/>
        </ext>
      </extLst>
    </bk>
    <bk>
      <extLst>
        <ext uri="{3e2802c4-a4d2-4d8b-9148-e3be6c30e623}">
          <xlrd:rvb i="2792"/>
        </ext>
      </extLst>
    </bk>
    <bk>
      <extLst>
        <ext uri="{3e2802c4-a4d2-4d8b-9148-e3be6c30e623}">
          <xlrd:rvb i="2793"/>
        </ext>
      </extLst>
    </bk>
    <bk>
      <extLst>
        <ext uri="{3e2802c4-a4d2-4d8b-9148-e3be6c30e623}">
          <xlrd:rvb i="2794"/>
        </ext>
      </extLst>
    </bk>
    <bk>
      <extLst>
        <ext uri="{3e2802c4-a4d2-4d8b-9148-e3be6c30e623}">
          <xlrd:rvb i="2795"/>
        </ext>
      </extLst>
    </bk>
    <bk>
      <extLst>
        <ext uri="{3e2802c4-a4d2-4d8b-9148-e3be6c30e623}">
          <xlrd:rvb i="2796"/>
        </ext>
      </extLst>
    </bk>
    <bk>
      <extLst>
        <ext uri="{3e2802c4-a4d2-4d8b-9148-e3be6c30e623}">
          <xlrd:rvb i="2797"/>
        </ext>
      </extLst>
    </bk>
    <bk>
      <extLst>
        <ext uri="{3e2802c4-a4d2-4d8b-9148-e3be6c30e623}">
          <xlrd:rvb i="2798"/>
        </ext>
      </extLst>
    </bk>
    <bk>
      <extLst>
        <ext uri="{3e2802c4-a4d2-4d8b-9148-e3be6c30e623}">
          <xlrd:rvb i="2799"/>
        </ext>
      </extLst>
    </bk>
    <bk>
      <extLst>
        <ext uri="{3e2802c4-a4d2-4d8b-9148-e3be6c30e623}">
          <xlrd:rvb i="2800"/>
        </ext>
      </extLst>
    </bk>
    <bk>
      <extLst>
        <ext uri="{3e2802c4-a4d2-4d8b-9148-e3be6c30e623}">
          <xlrd:rvb i="2801"/>
        </ext>
      </extLst>
    </bk>
    <bk>
      <extLst>
        <ext uri="{3e2802c4-a4d2-4d8b-9148-e3be6c30e623}">
          <xlrd:rvb i="2802"/>
        </ext>
      </extLst>
    </bk>
    <bk>
      <extLst>
        <ext uri="{3e2802c4-a4d2-4d8b-9148-e3be6c30e623}">
          <xlrd:rvb i="2803"/>
        </ext>
      </extLst>
    </bk>
    <bk>
      <extLst>
        <ext uri="{3e2802c4-a4d2-4d8b-9148-e3be6c30e623}">
          <xlrd:rvb i="2804"/>
        </ext>
      </extLst>
    </bk>
    <bk>
      <extLst>
        <ext uri="{3e2802c4-a4d2-4d8b-9148-e3be6c30e623}">
          <xlrd:rvb i="2805"/>
        </ext>
      </extLst>
    </bk>
    <bk>
      <extLst>
        <ext uri="{3e2802c4-a4d2-4d8b-9148-e3be6c30e623}">
          <xlrd:rvb i="2806"/>
        </ext>
      </extLst>
    </bk>
    <bk>
      <extLst>
        <ext uri="{3e2802c4-a4d2-4d8b-9148-e3be6c30e623}">
          <xlrd:rvb i="2807"/>
        </ext>
      </extLst>
    </bk>
    <bk>
      <extLst>
        <ext uri="{3e2802c4-a4d2-4d8b-9148-e3be6c30e623}">
          <xlrd:rvb i="2808"/>
        </ext>
      </extLst>
    </bk>
    <bk>
      <extLst>
        <ext uri="{3e2802c4-a4d2-4d8b-9148-e3be6c30e623}">
          <xlrd:rvb i="2809"/>
        </ext>
      </extLst>
    </bk>
    <bk>
      <extLst>
        <ext uri="{3e2802c4-a4d2-4d8b-9148-e3be6c30e623}">
          <xlrd:rvb i="2810"/>
        </ext>
      </extLst>
    </bk>
    <bk>
      <extLst>
        <ext uri="{3e2802c4-a4d2-4d8b-9148-e3be6c30e623}">
          <xlrd:rvb i="2811"/>
        </ext>
      </extLst>
    </bk>
    <bk>
      <extLst>
        <ext uri="{3e2802c4-a4d2-4d8b-9148-e3be6c30e623}">
          <xlrd:rvb i="2812"/>
        </ext>
      </extLst>
    </bk>
    <bk>
      <extLst>
        <ext uri="{3e2802c4-a4d2-4d8b-9148-e3be6c30e623}">
          <xlrd:rvb i="2813"/>
        </ext>
      </extLst>
    </bk>
    <bk>
      <extLst>
        <ext uri="{3e2802c4-a4d2-4d8b-9148-e3be6c30e623}">
          <xlrd:rvb i="2814"/>
        </ext>
      </extLst>
    </bk>
    <bk>
      <extLst>
        <ext uri="{3e2802c4-a4d2-4d8b-9148-e3be6c30e623}">
          <xlrd:rvb i="2815"/>
        </ext>
      </extLst>
    </bk>
    <bk>
      <extLst>
        <ext uri="{3e2802c4-a4d2-4d8b-9148-e3be6c30e623}">
          <xlrd:rvb i="2816"/>
        </ext>
      </extLst>
    </bk>
    <bk>
      <extLst>
        <ext uri="{3e2802c4-a4d2-4d8b-9148-e3be6c30e623}">
          <xlrd:rvb i="2817"/>
        </ext>
      </extLst>
    </bk>
    <bk>
      <extLst>
        <ext uri="{3e2802c4-a4d2-4d8b-9148-e3be6c30e623}">
          <xlrd:rvb i="2818"/>
        </ext>
      </extLst>
    </bk>
    <bk>
      <extLst>
        <ext uri="{3e2802c4-a4d2-4d8b-9148-e3be6c30e623}">
          <xlrd:rvb i="2819"/>
        </ext>
      </extLst>
    </bk>
    <bk>
      <extLst>
        <ext uri="{3e2802c4-a4d2-4d8b-9148-e3be6c30e623}">
          <xlrd:rvb i="2820"/>
        </ext>
      </extLst>
    </bk>
    <bk>
      <extLst>
        <ext uri="{3e2802c4-a4d2-4d8b-9148-e3be6c30e623}">
          <xlrd:rvb i="2821"/>
        </ext>
      </extLst>
    </bk>
    <bk>
      <extLst>
        <ext uri="{3e2802c4-a4d2-4d8b-9148-e3be6c30e623}">
          <xlrd:rvb i="2822"/>
        </ext>
      </extLst>
    </bk>
    <bk>
      <extLst>
        <ext uri="{3e2802c4-a4d2-4d8b-9148-e3be6c30e623}">
          <xlrd:rvb i="2823"/>
        </ext>
      </extLst>
    </bk>
    <bk>
      <extLst>
        <ext uri="{3e2802c4-a4d2-4d8b-9148-e3be6c30e623}">
          <xlrd:rvb i="2824"/>
        </ext>
      </extLst>
    </bk>
    <bk>
      <extLst>
        <ext uri="{3e2802c4-a4d2-4d8b-9148-e3be6c30e623}">
          <xlrd:rvb i="2825"/>
        </ext>
      </extLst>
    </bk>
    <bk>
      <extLst>
        <ext uri="{3e2802c4-a4d2-4d8b-9148-e3be6c30e623}">
          <xlrd:rvb i="2826"/>
        </ext>
      </extLst>
    </bk>
    <bk>
      <extLst>
        <ext uri="{3e2802c4-a4d2-4d8b-9148-e3be6c30e623}">
          <xlrd:rvb i="2827"/>
        </ext>
      </extLst>
    </bk>
    <bk>
      <extLst>
        <ext uri="{3e2802c4-a4d2-4d8b-9148-e3be6c30e623}">
          <xlrd:rvb i="2828"/>
        </ext>
      </extLst>
    </bk>
    <bk>
      <extLst>
        <ext uri="{3e2802c4-a4d2-4d8b-9148-e3be6c30e623}">
          <xlrd:rvb i="2829"/>
        </ext>
      </extLst>
    </bk>
    <bk>
      <extLst>
        <ext uri="{3e2802c4-a4d2-4d8b-9148-e3be6c30e623}">
          <xlrd:rvb i="2830"/>
        </ext>
      </extLst>
    </bk>
    <bk>
      <extLst>
        <ext uri="{3e2802c4-a4d2-4d8b-9148-e3be6c30e623}">
          <xlrd:rvb i="2831"/>
        </ext>
      </extLst>
    </bk>
    <bk>
      <extLst>
        <ext uri="{3e2802c4-a4d2-4d8b-9148-e3be6c30e623}">
          <xlrd:rvb i="2832"/>
        </ext>
      </extLst>
    </bk>
    <bk>
      <extLst>
        <ext uri="{3e2802c4-a4d2-4d8b-9148-e3be6c30e623}">
          <xlrd:rvb i="2833"/>
        </ext>
      </extLst>
    </bk>
    <bk>
      <extLst>
        <ext uri="{3e2802c4-a4d2-4d8b-9148-e3be6c30e623}">
          <xlrd:rvb i="2834"/>
        </ext>
      </extLst>
    </bk>
    <bk>
      <extLst>
        <ext uri="{3e2802c4-a4d2-4d8b-9148-e3be6c30e623}">
          <xlrd:rvb i="2835"/>
        </ext>
      </extLst>
    </bk>
    <bk>
      <extLst>
        <ext uri="{3e2802c4-a4d2-4d8b-9148-e3be6c30e623}">
          <xlrd:rvb i="2836"/>
        </ext>
      </extLst>
    </bk>
    <bk>
      <extLst>
        <ext uri="{3e2802c4-a4d2-4d8b-9148-e3be6c30e623}">
          <xlrd:rvb i="2837"/>
        </ext>
      </extLst>
    </bk>
    <bk>
      <extLst>
        <ext uri="{3e2802c4-a4d2-4d8b-9148-e3be6c30e623}">
          <xlrd:rvb i="2838"/>
        </ext>
      </extLst>
    </bk>
    <bk>
      <extLst>
        <ext uri="{3e2802c4-a4d2-4d8b-9148-e3be6c30e623}">
          <xlrd:rvb i="2839"/>
        </ext>
      </extLst>
    </bk>
    <bk>
      <extLst>
        <ext uri="{3e2802c4-a4d2-4d8b-9148-e3be6c30e623}">
          <xlrd:rvb i="2840"/>
        </ext>
      </extLst>
    </bk>
    <bk>
      <extLst>
        <ext uri="{3e2802c4-a4d2-4d8b-9148-e3be6c30e623}">
          <xlrd:rvb i="2841"/>
        </ext>
      </extLst>
    </bk>
    <bk>
      <extLst>
        <ext uri="{3e2802c4-a4d2-4d8b-9148-e3be6c30e623}">
          <xlrd:rvb i="2842"/>
        </ext>
      </extLst>
    </bk>
    <bk>
      <extLst>
        <ext uri="{3e2802c4-a4d2-4d8b-9148-e3be6c30e623}">
          <xlrd:rvb i="2843"/>
        </ext>
      </extLst>
    </bk>
    <bk>
      <extLst>
        <ext uri="{3e2802c4-a4d2-4d8b-9148-e3be6c30e623}">
          <xlrd:rvb i="2844"/>
        </ext>
      </extLst>
    </bk>
    <bk>
      <extLst>
        <ext uri="{3e2802c4-a4d2-4d8b-9148-e3be6c30e623}">
          <xlrd:rvb i="2845"/>
        </ext>
      </extLst>
    </bk>
    <bk>
      <extLst>
        <ext uri="{3e2802c4-a4d2-4d8b-9148-e3be6c30e623}">
          <xlrd:rvb i="2846"/>
        </ext>
      </extLst>
    </bk>
    <bk>
      <extLst>
        <ext uri="{3e2802c4-a4d2-4d8b-9148-e3be6c30e623}">
          <xlrd:rvb i="2847"/>
        </ext>
      </extLst>
    </bk>
    <bk>
      <extLst>
        <ext uri="{3e2802c4-a4d2-4d8b-9148-e3be6c30e623}">
          <xlrd:rvb i="2848"/>
        </ext>
      </extLst>
    </bk>
    <bk>
      <extLst>
        <ext uri="{3e2802c4-a4d2-4d8b-9148-e3be6c30e623}">
          <xlrd:rvb i="2849"/>
        </ext>
      </extLst>
    </bk>
    <bk>
      <extLst>
        <ext uri="{3e2802c4-a4d2-4d8b-9148-e3be6c30e623}">
          <xlrd:rvb i="2850"/>
        </ext>
      </extLst>
    </bk>
    <bk>
      <extLst>
        <ext uri="{3e2802c4-a4d2-4d8b-9148-e3be6c30e623}">
          <xlrd:rvb i="2851"/>
        </ext>
      </extLst>
    </bk>
    <bk>
      <extLst>
        <ext uri="{3e2802c4-a4d2-4d8b-9148-e3be6c30e623}">
          <xlrd:rvb i="2852"/>
        </ext>
      </extLst>
    </bk>
    <bk>
      <extLst>
        <ext uri="{3e2802c4-a4d2-4d8b-9148-e3be6c30e623}">
          <xlrd:rvb i="2853"/>
        </ext>
      </extLst>
    </bk>
    <bk>
      <extLst>
        <ext uri="{3e2802c4-a4d2-4d8b-9148-e3be6c30e623}">
          <xlrd:rvb i="2854"/>
        </ext>
      </extLst>
    </bk>
    <bk>
      <extLst>
        <ext uri="{3e2802c4-a4d2-4d8b-9148-e3be6c30e623}">
          <xlrd:rvb i="2855"/>
        </ext>
      </extLst>
    </bk>
    <bk>
      <extLst>
        <ext uri="{3e2802c4-a4d2-4d8b-9148-e3be6c30e623}">
          <xlrd:rvb i="2856"/>
        </ext>
      </extLst>
    </bk>
    <bk>
      <extLst>
        <ext uri="{3e2802c4-a4d2-4d8b-9148-e3be6c30e623}">
          <xlrd:rvb i="2857"/>
        </ext>
      </extLst>
    </bk>
    <bk>
      <extLst>
        <ext uri="{3e2802c4-a4d2-4d8b-9148-e3be6c30e623}">
          <xlrd:rvb i="2858"/>
        </ext>
      </extLst>
    </bk>
    <bk>
      <extLst>
        <ext uri="{3e2802c4-a4d2-4d8b-9148-e3be6c30e623}">
          <xlrd:rvb i="2859"/>
        </ext>
      </extLst>
    </bk>
    <bk>
      <extLst>
        <ext uri="{3e2802c4-a4d2-4d8b-9148-e3be6c30e623}">
          <xlrd:rvb i="2860"/>
        </ext>
      </extLst>
    </bk>
    <bk>
      <extLst>
        <ext uri="{3e2802c4-a4d2-4d8b-9148-e3be6c30e623}">
          <xlrd:rvb i="2861"/>
        </ext>
      </extLst>
    </bk>
    <bk>
      <extLst>
        <ext uri="{3e2802c4-a4d2-4d8b-9148-e3be6c30e623}">
          <xlrd:rvb i="2862"/>
        </ext>
      </extLst>
    </bk>
    <bk>
      <extLst>
        <ext uri="{3e2802c4-a4d2-4d8b-9148-e3be6c30e623}">
          <xlrd:rvb i="2863"/>
        </ext>
      </extLst>
    </bk>
    <bk>
      <extLst>
        <ext uri="{3e2802c4-a4d2-4d8b-9148-e3be6c30e623}">
          <xlrd:rvb i="2864"/>
        </ext>
      </extLst>
    </bk>
    <bk>
      <extLst>
        <ext uri="{3e2802c4-a4d2-4d8b-9148-e3be6c30e623}">
          <xlrd:rvb i="2865"/>
        </ext>
      </extLst>
    </bk>
    <bk>
      <extLst>
        <ext uri="{3e2802c4-a4d2-4d8b-9148-e3be6c30e623}">
          <xlrd:rvb i="2866"/>
        </ext>
      </extLst>
    </bk>
    <bk>
      <extLst>
        <ext uri="{3e2802c4-a4d2-4d8b-9148-e3be6c30e623}">
          <xlrd:rvb i="2867"/>
        </ext>
      </extLst>
    </bk>
    <bk>
      <extLst>
        <ext uri="{3e2802c4-a4d2-4d8b-9148-e3be6c30e623}">
          <xlrd:rvb i="2868"/>
        </ext>
      </extLst>
    </bk>
    <bk>
      <extLst>
        <ext uri="{3e2802c4-a4d2-4d8b-9148-e3be6c30e623}">
          <xlrd:rvb i="2869"/>
        </ext>
      </extLst>
    </bk>
    <bk>
      <extLst>
        <ext uri="{3e2802c4-a4d2-4d8b-9148-e3be6c30e623}">
          <xlrd:rvb i="2870"/>
        </ext>
      </extLst>
    </bk>
    <bk>
      <extLst>
        <ext uri="{3e2802c4-a4d2-4d8b-9148-e3be6c30e623}">
          <xlrd:rvb i="2871"/>
        </ext>
      </extLst>
    </bk>
    <bk>
      <extLst>
        <ext uri="{3e2802c4-a4d2-4d8b-9148-e3be6c30e623}">
          <xlrd:rvb i="2872"/>
        </ext>
      </extLst>
    </bk>
    <bk>
      <extLst>
        <ext uri="{3e2802c4-a4d2-4d8b-9148-e3be6c30e623}">
          <xlrd:rvb i="2873"/>
        </ext>
      </extLst>
    </bk>
    <bk>
      <extLst>
        <ext uri="{3e2802c4-a4d2-4d8b-9148-e3be6c30e623}">
          <xlrd:rvb i="2874"/>
        </ext>
      </extLst>
    </bk>
    <bk>
      <extLst>
        <ext uri="{3e2802c4-a4d2-4d8b-9148-e3be6c30e623}">
          <xlrd:rvb i="2875"/>
        </ext>
      </extLst>
    </bk>
    <bk>
      <extLst>
        <ext uri="{3e2802c4-a4d2-4d8b-9148-e3be6c30e623}">
          <xlrd:rvb i="2876"/>
        </ext>
      </extLst>
    </bk>
    <bk>
      <extLst>
        <ext uri="{3e2802c4-a4d2-4d8b-9148-e3be6c30e623}">
          <xlrd:rvb i="2877"/>
        </ext>
      </extLst>
    </bk>
    <bk>
      <extLst>
        <ext uri="{3e2802c4-a4d2-4d8b-9148-e3be6c30e623}">
          <xlrd:rvb i="2878"/>
        </ext>
      </extLst>
    </bk>
    <bk>
      <extLst>
        <ext uri="{3e2802c4-a4d2-4d8b-9148-e3be6c30e623}">
          <xlrd:rvb i="2879"/>
        </ext>
      </extLst>
    </bk>
    <bk>
      <extLst>
        <ext uri="{3e2802c4-a4d2-4d8b-9148-e3be6c30e623}">
          <xlrd:rvb i="2880"/>
        </ext>
      </extLst>
    </bk>
    <bk>
      <extLst>
        <ext uri="{3e2802c4-a4d2-4d8b-9148-e3be6c30e623}">
          <xlrd:rvb i="2881"/>
        </ext>
      </extLst>
    </bk>
    <bk>
      <extLst>
        <ext uri="{3e2802c4-a4d2-4d8b-9148-e3be6c30e623}">
          <xlrd:rvb i="2882"/>
        </ext>
      </extLst>
    </bk>
    <bk>
      <extLst>
        <ext uri="{3e2802c4-a4d2-4d8b-9148-e3be6c30e623}">
          <xlrd:rvb i="2883"/>
        </ext>
      </extLst>
    </bk>
    <bk>
      <extLst>
        <ext uri="{3e2802c4-a4d2-4d8b-9148-e3be6c30e623}">
          <xlrd:rvb i="2884"/>
        </ext>
      </extLst>
    </bk>
    <bk>
      <extLst>
        <ext uri="{3e2802c4-a4d2-4d8b-9148-e3be6c30e623}">
          <xlrd:rvb i="2885"/>
        </ext>
      </extLst>
    </bk>
    <bk>
      <extLst>
        <ext uri="{3e2802c4-a4d2-4d8b-9148-e3be6c30e623}">
          <xlrd:rvb i="2886"/>
        </ext>
      </extLst>
    </bk>
    <bk>
      <extLst>
        <ext uri="{3e2802c4-a4d2-4d8b-9148-e3be6c30e623}">
          <xlrd:rvb i="2887"/>
        </ext>
      </extLst>
    </bk>
    <bk>
      <extLst>
        <ext uri="{3e2802c4-a4d2-4d8b-9148-e3be6c30e623}">
          <xlrd:rvb i="2888"/>
        </ext>
      </extLst>
    </bk>
    <bk>
      <extLst>
        <ext uri="{3e2802c4-a4d2-4d8b-9148-e3be6c30e623}">
          <xlrd:rvb i="2889"/>
        </ext>
      </extLst>
    </bk>
    <bk>
      <extLst>
        <ext uri="{3e2802c4-a4d2-4d8b-9148-e3be6c30e623}">
          <xlrd:rvb i="2890"/>
        </ext>
      </extLst>
    </bk>
    <bk>
      <extLst>
        <ext uri="{3e2802c4-a4d2-4d8b-9148-e3be6c30e623}">
          <xlrd:rvb i="2891"/>
        </ext>
      </extLst>
    </bk>
    <bk>
      <extLst>
        <ext uri="{3e2802c4-a4d2-4d8b-9148-e3be6c30e623}">
          <xlrd:rvb i="2892"/>
        </ext>
      </extLst>
    </bk>
    <bk>
      <extLst>
        <ext uri="{3e2802c4-a4d2-4d8b-9148-e3be6c30e623}">
          <xlrd:rvb i="2893"/>
        </ext>
      </extLst>
    </bk>
    <bk>
      <extLst>
        <ext uri="{3e2802c4-a4d2-4d8b-9148-e3be6c30e623}">
          <xlrd:rvb i="2894"/>
        </ext>
      </extLst>
    </bk>
    <bk>
      <extLst>
        <ext uri="{3e2802c4-a4d2-4d8b-9148-e3be6c30e623}">
          <xlrd:rvb i="2895"/>
        </ext>
      </extLst>
    </bk>
    <bk>
      <extLst>
        <ext uri="{3e2802c4-a4d2-4d8b-9148-e3be6c30e623}">
          <xlrd:rvb i="2896"/>
        </ext>
      </extLst>
    </bk>
    <bk>
      <extLst>
        <ext uri="{3e2802c4-a4d2-4d8b-9148-e3be6c30e623}">
          <xlrd:rvb i="2897"/>
        </ext>
      </extLst>
    </bk>
    <bk>
      <extLst>
        <ext uri="{3e2802c4-a4d2-4d8b-9148-e3be6c30e623}">
          <xlrd:rvb i="2898"/>
        </ext>
      </extLst>
    </bk>
    <bk>
      <extLst>
        <ext uri="{3e2802c4-a4d2-4d8b-9148-e3be6c30e623}">
          <xlrd:rvb i="2899"/>
        </ext>
      </extLst>
    </bk>
    <bk>
      <extLst>
        <ext uri="{3e2802c4-a4d2-4d8b-9148-e3be6c30e623}">
          <xlrd:rvb i="2900"/>
        </ext>
      </extLst>
    </bk>
    <bk>
      <extLst>
        <ext uri="{3e2802c4-a4d2-4d8b-9148-e3be6c30e623}">
          <xlrd:rvb i="2901"/>
        </ext>
      </extLst>
    </bk>
    <bk>
      <extLst>
        <ext uri="{3e2802c4-a4d2-4d8b-9148-e3be6c30e623}">
          <xlrd:rvb i="2902"/>
        </ext>
      </extLst>
    </bk>
    <bk>
      <extLst>
        <ext uri="{3e2802c4-a4d2-4d8b-9148-e3be6c30e623}">
          <xlrd:rvb i="2903"/>
        </ext>
      </extLst>
    </bk>
    <bk>
      <extLst>
        <ext uri="{3e2802c4-a4d2-4d8b-9148-e3be6c30e623}">
          <xlrd:rvb i="2904"/>
        </ext>
      </extLst>
    </bk>
    <bk>
      <extLst>
        <ext uri="{3e2802c4-a4d2-4d8b-9148-e3be6c30e623}">
          <xlrd:rvb i="2905"/>
        </ext>
      </extLst>
    </bk>
    <bk>
      <extLst>
        <ext uri="{3e2802c4-a4d2-4d8b-9148-e3be6c30e623}">
          <xlrd:rvb i="2906"/>
        </ext>
      </extLst>
    </bk>
    <bk>
      <extLst>
        <ext uri="{3e2802c4-a4d2-4d8b-9148-e3be6c30e623}">
          <xlrd:rvb i="2907"/>
        </ext>
      </extLst>
    </bk>
    <bk>
      <extLst>
        <ext uri="{3e2802c4-a4d2-4d8b-9148-e3be6c30e623}">
          <xlrd:rvb i="2908"/>
        </ext>
      </extLst>
    </bk>
    <bk>
      <extLst>
        <ext uri="{3e2802c4-a4d2-4d8b-9148-e3be6c30e623}">
          <xlrd:rvb i="2909"/>
        </ext>
      </extLst>
    </bk>
    <bk>
      <extLst>
        <ext uri="{3e2802c4-a4d2-4d8b-9148-e3be6c30e623}">
          <xlrd:rvb i="2910"/>
        </ext>
      </extLst>
    </bk>
    <bk>
      <extLst>
        <ext uri="{3e2802c4-a4d2-4d8b-9148-e3be6c30e623}">
          <xlrd:rvb i="2911"/>
        </ext>
      </extLst>
    </bk>
    <bk>
      <extLst>
        <ext uri="{3e2802c4-a4d2-4d8b-9148-e3be6c30e623}">
          <xlrd:rvb i="2912"/>
        </ext>
      </extLst>
    </bk>
    <bk>
      <extLst>
        <ext uri="{3e2802c4-a4d2-4d8b-9148-e3be6c30e623}">
          <xlrd:rvb i="2913"/>
        </ext>
      </extLst>
    </bk>
    <bk>
      <extLst>
        <ext uri="{3e2802c4-a4d2-4d8b-9148-e3be6c30e623}">
          <xlrd:rvb i="2914"/>
        </ext>
      </extLst>
    </bk>
    <bk>
      <extLst>
        <ext uri="{3e2802c4-a4d2-4d8b-9148-e3be6c30e623}">
          <xlrd:rvb i="2915"/>
        </ext>
      </extLst>
    </bk>
    <bk>
      <extLst>
        <ext uri="{3e2802c4-a4d2-4d8b-9148-e3be6c30e623}">
          <xlrd:rvb i="2916"/>
        </ext>
      </extLst>
    </bk>
    <bk>
      <extLst>
        <ext uri="{3e2802c4-a4d2-4d8b-9148-e3be6c30e623}">
          <xlrd:rvb i="2917"/>
        </ext>
      </extLst>
    </bk>
    <bk>
      <extLst>
        <ext uri="{3e2802c4-a4d2-4d8b-9148-e3be6c30e623}">
          <xlrd:rvb i="2918"/>
        </ext>
      </extLst>
    </bk>
    <bk>
      <extLst>
        <ext uri="{3e2802c4-a4d2-4d8b-9148-e3be6c30e623}">
          <xlrd:rvb i="2919"/>
        </ext>
      </extLst>
    </bk>
    <bk>
      <extLst>
        <ext uri="{3e2802c4-a4d2-4d8b-9148-e3be6c30e623}">
          <xlrd:rvb i="2920"/>
        </ext>
      </extLst>
    </bk>
    <bk>
      <extLst>
        <ext uri="{3e2802c4-a4d2-4d8b-9148-e3be6c30e623}">
          <xlrd:rvb i="2921"/>
        </ext>
      </extLst>
    </bk>
    <bk>
      <extLst>
        <ext uri="{3e2802c4-a4d2-4d8b-9148-e3be6c30e623}">
          <xlrd:rvb i="2922"/>
        </ext>
      </extLst>
    </bk>
    <bk>
      <extLst>
        <ext uri="{3e2802c4-a4d2-4d8b-9148-e3be6c30e623}">
          <xlrd:rvb i="2923"/>
        </ext>
      </extLst>
    </bk>
    <bk>
      <extLst>
        <ext uri="{3e2802c4-a4d2-4d8b-9148-e3be6c30e623}">
          <xlrd:rvb i="2924"/>
        </ext>
      </extLst>
    </bk>
    <bk>
      <extLst>
        <ext uri="{3e2802c4-a4d2-4d8b-9148-e3be6c30e623}">
          <xlrd:rvb i="2925"/>
        </ext>
      </extLst>
    </bk>
    <bk>
      <extLst>
        <ext uri="{3e2802c4-a4d2-4d8b-9148-e3be6c30e623}">
          <xlrd:rvb i="2926"/>
        </ext>
      </extLst>
    </bk>
    <bk>
      <extLst>
        <ext uri="{3e2802c4-a4d2-4d8b-9148-e3be6c30e623}">
          <xlrd:rvb i="2927"/>
        </ext>
      </extLst>
    </bk>
    <bk>
      <extLst>
        <ext uri="{3e2802c4-a4d2-4d8b-9148-e3be6c30e623}">
          <xlrd:rvb i="2928"/>
        </ext>
      </extLst>
    </bk>
    <bk>
      <extLst>
        <ext uri="{3e2802c4-a4d2-4d8b-9148-e3be6c30e623}">
          <xlrd:rvb i="2929"/>
        </ext>
      </extLst>
    </bk>
    <bk>
      <extLst>
        <ext uri="{3e2802c4-a4d2-4d8b-9148-e3be6c30e623}">
          <xlrd:rvb i="2930"/>
        </ext>
      </extLst>
    </bk>
    <bk>
      <extLst>
        <ext uri="{3e2802c4-a4d2-4d8b-9148-e3be6c30e623}">
          <xlrd:rvb i="2931"/>
        </ext>
      </extLst>
    </bk>
    <bk>
      <extLst>
        <ext uri="{3e2802c4-a4d2-4d8b-9148-e3be6c30e623}">
          <xlrd:rvb i="2932"/>
        </ext>
      </extLst>
    </bk>
    <bk>
      <extLst>
        <ext uri="{3e2802c4-a4d2-4d8b-9148-e3be6c30e623}">
          <xlrd:rvb i="2933"/>
        </ext>
      </extLst>
    </bk>
    <bk>
      <extLst>
        <ext uri="{3e2802c4-a4d2-4d8b-9148-e3be6c30e623}">
          <xlrd:rvb i="2934"/>
        </ext>
      </extLst>
    </bk>
    <bk>
      <extLst>
        <ext uri="{3e2802c4-a4d2-4d8b-9148-e3be6c30e623}">
          <xlrd:rvb i="2935"/>
        </ext>
      </extLst>
    </bk>
    <bk>
      <extLst>
        <ext uri="{3e2802c4-a4d2-4d8b-9148-e3be6c30e623}">
          <xlrd:rvb i="2936"/>
        </ext>
      </extLst>
    </bk>
    <bk>
      <extLst>
        <ext uri="{3e2802c4-a4d2-4d8b-9148-e3be6c30e623}">
          <xlrd:rvb i="2937"/>
        </ext>
      </extLst>
    </bk>
    <bk>
      <extLst>
        <ext uri="{3e2802c4-a4d2-4d8b-9148-e3be6c30e623}">
          <xlrd:rvb i="2938"/>
        </ext>
      </extLst>
    </bk>
    <bk>
      <extLst>
        <ext uri="{3e2802c4-a4d2-4d8b-9148-e3be6c30e623}">
          <xlrd:rvb i="2939"/>
        </ext>
      </extLst>
    </bk>
    <bk>
      <extLst>
        <ext uri="{3e2802c4-a4d2-4d8b-9148-e3be6c30e623}">
          <xlrd:rvb i="2940"/>
        </ext>
      </extLst>
    </bk>
    <bk>
      <extLst>
        <ext uri="{3e2802c4-a4d2-4d8b-9148-e3be6c30e623}">
          <xlrd:rvb i="2941"/>
        </ext>
      </extLst>
    </bk>
    <bk>
      <extLst>
        <ext uri="{3e2802c4-a4d2-4d8b-9148-e3be6c30e623}">
          <xlrd:rvb i="2942"/>
        </ext>
      </extLst>
    </bk>
    <bk>
      <extLst>
        <ext uri="{3e2802c4-a4d2-4d8b-9148-e3be6c30e623}">
          <xlrd:rvb i="2943"/>
        </ext>
      </extLst>
    </bk>
    <bk>
      <extLst>
        <ext uri="{3e2802c4-a4d2-4d8b-9148-e3be6c30e623}">
          <xlrd:rvb i="2944"/>
        </ext>
      </extLst>
    </bk>
    <bk>
      <extLst>
        <ext uri="{3e2802c4-a4d2-4d8b-9148-e3be6c30e623}">
          <xlrd:rvb i="2945"/>
        </ext>
      </extLst>
    </bk>
    <bk>
      <extLst>
        <ext uri="{3e2802c4-a4d2-4d8b-9148-e3be6c30e623}">
          <xlrd:rvb i="2946"/>
        </ext>
      </extLst>
    </bk>
    <bk>
      <extLst>
        <ext uri="{3e2802c4-a4d2-4d8b-9148-e3be6c30e623}">
          <xlrd:rvb i="2947"/>
        </ext>
      </extLst>
    </bk>
    <bk>
      <extLst>
        <ext uri="{3e2802c4-a4d2-4d8b-9148-e3be6c30e623}">
          <xlrd:rvb i="2948"/>
        </ext>
      </extLst>
    </bk>
    <bk>
      <extLst>
        <ext uri="{3e2802c4-a4d2-4d8b-9148-e3be6c30e623}">
          <xlrd:rvb i="2949"/>
        </ext>
      </extLst>
    </bk>
    <bk>
      <extLst>
        <ext uri="{3e2802c4-a4d2-4d8b-9148-e3be6c30e623}">
          <xlrd:rvb i="2950"/>
        </ext>
      </extLst>
    </bk>
    <bk>
      <extLst>
        <ext uri="{3e2802c4-a4d2-4d8b-9148-e3be6c30e623}">
          <xlrd:rvb i="2951"/>
        </ext>
      </extLst>
    </bk>
    <bk>
      <extLst>
        <ext uri="{3e2802c4-a4d2-4d8b-9148-e3be6c30e623}">
          <xlrd:rvb i="2952"/>
        </ext>
      </extLst>
    </bk>
    <bk>
      <extLst>
        <ext uri="{3e2802c4-a4d2-4d8b-9148-e3be6c30e623}">
          <xlrd:rvb i="2953"/>
        </ext>
      </extLst>
    </bk>
    <bk>
      <extLst>
        <ext uri="{3e2802c4-a4d2-4d8b-9148-e3be6c30e623}">
          <xlrd:rvb i="2954"/>
        </ext>
      </extLst>
    </bk>
    <bk>
      <extLst>
        <ext uri="{3e2802c4-a4d2-4d8b-9148-e3be6c30e623}">
          <xlrd:rvb i="2955"/>
        </ext>
      </extLst>
    </bk>
    <bk>
      <extLst>
        <ext uri="{3e2802c4-a4d2-4d8b-9148-e3be6c30e623}">
          <xlrd:rvb i="2956"/>
        </ext>
      </extLst>
    </bk>
    <bk>
      <extLst>
        <ext uri="{3e2802c4-a4d2-4d8b-9148-e3be6c30e623}">
          <xlrd:rvb i="2957"/>
        </ext>
      </extLst>
    </bk>
    <bk>
      <extLst>
        <ext uri="{3e2802c4-a4d2-4d8b-9148-e3be6c30e623}">
          <xlrd:rvb i="2958"/>
        </ext>
      </extLst>
    </bk>
    <bk>
      <extLst>
        <ext uri="{3e2802c4-a4d2-4d8b-9148-e3be6c30e623}">
          <xlrd:rvb i="2959"/>
        </ext>
      </extLst>
    </bk>
    <bk>
      <extLst>
        <ext uri="{3e2802c4-a4d2-4d8b-9148-e3be6c30e623}">
          <xlrd:rvb i="2960"/>
        </ext>
      </extLst>
    </bk>
    <bk>
      <extLst>
        <ext uri="{3e2802c4-a4d2-4d8b-9148-e3be6c30e623}">
          <xlrd:rvb i="2961"/>
        </ext>
      </extLst>
    </bk>
    <bk>
      <extLst>
        <ext uri="{3e2802c4-a4d2-4d8b-9148-e3be6c30e623}">
          <xlrd:rvb i="2962"/>
        </ext>
      </extLst>
    </bk>
    <bk>
      <extLst>
        <ext uri="{3e2802c4-a4d2-4d8b-9148-e3be6c30e623}">
          <xlrd:rvb i="2963"/>
        </ext>
      </extLst>
    </bk>
    <bk>
      <extLst>
        <ext uri="{3e2802c4-a4d2-4d8b-9148-e3be6c30e623}">
          <xlrd:rvb i="2964"/>
        </ext>
      </extLst>
    </bk>
    <bk>
      <extLst>
        <ext uri="{3e2802c4-a4d2-4d8b-9148-e3be6c30e623}">
          <xlrd:rvb i="2965"/>
        </ext>
      </extLst>
    </bk>
    <bk>
      <extLst>
        <ext uri="{3e2802c4-a4d2-4d8b-9148-e3be6c30e623}">
          <xlrd:rvb i="2966"/>
        </ext>
      </extLst>
    </bk>
    <bk>
      <extLst>
        <ext uri="{3e2802c4-a4d2-4d8b-9148-e3be6c30e623}">
          <xlrd:rvb i="2967"/>
        </ext>
      </extLst>
    </bk>
    <bk>
      <extLst>
        <ext uri="{3e2802c4-a4d2-4d8b-9148-e3be6c30e623}">
          <xlrd:rvb i="2968"/>
        </ext>
      </extLst>
    </bk>
    <bk>
      <extLst>
        <ext uri="{3e2802c4-a4d2-4d8b-9148-e3be6c30e623}">
          <xlrd:rvb i="2969"/>
        </ext>
      </extLst>
    </bk>
    <bk>
      <extLst>
        <ext uri="{3e2802c4-a4d2-4d8b-9148-e3be6c30e623}">
          <xlrd:rvb i="2970"/>
        </ext>
      </extLst>
    </bk>
    <bk>
      <extLst>
        <ext uri="{3e2802c4-a4d2-4d8b-9148-e3be6c30e623}">
          <xlrd:rvb i="2971"/>
        </ext>
      </extLst>
    </bk>
    <bk>
      <extLst>
        <ext uri="{3e2802c4-a4d2-4d8b-9148-e3be6c30e623}">
          <xlrd:rvb i="2972"/>
        </ext>
      </extLst>
    </bk>
    <bk>
      <extLst>
        <ext uri="{3e2802c4-a4d2-4d8b-9148-e3be6c30e623}">
          <xlrd:rvb i="2973"/>
        </ext>
      </extLst>
    </bk>
    <bk>
      <extLst>
        <ext uri="{3e2802c4-a4d2-4d8b-9148-e3be6c30e623}">
          <xlrd:rvb i="2974"/>
        </ext>
      </extLst>
    </bk>
    <bk>
      <extLst>
        <ext uri="{3e2802c4-a4d2-4d8b-9148-e3be6c30e623}">
          <xlrd:rvb i="2975"/>
        </ext>
      </extLst>
    </bk>
    <bk>
      <extLst>
        <ext uri="{3e2802c4-a4d2-4d8b-9148-e3be6c30e623}">
          <xlrd:rvb i="2976"/>
        </ext>
      </extLst>
    </bk>
    <bk>
      <extLst>
        <ext uri="{3e2802c4-a4d2-4d8b-9148-e3be6c30e623}">
          <xlrd:rvb i="2977"/>
        </ext>
      </extLst>
    </bk>
    <bk>
      <extLst>
        <ext uri="{3e2802c4-a4d2-4d8b-9148-e3be6c30e623}">
          <xlrd:rvb i="2978"/>
        </ext>
      </extLst>
    </bk>
    <bk>
      <extLst>
        <ext uri="{3e2802c4-a4d2-4d8b-9148-e3be6c30e623}">
          <xlrd:rvb i="2979"/>
        </ext>
      </extLst>
    </bk>
    <bk>
      <extLst>
        <ext uri="{3e2802c4-a4d2-4d8b-9148-e3be6c30e623}">
          <xlrd:rvb i="2980"/>
        </ext>
      </extLst>
    </bk>
    <bk>
      <extLst>
        <ext uri="{3e2802c4-a4d2-4d8b-9148-e3be6c30e623}">
          <xlrd:rvb i="2981"/>
        </ext>
      </extLst>
    </bk>
    <bk>
      <extLst>
        <ext uri="{3e2802c4-a4d2-4d8b-9148-e3be6c30e623}">
          <xlrd:rvb i="2982"/>
        </ext>
      </extLst>
    </bk>
    <bk>
      <extLst>
        <ext uri="{3e2802c4-a4d2-4d8b-9148-e3be6c30e623}">
          <xlrd:rvb i="2983"/>
        </ext>
      </extLst>
    </bk>
    <bk>
      <extLst>
        <ext uri="{3e2802c4-a4d2-4d8b-9148-e3be6c30e623}">
          <xlrd:rvb i="2984"/>
        </ext>
      </extLst>
    </bk>
    <bk>
      <extLst>
        <ext uri="{3e2802c4-a4d2-4d8b-9148-e3be6c30e623}">
          <xlrd:rvb i="2985"/>
        </ext>
      </extLst>
    </bk>
    <bk>
      <extLst>
        <ext uri="{3e2802c4-a4d2-4d8b-9148-e3be6c30e623}">
          <xlrd:rvb i="2986"/>
        </ext>
      </extLst>
    </bk>
    <bk>
      <extLst>
        <ext uri="{3e2802c4-a4d2-4d8b-9148-e3be6c30e623}">
          <xlrd:rvb i="2987"/>
        </ext>
      </extLst>
    </bk>
    <bk>
      <extLst>
        <ext uri="{3e2802c4-a4d2-4d8b-9148-e3be6c30e623}">
          <xlrd:rvb i="2988"/>
        </ext>
      </extLst>
    </bk>
    <bk>
      <extLst>
        <ext uri="{3e2802c4-a4d2-4d8b-9148-e3be6c30e623}">
          <xlrd:rvb i="2989"/>
        </ext>
      </extLst>
    </bk>
    <bk>
      <extLst>
        <ext uri="{3e2802c4-a4d2-4d8b-9148-e3be6c30e623}">
          <xlrd:rvb i="2990"/>
        </ext>
      </extLst>
    </bk>
    <bk>
      <extLst>
        <ext uri="{3e2802c4-a4d2-4d8b-9148-e3be6c30e623}">
          <xlrd:rvb i="2991"/>
        </ext>
      </extLst>
    </bk>
    <bk>
      <extLst>
        <ext uri="{3e2802c4-a4d2-4d8b-9148-e3be6c30e623}">
          <xlrd:rvb i="2992"/>
        </ext>
      </extLst>
    </bk>
    <bk>
      <extLst>
        <ext uri="{3e2802c4-a4d2-4d8b-9148-e3be6c30e623}">
          <xlrd:rvb i="2993"/>
        </ext>
      </extLst>
    </bk>
    <bk>
      <extLst>
        <ext uri="{3e2802c4-a4d2-4d8b-9148-e3be6c30e623}">
          <xlrd:rvb i="2994"/>
        </ext>
      </extLst>
    </bk>
    <bk>
      <extLst>
        <ext uri="{3e2802c4-a4d2-4d8b-9148-e3be6c30e623}">
          <xlrd:rvb i="2995"/>
        </ext>
      </extLst>
    </bk>
    <bk>
      <extLst>
        <ext uri="{3e2802c4-a4d2-4d8b-9148-e3be6c30e623}">
          <xlrd:rvb i="2996"/>
        </ext>
      </extLst>
    </bk>
    <bk>
      <extLst>
        <ext uri="{3e2802c4-a4d2-4d8b-9148-e3be6c30e623}">
          <xlrd:rvb i="2997"/>
        </ext>
      </extLst>
    </bk>
    <bk>
      <extLst>
        <ext uri="{3e2802c4-a4d2-4d8b-9148-e3be6c30e623}">
          <xlrd:rvb i="2998"/>
        </ext>
      </extLst>
    </bk>
    <bk>
      <extLst>
        <ext uri="{3e2802c4-a4d2-4d8b-9148-e3be6c30e623}">
          <xlrd:rvb i="2999"/>
        </ext>
      </extLst>
    </bk>
    <bk>
      <extLst>
        <ext uri="{3e2802c4-a4d2-4d8b-9148-e3be6c30e623}">
          <xlrd:rvb i="3000"/>
        </ext>
      </extLst>
    </bk>
    <bk>
      <extLst>
        <ext uri="{3e2802c4-a4d2-4d8b-9148-e3be6c30e623}">
          <xlrd:rvb i="3001"/>
        </ext>
      </extLst>
    </bk>
    <bk>
      <extLst>
        <ext uri="{3e2802c4-a4d2-4d8b-9148-e3be6c30e623}">
          <xlrd:rvb i="3002"/>
        </ext>
      </extLst>
    </bk>
    <bk>
      <extLst>
        <ext uri="{3e2802c4-a4d2-4d8b-9148-e3be6c30e623}">
          <xlrd:rvb i="3003"/>
        </ext>
      </extLst>
    </bk>
    <bk>
      <extLst>
        <ext uri="{3e2802c4-a4d2-4d8b-9148-e3be6c30e623}">
          <xlrd:rvb i="3004"/>
        </ext>
      </extLst>
    </bk>
    <bk>
      <extLst>
        <ext uri="{3e2802c4-a4d2-4d8b-9148-e3be6c30e623}">
          <xlrd:rvb i="3005"/>
        </ext>
      </extLst>
    </bk>
    <bk>
      <extLst>
        <ext uri="{3e2802c4-a4d2-4d8b-9148-e3be6c30e623}">
          <xlrd:rvb i="3006"/>
        </ext>
      </extLst>
    </bk>
    <bk>
      <extLst>
        <ext uri="{3e2802c4-a4d2-4d8b-9148-e3be6c30e623}">
          <xlrd:rvb i="3007"/>
        </ext>
      </extLst>
    </bk>
    <bk>
      <extLst>
        <ext uri="{3e2802c4-a4d2-4d8b-9148-e3be6c30e623}">
          <xlrd:rvb i="3008"/>
        </ext>
      </extLst>
    </bk>
    <bk>
      <extLst>
        <ext uri="{3e2802c4-a4d2-4d8b-9148-e3be6c30e623}">
          <xlrd:rvb i="3009"/>
        </ext>
      </extLst>
    </bk>
    <bk>
      <extLst>
        <ext uri="{3e2802c4-a4d2-4d8b-9148-e3be6c30e623}">
          <xlrd:rvb i="3010"/>
        </ext>
      </extLst>
    </bk>
    <bk>
      <extLst>
        <ext uri="{3e2802c4-a4d2-4d8b-9148-e3be6c30e623}">
          <xlrd:rvb i="3011"/>
        </ext>
      </extLst>
    </bk>
    <bk>
      <extLst>
        <ext uri="{3e2802c4-a4d2-4d8b-9148-e3be6c30e623}">
          <xlrd:rvb i="3012"/>
        </ext>
      </extLst>
    </bk>
    <bk>
      <extLst>
        <ext uri="{3e2802c4-a4d2-4d8b-9148-e3be6c30e623}">
          <xlrd:rvb i="3013"/>
        </ext>
      </extLst>
    </bk>
    <bk>
      <extLst>
        <ext uri="{3e2802c4-a4d2-4d8b-9148-e3be6c30e623}">
          <xlrd:rvb i="3014"/>
        </ext>
      </extLst>
    </bk>
    <bk>
      <extLst>
        <ext uri="{3e2802c4-a4d2-4d8b-9148-e3be6c30e623}">
          <xlrd:rvb i="3015"/>
        </ext>
      </extLst>
    </bk>
    <bk>
      <extLst>
        <ext uri="{3e2802c4-a4d2-4d8b-9148-e3be6c30e623}">
          <xlrd:rvb i="3016"/>
        </ext>
      </extLst>
    </bk>
    <bk>
      <extLst>
        <ext uri="{3e2802c4-a4d2-4d8b-9148-e3be6c30e623}">
          <xlrd:rvb i="3017"/>
        </ext>
      </extLst>
    </bk>
    <bk>
      <extLst>
        <ext uri="{3e2802c4-a4d2-4d8b-9148-e3be6c30e623}">
          <xlrd:rvb i="3018"/>
        </ext>
      </extLst>
    </bk>
    <bk>
      <extLst>
        <ext uri="{3e2802c4-a4d2-4d8b-9148-e3be6c30e623}">
          <xlrd:rvb i="3019"/>
        </ext>
      </extLst>
    </bk>
    <bk>
      <extLst>
        <ext uri="{3e2802c4-a4d2-4d8b-9148-e3be6c30e623}">
          <xlrd:rvb i="3020"/>
        </ext>
      </extLst>
    </bk>
    <bk>
      <extLst>
        <ext uri="{3e2802c4-a4d2-4d8b-9148-e3be6c30e623}">
          <xlrd:rvb i="3021"/>
        </ext>
      </extLst>
    </bk>
    <bk>
      <extLst>
        <ext uri="{3e2802c4-a4d2-4d8b-9148-e3be6c30e623}">
          <xlrd:rvb i="3022"/>
        </ext>
      </extLst>
    </bk>
    <bk>
      <extLst>
        <ext uri="{3e2802c4-a4d2-4d8b-9148-e3be6c30e623}">
          <xlrd:rvb i="3023"/>
        </ext>
      </extLst>
    </bk>
    <bk>
      <extLst>
        <ext uri="{3e2802c4-a4d2-4d8b-9148-e3be6c30e623}">
          <xlrd:rvb i="3024"/>
        </ext>
      </extLst>
    </bk>
    <bk>
      <extLst>
        <ext uri="{3e2802c4-a4d2-4d8b-9148-e3be6c30e623}">
          <xlrd:rvb i="3025"/>
        </ext>
      </extLst>
    </bk>
    <bk>
      <extLst>
        <ext uri="{3e2802c4-a4d2-4d8b-9148-e3be6c30e623}">
          <xlrd:rvb i="3026"/>
        </ext>
      </extLst>
    </bk>
    <bk>
      <extLst>
        <ext uri="{3e2802c4-a4d2-4d8b-9148-e3be6c30e623}">
          <xlrd:rvb i="3027"/>
        </ext>
      </extLst>
    </bk>
    <bk>
      <extLst>
        <ext uri="{3e2802c4-a4d2-4d8b-9148-e3be6c30e623}">
          <xlrd:rvb i="3028"/>
        </ext>
      </extLst>
    </bk>
    <bk>
      <extLst>
        <ext uri="{3e2802c4-a4d2-4d8b-9148-e3be6c30e623}">
          <xlrd:rvb i="3029"/>
        </ext>
      </extLst>
    </bk>
    <bk>
      <extLst>
        <ext uri="{3e2802c4-a4d2-4d8b-9148-e3be6c30e623}">
          <xlrd:rvb i="3030"/>
        </ext>
      </extLst>
    </bk>
    <bk>
      <extLst>
        <ext uri="{3e2802c4-a4d2-4d8b-9148-e3be6c30e623}">
          <xlrd:rvb i="3031"/>
        </ext>
      </extLst>
    </bk>
    <bk>
      <extLst>
        <ext uri="{3e2802c4-a4d2-4d8b-9148-e3be6c30e623}">
          <xlrd:rvb i="3032"/>
        </ext>
      </extLst>
    </bk>
    <bk>
      <extLst>
        <ext uri="{3e2802c4-a4d2-4d8b-9148-e3be6c30e623}">
          <xlrd:rvb i="3033"/>
        </ext>
      </extLst>
    </bk>
    <bk>
      <extLst>
        <ext uri="{3e2802c4-a4d2-4d8b-9148-e3be6c30e623}">
          <xlrd:rvb i="3034"/>
        </ext>
      </extLst>
    </bk>
    <bk>
      <extLst>
        <ext uri="{3e2802c4-a4d2-4d8b-9148-e3be6c30e623}">
          <xlrd:rvb i="3035"/>
        </ext>
      </extLst>
    </bk>
    <bk>
      <extLst>
        <ext uri="{3e2802c4-a4d2-4d8b-9148-e3be6c30e623}">
          <xlrd:rvb i="3036"/>
        </ext>
      </extLst>
    </bk>
    <bk>
      <extLst>
        <ext uri="{3e2802c4-a4d2-4d8b-9148-e3be6c30e623}">
          <xlrd:rvb i="3037"/>
        </ext>
      </extLst>
    </bk>
    <bk>
      <extLst>
        <ext uri="{3e2802c4-a4d2-4d8b-9148-e3be6c30e623}">
          <xlrd:rvb i="3038"/>
        </ext>
      </extLst>
    </bk>
    <bk>
      <extLst>
        <ext uri="{3e2802c4-a4d2-4d8b-9148-e3be6c30e623}">
          <xlrd:rvb i="3039"/>
        </ext>
      </extLst>
    </bk>
    <bk>
      <extLst>
        <ext uri="{3e2802c4-a4d2-4d8b-9148-e3be6c30e623}">
          <xlrd:rvb i="3040"/>
        </ext>
      </extLst>
    </bk>
    <bk>
      <extLst>
        <ext uri="{3e2802c4-a4d2-4d8b-9148-e3be6c30e623}">
          <xlrd:rvb i="3041"/>
        </ext>
      </extLst>
    </bk>
    <bk>
      <extLst>
        <ext uri="{3e2802c4-a4d2-4d8b-9148-e3be6c30e623}">
          <xlrd:rvb i="3042"/>
        </ext>
      </extLst>
    </bk>
    <bk>
      <extLst>
        <ext uri="{3e2802c4-a4d2-4d8b-9148-e3be6c30e623}">
          <xlrd:rvb i="3043"/>
        </ext>
      </extLst>
    </bk>
    <bk>
      <extLst>
        <ext uri="{3e2802c4-a4d2-4d8b-9148-e3be6c30e623}">
          <xlrd:rvb i="3044"/>
        </ext>
      </extLst>
    </bk>
    <bk>
      <extLst>
        <ext uri="{3e2802c4-a4d2-4d8b-9148-e3be6c30e623}">
          <xlrd:rvb i="3045"/>
        </ext>
      </extLst>
    </bk>
    <bk>
      <extLst>
        <ext uri="{3e2802c4-a4d2-4d8b-9148-e3be6c30e623}">
          <xlrd:rvb i="3046"/>
        </ext>
      </extLst>
    </bk>
    <bk>
      <extLst>
        <ext uri="{3e2802c4-a4d2-4d8b-9148-e3be6c30e623}">
          <xlrd:rvb i="3047"/>
        </ext>
      </extLst>
    </bk>
    <bk>
      <extLst>
        <ext uri="{3e2802c4-a4d2-4d8b-9148-e3be6c30e623}">
          <xlrd:rvb i="3048"/>
        </ext>
      </extLst>
    </bk>
    <bk>
      <extLst>
        <ext uri="{3e2802c4-a4d2-4d8b-9148-e3be6c30e623}">
          <xlrd:rvb i="3049"/>
        </ext>
      </extLst>
    </bk>
    <bk>
      <extLst>
        <ext uri="{3e2802c4-a4d2-4d8b-9148-e3be6c30e623}">
          <xlrd:rvb i="3050"/>
        </ext>
      </extLst>
    </bk>
    <bk>
      <extLst>
        <ext uri="{3e2802c4-a4d2-4d8b-9148-e3be6c30e623}">
          <xlrd:rvb i="3051"/>
        </ext>
      </extLst>
    </bk>
    <bk>
      <extLst>
        <ext uri="{3e2802c4-a4d2-4d8b-9148-e3be6c30e623}">
          <xlrd:rvb i="3052"/>
        </ext>
      </extLst>
    </bk>
    <bk>
      <extLst>
        <ext uri="{3e2802c4-a4d2-4d8b-9148-e3be6c30e623}">
          <xlrd:rvb i="3053"/>
        </ext>
      </extLst>
    </bk>
    <bk>
      <extLst>
        <ext uri="{3e2802c4-a4d2-4d8b-9148-e3be6c30e623}">
          <xlrd:rvb i="3054"/>
        </ext>
      </extLst>
    </bk>
    <bk>
      <extLst>
        <ext uri="{3e2802c4-a4d2-4d8b-9148-e3be6c30e623}">
          <xlrd:rvb i="3055"/>
        </ext>
      </extLst>
    </bk>
    <bk>
      <extLst>
        <ext uri="{3e2802c4-a4d2-4d8b-9148-e3be6c30e623}">
          <xlrd:rvb i="3056"/>
        </ext>
      </extLst>
    </bk>
    <bk>
      <extLst>
        <ext uri="{3e2802c4-a4d2-4d8b-9148-e3be6c30e623}">
          <xlrd:rvb i="3057"/>
        </ext>
      </extLst>
    </bk>
    <bk>
      <extLst>
        <ext uri="{3e2802c4-a4d2-4d8b-9148-e3be6c30e623}">
          <xlrd:rvb i="3058"/>
        </ext>
      </extLst>
    </bk>
    <bk>
      <extLst>
        <ext uri="{3e2802c4-a4d2-4d8b-9148-e3be6c30e623}">
          <xlrd:rvb i="3059"/>
        </ext>
      </extLst>
    </bk>
    <bk>
      <extLst>
        <ext uri="{3e2802c4-a4d2-4d8b-9148-e3be6c30e623}">
          <xlrd:rvb i="3060"/>
        </ext>
      </extLst>
    </bk>
    <bk>
      <extLst>
        <ext uri="{3e2802c4-a4d2-4d8b-9148-e3be6c30e623}">
          <xlrd:rvb i="3061"/>
        </ext>
      </extLst>
    </bk>
    <bk>
      <extLst>
        <ext uri="{3e2802c4-a4d2-4d8b-9148-e3be6c30e623}">
          <xlrd:rvb i="3062"/>
        </ext>
      </extLst>
    </bk>
    <bk>
      <extLst>
        <ext uri="{3e2802c4-a4d2-4d8b-9148-e3be6c30e623}">
          <xlrd:rvb i="3063"/>
        </ext>
      </extLst>
    </bk>
    <bk>
      <extLst>
        <ext uri="{3e2802c4-a4d2-4d8b-9148-e3be6c30e623}">
          <xlrd:rvb i="3064"/>
        </ext>
      </extLst>
    </bk>
    <bk>
      <extLst>
        <ext uri="{3e2802c4-a4d2-4d8b-9148-e3be6c30e623}">
          <xlrd:rvb i="3065"/>
        </ext>
      </extLst>
    </bk>
    <bk>
      <extLst>
        <ext uri="{3e2802c4-a4d2-4d8b-9148-e3be6c30e623}">
          <xlrd:rvb i="3066"/>
        </ext>
      </extLst>
    </bk>
    <bk>
      <extLst>
        <ext uri="{3e2802c4-a4d2-4d8b-9148-e3be6c30e623}">
          <xlrd:rvb i="3067"/>
        </ext>
      </extLst>
    </bk>
    <bk>
      <extLst>
        <ext uri="{3e2802c4-a4d2-4d8b-9148-e3be6c30e623}">
          <xlrd:rvb i="3068"/>
        </ext>
      </extLst>
    </bk>
    <bk>
      <extLst>
        <ext uri="{3e2802c4-a4d2-4d8b-9148-e3be6c30e623}">
          <xlrd:rvb i="3069"/>
        </ext>
      </extLst>
    </bk>
    <bk>
      <extLst>
        <ext uri="{3e2802c4-a4d2-4d8b-9148-e3be6c30e623}">
          <xlrd:rvb i="3070"/>
        </ext>
      </extLst>
    </bk>
    <bk>
      <extLst>
        <ext uri="{3e2802c4-a4d2-4d8b-9148-e3be6c30e623}">
          <xlrd:rvb i="3071"/>
        </ext>
      </extLst>
    </bk>
    <bk>
      <extLst>
        <ext uri="{3e2802c4-a4d2-4d8b-9148-e3be6c30e623}">
          <xlrd:rvb i="3072"/>
        </ext>
      </extLst>
    </bk>
    <bk>
      <extLst>
        <ext uri="{3e2802c4-a4d2-4d8b-9148-e3be6c30e623}">
          <xlrd:rvb i="3073"/>
        </ext>
      </extLst>
    </bk>
    <bk>
      <extLst>
        <ext uri="{3e2802c4-a4d2-4d8b-9148-e3be6c30e623}">
          <xlrd:rvb i="3074"/>
        </ext>
      </extLst>
    </bk>
    <bk>
      <extLst>
        <ext uri="{3e2802c4-a4d2-4d8b-9148-e3be6c30e623}">
          <xlrd:rvb i="3075"/>
        </ext>
      </extLst>
    </bk>
    <bk>
      <extLst>
        <ext uri="{3e2802c4-a4d2-4d8b-9148-e3be6c30e623}">
          <xlrd:rvb i="3076"/>
        </ext>
      </extLst>
    </bk>
    <bk>
      <extLst>
        <ext uri="{3e2802c4-a4d2-4d8b-9148-e3be6c30e623}">
          <xlrd:rvb i="3077"/>
        </ext>
      </extLst>
    </bk>
    <bk>
      <extLst>
        <ext uri="{3e2802c4-a4d2-4d8b-9148-e3be6c30e623}">
          <xlrd:rvb i="3078"/>
        </ext>
      </extLst>
    </bk>
    <bk>
      <extLst>
        <ext uri="{3e2802c4-a4d2-4d8b-9148-e3be6c30e623}">
          <xlrd:rvb i="3079"/>
        </ext>
      </extLst>
    </bk>
    <bk>
      <extLst>
        <ext uri="{3e2802c4-a4d2-4d8b-9148-e3be6c30e623}">
          <xlrd:rvb i="3080"/>
        </ext>
      </extLst>
    </bk>
    <bk>
      <extLst>
        <ext uri="{3e2802c4-a4d2-4d8b-9148-e3be6c30e623}">
          <xlrd:rvb i="3081"/>
        </ext>
      </extLst>
    </bk>
    <bk>
      <extLst>
        <ext uri="{3e2802c4-a4d2-4d8b-9148-e3be6c30e623}">
          <xlrd:rvb i="3082"/>
        </ext>
      </extLst>
    </bk>
    <bk>
      <extLst>
        <ext uri="{3e2802c4-a4d2-4d8b-9148-e3be6c30e623}">
          <xlrd:rvb i="3083"/>
        </ext>
      </extLst>
    </bk>
    <bk>
      <extLst>
        <ext uri="{3e2802c4-a4d2-4d8b-9148-e3be6c30e623}">
          <xlrd:rvb i="3084"/>
        </ext>
      </extLst>
    </bk>
    <bk>
      <extLst>
        <ext uri="{3e2802c4-a4d2-4d8b-9148-e3be6c30e623}">
          <xlrd:rvb i="3085"/>
        </ext>
      </extLst>
    </bk>
    <bk>
      <extLst>
        <ext uri="{3e2802c4-a4d2-4d8b-9148-e3be6c30e623}">
          <xlrd:rvb i="3086"/>
        </ext>
      </extLst>
    </bk>
    <bk>
      <extLst>
        <ext uri="{3e2802c4-a4d2-4d8b-9148-e3be6c30e623}">
          <xlrd:rvb i="3087"/>
        </ext>
      </extLst>
    </bk>
    <bk>
      <extLst>
        <ext uri="{3e2802c4-a4d2-4d8b-9148-e3be6c30e623}">
          <xlrd:rvb i="3088"/>
        </ext>
      </extLst>
    </bk>
    <bk>
      <extLst>
        <ext uri="{3e2802c4-a4d2-4d8b-9148-e3be6c30e623}">
          <xlrd:rvb i="3089"/>
        </ext>
      </extLst>
    </bk>
    <bk>
      <extLst>
        <ext uri="{3e2802c4-a4d2-4d8b-9148-e3be6c30e623}">
          <xlrd:rvb i="3090"/>
        </ext>
      </extLst>
    </bk>
    <bk>
      <extLst>
        <ext uri="{3e2802c4-a4d2-4d8b-9148-e3be6c30e623}">
          <xlrd:rvb i="3091"/>
        </ext>
      </extLst>
    </bk>
    <bk>
      <extLst>
        <ext uri="{3e2802c4-a4d2-4d8b-9148-e3be6c30e623}">
          <xlrd:rvb i="3092"/>
        </ext>
      </extLst>
    </bk>
    <bk>
      <extLst>
        <ext uri="{3e2802c4-a4d2-4d8b-9148-e3be6c30e623}">
          <xlrd:rvb i="3093"/>
        </ext>
      </extLst>
    </bk>
    <bk>
      <extLst>
        <ext uri="{3e2802c4-a4d2-4d8b-9148-e3be6c30e623}">
          <xlrd:rvb i="3094"/>
        </ext>
      </extLst>
    </bk>
    <bk>
      <extLst>
        <ext uri="{3e2802c4-a4d2-4d8b-9148-e3be6c30e623}">
          <xlrd:rvb i="3095"/>
        </ext>
      </extLst>
    </bk>
    <bk>
      <extLst>
        <ext uri="{3e2802c4-a4d2-4d8b-9148-e3be6c30e623}">
          <xlrd:rvb i="3096"/>
        </ext>
      </extLst>
    </bk>
    <bk>
      <extLst>
        <ext uri="{3e2802c4-a4d2-4d8b-9148-e3be6c30e623}">
          <xlrd:rvb i="3097"/>
        </ext>
      </extLst>
    </bk>
    <bk>
      <extLst>
        <ext uri="{3e2802c4-a4d2-4d8b-9148-e3be6c30e623}">
          <xlrd:rvb i="3098"/>
        </ext>
      </extLst>
    </bk>
    <bk>
      <extLst>
        <ext uri="{3e2802c4-a4d2-4d8b-9148-e3be6c30e623}">
          <xlrd:rvb i="3099"/>
        </ext>
      </extLst>
    </bk>
    <bk>
      <extLst>
        <ext uri="{3e2802c4-a4d2-4d8b-9148-e3be6c30e623}">
          <xlrd:rvb i="3100"/>
        </ext>
      </extLst>
    </bk>
    <bk>
      <extLst>
        <ext uri="{3e2802c4-a4d2-4d8b-9148-e3be6c30e623}">
          <xlrd:rvb i="3101"/>
        </ext>
      </extLst>
    </bk>
    <bk>
      <extLst>
        <ext uri="{3e2802c4-a4d2-4d8b-9148-e3be6c30e623}">
          <xlrd:rvb i="3102"/>
        </ext>
      </extLst>
    </bk>
    <bk>
      <extLst>
        <ext uri="{3e2802c4-a4d2-4d8b-9148-e3be6c30e623}">
          <xlrd:rvb i="3103"/>
        </ext>
      </extLst>
    </bk>
    <bk>
      <extLst>
        <ext uri="{3e2802c4-a4d2-4d8b-9148-e3be6c30e623}">
          <xlrd:rvb i="3104"/>
        </ext>
      </extLst>
    </bk>
    <bk>
      <extLst>
        <ext uri="{3e2802c4-a4d2-4d8b-9148-e3be6c30e623}">
          <xlrd:rvb i="3105"/>
        </ext>
      </extLst>
    </bk>
    <bk>
      <extLst>
        <ext uri="{3e2802c4-a4d2-4d8b-9148-e3be6c30e623}">
          <xlrd:rvb i="3106"/>
        </ext>
      </extLst>
    </bk>
    <bk>
      <extLst>
        <ext uri="{3e2802c4-a4d2-4d8b-9148-e3be6c30e623}">
          <xlrd:rvb i="3107"/>
        </ext>
      </extLst>
    </bk>
    <bk>
      <extLst>
        <ext uri="{3e2802c4-a4d2-4d8b-9148-e3be6c30e623}">
          <xlrd:rvb i="3108"/>
        </ext>
      </extLst>
    </bk>
    <bk>
      <extLst>
        <ext uri="{3e2802c4-a4d2-4d8b-9148-e3be6c30e623}">
          <xlrd:rvb i="3109"/>
        </ext>
      </extLst>
    </bk>
    <bk>
      <extLst>
        <ext uri="{3e2802c4-a4d2-4d8b-9148-e3be6c30e623}">
          <xlrd:rvb i="3110"/>
        </ext>
      </extLst>
    </bk>
    <bk>
      <extLst>
        <ext uri="{3e2802c4-a4d2-4d8b-9148-e3be6c30e623}">
          <xlrd:rvb i="3111"/>
        </ext>
      </extLst>
    </bk>
    <bk>
      <extLst>
        <ext uri="{3e2802c4-a4d2-4d8b-9148-e3be6c30e623}">
          <xlrd:rvb i="3112"/>
        </ext>
      </extLst>
    </bk>
    <bk>
      <extLst>
        <ext uri="{3e2802c4-a4d2-4d8b-9148-e3be6c30e623}">
          <xlrd:rvb i="3113"/>
        </ext>
      </extLst>
    </bk>
    <bk>
      <extLst>
        <ext uri="{3e2802c4-a4d2-4d8b-9148-e3be6c30e623}">
          <xlrd:rvb i="3114"/>
        </ext>
      </extLst>
    </bk>
    <bk>
      <extLst>
        <ext uri="{3e2802c4-a4d2-4d8b-9148-e3be6c30e623}">
          <xlrd:rvb i="3115"/>
        </ext>
      </extLst>
    </bk>
    <bk>
      <extLst>
        <ext uri="{3e2802c4-a4d2-4d8b-9148-e3be6c30e623}">
          <xlrd:rvb i="3116"/>
        </ext>
      </extLst>
    </bk>
    <bk>
      <extLst>
        <ext uri="{3e2802c4-a4d2-4d8b-9148-e3be6c30e623}">
          <xlrd:rvb i="3117"/>
        </ext>
      </extLst>
    </bk>
    <bk>
      <extLst>
        <ext uri="{3e2802c4-a4d2-4d8b-9148-e3be6c30e623}">
          <xlrd:rvb i="3118"/>
        </ext>
      </extLst>
    </bk>
    <bk>
      <extLst>
        <ext uri="{3e2802c4-a4d2-4d8b-9148-e3be6c30e623}">
          <xlrd:rvb i="3119"/>
        </ext>
      </extLst>
    </bk>
    <bk>
      <extLst>
        <ext uri="{3e2802c4-a4d2-4d8b-9148-e3be6c30e623}">
          <xlrd:rvb i="3120"/>
        </ext>
      </extLst>
    </bk>
    <bk>
      <extLst>
        <ext uri="{3e2802c4-a4d2-4d8b-9148-e3be6c30e623}">
          <xlrd:rvb i="3121"/>
        </ext>
      </extLst>
    </bk>
    <bk>
      <extLst>
        <ext uri="{3e2802c4-a4d2-4d8b-9148-e3be6c30e623}">
          <xlrd:rvb i="3122"/>
        </ext>
      </extLst>
    </bk>
    <bk>
      <extLst>
        <ext uri="{3e2802c4-a4d2-4d8b-9148-e3be6c30e623}">
          <xlrd:rvb i="3123"/>
        </ext>
      </extLst>
    </bk>
    <bk>
      <extLst>
        <ext uri="{3e2802c4-a4d2-4d8b-9148-e3be6c30e623}">
          <xlrd:rvb i="3124"/>
        </ext>
      </extLst>
    </bk>
    <bk>
      <extLst>
        <ext uri="{3e2802c4-a4d2-4d8b-9148-e3be6c30e623}">
          <xlrd:rvb i="3125"/>
        </ext>
      </extLst>
    </bk>
    <bk>
      <extLst>
        <ext uri="{3e2802c4-a4d2-4d8b-9148-e3be6c30e623}">
          <xlrd:rvb i="3126"/>
        </ext>
      </extLst>
    </bk>
    <bk>
      <extLst>
        <ext uri="{3e2802c4-a4d2-4d8b-9148-e3be6c30e623}">
          <xlrd:rvb i="3127"/>
        </ext>
      </extLst>
    </bk>
    <bk>
      <extLst>
        <ext uri="{3e2802c4-a4d2-4d8b-9148-e3be6c30e623}">
          <xlrd:rvb i="3128"/>
        </ext>
      </extLst>
    </bk>
    <bk>
      <extLst>
        <ext uri="{3e2802c4-a4d2-4d8b-9148-e3be6c30e623}">
          <xlrd:rvb i="3129"/>
        </ext>
      </extLst>
    </bk>
    <bk>
      <extLst>
        <ext uri="{3e2802c4-a4d2-4d8b-9148-e3be6c30e623}">
          <xlrd:rvb i="3130"/>
        </ext>
      </extLst>
    </bk>
    <bk>
      <extLst>
        <ext uri="{3e2802c4-a4d2-4d8b-9148-e3be6c30e623}">
          <xlrd:rvb i="3131"/>
        </ext>
      </extLst>
    </bk>
    <bk>
      <extLst>
        <ext uri="{3e2802c4-a4d2-4d8b-9148-e3be6c30e623}">
          <xlrd:rvb i="3132"/>
        </ext>
      </extLst>
    </bk>
    <bk>
      <extLst>
        <ext uri="{3e2802c4-a4d2-4d8b-9148-e3be6c30e623}">
          <xlrd:rvb i="3133"/>
        </ext>
      </extLst>
    </bk>
    <bk>
      <extLst>
        <ext uri="{3e2802c4-a4d2-4d8b-9148-e3be6c30e623}">
          <xlrd:rvb i="3134"/>
        </ext>
      </extLst>
    </bk>
    <bk>
      <extLst>
        <ext uri="{3e2802c4-a4d2-4d8b-9148-e3be6c30e623}">
          <xlrd:rvb i="3135"/>
        </ext>
      </extLst>
    </bk>
    <bk>
      <extLst>
        <ext uri="{3e2802c4-a4d2-4d8b-9148-e3be6c30e623}">
          <xlrd:rvb i="3136"/>
        </ext>
      </extLst>
    </bk>
    <bk>
      <extLst>
        <ext uri="{3e2802c4-a4d2-4d8b-9148-e3be6c30e623}">
          <xlrd:rvb i="3137"/>
        </ext>
      </extLst>
    </bk>
    <bk>
      <extLst>
        <ext uri="{3e2802c4-a4d2-4d8b-9148-e3be6c30e623}">
          <xlrd:rvb i="3138"/>
        </ext>
      </extLst>
    </bk>
    <bk>
      <extLst>
        <ext uri="{3e2802c4-a4d2-4d8b-9148-e3be6c30e623}">
          <xlrd:rvb i="3139"/>
        </ext>
      </extLst>
    </bk>
    <bk>
      <extLst>
        <ext uri="{3e2802c4-a4d2-4d8b-9148-e3be6c30e623}">
          <xlrd:rvb i="3140"/>
        </ext>
      </extLst>
    </bk>
    <bk>
      <extLst>
        <ext uri="{3e2802c4-a4d2-4d8b-9148-e3be6c30e623}">
          <xlrd:rvb i="3141"/>
        </ext>
      </extLst>
    </bk>
    <bk>
      <extLst>
        <ext uri="{3e2802c4-a4d2-4d8b-9148-e3be6c30e623}">
          <xlrd:rvb i="3142"/>
        </ext>
      </extLst>
    </bk>
    <bk>
      <extLst>
        <ext uri="{3e2802c4-a4d2-4d8b-9148-e3be6c30e623}">
          <xlrd:rvb i="3143"/>
        </ext>
      </extLst>
    </bk>
    <bk>
      <extLst>
        <ext uri="{3e2802c4-a4d2-4d8b-9148-e3be6c30e623}">
          <xlrd:rvb i="3144"/>
        </ext>
      </extLst>
    </bk>
    <bk>
      <extLst>
        <ext uri="{3e2802c4-a4d2-4d8b-9148-e3be6c30e623}">
          <xlrd:rvb i="3145"/>
        </ext>
      </extLst>
    </bk>
    <bk>
      <extLst>
        <ext uri="{3e2802c4-a4d2-4d8b-9148-e3be6c30e623}">
          <xlrd:rvb i="3146"/>
        </ext>
      </extLst>
    </bk>
    <bk>
      <extLst>
        <ext uri="{3e2802c4-a4d2-4d8b-9148-e3be6c30e623}">
          <xlrd:rvb i="3147"/>
        </ext>
      </extLst>
    </bk>
    <bk>
      <extLst>
        <ext uri="{3e2802c4-a4d2-4d8b-9148-e3be6c30e623}">
          <xlrd:rvb i="3148"/>
        </ext>
      </extLst>
    </bk>
    <bk>
      <extLst>
        <ext uri="{3e2802c4-a4d2-4d8b-9148-e3be6c30e623}">
          <xlrd:rvb i="3149"/>
        </ext>
      </extLst>
    </bk>
    <bk>
      <extLst>
        <ext uri="{3e2802c4-a4d2-4d8b-9148-e3be6c30e623}">
          <xlrd:rvb i="3150"/>
        </ext>
      </extLst>
    </bk>
    <bk>
      <extLst>
        <ext uri="{3e2802c4-a4d2-4d8b-9148-e3be6c30e623}">
          <xlrd:rvb i="3151"/>
        </ext>
      </extLst>
    </bk>
    <bk>
      <extLst>
        <ext uri="{3e2802c4-a4d2-4d8b-9148-e3be6c30e623}">
          <xlrd:rvb i="3152"/>
        </ext>
      </extLst>
    </bk>
    <bk>
      <extLst>
        <ext uri="{3e2802c4-a4d2-4d8b-9148-e3be6c30e623}">
          <xlrd:rvb i="3153"/>
        </ext>
      </extLst>
    </bk>
    <bk>
      <extLst>
        <ext uri="{3e2802c4-a4d2-4d8b-9148-e3be6c30e623}">
          <xlrd:rvb i="3154"/>
        </ext>
      </extLst>
    </bk>
    <bk>
      <extLst>
        <ext uri="{3e2802c4-a4d2-4d8b-9148-e3be6c30e623}">
          <xlrd:rvb i="3155"/>
        </ext>
      </extLst>
    </bk>
    <bk>
      <extLst>
        <ext uri="{3e2802c4-a4d2-4d8b-9148-e3be6c30e623}">
          <xlrd:rvb i="3156"/>
        </ext>
      </extLst>
    </bk>
    <bk>
      <extLst>
        <ext uri="{3e2802c4-a4d2-4d8b-9148-e3be6c30e623}">
          <xlrd:rvb i="3157"/>
        </ext>
      </extLst>
    </bk>
    <bk>
      <extLst>
        <ext uri="{3e2802c4-a4d2-4d8b-9148-e3be6c30e623}">
          <xlrd:rvb i="3158"/>
        </ext>
      </extLst>
    </bk>
    <bk>
      <extLst>
        <ext uri="{3e2802c4-a4d2-4d8b-9148-e3be6c30e623}">
          <xlrd:rvb i="3159"/>
        </ext>
      </extLst>
    </bk>
    <bk>
      <extLst>
        <ext uri="{3e2802c4-a4d2-4d8b-9148-e3be6c30e623}">
          <xlrd:rvb i="3160"/>
        </ext>
      </extLst>
    </bk>
    <bk>
      <extLst>
        <ext uri="{3e2802c4-a4d2-4d8b-9148-e3be6c30e623}">
          <xlrd:rvb i="3161"/>
        </ext>
      </extLst>
    </bk>
    <bk>
      <extLst>
        <ext uri="{3e2802c4-a4d2-4d8b-9148-e3be6c30e623}">
          <xlrd:rvb i="3162"/>
        </ext>
      </extLst>
    </bk>
    <bk>
      <extLst>
        <ext uri="{3e2802c4-a4d2-4d8b-9148-e3be6c30e623}">
          <xlrd:rvb i="3163"/>
        </ext>
      </extLst>
    </bk>
    <bk>
      <extLst>
        <ext uri="{3e2802c4-a4d2-4d8b-9148-e3be6c30e623}">
          <xlrd:rvb i="3164"/>
        </ext>
      </extLst>
    </bk>
    <bk>
      <extLst>
        <ext uri="{3e2802c4-a4d2-4d8b-9148-e3be6c30e623}">
          <xlrd:rvb i="3165"/>
        </ext>
      </extLst>
    </bk>
    <bk>
      <extLst>
        <ext uri="{3e2802c4-a4d2-4d8b-9148-e3be6c30e623}">
          <xlrd:rvb i="3166"/>
        </ext>
      </extLst>
    </bk>
    <bk>
      <extLst>
        <ext uri="{3e2802c4-a4d2-4d8b-9148-e3be6c30e623}">
          <xlrd:rvb i="3167"/>
        </ext>
      </extLst>
    </bk>
    <bk>
      <extLst>
        <ext uri="{3e2802c4-a4d2-4d8b-9148-e3be6c30e623}">
          <xlrd:rvb i="3168"/>
        </ext>
      </extLst>
    </bk>
    <bk>
      <extLst>
        <ext uri="{3e2802c4-a4d2-4d8b-9148-e3be6c30e623}">
          <xlrd:rvb i="3169"/>
        </ext>
      </extLst>
    </bk>
    <bk>
      <extLst>
        <ext uri="{3e2802c4-a4d2-4d8b-9148-e3be6c30e623}">
          <xlrd:rvb i="3170"/>
        </ext>
      </extLst>
    </bk>
    <bk>
      <extLst>
        <ext uri="{3e2802c4-a4d2-4d8b-9148-e3be6c30e623}">
          <xlrd:rvb i="3171"/>
        </ext>
      </extLst>
    </bk>
    <bk>
      <extLst>
        <ext uri="{3e2802c4-a4d2-4d8b-9148-e3be6c30e623}">
          <xlrd:rvb i="3172"/>
        </ext>
      </extLst>
    </bk>
    <bk>
      <extLst>
        <ext uri="{3e2802c4-a4d2-4d8b-9148-e3be6c30e623}">
          <xlrd:rvb i="3173"/>
        </ext>
      </extLst>
    </bk>
    <bk>
      <extLst>
        <ext uri="{3e2802c4-a4d2-4d8b-9148-e3be6c30e623}">
          <xlrd:rvb i="3174"/>
        </ext>
      </extLst>
    </bk>
    <bk>
      <extLst>
        <ext uri="{3e2802c4-a4d2-4d8b-9148-e3be6c30e623}">
          <xlrd:rvb i="3175"/>
        </ext>
      </extLst>
    </bk>
    <bk>
      <extLst>
        <ext uri="{3e2802c4-a4d2-4d8b-9148-e3be6c30e623}">
          <xlrd:rvb i="3176"/>
        </ext>
      </extLst>
    </bk>
    <bk>
      <extLst>
        <ext uri="{3e2802c4-a4d2-4d8b-9148-e3be6c30e623}">
          <xlrd:rvb i="3177"/>
        </ext>
      </extLst>
    </bk>
    <bk>
      <extLst>
        <ext uri="{3e2802c4-a4d2-4d8b-9148-e3be6c30e623}">
          <xlrd:rvb i="3178"/>
        </ext>
      </extLst>
    </bk>
    <bk>
      <extLst>
        <ext uri="{3e2802c4-a4d2-4d8b-9148-e3be6c30e623}">
          <xlrd:rvb i="3179"/>
        </ext>
      </extLst>
    </bk>
    <bk>
      <extLst>
        <ext uri="{3e2802c4-a4d2-4d8b-9148-e3be6c30e623}">
          <xlrd:rvb i="3180"/>
        </ext>
      </extLst>
    </bk>
    <bk>
      <extLst>
        <ext uri="{3e2802c4-a4d2-4d8b-9148-e3be6c30e623}">
          <xlrd:rvb i="3181"/>
        </ext>
      </extLst>
    </bk>
    <bk>
      <extLst>
        <ext uri="{3e2802c4-a4d2-4d8b-9148-e3be6c30e623}">
          <xlrd:rvb i="3182"/>
        </ext>
      </extLst>
    </bk>
    <bk>
      <extLst>
        <ext uri="{3e2802c4-a4d2-4d8b-9148-e3be6c30e623}">
          <xlrd:rvb i="3183"/>
        </ext>
      </extLst>
    </bk>
    <bk>
      <extLst>
        <ext uri="{3e2802c4-a4d2-4d8b-9148-e3be6c30e623}">
          <xlrd:rvb i="3184"/>
        </ext>
      </extLst>
    </bk>
    <bk>
      <extLst>
        <ext uri="{3e2802c4-a4d2-4d8b-9148-e3be6c30e623}">
          <xlrd:rvb i="3185"/>
        </ext>
      </extLst>
    </bk>
    <bk>
      <extLst>
        <ext uri="{3e2802c4-a4d2-4d8b-9148-e3be6c30e623}">
          <xlrd:rvb i="3186"/>
        </ext>
      </extLst>
    </bk>
    <bk>
      <extLst>
        <ext uri="{3e2802c4-a4d2-4d8b-9148-e3be6c30e623}">
          <xlrd:rvb i="3187"/>
        </ext>
      </extLst>
    </bk>
    <bk>
      <extLst>
        <ext uri="{3e2802c4-a4d2-4d8b-9148-e3be6c30e623}">
          <xlrd:rvb i="3188"/>
        </ext>
      </extLst>
    </bk>
    <bk>
      <extLst>
        <ext uri="{3e2802c4-a4d2-4d8b-9148-e3be6c30e623}">
          <xlrd:rvb i="3189"/>
        </ext>
      </extLst>
    </bk>
    <bk>
      <extLst>
        <ext uri="{3e2802c4-a4d2-4d8b-9148-e3be6c30e623}">
          <xlrd:rvb i="3190"/>
        </ext>
      </extLst>
    </bk>
    <bk>
      <extLst>
        <ext uri="{3e2802c4-a4d2-4d8b-9148-e3be6c30e623}">
          <xlrd:rvb i="3191"/>
        </ext>
      </extLst>
    </bk>
    <bk>
      <extLst>
        <ext uri="{3e2802c4-a4d2-4d8b-9148-e3be6c30e623}">
          <xlrd:rvb i="3192"/>
        </ext>
      </extLst>
    </bk>
    <bk>
      <extLst>
        <ext uri="{3e2802c4-a4d2-4d8b-9148-e3be6c30e623}">
          <xlrd:rvb i="3193"/>
        </ext>
      </extLst>
    </bk>
    <bk>
      <extLst>
        <ext uri="{3e2802c4-a4d2-4d8b-9148-e3be6c30e623}">
          <xlrd:rvb i="3194"/>
        </ext>
      </extLst>
    </bk>
    <bk>
      <extLst>
        <ext uri="{3e2802c4-a4d2-4d8b-9148-e3be6c30e623}">
          <xlrd:rvb i="3195"/>
        </ext>
      </extLst>
    </bk>
    <bk>
      <extLst>
        <ext uri="{3e2802c4-a4d2-4d8b-9148-e3be6c30e623}">
          <xlrd:rvb i="3196"/>
        </ext>
      </extLst>
    </bk>
    <bk>
      <extLst>
        <ext uri="{3e2802c4-a4d2-4d8b-9148-e3be6c30e623}">
          <xlrd:rvb i="3197"/>
        </ext>
      </extLst>
    </bk>
    <bk>
      <extLst>
        <ext uri="{3e2802c4-a4d2-4d8b-9148-e3be6c30e623}">
          <xlrd:rvb i="3198"/>
        </ext>
      </extLst>
    </bk>
    <bk>
      <extLst>
        <ext uri="{3e2802c4-a4d2-4d8b-9148-e3be6c30e623}">
          <xlrd:rvb i="3199"/>
        </ext>
      </extLst>
    </bk>
    <bk>
      <extLst>
        <ext uri="{3e2802c4-a4d2-4d8b-9148-e3be6c30e623}">
          <xlrd:rvb i="3200"/>
        </ext>
      </extLst>
    </bk>
    <bk>
      <extLst>
        <ext uri="{3e2802c4-a4d2-4d8b-9148-e3be6c30e623}">
          <xlrd:rvb i="3201"/>
        </ext>
      </extLst>
    </bk>
    <bk>
      <extLst>
        <ext uri="{3e2802c4-a4d2-4d8b-9148-e3be6c30e623}">
          <xlrd:rvb i="3202"/>
        </ext>
      </extLst>
    </bk>
    <bk>
      <extLst>
        <ext uri="{3e2802c4-a4d2-4d8b-9148-e3be6c30e623}">
          <xlrd:rvb i="3203"/>
        </ext>
      </extLst>
    </bk>
    <bk>
      <extLst>
        <ext uri="{3e2802c4-a4d2-4d8b-9148-e3be6c30e623}">
          <xlrd:rvb i="3204"/>
        </ext>
      </extLst>
    </bk>
    <bk>
      <extLst>
        <ext uri="{3e2802c4-a4d2-4d8b-9148-e3be6c30e623}">
          <xlrd:rvb i="3205"/>
        </ext>
      </extLst>
    </bk>
    <bk>
      <extLst>
        <ext uri="{3e2802c4-a4d2-4d8b-9148-e3be6c30e623}">
          <xlrd:rvb i="3206"/>
        </ext>
      </extLst>
    </bk>
    <bk>
      <extLst>
        <ext uri="{3e2802c4-a4d2-4d8b-9148-e3be6c30e623}">
          <xlrd:rvb i="3207"/>
        </ext>
      </extLst>
    </bk>
    <bk>
      <extLst>
        <ext uri="{3e2802c4-a4d2-4d8b-9148-e3be6c30e623}">
          <xlrd:rvb i="3208"/>
        </ext>
      </extLst>
    </bk>
    <bk>
      <extLst>
        <ext uri="{3e2802c4-a4d2-4d8b-9148-e3be6c30e623}">
          <xlrd:rvb i="3209"/>
        </ext>
      </extLst>
    </bk>
    <bk>
      <extLst>
        <ext uri="{3e2802c4-a4d2-4d8b-9148-e3be6c30e623}">
          <xlrd:rvb i="3210"/>
        </ext>
      </extLst>
    </bk>
    <bk>
      <extLst>
        <ext uri="{3e2802c4-a4d2-4d8b-9148-e3be6c30e623}">
          <xlrd:rvb i="3211"/>
        </ext>
      </extLst>
    </bk>
    <bk>
      <extLst>
        <ext uri="{3e2802c4-a4d2-4d8b-9148-e3be6c30e623}">
          <xlrd:rvb i="3212"/>
        </ext>
      </extLst>
    </bk>
    <bk>
      <extLst>
        <ext uri="{3e2802c4-a4d2-4d8b-9148-e3be6c30e623}">
          <xlrd:rvb i="3213"/>
        </ext>
      </extLst>
    </bk>
    <bk>
      <extLst>
        <ext uri="{3e2802c4-a4d2-4d8b-9148-e3be6c30e623}">
          <xlrd:rvb i="3214"/>
        </ext>
      </extLst>
    </bk>
    <bk>
      <extLst>
        <ext uri="{3e2802c4-a4d2-4d8b-9148-e3be6c30e623}">
          <xlrd:rvb i="3215"/>
        </ext>
      </extLst>
    </bk>
    <bk>
      <extLst>
        <ext uri="{3e2802c4-a4d2-4d8b-9148-e3be6c30e623}">
          <xlrd:rvb i="3216"/>
        </ext>
      </extLst>
    </bk>
    <bk>
      <extLst>
        <ext uri="{3e2802c4-a4d2-4d8b-9148-e3be6c30e623}">
          <xlrd:rvb i="3217"/>
        </ext>
      </extLst>
    </bk>
    <bk>
      <extLst>
        <ext uri="{3e2802c4-a4d2-4d8b-9148-e3be6c30e623}">
          <xlrd:rvb i="3218"/>
        </ext>
      </extLst>
    </bk>
    <bk>
      <extLst>
        <ext uri="{3e2802c4-a4d2-4d8b-9148-e3be6c30e623}">
          <xlrd:rvb i="3219"/>
        </ext>
      </extLst>
    </bk>
    <bk>
      <extLst>
        <ext uri="{3e2802c4-a4d2-4d8b-9148-e3be6c30e623}">
          <xlrd:rvb i="3220"/>
        </ext>
      </extLst>
    </bk>
    <bk>
      <extLst>
        <ext uri="{3e2802c4-a4d2-4d8b-9148-e3be6c30e623}">
          <xlrd:rvb i="3221"/>
        </ext>
      </extLst>
    </bk>
    <bk>
      <extLst>
        <ext uri="{3e2802c4-a4d2-4d8b-9148-e3be6c30e623}">
          <xlrd:rvb i="3222"/>
        </ext>
      </extLst>
    </bk>
    <bk>
      <extLst>
        <ext uri="{3e2802c4-a4d2-4d8b-9148-e3be6c30e623}">
          <xlrd:rvb i="3223"/>
        </ext>
      </extLst>
    </bk>
    <bk>
      <extLst>
        <ext uri="{3e2802c4-a4d2-4d8b-9148-e3be6c30e623}">
          <xlrd:rvb i="3224"/>
        </ext>
      </extLst>
    </bk>
    <bk>
      <extLst>
        <ext uri="{3e2802c4-a4d2-4d8b-9148-e3be6c30e623}">
          <xlrd:rvb i="3225"/>
        </ext>
      </extLst>
    </bk>
    <bk>
      <extLst>
        <ext uri="{3e2802c4-a4d2-4d8b-9148-e3be6c30e623}">
          <xlrd:rvb i="3226"/>
        </ext>
      </extLst>
    </bk>
    <bk>
      <extLst>
        <ext uri="{3e2802c4-a4d2-4d8b-9148-e3be6c30e623}">
          <xlrd:rvb i="3227"/>
        </ext>
      </extLst>
    </bk>
    <bk>
      <extLst>
        <ext uri="{3e2802c4-a4d2-4d8b-9148-e3be6c30e623}">
          <xlrd:rvb i="3228"/>
        </ext>
      </extLst>
    </bk>
    <bk>
      <extLst>
        <ext uri="{3e2802c4-a4d2-4d8b-9148-e3be6c30e623}">
          <xlrd:rvb i="3229"/>
        </ext>
      </extLst>
    </bk>
    <bk>
      <extLst>
        <ext uri="{3e2802c4-a4d2-4d8b-9148-e3be6c30e623}">
          <xlrd:rvb i="3230"/>
        </ext>
      </extLst>
    </bk>
    <bk>
      <extLst>
        <ext uri="{3e2802c4-a4d2-4d8b-9148-e3be6c30e623}">
          <xlrd:rvb i="3231"/>
        </ext>
      </extLst>
    </bk>
    <bk>
      <extLst>
        <ext uri="{3e2802c4-a4d2-4d8b-9148-e3be6c30e623}">
          <xlrd:rvb i="3232"/>
        </ext>
      </extLst>
    </bk>
    <bk>
      <extLst>
        <ext uri="{3e2802c4-a4d2-4d8b-9148-e3be6c30e623}">
          <xlrd:rvb i="3233"/>
        </ext>
      </extLst>
    </bk>
    <bk>
      <extLst>
        <ext uri="{3e2802c4-a4d2-4d8b-9148-e3be6c30e623}">
          <xlrd:rvb i="3234"/>
        </ext>
      </extLst>
    </bk>
    <bk>
      <extLst>
        <ext uri="{3e2802c4-a4d2-4d8b-9148-e3be6c30e623}">
          <xlrd:rvb i="3235"/>
        </ext>
      </extLst>
    </bk>
    <bk>
      <extLst>
        <ext uri="{3e2802c4-a4d2-4d8b-9148-e3be6c30e623}">
          <xlrd:rvb i="3236"/>
        </ext>
      </extLst>
    </bk>
    <bk>
      <extLst>
        <ext uri="{3e2802c4-a4d2-4d8b-9148-e3be6c30e623}">
          <xlrd:rvb i="3237"/>
        </ext>
      </extLst>
    </bk>
    <bk>
      <extLst>
        <ext uri="{3e2802c4-a4d2-4d8b-9148-e3be6c30e623}">
          <xlrd:rvb i="3238"/>
        </ext>
      </extLst>
    </bk>
    <bk>
      <extLst>
        <ext uri="{3e2802c4-a4d2-4d8b-9148-e3be6c30e623}">
          <xlrd:rvb i="3239"/>
        </ext>
      </extLst>
    </bk>
    <bk>
      <extLst>
        <ext uri="{3e2802c4-a4d2-4d8b-9148-e3be6c30e623}">
          <xlrd:rvb i="3240"/>
        </ext>
      </extLst>
    </bk>
    <bk>
      <extLst>
        <ext uri="{3e2802c4-a4d2-4d8b-9148-e3be6c30e623}">
          <xlrd:rvb i="3241"/>
        </ext>
      </extLst>
    </bk>
    <bk>
      <extLst>
        <ext uri="{3e2802c4-a4d2-4d8b-9148-e3be6c30e623}">
          <xlrd:rvb i="3242"/>
        </ext>
      </extLst>
    </bk>
    <bk>
      <extLst>
        <ext uri="{3e2802c4-a4d2-4d8b-9148-e3be6c30e623}">
          <xlrd:rvb i="3243"/>
        </ext>
      </extLst>
    </bk>
    <bk>
      <extLst>
        <ext uri="{3e2802c4-a4d2-4d8b-9148-e3be6c30e623}">
          <xlrd:rvb i="3244"/>
        </ext>
      </extLst>
    </bk>
    <bk>
      <extLst>
        <ext uri="{3e2802c4-a4d2-4d8b-9148-e3be6c30e623}">
          <xlrd:rvb i="3245"/>
        </ext>
      </extLst>
    </bk>
    <bk>
      <extLst>
        <ext uri="{3e2802c4-a4d2-4d8b-9148-e3be6c30e623}">
          <xlrd:rvb i="3246"/>
        </ext>
      </extLst>
    </bk>
    <bk>
      <extLst>
        <ext uri="{3e2802c4-a4d2-4d8b-9148-e3be6c30e623}">
          <xlrd:rvb i="3247"/>
        </ext>
      </extLst>
    </bk>
    <bk>
      <extLst>
        <ext uri="{3e2802c4-a4d2-4d8b-9148-e3be6c30e623}">
          <xlrd:rvb i="3248"/>
        </ext>
      </extLst>
    </bk>
    <bk>
      <extLst>
        <ext uri="{3e2802c4-a4d2-4d8b-9148-e3be6c30e623}">
          <xlrd:rvb i="3249"/>
        </ext>
      </extLst>
    </bk>
    <bk>
      <extLst>
        <ext uri="{3e2802c4-a4d2-4d8b-9148-e3be6c30e623}">
          <xlrd:rvb i="3250"/>
        </ext>
      </extLst>
    </bk>
    <bk>
      <extLst>
        <ext uri="{3e2802c4-a4d2-4d8b-9148-e3be6c30e623}">
          <xlrd:rvb i="3251"/>
        </ext>
      </extLst>
    </bk>
    <bk>
      <extLst>
        <ext uri="{3e2802c4-a4d2-4d8b-9148-e3be6c30e623}">
          <xlrd:rvb i="3252"/>
        </ext>
      </extLst>
    </bk>
    <bk>
      <extLst>
        <ext uri="{3e2802c4-a4d2-4d8b-9148-e3be6c30e623}">
          <xlrd:rvb i="3253"/>
        </ext>
      </extLst>
    </bk>
    <bk>
      <extLst>
        <ext uri="{3e2802c4-a4d2-4d8b-9148-e3be6c30e623}">
          <xlrd:rvb i="3254"/>
        </ext>
      </extLst>
    </bk>
    <bk>
      <extLst>
        <ext uri="{3e2802c4-a4d2-4d8b-9148-e3be6c30e623}">
          <xlrd:rvb i="3255"/>
        </ext>
      </extLst>
    </bk>
    <bk>
      <extLst>
        <ext uri="{3e2802c4-a4d2-4d8b-9148-e3be6c30e623}">
          <xlrd:rvb i="3256"/>
        </ext>
      </extLst>
    </bk>
    <bk>
      <extLst>
        <ext uri="{3e2802c4-a4d2-4d8b-9148-e3be6c30e623}">
          <xlrd:rvb i="3257"/>
        </ext>
      </extLst>
    </bk>
    <bk>
      <extLst>
        <ext uri="{3e2802c4-a4d2-4d8b-9148-e3be6c30e623}">
          <xlrd:rvb i="3258"/>
        </ext>
      </extLst>
    </bk>
    <bk>
      <extLst>
        <ext uri="{3e2802c4-a4d2-4d8b-9148-e3be6c30e623}">
          <xlrd:rvb i="3259"/>
        </ext>
      </extLst>
    </bk>
    <bk>
      <extLst>
        <ext uri="{3e2802c4-a4d2-4d8b-9148-e3be6c30e623}">
          <xlrd:rvb i="3260"/>
        </ext>
      </extLst>
    </bk>
    <bk>
      <extLst>
        <ext uri="{3e2802c4-a4d2-4d8b-9148-e3be6c30e623}">
          <xlrd:rvb i="3261"/>
        </ext>
      </extLst>
    </bk>
    <bk>
      <extLst>
        <ext uri="{3e2802c4-a4d2-4d8b-9148-e3be6c30e623}">
          <xlrd:rvb i="3262"/>
        </ext>
      </extLst>
    </bk>
    <bk>
      <extLst>
        <ext uri="{3e2802c4-a4d2-4d8b-9148-e3be6c30e623}">
          <xlrd:rvb i="3263"/>
        </ext>
      </extLst>
    </bk>
    <bk>
      <extLst>
        <ext uri="{3e2802c4-a4d2-4d8b-9148-e3be6c30e623}">
          <xlrd:rvb i="3264"/>
        </ext>
      </extLst>
    </bk>
    <bk>
      <extLst>
        <ext uri="{3e2802c4-a4d2-4d8b-9148-e3be6c30e623}">
          <xlrd:rvb i="3265"/>
        </ext>
      </extLst>
    </bk>
    <bk>
      <extLst>
        <ext uri="{3e2802c4-a4d2-4d8b-9148-e3be6c30e623}">
          <xlrd:rvb i="3266"/>
        </ext>
      </extLst>
    </bk>
    <bk>
      <extLst>
        <ext uri="{3e2802c4-a4d2-4d8b-9148-e3be6c30e623}">
          <xlrd:rvb i="3267"/>
        </ext>
      </extLst>
    </bk>
    <bk>
      <extLst>
        <ext uri="{3e2802c4-a4d2-4d8b-9148-e3be6c30e623}">
          <xlrd:rvb i="3268"/>
        </ext>
      </extLst>
    </bk>
    <bk>
      <extLst>
        <ext uri="{3e2802c4-a4d2-4d8b-9148-e3be6c30e623}">
          <xlrd:rvb i="3269"/>
        </ext>
      </extLst>
    </bk>
    <bk>
      <extLst>
        <ext uri="{3e2802c4-a4d2-4d8b-9148-e3be6c30e623}">
          <xlrd:rvb i="3270"/>
        </ext>
      </extLst>
    </bk>
    <bk>
      <extLst>
        <ext uri="{3e2802c4-a4d2-4d8b-9148-e3be6c30e623}">
          <xlrd:rvb i="3271"/>
        </ext>
      </extLst>
    </bk>
    <bk>
      <extLst>
        <ext uri="{3e2802c4-a4d2-4d8b-9148-e3be6c30e623}">
          <xlrd:rvb i="3272"/>
        </ext>
      </extLst>
    </bk>
    <bk>
      <extLst>
        <ext uri="{3e2802c4-a4d2-4d8b-9148-e3be6c30e623}">
          <xlrd:rvb i="3273"/>
        </ext>
      </extLst>
    </bk>
    <bk>
      <extLst>
        <ext uri="{3e2802c4-a4d2-4d8b-9148-e3be6c30e623}">
          <xlrd:rvb i="3274"/>
        </ext>
      </extLst>
    </bk>
    <bk>
      <extLst>
        <ext uri="{3e2802c4-a4d2-4d8b-9148-e3be6c30e623}">
          <xlrd:rvb i="3275"/>
        </ext>
      </extLst>
    </bk>
    <bk>
      <extLst>
        <ext uri="{3e2802c4-a4d2-4d8b-9148-e3be6c30e623}">
          <xlrd:rvb i="3276"/>
        </ext>
      </extLst>
    </bk>
    <bk>
      <extLst>
        <ext uri="{3e2802c4-a4d2-4d8b-9148-e3be6c30e623}">
          <xlrd:rvb i="3277"/>
        </ext>
      </extLst>
    </bk>
    <bk>
      <extLst>
        <ext uri="{3e2802c4-a4d2-4d8b-9148-e3be6c30e623}">
          <xlrd:rvb i="3278"/>
        </ext>
      </extLst>
    </bk>
    <bk>
      <extLst>
        <ext uri="{3e2802c4-a4d2-4d8b-9148-e3be6c30e623}">
          <xlrd:rvb i="3279"/>
        </ext>
      </extLst>
    </bk>
    <bk>
      <extLst>
        <ext uri="{3e2802c4-a4d2-4d8b-9148-e3be6c30e623}">
          <xlrd:rvb i="3280"/>
        </ext>
      </extLst>
    </bk>
    <bk>
      <extLst>
        <ext uri="{3e2802c4-a4d2-4d8b-9148-e3be6c30e623}">
          <xlrd:rvb i="3281"/>
        </ext>
      </extLst>
    </bk>
    <bk>
      <extLst>
        <ext uri="{3e2802c4-a4d2-4d8b-9148-e3be6c30e623}">
          <xlrd:rvb i="3282"/>
        </ext>
      </extLst>
    </bk>
    <bk>
      <extLst>
        <ext uri="{3e2802c4-a4d2-4d8b-9148-e3be6c30e623}">
          <xlrd:rvb i="3283"/>
        </ext>
      </extLst>
    </bk>
    <bk>
      <extLst>
        <ext uri="{3e2802c4-a4d2-4d8b-9148-e3be6c30e623}">
          <xlrd:rvb i="3284"/>
        </ext>
      </extLst>
    </bk>
    <bk>
      <extLst>
        <ext uri="{3e2802c4-a4d2-4d8b-9148-e3be6c30e623}">
          <xlrd:rvb i="3285"/>
        </ext>
      </extLst>
    </bk>
    <bk>
      <extLst>
        <ext uri="{3e2802c4-a4d2-4d8b-9148-e3be6c30e623}">
          <xlrd:rvb i="3286"/>
        </ext>
      </extLst>
    </bk>
    <bk>
      <extLst>
        <ext uri="{3e2802c4-a4d2-4d8b-9148-e3be6c30e623}">
          <xlrd:rvb i="3287"/>
        </ext>
      </extLst>
    </bk>
    <bk>
      <extLst>
        <ext uri="{3e2802c4-a4d2-4d8b-9148-e3be6c30e623}">
          <xlrd:rvb i="3288"/>
        </ext>
      </extLst>
    </bk>
    <bk>
      <extLst>
        <ext uri="{3e2802c4-a4d2-4d8b-9148-e3be6c30e623}">
          <xlrd:rvb i="3289"/>
        </ext>
      </extLst>
    </bk>
    <bk>
      <extLst>
        <ext uri="{3e2802c4-a4d2-4d8b-9148-e3be6c30e623}">
          <xlrd:rvb i="3290"/>
        </ext>
      </extLst>
    </bk>
    <bk>
      <extLst>
        <ext uri="{3e2802c4-a4d2-4d8b-9148-e3be6c30e623}">
          <xlrd:rvb i="3291"/>
        </ext>
      </extLst>
    </bk>
    <bk>
      <extLst>
        <ext uri="{3e2802c4-a4d2-4d8b-9148-e3be6c30e623}">
          <xlrd:rvb i="3292"/>
        </ext>
      </extLst>
    </bk>
    <bk>
      <extLst>
        <ext uri="{3e2802c4-a4d2-4d8b-9148-e3be6c30e623}">
          <xlrd:rvb i="3293"/>
        </ext>
      </extLst>
    </bk>
    <bk>
      <extLst>
        <ext uri="{3e2802c4-a4d2-4d8b-9148-e3be6c30e623}">
          <xlrd:rvb i="3294"/>
        </ext>
      </extLst>
    </bk>
    <bk>
      <extLst>
        <ext uri="{3e2802c4-a4d2-4d8b-9148-e3be6c30e623}">
          <xlrd:rvb i="3295"/>
        </ext>
      </extLst>
    </bk>
    <bk>
      <extLst>
        <ext uri="{3e2802c4-a4d2-4d8b-9148-e3be6c30e623}">
          <xlrd:rvb i="3296"/>
        </ext>
      </extLst>
    </bk>
    <bk>
      <extLst>
        <ext uri="{3e2802c4-a4d2-4d8b-9148-e3be6c30e623}">
          <xlrd:rvb i="3297"/>
        </ext>
      </extLst>
    </bk>
    <bk>
      <extLst>
        <ext uri="{3e2802c4-a4d2-4d8b-9148-e3be6c30e623}">
          <xlrd:rvb i="3298"/>
        </ext>
      </extLst>
    </bk>
    <bk>
      <extLst>
        <ext uri="{3e2802c4-a4d2-4d8b-9148-e3be6c30e623}">
          <xlrd:rvb i="3299"/>
        </ext>
      </extLst>
    </bk>
    <bk>
      <extLst>
        <ext uri="{3e2802c4-a4d2-4d8b-9148-e3be6c30e623}">
          <xlrd:rvb i="3300"/>
        </ext>
      </extLst>
    </bk>
    <bk>
      <extLst>
        <ext uri="{3e2802c4-a4d2-4d8b-9148-e3be6c30e623}">
          <xlrd:rvb i="3301"/>
        </ext>
      </extLst>
    </bk>
    <bk>
      <extLst>
        <ext uri="{3e2802c4-a4d2-4d8b-9148-e3be6c30e623}">
          <xlrd:rvb i="3302"/>
        </ext>
      </extLst>
    </bk>
    <bk>
      <extLst>
        <ext uri="{3e2802c4-a4d2-4d8b-9148-e3be6c30e623}">
          <xlrd:rvb i="3303"/>
        </ext>
      </extLst>
    </bk>
    <bk>
      <extLst>
        <ext uri="{3e2802c4-a4d2-4d8b-9148-e3be6c30e623}">
          <xlrd:rvb i="3304"/>
        </ext>
      </extLst>
    </bk>
    <bk>
      <extLst>
        <ext uri="{3e2802c4-a4d2-4d8b-9148-e3be6c30e623}">
          <xlrd:rvb i="3305"/>
        </ext>
      </extLst>
    </bk>
    <bk>
      <extLst>
        <ext uri="{3e2802c4-a4d2-4d8b-9148-e3be6c30e623}">
          <xlrd:rvb i="3306"/>
        </ext>
      </extLst>
    </bk>
    <bk>
      <extLst>
        <ext uri="{3e2802c4-a4d2-4d8b-9148-e3be6c30e623}">
          <xlrd:rvb i="3307"/>
        </ext>
      </extLst>
    </bk>
    <bk>
      <extLst>
        <ext uri="{3e2802c4-a4d2-4d8b-9148-e3be6c30e623}">
          <xlrd:rvb i="3308"/>
        </ext>
      </extLst>
    </bk>
    <bk>
      <extLst>
        <ext uri="{3e2802c4-a4d2-4d8b-9148-e3be6c30e623}">
          <xlrd:rvb i="3309"/>
        </ext>
      </extLst>
    </bk>
    <bk>
      <extLst>
        <ext uri="{3e2802c4-a4d2-4d8b-9148-e3be6c30e623}">
          <xlrd:rvb i="3310"/>
        </ext>
      </extLst>
    </bk>
    <bk>
      <extLst>
        <ext uri="{3e2802c4-a4d2-4d8b-9148-e3be6c30e623}">
          <xlrd:rvb i="3311"/>
        </ext>
      </extLst>
    </bk>
    <bk>
      <extLst>
        <ext uri="{3e2802c4-a4d2-4d8b-9148-e3be6c30e623}">
          <xlrd:rvb i="3312"/>
        </ext>
      </extLst>
    </bk>
    <bk>
      <extLst>
        <ext uri="{3e2802c4-a4d2-4d8b-9148-e3be6c30e623}">
          <xlrd:rvb i="3313"/>
        </ext>
      </extLst>
    </bk>
    <bk>
      <extLst>
        <ext uri="{3e2802c4-a4d2-4d8b-9148-e3be6c30e623}">
          <xlrd:rvb i="3314"/>
        </ext>
      </extLst>
    </bk>
    <bk>
      <extLst>
        <ext uri="{3e2802c4-a4d2-4d8b-9148-e3be6c30e623}">
          <xlrd:rvb i="3315"/>
        </ext>
      </extLst>
    </bk>
    <bk>
      <extLst>
        <ext uri="{3e2802c4-a4d2-4d8b-9148-e3be6c30e623}">
          <xlrd:rvb i="3316"/>
        </ext>
      </extLst>
    </bk>
    <bk>
      <extLst>
        <ext uri="{3e2802c4-a4d2-4d8b-9148-e3be6c30e623}">
          <xlrd:rvb i="3317"/>
        </ext>
      </extLst>
    </bk>
    <bk>
      <extLst>
        <ext uri="{3e2802c4-a4d2-4d8b-9148-e3be6c30e623}">
          <xlrd:rvb i="3318"/>
        </ext>
      </extLst>
    </bk>
    <bk>
      <extLst>
        <ext uri="{3e2802c4-a4d2-4d8b-9148-e3be6c30e623}">
          <xlrd:rvb i="3319"/>
        </ext>
      </extLst>
    </bk>
    <bk>
      <extLst>
        <ext uri="{3e2802c4-a4d2-4d8b-9148-e3be6c30e623}">
          <xlrd:rvb i="3320"/>
        </ext>
      </extLst>
    </bk>
    <bk>
      <extLst>
        <ext uri="{3e2802c4-a4d2-4d8b-9148-e3be6c30e623}">
          <xlrd:rvb i="3321"/>
        </ext>
      </extLst>
    </bk>
    <bk>
      <extLst>
        <ext uri="{3e2802c4-a4d2-4d8b-9148-e3be6c30e623}">
          <xlrd:rvb i="3322"/>
        </ext>
      </extLst>
    </bk>
    <bk>
      <extLst>
        <ext uri="{3e2802c4-a4d2-4d8b-9148-e3be6c30e623}">
          <xlrd:rvb i="3323"/>
        </ext>
      </extLst>
    </bk>
    <bk>
      <extLst>
        <ext uri="{3e2802c4-a4d2-4d8b-9148-e3be6c30e623}">
          <xlrd:rvb i="3324"/>
        </ext>
      </extLst>
    </bk>
    <bk>
      <extLst>
        <ext uri="{3e2802c4-a4d2-4d8b-9148-e3be6c30e623}">
          <xlrd:rvb i="3325"/>
        </ext>
      </extLst>
    </bk>
    <bk>
      <extLst>
        <ext uri="{3e2802c4-a4d2-4d8b-9148-e3be6c30e623}">
          <xlrd:rvb i="3326"/>
        </ext>
      </extLst>
    </bk>
    <bk>
      <extLst>
        <ext uri="{3e2802c4-a4d2-4d8b-9148-e3be6c30e623}">
          <xlrd:rvb i="3327"/>
        </ext>
      </extLst>
    </bk>
    <bk>
      <extLst>
        <ext uri="{3e2802c4-a4d2-4d8b-9148-e3be6c30e623}">
          <xlrd:rvb i="3328"/>
        </ext>
      </extLst>
    </bk>
    <bk>
      <extLst>
        <ext uri="{3e2802c4-a4d2-4d8b-9148-e3be6c30e623}">
          <xlrd:rvb i="3329"/>
        </ext>
      </extLst>
    </bk>
    <bk>
      <extLst>
        <ext uri="{3e2802c4-a4d2-4d8b-9148-e3be6c30e623}">
          <xlrd:rvb i="3330"/>
        </ext>
      </extLst>
    </bk>
    <bk>
      <extLst>
        <ext uri="{3e2802c4-a4d2-4d8b-9148-e3be6c30e623}">
          <xlrd:rvb i="3331"/>
        </ext>
      </extLst>
    </bk>
    <bk>
      <extLst>
        <ext uri="{3e2802c4-a4d2-4d8b-9148-e3be6c30e623}">
          <xlrd:rvb i="3332"/>
        </ext>
      </extLst>
    </bk>
    <bk>
      <extLst>
        <ext uri="{3e2802c4-a4d2-4d8b-9148-e3be6c30e623}">
          <xlrd:rvb i="3333"/>
        </ext>
      </extLst>
    </bk>
    <bk>
      <extLst>
        <ext uri="{3e2802c4-a4d2-4d8b-9148-e3be6c30e623}">
          <xlrd:rvb i="3334"/>
        </ext>
      </extLst>
    </bk>
    <bk>
      <extLst>
        <ext uri="{3e2802c4-a4d2-4d8b-9148-e3be6c30e623}">
          <xlrd:rvb i="3335"/>
        </ext>
      </extLst>
    </bk>
    <bk>
      <extLst>
        <ext uri="{3e2802c4-a4d2-4d8b-9148-e3be6c30e623}">
          <xlrd:rvb i="3336"/>
        </ext>
      </extLst>
    </bk>
    <bk>
      <extLst>
        <ext uri="{3e2802c4-a4d2-4d8b-9148-e3be6c30e623}">
          <xlrd:rvb i="3337"/>
        </ext>
      </extLst>
    </bk>
    <bk>
      <extLst>
        <ext uri="{3e2802c4-a4d2-4d8b-9148-e3be6c30e623}">
          <xlrd:rvb i="3338"/>
        </ext>
      </extLst>
    </bk>
    <bk>
      <extLst>
        <ext uri="{3e2802c4-a4d2-4d8b-9148-e3be6c30e623}">
          <xlrd:rvb i="3339"/>
        </ext>
      </extLst>
    </bk>
    <bk>
      <extLst>
        <ext uri="{3e2802c4-a4d2-4d8b-9148-e3be6c30e623}">
          <xlrd:rvb i="3340"/>
        </ext>
      </extLst>
    </bk>
    <bk>
      <extLst>
        <ext uri="{3e2802c4-a4d2-4d8b-9148-e3be6c30e623}">
          <xlrd:rvb i="3341"/>
        </ext>
      </extLst>
    </bk>
    <bk>
      <extLst>
        <ext uri="{3e2802c4-a4d2-4d8b-9148-e3be6c30e623}">
          <xlrd:rvb i="3342"/>
        </ext>
      </extLst>
    </bk>
    <bk>
      <extLst>
        <ext uri="{3e2802c4-a4d2-4d8b-9148-e3be6c30e623}">
          <xlrd:rvb i="3343"/>
        </ext>
      </extLst>
    </bk>
    <bk>
      <extLst>
        <ext uri="{3e2802c4-a4d2-4d8b-9148-e3be6c30e623}">
          <xlrd:rvb i="3344"/>
        </ext>
      </extLst>
    </bk>
    <bk>
      <extLst>
        <ext uri="{3e2802c4-a4d2-4d8b-9148-e3be6c30e623}">
          <xlrd:rvb i="3345"/>
        </ext>
      </extLst>
    </bk>
    <bk>
      <extLst>
        <ext uri="{3e2802c4-a4d2-4d8b-9148-e3be6c30e623}">
          <xlrd:rvb i="3346"/>
        </ext>
      </extLst>
    </bk>
    <bk>
      <extLst>
        <ext uri="{3e2802c4-a4d2-4d8b-9148-e3be6c30e623}">
          <xlrd:rvb i="3347"/>
        </ext>
      </extLst>
    </bk>
    <bk>
      <extLst>
        <ext uri="{3e2802c4-a4d2-4d8b-9148-e3be6c30e623}">
          <xlrd:rvb i="3348"/>
        </ext>
      </extLst>
    </bk>
    <bk>
      <extLst>
        <ext uri="{3e2802c4-a4d2-4d8b-9148-e3be6c30e623}">
          <xlrd:rvb i="3349"/>
        </ext>
      </extLst>
    </bk>
    <bk>
      <extLst>
        <ext uri="{3e2802c4-a4d2-4d8b-9148-e3be6c30e623}">
          <xlrd:rvb i="3350"/>
        </ext>
      </extLst>
    </bk>
    <bk>
      <extLst>
        <ext uri="{3e2802c4-a4d2-4d8b-9148-e3be6c30e623}">
          <xlrd:rvb i="3351"/>
        </ext>
      </extLst>
    </bk>
    <bk>
      <extLst>
        <ext uri="{3e2802c4-a4d2-4d8b-9148-e3be6c30e623}">
          <xlrd:rvb i="3352"/>
        </ext>
      </extLst>
    </bk>
    <bk>
      <extLst>
        <ext uri="{3e2802c4-a4d2-4d8b-9148-e3be6c30e623}">
          <xlrd:rvb i="3353"/>
        </ext>
      </extLst>
    </bk>
    <bk>
      <extLst>
        <ext uri="{3e2802c4-a4d2-4d8b-9148-e3be6c30e623}">
          <xlrd:rvb i="3354"/>
        </ext>
      </extLst>
    </bk>
    <bk>
      <extLst>
        <ext uri="{3e2802c4-a4d2-4d8b-9148-e3be6c30e623}">
          <xlrd:rvb i="3355"/>
        </ext>
      </extLst>
    </bk>
    <bk>
      <extLst>
        <ext uri="{3e2802c4-a4d2-4d8b-9148-e3be6c30e623}">
          <xlrd:rvb i="3356"/>
        </ext>
      </extLst>
    </bk>
    <bk>
      <extLst>
        <ext uri="{3e2802c4-a4d2-4d8b-9148-e3be6c30e623}">
          <xlrd:rvb i="3357"/>
        </ext>
      </extLst>
    </bk>
    <bk>
      <extLst>
        <ext uri="{3e2802c4-a4d2-4d8b-9148-e3be6c30e623}">
          <xlrd:rvb i="3358"/>
        </ext>
      </extLst>
    </bk>
    <bk>
      <extLst>
        <ext uri="{3e2802c4-a4d2-4d8b-9148-e3be6c30e623}">
          <xlrd:rvb i="3359"/>
        </ext>
      </extLst>
    </bk>
    <bk>
      <extLst>
        <ext uri="{3e2802c4-a4d2-4d8b-9148-e3be6c30e623}">
          <xlrd:rvb i="3360"/>
        </ext>
      </extLst>
    </bk>
    <bk>
      <extLst>
        <ext uri="{3e2802c4-a4d2-4d8b-9148-e3be6c30e623}">
          <xlrd:rvb i="3361"/>
        </ext>
      </extLst>
    </bk>
    <bk>
      <extLst>
        <ext uri="{3e2802c4-a4d2-4d8b-9148-e3be6c30e623}">
          <xlrd:rvb i="3362"/>
        </ext>
      </extLst>
    </bk>
    <bk>
      <extLst>
        <ext uri="{3e2802c4-a4d2-4d8b-9148-e3be6c30e623}">
          <xlrd:rvb i="3363"/>
        </ext>
      </extLst>
    </bk>
    <bk>
      <extLst>
        <ext uri="{3e2802c4-a4d2-4d8b-9148-e3be6c30e623}">
          <xlrd:rvb i="3364"/>
        </ext>
      </extLst>
    </bk>
    <bk>
      <extLst>
        <ext uri="{3e2802c4-a4d2-4d8b-9148-e3be6c30e623}">
          <xlrd:rvb i="3365"/>
        </ext>
      </extLst>
    </bk>
    <bk>
      <extLst>
        <ext uri="{3e2802c4-a4d2-4d8b-9148-e3be6c30e623}">
          <xlrd:rvb i="3366"/>
        </ext>
      </extLst>
    </bk>
    <bk>
      <extLst>
        <ext uri="{3e2802c4-a4d2-4d8b-9148-e3be6c30e623}">
          <xlrd:rvb i="3367"/>
        </ext>
      </extLst>
    </bk>
    <bk>
      <extLst>
        <ext uri="{3e2802c4-a4d2-4d8b-9148-e3be6c30e623}">
          <xlrd:rvb i="3368"/>
        </ext>
      </extLst>
    </bk>
    <bk>
      <extLst>
        <ext uri="{3e2802c4-a4d2-4d8b-9148-e3be6c30e623}">
          <xlrd:rvb i="3369"/>
        </ext>
      </extLst>
    </bk>
    <bk>
      <extLst>
        <ext uri="{3e2802c4-a4d2-4d8b-9148-e3be6c30e623}">
          <xlrd:rvb i="3370"/>
        </ext>
      </extLst>
    </bk>
    <bk>
      <extLst>
        <ext uri="{3e2802c4-a4d2-4d8b-9148-e3be6c30e623}">
          <xlrd:rvb i="3371"/>
        </ext>
      </extLst>
    </bk>
    <bk>
      <extLst>
        <ext uri="{3e2802c4-a4d2-4d8b-9148-e3be6c30e623}">
          <xlrd:rvb i="3372"/>
        </ext>
      </extLst>
    </bk>
    <bk>
      <extLst>
        <ext uri="{3e2802c4-a4d2-4d8b-9148-e3be6c30e623}">
          <xlrd:rvb i="3373"/>
        </ext>
      </extLst>
    </bk>
    <bk>
      <extLst>
        <ext uri="{3e2802c4-a4d2-4d8b-9148-e3be6c30e623}">
          <xlrd:rvb i="3374"/>
        </ext>
      </extLst>
    </bk>
    <bk>
      <extLst>
        <ext uri="{3e2802c4-a4d2-4d8b-9148-e3be6c30e623}">
          <xlrd:rvb i="3375"/>
        </ext>
      </extLst>
    </bk>
    <bk>
      <extLst>
        <ext uri="{3e2802c4-a4d2-4d8b-9148-e3be6c30e623}">
          <xlrd:rvb i="3376"/>
        </ext>
      </extLst>
    </bk>
    <bk>
      <extLst>
        <ext uri="{3e2802c4-a4d2-4d8b-9148-e3be6c30e623}">
          <xlrd:rvb i="3377"/>
        </ext>
      </extLst>
    </bk>
    <bk>
      <extLst>
        <ext uri="{3e2802c4-a4d2-4d8b-9148-e3be6c30e623}">
          <xlrd:rvb i="3378"/>
        </ext>
      </extLst>
    </bk>
    <bk>
      <extLst>
        <ext uri="{3e2802c4-a4d2-4d8b-9148-e3be6c30e623}">
          <xlrd:rvb i="3379"/>
        </ext>
      </extLst>
    </bk>
    <bk>
      <extLst>
        <ext uri="{3e2802c4-a4d2-4d8b-9148-e3be6c30e623}">
          <xlrd:rvb i="3380"/>
        </ext>
      </extLst>
    </bk>
    <bk>
      <extLst>
        <ext uri="{3e2802c4-a4d2-4d8b-9148-e3be6c30e623}">
          <xlrd:rvb i="3381"/>
        </ext>
      </extLst>
    </bk>
    <bk>
      <extLst>
        <ext uri="{3e2802c4-a4d2-4d8b-9148-e3be6c30e623}">
          <xlrd:rvb i="3382"/>
        </ext>
      </extLst>
    </bk>
    <bk>
      <extLst>
        <ext uri="{3e2802c4-a4d2-4d8b-9148-e3be6c30e623}">
          <xlrd:rvb i="3383"/>
        </ext>
      </extLst>
    </bk>
    <bk>
      <extLst>
        <ext uri="{3e2802c4-a4d2-4d8b-9148-e3be6c30e623}">
          <xlrd:rvb i="3384"/>
        </ext>
      </extLst>
    </bk>
    <bk>
      <extLst>
        <ext uri="{3e2802c4-a4d2-4d8b-9148-e3be6c30e623}">
          <xlrd:rvb i="3385"/>
        </ext>
      </extLst>
    </bk>
    <bk>
      <extLst>
        <ext uri="{3e2802c4-a4d2-4d8b-9148-e3be6c30e623}">
          <xlrd:rvb i="3386"/>
        </ext>
      </extLst>
    </bk>
    <bk>
      <extLst>
        <ext uri="{3e2802c4-a4d2-4d8b-9148-e3be6c30e623}">
          <xlrd:rvb i="3387"/>
        </ext>
      </extLst>
    </bk>
    <bk>
      <extLst>
        <ext uri="{3e2802c4-a4d2-4d8b-9148-e3be6c30e623}">
          <xlrd:rvb i="3388"/>
        </ext>
      </extLst>
    </bk>
    <bk>
      <extLst>
        <ext uri="{3e2802c4-a4d2-4d8b-9148-e3be6c30e623}">
          <xlrd:rvb i="3389"/>
        </ext>
      </extLst>
    </bk>
    <bk>
      <extLst>
        <ext uri="{3e2802c4-a4d2-4d8b-9148-e3be6c30e623}">
          <xlrd:rvb i="3390"/>
        </ext>
      </extLst>
    </bk>
    <bk>
      <extLst>
        <ext uri="{3e2802c4-a4d2-4d8b-9148-e3be6c30e623}">
          <xlrd:rvb i="3391"/>
        </ext>
      </extLst>
    </bk>
    <bk>
      <extLst>
        <ext uri="{3e2802c4-a4d2-4d8b-9148-e3be6c30e623}">
          <xlrd:rvb i="3392"/>
        </ext>
      </extLst>
    </bk>
    <bk>
      <extLst>
        <ext uri="{3e2802c4-a4d2-4d8b-9148-e3be6c30e623}">
          <xlrd:rvb i="3393"/>
        </ext>
      </extLst>
    </bk>
    <bk>
      <extLst>
        <ext uri="{3e2802c4-a4d2-4d8b-9148-e3be6c30e623}">
          <xlrd:rvb i="3394"/>
        </ext>
      </extLst>
    </bk>
    <bk>
      <extLst>
        <ext uri="{3e2802c4-a4d2-4d8b-9148-e3be6c30e623}">
          <xlrd:rvb i="3395"/>
        </ext>
      </extLst>
    </bk>
    <bk>
      <extLst>
        <ext uri="{3e2802c4-a4d2-4d8b-9148-e3be6c30e623}">
          <xlrd:rvb i="3396"/>
        </ext>
      </extLst>
    </bk>
    <bk>
      <extLst>
        <ext uri="{3e2802c4-a4d2-4d8b-9148-e3be6c30e623}">
          <xlrd:rvb i="3397"/>
        </ext>
      </extLst>
    </bk>
    <bk>
      <extLst>
        <ext uri="{3e2802c4-a4d2-4d8b-9148-e3be6c30e623}">
          <xlrd:rvb i="3398"/>
        </ext>
      </extLst>
    </bk>
    <bk>
      <extLst>
        <ext uri="{3e2802c4-a4d2-4d8b-9148-e3be6c30e623}">
          <xlrd:rvb i="3399"/>
        </ext>
      </extLst>
    </bk>
    <bk>
      <extLst>
        <ext uri="{3e2802c4-a4d2-4d8b-9148-e3be6c30e623}">
          <xlrd:rvb i="3400"/>
        </ext>
      </extLst>
    </bk>
    <bk>
      <extLst>
        <ext uri="{3e2802c4-a4d2-4d8b-9148-e3be6c30e623}">
          <xlrd:rvb i="3401"/>
        </ext>
      </extLst>
    </bk>
    <bk>
      <extLst>
        <ext uri="{3e2802c4-a4d2-4d8b-9148-e3be6c30e623}">
          <xlrd:rvb i="3402"/>
        </ext>
      </extLst>
    </bk>
    <bk>
      <extLst>
        <ext uri="{3e2802c4-a4d2-4d8b-9148-e3be6c30e623}">
          <xlrd:rvb i="3403"/>
        </ext>
      </extLst>
    </bk>
    <bk>
      <extLst>
        <ext uri="{3e2802c4-a4d2-4d8b-9148-e3be6c30e623}">
          <xlrd:rvb i="3404"/>
        </ext>
      </extLst>
    </bk>
    <bk>
      <extLst>
        <ext uri="{3e2802c4-a4d2-4d8b-9148-e3be6c30e623}">
          <xlrd:rvb i="3405"/>
        </ext>
      </extLst>
    </bk>
    <bk>
      <extLst>
        <ext uri="{3e2802c4-a4d2-4d8b-9148-e3be6c30e623}">
          <xlrd:rvb i="3406"/>
        </ext>
      </extLst>
    </bk>
    <bk>
      <extLst>
        <ext uri="{3e2802c4-a4d2-4d8b-9148-e3be6c30e623}">
          <xlrd:rvb i="3407"/>
        </ext>
      </extLst>
    </bk>
    <bk>
      <extLst>
        <ext uri="{3e2802c4-a4d2-4d8b-9148-e3be6c30e623}">
          <xlrd:rvb i="3408"/>
        </ext>
      </extLst>
    </bk>
    <bk>
      <extLst>
        <ext uri="{3e2802c4-a4d2-4d8b-9148-e3be6c30e623}">
          <xlrd:rvb i="3409"/>
        </ext>
      </extLst>
    </bk>
    <bk>
      <extLst>
        <ext uri="{3e2802c4-a4d2-4d8b-9148-e3be6c30e623}">
          <xlrd:rvb i="3410"/>
        </ext>
      </extLst>
    </bk>
    <bk>
      <extLst>
        <ext uri="{3e2802c4-a4d2-4d8b-9148-e3be6c30e623}">
          <xlrd:rvb i="3411"/>
        </ext>
      </extLst>
    </bk>
    <bk>
      <extLst>
        <ext uri="{3e2802c4-a4d2-4d8b-9148-e3be6c30e623}">
          <xlrd:rvb i="3412"/>
        </ext>
      </extLst>
    </bk>
    <bk>
      <extLst>
        <ext uri="{3e2802c4-a4d2-4d8b-9148-e3be6c30e623}">
          <xlrd:rvb i="3413"/>
        </ext>
      </extLst>
    </bk>
    <bk>
      <extLst>
        <ext uri="{3e2802c4-a4d2-4d8b-9148-e3be6c30e623}">
          <xlrd:rvb i="3414"/>
        </ext>
      </extLst>
    </bk>
    <bk>
      <extLst>
        <ext uri="{3e2802c4-a4d2-4d8b-9148-e3be6c30e623}">
          <xlrd:rvb i="3415"/>
        </ext>
      </extLst>
    </bk>
    <bk>
      <extLst>
        <ext uri="{3e2802c4-a4d2-4d8b-9148-e3be6c30e623}">
          <xlrd:rvb i="3416"/>
        </ext>
      </extLst>
    </bk>
    <bk>
      <extLst>
        <ext uri="{3e2802c4-a4d2-4d8b-9148-e3be6c30e623}">
          <xlrd:rvb i="3417"/>
        </ext>
      </extLst>
    </bk>
    <bk>
      <extLst>
        <ext uri="{3e2802c4-a4d2-4d8b-9148-e3be6c30e623}">
          <xlrd:rvb i="3418"/>
        </ext>
      </extLst>
    </bk>
    <bk>
      <extLst>
        <ext uri="{3e2802c4-a4d2-4d8b-9148-e3be6c30e623}">
          <xlrd:rvb i="3419"/>
        </ext>
      </extLst>
    </bk>
    <bk>
      <extLst>
        <ext uri="{3e2802c4-a4d2-4d8b-9148-e3be6c30e623}">
          <xlrd:rvb i="3420"/>
        </ext>
      </extLst>
    </bk>
    <bk>
      <extLst>
        <ext uri="{3e2802c4-a4d2-4d8b-9148-e3be6c30e623}">
          <xlrd:rvb i="3421"/>
        </ext>
      </extLst>
    </bk>
    <bk>
      <extLst>
        <ext uri="{3e2802c4-a4d2-4d8b-9148-e3be6c30e623}">
          <xlrd:rvb i="3422"/>
        </ext>
      </extLst>
    </bk>
    <bk>
      <extLst>
        <ext uri="{3e2802c4-a4d2-4d8b-9148-e3be6c30e623}">
          <xlrd:rvb i="3423"/>
        </ext>
      </extLst>
    </bk>
    <bk>
      <extLst>
        <ext uri="{3e2802c4-a4d2-4d8b-9148-e3be6c30e623}">
          <xlrd:rvb i="3424"/>
        </ext>
      </extLst>
    </bk>
    <bk>
      <extLst>
        <ext uri="{3e2802c4-a4d2-4d8b-9148-e3be6c30e623}">
          <xlrd:rvb i="3425"/>
        </ext>
      </extLst>
    </bk>
    <bk>
      <extLst>
        <ext uri="{3e2802c4-a4d2-4d8b-9148-e3be6c30e623}">
          <xlrd:rvb i="3426"/>
        </ext>
      </extLst>
    </bk>
    <bk>
      <extLst>
        <ext uri="{3e2802c4-a4d2-4d8b-9148-e3be6c30e623}">
          <xlrd:rvb i="3427"/>
        </ext>
      </extLst>
    </bk>
    <bk>
      <extLst>
        <ext uri="{3e2802c4-a4d2-4d8b-9148-e3be6c30e623}">
          <xlrd:rvb i="3428"/>
        </ext>
      </extLst>
    </bk>
    <bk>
      <extLst>
        <ext uri="{3e2802c4-a4d2-4d8b-9148-e3be6c30e623}">
          <xlrd:rvb i="3429"/>
        </ext>
      </extLst>
    </bk>
    <bk>
      <extLst>
        <ext uri="{3e2802c4-a4d2-4d8b-9148-e3be6c30e623}">
          <xlrd:rvb i="3430"/>
        </ext>
      </extLst>
    </bk>
    <bk>
      <extLst>
        <ext uri="{3e2802c4-a4d2-4d8b-9148-e3be6c30e623}">
          <xlrd:rvb i="3431"/>
        </ext>
      </extLst>
    </bk>
    <bk>
      <extLst>
        <ext uri="{3e2802c4-a4d2-4d8b-9148-e3be6c30e623}">
          <xlrd:rvb i="3432"/>
        </ext>
      </extLst>
    </bk>
    <bk>
      <extLst>
        <ext uri="{3e2802c4-a4d2-4d8b-9148-e3be6c30e623}">
          <xlrd:rvb i="3433"/>
        </ext>
      </extLst>
    </bk>
    <bk>
      <extLst>
        <ext uri="{3e2802c4-a4d2-4d8b-9148-e3be6c30e623}">
          <xlrd:rvb i="3434"/>
        </ext>
      </extLst>
    </bk>
    <bk>
      <extLst>
        <ext uri="{3e2802c4-a4d2-4d8b-9148-e3be6c30e623}">
          <xlrd:rvb i="3435"/>
        </ext>
      </extLst>
    </bk>
    <bk>
      <extLst>
        <ext uri="{3e2802c4-a4d2-4d8b-9148-e3be6c30e623}">
          <xlrd:rvb i="3436"/>
        </ext>
      </extLst>
    </bk>
    <bk>
      <extLst>
        <ext uri="{3e2802c4-a4d2-4d8b-9148-e3be6c30e623}">
          <xlrd:rvb i="3437"/>
        </ext>
      </extLst>
    </bk>
    <bk>
      <extLst>
        <ext uri="{3e2802c4-a4d2-4d8b-9148-e3be6c30e623}">
          <xlrd:rvb i="3438"/>
        </ext>
      </extLst>
    </bk>
    <bk>
      <extLst>
        <ext uri="{3e2802c4-a4d2-4d8b-9148-e3be6c30e623}">
          <xlrd:rvb i="3439"/>
        </ext>
      </extLst>
    </bk>
    <bk>
      <extLst>
        <ext uri="{3e2802c4-a4d2-4d8b-9148-e3be6c30e623}">
          <xlrd:rvb i="3440"/>
        </ext>
      </extLst>
    </bk>
    <bk>
      <extLst>
        <ext uri="{3e2802c4-a4d2-4d8b-9148-e3be6c30e623}">
          <xlrd:rvb i="3441"/>
        </ext>
      </extLst>
    </bk>
    <bk>
      <extLst>
        <ext uri="{3e2802c4-a4d2-4d8b-9148-e3be6c30e623}">
          <xlrd:rvb i="3442"/>
        </ext>
      </extLst>
    </bk>
    <bk>
      <extLst>
        <ext uri="{3e2802c4-a4d2-4d8b-9148-e3be6c30e623}">
          <xlrd:rvb i="3443"/>
        </ext>
      </extLst>
    </bk>
    <bk>
      <extLst>
        <ext uri="{3e2802c4-a4d2-4d8b-9148-e3be6c30e623}">
          <xlrd:rvb i="3444"/>
        </ext>
      </extLst>
    </bk>
    <bk>
      <extLst>
        <ext uri="{3e2802c4-a4d2-4d8b-9148-e3be6c30e623}">
          <xlrd:rvb i="3445"/>
        </ext>
      </extLst>
    </bk>
    <bk>
      <extLst>
        <ext uri="{3e2802c4-a4d2-4d8b-9148-e3be6c30e623}">
          <xlrd:rvb i="3446"/>
        </ext>
      </extLst>
    </bk>
    <bk>
      <extLst>
        <ext uri="{3e2802c4-a4d2-4d8b-9148-e3be6c30e623}">
          <xlrd:rvb i="3447"/>
        </ext>
      </extLst>
    </bk>
    <bk>
      <extLst>
        <ext uri="{3e2802c4-a4d2-4d8b-9148-e3be6c30e623}">
          <xlrd:rvb i="3448"/>
        </ext>
      </extLst>
    </bk>
    <bk>
      <extLst>
        <ext uri="{3e2802c4-a4d2-4d8b-9148-e3be6c30e623}">
          <xlrd:rvb i="3449"/>
        </ext>
      </extLst>
    </bk>
    <bk>
      <extLst>
        <ext uri="{3e2802c4-a4d2-4d8b-9148-e3be6c30e623}">
          <xlrd:rvb i="3450"/>
        </ext>
      </extLst>
    </bk>
    <bk>
      <extLst>
        <ext uri="{3e2802c4-a4d2-4d8b-9148-e3be6c30e623}">
          <xlrd:rvb i="3451"/>
        </ext>
      </extLst>
    </bk>
    <bk>
      <extLst>
        <ext uri="{3e2802c4-a4d2-4d8b-9148-e3be6c30e623}">
          <xlrd:rvb i="3452"/>
        </ext>
      </extLst>
    </bk>
    <bk>
      <extLst>
        <ext uri="{3e2802c4-a4d2-4d8b-9148-e3be6c30e623}">
          <xlrd:rvb i="3453"/>
        </ext>
      </extLst>
    </bk>
    <bk>
      <extLst>
        <ext uri="{3e2802c4-a4d2-4d8b-9148-e3be6c30e623}">
          <xlrd:rvb i="3454"/>
        </ext>
      </extLst>
    </bk>
    <bk>
      <extLst>
        <ext uri="{3e2802c4-a4d2-4d8b-9148-e3be6c30e623}">
          <xlrd:rvb i="3455"/>
        </ext>
      </extLst>
    </bk>
    <bk>
      <extLst>
        <ext uri="{3e2802c4-a4d2-4d8b-9148-e3be6c30e623}">
          <xlrd:rvb i="3456"/>
        </ext>
      </extLst>
    </bk>
    <bk>
      <extLst>
        <ext uri="{3e2802c4-a4d2-4d8b-9148-e3be6c30e623}">
          <xlrd:rvb i="3457"/>
        </ext>
      </extLst>
    </bk>
    <bk>
      <extLst>
        <ext uri="{3e2802c4-a4d2-4d8b-9148-e3be6c30e623}">
          <xlrd:rvb i="3458"/>
        </ext>
      </extLst>
    </bk>
    <bk>
      <extLst>
        <ext uri="{3e2802c4-a4d2-4d8b-9148-e3be6c30e623}">
          <xlrd:rvb i="3459"/>
        </ext>
      </extLst>
    </bk>
    <bk>
      <extLst>
        <ext uri="{3e2802c4-a4d2-4d8b-9148-e3be6c30e623}">
          <xlrd:rvb i="3460"/>
        </ext>
      </extLst>
    </bk>
    <bk>
      <extLst>
        <ext uri="{3e2802c4-a4d2-4d8b-9148-e3be6c30e623}">
          <xlrd:rvb i="3461"/>
        </ext>
      </extLst>
    </bk>
    <bk>
      <extLst>
        <ext uri="{3e2802c4-a4d2-4d8b-9148-e3be6c30e623}">
          <xlrd:rvb i="3462"/>
        </ext>
      </extLst>
    </bk>
    <bk>
      <extLst>
        <ext uri="{3e2802c4-a4d2-4d8b-9148-e3be6c30e623}">
          <xlrd:rvb i="3463"/>
        </ext>
      </extLst>
    </bk>
    <bk>
      <extLst>
        <ext uri="{3e2802c4-a4d2-4d8b-9148-e3be6c30e623}">
          <xlrd:rvb i="3464"/>
        </ext>
      </extLst>
    </bk>
    <bk>
      <extLst>
        <ext uri="{3e2802c4-a4d2-4d8b-9148-e3be6c30e623}">
          <xlrd:rvb i="3465"/>
        </ext>
      </extLst>
    </bk>
    <bk>
      <extLst>
        <ext uri="{3e2802c4-a4d2-4d8b-9148-e3be6c30e623}">
          <xlrd:rvb i="3466"/>
        </ext>
      </extLst>
    </bk>
    <bk>
      <extLst>
        <ext uri="{3e2802c4-a4d2-4d8b-9148-e3be6c30e623}">
          <xlrd:rvb i="3467"/>
        </ext>
      </extLst>
    </bk>
    <bk>
      <extLst>
        <ext uri="{3e2802c4-a4d2-4d8b-9148-e3be6c30e623}">
          <xlrd:rvb i="3468"/>
        </ext>
      </extLst>
    </bk>
    <bk>
      <extLst>
        <ext uri="{3e2802c4-a4d2-4d8b-9148-e3be6c30e623}">
          <xlrd:rvb i="3469"/>
        </ext>
      </extLst>
    </bk>
    <bk>
      <extLst>
        <ext uri="{3e2802c4-a4d2-4d8b-9148-e3be6c30e623}">
          <xlrd:rvb i="3470"/>
        </ext>
      </extLst>
    </bk>
    <bk>
      <extLst>
        <ext uri="{3e2802c4-a4d2-4d8b-9148-e3be6c30e623}">
          <xlrd:rvb i="3471"/>
        </ext>
      </extLst>
    </bk>
    <bk>
      <extLst>
        <ext uri="{3e2802c4-a4d2-4d8b-9148-e3be6c30e623}">
          <xlrd:rvb i="3472"/>
        </ext>
      </extLst>
    </bk>
    <bk>
      <extLst>
        <ext uri="{3e2802c4-a4d2-4d8b-9148-e3be6c30e623}">
          <xlrd:rvb i="3473"/>
        </ext>
      </extLst>
    </bk>
    <bk>
      <extLst>
        <ext uri="{3e2802c4-a4d2-4d8b-9148-e3be6c30e623}">
          <xlrd:rvb i="3474"/>
        </ext>
      </extLst>
    </bk>
    <bk>
      <extLst>
        <ext uri="{3e2802c4-a4d2-4d8b-9148-e3be6c30e623}">
          <xlrd:rvb i="3475"/>
        </ext>
      </extLst>
    </bk>
    <bk>
      <extLst>
        <ext uri="{3e2802c4-a4d2-4d8b-9148-e3be6c30e623}">
          <xlrd:rvb i="3476"/>
        </ext>
      </extLst>
    </bk>
    <bk>
      <extLst>
        <ext uri="{3e2802c4-a4d2-4d8b-9148-e3be6c30e623}">
          <xlrd:rvb i="3477"/>
        </ext>
      </extLst>
    </bk>
    <bk>
      <extLst>
        <ext uri="{3e2802c4-a4d2-4d8b-9148-e3be6c30e623}">
          <xlrd:rvb i="3478"/>
        </ext>
      </extLst>
    </bk>
    <bk>
      <extLst>
        <ext uri="{3e2802c4-a4d2-4d8b-9148-e3be6c30e623}">
          <xlrd:rvb i="3479"/>
        </ext>
      </extLst>
    </bk>
    <bk>
      <extLst>
        <ext uri="{3e2802c4-a4d2-4d8b-9148-e3be6c30e623}">
          <xlrd:rvb i="3480"/>
        </ext>
      </extLst>
    </bk>
    <bk>
      <extLst>
        <ext uri="{3e2802c4-a4d2-4d8b-9148-e3be6c30e623}">
          <xlrd:rvb i="3481"/>
        </ext>
      </extLst>
    </bk>
    <bk>
      <extLst>
        <ext uri="{3e2802c4-a4d2-4d8b-9148-e3be6c30e623}">
          <xlrd:rvb i="3482"/>
        </ext>
      </extLst>
    </bk>
    <bk>
      <extLst>
        <ext uri="{3e2802c4-a4d2-4d8b-9148-e3be6c30e623}">
          <xlrd:rvb i="3483"/>
        </ext>
      </extLst>
    </bk>
    <bk>
      <extLst>
        <ext uri="{3e2802c4-a4d2-4d8b-9148-e3be6c30e623}">
          <xlrd:rvb i="3484"/>
        </ext>
      </extLst>
    </bk>
    <bk>
      <extLst>
        <ext uri="{3e2802c4-a4d2-4d8b-9148-e3be6c30e623}">
          <xlrd:rvb i="3485"/>
        </ext>
      </extLst>
    </bk>
    <bk>
      <extLst>
        <ext uri="{3e2802c4-a4d2-4d8b-9148-e3be6c30e623}">
          <xlrd:rvb i="3486"/>
        </ext>
      </extLst>
    </bk>
    <bk>
      <extLst>
        <ext uri="{3e2802c4-a4d2-4d8b-9148-e3be6c30e623}">
          <xlrd:rvb i="3487"/>
        </ext>
      </extLst>
    </bk>
    <bk>
      <extLst>
        <ext uri="{3e2802c4-a4d2-4d8b-9148-e3be6c30e623}">
          <xlrd:rvb i="3488"/>
        </ext>
      </extLst>
    </bk>
    <bk>
      <extLst>
        <ext uri="{3e2802c4-a4d2-4d8b-9148-e3be6c30e623}">
          <xlrd:rvb i="3489"/>
        </ext>
      </extLst>
    </bk>
    <bk>
      <extLst>
        <ext uri="{3e2802c4-a4d2-4d8b-9148-e3be6c30e623}">
          <xlrd:rvb i="3490"/>
        </ext>
      </extLst>
    </bk>
    <bk>
      <extLst>
        <ext uri="{3e2802c4-a4d2-4d8b-9148-e3be6c30e623}">
          <xlrd:rvb i="3491"/>
        </ext>
      </extLst>
    </bk>
    <bk>
      <extLst>
        <ext uri="{3e2802c4-a4d2-4d8b-9148-e3be6c30e623}">
          <xlrd:rvb i="3492"/>
        </ext>
      </extLst>
    </bk>
    <bk>
      <extLst>
        <ext uri="{3e2802c4-a4d2-4d8b-9148-e3be6c30e623}">
          <xlrd:rvb i="3493"/>
        </ext>
      </extLst>
    </bk>
    <bk>
      <extLst>
        <ext uri="{3e2802c4-a4d2-4d8b-9148-e3be6c30e623}">
          <xlrd:rvb i="3494"/>
        </ext>
      </extLst>
    </bk>
    <bk>
      <extLst>
        <ext uri="{3e2802c4-a4d2-4d8b-9148-e3be6c30e623}">
          <xlrd:rvb i="3495"/>
        </ext>
      </extLst>
    </bk>
    <bk>
      <extLst>
        <ext uri="{3e2802c4-a4d2-4d8b-9148-e3be6c30e623}">
          <xlrd:rvb i="3496"/>
        </ext>
      </extLst>
    </bk>
    <bk>
      <extLst>
        <ext uri="{3e2802c4-a4d2-4d8b-9148-e3be6c30e623}">
          <xlrd:rvb i="3497"/>
        </ext>
      </extLst>
    </bk>
    <bk>
      <extLst>
        <ext uri="{3e2802c4-a4d2-4d8b-9148-e3be6c30e623}">
          <xlrd:rvb i="3498"/>
        </ext>
      </extLst>
    </bk>
    <bk>
      <extLst>
        <ext uri="{3e2802c4-a4d2-4d8b-9148-e3be6c30e623}">
          <xlrd:rvb i="3499"/>
        </ext>
      </extLst>
    </bk>
    <bk>
      <extLst>
        <ext uri="{3e2802c4-a4d2-4d8b-9148-e3be6c30e623}">
          <xlrd:rvb i="3500"/>
        </ext>
      </extLst>
    </bk>
    <bk>
      <extLst>
        <ext uri="{3e2802c4-a4d2-4d8b-9148-e3be6c30e623}">
          <xlrd:rvb i="3501"/>
        </ext>
      </extLst>
    </bk>
    <bk>
      <extLst>
        <ext uri="{3e2802c4-a4d2-4d8b-9148-e3be6c30e623}">
          <xlrd:rvb i="3502"/>
        </ext>
      </extLst>
    </bk>
    <bk>
      <extLst>
        <ext uri="{3e2802c4-a4d2-4d8b-9148-e3be6c30e623}">
          <xlrd:rvb i="3503"/>
        </ext>
      </extLst>
    </bk>
    <bk>
      <extLst>
        <ext uri="{3e2802c4-a4d2-4d8b-9148-e3be6c30e623}">
          <xlrd:rvb i="3504"/>
        </ext>
      </extLst>
    </bk>
    <bk>
      <extLst>
        <ext uri="{3e2802c4-a4d2-4d8b-9148-e3be6c30e623}">
          <xlrd:rvb i="3505"/>
        </ext>
      </extLst>
    </bk>
    <bk>
      <extLst>
        <ext uri="{3e2802c4-a4d2-4d8b-9148-e3be6c30e623}">
          <xlrd:rvb i="3506"/>
        </ext>
      </extLst>
    </bk>
    <bk>
      <extLst>
        <ext uri="{3e2802c4-a4d2-4d8b-9148-e3be6c30e623}">
          <xlrd:rvb i="3507"/>
        </ext>
      </extLst>
    </bk>
    <bk>
      <extLst>
        <ext uri="{3e2802c4-a4d2-4d8b-9148-e3be6c30e623}">
          <xlrd:rvb i="3508"/>
        </ext>
      </extLst>
    </bk>
    <bk>
      <extLst>
        <ext uri="{3e2802c4-a4d2-4d8b-9148-e3be6c30e623}">
          <xlrd:rvb i="3509"/>
        </ext>
      </extLst>
    </bk>
    <bk>
      <extLst>
        <ext uri="{3e2802c4-a4d2-4d8b-9148-e3be6c30e623}">
          <xlrd:rvb i="3510"/>
        </ext>
      </extLst>
    </bk>
    <bk>
      <extLst>
        <ext uri="{3e2802c4-a4d2-4d8b-9148-e3be6c30e623}">
          <xlrd:rvb i="3511"/>
        </ext>
      </extLst>
    </bk>
    <bk>
      <extLst>
        <ext uri="{3e2802c4-a4d2-4d8b-9148-e3be6c30e623}">
          <xlrd:rvb i="3512"/>
        </ext>
      </extLst>
    </bk>
    <bk>
      <extLst>
        <ext uri="{3e2802c4-a4d2-4d8b-9148-e3be6c30e623}">
          <xlrd:rvb i="3513"/>
        </ext>
      </extLst>
    </bk>
    <bk>
      <extLst>
        <ext uri="{3e2802c4-a4d2-4d8b-9148-e3be6c30e623}">
          <xlrd:rvb i="3514"/>
        </ext>
      </extLst>
    </bk>
    <bk>
      <extLst>
        <ext uri="{3e2802c4-a4d2-4d8b-9148-e3be6c30e623}">
          <xlrd:rvb i="3515"/>
        </ext>
      </extLst>
    </bk>
    <bk>
      <extLst>
        <ext uri="{3e2802c4-a4d2-4d8b-9148-e3be6c30e623}">
          <xlrd:rvb i="3516"/>
        </ext>
      </extLst>
    </bk>
    <bk>
      <extLst>
        <ext uri="{3e2802c4-a4d2-4d8b-9148-e3be6c30e623}">
          <xlrd:rvb i="3517"/>
        </ext>
      </extLst>
    </bk>
    <bk>
      <extLst>
        <ext uri="{3e2802c4-a4d2-4d8b-9148-e3be6c30e623}">
          <xlrd:rvb i="3518"/>
        </ext>
      </extLst>
    </bk>
    <bk>
      <extLst>
        <ext uri="{3e2802c4-a4d2-4d8b-9148-e3be6c30e623}">
          <xlrd:rvb i="3519"/>
        </ext>
      </extLst>
    </bk>
    <bk>
      <extLst>
        <ext uri="{3e2802c4-a4d2-4d8b-9148-e3be6c30e623}">
          <xlrd:rvb i="3520"/>
        </ext>
      </extLst>
    </bk>
    <bk>
      <extLst>
        <ext uri="{3e2802c4-a4d2-4d8b-9148-e3be6c30e623}">
          <xlrd:rvb i="3521"/>
        </ext>
      </extLst>
    </bk>
    <bk>
      <extLst>
        <ext uri="{3e2802c4-a4d2-4d8b-9148-e3be6c30e623}">
          <xlrd:rvb i="3522"/>
        </ext>
      </extLst>
    </bk>
    <bk>
      <extLst>
        <ext uri="{3e2802c4-a4d2-4d8b-9148-e3be6c30e623}">
          <xlrd:rvb i="3523"/>
        </ext>
      </extLst>
    </bk>
    <bk>
      <extLst>
        <ext uri="{3e2802c4-a4d2-4d8b-9148-e3be6c30e623}">
          <xlrd:rvb i="3524"/>
        </ext>
      </extLst>
    </bk>
    <bk>
      <extLst>
        <ext uri="{3e2802c4-a4d2-4d8b-9148-e3be6c30e623}">
          <xlrd:rvb i="3525"/>
        </ext>
      </extLst>
    </bk>
    <bk>
      <extLst>
        <ext uri="{3e2802c4-a4d2-4d8b-9148-e3be6c30e623}">
          <xlrd:rvb i="3526"/>
        </ext>
      </extLst>
    </bk>
    <bk>
      <extLst>
        <ext uri="{3e2802c4-a4d2-4d8b-9148-e3be6c30e623}">
          <xlrd:rvb i="3527"/>
        </ext>
      </extLst>
    </bk>
    <bk>
      <extLst>
        <ext uri="{3e2802c4-a4d2-4d8b-9148-e3be6c30e623}">
          <xlrd:rvb i="3528"/>
        </ext>
      </extLst>
    </bk>
    <bk>
      <extLst>
        <ext uri="{3e2802c4-a4d2-4d8b-9148-e3be6c30e623}">
          <xlrd:rvb i="3529"/>
        </ext>
      </extLst>
    </bk>
    <bk>
      <extLst>
        <ext uri="{3e2802c4-a4d2-4d8b-9148-e3be6c30e623}">
          <xlrd:rvb i="3530"/>
        </ext>
      </extLst>
    </bk>
    <bk>
      <extLst>
        <ext uri="{3e2802c4-a4d2-4d8b-9148-e3be6c30e623}">
          <xlrd:rvb i="3531"/>
        </ext>
      </extLst>
    </bk>
    <bk>
      <extLst>
        <ext uri="{3e2802c4-a4d2-4d8b-9148-e3be6c30e623}">
          <xlrd:rvb i="3532"/>
        </ext>
      </extLst>
    </bk>
    <bk>
      <extLst>
        <ext uri="{3e2802c4-a4d2-4d8b-9148-e3be6c30e623}">
          <xlrd:rvb i="3533"/>
        </ext>
      </extLst>
    </bk>
    <bk>
      <extLst>
        <ext uri="{3e2802c4-a4d2-4d8b-9148-e3be6c30e623}">
          <xlrd:rvb i="3534"/>
        </ext>
      </extLst>
    </bk>
    <bk>
      <extLst>
        <ext uri="{3e2802c4-a4d2-4d8b-9148-e3be6c30e623}">
          <xlrd:rvb i="3535"/>
        </ext>
      </extLst>
    </bk>
    <bk>
      <extLst>
        <ext uri="{3e2802c4-a4d2-4d8b-9148-e3be6c30e623}">
          <xlrd:rvb i="3536"/>
        </ext>
      </extLst>
    </bk>
    <bk>
      <extLst>
        <ext uri="{3e2802c4-a4d2-4d8b-9148-e3be6c30e623}">
          <xlrd:rvb i="3537"/>
        </ext>
      </extLst>
    </bk>
    <bk>
      <extLst>
        <ext uri="{3e2802c4-a4d2-4d8b-9148-e3be6c30e623}">
          <xlrd:rvb i="3538"/>
        </ext>
      </extLst>
    </bk>
    <bk>
      <extLst>
        <ext uri="{3e2802c4-a4d2-4d8b-9148-e3be6c30e623}">
          <xlrd:rvb i="3539"/>
        </ext>
      </extLst>
    </bk>
    <bk>
      <extLst>
        <ext uri="{3e2802c4-a4d2-4d8b-9148-e3be6c30e623}">
          <xlrd:rvb i="3540"/>
        </ext>
      </extLst>
    </bk>
    <bk>
      <extLst>
        <ext uri="{3e2802c4-a4d2-4d8b-9148-e3be6c30e623}">
          <xlrd:rvb i="3541"/>
        </ext>
      </extLst>
    </bk>
    <bk>
      <extLst>
        <ext uri="{3e2802c4-a4d2-4d8b-9148-e3be6c30e623}">
          <xlrd:rvb i="3542"/>
        </ext>
      </extLst>
    </bk>
    <bk>
      <extLst>
        <ext uri="{3e2802c4-a4d2-4d8b-9148-e3be6c30e623}">
          <xlrd:rvb i="3543"/>
        </ext>
      </extLst>
    </bk>
    <bk>
      <extLst>
        <ext uri="{3e2802c4-a4d2-4d8b-9148-e3be6c30e623}">
          <xlrd:rvb i="3544"/>
        </ext>
      </extLst>
    </bk>
    <bk>
      <extLst>
        <ext uri="{3e2802c4-a4d2-4d8b-9148-e3be6c30e623}">
          <xlrd:rvb i="3545"/>
        </ext>
      </extLst>
    </bk>
    <bk>
      <extLst>
        <ext uri="{3e2802c4-a4d2-4d8b-9148-e3be6c30e623}">
          <xlrd:rvb i="3546"/>
        </ext>
      </extLst>
    </bk>
    <bk>
      <extLst>
        <ext uri="{3e2802c4-a4d2-4d8b-9148-e3be6c30e623}">
          <xlrd:rvb i="3547"/>
        </ext>
      </extLst>
    </bk>
    <bk>
      <extLst>
        <ext uri="{3e2802c4-a4d2-4d8b-9148-e3be6c30e623}">
          <xlrd:rvb i="3548"/>
        </ext>
      </extLst>
    </bk>
    <bk>
      <extLst>
        <ext uri="{3e2802c4-a4d2-4d8b-9148-e3be6c30e623}">
          <xlrd:rvb i="3549"/>
        </ext>
      </extLst>
    </bk>
    <bk>
      <extLst>
        <ext uri="{3e2802c4-a4d2-4d8b-9148-e3be6c30e623}">
          <xlrd:rvb i="3550"/>
        </ext>
      </extLst>
    </bk>
    <bk>
      <extLst>
        <ext uri="{3e2802c4-a4d2-4d8b-9148-e3be6c30e623}">
          <xlrd:rvb i="3551"/>
        </ext>
      </extLst>
    </bk>
    <bk>
      <extLst>
        <ext uri="{3e2802c4-a4d2-4d8b-9148-e3be6c30e623}">
          <xlrd:rvb i="3552"/>
        </ext>
      </extLst>
    </bk>
    <bk>
      <extLst>
        <ext uri="{3e2802c4-a4d2-4d8b-9148-e3be6c30e623}">
          <xlrd:rvb i="3553"/>
        </ext>
      </extLst>
    </bk>
    <bk>
      <extLst>
        <ext uri="{3e2802c4-a4d2-4d8b-9148-e3be6c30e623}">
          <xlrd:rvb i="3554"/>
        </ext>
      </extLst>
    </bk>
    <bk>
      <extLst>
        <ext uri="{3e2802c4-a4d2-4d8b-9148-e3be6c30e623}">
          <xlrd:rvb i="3555"/>
        </ext>
      </extLst>
    </bk>
    <bk>
      <extLst>
        <ext uri="{3e2802c4-a4d2-4d8b-9148-e3be6c30e623}">
          <xlrd:rvb i="3556"/>
        </ext>
      </extLst>
    </bk>
    <bk>
      <extLst>
        <ext uri="{3e2802c4-a4d2-4d8b-9148-e3be6c30e623}">
          <xlrd:rvb i="3557"/>
        </ext>
      </extLst>
    </bk>
    <bk>
      <extLst>
        <ext uri="{3e2802c4-a4d2-4d8b-9148-e3be6c30e623}">
          <xlrd:rvb i="3558"/>
        </ext>
      </extLst>
    </bk>
    <bk>
      <extLst>
        <ext uri="{3e2802c4-a4d2-4d8b-9148-e3be6c30e623}">
          <xlrd:rvb i="3559"/>
        </ext>
      </extLst>
    </bk>
    <bk>
      <extLst>
        <ext uri="{3e2802c4-a4d2-4d8b-9148-e3be6c30e623}">
          <xlrd:rvb i="3560"/>
        </ext>
      </extLst>
    </bk>
    <bk>
      <extLst>
        <ext uri="{3e2802c4-a4d2-4d8b-9148-e3be6c30e623}">
          <xlrd:rvb i="3561"/>
        </ext>
      </extLst>
    </bk>
    <bk>
      <extLst>
        <ext uri="{3e2802c4-a4d2-4d8b-9148-e3be6c30e623}">
          <xlrd:rvb i="3562"/>
        </ext>
      </extLst>
    </bk>
    <bk>
      <extLst>
        <ext uri="{3e2802c4-a4d2-4d8b-9148-e3be6c30e623}">
          <xlrd:rvb i="3563"/>
        </ext>
      </extLst>
    </bk>
    <bk>
      <extLst>
        <ext uri="{3e2802c4-a4d2-4d8b-9148-e3be6c30e623}">
          <xlrd:rvb i="3564"/>
        </ext>
      </extLst>
    </bk>
    <bk>
      <extLst>
        <ext uri="{3e2802c4-a4d2-4d8b-9148-e3be6c30e623}">
          <xlrd:rvb i="3565"/>
        </ext>
      </extLst>
    </bk>
    <bk>
      <extLst>
        <ext uri="{3e2802c4-a4d2-4d8b-9148-e3be6c30e623}">
          <xlrd:rvb i="3566"/>
        </ext>
      </extLst>
    </bk>
    <bk>
      <extLst>
        <ext uri="{3e2802c4-a4d2-4d8b-9148-e3be6c30e623}">
          <xlrd:rvb i="3567"/>
        </ext>
      </extLst>
    </bk>
    <bk>
      <extLst>
        <ext uri="{3e2802c4-a4d2-4d8b-9148-e3be6c30e623}">
          <xlrd:rvb i="3568"/>
        </ext>
      </extLst>
    </bk>
    <bk>
      <extLst>
        <ext uri="{3e2802c4-a4d2-4d8b-9148-e3be6c30e623}">
          <xlrd:rvb i="3569"/>
        </ext>
      </extLst>
    </bk>
    <bk>
      <extLst>
        <ext uri="{3e2802c4-a4d2-4d8b-9148-e3be6c30e623}">
          <xlrd:rvb i="3570"/>
        </ext>
      </extLst>
    </bk>
    <bk>
      <extLst>
        <ext uri="{3e2802c4-a4d2-4d8b-9148-e3be6c30e623}">
          <xlrd:rvb i="3571"/>
        </ext>
      </extLst>
    </bk>
    <bk>
      <extLst>
        <ext uri="{3e2802c4-a4d2-4d8b-9148-e3be6c30e623}">
          <xlrd:rvb i="3572"/>
        </ext>
      </extLst>
    </bk>
    <bk>
      <extLst>
        <ext uri="{3e2802c4-a4d2-4d8b-9148-e3be6c30e623}">
          <xlrd:rvb i="3573"/>
        </ext>
      </extLst>
    </bk>
    <bk>
      <extLst>
        <ext uri="{3e2802c4-a4d2-4d8b-9148-e3be6c30e623}">
          <xlrd:rvb i="3574"/>
        </ext>
      </extLst>
    </bk>
    <bk>
      <extLst>
        <ext uri="{3e2802c4-a4d2-4d8b-9148-e3be6c30e623}">
          <xlrd:rvb i="3575"/>
        </ext>
      </extLst>
    </bk>
    <bk>
      <extLst>
        <ext uri="{3e2802c4-a4d2-4d8b-9148-e3be6c30e623}">
          <xlrd:rvb i="3576"/>
        </ext>
      </extLst>
    </bk>
    <bk>
      <extLst>
        <ext uri="{3e2802c4-a4d2-4d8b-9148-e3be6c30e623}">
          <xlrd:rvb i="3577"/>
        </ext>
      </extLst>
    </bk>
    <bk>
      <extLst>
        <ext uri="{3e2802c4-a4d2-4d8b-9148-e3be6c30e623}">
          <xlrd:rvb i="3578"/>
        </ext>
      </extLst>
    </bk>
    <bk>
      <extLst>
        <ext uri="{3e2802c4-a4d2-4d8b-9148-e3be6c30e623}">
          <xlrd:rvb i="3579"/>
        </ext>
      </extLst>
    </bk>
    <bk>
      <extLst>
        <ext uri="{3e2802c4-a4d2-4d8b-9148-e3be6c30e623}">
          <xlrd:rvb i="3580"/>
        </ext>
      </extLst>
    </bk>
    <bk>
      <extLst>
        <ext uri="{3e2802c4-a4d2-4d8b-9148-e3be6c30e623}">
          <xlrd:rvb i="3581"/>
        </ext>
      </extLst>
    </bk>
    <bk>
      <extLst>
        <ext uri="{3e2802c4-a4d2-4d8b-9148-e3be6c30e623}">
          <xlrd:rvb i="3582"/>
        </ext>
      </extLst>
    </bk>
    <bk>
      <extLst>
        <ext uri="{3e2802c4-a4d2-4d8b-9148-e3be6c30e623}">
          <xlrd:rvb i="3583"/>
        </ext>
      </extLst>
    </bk>
    <bk>
      <extLst>
        <ext uri="{3e2802c4-a4d2-4d8b-9148-e3be6c30e623}">
          <xlrd:rvb i="3584"/>
        </ext>
      </extLst>
    </bk>
    <bk>
      <extLst>
        <ext uri="{3e2802c4-a4d2-4d8b-9148-e3be6c30e623}">
          <xlrd:rvb i="3585"/>
        </ext>
      </extLst>
    </bk>
    <bk>
      <extLst>
        <ext uri="{3e2802c4-a4d2-4d8b-9148-e3be6c30e623}">
          <xlrd:rvb i="3586"/>
        </ext>
      </extLst>
    </bk>
    <bk>
      <extLst>
        <ext uri="{3e2802c4-a4d2-4d8b-9148-e3be6c30e623}">
          <xlrd:rvb i="3587"/>
        </ext>
      </extLst>
    </bk>
    <bk>
      <extLst>
        <ext uri="{3e2802c4-a4d2-4d8b-9148-e3be6c30e623}">
          <xlrd:rvb i="3588"/>
        </ext>
      </extLst>
    </bk>
    <bk>
      <extLst>
        <ext uri="{3e2802c4-a4d2-4d8b-9148-e3be6c30e623}">
          <xlrd:rvb i="3589"/>
        </ext>
      </extLst>
    </bk>
    <bk>
      <extLst>
        <ext uri="{3e2802c4-a4d2-4d8b-9148-e3be6c30e623}">
          <xlrd:rvb i="3590"/>
        </ext>
      </extLst>
    </bk>
    <bk>
      <extLst>
        <ext uri="{3e2802c4-a4d2-4d8b-9148-e3be6c30e623}">
          <xlrd:rvb i="3591"/>
        </ext>
      </extLst>
    </bk>
    <bk>
      <extLst>
        <ext uri="{3e2802c4-a4d2-4d8b-9148-e3be6c30e623}">
          <xlrd:rvb i="3592"/>
        </ext>
      </extLst>
    </bk>
    <bk>
      <extLst>
        <ext uri="{3e2802c4-a4d2-4d8b-9148-e3be6c30e623}">
          <xlrd:rvb i="3593"/>
        </ext>
      </extLst>
    </bk>
    <bk>
      <extLst>
        <ext uri="{3e2802c4-a4d2-4d8b-9148-e3be6c30e623}">
          <xlrd:rvb i="3594"/>
        </ext>
      </extLst>
    </bk>
    <bk>
      <extLst>
        <ext uri="{3e2802c4-a4d2-4d8b-9148-e3be6c30e623}">
          <xlrd:rvb i="3595"/>
        </ext>
      </extLst>
    </bk>
    <bk>
      <extLst>
        <ext uri="{3e2802c4-a4d2-4d8b-9148-e3be6c30e623}">
          <xlrd:rvb i="3596"/>
        </ext>
      </extLst>
    </bk>
    <bk>
      <extLst>
        <ext uri="{3e2802c4-a4d2-4d8b-9148-e3be6c30e623}">
          <xlrd:rvb i="3597"/>
        </ext>
      </extLst>
    </bk>
    <bk>
      <extLst>
        <ext uri="{3e2802c4-a4d2-4d8b-9148-e3be6c30e623}">
          <xlrd:rvb i="3598"/>
        </ext>
      </extLst>
    </bk>
    <bk>
      <extLst>
        <ext uri="{3e2802c4-a4d2-4d8b-9148-e3be6c30e623}">
          <xlrd:rvb i="3599"/>
        </ext>
      </extLst>
    </bk>
    <bk>
      <extLst>
        <ext uri="{3e2802c4-a4d2-4d8b-9148-e3be6c30e623}">
          <xlrd:rvb i="3600"/>
        </ext>
      </extLst>
    </bk>
    <bk>
      <extLst>
        <ext uri="{3e2802c4-a4d2-4d8b-9148-e3be6c30e623}">
          <xlrd:rvb i="3601"/>
        </ext>
      </extLst>
    </bk>
    <bk>
      <extLst>
        <ext uri="{3e2802c4-a4d2-4d8b-9148-e3be6c30e623}">
          <xlrd:rvb i="3602"/>
        </ext>
      </extLst>
    </bk>
    <bk>
      <extLst>
        <ext uri="{3e2802c4-a4d2-4d8b-9148-e3be6c30e623}">
          <xlrd:rvb i="3603"/>
        </ext>
      </extLst>
    </bk>
    <bk>
      <extLst>
        <ext uri="{3e2802c4-a4d2-4d8b-9148-e3be6c30e623}">
          <xlrd:rvb i="3604"/>
        </ext>
      </extLst>
    </bk>
    <bk>
      <extLst>
        <ext uri="{3e2802c4-a4d2-4d8b-9148-e3be6c30e623}">
          <xlrd:rvb i="3605"/>
        </ext>
      </extLst>
    </bk>
    <bk>
      <extLst>
        <ext uri="{3e2802c4-a4d2-4d8b-9148-e3be6c30e623}">
          <xlrd:rvb i="3606"/>
        </ext>
      </extLst>
    </bk>
    <bk>
      <extLst>
        <ext uri="{3e2802c4-a4d2-4d8b-9148-e3be6c30e623}">
          <xlrd:rvb i="3607"/>
        </ext>
      </extLst>
    </bk>
    <bk>
      <extLst>
        <ext uri="{3e2802c4-a4d2-4d8b-9148-e3be6c30e623}">
          <xlrd:rvb i="3608"/>
        </ext>
      </extLst>
    </bk>
    <bk>
      <extLst>
        <ext uri="{3e2802c4-a4d2-4d8b-9148-e3be6c30e623}">
          <xlrd:rvb i="3609"/>
        </ext>
      </extLst>
    </bk>
    <bk>
      <extLst>
        <ext uri="{3e2802c4-a4d2-4d8b-9148-e3be6c30e623}">
          <xlrd:rvb i="3610"/>
        </ext>
      </extLst>
    </bk>
    <bk>
      <extLst>
        <ext uri="{3e2802c4-a4d2-4d8b-9148-e3be6c30e623}">
          <xlrd:rvb i="3611"/>
        </ext>
      </extLst>
    </bk>
    <bk>
      <extLst>
        <ext uri="{3e2802c4-a4d2-4d8b-9148-e3be6c30e623}">
          <xlrd:rvb i="3612"/>
        </ext>
      </extLst>
    </bk>
    <bk>
      <extLst>
        <ext uri="{3e2802c4-a4d2-4d8b-9148-e3be6c30e623}">
          <xlrd:rvb i="3613"/>
        </ext>
      </extLst>
    </bk>
    <bk>
      <extLst>
        <ext uri="{3e2802c4-a4d2-4d8b-9148-e3be6c30e623}">
          <xlrd:rvb i="3614"/>
        </ext>
      </extLst>
    </bk>
    <bk>
      <extLst>
        <ext uri="{3e2802c4-a4d2-4d8b-9148-e3be6c30e623}">
          <xlrd:rvb i="3615"/>
        </ext>
      </extLst>
    </bk>
    <bk>
      <extLst>
        <ext uri="{3e2802c4-a4d2-4d8b-9148-e3be6c30e623}">
          <xlrd:rvb i="3616"/>
        </ext>
      </extLst>
    </bk>
    <bk>
      <extLst>
        <ext uri="{3e2802c4-a4d2-4d8b-9148-e3be6c30e623}">
          <xlrd:rvb i="3617"/>
        </ext>
      </extLst>
    </bk>
    <bk>
      <extLst>
        <ext uri="{3e2802c4-a4d2-4d8b-9148-e3be6c30e623}">
          <xlrd:rvb i="3618"/>
        </ext>
      </extLst>
    </bk>
    <bk>
      <extLst>
        <ext uri="{3e2802c4-a4d2-4d8b-9148-e3be6c30e623}">
          <xlrd:rvb i="3619"/>
        </ext>
      </extLst>
    </bk>
    <bk>
      <extLst>
        <ext uri="{3e2802c4-a4d2-4d8b-9148-e3be6c30e623}">
          <xlrd:rvb i="3620"/>
        </ext>
      </extLst>
    </bk>
    <bk>
      <extLst>
        <ext uri="{3e2802c4-a4d2-4d8b-9148-e3be6c30e623}">
          <xlrd:rvb i="3621"/>
        </ext>
      </extLst>
    </bk>
    <bk>
      <extLst>
        <ext uri="{3e2802c4-a4d2-4d8b-9148-e3be6c30e623}">
          <xlrd:rvb i="3622"/>
        </ext>
      </extLst>
    </bk>
    <bk>
      <extLst>
        <ext uri="{3e2802c4-a4d2-4d8b-9148-e3be6c30e623}">
          <xlrd:rvb i="3623"/>
        </ext>
      </extLst>
    </bk>
    <bk>
      <extLst>
        <ext uri="{3e2802c4-a4d2-4d8b-9148-e3be6c30e623}">
          <xlrd:rvb i="3624"/>
        </ext>
      </extLst>
    </bk>
    <bk>
      <extLst>
        <ext uri="{3e2802c4-a4d2-4d8b-9148-e3be6c30e623}">
          <xlrd:rvb i="3625"/>
        </ext>
      </extLst>
    </bk>
    <bk>
      <extLst>
        <ext uri="{3e2802c4-a4d2-4d8b-9148-e3be6c30e623}">
          <xlrd:rvb i="3626"/>
        </ext>
      </extLst>
    </bk>
    <bk>
      <extLst>
        <ext uri="{3e2802c4-a4d2-4d8b-9148-e3be6c30e623}">
          <xlrd:rvb i="3627"/>
        </ext>
      </extLst>
    </bk>
    <bk>
      <extLst>
        <ext uri="{3e2802c4-a4d2-4d8b-9148-e3be6c30e623}">
          <xlrd:rvb i="3628"/>
        </ext>
      </extLst>
    </bk>
    <bk>
      <extLst>
        <ext uri="{3e2802c4-a4d2-4d8b-9148-e3be6c30e623}">
          <xlrd:rvb i="3629"/>
        </ext>
      </extLst>
    </bk>
    <bk>
      <extLst>
        <ext uri="{3e2802c4-a4d2-4d8b-9148-e3be6c30e623}">
          <xlrd:rvb i="3630"/>
        </ext>
      </extLst>
    </bk>
    <bk>
      <extLst>
        <ext uri="{3e2802c4-a4d2-4d8b-9148-e3be6c30e623}">
          <xlrd:rvb i="3631"/>
        </ext>
      </extLst>
    </bk>
    <bk>
      <extLst>
        <ext uri="{3e2802c4-a4d2-4d8b-9148-e3be6c30e623}">
          <xlrd:rvb i="3632"/>
        </ext>
      </extLst>
    </bk>
    <bk>
      <extLst>
        <ext uri="{3e2802c4-a4d2-4d8b-9148-e3be6c30e623}">
          <xlrd:rvb i="3633"/>
        </ext>
      </extLst>
    </bk>
    <bk>
      <extLst>
        <ext uri="{3e2802c4-a4d2-4d8b-9148-e3be6c30e623}">
          <xlrd:rvb i="3634"/>
        </ext>
      </extLst>
    </bk>
    <bk>
      <extLst>
        <ext uri="{3e2802c4-a4d2-4d8b-9148-e3be6c30e623}">
          <xlrd:rvb i="3635"/>
        </ext>
      </extLst>
    </bk>
    <bk>
      <extLst>
        <ext uri="{3e2802c4-a4d2-4d8b-9148-e3be6c30e623}">
          <xlrd:rvb i="3636"/>
        </ext>
      </extLst>
    </bk>
    <bk>
      <extLst>
        <ext uri="{3e2802c4-a4d2-4d8b-9148-e3be6c30e623}">
          <xlrd:rvb i="3637"/>
        </ext>
      </extLst>
    </bk>
    <bk>
      <extLst>
        <ext uri="{3e2802c4-a4d2-4d8b-9148-e3be6c30e623}">
          <xlrd:rvb i="3638"/>
        </ext>
      </extLst>
    </bk>
    <bk>
      <extLst>
        <ext uri="{3e2802c4-a4d2-4d8b-9148-e3be6c30e623}">
          <xlrd:rvb i="3639"/>
        </ext>
      </extLst>
    </bk>
    <bk>
      <extLst>
        <ext uri="{3e2802c4-a4d2-4d8b-9148-e3be6c30e623}">
          <xlrd:rvb i="3640"/>
        </ext>
      </extLst>
    </bk>
    <bk>
      <extLst>
        <ext uri="{3e2802c4-a4d2-4d8b-9148-e3be6c30e623}">
          <xlrd:rvb i="3641"/>
        </ext>
      </extLst>
    </bk>
    <bk>
      <extLst>
        <ext uri="{3e2802c4-a4d2-4d8b-9148-e3be6c30e623}">
          <xlrd:rvb i="3642"/>
        </ext>
      </extLst>
    </bk>
    <bk>
      <extLst>
        <ext uri="{3e2802c4-a4d2-4d8b-9148-e3be6c30e623}">
          <xlrd:rvb i="3643"/>
        </ext>
      </extLst>
    </bk>
    <bk>
      <extLst>
        <ext uri="{3e2802c4-a4d2-4d8b-9148-e3be6c30e623}">
          <xlrd:rvb i="3644"/>
        </ext>
      </extLst>
    </bk>
    <bk>
      <extLst>
        <ext uri="{3e2802c4-a4d2-4d8b-9148-e3be6c30e623}">
          <xlrd:rvb i="3645"/>
        </ext>
      </extLst>
    </bk>
    <bk>
      <extLst>
        <ext uri="{3e2802c4-a4d2-4d8b-9148-e3be6c30e623}">
          <xlrd:rvb i="3646"/>
        </ext>
      </extLst>
    </bk>
    <bk>
      <extLst>
        <ext uri="{3e2802c4-a4d2-4d8b-9148-e3be6c30e623}">
          <xlrd:rvb i="3647"/>
        </ext>
      </extLst>
    </bk>
    <bk>
      <extLst>
        <ext uri="{3e2802c4-a4d2-4d8b-9148-e3be6c30e623}">
          <xlrd:rvb i="3648"/>
        </ext>
      </extLst>
    </bk>
    <bk>
      <extLst>
        <ext uri="{3e2802c4-a4d2-4d8b-9148-e3be6c30e623}">
          <xlrd:rvb i="3649"/>
        </ext>
      </extLst>
    </bk>
    <bk>
      <extLst>
        <ext uri="{3e2802c4-a4d2-4d8b-9148-e3be6c30e623}">
          <xlrd:rvb i="3650"/>
        </ext>
      </extLst>
    </bk>
    <bk>
      <extLst>
        <ext uri="{3e2802c4-a4d2-4d8b-9148-e3be6c30e623}">
          <xlrd:rvb i="3651"/>
        </ext>
      </extLst>
    </bk>
    <bk>
      <extLst>
        <ext uri="{3e2802c4-a4d2-4d8b-9148-e3be6c30e623}">
          <xlrd:rvb i="3652"/>
        </ext>
      </extLst>
    </bk>
    <bk>
      <extLst>
        <ext uri="{3e2802c4-a4d2-4d8b-9148-e3be6c30e623}">
          <xlrd:rvb i="3653"/>
        </ext>
      </extLst>
    </bk>
    <bk>
      <extLst>
        <ext uri="{3e2802c4-a4d2-4d8b-9148-e3be6c30e623}">
          <xlrd:rvb i="3654"/>
        </ext>
      </extLst>
    </bk>
    <bk>
      <extLst>
        <ext uri="{3e2802c4-a4d2-4d8b-9148-e3be6c30e623}">
          <xlrd:rvb i="3655"/>
        </ext>
      </extLst>
    </bk>
    <bk>
      <extLst>
        <ext uri="{3e2802c4-a4d2-4d8b-9148-e3be6c30e623}">
          <xlrd:rvb i="3656"/>
        </ext>
      </extLst>
    </bk>
    <bk>
      <extLst>
        <ext uri="{3e2802c4-a4d2-4d8b-9148-e3be6c30e623}">
          <xlrd:rvb i="3657"/>
        </ext>
      </extLst>
    </bk>
    <bk>
      <extLst>
        <ext uri="{3e2802c4-a4d2-4d8b-9148-e3be6c30e623}">
          <xlrd:rvb i="3658"/>
        </ext>
      </extLst>
    </bk>
    <bk>
      <extLst>
        <ext uri="{3e2802c4-a4d2-4d8b-9148-e3be6c30e623}">
          <xlrd:rvb i="3659"/>
        </ext>
      </extLst>
    </bk>
    <bk>
      <extLst>
        <ext uri="{3e2802c4-a4d2-4d8b-9148-e3be6c30e623}">
          <xlrd:rvb i="3660"/>
        </ext>
      </extLst>
    </bk>
    <bk>
      <extLst>
        <ext uri="{3e2802c4-a4d2-4d8b-9148-e3be6c30e623}">
          <xlrd:rvb i="3661"/>
        </ext>
      </extLst>
    </bk>
    <bk>
      <extLst>
        <ext uri="{3e2802c4-a4d2-4d8b-9148-e3be6c30e623}">
          <xlrd:rvb i="3662"/>
        </ext>
      </extLst>
    </bk>
    <bk>
      <extLst>
        <ext uri="{3e2802c4-a4d2-4d8b-9148-e3be6c30e623}">
          <xlrd:rvb i="3663"/>
        </ext>
      </extLst>
    </bk>
    <bk>
      <extLst>
        <ext uri="{3e2802c4-a4d2-4d8b-9148-e3be6c30e623}">
          <xlrd:rvb i="3664"/>
        </ext>
      </extLst>
    </bk>
    <bk>
      <extLst>
        <ext uri="{3e2802c4-a4d2-4d8b-9148-e3be6c30e623}">
          <xlrd:rvb i="3665"/>
        </ext>
      </extLst>
    </bk>
    <bk>
      <extLst>
        <ext uri="{3e2802c4-a4d2-4d8b-9148-e3be6c30e623}">
          <xlrd:rvb i="3666"/>
        </ext>
      </extLst>
    </bk>
    <bk>
      <extLst>
        <ext uri="{3e2802c4-a4d2-4d8b-9148-e3be6c30e623}">
          <xlrd:rvb i="3667"/>
        </ext>
      </extLst>
    </bk>
    <bk>
      <extLst>
        <ext uri="{3e2802c4-a4d2-4d8b-9148-e3be6c30e623}">
          <xlrd:rvb i="3668"/>
        </ext>
      </extLst>
    </bk>
    <bk>
      <extLst>
        <ext uri="{3e2802c4-a4d2-4d8b-9148-e3be6c30e623}">
          <xlrd:rvb i="3669"/>
        </ext>
      </extLst>
    </bk>
    <bk>
      <extLst>
        <ext uri="{3e2802c4-a4d2-4d8b-9148-e3be6c30e623}">
          <xlrd:rvb i="3670"/>
        </ext>
      </extLst>
    </bk>
    <bk>
      <extLst>
        <ext uri="{3e2802c4-a4d2-4d8b-9148-e3be6c30e623}">
          <xlrd:rvb i="3671"/>
        </ext>
      </extLst>
    </bk>
    <bk>
      <extLst>
        <ext uri="{3e2802c4-a4d2-4d8b-9148-e3be6c30e623}">
          <xlrd:rvb i="3672"/>
        </ext>
      </extLst>
    </bk>
    <bk>
      <extLst>
        <ext uri="{3e2802c4-a4d2-4d8b-9148-e3be6c30e623}">
          <xlrd:rvb i="3673"/>
        </ext>
      </extLst>
    </bk>
    <bk>
      <extLst>
        <ext uri="{3e2802c4-a4d2-4d8b-9148-e3be6c30e623}">
          <xlrd:rvb i="3674"/>
        </ext>
      </extLst>
    </bk>
    <bk>
      <extLst>
        <ext uri="{3e2802c4-a4d2-4d8b-9148-e3be6c30e623}">
          <xlrd:rvb i="3675"/>
        </ext>
      </extLst>
    </bk>
    <bk>
      <extLst>
        <ext uri="{3e2802c4-a4d2-4d8b-9148-e3be6c30e623}">
          <xlrd:rvb i="3676"/>
        </ext>
      </extLst>
    </bk>
    <bk>
      <extLst>
        <ext uri="{3e2802c4-a4d2-4d8b-9148-e3be6c30e623}">
          <xlrd:rvb i="3677"/>
        </ext>
      </extLst>
    </bk>
    <bk>
      <extLst>
        <ext uri="{3e2802c4-a4d2-4d8b-9148-e3be6c30e623}">
          <xlrd:rvb i="3678"/>
        </ext>
      </extLst>
    </bk>
    <bk>
      <extLst>
        <ext uri="{3e2802c4-a4d2-4d8b-9148-e3be6c30e623}">
          <xlrd:rvb i="3679"/>
        </ext>
      </extLst>
    </bk>
    <bk>
      <extLst>
        <ext uri="{3e2802c4-a4d2-4d8b-9148-e3be6c30e623}">
          <xlrd:rvb i="3680"/>
        </ext>
      </extLst>
    </bk>
    <bk>
      <extLst>
        <ext uri="{3e2802c4-a4d2-4d8b-9148-e3be6c30e623}">
          <xlrd:rvb i="3681"/>
        </ext>
      </extLst>
    </bk>
    <bk>
      <extLst>
        <ext uri="{3e2802c4-a4d2-4d8b-9148-e3be6c30e623}">
          <xlrd:rvb i="3682"/>
        </ext>
      </extLst>
    </bk>
    <bk>
      <extLst>
        <ext uri="{3e2802c4-a4d2-4d8b-9148-e3be6c30e623}">
          <xlrd:rvb i="3683"/>
        </ext>
      </extLst>
    </bk>
    <bk>
      <extLst>
        <ext uri="{3e2802c4-a4d2-4d8b-9148-e3be6c30e623}">
          <xlrd:rvb i="3684"/>
        </ext>
      </extLst>
    </bk>
    <bk>
      <extLst>
        <ext uri="{3e2802c4-a4d2-4d8b-9148-e3be6c30e623}">
          <xlrd:rvb i="3685"/>
        </ext>
      </extLst>
    </bk>
    <bk>
      <extLst>
        <ext uri="{3e2802c4-a4d2-4d8b-9148-e3be6c30e623}">
          <xlrd:rvb i="3686"/>
        </ext>
      </extLst>
    </bk>
    <bk>
      <extLst>
        <ext uri="{3e2802c4-a4d2-4d8b-9148-e3be6c30e623}">
          <xlrd:rvb i="3687"/>
        </ext>
      </extLst>
    </bk>
    <bk>
      <extLst>
        <ext uri="{3e2802c4-a4d2-4d8b-9148-e3be6c30e623}">
          <xlrd:rvb i="3688"/>
        </ext>
      </extLst>
    </bk>
    <bk>
      <extLst>
        <ext uri="{3e2802c4-a4d2-4d8b-9148-e3be6c30e623}">
          <xlrd:rvb i="3689"/>
        </ext>
      </extLst>
    </bk>
    <bk>
      <extLst>
        <ext uri="{3e2802c4-a4d2-4d8b-9148-e3be6c30e623}">
          <xlrd:rvb i="3690"/>
        </ext>
      </extLst>
    </bk>
    <bk>
      <extLst>
        <ext uri="{3e2802c4-a4d2-4d8b-9148-e3be6c30e623}">
          <xlrd:rvb i="3691"/>
        </ext>
      </extLst>
    </bk>
    <bk>
      <extLst>
        <ext uri="{3e2802c4-a4d2-4d8b-9148-e3be6c30e623}">
          <xlrd:rvb i="3692"/>
        </ext>
      </extLst>
    </bk>
    <bk>
      <extLst>
        <ext uri="{3e2802c4-a4d2-4d8b-9148-e3be6c30e623}">
          <xlrd:rvb i="3693"/>
        </ext>
      </extLst>
    </bk>
    <bk>
      <extLst>
        <ext uri="{3e2802c4-a4d2-4d8b-9148-e3be6c30e623}">
          <xlrd:rvb i="3694"/>
        </ext>
      </extLst>
    </bk>
    <bk>
      <extLst>
        <ext uri="{3e2802c4-a4d2-4d8b-9148-e3be6c30e623}">
          <xlrd:rvb i="3695"/>
        </ext>
      </extLst>
    </bk>
    <bk>
      <extLst>
        <ext uri="{3e2802c4-a4d2-4d8b-9148-e3be6c30e623}">
          <xlrd:rvb i="3696"/>
        </ext>
      </extLst>
    </bk>
    <bk>
      <extLst>
        <ext uri="{3e2802c4-a4d2-4d8b-9148-e3be6c30e623}">
          <xlrd:rvb i="3697"/>
        </ext>
      </extLst>
    </bk>
    <bk>
      <extLst>
        <ext uri="{3e2802c4-a4d2-4d8b-9148-e3be6c30e623}">
          <xlrd:rvb i="3698"/>
        </ext>
      </extLst>
    </bk>
    <bk>
      <extLst>
        <ext uri="{3e2802c4-a4d2-4d8b-9148-e3be6c30e623}">
          <xlrd:rvb i="3699"/>
        </ext>
      </extLst>
    </bk>
    <bk>
      <extLst>
        <ext uri="{3e2802c4-a4d2-4d8b-9148-e3be6c30e623}">
          <xlrd:rvb i="3700"/>
        </ext>
      </extLst>
    </bk>
    <bk>
      <extLst>
        <ext uri="{3e2802c4-a4d2-4d8b-9148-e3be6c30e623}">
          <xlrd:rvb i="3701"/>
        </ext>
      </extLst>
    </bk>
    <bk>
      <extLst>
        <ext uri="{3e2802c4-a4d2-4d8b-9148-e3be6c30e623}">
          <xlrd:rvb i="3702"/>
        </ext>
      </extLst>
    </bk>
    <bk>
      <extLst>
        <ext uri="{3e2802c4-a4d2-4d8b-9148-e3be6c30e623}">
          <xlrd:rvb i="3703"/>
        </ext>
      </extLst>
    </bk>
    <bk>
      <extLst>
        <ext uri="{3e2802c4-a4d2-4d8b-9148-e3be6c30e623}">
          <xlrd:rvb i="3704"/>
        </ext>
      </extLst>
    </bk>
    <bk>
      <extLst>
        <ext uri="{3e2802c4-a4d2-4d8b-9148-e3be6c30e623}">
          <xlrd:rvb i="3705"/>
        </ext>
      </extLst>
    </bk>
    <bk>
      <extLst>
        <ext uri="{3e2802c4-a4d2-4d8b-9148-e3be6c30e623}">
          <xlrd:rvb i="3706"/>
        </ext>
      </extLst>
    </bk>
    <bk>
      <extLst>
        <ext uri="{3e2802c4-a4d2-4d8b-9148-e3be6c30e623}">
          <xlrd:rvb i="3707"/>
        </ext>
      </extLst>
    </bk>
    <bk>
      <extLst>
        <ext uri="{3e2802c4-a4d2-4d8b-9148-e3be6c30e623}">
          <xlrd:rvb i="3708"/>
        </ext>
      </extLst>
    </bk>
    <bk>
      <extLst>
        <ext uri="{3e2802c4-a4d2-4d8b-9148-e3be6c30e623}">
          <xlrd:rvb i="3709"/>
        </ext>
      </extLst>
    </bk>
    <bk>
      <extLst>
        <ext uri="{3e2802c4-a4d2-4d8b-9148-e3be6c30e623}">
          <xlrd:rvb i="3710"/>
        </ext>
      </extLst>
    </bk>
    <bk>
      <extLst>
        <ext uri="{3e2802c4-a4d2-4d8b-9148-e3be6c30e623}">
          <xlrd:rvb i="3711"/>
        </ext>
      </extLst>
    </bk>
    <bk>
      <extLst>
        <ext uri="{3e2802c4-a4d2-4d8b-9148-e3be6c30e623}">
          <xlrd:rvb i="3712"/>
        </ext>
      </extLst>
    </bk>
    <bk>
      <extLst>
        <ext uri="{3e2802c4-a4d2-4d8b-9148-e3be6c30e623}">
          <xlrd:rvb i="3713"/>
        </ext>
      </extLst>
    </bk>
    <bk>
      <extLst>
        <ext uri="{3e2802c4-a4d2-4d8b-9148-e3be6c30e623}">
          <xlrd:rvb i="3714"/>
        </ext>
      </extLst>
    </bk>
    <bk>
      <extLst>
        <ext uri="{3e2802c4-a4d2-4d8b-9148-e3be6c30e623}">
          <xlrd:rvb i="3715"/>
        </ext>
      </extLst>
    </bk>
    <bk>
      <extLst>
        <ext uri="{3e2802c4-a4d2-4d8b-9148-e3be6c30e623}">
          <xlrd:rvb i="3716"/>
        </ext>
      </extLst>
    </bk>
    <bk>
      <extLst>
        <ext uri="{3e2802c4-a4d2-4d8b-9148-e3be6c30e623}">
          <xlrd:rvb i="3717"/>
        </ext>
      </extLst>
    </bk>
    <bk>
      <extLst>
        <ext uri="{3e2802c4-a4d2-4d8b-9148-e3be6c30e623}">
          <xlrd:rvb i="3718"/>
        </ext>
      </extLst>
    </bk>
    <bk>
      <extLst>
        <ext uri="{3e2802c4-a4d2-4d8b-9148-e3be6c30e623}">
          <xlrd:rvb i="3719"/>
        </ext>
      </extLst>
    </bk>
    <bk>
      <extLst>
        <ext uri="{3e2802c4-a4d2-4d8b-9148-e3be6c30e623}">
          <xlrd:rvb i="3720"/>
        </ext>
      </extLst>
    </bk>
    <bk>
      <extLst>
        <ext uri="{3e2802c4-a4d2-4d8b-9148-e3be6c30e623}">
          <xlrd:rvb i="3721"/>
        </ext>
      </extLst>
    </bk>
    <bk>
      <extLst>
        <ext uri="{3e2802c4-a4d2-4d8b-9148-e3be6c30e623}">
          <xlrd:rvb i="3722"/>
        </ext>
      </extLst>
    </bk>
    <bk>
      <extLst>
        <ext uri="{3e2802c4-a4d2-4d8b-9148-e3be6c30e623}">
          <xlrd:rvb i="3723"/>
        </ext>
      </extLst>
    </bk>
    <bk>
      <extLst>
        <ext uri="{3e2802c4-a4d2-4d8b-9148-e3be6c30e623}">
          <xlrd:rvb i="3724"/>
        </ext>
      </extLst>
    </bk>
    <bk>
      <extLst>
        <ext uri="{3e2802c4-a4d2-4d8b-9148-e3be6c30e623}">
          <xlrd:rvb i="3725"/>
        </ext>
      </extLst>
    </bk>
    <bk>
      <extLst>
        <ext uri="{3e2802c4-a4d2-4d8b-9148-e3be6c30e623}">
          <xlrd:rvb i="3726"/>
        </ext>
      </extLst>
    </bk>
    <bk>
      <extLst>
        <ext uri="{3e2802c4-a4d2-4d8b-9148-e3be6c30e623}">
          <xlrd:rvb i="3727"/>
        </ext>
      </extLst>
    </bk>
    <bk>
      <extLst>
        <ext uri="{3e2802c4-a4d2-4d8b-9148-e3be6c30e623}">
          <xlrd:rvb i="3728"/>
        </ext>
      </extLst>
    </bk>
    <bk>
      <extLst>
        <ext uri="{3e2802c4-a4d2-4d8b-9148-e3be6c30e623}">
          <xlrd:rvb i="3729"/>
        </ext>
      </extLst>
    </bk>
    <bk>
      <extLst>
        <ext uri="{3e2802c4-a4d2-4d8b-9148-e3be6c30e623}">
          <xlrd:rvb i="3730"/>
        </ext>
      </extLst>
    </bk>
    <bk>
      <extLst>
        <ext uri="{3e2802c4-a4d2-4d8b-9148-e3be6c30e623}">
          <xlrd:rvb i="3731"/>
        </ext>
      </extLst>
    </bk>
    <bk>
      <extLst>
        <ext uri="{3e2802c4-a4d2-4d8b-9148-e3be6c30e623}">
          <xlrd:rvb i="3732"/>
        </ext>
      </extLst>
    </bk>
    <bk>
      <extLst>
        <ext uri="{3e2802c4-a4d2-4d8b-9148-e3be6c30e623}">
          <xlrd:rvb i="3733"/>
        </ext>
      </extLst>
    </bk>
    <bk>
      <extLst>
        <ext uri="{3e2802c4-a4d2-4d8b-9148-e3be6c30e623}">
          <xlrd:rvb i="3734"/>
        </ext>
      </extLst>
    </bk>
    <bk>
      <extLst>
        <ext uri="{3e2802c4-a4d2-4d8b-9148-e3be6c30e623}">
          <xlrd:rvb i="3735"/>
        </ext>
      </extLst>
    </bk>
    <bk>
      <extLst>
        <ext uri="{3e2802c4-a4d2-4d8b-9148-e3be6c30e623}">
          <xlrd:rvb i="3736"/>
        </ext>
      </extLst>
    </bk>
    <bk>
      <extLst>
        <ext uri="{3e2802c4-a4d2-4d8b-9148-e3be6c30e623}">
          <xlrd:rvb i="3737"/>
        </ext>
      </extLst>
    </bk>
    <bk>
      <extLst>
        <ext uri="{3e2802c4-a4d2-4d8b-9148-e3be6c30e623}">
          <xlrd:rvb i="3738"/>
        </ext>
      </extLst>
    </bk>
    <bk>
      <extLst>
        <ext uri="{3e2802c4-a4d2-4d8b-9148-e3be6c30e623}">
          <xlrd:rvb i="3739"/>
        </ext>
      </extLst>
    </bk>
    <bk>
      <extLst>
        <ext uri="{3e2802c4-a4d2-4d8b-9148-e3be6c30e623}">
          <xlrd:rvb i="3740"/>
        </ext>
      </extLst>
    </bk>
    <bk>
      <extLst>
        <ext uri="{3e2802c4-a4d2-4d8b-9148-e3be6c30e623}">
          <xlrd:rvb i="3741"/>
        </ext>
      </extLst>
    </bk>
    <bk>
      <extLst>
        <ext uri="{3e2802c4-a4d2-4d8b-9148-e3be6c30e623}">
          <xlrd:rvb i="3742"/>
        </ext>
      </extLst>
    </bk>
    <bk>
      <extLst>
        <ext uri="{3e2802c4-a4d2-4d8b-9148-e3be6c30e623}">
          <xlrd:rvb i="3743"/>
        </ext>
      </extLst>
    </bk>
    <bk>
      <extLst>
        <ext uri="{3e2802c4-a4d2-4d8b-9148-e3be6c30e623}">
          <xlrd:rvb i="3744"/>
        </ext>
      </extLst>
    </bk>
    <bk>
      <extLst>
        <ext uri="{3e2802c4-a4d2-4d8b-9148-e3be6c30e623}">
          <xlrd:rvb i="3745"/>
        </ext>
      </extLst>
    </bk>
    <bk>
      <extLst>
        <ext uri="{3e2802c4-a4d2-4d8b-9148-e3be6c30e623}">
          <xlrd:rvb i="3746"/>
        </ext>
      </extLst>
    </bk>
    <bk>
      <extLst>
        <ext uri="{3e2802c4-a4d2-4d8b-9148-e3be6c30e623}">
          <xlrd:rvb i="3747"/>
        </ext>
      </extLst>
    </bk>
    <bk>
      <extLst>
        <ext uri="{3e2802c4-a4d2-4d8b-9148-e3be6c30e623}">
          <xlrd:rvb i="3748"/>
        </ext>
      </extLst>
    </bk>
    <bk>
      <extLst>
        <ext uri="{3e2802c4-a4d2-4d8b-9148-e3be6c30e623}">
          <xlrd:rvb i="3749"/>
        </ext>
      </extLst>
    </bk>
    <bk>
      <extLst>
        <ext uri="{3e2802c4-a4d2-4d8b-9148-e3be6c30e623}">
          <xlrd:rvb i="3750"/>
        </ext>
      </extLst>
    </bk>
    <bk>
      <extLst>
        <ext uri="{3e2802c4-a4d2-4d8b-9148-e3be6c30e623}">
          <xlrd:rvb i="3751"/>
        </ext>
      </extLst>
    </bk>
    <bk>
      <extLst>
        <ext uri="{3e2802c4-a4d2-4d8b-9148-e3be6c30e623}">
          <xlrd:rvb i="3752"/>
        </ext>
      </extLst>
    </bk>
    <bk>
      <extLst>
        <ext uri="{3e2802c4-a4d2-4d8b-9148-e3be6c30e623}">
          <xlrd:rvb i="3753"/>
        </ext>
      </extLst>
    </bk>
    <bk>
      <extLst>
        <ext uri="{3e2802c4-a4d2-4d8b-9148-e3be6c30e623}">
          <xlrd:rvb i="3754"/>
        </ext>
      </extLst>
    </bk>
    <bk>
      <extLst>
        <ext uri="{3e2802c4-a4d2-4d8b-9148-e3be6c30e623}">
          <xlrd:rvb i="3755"/>
        </ext>
      </extLst>
    </bk>
    <bk>
      <extLst>
        <ext uri="{3e2802c4-a4d2-4d8b-9148-e3be6c30e623}">
          <xlrd:rvb i="3756"/>
        </ext>
      </extLst>
    </bk>
    <bk>
      <extLst>
        <ext uri="{3e2802c4-a4d2-4d8b-9148-e3be6c30e623}">
          <xlrd:rvb i="3757"/>
        </ext>
      </extLst>
    </bk>
    <bk>
      <extLst>
        <ext uri="{3e2802c4-a4d2-4d8b-9148-e3be6c30e623}">
          <xlrd:rvb i="3758"/>
        </ext>
      </extLst>
    </bk>
    <bk>
      <extLst>
        <ext uri="{3e2802c4-a4d2-4d8b-9148-e3be6c30e623}">
          <xlrd:rvb i="3759"/>
        </ext>
      </extLst>
    </bk>
    <bk>
      <extLst>
        <ext uri="{3e2802c4-a4d2-4d8b-9148-e3be6c30e623}">
          <xlrd:rvb i="3760"/>
        </ext>
      </extLst>
    </bk>
    <bk>
      <extLst>
        <ext uri="{3e2802c4-a4d2-4d8b-9148-e3be6c30e623}">
          <xlrd:rvb i="3761"/>
        </ext>
      </extLst>
    </bk>
    <bk>
      <extLst>
        <ext uri="{3e2802c4-a4d2-4d8b-9148-e3be6c30e623}">
          <xlrd:rvb i="3762"/>
        </ext>
      </extLst>
    </bk>
    <bk>
      <extLst>
        <ext uri="{3e2802c4-a4d2-4d8b-9148-e3be6c30e623}">
          <xlrd:rvb i="3763"/>
        </ext>
      </extLst>
    </bk>
    <bk>
      <extLst>
        <ext uri="{3e2802c4-a4d2-4d8b-9148-e3be6c30e623}">
          <xlrd:rvb i="3764"/>
        </ext>
      </extLst>
    </bk>
    <bk>
      <extLst>
        <ext uri="{3e2802c4-a4d2-4d8b-9148-e3be6c30e623}">
          <xlrd:rvb i="3765"/>
        </ext>
      </extLst>
    </bk>
    <bk>
      <extLst>
        <ext uri="{3e2802c4-a4d2-4d8b-9148-e3be6c30e623}">
          <xlrd:rvb i="3766"/>
        </ext>
      </extLst>
    </bk>
    <bk>
      <extLst>
        <ext uri="{3e2802c4-a4d2-4d8b-9148-e3be6c30e623}">
          <xlrd:rvb i="3767"/>
        </ext>
      </extLst>
    </bk>
    <bk>
      <extLst>
        <ext uri="{3e2802c4-a4d2-4d8b-9148-e3be6c30e623}">
          <xlrd:rvb i="3768"/>
        </ext>
      </extLst>
    </bk>
    <bk>
      <extLst>
        <ext uri="{3e2802c4-a4d2-4d8b-9148-e3be6c30e623}">
          <xlrd:rvb i="3769"/>
        </ext>
      </extLst>
    </bk>
    <bk>
      <extLst>
        <ext uri="{3e2802c4-a4d2-4d8b-9148-e3be6c30e623}">
          <xlrd:rvb i="3770"/>
        </ext>
      </extLst>
    </bk>
    <bk>
      <extLst>
        <ext uri="{3e2802c4-a4d2-4d8b-9148-e3be6c30e623}">
          <xlrd:rvb i="3771"/>
        </ext>
      </extLst>
    </bk>
    <bk>
      <extLst>
        <ext uri="{3e2802c4-a4d2-4d8b-9148-e3be6c30e623}">
          <xlrd:rvb i="3772"/>
        </ext>
      </extLst>
    </bk>
    <bk>
      <extLst>
        <ext uri="{3e2802c4-a4d2-4d8b-9148-e3be6c30e623}">
          <xlrd:rvb i="3773"/>
        </ext>
      </extLst>
    </bk>
    <bk>
      <extLst>
        <ext uri="{3e2802c4-a4d2-4d8b-9148-e3be6c30e623}">
          <xlrd:rvb i="3774"/>
        </ext>
      </extLst>
    </bk>
    <bk>
      <extLst>
        <ext uri="{3e2802c4-a4d2-4d8b-9148-e3be6c30e623}">
          <xlrd:rvb i="3775"/>
        </ext>
      </extLst>
    </bk>
    <bk>
      <extLst>
        <ext uri="{3e2802c4-a4d2-4d8b-9148-e3be6c30e623}">
          <xlrd:rvb i="3776"/>
        </ext>
      </extLst>
    </bk>
    <bk>
      <extLst>
        <ext uri="{3e2802c4-a4d2-4d8b-9148-e3be6c30e623}">
          <xlrd:rvb i="3777"/>
        </ext>
      </extLst>
    </bk>
    <bk>
      <extLst>
        <ext uri="{3e2802c4-a4d2-4d8b-9148-e3be6c30e623}">
          <xlrd:rvb i="3778"/>
        </ext>
      </extLst>
    </bk>
    <bk>
      <extLst>
        <ext uri="{3e2802c4-a4d2-4d8b-9148-e3be6c30e623}">
          <xlrd:rvb i="3779"/>
        </ext>
      </extLst>
    </bk>
    <bk>
      <extLst>
        <ext uri="{3e2802c4-a4d2-4d8b-9148-e3be6c30e623}">
          <xlrd:rvb i="3780"/>
        </ext>
      </extLst>
    </bk>
    <bk>
      <extLst>
        <ext uri="{3e2802c4-a4d2-4d8b-9148-e3be6c30e623}">
          <xlrd:rvb i="3781"/>
        </ext>
      </extLst>
    </bk>
    <bk>
      <extLst>
        <ext uri="{3e2802c4-a4d2-4d8b-9148-e3be6c30e623}">
          <xlrd:rvb i="3782"/>
        </ext>
      </extLst>
    </bk>
    <bk>
      <extLst>
        <ext uri="{3e2802c4-a4d2-4d8b-9148-e3be6c30e623}">
          <xlrd:rvb i="3783"/>
        </ext>
      </extLst>
    </bk>
    <bk>
      <extLst>
        <ext uri="{3e2802c4-a4d2-4d8b-9148-e3be6c30e623}">
          <xlrd:rvb i="3784"/>
        </ext>
      </extLst>
    </bk>
    <bk>
      <extLst>
        <ext uri="{3e2802c4-a4d2-4d8b-9148-e3be6c30e623}">
          <xlrd:rvb i="3785"/>
        </ext>
      </extLst>
    </bk>
    <bk>
      <extLst>
        <ext uri="{3e2802c4-a4d2-4d8b-9148-e3be6c30e623}">
          <xlrd:rvb i="3786"/>
        </ext>
      </extLst>
    </bk>
    <bk>
      <extLst>
        <ext uri="{3e2802c4-a4d2-4d8b-9148-e3be6c30e623}">
          <xlrd:rvb i="3787"/>
        </ext>
      </extLst>
    </bk>
    <bk>
      <extLst>
        <ext uri="{3e2802c4-a4d2-4d8b-9148-e3be6c30e623}">
          <xlrd:rvb i="3788"/>
        </ext>
      </extLst>
    </bk>
    <bk>
      <extLst>
        <ext uri="{3e2802c4-a4d2-4d8b-9148-e3be6c30e623}">
          <xlrd:rvb i="3789"/>
        </ext>
      </extLst>
    </bk>
    <bk>
      <extLst>
        <ext uri="{3e2802c4-a4d2-4d8b-9148-e3be6c30e623}">
          <xlrd:rvb i="3790"/>
        </ext>
      </extLst>
    </bk>
    <bk>
      <extLst>
        <ext uri="{3e2802c4-a4d2-4d8b-9148-e3be6c30e623}">
          <xlrd:rvb i="3791"/>
        </ext>
      </extLst>
    </bk>
    <bk>
      <extLst>
        <ext uri="{3e2802c4-a4d2-4d8b-9148-e3be6c30e623}">
          <xlrd:rvb i="3792"/>
        </ext>
      </extLst>
    </bk>
    <bk>
      <extLst>
        <ext uri="{3e2802c4-a4d2-4d8b-9148-e3be6c30e623}">
          <xlrd:rvb i="3793"/>
        </ext>
      </extLst>
    </bk>
    <bk>
      <extLst>
        <ext uri="{3e2802c4-a4d2-4d8b-9148-e3be6c30e623}">
          <xlrd:rvb i="3794"/>
        </ext>
      </extLst>
    </bk>
    <bk>
      <extLst>
        <ext uri="{3e2802c4-a4d2-4d8b-9148-e3be6c30e623}">
          <xlrd:rvb i="3795"/>
        </ext>
      </extLst>
    </bk>
    <bk>
      <extLst>
        <ext uri="{3e2802c4-a4d2-4d8b-9148-e3be6c30e623}">
          <xlrd:rvb i="3796"/>
        </ext>
      </extLst>
    </bk>
    <bk>
      <extLst>
        <ext uri="{3e2802c4-a4d2-4d8b-9148-e3be6c30e623}">
          <xlrd:rvb i="3797"/>
        </ext>
      </extLst>
    </bk>
    <bk>
      <extLst>
        <ext uri="{3e2802c4-a4d2-4d8b-9148-e3be6c30e623}">
          <xlrd:rvb i="3798"/>
        </ext>
      </extLst>
    </bk>
    <bk>
      <extLst>
        <ext uri="{3e2802c4-a4d2-4d8b-9148-e3be6c30e623}">
          <xlrd:rvb i="3799"/>
        </ext>
      </extLst>
    </bk>
    <bk>
      <extLst>
        <ext uri="{3e2802c4-a4d2-4d8b-9148-e3be6c30e623}">
          <xlrd:rvb i="3800"/>
        </ext>
      </extLst>
    </bk>
    <bk>
      <extLst>
        <ext uri="{3e2802c4-a4d2-4d8b-9148-e3be6c30e623}">
          <xlrd:rvb i="3801"/>
        </ext>
      </extLst>
    </bk>
    <bk>
      <extLst>
        <ext uri="{3e2802c4-a4d2-4d8b-9148-e3be6c30e623}">
          <xlrd:rvb i="3802"/>
        </ext>
      </extLst>
    </bk>
    <bk>
      <extLst>
        <ext uri="{3e2802c4-a4d2-4d8b-9148-e3be6c30e623}">
          <xlrd:rvb i="3803"/>
        </ext>
      </extLst>
    </bk>
    <bk>
      <extLst>
        <ext uri="{3e2802c4-a4d2-4d8b-9148-e3be6c30e623}">
          <xlrd:rvb i="3804"/>
        </ext>
      </extLst>
    </bk>
    <bk>
      <extLst>
        <ext uri="{3e2802c4-a4d2-4d8b-9148-e3be6c30e623}">
          <xlrd:rvb i="3805"/>
        </ext>
      </extLst>
    </bk>
    <bk>
      <extLst>
        <ext uri="{3e2802c4-a4d2-4d8b-9148-e3be6c30e623}">
          <xlrd:rvb i="3806"/>
        </ext>
      </extLst>
    </bk>
    <bk>
      <extLst>
        <ext uri="{3e2802c4-a4d2-4d8b-9148-e3be6c30e623}">
          <xlrd:rvb i="3807"/>
        </ext>
      </extLst>
    </bk>
    <bk>
      <extLst>
        <ext uri="{3e2802c4-a4d2-4d8b-9148-e3be6c30e623}">
          <xlrd:rvb i="3808"/>
        </ext>
      </extLst>
    </bk>
    <bk>
      <extLst>
        <ext uri="{3e2802c4-a4d2-4d8b-9148-e3be6c30e623}">
          <xlrd:rvb i="3809"/>
        </ext>
      </extLst>
    </bk>
    <bk>
      <extLst>
        <ext uri="{3e2802c4-a4d2-4d8b-9148-e3be6c30e623}">
          <xlrd:rvb i="3810"/>
        </ext>
      </extLst>
    </bk>
    <bk>
      <extLst>
        <ext uri="{3e2802c4-a4d2-4d8b-9148-e3be6c30e623}">
          <xlrd:rvb i="3811"/>
        </ext>
      </extLst>
    </bk>
    <bk>
      <extLst>
        <ext uri="{3e2802c4-a4d2-4d8b-9148-e3be6c30e623}">
          <xlrd:rvb i="3812"/>
        </ext>
      </extLst>
    </bk>
    <bk>
      <extLst>
        <ext uri="{3e2802c4-a4d2-4d8b-9148-e3be6c30e623}">
          <xlrd:rvb i="3813"/>
        </ext>
      </extLst>
    </bk>
    <bk>
      <extLst>
        <ext uri="{3e2802c4-a4d2-4d8b-9148-e3be6c30e623}">
          <xlrd:rvb i="3814"/>
        </ext>
      </extLst>
    </bk>
    <bk>
      <extLst>
        <ext uri="{3e2802c4-a4d2-4d8b-9148-e3be6c30e623}">
          <xlrd:rvb i="3815"/>
        </ext>
      </extLst>
    </bk>
    <bk>
      <extLst>
        <ext uri="{3e2802c4-a4d2-4d8b-9148-e3be6c30e623}">
          <xlrd:rvb i="3816"/>
        </ext>
      </extLst>
    </bk>
    <bk>
      <extLst>
        <ext uri="{3e2802c4-a4d2-4d8b-9148-e3be6c30e623}">
          <xlrd:rvb i="3817"/>
        </ext>
      </extLst>
    </bk>
    <bk>
      <extLst>
        <ext uri="{3e2802c4-a4d2-4d8b-9148-e3be6c30e623}">
          <xlrd:rvb i="3818"/>
        </ext>
      </extLst>
    </bk>
    <bk>
      <extLst>
        <ext uri="{3e2802c4-a4d2-4d8b-9148-e3be6c30e623}">
          <xlrd:rvb i="3819"/>
        </ext>
      </extLst>
    </bk>
    <bk>
      <extLst>
        <ext uri="{3e2802c4-a4d2-4d8b-9148-e3be6c30e623}">
          <xlrd:rvb i="3820"/>
        </ext>
      </extLst>
    </bk>
    <bk>
      <extLst>
        <ext uri="{3e2802c4-a4d2-4d8b-9148-e3be6c30e623}">
          <xlrd:rvb i="3821"/>
        </ext>
      </extLst>
    </bk>
    <bk>
      <extLst>
        <ext uri="{3e2802c4-a4d2-4d8b-9148-e3be6c30e623}">
          <xlrd:rvb i="3822"/>
        </ext>
      </extLst>
    </bk>
    <bk>
      <extLst>
        <ext uri="{3e2802c4-a4d2-4d8b-9148-e3be6c30e623}">
          <xlrd:rvb i="3823"/>
        </ext>
      </extLst>
    </bk>
    <bk>
      <extLst>
        <ext uri="{3e2802c4-a4d2-4d8b-9148-e3be6c30e623}">
          <xlrd:rvb i="3824"/>
        </ext>
      </extLst>
    </bk>
    <bk>
      <extLst>
        <ext uri="{3e2802c4-a4d2-4d8b-9148-e3be6c30e623}">
          <xlrd:rvb i="3825"/>
        </ext>
      </extLst>
    </bk>
    <bk>
      <extLst>
        <ext uri="{3e2802c4-a4d2-4d8b-9148-e3be6c30e623}">
          <xlrd:rvb i="3826"/>
        </ext>
      </extLst>
    </bk>
    <bk>
      <extLst>
        <ext uri="{3e2802c4-a4d2-4d8b-9148-e3be6c30e623}">
          <xlrd:rvb i="3827"/>
        </ext>
      </extLst>
    </bk>
    <bk>
      <extLst>
        <ext uri="{3e2802c4-a4d2-4d8b-9148-e3be6c30e623}">
          <xlrd:rvb i="3828"/>
        </ext>
      </extLst>
    </bk>
    <bk>
      <extLst>
        <ext uri="{3e2802c4-a4d2-4d8b-9148-e3be6c30e623}">
          <xlrd:rvb i="3829"/>
        </ext>
      </extLst>
    </bk>
    <bk>
      <extLst>
        <ext uri="{3e2802c4-a4d2-4d8b-9148-e3be6c30e623}">
          <xlrd:rvb i="3830"/>
        </ext>
      </extLst>
    </bk>
    <bk>
      <extLst>
        <ext uri="{3e2802c4-a4d2-4d8b-9148-e3be6c30e623}">
          <xlrd:rvb i="3831"/>
        </ext>
      </extLst>
    </bk>
    <bk>
      <extLst>
        <ext uri="{3e2802c4-a4d2-4d8b-9148-e3be6c30e623}">
          <xlrd:rvb i="3832"/>
        </ext>
      </extLst>
    </bk>
    <bk>
      <extLst>
        <ext uri="{3e2802c4-a4d2-4d8b-9148-e3be6c30e623}">
          <xlrd:rvb i="3833"/>
        </ext>
      </extLst>
    </bk>
    <bk>
      <extLst>
        <ext uri="{3e2802c4-a4d2-4d8b-9148-e3be6c30e623}">
          <xlrd:rvb i="3834"/>
        </ext>
      </extLst>
    </bk>
    <bk>
      <extLst>
        <ext uri="{3e2802c4-a4d2-4d8b-9148-e3be6c30e623}">
          <xlrd:rvb i="3835"/>
        </ext>
      </extLst>
    </bk>
    <bk>
      <extLst>
        <ext uri="{3e2802c4-a4d2-4d8b-9148-e3be6c30e623}">
          <xlrd:rvb i="3836"/>
        </ext>
      </extLst>
    </bk>
    <bk>
      <extLst>
        <ext uri="{3e2802c4-a4d2-4d8b-9148-e3be6c30e623}">
          <xlrd:rvb i="3837"/>
        </ext>
      </extLst>
    </bk>
    <bk>
      <extLst>
        <ext uri="{3e2802c4-a4d2-4d8b-9148-e3be6c30e623}">
          <xlrd:rvb i="3838"/>
        </ext>
      </extLst>
    </bk>
    <bk>
      <extLst>
        <ext uri="{3e2802c4-a4d2-4d8b-9148-e3be6c30e623}">
          <xlrd:rvb i="3839"/>
        </ext>
      </extLst>
    </bk>
    <bk>
      <extLst>
        <ext uri="{3e2802c4-a4d2-4d8b-9148-e3be6c30e623}">
          <xlrd:rvb i="3840"/>
        </ext>
      </extLst>
    </bk>
    <bk>
      <extLst>
        <ext uri="{3e2802c4-a4d2-4d8b-9148-e3be6c30e623}">
          <xlrd:rvb i="3841"/>
        </ext>
      </extLst>
    </bk>
    <bk>
      <extLst>
        <ext uri="{3e2802c4-a4d2-4d8b-9148-e3be6c30e623}">
          <xlrd:rvb i="3842"/>
        </ext>
      </extLst>
    </bk>
    <bk>
      <extLst>
        <ext uri="{3e2802c4-a4d2-4d8b-9148-e3be6c30e623}">
          <xlrd:rvb i="3843"/>
        </ext>
      </extLst>
    </bk>
    <bk>
      <extLst>
        <ext uri="{3e2802c4-a4d2-4d8b-9148-e3be6c30e623}">
          <xlrd:rvb i="3844"/>
        </ext>
      </extLst>
    </bk>
    <bk>
      <extLst>
        <ext uri="{3e2802c4-a4d2-4d8b-9148-e3be6c30e623}">
          <xlrd:rvb i="3845"/>
        </ext>
      </extLst>
    </bk>
    <bk>
      <extLst>
        <ext uri="{3e2802c4-a4d2-4d8b-9148-e3be6c30e623}">
          <xlrd:rvb i="3846"/>
        </ext>
      </extLst>
    </bk>
    <bk>
      <extLst>
        <ext uri="{3e2802c4-a4d2-4d8b-9148-e3be6c30e623}">
          <xlrd:rvb i="3847"/>
        </ext>
      </extLst>
    </bk>
    <bk>
      <extLst>
        <ext uri="{3e2802c4-a4d2-4d8b-9148-e3be6c30e623}">
          <xlrd:rvb i="3848"/>
        </ext>
      </extLst>
    </bk>
    <bk>
      <extLst>
        <ext uri="{3e2802c4-a4d2-4d8b-9148-e3be6c30e623}">
          <xlrd:rvb i="3849"/>
        </ext>
      </extLst>
    </bk>
    <bk>
      <extLst>
        <ext uri="{3e2802c4-a4d2-4d8b-9148-e3be6c30e623}">
          <xlrd:rvb i="3850"/>
        </ext>
      </extLst>
    </bk>
    <bk>
      <extLst>
        <ext uri="{3e2802c4-a4d2-4d8b-9148-e3be6c30e623}">
          <xlrd:rvb i="3851"/>
        </ext>
      </extLst>
    </bk>
    <bk>
      <extLst>
        <ext uri="{3e2802c4-a4d2-4d8b-9148-e3be6c30e623}">
          <xlrd:rvb i="3852"/>
        </ext>
      </extLst>
    </bk>
    <bk>
      <extLst>
        <ext uri="{3e2802c4-a4d2-4d8b-9148-e3be6c30e623}">
          <xlrd:rvb i="3853"/>
        </ext>
      </extLst>
    </bk>
    <bk>
      <extLst>
        <ext uri="{3e2802c4-a4d2-4d8b-9148-e3be6c30e623}">
          <xlrd:rvb i="3854"/>
        </ext>
      </extLst>
    </bk>
    <bk>
      <extLst>
        <ext uri="{3e2802c4-a4d2-4d8b-9148-e3be6c30e623}">
          <xlrd:rvb i="3855"/>
        </ext>
      </extLst>
    </bk>
    <bk>
      <extLst>
        <ext uri="{3e2802c4-a4d2-4d8b-9148-e3be6c30e623}">
          <xlrd:rvb i="3856"/>
        </ext>
      </extLst>
    </bk>
    <bk>
      <extLst>
        <ext uri="{3e2802c4-a4d2-4d8b-9148-e3be6c30e623}">
          <xlrd:rvb i="3857"/>
        </ext>
      </extLst>
    </bk>
    <bk>
      <extLst>
        <ext uri="{3e2802c4-a4d2-4d8b-9148-e3be6c30e623}">
          <xlrd:rvb i="3858"/>
        </ext>
      </extLst>
    </bk>
    <bk>
      <extLst>
        <ext uri="{3e2802c4-a4d2-4d8b-9148-e3be6c30e623}">
          <xlrd:rvb i="3859"/>
        </ext>
      </extLst>
    </bk>
    <bk>
      <extLst>
        <ext uri="{3e2802c4-a4d2-4d8b-9148-e3be6c30e623}">
          <xlrd:rvb i="3860"/>
        </ext>
      </extLst>
    </bk>
    <bk>
      <extLst>
        <ext uri="{3e2802c4-a4d2-4d8b-9148-e3be6c30e623}">
          <xlrd:rvb i="3861"/>
        </ext>
      </extLst>
    </bk>
    <bk>
      <extLst>
        <ext uri="{3e2802c4-a4d2-4d8b-9148-e3be6c30e623}">
          <xlrd:rvb i="3862"/>
        </ext>
      </extLst>
    </bk>
    <bk>
      <extLst>
        <ext uri="{3e2802c4-a4d2-4d8b-9148-e3be6c30e623}">
          <xlrd:rvb i="3863"/>
        </ext>
      </extLst>
    </bk>
    <bk>
      <extLst>
        <ext uri="{3e2802c4-a4d2-4d8b-9148-e3be6c30e623}">
          <xlrd:rvb i="3864"/>
        </ext>
      </extLst>
    </bk>
    <bk>
      <extLst>
        <ext uri="{3e2802c4-a4d2-4d8b-9148-e3be6c30e623}">
          <xlrd:rvb i="3865"/>
        </ext>
      </extLst>
    </bk>
    <bk>
      <extLst>
        <ext uri="{3e2802c4-a4d2-4d8b-9148-e3be6c30e623}">
          <xlrd:rvb i="3866"/>
        </ext>
      </extLst>
    </bk>
    <bk>
      <extLst>
        <ext uri="{3e2802c4-a4d2-4d8b-9148-e3be6c30e623}">
          <xlrd:rvb i="3867"/>
        </ext>
      </extLst>
    </bk>
    <bk>
      <extLst>
        <ext uri="{3e2802c4-a4d2-4d8b-9148-e3be6c30e623}">
          <xlrd:rvb i="3868"/>
        </ext>
      </extLst>
    </bk>
    <bk>
      <extLst>
        <ext uri="{3e2802c4-a4d2-4d8b-9148-e3be6c30e623}">
          <xlrd:rvb i="3869"/>
        </ext>
      </extLst>
    </bk>
    <bk>
      <extLst>
        <ext uri="{3e2802c4-a4d2-4d8b-9148-e3be6c30e623}">
          <xlrd:rvb i="3870"/>
        </ext>
      </extLst>
    </bk>
    <bk>
      <extLst>
        <ext uri="{3e2802c4-a4d2-4d8b-9148-e3be6c30e623}">
          <xlrd:rvb i="3871"/>
        </ext>
      </extLst>
    </bk>
    <bk>
      <extLst>
        <ext uri="{3e2802c4-a4d2-4d8b-9148-e3be6c30e623}">
          <xlrd:rvb i="3872"/>
        </ext>
      </extLst>
    </bk>
    <bk>
      <extLst>
        <ext uri="{3e2802c4-a4d2-4d8b-9148-e3be6c30e623}">
          <xlrd:rvb i="3873"/>
        </ext>
      </extLst>
    </bk>
    <bk>
      <extLst>
        <ext uri="{3e2802c4-a4d2-4d8b-9148-e3be6c30e623}">
          <xlrd:rvb i="3874"/>
        </ext>
      </extLst>
    </bk>
    <bk>
      <extLst>
        <ext uri="{3e2802c4-a4d2-4d8b-9148-e3be6c30e623}">
          <xlrd:rvb i="3875"/>
        </ext>
      </extLst>
    </bk>
    <bk>
      <extLst>
        <ext uri="{3e2802c4-a4d2-4d8b-9148-e3be6c30e623}">
          <xlrd:rvb i="3876"/>
        </ext>
      </extLst>
    </bk>
    <bk>
      <extLst>
        <ext uri="{3e2802c4-a4d2-4d8b-9148-e3be6c30e623}">
          <xlrd:rvb i="3877"/>
        </ext>
      </extLst>
    </bk>
    <bk>
      <extLst>
        <ext uri="{3e2802c4-a4d2-4d8b-9148-e3be6c30e623}">
          <xlrd:rvb i="3878"/>
        </ext>
      </extLst>
    </bk>
    <bk>
      <extLst>
        <ext uri="{3e2802c4-a4d2-4d8b-9148-e3be6c30e623}">
          <xlrd:rvb i="3879"/>
        </ext>
      </extLst>
    </bk>
    <bk>
      <extLst>
        <ext uri="{3e2802c4-a4d2-4d8b-9148-e3be6c30e623}">
          <xlrd:rvb i="3880"/>
        </ext>
      </extLst>
    </bk>
    <bk>
      <extLst>
        <ext uri="{3e2802c4-a4d2-4d8b-9148-e3be6c30e623}">
          <xlrd:rvb i="3881"/>
        </ext>
      </extLst>
    </bk>
    <bk>
      <extLst>
        <ext uri="{3e2802c4-a4d2-4d8b-9148-e3be6c30e623}">
          <xlrd:rvb i="3882"/>
        </ext>
      </extLst>
    </bk>
    <bk>
      <extLst>
        <ext uri="{3e2802c4-a4d2-4d8b-9148-e3be6c30e623}">
          <xlrd:rvb i="3883"/>
        </ext>
      </extLst>
    </bk>
    <bk>
      <extLst>
        <ext uri="{3e2802c4-a4d2-4d8b-9148-e3be6c30e623}">
          <xlrd:rvb i="3884"/>
        </ext>
      </extLst>
    </bk>
    <bk>
      <extLst>
        <ext uri="{3e2802c4-a4d2-4d8b-9148-e3be6c30e623}">
          <xlrd:rvb i="3885"/>
        </ext>
      </extLst>
    </bk>
    <bk>
      <extLst>
        <ext uri="{3e2802c4-a4d2-4d8b-9148-e3be6c30e623}">
          <xlrd:rvb i="3886"/>
        </ext>
      </extLst>
    </bk>
    <bk>
      <extLst>
        <ext uri="{3e2802c4-a4d2-4d8b-9148-e3be6c30e623}">
          <xlrd:rvb i="3887"/>
        </ext>
      </extLst>
    </bk>
    <bk>
      <extLst>
        <ext uri="{3e2802c4-a4d2-4d8b-9148-e3be6c30e623}">
          <xlrd:rvb i="3888"/>
        </ext>
      </extLst>
    </bk>
    <bk>
      <extLst>
        <ext uri="{3e2802c4-a4d2-4d8b-9148-e3be6c30e623}">
          <xlrd:rvb i="3889"/>
        </ext>
      </extLst>
    </bk>
    <bk>
      <extLst>
        <ext uri="{3e2802c4-a4d2-4d8b-9148-e3be6c30e623}">
          <xlrd:rvb i="3890"/>
        </ext>
      </extLst>
    </bk>
    <bk>
      <extLst>
        <ext uri="{3e2802c4-a4d2-4d8b-9148-e3be6c30e623}">
          <xlrd:rvb i="3891"/>
        </ext>
      </extLst>
    </bk>
    <bk>
      <extLst>
        <ext uri="{3e2802c4-a4d2-4d8b-9148-e3be6c30e623}">
          <xlrd:rvb i="3892"/>
        </ext>
      </extLst>
    </bk>
    <bk>
      <extLst>
        <ext uri="{3e2802c4-a4d2-4d8b-9148-e3be6c30e623}">
          <xlrd:rvb i="3893"/>
        </ext>
      </extLst>
    </bk>
    <bk>
      <extLst>
        <ext uri="{3e2802c4-a4d2-4d8b-9148-e3be6c30e623}">
          <xlrd:rvb i="3894"/>
        </ext>
      </extLst>
    </bk>
    <bk>
      <extLst>
        <ext uri="{3e2802c4-a4d2-4d8b-9148-e3be6c30e623}">
          <xlrd:rvb i="3895"/>
        </ext>
      </extLst>
    </bk>
    <bk>
      <extLst>
        <ext uri="{3e2802c4-a4d2-4d8b-9148-e3be6c30e623}">
          <xlrd:rvb i="3896"/>
        </ext>
      </extLst>
    </bk>
    <bk>
      <extLst>
        <ext uri="{3e2802c4-a4d2-4d8b-9148-e3be6c30e623}">
          <xlrd:rvb i="3897"/>
        </ext>
      </extLst>
    </bk>
    <bk>
      <extLst>
        <ext uri="{3e2802c4-a4d2-4d8b-9148-e3be6c30e623}">
          <xlrd:rvb i="3898"/>
        </ext>
      </extLst>
    </bk>
    <bk>
      <extLst>
        <ext uri="{3e2802c4-a4d2-4d8b-9148-e3be6c30e623}">
          <xlrd:rvb i="3899"/>
        </ext>
      </extLst>
    </bk>
    <bk>
      <extLst>
        <ext uri="{3e2802c4-a4d2-4d8b-9148-e3be6c30e623}">
          <xlrd:rvb i="3900"/>
        </ext>
      </extLst>
    </bk>
    <bk>
      <extLst>
        <ext uri="{3e2802c4-a4d2-4d8b-9148-e3be6c30e623}">
          <xlrd:rvb i="3901"/>
        </ext>
      </extLst>
    </bk>
    <bk>
      <extLst>
        <ext uri="{3e2802c4-a4d2-4d8b-9148-e3be6c30e623}">
          <xlrd:rvb i="3902"/>
        </ext>
      </extLst>
    </bk>
    <bk>
      <extLst>
        <ext uri="{3e2802c4-a4d2-4d8b-9148-e3be6c30e623}">
          <xlrd:rvb i="3903"/>
        </ext>
      </extLst>
    </bk>
    <bk>
      <extLst>
        <ext uri="{3e2802c4-a4d2-4d8b-9148-e3be6c30e623}">
          <xlrd:rvb i="3904"/>
        </ext>
      </extLst>
    </bk>
    <bk>
      <extLst>
        <ext uri="{3e2802c4-a4d2-4d8b-9148-e3be6c30e623}">
          <xlrd:rvb i="3905"/>
        </ext>
      </extLst>
    </bk>
    <bk>
      <extLst>
        <ext uri="{3e2802c4-a4d2-4d8b-9148-e3be6c30e623}">
          <xlrd:rvb i="3906"/>
        </ext>
      </extLst>
    </bk>
    <bk>
      <extLst>
        <ext uri="{3e2802c4-a4d2-4d8b-9148-e3be6c30e623}">
          <xlrd:rvb i="3907"/>
        </ext>
      </extLst>
    </bk>
    <bk>
      <extLst>
        <ext uri="{3e2802c4-a4d2-4d8b-9148-e3be6c30e623}">
          <xlrd:rvb i="3908"/>
        </ext>
      </extLst>
    </bk>
    <bk>
      <extLst>
        <ext uri="{3e2802c4-a4d2-4d8b-9148-e3be6c30e623}">
          <xlrd:rvb i="3909"/>
        </ext>
      </extLst>
    </bk>
    <bk>
      <extLst>
        <ext uri="{3e2802c4-a4d2-4d8b-9148-e3be6c30e623}">
          <xlrd:rvb i="3910"/>
        </ext>
      </extLst>
    </bk>
    <bk>
      <extLst>
        <ext uri="{3e2802c4-a4d2-4d8b-9148-e3be6c30e623}">
          <xlrd:rvb i="3911"/>
        </ext>
      </extLst>
    </bk>
    <bk>
      <extLst>
        <ext uri="{3e2802c4-a4d2-4d8b-9148-e3be6c30e623}">
          <xlrd:rvb i="3912"/>
        </ext>
      </extLst>
    </bk>
    <bk>
      <extLst>
        <ext uri="{3e2802c4-a4d2-4d8b-9148-e3be6c30e623}">
          <xlrd:rvb i="3913"/>
        </ext>
      </extLst>
    </bk>
    <bk>
      <extLst>
        <ext uri="{3e2802c4-a4d2-4d8b-9148-e3be6c30e623}">
          <xlrd:rvb i="3914"/>
        </ext>
      </extLst>
    </bk>
    <bk>
      <extLst>
        <ext uri="{3e2802c4-a4d2-4d8b-9148-e3be6c30e623}">
          <xlrd:rvb i="3915"/>
        </ext>
      </extLst>
    </bk>
    <bk>
      <extLst>
        <ext uri="{3e2802c4-a4d2-4d8b-9148-e3be6c30e623}">
          <xlrd:rvb i="3916"/>
        </ext>
      </extLst>
    </bk>
    <bk>
      <extLst>
        <ext uri="{3e2802c4-a4d2-4d8b-9148-e3be6c30e623}">
          <xlrd:rvb i="3917"/>
        </ext>
      </extLst>
    </bk>
    <bk>
      <extLst>
        <ext uri="{3e2802c4-a4d2-4d8b-9148-e3be6c30e623}">
          <xlrd:rvb i="3918"/>
        </ext>
      </extLst>
    </bk>
    <bk>
      <extLst>
        <ext uri="{3e2802c4-a4d2-4d8b-9148-e3be6c30e623}">
          <xlrd:rvb i="3919"/>
        </ext>
      </extLst>
    </bk>
    <bk>
      <extLst>
        <ext uri="{3e2802c4-a4d2-4d8b-9148-e3be6c30e623}">
          <xlrd:rvb i="3920"/>
        </ext>
      </extLst>
    </bk>
    <bk>
      <extLst>
        <ext uri="{3e2802c4-a4d2-4d8b-9148-e3be6c30e623}">
          <xlrd:rvb i="3921"/>
        </ext>
      </extLst>
    </bk>
    <bk>
      <extLst>
        <ext uri="{3e2802c4-a4d2-4d8b-9148-e3be6c30e623}">
          <xlrd:rvb i="3922"/>
        </ext>
      </extLst>
    </bk>
    <bk>
      <extLst>
        <ext uri="{3e2802c4-a4d2-4d8b-9148-e3be6c30e623}">
          <xlrd:rvb i="3923"/>
        </ext>
      </extLst>
    </bk>
    <bk>
      <extLst>
        <ext uri="{3e2802c4-a4d2-4d8b-9148-e3be6c30e623}">
          <xlrd:rvb i="3924"/>
        </ext>
      </extLst>
    </bk>
    <bk>
      <extLst>
        <ext uri="{3e2802c4-a4d2-4d8b-9148-e3be6c30e623}">
          <xlrd:rvb i="3925"/>
        </ext>
      </extLst>
    </bk>
    <bk>
      <extLst>
        <ext uri="{3e2802c4-a4d2-4d8b-9148-e3be6c30e623}">
          <xlrd:rvb i="3926"/>
        </ext>
      </extLst>
    </bk>
    <bk>
      <extLst>
        <ext uri="{3e2802c4-a4d2-4d8b-9148-e3be6c30e623}">
          <xlrd:rvb i="3927"/>
        </ext>
      </extLst>
    </bk>
    <bk>
      <extLst>
        <ext uri="{3e2802c4-a4d2-4d8b-9148-e3be6c30e623}">
          <xlrd:rvb i="3928"/>
        </ext>
      </extLst>
    </bk>
    <bk>
      <extLst>
        <ext uri="{3e2802c4-a4d2-4d8b-9148-e3be6c30e623}">
          <xlrd:rvb i="3929"/>
        </ext>
      </extLst>
    </bk>
    <bk>
      <extLst>
        <ext uri="{3e2802c4-a4d2-4d8b-9148-e3be6c30e623}">
          <xlrd:rvb i="3930"/>
        </ext>
      </extLst>
    </bk>
    <bk>
      <extLst>
        <ext uri="{3e2802c4-a4d2-4d8b-9148-e3be6c30e623}">
          <xlrd:rvb i="3931"/>
        </ext>
      </extLst>
    </bk>
    <bk>
      <extLst>
        <ext uri="{3e2802c4-a4d2-4d8b-9148-e3be6c30e623}">
          <xlrd:rvb i="3932"/>
        </ext>
      </extLst>
    </bk>
    <bk>
      <extLst>
        <ext uri="{3e2802c4-a4d2-4d8b-9148-e3be6c30e623}">
          <xlrd:rvb i="3933"/>
        </ext>
      </extLst>
    </bk>
    <bk>
      <extLst>
        <ext uri="{3e2802c4-a4d2-4d8b-9148-e3be6c30e623}">
          <xlrd:rvb i="3934"/>
        </ext>
      </extLst>
    </bk>
    <bk>
      <extLst>
        <ext uri="{3e2802c4-a4d2-4d8b-9148-e3be6c30e623}">
          <xlrd:rvb i="3935"/>
        </ext>
      </extLst>
    </bk>
    <bk>
      <extLst>
        <ext uri="{3e2802c4-a4d2-4d8b-9148-e3be6c30e623}">
          <xlrd:rvb i="3936"/>
        </ext>
      </extLst>
    </bk>
    <bk>
      <extLst>
        <ext uri="{3e2802c4-a4d2-4d8b-9148-e3be6c30e623}">
          <xlrd:rvb i="3937"/>
        </ext>
      </extLst>
    </bk>
    <bk>
      <extLst>
        <ext uri="{3e2802c4-a4d2-4d8b-9148-e3be6c30e623}">
          <xlrd:rvb i="3938"/>
        </ext>
      </extLst>
    </bk>
    <bk>
      <extLst>
        <ext uri="{3e2802c4-a4d2-4d8b-9148-e3be6c30e623}">
          <xlrd:rvb i="3939"/>
        </ext>
      </extLst>
    </bk>
    <bk>
      <extLst>
        <ext uri="{3e2802c4-a4d2-4d8b-9148-e3be6c30e623}">
          <xlrd:rvb i="3940"/>
        </ext>
      </extLst>
    </bk>
    <bk>
      <extLst>
        <ext uri="{3e2802c4-a4d2-4d8b-9148-e3be6c30e623}">
          <xlrd:rvb i="3941"/>
        </ext>
      </extLst>
    </bk>
    <bk>
      <extLst>
        <ext uri="{3e2802c4-a4d2-4d8b-9148-e3be6c30e623}">
          <xlrd:rvb i="3942"/>
        </ext>
      </extLst>
    </bk>
    <bk>
      <extLst>
        <ext uri="{3e2802c4-a4d2-4d8b-9148-e3be6c30e623}">
          <xlrd:rvb i="3943"/>
        </ext>
      </extLst>
    </bk>
    <bk>
      <extLst>
        <ext uri="{3e2802c4-a4d2-4d8b-9148-e3be6c30e623}">
          <xlrd:rvb i="3944"/>
        </ext>
      </extLst>
    </bk>
    <bk>
      <extLst>
        <ext uri="{3e2802c4-a4d2-4d8b-9148-e3be6c30e623}">
          <xlrd:rvb i="3945"/>
        </ext>
      </extLst>
    </bk>
    <bk>
      <extLst>
        <ext uri="{3e2802c4-a4d2-4d8b-9148-e3be6c30e623}">
          <xlrd:rvb i="3946"/>
        </ext>
      </extLst>
    </bk>
    <bk>
      <extLst>
        <ext uri="{3e2802c4-a4d2-4d8b-9148-e3be6c30e623}">
          <xlrd:rvb i="3947"/>
        </ext>
      </extLst>
    </bk>
    <bk>
      <extLst>
        <ext uri="{3e2802c4-a4d2-4d8b-9148-e3be6c30e623}">
          <xlrd:rvb i="3948"/>
        </ext>
      </extLst>
    </bk>
    <bk>
      <extLst>
        <ext uri="{3e2802c4-a4d2-4d8b-9148-e3be6c30e623}">
          <xlrd:rvb i="3949"/>
        </ext>
      </extLst>
    </bk>
    <bk>
      <extLst>
        <ext uri="{3e2802c4-a4d2-4d8b-9148-e3be6c30e623}">
          <xlrd:rvb i="3950"/>
        </ext>
      </extLst>
    </bk>
    <bk>
      <extLst>
        <ext uri="{3e2802c4-a4d2-4d8b-9148-e3be6c30e623}">
          <xlrd:rvb i="3951"/>
        </ext>
      </extLst>
    </bk>
    <bk>
      <extLst>
        <ext uri="{3e2802c4-a4d2-4d8b-9148-e3be6c30e623}">
          <xlrd:rvb i="3952"/>
        </ext>
      </extLst>
    </bk>
    <bk>
      <extLst>
        <ext uri="{3e2802c4-a4d2-4d8b-9148-e3be6c30e623}">
          <xlrd:rvb i="3953"/>
        </ext>
      </extLst>
    </bk>
    <bk>
      <extLst>
        <ext uri="{3e2802c4-a4d2-4d8b-9148-e3be6c30e623}">
          <xlrd:rvb i="3954"/>
        </ext>
      </extLst>
    </bk>
    <bk>
      <extLst>
        <ext uri="{3e2802c4-a4d2-4d8b-9148-e3be6c30e623}">
          <xlrd:rvb i="3955"/>
        </ext>
      </extLst>
    </bk>
    <bk>
      <extLst>
        <ext uri="{3e2802c4-a4d2-4d8b-9148-e3be6c30e623}">
          <xlrd:rvb i="3956"/>
        </ext>
      </extLst>
    </bk>
    <bk>
      <extLst>
        <ext uri="{3e2802c4-a4d2-4d8b-9148-e3be6c30e623}">
          <xlrd:rvb i="3957"/>
        </ext>
      </extLst>
    </bk>
    <bk>
      <extLst>
        <ext uri="{3e2802c4-a4d2-4d8b-9148-e3be6c30e623}">
          <xlrd:rvb i="3958"/>
        </ext>
      </extLst>
    </bk>
    <bk>
      <extLst>
        <ext uri="{3e2802c4-a4d2-4d8b-9148-e3be6c30e623}">
          <xlrd:rvb i="3959"/>
        </ext>
      </extLst>
    </bk>
    <bk>
      <extLst>
        <ext uri="{3e2802c4-a4d2-4d8b-9148-e3be6c30e623}">
          <xlrd:rvb i="3960"/>
        </ext>
      </extLst>
    </bk>
    <bk>
      <extLst>
        <ext uri="{3e2802c4-a4d2-4d8b-9148-e3be6c30e623}">
          <xlrd:rvb i="3961"/>
        </ext>
      </extLst>
    </bk>
    <bk>
      <extLst>
        <ext uri="{3e2802c4-a4d2-4d8b-9148-e3be6c30e623}">
          <xlrd:rvb i="3962"/>
        </ext>
      </extLst>
    </bk>
    <bk>
      <extLst>
        <ext uri="{3e2802c4-a4d2-4d8b-9148-e3be6c30e623}">
          <xlrd:rvb i="3963"/>
        </ext>
      </extLst>
    </bk>
    <bk>
      <extLst>
        <ext uri="{3e2802c4-a4d2-4d8b-9148-e3be6c30e623}">
          <xlrd:rvb i="3964"/>
        </ext>
      </extLst>
    </bk>
    <bk>
      <extLst>
        <ext uri="{3e2802c4-a4d2-4d8b-9148-e3be6c30e623}">
          <xlrd:rvb i="3965"/>
        </ext>
      </extLst>
    </bk>
    <bk>
      <extLst>
        <ext uri="{3e2802c4-a4d2-4d8b-9148-e3be6c30e623}">
          <xlrd:rvb i="3966"/>
        </ext>
      </extLst>
    </bk>
    <bk>
      <extLst>
        <ext uri="{3e2802c4-a4d2-4d8b-9148-e3be6c30e623}">
          <xlrd:rvb i="3967"/>
        </ext>
      </extLst>
    </bk>
    <bk>
      <extLst>
        <ext uri="{3e2802c4-a4d2-4d8b-9148-e3be6c30e623}">
          <xlrd:rvb i="3968"/>
        </ext>
      </extLst>
    </bk>
    <bk>
      <extLst>
        <ext uri="{3e2802c4-a4d2-4d8b-9148-e3be6c30e623}">
          <xlrd:rvb i="3969"/>
        </ext>
      </extLst>
    </bk>
    <bk>
      <extLst>
        <ext uri="{3e2802c4-a4d2-4d8b-9148-e3be6c30e623}">
          <xlrd:rvb i="3970"/>
        </ext>
      </extLst>
    </bk>
    <bk>
      <extLst>
        <ext uri="{3e2802c4-a4d2-4d8b-9148-e3be6c30e623}">
          <xlrd:rvb i="3971"/>
        </ext>
      </extLst>
    </bk>
    <bk>
      <extLst>
        <ext uri="{3e2802c4-a4d2-4d8b-9148-e3be6c30e623}">
          <xlrd:rvb i="3972"/>
        </ext>
      </extLst>
    </bk>
    <bk>
      <extLst>
        <ext uri="{3e2802c4-a4d2-4d8b-9148-e3be6c30e623}">
          <xlrd:rvb i="3973"/>
        </ext>
      </extLst>
    </bk>
    <bk>
      <extLst>
        <ext uri="{3e2802c4-a4d2-4d8b-9148-e3be6c30e623}">
          <xlrd:rvb i="3974"/>
        </ext>
      </extLst>
    </bk>
    <bk>
      <extLst>
        <ext uri="{3e2802c4-a4d2-4d8b-9148-e3be6c30e623}">
          <xlrd:rvb i="3975"/>
        </ext>
      </extLst>
    </bk>
    <bk>
      <extLst>
        <ext uri="{3e2802c4-a4d2-4d8b-9148-e3be6c30e623}">
          <xlrd:rvb i="3976"/>
        </ext>
      </extLst>
    </bk>
    <bk>
      <extLst>
        <ext uri="{3e2802c4-a4d2-4d8b-9148-e3be6c30e623}">
          <xlrd:rvb i="3977"/>
        </ext>
      </extLst>
    </bk>
    <bk>
      <extLst>
        <ext uri="{3e2802c4-a4d2-4d8b-9148-e3be6c30e623}">
          <xlrd:rvb i="3978"/>
        </ext>
      </extLst>
    </bk>
    <bk>
      <extLst>
        <ext uri="{3e2802c4-a4d2-4d8b-9148-e3be6c30e623}">
          <xlrd:rvb i="3979"/>
        </ext>
      </extLst>
    </bk>
    <bk>
      <extLst>
        <ext uri="{3e2802c4-a4d2-4d8b-9148-e3be6c30e623}">
          <xlrd:rvb i="3980"/>
        </ext>
      </extLst>
    </bk>
    <bk>
      <extLst>
        <ext uri="{3e2802c4-a4d2-4d8b-9148-e3be6c30e623}">
          <xlrd:rvb i="3981"/>
        </ext>
      </extLst>
    </bk>
    <bk>
      <extLst>
        <ext uri="{3e2802c4-a4d2-4d8b-9148-e3be6c30e623}">
          <xlrd:rvb i="3982"/>
        </ext>
      </extLst>
    </bk>
    <bk>
      <extLst>
        <ext uri="{3e2802c4-a4d2-4d8b-9148-e3be6c30e623}">
          <xlrd:rvb i="3983"/>
        </ext>
      </extLst>
    </bk>
    <bk>
      <extLst>
        <ext uri="{3e2802c4-a4d2-4d8b-9148-e3be6c30e623}">
          <xlrd:rvb i="3984"/>
        </ext>
      </extLst>
    </bk>
    <bk>
      <extLst>
        <ext uri="{3e2802c4-a4d2-4d8b-9148-e3be6c30e623}">
          <xlrd:rvb i="3985"/>
        </ext>
      </extLst>
    </bk>
    <bk>
      <extLst>
        <ext uri="{3e2802c4-a4d2-4d8b-9148-e3be6c30e623}">
          <xlrd:rvb i="3986"/>
        </ext>
      </extLst>
    </bk>
    <bk>
      <extLst>
        <ext uri="{3e2802c4-a4d2-4d8b-9148-e3be6c30e623}">
          <xlrd:rvb i="3987"/>
        </ext>
      </extLst>
    </bk>
    <bk>
      <extLst>
        <ext uri="{3e2802c4-a4d2-4d8b-9148-e3be6c30e623}">
          <xlrd:rvb i="3988"/>
        </ext>
      </extLst>
    </bk>
    <bk>
      <extLst>
        <ext uri="{3e2802c4-a4d2-4d8b-9148-e3be6c30e623}">
          <xlrd:rvb i="3989"/>
        </ext>
      </extLst>
    </bk>
    <bk>
      <extLst>
        <ext uri="{3e2802c4-a4d2-4d8b-9148-e3be6c30e623}">
          <xlrd:rvb i="3990"/>
        </ext>
      </extLst>
    </bk>
    <bk>
      <extLst>
        <ext uri="{3e2802c4-a4d2-4d8b-9148-e3be6c30e623}">
          <xlrd:rvb i="3991"/>
        </ext>
      </extLst>
    </bk>
    <bk>
      <extLst>
        <ext uri="{3e2802c4-a4d2-4d8b-9148-e3be6c30e623}">
          <xlrd:rvb i="3992"/>
        </ext>
      </extLst>
    </bk>
    <bk>
      <extLst>
        <ext uri="{3e2802c4-a4d2-4d8b-9148-e3be6c30e623}">
          <xlrd:rvb i="3993"/>
        </ext>
      </extLst>
    </bk>
    <bk>
      <extLst>
        <ext uri="{3e2802c4-a4d2-4d8b-9148-e3be6c30e623}">
          <xlrd:rvb i="3994"/>
        </ext>
      </extLst>
    </bk>
    <bk>
      <extLst>
        <ext uri="{3e2802c4-a4d2-4d8b-9148-e3be6c30e623}">
          <xlrd:rvb i="3995"/>
        </ext>
      </extLst>
    </bk>
    <bk>
      <extLst>
        <ext uri="{3e2802c4-a4d2-4d8b-9148-e3be6c30e623}">
          <xlrd:rvb i="3996"/>
        </ext>
      </extLst>
    </bk>
    <bk>
      <extLst>
        <ext uri="{3e2802c4-a4d2-4d8b-9148-e3be6c30e623}">
          <xlrd:rvb i="3997"/>
        </ext>
      </extLst>
    </bk>
    <bk>
      <extLst>
        <ext uri="{3e2802c4-a4d2-4d8b-9148-e3be6c30e623}">
          <xlrd:rvb i="3998"/>
        </ext>
      </extLst>
    </bk>
    <bk>
      <extLst>
        <ext uri="{3e2802c4-a4d2-4d8b-9148-e3be6c30e623}">
          <xlrd:rvb i="3999"/>
        </ext>
      </extLst>
    </bk>
    <bk>
      <extLst>
        <ext uri="{3e2802c4-a4d2-4d8b-9148-e3be6c30e623}">
          <xlrd:rvb i="4000"/>
        </ext>
      </extLst>
    </bk>
    <bk>
      <extLst>
        <ext uri="{3e2802c4-a4d2-4d8b-9148-e3be6c30e623}">
          <xlrd:rvb i="4001"/>
        </ext>
      </extLst>
    </bk>
    <bk>
      <extLst>
        <ext uri="{3e2802c4-a4d2-4d8b-9148-e3be6c30e623}">
          <xlrd:rvb i="4002"/>
        </ext>
      </extLst>
    </bk>
    <bk>
      <extLst>
        <ext uri="{3e2802c4-a4d2-4d8b-9148-e3be6c30e623}">
          <xlrd:rvb i="4003"/>
        </ext>
      </extLst>
    </bk>
    <bk>
      <extLst>
        <ext uri="{3e2802c4-a4d2-4d8b-9148-e3be6c30e623}">
          <xlrd:rvb i="4004"/>
        </ext>
      </extLst>
    </bk>
    <bk>
      <extLst>
        <ext uri="{3e2802c4-a4d2-4d8b-9148-e3be6c30e623}">
          <xlrd:rvb i="4005"/>
        </ext>
      </extLst>
    </bk>
    <bk>
      <extLst>
        <ext uri="{3e2802c4-a4d2-4d8b-9148-e3be6c30e623}">
          <xlrd:rvb i="4006"/>
        </ext>
      </extLst>
    </bk>
    <bk>
      <extLst>
        <ext uri="{3e2802c4-a4d2-4d8b-9148-e3be6c30e623}">
          <xlrd:rvb i="4007"/>
        </ext>
      </extLst>
    </bk>
    <bk>
      <extLst>
        <ext uri="{3e2802c4-a4d2-4d8b-9148-e3be6c30e623}">
          <xlrd:rvb i="4008"/>
        </ext>
      </extLst>
    </bk>
    <bk>
      <extLst>
        <ext uri="{3e2802c4-a4d2-4d8b-9148-e3be6c30e623}">
          <xlrd:rvb i="4009"/>
        </ext>
      </extLst>
    </bk>
    <bk>
      <extLst>
        <ext uri="{3e2802c4-a4d2-4d8b-9148-e3be6c30e623}">
          <xlrd:rvb i="4010"/>
        </ext>
      </extLst>
    </bk>
    <bk>
      <extLst>
        <ext uri="{3e2802c4-a4d2-4d8b-9148-e3be6c30e623}">
          <xlrd:rvb i="4011"/>
        </ext>
      </extLst>
    </bk>
    <bk>
      <extLst>
        <ext uri="{3e2802c4-a4d2-4d8b-9148-e3be6c30e623}">
          <xlrd:rvb i="4012"/>
        </ext>
      </extLst>
    </bk>
    <bk>
      <extLst>
        <ext uri="{3e2802c4-a4d2-4d8b-9148-e3be6c30e623}">
          <xlrd:rvb i="4013"/>
        </ext>
      </extLst>
    </bk>
    <bk>
      <extLst>
        <ext uri="{3e2802c4-a4d2-4d8b-9148-e3be6c30e623}">
          <xlrd:rvb i="4014"/>
        </ext>
      </extLst>
    </bk>
    <bk>
      <extLst>
        <ext uri="{3e2802c4-a4d2-4d8b-9148-e3be6c30e623}">
          <xlrd:rvb i="4015"/>
        </ext>
      </extLst>
    </bk>
    <bk>
      <extLst>
        <ext uri="{3e2802c4-a4d2-4d8b-9148-e3be6c30e623}">
          <xlrd:rvb i="4016"/>
        </ext>
      </extLst>
    </bk>
    <bk>
      <extLst>
        <ext uri="{3e2802c4-a4d2-4d8b-9148-e3be6c30e623}">
          <xlrd:rvb i="4017"/>
        </ext>
      </extLst>
    </bk>
    <bk>
      <extLst>
        <ext uri="{3e2802c4-a4d2-4d8b-9148-e3be6c30e623}">
          <xlrd:rvb i="4018"/>
        </ext>
      </extLst>
    </bk>
    <bk>
      <extLst>
        <ext uri="{3e2802c4-a4d2-4d8b-9148-e3be6c30e623}">
          <xlrd:rvb i="4019"/>
        </ext>
      </extLst>
    </bk>
    <bk>
      <extLst>
        <ext uri="{3e2802c4-a4d2-4d8b-9148-e3be6c30e623}">
          <xlrd:rvb i="4020"/>
        </ext>
      </extLst>
    </bk>
    <bk>
      <extLst>
        <ext uri="{3e2802c4-a4d2-4d8b-9148-e3be6c30e623}">
          <xlrd:rvb i="4021"/>
        </ext>
      </extLst>
    </bk>
    <bk>
      <extLst>
        <ext uri="{3e2802c4-a4d2-4d8b-9148-e3be6c30e623}">
          <xlrd:rvb i="4022"/>
        </ext>
      </extLst>
    </bk>
    <bk>
      <extLst>
        <ext uri="{3e2802c4-a4d2-4d8b-9148-e3be6c30e623}">
          <xlrd:rvb i="4023"/>
        </ext>
      </extLst>
    </bk>
    <bk>
      <extLst>
        <ext uri="{3e2802c4-a4d2-4d8b-9148-e3be6c30e623}">
          <xlrd:rvb i="4024"/>
        </ext>
      </extLst>
    </bk>
    <bk>
      <extLst>
        <ext uri="{3e2802c4-a4d2-4d8b-9148-e3be6c30e623}">
          <xlrd:rvb i="4025"/>
        </ext>
      </extLst>
    </bk>
    <bk>
      <extLst>
        <ext uri="{3e2802c4-a4d2-4d8b-9148-e3be6c30e623}">
          <xlrd:rvb i="4026"/>
        </ext>
      </extLst>
    </bk>
    <bk>
      <extLst>
        <ext uri="{3e2802c4-a4d2-4d8b-9148-e3be6c30e623}">
          <xlrd:rvb i="4027"/>
        </ext>
      </extLst>
    </bk>
    <bk>
      <extLst>
        <ext uri="{3e2802c4-a4d2-4d8b-9148-e3be6c30e623}">
          <xlrd:rvb i="4028"/>
        </ext>
      </extLst>
    </bk>
    <bk>
      <extLst>
        <ext uri="{3e2802c4-a4d2-4d8b-9148-e3be6c30e623}">
          <xlrd:rvb i="4029"/>
        </ext>
      </extLst>
    </bk>
    <bk>
      <extLst>
        <ext uri="{3e2802c4-a4d2-4d8b-9148-e3be6c30e623}">
          <xlrd:rvb i="4030"/>
        </ext>
      </extLst>
    </bk>
    <bk>
      <extLst>
        <ext uri="{3e2802c4-a4d2-4d8b-9148-e3be6c30e623}">
          <xlrd:rvb i="4031"/>
        </ext>
      </extLst>
    </bk>
    <bk>
      <extLst>
        <ext uri="{3e2802c4-a4d2-4d8b-9148-e3be6c30e623}">
          <xlrd:rvb i="4032"/>
        </ext>
      </extLst>
    </bk>
    <bk>
      <extLst>
        <ext uri="{3e2802c4-a4d2-4d8b-9148-e3be6c30e623}">
          <xlrd:rvb i="4033"/>
        </ext>
      </extLst>
    </bk>
    <bk>
      <extLst>
        <ext uri="{3e2802c4-a4d2-4d8b-9148-e3be6c30e623}">
          <xlrd:rvb i="4034"/>
        </ext>
      </extLst>
    </bk>
    <bk>
      <extLst>
        <ext uri="{3e2802c4-a4d2-4d8b-9148-e3be6c30e623}">
          <xlrd:rvb i="4035"/>
        </ext>
      </extLst>
    </bk>
    <bk>
      <extLst>
        <ext uri="{3e2802c4-a4d2-4d8b-9148-e3be6c30e623}">
          <xlrd:rvb i="4036"/>
        </ext>
      </extLst>
    </bk>
    <bk>
      <extLst>
        <ext uri="{3e2802c4-a4d2-4d8b-9148-e3be6c30e623}">
          <xlrd:rvb i="4037"/>
        </ext>
      </extLst>
    </bk>
    <bk>
      <extLst>
        <ext uri="{3e2802c4-a4d2-4d8b-9148-e3be6c30e623}">
          <xlrd:rvb i="4038"/>
        </ext>
      </extLst>
    </bk>
    <bk>
      <extLst>
        <ext uri="{3e2802c4-a4d2-4d8b-9148-e3be6c30e623}">
          <xlrd:rvb i="4039"/>
        </ext>
      </extLst>
    </bk>
    <bk>
      <extLst>
        <ext uri="{3e2802c4-a4d2-4d8b-9148-e3be6c30e623}">
          <xlrd:rvb i="4040"/>
        </ext>
      </extLst>
    </bk>
    <bk>
      <extLst>
        <ext uri="{3e2802c4-a4d2-4d8b-9148-e3be6c30e623}">
          <xlrd:rvb i="4041"/>
        </ext>
      </extLst>
    </bk>
    <bk>
      <extLst>
        <ext uri="{3e2802c4-a4d2-4d8b-9148-e3be6c30e623}">
          <xlrd:rvb i="4042"/>
        </ext>
      </extLst>
    </bk>
    <bk>
      <extLst>
        <ext uri="{3e2802c4-a4d2-4d8b-9148-e3be6c30e623}">
          <xlrd:rvb i="4043"/>
        </ext>
      </extLst>
    </bk>
    <bk>
      <extLst>
        <ext uri="{3e2802c4-a4d2-4d8b-9148-e3be6c30e623}">
          <xlrd:rvb i="4044"/>
        </ext>
      </extLst>
    </bk>
    <bk>
      <extLst>
        <ext uri="{3e2802c4-a4d2-4d8b-9148-e3be6c30e623}">
          <xlrd:rvb i="4045"/>
        </ext>
      </extLst>
    </bk>
    <bk>
      <extLst>
        <ext uri="{3e2802c4-a4d2-4d8b-9148-e3be6c30e623}">
          <xlrd:rvb i="4046"/>
        </ext>
      </extLst>
    </bk>
    <bk>
      <extLst>
        <ext uri="{3e2802c4-a4d2-4d8b-9148-e3be6c30e623}">
          <xlrd:rvb i="4047"/>
        </ext>
      </extLst>
    </bk>
    <bk>
      <extLst>
        <ext uri="{3e2802c4-a4d2-4d8b-9148-e3be6c30e623}">
          <xlrd:rvb i="4048"/>
        </ext>
      </extLst>
    </bk>
    <bk>
      <extLst>
        <ext uri="{3e2802c4-a4d2-4d8b-9148-e3be6c30e623}">
          <xlrd:rvb i="4049"/>
        </ext>
      </extLst>
    </bk>
    <bk>
      <extLst>
        <ext uri="{3e2802c4-a4d2-4d8b-9148-e3be6c30e623}">
          <xlrd:rvb i="4050"/>
        </ext>
      </extLst>
    </bk>
    <bk>
      <extLst>
        <ext uri="{3e2802c4-a4d2-4d8b-9148-e3be6c30e623}">
          <xlrd:rvb i="4051"/>
        </ext>
      </extLst>
    </bk>
    <bk>
      <extLst>
        <ext uri="{3e2802c4-a4d2-4d8b-9148-e3be6c30e623}">
          <xlrd:rvb i="4052"/>
        </ext>
      </extLst>
    </bk>
    <bk>
      <extLst>
        <ext uri="{3e2802c4-a4d2-4d8b-9148-e3be6c30e623}">
          <xlrd:rvb i="4053"/>
        </ext>
      </extLst>
    </bk>
    <bk>
      <extLst>
        <ext uri="{3e2802c4-a4d2-4d8b-9148-e3be6c30e623}">
          <xlrd:rvb i="4054"/>
        </ext>
      </extLst>
    </bk>
    <bk>
      <extLst>
        <ext uri="{3e2802c4-a4d2-4d8b-9148-e3be6c30e623}">
          <xlrd:rvb i="4055"/>
        </ext>
      </extLst>
    </bk>
    <bk>
      <extLst>
        <ext uri="{3e2802c4-a4d2-4d8b-9148-e3be6c30e623}">
          <xlrd:rvb i="4056"/>
        </ext>
      </extLst>
    </bk>
    <bk>
      <extLst>
        <ext uri="{3e2802c4-a4d2-4d8b-9148-e3be6c30e623}">
          <xlrd:rvb i="4057"/>
        </ext>
      </extLst>
    </bk>
    <bk>
      <extLst>
        <ext uri="{3e2802c4-a4d2-4d8b-9148-e3be6c30e623}">
          <xlrd:rvb i="4058"/>
        </ext>
      </extLst>
    </bk>
    <bk>
      <extLst>
        <ext uri="{3e2802c4-a4d2-4d8b-9148-e3be6c30e623}">
          <xlrd:rvb i="4059"/>
        </ext>
      </extLst>
    </bk>
    <bk>
      <extLst>
        <ext uri="{3e2802c4-a4d2-4d8b-9148-e3be6c30e623}">
          <xlrd:rvb i="4060"/>
        </ext>
      </extLst>
    </bk>
    <bk>
      <extLst>
        <ext uri="{3e2802c4-a4d2-4d8b-9148-e3be6c30e623}">
          <xlrd:rvb i="4061"/>
        </ext>
      </extLst>
    </bk>
    <bk>
      <extLst>
        <ext uri="{3e2802c4-a4d2-4d8b-9148-e3be6c30e623}">
          <xlrd:rvb i="4062"/>
        </ext>
      </extLst>
    </bk>
    <bk>
      <extLst>
        <ext uri="{3e2802c4-a4d2-4d8b-9148-e3be6c30e623}">
          <xlrd:rvb i="4063"/>
        </ext>
      </extLst>
    </bk>
    <bk>
      <extLst>
        <ext uri="{3e2802c4-a4d2-4d8b-9148-e3be6c30e623}">
          <xlrd:rvb i="4064"/>
        </ext>
      </extLst>
    </bk>
    <bk>
      <extLst>
        <ext uri="{3e2802c4-a4d2-4d8b-9148-e3be6c30e623}">
          <xlrd:rvb i="4065"/>
        </ext>
      </extLst>
    </bk>
    <bk>
      <extLst>
        <ext uri="{3e2802c4-a4d2-4d8b-9148-e3be6c30e623}">
          <xlrd:rvb i="4066"/>
        </ext>
      </extLst>
    </bk>
    <bk>
      <extLst>
        <ext uri="{3e2802c4-a4d2-4d8b-9148-e3be6c30e623}">
          <xlrd:rvb i="4067"/>
        </ext>
      </extLst>
    </bk>
    <bk>
      <extLst>
        <ext uri="{3e2802c4-a4d2-4d8b-9148-e3be6c30e623}">
          <xlrd:rvb i="4068"/>
        </ext>
      </extLst>
    </bk>
    <bk>
      <extLst>
        <ext uri="{3e2802c4-a4d2-4d8b-9148-e3be6c30e623}">
          <xlrd:rvb i="4069"/>
        </ext>
      </extLst>
    </bk>
    <bk>
      <extLst>
        <ext uri="{3e2802c4-a4d2-4d8b-9148-e3be6c30e623}">
          <xlrd:rvb i="4070"/>
        </ext>
      </extLst>
    </bk>
    <bk>
      <extLst>
        <ext uri="{3e2802c4-a4d2-4d8b-9148-e3be6c30e623}">
          <xlrd:rvb i="4071"/>
        </ext>
      </extLst>
    </bk>
    <bk>
      <extLst>
        <ext uri="{3e2802c4-a4d2-4d8b-9148-e3be6c30e623}">
          <xlrd:rvb i="4072"/>
        </ext>
      </extLst>
    </bk>
    <bk>
      <extLst>
        <ext uri="{3e2802c4-a4d2-4d8b-9148-e3be6c30e623}">
          <xlrd:rvb i="4073"/>
        </ext>
      </extLst>
    </bk>
    <bk>
      <extLst>
        <ext uri="{3e2802c4-a4d2-4d8b-9148-e3be6c30e623}">
          <xlrd:rvb i="4074"/>
        </ext>
      </extLst>
    </bk>
    <bk>
      <extLst>
        <ext uri="{3e2802c4-a4d2-4d8b-9148-e3be6c30e623}">
          <xlrd:rvb i="4075"/>
        </ext>
      </extLst>
    </bk>
    <bk>
      <extLst>
        <ext uri="{3e2802c4-a4d2-4d8b-9148-e3be6c30e623}">
          <xlrd:rvb i="4076"/>
        </ext>
      </extLst>
    </bk>
    <bk>
      <extLst>
        <ext uri="{3e2802c4-a4d2-4d8b-9148-e3be6c30e623}">
          <xlrd:rvb i="4077"/>
        </ext>
      </extLst>
    </bk>
    <bk>
      <extLst>
        <ext uri="{3e2802c4-a4d2-4d8b-9148-e3be6c30e623}">
          <xlrd:rvb i="4078"/>
        </ext>
      </extLst>
    </bk>
    <bk>
      <extLst>
        <ext uri="{3e2802c4-a4d2-4d8b-9148-e3be6c30e623}">
          <xlrd:rvb i="4079"/>
        </ext>
      </extLst>
    </bk>
    <bk>
      <extLst>
        <ext uri="{3e2802c4-a4d2-4d8b-9148-e3be6c30e623}">
          <xlrd:rvb i="4080"/>
        </ext>
      </extLst>
    </bk>
    <bk>
      <extLst>
        <ext uri="{3e2802c4-a4d2-4d8b-9148-e3be6c30e623}">
          <xlrd:rvb i="4081"/>
        </ext>
      </extLst>
    </bk>
    <bk>
      <extLst>
        <ext uri="{3e2802c4-a4d2-4d8b-9148-e3be6c30e623}">
          <xlrd:rvb i="4082"/>
        </ext>
      </extLst>
    </bk>
    <bk>
      <extLst>
        <ext uri="{3e2802c4-a4d2-4d8b-9148-e3be6c30e623}">
          <xlrd:rvb i="4083"/>
        </ext>
      </extLst>
    </bk>
    <bk>
      <extLst>
        <ext uri="{3e2802c4-a4d2-4d8b-9148-e3be6c30e623}">
          <xlrd:rvb i="4084"/>
        </ext>
      </extLst>
    </bk>
    <bk>
      <extLst>
        <ext uri="{3e2802c4-a4d2-4d8b-9148-e3be6c30e623}">
          <xlrd:rvb i="4085"/>
        </ext>
      </extLst>
    </bk>
    <bk>
      <extLst>
        <ext uri="{3e2802c4-a4d2-4d8b-9148-e3be6c30e623}">
          <xlrd:rvb i="4086"/>
        </ext>
      </extLst>
    </bk>
    <bk>
      <extLst>
        <ext uri="{3e2802c4-a4d2-4d8b-9148-e3be6c30e623}">
          <xlrd:rvb i="4087"/>
        </ext>
      </extLst>
    </bk>
    <bk>
      <extLst>
        <ext uri="{3e2802c4-a4d2-4d8b-9148-e3be6c30e623}">
          <xlrd:rvb i="4088"/>
        </ext>
      </extLst>
    </bk>
    <bk>
      <extLst>
        <ext uri="{3e2802c4-a4d2-4d8b-9148-e3be6c30e623}">
          <xlrd:rvb i="4089"/>
        </ext>
      </extLst>
    </bk>
    <bk>
      <extLst>
        <ext uri="{3e2802c4-a4d2-4d8b-9148-e3be6c30e623}">
          <xlrd:rvb i="4090"/>
        </ext>
      </extLst>
    </bk>
    <bk>
      <extLst>
        <ext uri="{3e2802c4-a4d2-4d8b-9148-e3be6c30e623}">
          <xlrd:rvb i="4091"/>
        </ext>
      </extLst>
    </bk>
    <bk>
      <extLst>
        <ext uri="{3e2802c4-a4d2-4d8b-9148-e3be6c30e623}">
          <xlrd:rvb i="4092"/>
        </ext>
      </extLst>
    </bk>
    <bk>
      <extLst>
        <ext uri="{3e2802c4-a4d2-4d8b-9148-e3be6c30e623}">
          <xlrd:rvb i="4093"/>
        </ext>
      </extLst>
    </bk>
    <bk>
      <extLst>
        <ext uri="{3e2802c4-a4d2-4d8b-9148-e3be6c30e623}">
          <xlrd:rvb i="4094"/>
        </ext>
      </extLst>
    </bk>
    <bk>
      <extLst>
        <ext uri="{3e2802c4-a4d2-4d8b-9148-e3be6c30e623}">
          <xlrd:rvb i="4095"/>
        </ext>
      </extLst>
    </bk>
    <bk>
      <extLst>
        <ext uri="{3e2802c4-a4d2-4d8b-9148-e3be6c30e623}">
          <xlrd:rvb i="4096"/>
        </ext>
      </extLst>
    </bk>
    <bk>
      <extLst>
        <ext uri="{3e2802c4-a4d2-4d8b-9148-e3be6c30e623}">
          <xlrd:rvb i="4097"/>
        </ext>
      </extLst>
    </bk>
    <bk>
      <extLst>
        <ext uri="{3e2802c4-a4d2-4d8b-9148-e3be6c30e623}">
          <xlrd:rvb i="4098"/>
        </ext>
      </extLst>
    </bk>
    <bk>
      <extLst>
        <ext uri="{3e2802c4-a4d2-4d8b-9148-e3be6c30e623}">
          <xlrd:rvb i="4099"/>
        </ext>
      </extLst>
    </bk>
    <bk>
      <extLst>
        <ext uri="{3e2802c4-a4d2-4d8b-9148-e3be6c30e623}">
          <xlrd:rvb i="4100"/>
        </ext>
      </extLst>
    </bk>
    <bk>
      <extLst>
        <ext uri="{3e2802c4-a4d2-4d8b-9148-e3be6c30e623}">
          <xlrd:rvb i="4101"/>
        </ext>
      </extLst>
    </bk>
    <bk>
      <extLst>
        <ext uri="{3e2802c4-a4d2-4d8b-9148-e3be6c30e623}">
          <xlrd:rvb i="4102"/>
        </ext>
      </extLst>
    </bk>
    <bk>
      <extLst>
        <ext uri="{3e2802c4-a4d2-4d8b-9148-e3be6c30e623}">
          <xlrd:rvb i="4103"/>
        </ext>
      </extLst>
    </bk>
    <bk>
      <extLst>
        <ext uri="{3e2802c4-a4d2-4d8b-9148-e3be6c30e623}">
          <xlrd:rvb i="4104"/>
        </ext>
      </extLst>
    </bk>
    <bk>
      <extLst>
        <ext uri="{3e2802c4-a4d2-4d8b-9148-e3be6c30e623}">
          <xlrd:rvb i="4105"/>
        </ext>
      </extLst>
    </bk>
    <bk>
      <extLst>
        <ext uri="{3e2802c4-a4d2-4d8b-9148-e3be6c30e623}">
          <xlrd:rvb i="4106"/>
        </ext>
      </extLst>
    </bk>
    <bk>
      <extLst>
        <ext uri="{3e2802c4-a4d2-4d8b-9148-e3be6c30e623}">
          <xlrd:rvb i="4107"/>
        </ext>
      </extLst>
    </bk>
    <bk>
      <extLst>
        <ext uri="{3e2802c4-a4d2-4d8b-9148-e3be6c30e623}">
          <xlrd:rvb i="4108"/>
        </ext>
      </extLst>
    </bk>
    <bk>
      <extLst>
        <ext uri="{3e2802c4-a4d2-4d8b-9148-e3be6c30e623}">
          <xlrd:rvb i="4109"/>
        </ext>
      </extLst>
    </bk>
    <bk>
      <extLst>
        <ext uri="{3e2802c4-a4d2-4d8b-9148-e3be6c30e623}">
          <xlrd:rvb i="4110"/>
        </ext>
      </extLst>
    </bk>
    <bk>
      <extLst>
        <ext uri="{3e2802c4-a4d2-4d8b-9148-e3be6c30e623}">
          <xlrd:rvb i="4111"/>
        </ext>
      </extLst>
    </bk>
    <bk>
      <extLst>
        <ext uri="{3e2802c4-a4d2-4d8b-9148-e3be6c30e623}">
          <xlrd:rvb i="4112"/>
        </ext>
      </extLst>
    </bk>
    <bk>
      <extLst>
        <ext uri="{3e2802c4-a4d2-4d8b-9148-e3be6c30e623}">
          <xlrd:rvb i="4113"/>
        </ext>
      </extLst>
    </bk>
    <bk>
      <extLst>
        <ext uri="{3e2802c4-a4d2-4d8b-9148-e3be6c30e623}">
          <xlrd:rvb i="4114"/>
        </ext>
      </extLst>
    </bk>
    <bk>
      <extLst>
        <ext uri="{3e2802c4-a4d2-4d8b-9148-e3be6c30e623}">
          <xlrd:rvb i="4115"/>
        </ext>
      </extLst>
    </bk>
    <bk>
      <extLst>
        <ext uri="{3e2802c4-a4d2-4d8b-9148-e3be6c30e623}">
          <xlrd:rvb i="4116"/>
        </ext>
      </extLst>
    </bk>
    <bk>
      <extLst>
        <ext uri="{3e2802c4-a4d2-4d8b-9148-e3be6c30e623}">
          <xlrd:rvb i="4117"/>
        </ext>
      </extLst>
    </bk>
    <bk>
      <extLst>
        <ext uri="{3e2802c4-a4d2-4d8b-9148-e3be6c30e623}">
          <xlrd:rvb i="4118"/>
        </ext>
      </extLst>
    </bk>
    <bk>
      <extLst>
        <ext uri="{3e2802c4-a4d2-4d8b-9148-e3be6c30e623}">
          <xlrd:rvb i="4119"/>
        </ext>
      </extLst>
    </bk>
    <bk>
      <extLst>
        <ext uri="{3e2802c4-a4d2-4d8b-9148-e3be6c30e623}">
          <xlrd:rvb i="4120"/>
        </ext>
      </extLst>
    </bk>
    <bk>
      <extLst>
        <ext uri="{3e2802c4-a4d2-4d8b-9148-e3be6c30e623}">
          <xlrd:rvb i="4121"/>
        </ext>
      </extLst>
    </bk>
    <bk>
      <extLst>
        <ext uri="{3e2802c4-a4d2-4d8b-9148-e3be6c30e623}">
          <xlrd:rvb i="4122"/>
        </ext>
      </extLst>
    </bk>
    <bk>
      <extLst>
        <ext uri="{3e2802c4-a4d2-4d8b-9148-e3be6c30e623}">
          <xlrd:rvb i="4123"/>
        </ext>
      </extLst>
    </bk>
    <bk>
      <extLst>
        <ext uri="{3e2802c4-a4d2-4d8b-9148-e3be6c30e623}">
          <xlrd:rvb i="4124"/>
        </ext>
      </extLst>
    </bk>
    <bk>
      <extLst>
        <ext uri="{3e2802c4-a4d2-4d8b-9148-e3be6c30e623}">
          <xlrd:rvb i="4125"/>
        </ext>
      </extLst>
    </bk>
    <bk>
      <extLst>
        <ext uri="{3e2802c4-a4d2-4d8b-9148-e3be6c30e623}">
          <xlrd:rvb i="4126"/>
        </ext>
      </extLst>
    </bk>
    <bk>
      <extLst>
        <ext uri="{3e2802c4-a4d2-4d8b-9148-e3be6c30e623}">
          <xlrd:rvb i="4127"/>
        </ext>
      </extLst>
    </bk>
    <bk>
      <extLst>
        <ext uri="{3e2802c4-a4d2-4d8b-9148-e3be6c30e623}">
          <xlrd:rvb i="4128"/>
        </ext>
      </extLst>
    </bk>
    <bk>
      <extLst>
        <ext uri="{3e2802c4-a4d2-4d8b-9148-e3be6c30e623}">
          <xlrd:rvb i="4129"/>
        </ext>
      </extLst>
    </bk>
    <bk>
      <extLst>
        <ext uri="{3e2802c4-a4d2-4d8b-9148-e3be6c30e623}">
          <xlrd:rvb i="4130"/>
        </ext>
      </extLst>
    </bk>
    <bk>
      <extLst>
        <ext uri="{3e2802c4-a4d2-4d8b-9148-e3be6c30e623}">
          <xlrd:rvb i="4131"/>
        </ext>
      </extLst>
    </bk>
    <bk>
      <extLst>
        <ext uri="{3e2802c4-a4d2-4d8b-9148-e3be6c30e623}">
          <xlrd:rvb i="4132"/>
        </ext>
      </extLst>
    </bk>
    <bk>
      <extLst>
        <ext uri="{3e2802c4-a4d2-4d8b-9148-e3be6c30e623}">
          <xlrd:rvb i="4133"/>
        </ext>
      </extLst>
    </bk>
    <bk>
      <extLst>
        <ext uri="{3e2802c4-a4d2-4d8b-9148-e3be6c30e623}">
          <xlrd:rvb i="4134"/>
        </ext>
      </extLst>
    </bk>
    <bk>
      <extLst>
        <ext uri="{3e2802c4-a4d2-4d8b-9148-e3be6c30e623}">
          <xlrd:rvb i="4135"/>
        </ext>
      </extLst>
    </bk>
    <bk>
      <extLst>
        <ext uri="{3e2802c4-a4d2-4d8b-9148-e3be6c30e623}">
          <xlrd:rvb i="4136"/>
        </ext>
      </extLst>
    </bk>
    <bk>
      <extLst>
        <ext uri="{3e2802c4-a4d2-4d8b-9148-e3be6c30e623}">
          <xlrd:rvb i="4137"/>
        </ext>
      </extLst>
    </bk>
    <bk>
      <extLst>
        <ext uri="{3e2802c4-a4d2-4d8b-9148-e3be6c30e623}">
          <xlrd:rvb i="4138"/>
        </ext>
      </extLst>
    </bk>
    <bk>
      <extLst>
        <ext uri="{3e2802c4-a4d2-4d8b-9148-e3be6c30e623}">
          <xlrd:rvb i="4139"/>
        </ext>
      </extLst>
    </bk>
    <bk>
      <extLst>
        <ext uri="{3e2802c4-a4d2-4d8b-9148-e3be6c30e623}">
          <xlrd:rvb i="4140"/>
        </ext>
      </extLst>
    </bk>
    <bk>
      <extLst>
        <ext uri="{3e2802c4-a4d2-4d8b-9148-e3be6c30e623}">
          <xlrd:rvb i="4141"/>
        </ext>
      </extLst>
    </bk>
    <bk>
      <extLst>
        <ext uri="{3e2802c4-a4d2-4d8b-9148-e3be6c30e623}">
          <xlrd:rvb i="4142"/>
        </ext>
      </extLst>
    </bk>
    <bk>
      <extLst>
        <ext uri="{3e2802c4-a4d2-4d8b-9148-e3be6c30e623}">
          <xlrd:rvb i="4143"/>
        </ext>
      </extLst>
    </bk>
    <bk>
      <extLst>
        <ext uri="{3e2802c4-a4d2-4d8b-9148-e3be6c30e623}">
          <xlrd:rvb i="4144"/>
        </ext>
      </extLst>
    </bk>
    <bk>
      <extLst>
        <ext uri="{3e2802c4-a4d2-4d8b-9148-e3be6c30e623}">
          <xlrd:rvb i="4145"/>
        </ext>
      </extLst>
    </bk>
    <bk>
      <extLst>
        <ext uri="{3e2802c4-a4d2-4d8b-9148-e3be6c30e623}">
          <xlrd:rvb i="4146"/>
        </ext>
      </extLst>
    </bk>
    <bk>
      <extLst>
        <ext uri="{3e2802c4-a4d2-4d8b-9148-e3be6c30e623}">
          <xlrd:rvb i="4147"/>
        </ext>
      </extLst>
    </bk>
    <bk>
      <extLst>
        <ext uri="{3e2802c4-a4d2-4d8b-9148-e3be6c30e623}">
          <xlrd:rvb i="4148"/>
        </ext>
      </extLst>
    </bk>
    <bk>
      <extLst>
        <ext uri="{3e2802c4-a4d2-4d8b-9148-e3be6c30e623}">
          <xlrd:rvb i="4149"/>
        </ext>
      </extLst>
    </bk>
    <bk>
      <extLst>
        <ext uri="{3e2802c4-a4d2-4d8b-9148-e3be6c30e623}">
          <xlrd:rvb i="4150"/>
        </ext>
      </extLst>
    </bk>
    <bk>
      <extLst>
        <ext uri="{3e2802c4-a4d2-4d8b-9148-e3be6c30e623}">
          <xlrd:rvb i="4151"/>
        </ext>
      </extLst>
    </bk>
    <bk>
      <extLst>
        <ext uri="{3e2802c4-a4d2-4d8b-9148-e3be6c30e623}">
          <xlrd:rvb i="4152"/>
        </ext>
      </extLst>
    </bk>
    <bk>
      <extLst>
        <ext uri="{3e2802c4-a4d2-4d8b-9148-e3be6c30e623}">
          <xlrd:rvb i="4153"/>
        </ext>
      </extLst>
    </bk>
    <bk>
      <extLst>
        <ext uri="{3e2802c4-a4d2-4d8b-9148-e3be6c30e623}">
          <xlrd:rvb i="4154"/>
        </ext>
      </extLst>
    </bk>
    <bk>
      <extLst>
        <ext uri="{3e2802c4-a4d2-4d8b-9148-e3be6c30e623}">
          <xlrd:rvb i="4155"/>
        </ext>
      </extLst>
    </bk>
    <bk>
      <extLst>
        <ext uri="{3e2802c4-a4d2-4d8b-9148-e3be6c30e623}">
          <xlrd:rvb i="4156"/>
        </ext>
      </extLst>
    </bk>
    <bk>
      <extLst>
        <ext uri="{3e2802c4-a4d2-4d8b-9148-e3be6c30e623}">
          <xlrd:rvb i="4157"/>
        </ext>
      </extLst>
    </bk>
    <bk>
      <extLst>
        <ext uri="{3e2802c4-a4d2-4d8b-9148-e3be6c30e623}">
          <xlrd:rvb i="4158"/>
        </ext>
      </extLst>
    </bk>
    <bk>
      <extLst>
        <ext uri="{3e2802c4-a4d2-4d8b-9148-e3be6c30e623}">
          <xlrd:rvb i="4159"/>
        </ext>
      </extLst>
    </bk>
    <bk>
      <extLst>
        <ext uri="{3e2802c4-a4d2-4d8b-9148-e3be6c30e623}">
          <xlrd:rvb i="4160"/>
        </ext>
      </extLst>
    </bk>
    <bk>
      <extLst>
        <ext uri="{3e2802c4-a4d2-4d8b-9148-e3be6c30e623}">
          <xlrd:rvb i="4161"/>
        </ext>
      </extLst>
    </bk>
    <bk>
      <extLst>
        <ext uri="{3e2802c4-a4d2-4d8b-9148-e3be6c30e623}">
          <xlrd:rvb i="4162"/>
        </ext>
      </extLst>
    </bk>
    <bk>
      <extLst>
        <ext uri="{3e2802c4-a4d2-4d8b-9148-e3be6c30e623}">
          <xlrd:rvb i="4163"/>
        </ext>
      </extLst>
    </bk>
    <bk>
      <extLst>
        <ext uri="{3e2802c4-a4d2-4d8b-9148-e3be6c30e623}">
          <xlrd:rvb i="4164"/>
        </ext>
      </extLst>
    </bk>
    <bk>
      <extLst>
        <ext uri="{3e2802c4-a4d2-4d8b-9148-e3be6c30e623}">
          <xlrd:rvb i="4165"/>
        </ext>
      </extLst>
    </bk>
    <bk>
      <extLst>
        <ext uri="{3e2802c4-a4d2-4d8b-9148-e3be6c30e623}">
          <xlrd:rvb i="4166"/>
        </ext>
      </extLst>
    </bk>
    <bk>
      <extLst>
        <ext uri="{3e2802c4-a4d2-4d8b-9148-e3be6c30e623}">
          <xlrd:rvb i="4167"/>
        </ext>
      </extLst>
    </bk>
    <bk>
      <extLst>
        <ext uri="{3e2802c4-a4d2-4d8b-9148-e3be6c30e623}">
          <xlrd:rvb i="4168"/>
        </ext>
      </extLst>
    </bk>
    <bk>
      <extLst>
        <ext uri="{3e2802c4-a4d2-4d8b-9148-e3be6c30e623}">
          <xlrd:rvb i="4169"/>
        </ext>
      </extLst>
    </bk>
    <bk>
      <extLst>
        <ext uri="{3e2802c4-a4d2-4d8b-9148-e3be6c30e623}">
          <xlrd:rvb i="4170"/>
        </ext>
      </extLst>
    </bk>
    <bk>
      <extLst>
        <ext uri="{3e2802c4-a4d2-4d8b-9148-e3be6c30e623}">
          <xlrd:rvb i="4171"/>
        </ext>
      </extLst>
    </bk>
    <bk>
      <extLst>
        <ext uri="{3e2802c4-a4d2-4d8b-9148-e3be6c30e623}">
          <xlrd:rvb i="4172"/>
        </ext>
      </extLst>
    </bk>
    <bk>
      <extLst>
        <ext uri="{3e2802c4-a4d2-4d8b-9148-e3be6c30e623}">
          <xlrd:rvb i="4173"/>
        </ext>
      </extLst>
    </bk>
    <bk>
      <extLst>
        <ext uri="{3e2802c4-a4d2-4d8b-9148-e3be6c30e623}">
          <xlrd:rvb i="4174"/>
        </ext>
      </extLst>
    </bk>
    <bk>
      <extLst>
        <ext uri="{3e2802c4-a4d2-4d8b-9148-e3be6c30e623}">
          <xlrd:rvb i="4175"/>
        </ext>
      </extLst>
    </bk>
    <bk>
      <extLst>
        <ext uri="{3e2802c4-a4d2-4d8b-9148-e3be6c30e623}">
          <xlrd:rvb i="4176"/>
        </ext>
      </extLst>
    </bk>
    <bk>
      <extLst>
        <ext uri="{3e2802c4-a4d2-4d8b-9148-e3be6c30e623}">
          <xlrd:rvb i="4177"/>
        </ext>
      </extLst>
    </bk>
    <bk>
      <extLst>
        <ext uri="{3e2802c4-a4d2-4d8b-9148-e3be6c30e623}">
          <xlrd:rvb i="4178"/>
        </ext>
      </extLst>
    </bk>
    <bk>
      <extLst>
        <ext uri="{3e2802c4-a4d2-4d8b-9148-e3be6c30e623}">
          <xlrd:rvb i="4179"/>
        </ext>
      </extLst>
    </bk>
    <bk>
      <extLst>
        <ext uri="{3e2802c4-a4d2-4d8b-9148-e3be6c30e623}">
          <xlrd:rvb i="4180"/>
        </ext>
      </extLst>
    </bk>
    <bk>
      <extLst>
        <ext uri="{3e2802c4-a4d2-4d8b-9148-e3be6c30e623}">
          <xlrd:rvb i="4181"/>
        </ext>
      </extLst>
    </bk>
    <bk>
      <extLst>
        <ext uri="{3e2802c4-a4d2-4d8b-9148-e3be6c30e623}">
          <xlrd:rvb i="4182"/>
        </ext>
      </extLst>
    </bk>
    <bk>
      <extLst>
        <ext uri="{3e2802c4-a4d2-4d8b-9148-e3be6c30e623}">
          <xlrd:rvb i="4183"/>
        </ext>
      </extLst>
    </bk>
    <bk>
      <extLst>
        <ext uri="{3e2802c4-a4d2-4d8b-9148-e3be6c30e623}">
          <xlrd:rvb i="4184"/>
        </ext>
      </extLst>
    </bk>
    <bk>
      <extLst>
        <ext uri="{3e2802c4-a4d2-4d8b-9148-e3be6c30e623}">
          <xlrd:rvb i="4185"/>
        </ext>
      </extLst>
    </bk>
    <bk>
      <extLst>
        <ext uri="{3e2802c4-a4d2-4d8b-9148-e3be6c30e623}">
          <xlrd:rvb i="4186"/>
        </ext>
      </extLst>
    </bk>
    <bk>
      <extLst>
        <ext uri="{3e2802c4-a4d2-4d8b-9148-e3be6c30e623}">
          <xlrd:rvb i="4187"/>
        </ext>
      </extLst>
    </bk>
    <bk>
      <extLst>
        <ext uri="{3e2802c4-a4d2-4d8b-9148-e3be6c30e623}">
          <xlrd:rvb i="4188"/>
        </ext>
      </extLst>
    </bk>
    <bk>
      <extLst>
        <ext uri="{3e2802c4-a4d2-4d8b-9148-e3be6c30e623}">
          <xlrd:rvb i="4189"/>
        </ext>
      </extLst>
    </bk>
    <bk>
      <extLst>
        <ext uri="{3e2802c4-a4d2-4d8b-9148-e3be6c30e623}">
          <xlrd:rvb i="4190"/>
        </ext>
      </extLst>
    </bk>
    <bk>
      <extLst>
        <ext uri="{3e2802c4-a4d2-4d8b-9148-e3be6c30e623}">
          <xlrd:rvb i="4191"/>
        </ext>
      </extLst>
    </bk>
    <bk>
      <extLst>
        <ext uri="{3e2802c4-a4d2-4d8b-9148-e3be6c30e623}">
          <xlrd:rvb i="4192"/>
        </ext>
      </extLst>
    </bk>
    <bk>
      <extLst>
        <ext uri="{3e2802c4-a4d2-4d8b-9148-e3be6c30e623}">
          <xlrd:rvb i="4193"/>
        </ext>
      </extLst>
    </bk>
    <bk>
      <extLst>
        <ext uri="{3e2802c4-a4d2-4d8b-9148-e3be6c30e623}">
          <xlrd:rvb i="4194"/>
        </ext>
      </extLst>
    </bk>
    <bk>
      <extLst>
        <ext uri="{3e2802c4-a4d2-4d8b-9148-e3be6c30e623}">
          <xlrd:rvb i="4195"/>
        </ext>
      </extLst>
    </bk>
    <bk>
      <extLst>
        <ext uri="{3e2802c4-a4d2-4d8b-9148-e3be6c30e623}">
          <xlrd:rvb i="4196"/>
        </ext>
      </extLst>
    </bk>
    <bk>
      <extLst>
        <ext uri="{3e2802c4-a4d2-4d8b-9148-e3be6c30e623}">
          <xlrd:rvb i="4197"/>
        </ext>
      </extLst>
    </bk>
    <bk>
      <extLst>
        <ext uri="{3e2802c4-a4d2-4d8b-9148-e3be6c30e623}">
          <xlrd:rvb i="4198"/>
        </ext>
      </extLst>
    </bk>
    <bk>
      <extLst>
        <ext uri="{3e2802c4-a4d2-4d8b-9148-e3be6c30e623}">
          <xlrd:rvb i="4199"/>
        </ext>
      </extLst>
    </bk>
    <bk>
      <extLst>
        <ext uri="{3e2802c4-a4d2-4d8b-9148-e3be6c30e623}">
          <xlrd:rvb i="4200"/>
        </ext>
      </extLst>
    </bk>
    <bk>
      <extLst>
        <ext uri="{3e2802c4-a4d2-4d8b-9148-e3be6c30e623}">
          <xlrd:rvb i="4201"/>
        </ext>
      </extLst>
    </bk>
    <bk>
      <extLst>
        <ext uri="{3e2802c4-a4d2-4d8b-9148-e3be6c30e623}">
          <xlrd:rvb i="4202"/>
        </ext>
      </extLst>
    </bk>
    <bk>
      <extLst>
        <ext uri="{3e2802c4-a4d2-4d8b-9148-e3be6c30e623}">
          <xlrd:rvb i="4203"/>
        </ext>
      </extLst>
    </bk>
    <bk>
      <extLst>
        <ext uri="{3e2802c4-a4d2-4d8b-9148-e3be6c30e623}">
          <xlrd:rvb i="4204"/>
        </ext>
      </extLst>
    </bk>
    <bk>
      <extLst>
        <ext uri="{3e2802c4-a4d2-4d8b-9148-e3be6c30e623}">
          <xlrd:rvb i="4205"/>
        </ext>
      </extLst>
    </bk>
    <bk>
      <extLst>
        <ext uri="{3e2802c4-a4d2-4d8b-9148-e3be6c30e623}">
          <xlrd:rvb i="4206"/>
        </ext>
      </extLst>
    </bk>
    <bk>
      <extLst>
        <ext uri="{3e2802c4-a4d2-4d8b-9148-e3be6c30e623}">
          <xlrd:rvb i="4207"/>
        </ext>
      </extLst>
    </bk>
    <bk>
      <extLst>
        <ext uri="{3e2802c4-a4d2-4d8b-9148-e3be6c30e623}">
          <xlrd:rvb i="4208"/>
        </ext>
      </extLst>
    </bk>
    <bk>
      <extLst>
        <ext uri="{3e2802c4-a4d2-4d8b-9148-e3be6c30e623}">
          <xlrd:rvb i="4209"/>
        </ext>
      </extLst>
    </bk>
    <bk>
      <extLst>
        <ext uri="{3e2802c4-a4d2-4d8b-9148-e3be6c30e623}">
          <xlrd:rvb i="4210"/>
        </ext>
      </extLst>
    </bk>
    <bk>
      <extLst>
        <ext uri="{3e2802c4-a4d2-4d8b-9148-e3be6c30e623}">
          <xlrd:rvb i="4211"/>
        </ext>
      </extLst>
    </bk>
    <bk>
      <extLst>
        <ext uri="{3e2802c4-a4d2-4d8b-9148-e3be6c30e623}">
          <xlrd:rvb i="4212"/>
        </ext>
      </extLst>
    </bk>
    <bk>
      <extLst>
        <ext uri="{3e2802c4-a4d2-4d8b-9148-e3be6c30e623}">
          <xlrd:rvb i="4213"/>
        </ext>
      </extLst>
    </bk>
    <bk>
      <extLst>
        <ext uri="{3e2802c4-a4d2-4d8b-9148-e3be6c30e623}">
          <xlrd:rvb i="4214"/>
        </ext>
      </extLst>
    </bk>
    <bk>
      <extLst>
        <ext uri="{3e2802c4-a4d2-4d8b-9148-e3be6c30e623}">
          <xlrd:rvb i="4215"/>
        </ext>
      </extLst>
    </bk>
    <bk>
      <extLst>
        <ext uri="{3e2802c4-a4d2-4d8b-9148-e3be6c30e623}">
          <xlrd:rvb i="4216"/>
        </ext>
      </extLst>
    </bk>
    <bk>
      <extLst>
        <ext uri="{3e2802c4-a4d2-4d8b-9148-e3be6c30e623}">
          <xlrd:rvb i="4217"/>
        </ext>
      </extLst>
    </bk>
    <bk>
      <extLst>
        <ext uri="{3e2802c4-a4d2-4d8b-9148-e3be6c30e623}">
          <xlrd:rvb i="4218"/>
        </ext>
      </extLst>
    </bk>
    <bk>
      <extLst>
        <ext uri="{3e2802c4-a4d2-4d8b-9148-e3be6c30e623}">
          <xlrd:rvb i="4219"/>
        </ext>
      </extLst>
    </bk>
    <bk>
      <extLst>
        <ext uri="{3e2802c4-a4d2-4d8b-9148-e3be6c30e623}">
          <xlrd:rvb i="4220"/>
        </ext>
      </extLst>
    </bk>
    <bk>
      <extLst>
        <ext uri="{3e2802c4-a4d2-4d8b-9148-e3be6c30e623}">
          <xlrd:rvb i="4221"/>
        </ext>
      </extLst>
    </bk>
    <bk>
      <extLst>
        <ext uri="{3e2802c4-a4d2-4d8b-9148-e3be6c30e623}">
          <xlrd:rvb i="4222"/>
        </ext>
      </extLst>
    </bk>
    <bk>
      <extLst>
        <ext uri="{3e2802c4-a4d2-4d8b-9148-e3be6c30e623}">
          <xlrd:rvb i="4223"/>
        </ext>
      </extLst>
    </bk>
    <bk>
      <extLst>
        <ext uri="{3e2802c4-a4d2-4d8b-9148-e3be6c30e623}">
          <xlrd:rvb i="4224"/>
        </ext>
      </extLst>
    </bk>
    <bk>
      <extLst>
        <ext uri="{3e2802c4-a4d2-4d8b-9148-e3be6c30e623}">
          <xlrd:rvb i="4225"/>
        </ext>
      </extLst>
    </bk>
    <bk>
      <extLst>
        <ext uri="{3e2802c4-a4d2-4d8b-9148-e3be6c30e623}">
          <xlrd:rvb i="4226"/>
        </ext>
      </extLst>
    </bk>
    <bk>
      <extLst>
        <ext uri="{3e2802c4-a4d2-4d8b-9148-e3be6c30e623}">
          <xlrd:rvb i="4227"/>
        </ext>
      </extLst>
    </bk>
    <bk>
      <extLst>
        <ext uri="{3e2802c4-a4d2-4d8b-9148-e3be6c30e623}">
          <xlrd:rvb i="4228"/>
        </ext>
      </extLst>
    </bk>
    <bk>
      <extLst>
        <ext uri="{3e2802c4-a4d2-4d8b-9148-e3be6c30e623}">
          <xlrd:rvb i="4229"/>
        </ext>
      </extLst>
    </bk>
    <bk>
      <extLst>
        <ext uri="{3e2802c4-a4d2-4d8b-9148-e3be6c30e623}">
          <xlrd:rvb i="4230"/>
        </ext>
      </extLst>
    </bk>
    <bk>
      <extLst>
        <ext uri="{3e2802c4-a4d2-4d8b-9148-e3be6c30e623}">
          <xlrd:rvb i="4231"/>
        </ext>
      </extLst>
    </bk>
    <bk>
      <extLst>
        <ext uri="{3e2802c4-a4d2-4d8b-9148-e3be6c30e623}">
          <xlrd:rvb i="4232"/>
        </ext>
      </extLst>
    </bk>
    <bk>
      <extLst>
        <ext uri="{3e2802c4-a4d2-4d8b-9148-e3be6c30e623}">
          <xlrd:rvb i="4233"/>
        </ext>
      </extLst>
    </bk>
    <bk>
      <extLst>
        <ext uri="{3e2802c4-a4d2-4d8b-9148-e3be6c30e623}">
          <xlrd:rvb i="4234"/>
        </ext>
      </extLst>
    </bk>
    <bk>
      <extLst>
        <ext uri="{3e2802c4-a4d2-4d8b-9148-e3be6c30e623}">
          <xlrd:rvb i="4235"/>
        </ext>
      </extLst>
    </bk>
    <bk>
      <extLst>
        <ext uri="{3e2802c4-a4d2-4d8b-9148-e3be6c30e623}">
          <xlrd:rvb i="4236"/>
        </ext>
      </extLst>
    </bk>
    <bk>
      <extLst>
        <ext uri="{3e2802c4-a4d2-4d8b-9148-e3be6c30e623}">
          <xlrd:rvb i="4237"/>
        </ext>
      </extLst>
    </bk>
    <bk>
      <extLst>
        <ext uri="{3e2802c4-a4d2-4d8b-9148-e3be6c30e623}">
          <xlrd:rvb i="4238"/>
        </ext>
      </extLst>
    </bk>
    <bk>
      <extLst>
        <ext uri="{3e2802c4-a4d2-4d8b-9148-e3be6c30e623}">
          <xlrd:rvb i="4239"/>
        </ext>
      </extLst>
    </bk>
    <bk>
      <extLst>
        <ext uri="{3e2802c4-a4d2-4d8b-9148-e3be6c30e623}">
          <xlrd:rvb i="4240"/>
        </ext>
      </extLst>
    </bk>
    <bk>
      <extLst>
        <ext uri="{3e2802c4-a4d2-4d8b-9148-e3be6c30e623}">
          <xlrd:rvb i="4241"/>
        </ext>
      </extLst>
    </bk>
    <bk>
      <extLst>
        <ext uri="{3e2802c4-a4d2-4d8b-9148-e3be6c30e623}">
          <xlrd:rvb i="4242"/>
        </ext>
      </extLst>
    </bk>
    <bk>
      <extLst>
        <ext uri="{3e2802c4-a4d2-4d8b-9148-e3be6c30e623}">
          <xlrd:rvb i="4243"/>
        </ext>
      </extLst>
    </bk>
    <bk>
      <extLst>
        <ext uri="{3e2802c4-a4d2-4d8b-9148-e3be6c30e623}">
          <xlrd:rvb i="4244"/>
        </ext>
      </extLst>
    </bk>
    <bk>
      <extLst>
        <ext uri="{3e2802c4-a4d2-4d8b-9148-e3be6c30e623}">
          <xlrd:rvb i="4245"/>
        </ext>
      </extLst>
    </bk>
    <bk>
      <extLst>
        <ext uri="{3e2802c4-a4d2-4d8b-9148-e3be6c30e623}">
          <xlrd:rvb i="4246"/>
        </ext>
      </extLst>
    </bk>
    <bk>
      <extLst>
        <ext uri="{3e2802c4-a4d2-4d8b-9148-e3be6c30e623}">
          <xlrd:rvb i="4247"/>
        </ext>
      </extLst>
    </bk>
    <bk>
      <extLst>
        <ext uri="{3e2802c4-a4d2-4d8b-9148-e3be6c30e623}">
          <xlrd:rvb i="4248"/>
        </ext>
      </extLst>
    </bk>
    <bk>
      <extLst>
        <ext uri="{3e2802c4-a4d2-4d8b-9148-e3be6c30e623}">
          <xlrd:rvb i="4249"/>
        </ext>
      </extLst>
    </bk>
    <bk>
      <extLst>
        <ext uri="{3e2802c4-a4d2-4d8b-9148-e3be6c30e623}">
          <xlrd:rvb i="4250"/>
        </ext>
      </extLst>
    </bk>
    <bk>
      <extLst>
        <ext uri="{3e2802c4-a4d2-4d8b-9148-e3be6c30e623}">
          <xlrd:rvb i="4251"/>
        </ext>
      </extLst>
    </bk>
    <bk>
      <extLst>
        <ext uri="{3e2802c4-a4d2-4d8b-9148-e3be6c30e623}">
          <xlrd:rvb i="4252"/>
        </ext>
      </extLst>
    </bk>
    <bk>
      <extLst>
        <ext uri="{3e2802c4-a4d2-4d8b-9148-e3be6c30e623}">
          <xlrd:rvb i="4253"/>
        </ext>
      </extLst>
    </bk>
    <bk>
      <extLst>
        <ext uri="{3e2802c4-a4d2-4d8b-9148-e3be6c30e623}">
          <xlrd:rvb i="4254"/>
        </ext>
      </extLst>
    </bk>
    <bk>
      <extLst>
        <ext uri="{3e2802c4-a4d2-4d8b-9148-e3be6c30e623}">
          <xlrd:rvb i="4255"/>
        </ext>
      </extLst>
    </bk>
    <bk>
      <extLst>
        <ext uri="{3e2802c4-a4d2-4d8b-9148-e3be6c30e623}">
          <xlrd:rvb i="4256"/>
        </ext>
      </extLst>
    </bk>
    <bk>
      <extLst>
        <ext uri="{3e2802c4-a4d2-4d8b-9148-e3be6c30e623}">
          <xlrd:rvb i="4257"/>
        </ext>
      </extLst>
    </bk>
    <bk>
      <extLst>
        <ext uri="{3e2802c4-a4d2-4d8b-9148-e3be6c30e623}">
          <xlrd:rvb i="4258"/>
        </ext>
      </extLst>
    </bk>
    <bk>
      <extLst>
        <ext uri="{3e2802c4-a4d2-4d8b-9148-e3be6c30e623}">
          <xlrd:rvb i="4259"/>
        </ext>
      </extLst>
    </bk>
    <bk>
      <extLst>
        <ext uri="{3e2802c4-a4d2-4d8b-9148-e3be6c30e623}">
          <xlrd:rvb i="4260"/>
        </ext>
      </extLst>
    </bk>
    <bk>
      <extLst>
        <ext uri="{3e2802c4-a4d2-4d8b-9148-e3be6c30e623}">
          <xlrd:rvb i="4261"/>
        </ext>
      </extLst>
    </bk>
    <bk>
      <extLst>
        <ext uri="{3e2802c4-a4d2-4d8b-9148-e3be6c30e623}">
          <xlrd:rvb i="4262"/>
        </ext>
      </extLst>
    </bk>
    <bk>
      <extLst>
        <ext uri="{3e2802c4-a4d2-4d8b-9148-e3be6c30e623}">
          <xlrd:rvb i="4263"/>
        </ext>
      </extLst>
    </bk>
    <bk>
      <extLst>
        <ext uri="{3e2802c4-a4d2-4d8b-9148-e3be6c30e623}">
          <xlrd:rvb i="4264"/>
        </ext>
      </extLst>
    </bk>
    <bk>
      <extLst>
        <ext uri="{3e2802c4-a4d2-4d8b-9148-e3be6c30e623}">
          <xlrd:rvb i="4265"/>
        </ext>
      </extLst>
    </bk>
    <bk>
      <extLst>
        <ext uri="{3e2802c4-a4d2-4d8b-9148-e3be6c30e623}">
          <xlrd:rvb i="4266"/>
        </ext>
      </extLst>
    </bk>
    <bk>
      <extLst>
        <ext uri="{3e2802c4-a4d2-4d8b-9148-e3be6c30e623}">
          <xlrd:rvb i="4267"/>
        </ext>
      </extLst>
    </bk>
    <bk>
      <extLst>
        <ext uri="{3e2802c4-a4d2-4d8b-9148-e3be6c30e623}">
          <xlrd:rvb i="4268"/>
        </ext>
      </extLst>
    </bk>
    <bk>
      <extLst>
        <ext uri="{3e2802c4-a4d2-4d8b-9148-e3be6c30e623}">
          <xlrd:rvb i="4269"/>
        </ext>
      </extLst>
    </bk>
    <bk>
      <extLst>
        <ext uri="{3e2802c4-a4d2-4d8b-9148-e3be6c30e623}">
          <xlrd:rvb i="4270"/>
        </ext>
      </extLst>
    </bk>
    <bk>
      <extLst>
        <ext uri="{3e2802c4-a4d2-4d8b-9148-e3be6c30e623}">
          <xlrd:rvb i="4271"/>
        </ext>
      </extLst>
    </bk>
    <bk>
      <extLst>
        <ext uri="{3e2802c4-a4d2-4d8b-9148-e3be6c30e623}">
          <xlrd:rvb i="4272"/>
        </ext>
      </extLst>
    </bk>
    <bk>
      <extLst>
        <ext uri="{3e2802c4-a4d2-4d8b-9148-e3be6c30e623}">
          <xlrd:rvb i="4273"/>
        </ext>
      </extLst>
    </bk>
    <bk>
      <extLst>
        <ext uri="{3e2802c4-a4d2-4d8b-9148-e3be6c30e623}">
          <xlrd:rvb i="4274"/>
        </ext>
      </extLst>
    </bk>
    <bk>
      <extLst>
        <ext uri="{3e2802c4-a4d2-4d8b-9148-e3be6c30e623}">
          <xlrd:rvb i="4275"/>
        </ext>
      </extLst>
    </bk>
    <bk>
      <extLst>
        <ext uri="{3e2802c4-a4d2-4d8b-9148-e3be6c30e623}">
          <xlrd:rvb i="4276"/>
        </ext>
      </extLst>
    </bk>
    <bk>
      <extLst>
        <ext uri="{3e2802c4-a4d2-4d8b-9148-e3be6c30e623}">
          <xlrd:rvb i="4277"/>
        </ext>
      </extLst>
    </bk>
    <bk>
      <extLst>
        <ext uri="{3e2802c4-a4d2-4d8b-9148-e3be6c30e623}">
          <xlrd:rvb i="4278"/>
        </ext>
      </extLst>
    </bk>
    <bk>
      <extLst>
        <ext uri="{3e2802c4-a4d2-4d8b-9148-e3be6c30e623}">
          <xlrd:rvb i="4279"/>
        </ext>
      </extLst>
    </bk>
    <bk>
      <extLst>
        <ext uri="{3e2802c4-a4d2-4d8b-9148-e3be6c30e623}">
          <xlrd:rvb i="4280"/>
        </ext>
      </extLst>
    </bk>
    <bk>
      <extLst>
        <ext uri="{3e2802c4-a4d2-4d8b-9148-e3be6c30e623}">
          <xlrd:rvb i="4281"/>
        </ext>
      </extLst>
    </bk>
    <bk>
      <extLst>
        <ext uri="{3e2802c4-a4d2-4d8b-9148-e3be6c30e623}">
          <xlrd:rvb i="4282"/>
        </ext>
      </extLst>
    </bk>
    <bk>
      <extLst>
        <ext uri="{3e2802c4-a4d2-4d8b-9148-e3be6c30e623}">
          <xlrd:rvb i="4283"/>
        </ext>
      </extLst>
    </bk>
    <bk>
      <extLst>
        <ext uri="{3e2802c4-a4d2-4d8b-9148-e3be6c30e623}">
          <xlrd:rvb i="4284"/>
        </ext>
      </extLst>
    </bk>
    <bk>
      <extLst>
        <ext uri="{3e2802c4-a4d2-4d8b-9148-e3be6c30e623}">
          <xlrd:rvb i="4285"/>
        </ext>
      </extLst>
    </bk>
    <bk>
      <extLst>
        <ext uri="{3e2802c4-a4d2-4d8b-9148-e3be6c30e623}">
          <xlrd:rvb i="4286"/>
        </ext>
      </extLst>
    </bk>
    <bk>
      <extLst>
        <ext uri="{3e2802c4-a4d2-4d8b-9148-e3be6c30e623}">
          <xlrd:rvb i="4287"/>
        </ext>
      </extLst>
    </bk>
    <bk>
      <extLst>
        <ext uri="{3e2802c4-a4d2-4d8b-9148-e3be6c30e623}">
          <xlrd:rvb i="4288"/>
        </ext>
      </extLst>
    </bk>
    <bk>
      <extLst>
        <ext uri="{3e2802c4-a4d2-4d8b-9148-e3be6c30e623}">
          <xlrd:rvb i="4289"/>
        </ext>
      </extLst>
    </bk>
    <bk>
      <extLst>
        <ext uri="{3e2802c4-a4d2-4d8b-9148-e3be6c30e623}">
          <xlrd:rvb i="4290"/>
        </ext>
      </extLst>
    </bk>
    <bk>
      <extLst>
        <ext uri="{3e2802c4-a4d2-4d8b-9148-e3be6c30e623}">
          <xlrd:rvb i="4291"/>
        </ext>
      </extLst>
    </bk>
    <bk>
      <extLst>
        <ext uri="{3e2802c4-a4d2-4d8b-9148-e3be6c30e623}">
          <xlrd:rvb i="4292"/>
        </ext>
      </extLst>
    </bk>
    <bk>
      <extLst>
        <ext uri="{3e2802c4-a4d2-4d8b-9148-e3be6c30e623}">
          <xlrd:rvb i="4293"/>
        </ext>
      </extLst>
    </bk>
    <bk>
      <extLst>
        <ext uri="{3e2802c4-a4d2-4d8b-9148-e3be6c30e623}">
          <xlrd:rvb i="4294"/>
        </ext>
      </extLst>
    </bk>
    <bk>
      <extLst>
        <ext uri="{3e2802c4-a4d2-4d8b-9148-e3be6c30e623}">
          <xlrd:rvb i="4295"/>
        </ext>
      </extLst>
    </bk>
    <bk>
      <extLst>
        <ext uri="{3e2802c4-a4d2-4d8b-9148-e3be6c30e623}">
          <xlrd:rvb i="4296"/>
        </ext>
      </extLst>
    </bk>
    <bk>
      <extLst>
        <ext uri="{3e2802c4-a4d2-4d8b-9148-e3be6c30e623}">
          <xlrd:rvb i="4297"/>
        </ext>
      </extLst>
    </bk>
    <bk>
      <extLst>
        <ext uri="{3e2802c4-a4d2-4d8b-9148-e3be6c30e623}">
          <xlrd:rvb i="4298"/>
        </ext>
      </extLst>
    </bk>
    <bk>
      <extLst>
        <ext uri="{3e2802c4-a4d2-4d8b-9148-e3be6c30e623}">
          <xlrd:rvb i="4299"/>
        </ext>
      </extLst>
    </bk>
    <bk>
      <extLst>
        <ext uri="{3e2802c4-a4d2-4d8b-9148-e3be6c30e623}">
          <xlrd:rvb i="4300"/>
        </ext>
      </extLst>
    </bk>
    <bk>
      <extLst>
        <ext uri="{3e2802c4-a4d2-4d8b-9148-e3be6c30e623}">
          <xlrd:rvb i="4301"/>
        </ext>
      </extLst>
    </bk>
    <bk>
      <extLst>
        <ext uri="{3e2802c4-a4d2-4d8b-9148-e3be6c30e623}">
          <xlrd:rvb i="4302"/>
        </ext>
      </extLst>
    </bk>
    <bk>
      <extLst>
        <ext uri="{3e2802c4-a4d2-4d8b-9148-e3be6c30e623}">
          <xlrd:rvb i="4303"/>
        </ext>
      </extLst>
    </bk>
    <bk>
      <extLst>
        <ext uri="{3e2802c4-a4d2-4d8b-9148-e3be6c30e623}">
          <xlrd:rvb i="4304"/>
        </ext>
      </extLst>
    </bk>
    <bk>
      <extLst>
        <ext uri="{3e2802c4-a4d2-4d8b-9148-e3be6c30e623}">
          <xlrd:rvb i="4305"/>
        </ext>
      </extLst>
    </bk>
    <bk>
      <extLst>
        <ext uri="{3e2802c4-a4d2-4d8b-9148-e3be6c30e623}">
          <xlrd:rvb i="4306"/>
        </ext>
      </extLst>
    </bk>
    <bk>
      <extLst>
        <ext uri="{3e2802c4-a4d2-4d8b-9148-e3be6c30e623}">
          <xlrd:rvb i="4307"/>
        </ext>
      </extLst>
    </bk>
    <bk>
      <extLst>
        <ext uri="{3e2802c4-a4d2-4d8b-9148-e3be6c30e623}">
          <xlrd:rvb i="4308"/>
        </ext>
      </extLst>
    </bk>
    <bk>
      <extLst>
        <ext uri="{3e2802c4-a4d2-4d8b-9148-e3be6c30e623}">
          <xlrd:rvb i="4309"/>
        </ext>
      </extLst>
    </bk>
    <bk>
      <extLst>
        <ext uri="{3e2802c4-a4d2-4d8b-9148-e3be6c30e623}">
          <xlrd:rvb i="4310"/>
        </ext>
      </extLst>
    </bk>
    <bk>
      <extLst>
        <ext uri="{3e2802c4-a4d2-4d8b-9148-e3be6c30e623}">
          <xlrd:rvb i="4311"/>
        </ext>
      </extLst>
    </bk>
    <bk>
      <extLst>
        <ext uri="{3e2802c4-a4d2-4d8b-9148-e3be6c30e623}">
          <xlrd:rvb i="4312"/>
        </ext>
      </extLst>
    </bk>
    <bk>
      <extLst>
        <ext uri="{3e2802c4-a4d2-4d8b-9148-e3be6c30e623}">
          <xlrd:rvb i="4313"/>
        </ext>
      </extLst>
    </bk>
    <bk>
      <extLst>
        <ext uri="{3e2802c4-a4d2-4d8b-9148-e3be6c30e623}">
          <xlrd:rvb i="4314"/>
        </ext>
      </extLst>
    </bk>
    <bk>
      <extLst>
        <ext uri="{3e2802c4-a4d2-4d8b-9148-e3be6c30e623}">
          <xlrd:rvb i="4315"/>
        </ext>
      </extLst>
    </bk>
    <bk>
      <extLst>
        <ext uri="{3e2802c4-a4d2-4d8b-9148-e3be6c30e623}">
          <xlrd:rvb i="4316"/>
        </ext>
      </extLst>
    </bk>
    <bk>
      <extLst>
        <ext uri="{3e2802c4-a4d2-4d8b-9148-e3be6c30e623}">
          <xlrd:rvb i="4317"/>
        </ext>
      </extLst>
    </bk>
    <bk>
      <extLst>
        <ext uri="{3e2802c4-a4d2-4d8b-9148-e3be6c30e623}">
          <xlrd:rvb i="4318"/>
        </ext>
      </extLst>
    </bk>
    <bk>
      <extLst>
        <ext uri="{3e2802c4-a4d2-4d8b-9148-e3be6c30e623}">
          <xlrd:rvb i="4319"/>
        </ext>
      </extLst>
    </bk>
    <bk>
      <extLst>
        <ext uri="{3e2802c4-a4d2-4d8b-9148-e3be6c30e623}">
          <xlrd:rvb i="4320"/>
        </ext>
      </extLst>
    </bk>
    <bk>
      <extLst>
        <ext uri="{3e2802c4-a4d2-4d8b-9148-e3be6c30e623}">
          <xlrd:rvb i="4321"/>
        </ext>
      </extLst>
    </bk>
    <bk>
      <extLst>
        <ext uri="{3e2802c4-a4d2-4d8b-9148-e3be6c30e623}">
          <xlrd:rvb i="4322"/>
        </ext>
      </extLst>
    </bk>
    <bk>
      <extLst>
        <ext uri="{3e2802c4-a4d2-4d8b-9148-e3be6c30e623}">
          <xlrd:rvb i="4323"/>
        </ext>
      </extLst>
    </bk>
    <bk>
      <extLst>
        <ext uri="{3e2802c4-a4d2-4d8b-9148-e3be6c30e623}">
          <xlrd:rvb i="4324"/>
        </ext>
      </extLst>
    </bk>
    <bk>
      <extLst>
        <ext uri="{3e2802c4-a4d2-4d8b-9148-e3be6c30e623}">
          <xlrd:rvb i="4325"/>
        </ext>
      </extLst>
    </bk>
    <bk>
      <extLst>
        <ext uri="{3e2802c4-a4d2-4d8b-9148-e3be6c30e623}">
          <xlrd:rvb i="4326"/>
        </ext>
      </extLst>
    </bk>
    <bk>
      <extLst>
        <ext uri="{3e2802c4-a4d2-4d8b-9148-e3be6c30e623}">
          <xlrd:rvb i="4327"/>
        </ext>
      </extLst>
    </bk>
    <bk>
      <extLst>
        <ext uri="{3e2802c4-a4d2-4d8b-9148-e3be6c30e623}">
          <xlrd:rvb i="4328"/>
        </ext>
      </extLst>
    </bk>
    <bk>
      <extLst>
        <ext uri="{3e2802c4-a4d2-4d8b-9148-e3be6c30e623}">
          <xlrd:rvb i="4329"/>
        </ext>
      </extLst>
    </bk>
    <bk>
      <extLst>
        <ext uri="{3e2802c4-a4d2-4d8b-9148-e3be6c30e623}">
          <xlrd:rvb i="4330"/>
        </ext>
      </extLst>
    </bk>
    <bk>
      <extLst>
        <ext uri="{3e2802c4-a4d2-4d8b-9148-e3be6c30e623}">
          <xlrd:rvb i="4331"/>
        </ext>
      </extLst>
    </bk>
    <bk>
      <extLst>
        <ext uri="{3e2802c4-a4d2-4d8b-9148-e3be6c30e623}">
          <xlrd:rvb i="4332"/>
        </ext>
      </extLst>
    </bk>
    <bk>
      <extLst>
        <ext uri="{3e2802c4-a4d2-4d8b-9148-e3be6c30e623}">
          <xlrd:rvb i="4333"/>
        </ext>
      </extLst>
    </bk>
    <bk>
      <extLst>
        <ext uri="{3e2802c4-a4d2-4d8b-9148-e3be6c30e623}">
          <xlrd:rvb i="4334"/>
        </ext>
      </extLst>
    </bk>
    <bk>
      <extLst>
        <ext uri="{3e2802c4-a4d2-4d8b-9148-e3be6c30e623}">
          <xlrd:rvb i="4335"/>
        </ext>
      </extLst>
    </bk>
    <bk>
      <extLst>
        <ext uri="{3e2802c4-a4d2-4d8b-9148-e3be6c30e623}">
          <xlrd:rvb i="4336"/>
        </ext>
      </extLst>
    </bk>
    <bk>
      <extLst>
        <ext uri="{3e2802c4-a4d2-4d8b-9148-e3be6c30e623}">
          <xlrd:rvb i="4337"/>
        </ext>
      </extLst>
    </bk>
    <bk>
      <extLst>
        <ext uri="{3e2802c4-a4d2-4d8b-9148-e3be6c30e623}">
          <xlrd:rvb i="4338"/>
        </ext>
      </extLst>
    </bk>
    <bk>
      <extLst>
        <ext uri="{3e2802c4-a4d2-4d8b-9148-e3be6c30e623}">
          <xlrd:rvb i="4339"/>
        </ext>
      </extLst>
    </bk>
    <bk>
      <extLst>
        <ext uri="{3e2802c4-a4d2-4d8b-9148-e3be6c30e623}">
          <xlrd:rvb i="4340"/>
        </ext>
      </extLst>
    </bk>
    <bk>
      <extLst>
        <ext uri="{3e2802c4-a4d2-4d8b-9148-e3be6c30e623}">
          <xlrd:rvb i="4341"/>
        </ext>
      </extLst>
    </bk>
    <bk>
      <extLst>
        <ext uri="{3e2802c4-a4d2-4d8b-9148-e3be6c30e623}">
          <xlrd:rvb i="4342"/>
        </ext>
      </extLst>
    </bk>
    <bk>
      <extLst>
        <ext uri="{3e2802c4-a4d2-4d8b-9148-e3be6c30e623}">
          <xlrd:rvb i="4343"/>
        </ext>
      </extLst>
    </bk>
    <bk>
      <extLst>
        <ext uri="{3e2802c4-a4d2-4d8b-9148-e3be6c30e623}">
          <xlrd:rvb i="4344"/>
        </ext>
      </extLst>
    </bk>
    <bk>
      <extLst>
        <ext uri="{3e2802c4-a4d2-4d8b-9148-e3be6c30e623}">
          <xlrd:rvb i="4345"/>
        </ext>
      </extLst>
    </bk>
    <bk>
      <extLst>
        <ext uri="{3e2802c4-a4d2-4d8b-9148-e3be6c30e623}">
          <xlrd:rvb i="4346"/>
        </ext>
      </extLst>
    </bk>
    <bk>
      <extLst>
        <ext uri="{3e2802c4-a4d2-4d8b-9148-e3be6c30e623}">
          <xlrd:rvb i="4347"/>
        </ext>
      </extLst>
    </bk>
    <bk>
      <extLst>
        <ext uri="{3e2802c4-a4d2-4d8b-9148-e3be6c30e623}">
          <xlrd:rvb i="4348"/>
        </ext>
      </extLst>
    </bk>
    <bk>
      <extLst>
        <ext uri="{3e2802c4-a4d2-4d8b-9148-e3be6c30e623}">
          <xlrd:rvb i="4349"/>
        </ext>
      </extLst>
    </bk>
    <bk>
      <extLst>
        <ext uri="{3e2802c4-a4d2-4d8b-9148-e3be6c30e623}">
          <xlrd:rvb i="4350"/>
        </ext>
      </extLst>
    </bk>
    <bk>
      <extLst>
        <ext uri="{3e2802c4-a4d2-4d8b-9148-e3be6c30e623}">
          <xlrd:rvb i="4351"/>
        </ext>
      </extLst>
    </bk>
    <bk>
      <extLst>
        <ext uri="{3e2802c4-a4d2-4d8b-9148-e3be6c30e623}">
          <xlrd:rvb i="4352"/>
        </ext>
      </extLst>
    </bk>
    <bk>
      <extLst>
        <ext uri="{3e2802c4-a4d2-4d8b-9148-e3be6c30e623}">
          <xlrd:rvb i="4353"/>
        </ext>
      </extLst>
    </bk>
    <bk>
      <extLst>
        <ext uri="{3e2802c4-a4d2-4d8b-9148-e3be6c30e623}">
          <xlrd:rvb i="4354"/>
        </ext>
      </extLst>
    </bk>
    <bk>
      <extLst>
        <ext uri="{3e2802c4-a4d2-4d8b-9148-e3be6c30e623}">
          <xlrd:rvb i="4355"/>
        </ext>
      </extLst>
    </bk>
    <bk>
      <extLst>
        <ext uri="{3e2802c4-a4d2-4d8b-9148-e3be6c30e623}">
          <xlrd:rvb i="4356"/>
        </ext>
      </extLst>
    </bk>
    <bk>
      <extLst>
        <ext uri="{3e2802c4-a4d2-4d8b-9148-e3be6c30e623}">
          <xlrd:rvb i="4357"/>
        </ext>
      </extLst>
    </bk>
    <bk>
      <extLst>
        <ext uri="{3e2802c4-a4d2-4d8b-9148-e3be6c30e623}">
          <xlrd:rvb i="4358"/>
        </ext>
      </extLst>
    </bk>
    <bk>
      <extLst>
        <ext uri="{3e2802c4-a4d2-4d8b-9148-e3be6c30e623}">
          <xlrd:rvb i="4359"/>
        </ext>
      </extLst>
    </bk>
    <bk>
      <extLst>
        <ext uri="{3e2802c4-a4d2-4d8b-9148-e3be6c30e623}">
          <xlrd:rvb i="4360"/>
        </ext>
      </extLst>
    </bk>
    <bk>
      <extLst>
        <ext uri="{3e2802c4-a4d2-4d8b-9148-e3be6c30e623}">
          <xlrd:rvb i="4361"/>
        </ext>
      </extLst>
    </bk>
    <bk>
      <extLst>
        <ext uri="{3e2802c4-a4d2-4d8b-9148-e3be6c30e623}">
          <xlrd:rvb i="4362"/>
        </ext>
      </extLst>
    </bk>
    <bk>
      <extLst>
        <ext uri="{3e2802c4-a4d2-4d8b-9148-e3be6c30e623}">
          <xlrd:rvb i="4363"/>
        </ext>
      </extLst>
    </bk>
    <bk>
      <extLst>
        <ext uri="{3e2802c4-a4d2-4d8b-9148-e3be6c30e623}">
          <xlrd:rvb i="4364"/>
        </ext>
      </extLst>
    </bk>
    <bk>
      <extLst>
        <ext uri="{3e2802c4-a4d2-4d8b-9148-e3be6c30e623}">
          <xlrd:rvb i="4365"/>
        </ext>
      </extLst>
    </bk>
    <bk>
      <extLst>
        <ext uri="{3e2802c4-a4d2-4d8b-9148-e3be6c30e623}">
          <xlrd:rvb i="4366"/>
        </ext>
      </extLst>
    </bk>
    <bk>
      <extLst>
        <ext uri="{3e2802c4-a4d2-4d8b-9148-e3be6c30e623}">
          <xlrd:rvb i="4367"/>
        </ext>
      </extLst>
    </bk>
    <bk>
      <extLst>
        <ext uri="{3e2802c4-a4d2-4d8b-9148-e3be6c30e623}">
          <xlrd:rvb i="4368"/>
        </ext>
      </extLst>
    </bk>
    <bk>
      <extLst>
        <ext uri="{3e2802c4-a4d2-4d8b-9148-e3be6c30e623}">
          <xlrd:rvb i="4369"/>
        </ext>
      </extLst>
    </bk>
    <bk>
      <extLst>
        <ext uri="{3e2802c4-a4d2-4d8b-9148-e3be6c30e623}">
          <xlrd:rvb i="4370"/>
        </ext>
      </extLst>
    </bk>
    <bk>
      <extLst>
        <ext uri="{3e2802c4-a4d2-4d8b-9148-e3be6c30e623}">
          <xlrd:rvb i="4371"/>
        </ext>
      </extLst>
    </bk>
    <bk>
      <extLst>
        <ext uri="{3e2802c4-a4d2-4d8b-9148-e3be6c30e623}">
          <xlrd:rvb i="4372"/>
        </ext>
      </extLst>
    </bk>
    <bk>
      <extLst>
        <ext uri="{3e2802c4-a4d2-4d8b-9148-e3be6c30e623}">
          <xlrd:rvb i="4373"/>
        </ext>
      </extLst>
    </bk>
    <bk>
      <extLst>
        <ext uri="{3e2802c4-a4d2-4d8b-9148-e3be6c30e623}">
          <xlrd:rvb i="4374"/>
        </ext>
      </extLst>
    </bk>
    <bk>
      <extLst>
        <ext uri="{3e2802c4-a4d2-4d8b-9148-e3be6c30e623}">
          <xlrd:rvb i="4375"/>
        </ext>
      </extLst>
    </bk>
    <bk>
      <extLst>
        <ext uri="{3e2802c4-a4d2-4d8b-9148-e3be6c30e623}">
          <xlrd:rvb i="4376"/>
        </ext>
      </extLst>
    </bk>
    <bk>
      <extLst>
        <ext uri="{3e2802c4-a4d2-4d8b-9148-e3be6c30e623}">
          <xlrd:rvb i="4377"/>
        </ext>
      </extLst>
    </bk>
    <bk>
      <extLst>
        <ext uri="{3e2802c4-a4d2-4d8b-9148-e3be6c30e623}">
          <xlrd:rvb i="4378"/>
        </ext>
      </extLst>
    </bk>
    <bk>
      <extLst>
        <ext uri="{3e2802c4-a4d2-4d8b-9148-e3be6c30e623}">
          <xlrd:rvb i="4379"/>
        </ext>
      </extLst>
    </bk>
    <bk>
      <extLst>
        <ext uri="{3e2802c4-a4d2-4d8b-9148-e3be6c30e623}">
          <xlrd:rvb i="4380"/>
        </ext>
      </extLst>
    </bk>
    <bk>
      <extLst>
        <ext uri="{3e2802c4-a4d2-4d8b-9148-e3be6c30e623}">
          <xlrd:rvb i="4381"/>
        </ext>
      </extLst>
    </bk>
    <bk>
      <extLst>
        <ext uri="{3e2802c4-a4d2-4d8b-9148-e3be6c30e623}">
          <xlrd:rvb i="4382"/>
        </ext>
      </extLst>
    </bk>
    <bk>
      <extLst>
        <ext uri="{3e2802c4-a4d2-4d8b-9148-e3be6c30e623}">
          <xlrd:rvb i="4383"/>
        </ext>
      </extLst>
    </bk>
    <bk>
      <extLst>
        <ext uri="{3e2802c4-a4d2-4d8b-9148-e3be6c30e623}">
          <xlrd:rvb i="4384"/>
        </ext>
      </extLst>
    </bk>
    <bk>
      <extLst>
        <ext uri="{3e2802c4-a4d2-4d8b-9148-e3be6c30e623}">
          <xlrd:rvb i="4385"/>
        </ext>
      </extLst>
    </bk>
    <bk>
      <extLst>
        <ext uri="{3e2802c4-a4d2-4d8b-9148-e3be6c30e623}">
          <xlrd:rvb i="4386"/>
        </ext>
      </extLst>
    </bk>
    <bk>
      <extLst>
        <ext uri="{3e2802c4-a4d2-4d8b-9148-e3be6c30e623}">
          <xlrd:rvb i="4387"/>
        </ext>
      </extLst>
    </bk>
    <bk>
      <extLst>
        <ext uri="{3e2802c4-a4d2-4d8b-9148-e3be6c30e623}">
          <xlrd:rvb i="4388"/>
        </ext>
      </extLst>
    </bk>
    <bk>
      <extLst>
        <ext uri="{3e2802c4-a4d2-4d8b-9148-e3be6c30e623}">
          <xlrd:rvb i="4389"/>
        </ext>
      </extLst>
    </bk>
    <bk>
      <extLst>
        <ext uri="{3e2802c4-a4d2-4d8b-9148-e3be6c30e623}">
          <xlrd:rvb i="4390"/>
        </ext>
      </extLst>
    </bk>
    <bk>
      <extLst>
        <ext uri="{3e2802c4-a4d2-4d8b-9148-e3be6c30e623}">
          <xlrd:rvb i="4391"/>
        </ext>
      </extLst>
    </bk>
    <bk>
      <extLst>
        <ext uri="{3e2802c4-a4d2-4d8b-9148-e3be6c30e623}">
          <xlrd:rvb i="4392"/>
        </ext>
      </extLst>
    </bk>
    <bk>
      <extLst>
        <ext uri="{3e2802c4-a4d2-4d8b-9148-e3be6c30e623}">
          <xlrd:rvb i="4393"/>
        </ext>
      </extLst>
    </bk>
    <bk>
      <extLst>
        <ext uri="{3e2802c4-a4d2-4d8b-9148-e3be6c30e623}">
          <xlrd:rvb i="4394"/>
        </ext>
      </extLst>
    </bk>
    <bk>
      <extLst>
        <ext uri="{3e2802c4-a4d2-4d8b-9148-e3be6c30e623}">
          <xlrd:rvb i="4395"/>
        </ext>
      </extLst>
    </bk>
    <bk>
      <extLst>
        <ext uri="{3e2802c4-a4d2-4d8b-9148-e3be6c30e623}">
          <xlrd:rvb i="4396"/>
        </ext>
      </extLst>
    </bk>
    <bk>
      <extLst>
        <ext uri="{3e2802c4-a4d2-4d8b-9148-e3be6c30e623}">
          <xlrd:rvb i="4397"/>
        </ext>
      </extLst>
    </bk>
    <bk>
      <extLst>
        <ext uri="{3e2802c4-a4d2-4d8b-9148-e3be6c30e623}">
          <xlrd:rvb i="4398"/>
        </ext>
      </extLst>
    </bk>
    <bk>
      <extLst>
        <ext uri="{3e2802c4-a4d2-4d8b-9148-e3be6c30e623}">
          <xlrd:rvb i="4399"/>
        </ext>
      </extLst>
    </bk>
    <bk>
      <extLst>
        <ext uri="{3e2802c4-a4d2-4d8b-9148-e3be6c30e623}">
          <xlrd:rvb i="4400"/>
        </ext>
      </extLst>
    </bk>
    <bk>
      <extLst>
        <ext uri="{3e2802c4-a4d2-4d8b-9148-e3be6c30e623}">
          <xlrd:rvb i="4401"/>
        </ext>
      </extLst>
    </bk>
    <bk>
      <extLst>
        <ext uri="{3e2802c4-a4d2-4d8b-9148-e3be6c30e623}">
          <xlrd:rvb i="4402"/>
        </ext>
      </extLst>
    </bk>
    <bk>
      <extLst>
        <ext uri="{3e2802c4-a4d2-4d8b-9148-e3be6c30e623}">
          <xlrd:rvb i="4403"/>
        </ext>
      </extLst>
    </bk>
    <bk>
      <extLst>
        <ext uri="{3e2802c4-a4d2-4d8b-9148-e3be6c30e623}">
          <xlrd:rvb i="4404"/>
        </ext>
      </extLst>
    </bk>
    <bk>
      <extLst>
        <ext uri="{3e2802c4-a4d2-4d8b-9148-e3be6c30e623}">
          <xlrd:rvb i="4405"/>
        </ext>
      </extLst>
    </bk>
    <bk>
      <extLst>
        <ext uri="{3e2802c4-a4d2-4d8b-9148-e3be6c30e623}">
          <xlrd:rvb i="4406"/>
        </ext>
      </extLst>
    </bk>
    <bk>
      <extLst>
        <ext uri="{3e2802c4-a4d2-4d8b-9148-e3be6c30e623}">
          <xlrd:rvb i="4407"/>
        </ext>
      </extLst>
    </bk>
    <bk>
      <extLst>
        <ext uri="{3e2802c4-a4d2-4d8b-9148-e3be6c30e623}">
          <xlrd:rvb i="4408"/>
        </ext>
      </extLst>
    </bk>
    <bk>
      <extLst>
        <ext uri="{3e2802c4-a4d2-4d8b-9148-e3be6c30e623}">
          <xlrd:rvb i="4409"/>
        </ext>
      </extLst>
    </bk>
    <bk>
      <extLst>
        <ext uri="{3e2802c4-a4d2-4d8b-9148-e3be6c30e623}">
          <xlrd:rvb i="4410"/>
        </ext>
      </extLst>
    </bk>
    <bk>
      <extLst>
        <ext uri="{3e2802c4-a4d2-4d8b-9148-e3be6c30e623}">
          <xlrd:rvb i="4411"/>
        </ext>
      </extLst>
    </bk>
    <bk>
      <extLst>
        <ext uri="{3e2802c4-a4d2-4d8b-9148-e3be6c30e623}">
          <xlrd:rvb i="4412"/>
        </ext>
      </extLst>
    </bk>
    <bk>
      <extLst>
        <ext uri="{3e2802c4-a4d2-4d8b-9148-e3be6c30e623}">
          <xlrd:rvb i="4413"/>
        </ext>
      </extLst>
    </bk>
    <bk>
      <extLst>
        <ext uri="{3e2802c4-a4d2-4d8b-9148-e3be6c30e623}">
          <xlrd:rvb i="4414"/>
        </ext>
      </extLst>
    </bk>
    <bk>
      <extLst>
        <ext uri="{3e2802c4-a4d2-4d8b-9148-e3be6c30e623}">
          <xlrd:rvb i="4415"/>
        </ext>
      </extLst>
    </bk>
    <bk>
      <extLst>
        <ext uri="{3e2802c4-a4d2-4d8b-9148-e3be6c30e623}">
          <xlrd:rvb i="4416"/>
        </ext>
      </extLst>
    </bk>
    <bk>
      <extLst>
        <ext uri="{3e2802c4-a4d2-4d8b-9148-e3be6c30e623}">
          <xlrd:rvb i="4417"/>
        </ext>
      </extLst>
    </bk>
    <bk>
      <extLst>
        <ext uri="{3e2802c4-a4d2-4d8b-9148-e3be6c30e623}">
          <xlrd:rvb i="4418"/>
        </ext>
      </extLst>
    </bk>
    <bk>
      <extLst>
        <ext uri="{3e2802c4-a4d2-4d8b-9148-e3be6c30e623}">
          <xlrd:rvb i="4419"/>
        </ext>
      </extLst>
    </bk>
    <bk>
      <extLst>
        <ext uri="{3e2802c4-a4d2-4d8b-9148-e3be6c30e623}">
          <xlrd:rvb i="4420"/>
        </ext>
      </extLst>
    </bk>
    <bk>
      <extLst>
        <ext uri="{3e2802c4-a4d2-4d8b-9148-e3be6c30e623}">
          <xlrd:rvb i="4421"/>
        </ext>
      </extLst>
    </bk>
    <bk>
      <extLst>
        <ext uri="{3e2802c4-a4d2-4d8b-9148-e3be6c30e623}">
          <xlrd:rvb i="4422"/>
        </ext>
      </extLst>
    </bk>
    <bk>
      <extLst>
        <ext uri="{3e2802c4-a4d2-4d8b-9148-e3be6c30e623}">
          <xlrd:rvb i="4423"/>
        </ext>
      </extLst>
    </bk>
    <bk>
      <extLst>
        <ext uri="{3e2802c4-a4d2-4d8b-9148-e3be6c30e623}">
          <xlrd:rvb i="4424"/>
        </ext>
      </extLst>
    </bk>
    <bk>
      <extLst>
        <ext uri="{3e2802c4-a4d2-4d8b-9148-e3be6c30e623}">
          <xlrd:rvb i="4425"/>
        </ext>
      </extLst>
    </bk>
    <bk>
      <extLst>
        <ext uri="{3e2802c4-a4d2-4d8b-9148-e3be6c30e623}">
          <xlrd:rvb i="4426"/>
        </ext>
      </extLst>
    </bk>
    <bk>
      <extLst>
        <ext uri="{3e2802c4-a4d2-4d8b-9148-e3be6c30e623}">
          <xlrd:rvb i="4427"/>
        </ext>
      </extLst>
    </bk>
    <bk>
      <extLst>
        <ext uri="{3e2802c4-a4d2-4d8b-9148-e3be6c30e623}">
          <xlrd:rvb i="4428"/>
        </ext>
      </extLst>
    </bk>
    <bk>
      <extLst>
        <ext uri="{3e2802c4-a4d2-4d8b-9148-e3be6c30e623}">
          <xlrd:rvb i="4429"/>
        </ext>
      </extLst>
    </bk>
    <bk>
      <extLst>
        <ext uri="{3e2802c4-a4d2-4d8b-9148-e3be6c30e623}">
          <xlrd:rvb i="4430"/>
        </ext>
      </extLst>
    </bk>
    <bk>
      <extLst>
        <ext uri="{3e2802c4-a4d2-4d8b-9148-e3be6c30e623}">
          <xlrd:rvb i="4431"/>
        </ext>
      </extLst>
    </bk>
    <bk>
      <extLst>
        <ext uri="{3e2802c4-a4d2-4d8b-9148-e3be6c30e623}">
          <xlrd:rvb i="4432"/>
        </ext>
      </extLst>
    </bk>
    <bk>
      <extLst>
        <ext uri="{3e2802c4-a4d2-4d8b-9148-e3be6c30e623}">
          <xlrd:rvb i="4433"/>
        </ext>
      </extLst>
    </bk>
    <bk>
      <extLst>
        <ext uri="{3e2802c4-a4d2-4d8b-9148-e3be6c30e623}">
          <xlrd:rvb i="4434"/>
        </ext>
      </extLst>
    </bk>
    <bk>
      <extLst>
        <ext uri="{3e2802c4-a4d2-4d8b-9148-e3be6c30e623}">
          <xlrd:rvb i="4435"/>
        </ext>
      </extLst>
    </bk>
    <bk>
      <extLst>
        <ext uri="{3e2802c4-a4d2-4d8b-9148-e3be6c30e623}">
          <xlrd:rvb i="4436"/>
        </ext>
      </extLst>
    </bk>
    <bk>
      <extLst>
        <ext uri="{3e2802c4-a4d2-4d8b-9148-e3be6c30e623}">
          <xlrd:rvb i="4437"/>
        </ext>
      </extLst>
    </bk>
    <bk>
      <extLst>
        <ext uri="{3e2802c4-a4d2-4d8b-9148-e3be6c30e623}">
          <xlrd:rvb i="4438"/>
        </ext>
      </extLst>
    </bk>
    <bk>
      <extLst>
        <ext uri="{3e2802c4-a4d2-4d8b-9148-e3be6c30e623}">
          <xlrd:rvb i="4439"/>
        </ext>
      </extLst>
    </bk>
    <bk>
      <extLst>
        <ext uri="{3e2802c4-a4d2-4d8b-9148-e3be6c30e623}">
          <xlrd:rvb i="4440"/>
        </ext>
      </extLst>
    </bk>
    <bk>
      <extLst>
        <ext uri="{3e2802c4-a4d2-4d8b-9148-e3be6c30e623}">
          <xlrd:rvb i="4441"/>
        </ext>
      </extLst>
    </bk>
    <bk>
      <extLst>
        <ext uri="{3e2802c4-a4d2-4d8b-9148-e3be6c30e623}">
          <xlrd:rvb i="4442"/>
        </ext>
      </extLst>
    </bk>
    <bk>
      <extLst>
        <ext uri="{3e2802c4-a4d2-4d8b-9148-e3be6c30e623}">
          <xlrd:rvb i="4443"/>
        </ext>
      </extLst>
    </bk>
    <bk>
      <extLst>
        <ext uri="{3e2802c4-a4d2-4d8b-9148-e3be6c30e623}">
          <xlrd:rvb i="4444"/>
        </ext>
      </extLst>
    </bk>
    <bk>
      <extLst>
        <ext uri="{3e2802c4-a4d2-4d8b-9148-e3be6c30e623}">
          <xlrd:rvb i="4445"/>
        </ext>
      </extLst>
    </bk>
    <bk>
      <extLst>
        <ext uri="{3e2802c4-a4d2-4d8b-9148-e3be6c30e623}">
          <xlrd:rvb i="4446"/>
        </ext>
      </extLst>
    </bk>
    <bk>
      <extLst>
        <ext uri="{3e2802c4-a4d2-4d8b-9148-e3be6c30e623}">
          <xlrd:rvb i="4447"/>
        </ext>
      </extLst>
    </bk>
    <bk>
      <extLst>
        <ext uri="{3e2802c4-a4d2-4d8b-9148-e3be6c30e623}">
          <xlrd:rvb i="4448"/>
        </ext>
      </extLst>
    </bk>
    <bk>
      <extLst>
        <ext uri="{3e2802c4-a4d2-4d8b-9148-e3be6c30e623}">
          <xlrd:rvb i="4449"/>
        </ext>
      </extLst>
    </bk>
    <bk>
      <extLst>
        <ext uri="{3e2802c4-a4d2-4d8b-9148-e3be6c30e623}">
          <xlrd:rvb i="4450"/>
        </ext>
      </extLst>
    </bk>
    <bk>
      <extLst>
        <ext uri="{3e2802c4-a4d2-4d8b-9148-e3be6c30e623}">
          <xlrd:rvb i="4451"/>
        </ext>
      </extLst>
    </bk>
    <bk>
      <extLst>
        <ext uri="{3e2802c4-a4d2-4d8b-9148-e3be6c30e623}">
          <xlrd:rvb i="4452"/>
        </ext>
      </extLst>
    </bk>
    <bk>
      <extLst>
        <ext uri="{3e2802c4-a4d2-4d8b-9148-e3be6c30e623}">
          <xlrd:rvb i="4453"/>
        </ext>
      </extLst>
    </bk>
    <bk>
      <extLst>
        <ext uri="{3e2802c4-a4d2-4d8b-9148-e3be6c30e623}">
          <xlrd:rvb i="4454"/>
        </ext>
      </extLst>
    </bk>
    <bk>
      <extLst>
        <ext uri="{3e2802c4-a4d2-4d8b-9148-e3be6c30e623}">
          <xlrd:rvb i="4455"/>
        </ext>
      </extLst>
    </bk>
    <bk>
      <extLst>
        <ext uri="{3e2802c4-a4d2-4d8b-9148-e3be6c30e623}">
          <xlrd:rvb i="4456"/>
        </ext>
      </extLst>
    </bk>
    <bk>
      <extLst>
        <ext uri="{3e2802c4-a4d2-4d8b-9148-e3be6c30e623}">
          <xlrd:rvb i="4457"/>
        </ext>
      </extLst>
    </bk>
    <bk>
      <extLst>
        <ext uri="{3e2802c4-a4d2-4d8b-9148-e3be6c30e623}">
          <xlrd:rvb i="4458"/>
        </ext>
      </extLst>
    </bk>
    <bk>
      <extLst>
        <ext uri="{3e2802c4-a4d2-4d8b-9148-e3be6c30e623}">
          <xlrd:rvb i="4459"/>
        </ext>
      </extLst>
    </bk>
    <bk>
      <extLst>
        <ext uri="{3e2802c4-a4d2-4d8b-9148-e3be6c30e623}">
          <xlrd:rvb i="4460"/>
        </ext>
      </extLst>
    </bk>
    <bk>
      <extLst>
        <ext uri="{3e2802c4-a4d2-4d8b-9148-e3be6c30e623}">
          <xlrd:rvb i="4461"/>
        </ext>
      </extLst>
    </bk>
    <bk>
      <extLst>
        <ext uri="{3e2802c4-a4d2-4d8b-9148-e3be6c30e623}">
          <xlrd:rvb i="4462"/>
        </ext>
      </extLst>
    </bk>
    <bk>
      <extLst>
        <ext uri="{3e2802c4-a4d2-4d8b-9148-e3be6c30e623}">
          <xlrd:rvb i="4463"/>
        </ext>
      </extLst>
    </bk>
    <bk>
      <extLst>
        <ext uri="{3e2802c4-a4d2-4d8b-9148-e3be6c30e623}">
          <xlrd:rvb i="4464"/>
        </ext>
      </extLst>
    </bk>
    <bk>
      <extLst>
        <ext uri="{3e2802c4-a4d2-4d8b-9148-e3be6c30e623}">
          <xlrd:rvb i="4465"/>
        </ext>
      </extLst>
    </bk>
    <bk>
      <extLst>
        <ext uri="{3e2802c4-a4d2-4d8b-9148-e3be6c30e623}">
          <xlrd:rvb i="4466"/>
        </ext>
      </extLst>
    </bk>
    <bk>
      <extLst>
        <ext uri="{3e2802c4-a4d2-4d8b-9148-e3be6c30e623}">
          <xlrd:rvb i="4467"/>
        </ext>
      </extLst>
    </bk>
    <bk>
      <extLst>
        <ext uri="{3e2802c4-a4d2-4d8b-9148-e3be6c30e623}">
          <xlrd:rvb i="4468"/>
        </ext>
      </extLst>
    </bk>
    <bk>
      <extLst>
        <ext uri="{3e2802c4-a4d2-4d8b-9148-e3be6c30e623}">
          <xlrd:rvb i="4469"/>
        </ext>
      </extLst>
    </bk>
    <bk>
      <extLst>
        <ext uri="{3e2802c4-a4d2-4d8b-9148-e3be6c30e623}">
          <xlrd:rvb i="4470"/>
        </ext>
      </extLst>
    </bk>
    <bk>
      <extLst>
        <ext uri="{3e2802c4-a4d2-4d8b-9148-e3be6c30e623}">
          <xlrd:rvb i="4471"/>
        </ext>
      </extLst>
    </bk>
    <bk>
      <extLst>
        <ext uri="{3e2802c4-a4d2-4d8b-9148-e3be6c30e623}">
          <xlrd:rvb i="4472"/>
        </ext>
      </extLst>
    </bk>
    <bk>
      <extLst>
        <ext uri="{3e2802c4-a4d2-4d8b-9148-e3be6c30e623}">
          <xlrd:rvb i="4473"/>
        </ext>
      </extLst>
    </bk>
    <bk>
      <extLst>
        <ext uri="{3e2802c4-a4d2-4d8b-9148-e3be6c30e623}">
          <xlrd:rvb i="4474"/>
        </ext>
      </extLst>
    </bk>
    <bk>
      <extLst>
        <ext uri="{3e2802c4-a4d2-4d8b-9148-e3be6c30e623}">
          <xlrd:rvb i="4475"/>
        </ext>
      </extLst>
    </bk>
    <bk>
      <extLst>
        <ext uri="{3e2802c4-a4d2-4d8b-9148-e3be6c30e623}">
          <xlrd:rvb i="4476"/>
        </ext>
      </extLst>
    </bk>
    <bk>
      <extLst>
        <ext uri="{3e2802c4-a4d2-4d8b-9148-e3be6c30e623}">
          <xlrd:rvb i="4477"/>
        </ext>
      </extLst>
    </bk>
    <bk>
      <extLst>
        <ext uri="{3e2802c4-a4d2-4d8b-9148-e3be6c30e623}">
          <xlrd:rvb i="4478"/>
        </ext>
      </extLst>
    </bk>
    <bk>
      <extLst>
        <ext uri="{3e2802c4-a4d2-4d8b-9148-e3be6c30e623}">
          <xlrd:rvb i="4479"/>
        </ext>
      </extLst>
    </bk>
    <bk>
      <extLst>
        <ext uri="{3e2802c4-a4d2-4d8b-9148-e3be6c30e623}">
          <xlrd:rvb i="4480"/>
        </ext>
      </extLst>
    </bk>
    <bk>
      <extLst>
        <ext uri="{3e2802c4-a4d2-4d8b-9148-e3be6c30e623}">
          <xlrd:rvb i="4481"/>
        </ext>
      </extLst>
    </bk>
    <bk>
      <extLst>
        <ext uri="{3e2802c4-a4d2-4d8b-9148-e3be6c30e623}">
          <xlrd:rvb i="4482"/>
        </ext>
      </extLst>
    </bk>
    <bk>
      <extLst>
        <ext uri="{3e2802c4-a4d2-4d8b-9148-e3be6c30e623}">
          <xlrd:rvb i="4483"/>
        </ext>
      </extLst>
    </bk>
    <bk>
      <extLst>
        <ext uri="{3e2802c4-a4d2-4d8b-9148-e3be6c30e623}">
          <xlrd:rvb i="4484"/>
        </ext>
      </extLst>
    </bk>
    <bk>
      <extLst>
        <ext uri="{3e2802c4-a4d2-4d8b-9148-e3be6c30e623}">
          <xlrd:rvb i="4485"/>
        </ext>
      </extLst>
    </bk>
    <bk>
      <extLst>
        <ext uri="{3e2802c4-a4d2-4d8b-9148-e3be6c30e623}">
          <xlrd:rvb i="4486"/>
        </ext>
      </extLst>
    </bk>
    <bk>
      <extLst>
        <ext uri="{3e2802c4-a4d2-4d8b-9148-e3be6c30e623}">
          <xlrd:rvb i="4487"/>
        </ext>
      </extLst>
    </bk>
    <bk>
      <extLst>
        <ext uri="{3e2802c4-a4d2-4d8b-9148-e3be6c30e623}">
          <xlrd:rvb i="4488"/>
        </ext>
      </extLst>
    </bk>
    <bk>
      <extLst>
        <ext uri="{3e2802c4-a4d2-4d8b-9148-e3be6c30e623}">
          <xlrd:rvb i="4489"/>
        </ext>
      </extLst>
    </bk>
    <bk>
      <extLst>
        <ext uri="{3e2802c4-a4d2-4d8b-9148-e3be6c30e623}">
          <xlrd:rvb i="4490"/>
        </ext>
      </extLst>
    </bk>
    <bk>
      <extLst>
        <ext uri="{3e2802c4-a4d2-4d8b-9148-e3be6c30e623}">
          <xlrd:rvb i="4491"/>
        </ext>
      </extLst>
    </bk>
    <bk>
      <extLst>
        <ext uri="{3e2802c4-a4d2-4d8b-9148-e3be6c30e623}">
          <xlrd:rvb i="4492"/>
        </ext>
      </extLst>
    </bk>
    <bk>
      <extLst>
        <ext uri="{3e2802c4-a4d2-4d8b-9148-e3be6c30e623}">
          <xlrd:rvb i="4493"/>
        </ext>
      </extLst>
    </bk>
    <bk>
      <extLst>
        <ext uri="{3e2802c4-a4d2-4d8b-9148-e3be6c30e623}">
          <xlrd:rvb i="4494"/>
        </ext>
      </extLst>
    </bk>
    <bk>
      <extLst>
        <ext uri="{3e2802c4-a4d2-4d8b-9148-e3be6c30e623}">
          <xlrd:rvb i="4495"/>
        </ext>
      </extLst>
    </bk>
    <bk>
      <extLst>
        <ext uri="{3e2802c4-a4d2-4d8b-9148-e3be6c30e623}">
          <xlrd:rvb i="4496"/>
        </ext>
      </extLst>
    </bk>
    <bk>
      <extLst>
        <ext uri="{3e2802c4-a4d2-4d8b-9148-e3be6c30e623}">
          <xlrd:rvb i="4497"/>
        </ext>
      </extLst>
    </bk>
    <bk>
      <extLst>
        <ext uri="{3e2802c4-a4d2-4d8b-9148-e3be6c30e623}">
          <xlrd:rvb i="4498"/>
        </ext>
      </extLst>
    </bk>
    <bk>
      <extLst>
        <ext uri="{3e2802c4-a4d2-4d8b-9148-e3be6c30e623}">
          <xlrd:rvb i="4499"/>
        </ext>
      </extLst>
    </bk>
    <bk>
      <extLst>
        <ext uri="{3e2802c4-a4d2-4d8b-9148-e3be6c30e623}">
          <xlrd:rvb i="4500"/>
        </ext>
      </extLst>
    </bk>
    <bk>
      <extLst>
        <ext uri="{3e2802c4-a4d2-4d8b-9148-e3be6c30e623}">
          <xlrd:rvb i="4501"/>
        </ext>
      </extLst>
    </bk>
    <bk>
      <extLst>
        <ext uri="{3e2802c4-a4d2-4d8b-9148-e3be6c30e623}">
          <xlrd:rvb i="4502"/>
        </ext>
      </extLst>
    </bk>
    <bk>
      <extLst>
        <ext uri="{3e2802c4-a4d2-4d8b-9148-e3be6c30e623}">
          <xlrd:rvb i="4503"/>
        </ext>
      </extLst>
    </bk>
    <bk>
      <extLst>
        <ext uri="{3e2802c4-a4d2-4d8b-9148-e3be6c30e623}">
          <xlrd:rvb i="4504"/>
        </ext>
      </extLst>
    </bk>
    <bk>
      <extLst>
        <ext uri="{3e2802c4-a4d2-4d8b-9148-e3be6c30e623}">
          <xlrd:rvb i="4505"/>
        </ext>
      </extLst>
    </bk>
    <bk>
      <extLst>
        <ext uri="{3e2802c4-a4d2-4d8b-9148-e3be6c30e623}">
          <xlrd:rvb i="4506"/>
        </ext>
      </extLst>
    </bk>
    <bk>
      <extLst>
        <ext uri="{3e2802c4-a4d2-4d8b-9148-e3be6c30e623}">
          <xlrd:rvb i="4507"/>
        </ext>
      </extLst>
    </bk>
    <bk>
      <extLst>
        <ext uri="{3e2802c4-a4d2-4d8b-9148-e3be6c30e623}">
          <xlrd:rvb i="4508"/>
        </ext>
      </extLst>
    </bk>
    <bk>
      <extLst>
        <ext uri="{3e2802c4-a4d2-4d8b-9148-e3be6c30e623}">
          <xlrd:rvb i="4509"/>
        </ext>
      </extLst>
    </bk>
    <bk>
      <extLst>
        <ext uri="{3e2802c4-a4d2-4d8b-9148-e3be6c30e623}">
          <xlrd:rvb i="4510"/>
        </ext>
      </extLst>
    </bk>
    <bk>
      <extLst>
        <ext uri="{3e2802c4-a4d2-4d8b-9148-e3be6c30e623}">
          <xlrd:rvb i="4511"/>
        </ext>
      </extLst>
    </bk>
    <bk>
      <extLst>
        <ext uri="{3e2802c4-a4d2-4d8b-9148-e3be6c30e623}">
          <xlrd:rvb i="4512"/>
        </ext>
      </extLst>
    </bk>
    <bk>
      <extLst>
        <ext uri="{3e2802c4-a4d2-4d8b-9148-e3be6c30e623}">
          <xlrd:rvb i="4513"/>
        </ext>
      </extLst>
    </bk>
    <bk>
      <extLst>
        <ext uri="{3e2802c4-a4d2-4d8b-9148-e3be6c30e623}">
          <xlrd:rvb i="4514"/>
        </ext>
      </extLst>
    </bk>
    <bk>
      <extLst>
        <ext uri="{3e2802c4-a4d2-4d8b-9148-e3be6c30e623}">
          <xlrd:rvb i="4515"/>
        </ext>
      </extLst>
    </bk>
    <bk>
      <extLst>
        <ext uri="{3e2802c4-a4d2-4d8b-9148-e3be6c30e623}">
          <xlrd:rvb i="4516"/>
        </ext>
      </extLst>
    </bk>
    <bk>
      <extLst>
        <ext uri="{3e2802c4-a4d2-4d8b-9148-e3be6c30e623}">
          <xlrd:rvb i="4517"/>
        </ext>
      </extLst>
    </bk>
    <bk>
      <extLst>
        <ext uri="{3e2802c4-a4d2-4d8b-9148-e3be6c30e623}">
          <xlrd:rvb i="4518"/>
        </ext>
      </extLst>
    </bk>
    <bk>
      <extLst>
        <ext uri="{3e2802c4-a4d2-4d8b-9148-e3be6c30e623}">
          <xlrd:rvb i="4519"/>
        </ext>
      </extLst>
    </bk>
    <bk>
      <extLst>
        <ext uri="{3e2802c4-a4d2-4d8b-9148-e3be6c30e623}">
          <xlrd:rvb i="4520"/>
        </ext>
      </extLst>
    </bk>
    <bk>
      <extLst>
        <ext uri="{3e2802c4-a4d2-4d8b-9148-e3be6c30e623}">
          <xlrd:rvb i="4521"/>
        </ext>
      </extLst>
    </bk>
    <bk>
      <extLst>
        <ext uri="{3e2802c4-a4d2-4d8b-9148-e3be6c30e623}">
          <xlrd:rvb i="4522"/>
        </ext>
      </extLst>
    </bk>
    <bk>
      <extLst>
        <ext uri="{3e2802c4-a4d2-4d8b-9148-e3be6c30e623}">
          <xlrd:rvb i="4523"/>
        </ext>
      </extLst>
    </bk>
    <bk>
      <extLst>
        <ext uri="{3e2802c4-a4d2-4d8b-9148-e3be6c30e623}">
          <xlrd:rvb i="4524"/>
        </ext>
      </extLst>
    </bk>
    <bk>
      <extLst>
        <ext uri="{3e2802c4-a4d2-4d8b-9148-e3be6c30e623}">
          <xlrd:rvb i="4525"/>
        </ext>
      </extLst>
    </bk>
    <bk>
      <extLst>
        <ext uri="{3e2802c4-a4d2-4d8b-9148-e3be6c30e623}">
          <xlrd:rvb i="4526"/>
        </ext>
      </extLst>
    </bk>
    <bk>
      <extLst>
        <ext uri="{3e2802c4-a4d2-4d8b-9148-e3be6c30e623}">
          <xlrd:rvb i="4527"/>
        </ext>
      </extLst>
    </bk>
    <bk>
      <extLst>
        <ext uri="{3e2802c4-a4d2-4d8b-9148-e3be6c30e623}">
          <xlrd:rvb i="4528"/>
        </ext>
      </extLst>
    </bk>
    <bk>
      <extLst>
        <ext uri="{3e2802c4-a4d2-4d8b-9148-e3be6c30e623}">
          <xlrd:rvb i="4529"/>
        </ext>
      </extLst>
    </bk>
    <bk>
      <extLst>
        <ext uri="{3e2802c4-a4d2-4d8b-9148-e3be6c30e623}">
          <xlrd:rvb i="4530"/>
        </ext>
      </extLst>
    </bk>
    <bk>
      <extLst>
        <ext uri="{3e2802c4-a4d2-4d8b-9148-e3be6c30e623}">
          <xlrd:rvb i="4531"/>
        </ext>
      </extLst>
    </bk>
    <bk>
      <extLst>
        <ext uri="{3e2802c4-a4d2-4d8b-9148-e3be6c30e623}">
          <xlrd:rvb i="4532"/>
        </ext>
      </extLst>
    </bk>
    <bk>
      <extLst>
        <ext uri="{3e2802c4-a4d2-4d8b-9148-e3be6c30e623}">
          <xlrd:rvb i="4533"/>
        </ext>
      </extLst>
    </bk>
    <bk>
      <extLst>
        <ext uri="{3e2802c4-a4d2-4d8b-9148-e3be6c30e623}">
          <xlrd:rvb i="4534"/>
        </ext>
      </extLst>
    </bk>
    <bk>
      <extLst>
        <ext uri="{3e2802c4-a4d2-4d8b-9148-e3be6c30e623}">
          <xlrd:rvb i="4535"/>
        </ext>
      </extLst>
    </bk>
    <bk>
      <extLst>
        <ext uri="{3e2802c4-a4d2-4d8b-9148-e3be6c30e623}">
          <xlrd:rvb i="4536"/>
        </ext>
      </extLst>
    </bk>
    <bk>
      <extLst>
        <ext uri="{3e2802c4-a4d2-4d8b-9148-e3be6c30e623}">
          <xlrd:rvb i="4537"/>
        </ext>
      </extLst>
    </bk>
    <bk>
      <extLst>
        <ext uri="{3e2802c4-a4d2-4d8b-9148-e3be6c30e623}">
          <xlrd:rvb i="4538"/>
        </ext>
      </extLst>
    </bk>
    <bk>
      <extLst>
        <ext uri="{3e2802c4-a4d2-4d8b-9148-e3be6c30e623}">
          <xlrd:rvb i="4539"/>
        </ext>
      </extLst>
    </bk>
    <bk>
      <extLst>
        <ext uri="{3e2802c4-a4d2-4d8b-9148-e3be6c30e623}">
          <xlrd:rvb i="4540"/>
        </ext>
      </extLst>
    </bk>
    <bk>
      <extLst>
        <ext uri="{3e2802c4-a4d2-4d8b-9148-e3be6c30e623}">
          <xlrd:rvb i="4541"/>
        </ext>
      </extLst>
    </bk>
    <bk>
      <extLst>
        <ext uri="{3e2802c4-a4d2-4d8b-9148-e3be6c30e623}">
          <xlrd:rvb i="4542"/>
        </ext>
      </extLst>
    </bk>
    <bk>
      <extLst>
        <ext uri="{3e2802c4-a4d2-4d8b-9148-e3be6c30e623}">
          <xlrd:rvb i="4543"/>
        </ext>
      </extLst>
    </bk>
    <bk>
      <extLst>
        <ext uri="{3e2802c4-a4d2-4d8b-9148-e3be6c30e623}">
          <xlrd:rvb i="4544"/>
        </ext>
      </extLst>
    </bk>
    <bk>
      <extLst>
        <ext uri="{3e2802c4-a4d2-4d8b-9148-e3be6c30e623}">
          <xlrd:rvb i="4545"/>
        </ext>
      </extLst>
    </bk>
    <bk>
      <extLst>
        <ext uri="{3e2802c4-a4d2-4d8b-9148-e3be6c30e623}">
          <xlrd:rvb i="4546"/>
        </ext>
      </extLst>
    </bk>
    <bk>
      <extLst>
        <ext uri="{3e2802c4-a4d2-4d8b-9148-e3be6c30e623}">
          <xlrd:rvb i="4547"/>
        </ext>
      </extLst>
    </bk>
    <bk>
      <extLst>
        <ext uri="{3e2802c4-a4d2-4d8b-9148-e3be6c30e623}">
          <xlrd:rvb i="4548"/>
        </ext>
      </extLst>
    </bk>
    <bk>
      <extLst>
        <ext uri="{3e2802c4-a4d2-4d8b-9148-e3be6c30e623}">
          <xlrd:rvb i="4549"/>
        </ext>
      </extLst>
    </bk>
    <bk>
      <extLst>
        <ext uri="{3e2802c4-a4d2-4d8b-9148-e3be6c30e623}">
          <xlrd:rvb i="4550"/>
        </ext>
      </extLst>
    </bk>
    <bk>
      <extLst>
        <ext uri="{3e2802c4-a4d2-4d8b-9148-e3be6c30e623}">
          <xlrd:rvb i="4551"/>
        </ext>
      </extLst>
    </bk>
    <bk>
      <extLst>
        <ext uri="{3e2802c4-a4d2-4d8b-9148-e3be6c30e623}">
          <xlrd:rvb i="4552"/>
        </ext>
      </extLst>
    </bk>
    <bk>
      <extLst>
        <ext uri="{3e2802c4-a4d2-4d8b-9148-e3be6c30e623}">
          <xlrd:rvb i="4553"/>
        </ext>
      </extLst>
    </bk>
    <bk>
      <extLst>
        <ext uri="{3e2802c4-a4d2-4d8b-9148-e3be6c30e623}">
          <xlrd:rvb i="4554"/>
        </ext>
      </extLst>
    </bk>
    <bk>
      <extLst>
        <ext uri="{3e2802c4-a4d2-4d8b-9148-e3be6c30e623}">
          <xlrd:rvb i="4555"/>
        </ext>
      </extLst>
    </bk>
    <bk>
      <extLst>
        <ext uri="{3e2802c4-a4d2-4d8b-9148-e3be6c30e623}">
          <xlrd:rvb i="4556"/>
        </ext>
      </extLst>
    </bk>
    <bk>
      <extLst>
        <ext uri="{3e2802c4-a4d2-4d8b-9148-e3be6c30e623}">
          <xlrd:rvb i="4557"/>
        </ext>
      </extLst>
    </bk>
    <bk>
      <extLst>
        <ext uri="{3e2802c4-a4d2-4d8b-9148-e3be6c30e623}">
          <xlrd:rvb i="4558"/>
        </ext>
      </extLst>
    </bk>
    <bk>
      <extLst>
        <ext uri="{3e2802c4-a4d2-4d8b-9148-e3be6c30e623}">
          <xlrd:rvb i="4559"/>
        </ext>
      </extLst>
    </bk>
    <bk>
      <extLst>
        <ext uri="{3e2802c4-a4d2-4d8b-9148-e3be6c30e623}">
          <xlrd:rvb i="4560"/>
        </ext>
      </extLst>
    </bk>
    <bk>
      <extLst>
        <ext uri="{3e2802c4-a4d2-4d8b-9148-e3be6c30e623}">
          <xlrd:rvb i="4561"/>
        </ext>
      </extLst>
    </bk>
    <bk>
      <extLst>
        <ext uri="{3e2802c4-a4d2-4d8b-9148-e3be6c30e623}">
          <xlrd:rvb i="4562"/>
        </ext>
      </extLst>
    </bk>
    <bk>
      <extLst>
        <ext uri="{3e2802c4-a4d2-4d8b-9148-e3be6c30e623}">
          <xlrd:rvb i="4563"/>
        </ext>
      </extLst>
    </bk>
    <bk>
      <extLst>
        <ext uri="{3e2802c4-a4d2-4d8b-9148-e3be6c30e623}">
          <xlrd:rvb i="4564"/>
        </ext>
      </extLst>
    </bk>
    <bk>
      <extLst>
        <ext uri="{3e2802c4-a4d2-4d8b-9148-e3be6c30e623}">
          <xlrd:rvb i="4565"/>
        </ext>
      </extLst>
    </bk>
    <bk>
      <extLst>
        <ext uri="{3e2802c4-a4d2-4d8b-9148-e3be6c30e623}">
          <xlrd:rvb i="4566"/>
        </ext>
      </extLst>
    </bk>
    <bk>
      <extLst>
        <ext uri="{3e2802c4-a4d2-4d8b-9148-e3be6c30e623}">
          <xlrd:rvb i="4567"/>
        </ext>
      </extLst>
    </bk>
    <bk>
      <extLst>
        <ext uri="{3e2802c4-a4d2-4d8b-9148-e3be6c30e623}">
          <xlrd:rvb i="4568"/>
        </ext>
      </extLst>
    </bk>
    <bk>
      <extLst>
        <ext uri="{3e2802c4-a4d2-4d8b-9148-e3be6c30e623}">
          <xlrd:rvb i="4569"/>
        </ext>
      </extLst>
    </bk>
    <bk>
      <extLst>
        <ext uri="{3e2802c4-a4d2-4d8b-9148-e3be6c30e623}">
          <xlrd:rvb i="4570"/>
        </ext>
      </extLst>
    </bk>
    <bk>
      <extLst>
        <ext uri="{3e2802c4-a4d2-4d8b-9148-e3be6c30e623}">
          <xlrd:rvb i="4571"/>
        </ext>
      </extLst>
    </bk>
    <bk>
      <extLst>
        <ext uri="{3e2802c4-a4d2-4d8b-9148-e3be6c30e623}">
          <xlrd:rvb i="4572"/>
        </ext>
      </extLst>
    </bk>
    <bk>
      <extLst>
        <ext uri="{3e2802c4-a4d2-4d8b-9148-e3be6c30e623}">
          <xlrd:rvb i="4573"/>
        </ext>
      </extLst>
    </bk>
    <bk>
      <extLst>
        <ext uri="{3e2802c4-a4d2-4d8b-9148-e3be6c30e623}">
          <xlrd:rvb i="4574"/>
        </ext>
      </extLst>
    </bk>
    <bk>
      <extLst>
        <ext uri="{3e2802c4-a4d2-4d8b-9148-e3be6c30e623}">
          <xlrd:rvb i="4575"/>
        </ext>
      </extLst>
    </bk>
    <bk>
      <extLst>
        <ext uri="{3e2802c4-a4d2-4d8b-9148-e3be6c30e623}">
          <xlrd:rvb i="4576"/>
        </ext>
      </extLst>
    </bk>
    <bk>
      <extLst>
        <ext uri="{3e2802c4-a4d2-4d8b-9148-e3be6c30e623}">
          <xlrd:rvb i="4577"/>
        </ext>
      </extLst>
    </bk>
    <bk>
      <extLst>
        <ext uri="{3e2802c4-a4d2-4d8b-9148-e3be6c30e623}">
          <xlrd:rvb i="4578"/>
        </ext>
      </extLst>
    </bk>
    <bk>
      <extLst>
        <ext uri="{3e2802c4-a4d2-4d8b-9148-e3be6c30e623}">
          <xlrd:rvb i="4579"/>
        </ext>
      </extLst>
    </bk>
    <bk>
      <extLst>
        <ext uri="{3e2802c4-a4d2-4d8b-9148-e3be6c30e623}">
          <xlrd:rvb i="4580"/>
        </ext>
      </extLst>
    </bk>
    <bk>
      <extLst>
        <ext uri="{3e2802c4-a4d2-4d8b-9148-e3be6c30e623}">
          <xlrd:rvb i="4581"/>
        </ext>
      </extLst>
    </bk>
    <bk>
      <extLst>
        <ext uri="{3e2802c4-a4d2-4d8b-9148-e3be6c30e623}">
          <xlrd:rvb i="4582"/>
        </ext>
      </extLst>
    </bk>
    <bk>
      <extLst>
        <ext uri="{3e2802c4-a4d2-4d8b-9148-e3be6c30e623}">
          <xlrd:rvb i="4583"/>
        </ext>
      </extLst>
    </bk>
    <bk>
      <extLst>
        <ext uri="{3e2802c4-a4d2-4d8b-9148-e3be6c30e623}">
          <xlrd:rvb i="4584"/>
        </ext>
      </extLst>
    </bk>
    <bk>
      <extLst>
        <ext uri="{3e2802c4-a4d2-4d8b-9148-e3be6c30e623}">
          <xlrd:rvb i="4585"/>
        </ext>
      </extLst>
    </bk>
    <bk>
      <extLst>
        <ext uri="{3e2802c4-a4d2-4d8b-9148-e3be6c30e623}">
          <xlrd:rvb i="4586"/>
        </ext>
      </extLst>
    </bk>
    <bk>
      <extLst>
        <ext uri="{3e2802c4-a4d2-4d8b-9148-e3be6c30e623}">
          <xlrd:rvb i="4587"/>
        </ext>
      </extLst>
    </bk>
    <bk>
      <extLst>
        <ext uri="{3e2802c4-a4d2-4d8b-9148-e3be6c30e623}">
          <xlrd:rvb i="4588"/>
        </ext>
      </extLst>
    </bk>
    <bk>
      <extLst>
        <ext uri="{3e2802c4-a4d2-4d8b-9148-e3be6c30e623}">
          <xlrd:rvb i="4589"/>
        </ext>
      </extLst>
    </bk>
    <bk>
      <extLst>
        <ext uri="{3e2802c4-a4d2-4d8b-9148-e3be6c30e623}">
          <xlrd:rvb i="4590"/>
        </ext>
      </extLst>
    </bk>
    <bk>
      <extLst>
        <ext uri="{3e2802c4-a4d2-4d8b-9148-e3be6c30e623}">
          <xlrd:rvb i="4591"/>
        </ext>
      </extLst>
    </bk>
    <bk>
      <extLst>
        <ext uri="{3e2802c4-a4d2-4d8b-9148-e3be6c30e623}">
          <xlrd:rvb i="4592"/>
        </ext>
      </extLst>
    </bk>
    <bk>
      <extLst>
        <ext uri="{3e2802c4-a4d2-4d8b-9148-e3be6c30e623}">
          <xlrd:rvb i="4593"/>
        </ext>
      </extLst>
    </bk>
    <bk>
      <extLst>
        <ext uri="{3e2802c4-a4d2-4d8b-9148-e3be6c30e623}">
          <xlrd:rvb i="4594"/>
        </ext>
      </extLst>
    </bk>
    <bk>
      <extLst>
        <ext uri="{3e2802c4-a4d2-4d8b-9148-e3be6c30e623}">
          <xlrd:rvb i="4595"/>
        </ext>
      </extLst>
    </bk>
    <bk>
      <extLst>
        <ext uri="{3e2802c4-a4d2-4d8b-9148-e3be6c30e623}">
          <xlrd:rvb i="4596"/>
        </ext>
      </extLst>
    </bk>
    <bk>
      <extLst>
        <ext uri="{3e2802c4-a4d2-4d8b-9148-e3be6c30e623}">
          <xlrd:rvb i="4597"/>
        </ext>
      </extLst>
    </bk>
    <bk>
      <extLst>
        <ext uri="{3e2802c4-a4d2-4d8b-9148-e3be6c30e623}">
          <xlrd:rvb i="4598"/>
        </ext>
      </extLst>
    </bk>
    <bk>
      <extLst>
        <ext uri="{3e2802c4-a4d2-4d8b-9148-e3be6c30e623}">
          <xlrd:rvb i="4599"/>
        </ext>
      </extLst>
    </bk>
    <bk>
      <extLst>
        <ext uri="{3e2802c4-a4d2-4d8b-9148-e3be6c30e623}">
          <xlrd:rvb i="4600"/>
        </ext>
      </extLst>
    </bk>
    <bk>
      <extLst>
        <ext uri="{3e2802c4-a4d2-4d8b-9148-e3be6c30e623}">
          <xlrd:rvb i="4601"/>
        </ext>
      </extLst>
    </bk>
    <bk>
      <extLst>
        <ext uri="{3e2802c4-a4d2-4d8b-9148-e3be6c30e623}">
          <xlrd:rvb i="4602"/>
        </ext>
      </extLst>
    </bk>
    <bk>
      <extLst>
        <ext uri="{3e2802c4-a4d2-4d8b-9148-e3be6c30e623}">
          <xlrd:rvb i="4603"/>
        </ext>
      </extLst>
    </bk>
    <bk>
      <extLst>
        <ext uri="{3e2802c4-a4d2-4d8b-9148-e3be6c30e623}">
          <xlrd:rvb i="4604"/>
        </ext>
      </extLst>
    </bk>
    <bk>
      <extLst>
        <ext uri="{3e2802c4-a4d2-4d8b-9148-e3be6c30e623}">
          <xlrd:rvb i="4605"/>
        </ext>
      </extLst>
    </bk>
    <bk>
      <extLst>
        <ext uri="{3e2802c4-a4d2-4d8b-9148-e3be6c30e623}">
          <xlrd:rvb i="4606"/>
        </ext>
      </extLst>
    </bk>
    <bk>
      <extLst>
        <ext uri="{3e2802c4-a4d2-4d8b-9148-e3be6c30e623}">
          <xlrd:rvb i="4607"/>
        </ext>
      </extLst>
    </bk>
    <bk>
      <extLst>
        <ext uri="{3e2802c4-a4d2-4d8b-9148-e3be6c30e623}">
          <xlrd:rvb i="4608"/>
        </ext>
      </extLst>
    </bk>
    <bk>
      <extLst>
        <ext uri="{3e2802c4-a4d2-4d8b-9148-e3be6c30e623}">
          <xlrd:rvb i="4609"/>
        </ext>
      </extLst>
    </bk>
    <bk>
      <extLst>
        <ext uri="{3e2802c4-a4d2-4d8b-9148-e3be6c30e623}">
          <xlrd:rvb i="4610"/>
        </ext>
      </extLst>
    </bk>
    <bk>
      <extLst>
        <ext uri="{3e2802c4-a4d2-4d8b-9148-e3be6c30e623}">
          <xlrd:rvb i="4611"/>
        </ext>
      </extLst>
    </bk>
    <bk>
      <extLst>
        <ext uri="{3e2802c4-a4d2-4d8b-9148-e3be6c30e623}">
          <xlrd:rvb i="4612"/>
        </ext>
      </extLst>
    </bk>
    <bk>
      <extLst>
        <ext uri="{3e2802c4-a4d2-4d8b-9148-e3be6c30e623}">
          <xlrd:rvb i="4613"/>
        </ext>
      </extLst>
    </bk>
    <bk>
      <extLst>
        <ext uri="{3e2802c4-a4d2-4d8b-9148-e3be6c30e623}">
          <xlrd:rvb i="4614"/>
        </ext>
      </extLst>
    </bk>
    <bk>
      <extLst>
        <ext uri="{3e2802c4-a4d2-4d8b-9148-e3be6c30e623}">
          <xlrd:rvb i="4615"/>
        </ext>
      </extLst>
    </bk>
    <bk>
      <extLst>
        <ext uri="{3e2802c4-a4d2-4d8b-9148-e3be6c30e623}">
          <xlrd:rvb i="4616"/>
        </ext>
      </extLst>
    </bk>
    <bk>
      <extLst>
        <ext uri="{3e2802c4-a4d2-4d8b-9148-e3be6c30e623}">
          <xlrd:rvb i="4617"/>
        </ext>
      </extLst>
    </bk>
    <bk>
      <extLst>
        <ext uri="{3e2802c4-a4d2-4d8b-9148-e3be6c30e623}">
          <xlrd:rvb i="4618"/>
        </ext>
      </extLst>
    </bk>
    <bk>
      <extLst>
        <ext uri="{3e2802c4-a4d2-4d8b-9148-e3be6c30e623}">
          <xlrd:rvb i="4619"/>
        </ext>
      </extLst>
    </bk>
    <bk>
      <extLst>
        <ext uri="{3e2802c4-a4d2-4d8b-9148-e3be6c30e623}">
          <xlrd:rvb i="4620"/>
        </ext>
      </extLst>
    </bk>
    <bk>
      <extLst>
        <ext uri="{3e2802c4-a4d2-4d8b-9148-e3be6c30e623}">
          <xlrd:rvb i="4621"/>
        </ext>
      </extLst>
    </bk>
    <bk>
      <extLst>
        <ext uri="{3e2802c4-a4d2-4d8b-9148-e3be6c30e623}">
          <xlrd:rvb i="4622"/>
        </ext>
      </extLst>
    </bk>
    <bk>
      <extLst>
        <ext uri="{3e2802c4-a4d2-4d8b-9148-e3be6c30e623}">
          <xlrd:rvb i="4623"/>
        </ext>
      </extLst>
    </bk>
    <bk>
      <extLst>
        <ext uri="{3e2802c4-a4d2-4d8b-9148-e3be6c30e623}">
          <xlrd:rvb i="4624"/>
        </ext>
      </extLst>
    </bk>
    <bk>
      <extLst>
        <ext uri="{3e2802c4-a4d2-4d8b-9148-e3be6c30e623}">
          <xlrd:rvb i="4625"/>
        </ext>
      </extLst>
    </bk>
    <bk>
      <extLst>
        <ext uri="{3e2802c4-a4d2-4d8b-9148-e3be6c30e623}">
          <xlrd:rvb i="4626"/>
        </ext>
      </extLst>
    </bk>
    <bk>
      <extLst>
        <ext uri="{3e2802c4-a4d2-4d8b-9148-e3be6c30e623}">
          <xlrd:rvb i="4627"/>
        </ext>
      </extLst>
    </bk>
    <bk>
      <extLst>
        <ext uri="{3e2802c4-a4d2-4d8b-9148-e3be6c30e623}">
          <xlrd:rvb i="4628"/>
        </ext>
      </extLst>
    </bk>
    <bk>
      <extLst>
        <ext uri="{3e2802c4-a4d2-4d8b-9148-e3be6c30e623}">
          <xlrd:rvb i="4629"/>
        </ext>
      </extLst>
    </bk>
    <bk>
      <extLst>
        <ext uri="{3e2802c4-a4d2-4d8b-9148-e3be6c30e623}">
          <xlrd:rvb i="4630"/>
        </ext>
      </extLst>
    </bk>
    <bk>
      <extLst>
        <ext uri="{3e2802c4-a4d2-4d8b-9148-e3be6c30e623}">
          <xlrd:rvb i="4631"/>
        </ext>
      </extLst>
    </bk>
    <bk>
      <extLst>
        <ext uri="{3e2802c4-a4d2-4d8b-9148-e3be6c30e623}">
          <xlrd:rvb i="4632"/>
        </ext>
      </extLst>
    </bk>
    <bk>
      <extLst>
        <ext uri="{3e2802c4-a4d2-4d8b-9148-e3be6c30e623}">
          <xlrd:rvb i="4633"/>
        </ext>
      </extLst>
    </bk>
    <bk>
      <extLst>
        <ext uri="{3e2802c4-a4d2-4d8b-9148-e3be6c30e623}">
          <xlrd:rvb i="4634"/>
        </ext>
      </extLst>
    </bk>
    <bk>
      <extLst>
        <ext uri="{3e2802c4-a4d2-4d8b-9148-e3be6c30e623}">
          <xlrd:rvb i="4635"/>
        </ext>
      </extLst>
    </bk>
    <bk>
      <extLst>
        <ext uri="{3e2802c4-a4d2-4d8b-9148-e3be6c30e623}">
          <xlrd:rvb i="4636"/>
        </ext>
      </extLst>
    </bk>
    <bk>
      <extLst>
        <ext uri="{3e2802c4-a4d2-4d8b-9148-e3be6c30e623}">
          <xlrd:rvb i="4637"/>
        </ext>
      </extLst>
    </bk>
    <bk>
      <extLst>
        <ext uri="{3e2802c4-a4d2-4d8b-9148-e3be6c30e623}">
          <xlrd:rvb i="4638"/>
        </ext>
      </extLst>
    </bk>
    <bk>
      <extLst>
        <ext uri="{3e2802c4-a4d2-4d8b-9148-e3be6c30e623}">
          <xlrd:rvb i="4639"/>
        </ext>
      </extLst>
    </bk>
    <bk>
      <extLst>
        <ext uri="{3e2802c4-a4d2-4d8b-9148-e3be6c30e623}">
          <xlrd:rvb i="4640"/>
        </ext>
      </extLst>
    </bk>
    <bk>
      <extLst>
        <ext uri="{3e2802c4-a4d2-4d8b-9148-e3be6c30e623}">
          <xlrd:rvb i="4641"/>
        </ext>
      </extLst>
    </bk>
    <bk>
      <extLst>
        <ext uri="{3e2802c4-a4d2-4d8b-9148-e3be6c30e623}">
          <xlrd:rvb i="4642"/>
        </ext>
      </extLst>
    </bk>
    <bk>
      <extLst>
        <ext uri="{3e2802c4-a4d2-4d8b-9148-e3be6c30e623}">
          <xlrd:rvb i="4643"/>
        </ext>
      </extLst>
    </bk>
    <bk>
      <extLst>
        <ext uri="{3e2802c4-a4d2-4d8b-9148-e3be6c30e623}">
          <xlrd:rvb i="4644"/>
        </ext>
      </extLst>
    </bk>
    <bk>
      <extLst>
        <ext uri="{3e2802c4-a4d2-4d8b-9148-e3be6c30e623}">
          <xlrd:rvb i="4645"/>
        </ext>
      </extLst>
    </bk>
    <bk>
      <extLst>
        <ext uri="{3e2802c4-a4d2-4d8b-9148-e3be6c30e623}">
          <xlrd:rvb i="4646"/>
        </ext>
      </extLst>
    </bk>
    <bk>
      <extLst>
        <ext uri="{3e2802c4-a4d2-4d8b-9148-e3be6c30e623}">
          <xlrd:rvb i="4647"/>
        </ext>
      </extLst>
    </bk>
    <bk>
      <extLst>
        <ext uri="{3e2802c4-a4d2-4d8b-9148-e3be6c30e623}">
          <xlrd:rvb i="4648"/>
        </ext>
      </extLst>
    </bk>
    <bk>
      <extLst>
        <ext uri="{3e2802c4-a4d2-4d8b-9148-e3be6c30e623}">
          <xlrd:rvb i="4649"/>
        </ext>
      </extLst>
    </bk>
    <bk>
      <extLst>
        <ext uri="{3e2802c4-a4d2-4d8b-9148-e3be6c30e623}">
          <xlrd:rvb i="4650"/>
        </ext>
      </extLst>
    </bk>
    <bk>
      <extLst>
        <ext uri="{3e2802c4-a4d2-4d8b-9148-e3be6c30e623}">
          <xlrd:rvb i="4651"/>
        </ext>
      </extLst>
    </bk>
    <bk>
      <extLst>
        <ext uri="{3e2802c4-a4d2-4d8b-9148-e3be6c30e623}">
          <xlrd:rvb i="4652"/>
        </ext>
      </extLst>
    </bk>
    <bk>
      <extLst>
        <ext uri="{3e2802c4-a4d2-4d8b-9148-e3be6c30e623}">
          <xlrd:rvb i="4653"/>
        </ext>
      </extLst>
    </bk>
    <bk>
      <extLst>
        <ext uri="{3e2802c4-a4d2-4d8b-9148-e3be6c30e623}">
          <xlrd:rvb i="4654"/>
        </ext>
      </extLst>
    </bk>
    <bk>
      <extLst>
        <ext uri="{3e2802c4-a4d2-4d8b-9148-e3be6c30e623}">
          <xlrd:rvb i="4655"/>
        </ext>
      </extLst>
    </bk>
    <bk>
      <extLst>
        <ext uri="{3e2802c4-a4d2-4d8b-9148-e3be6c30e623}">
          <xlrd:rvb i="4656"/>
        </ext>
      </extLst>
    </bk>
    <bk>
      <extLst>
        <ext uri="{3e2802c4-a4d2-4d8b-9148-e3be6c30e623}">
          <xlrd:rvb i="4657"/>
        </ext>
      </extLst>
    </bk>
    <bk>
      <extLst>
        <ext uri="{3e2802c4-a4d2-4d8b-9148-e3be6c30e623}">
          <xlrd:rvb i="4658"/>
        </ext>
      </extLst>
    </bk>
    <bk>
      <extLst>
        <ext uri="{3e2802c4-a4d2-4d8b-9148-e3be6c30e623}">
          <xlrd:rvb i="4659"/>
        </ext>
      </extLst>
    </bk>
    <bk>
      <extLst>
        <ext uri="{3e2802c4-a4d2-4d8b-9148-e3be6c30e623}">
          <xlrd:rvb i="4660"/>
        </ext>
      </extLst>
    </bk>
    <bk>
      <extLst>
        <ext uri="{3e2802c4-a4d2-4d8b-9148-e3be6c30e623}">
          <xlrd:rvb i="4661"/>
        </ext>
      </extLst>
    </bk>
    <bk>
      <extLst>
        <ext uri="{3e2802c4-a4d2-4d8b-9148-e3be6c30e623}">
          <xlrd:rvb i="4662"/>
        </ext>
      </extLst>
    </bk>
    <bk>
      <extLst>
        <ext uri="{3e2802c4-a4d2-4d8b-9148-e3be6c30e623}">
          <xlrd:rvb i="4663"/>
        </ext>
      </extLst>
    </bk>
    <bk>
      <extLst>
        <ext uri="{3e2802c4-a4d2-4d8b-9148-e3be6c30e623}">
          <xlrd:rvb i="4664"/>
        </ext>
      </extLst>
    </bk>
    <bk>
      <extLst>
        <ext uri="{3e2802c4-a4d2-4d8b-9148-e3be6c30e623}">
          <xlrd:rvb i="4665"/>
        </ext>
      </extLst>
    </bk>
    <bk>
      <extLst>
        <ext uri="{3e2802c4-a4d2-4d8b-9148-e3be6c30e623}">
          <xlrd:rvb i="4666"/>
        </ext>
      </extLst>
    </bk>
    <bk>
      <extLst>
        <ext uri="{3e2802c4-a4d2-4d8b-9148-e3be6c30e623}">
          <xlrd:rvb i="4667"/>
        </ext>
      </extLst>
    </bk>
    <bk>
      <extLst>
        <ext uri="{3e2802c4-a4d2-4d8b-9148-e3be6c30e623}">
          <xlrd:rvb i="4668"/>
        </ext>
      </extLst>
    </bk>
    <bk>
      <extLst>
        <ext uri="{3e2802c4-a4d2-4d8b-9148-e3be6c30e623}">
          <xlrd:rvb i="4669"/>
        </ext>
      </extLst>
    </bk>
    <bk>
      <extLst>
        <ext uri="{3e2802c4-a4d2-4d8b-9148-e3be6c30e623}">
          <xlrd:rvb i="4670"/>
        </ext>
      </extLst>
    </bk>
    <bk>
      <extLst>
        <ext uri="{3e2802c4-a4d2-4d8b-9148-e3be6c30e623}">
          <xlrd:rvb i="4671"/>
        </ext>
      </extLst>
    </bk>
    <bk>
      <extLst>
        <ext uri="{3e2802c4-a4d2-4d8b-9148-e3be6c30e623}">
          <xlrd:rvb i="4672"/>
        </ext>
      </extLst>
    </bk>
    <bk>
      <extLst>
        <ext uri="{3e2802c4-a4d2-4d8b-9148-e3be6c30e623}">
          <xlrd:rvb i="4673"/>
        </ext>
      </extLst>
    </bk>
    <bk>
      <extLst>
        <ext uri="{3e2802c4-a4d2-4d8b-9148-e3be6c30e623}">
          <xlrd:rvb i="4674"/>
        </ext>
      </extLst>
    </bk>
    <bk>
      <extLst>
        <ext uri="{3e2802c4-a4d2-4d8b-9148-e3be6c30e623}">
          <xlrd:rvb i="4675"/>
        </ext>
      </extLst>
    </bk>
    <bk>
      <extLst>
        <ext uri="{3e2802c4-a4d2-4d8b-9148-e3be6c30e623}">
          <xlrd:rvb i="4676"/>
        </ext>
      </extLst>
    </bk>
    <bk>
      <extLst>
        <ext uri="{3e2802c4-a4d2-4d8b-9148-e3be6c30e623}">
          <xlrd:rvb i="4677"/>
        </ext>
      </extLst>
    </bk>
    <bk>
      <extLst>
        <ext uri="{3e2802c4-a4d2-4d8b-9148-e3be6c30e623}">
          <xlrd:rvb i="4678"/>
        </ext>
      </extLst>
    </bk>
    <bk>
      <extLst>
        <ext uri="{3e2802c4-a4d2-4d8b-9148-e3be6c30e623}">
          <xlrd:rvb i="4679"/>
        </ext>
      </extLst>
    </bk>
    <bk>
      <extLst>
        <ext uri="{3e2802c4-a4d2-4d8b-9148-e3be6c30e623}">
          <xlrd:rvb i="4680"/>
        </ext>
      </extLst>
    </bk>
    <bk>
      <extLst>
        <ext uri="{3e2802c4-a4d2-4d8b-9148-e3be6c30e623}">
          <xlrd:rvb i="4681"/>
        </ext>
      </extLst>
    </bk>
    <bk>
      <extLst>
        <ext uri="{3e2802c4-a4d2-4d8b-9148-e3be6c30e623}">
          <xlrd:rvb i="4682"/>
        </ext>
      </extLst>
    </bk>
    <bk>
      <extLst>
        <ext uri="{3e2802c4-a4d2-4d8b-9148-e3be6c30e623}">
          <xlrd:rvb i="4683"/>
        </ext>
      </extLst>
    </bk>
    <bk>
      <extLst>
        <ext uri="{3e2802c4-a4d2-4d8b-9148-e3be6c30e623}">
          <xlrd:rvb i="4684"/>
        </ext>
      </extLst>
    </bk>
    <bk>
      <extLst>
        <ext uri="{3e2802c4-a4d2-4d8b-9148-e3be6c30e623}">
          <xlrd:rvb i="4685"/>
        </ext>
      </extLst>
    </bk>
    <bk>
      <extLst>
        <ext uri="{3e2802c4-a4d2-4d8b-9148-e3be6c30e623}">
          <xlrd:rvb i="4686"/>
        </ext>
      </extLst>
    </bk>
    <bk>
      <extLst>
        <ext uri="{3e2802c4-a4d2-4d8b-9148-e3be6c30e623}">
          <xlrd:rvb i="4687"/>
        </ext>
      </extLst>
    </bk>
    <bk>
      <extLst>
        <ext uri="{3e2802c4-a4d2-4d8b-9148-e3be6c30e623}">
          <xlrd:rvb i="4688"/>
        </ext>
      </extLst>
    </bk>
    <bk>
      <extLst>
        <ext uri="{3e2802c4-a4d2-4d8b-9148-e3be6c30e623}">
          <xlrd:rvb i="4689"/>
        </ext>
      </extLst>
    </bk>
    <bk>
      <extLst>
        <ext uri="{3e2802c4-a4d2-4d8b-9148-e3be6c30e623}">
          <xlrd:rvb i="4690"/>
        </ext>
      </extLst>
    </bk>
    <bk>
      <extLst>
        <ext uri="{3e2802c4-a4d2-4d8b-9148-e3be6c30e623}">
          <xlrd:rvb i="4691"/>
        </ext>
      </extLst>
    </bk>
    <bk>
      <extLst>
        <ext uri="{3e2802c4-a4d2-4d8b-9148-e3be6c30e623}">
          <xlrd:rvb i="4692"/>
        </ext>
      </extLst>
    </bk>
    <bk>
      <extLst>
        <ext uri="{3e2802c4-a4d2-4d8b-9148-e3be6c30e623}">
          <xlrd:rvb i="4693"/>
        </ext>
      </extLst>
    </bk>
    <bk>
      <extLst>
        <ext uri="{3e2802c4-a4d2-4d8b-9148-e3be6c30e623}">
          <xlrd:rvb i="4694"/>
        </ext>
      </extLst>
    </bk>
    <bk>
      <extLst>
        <ext uri="{3e2802c4-a4d2-4d8b-9148-e3be6c30e623}">
          <xlrd:rvb i="4695"/>
        </ext>
      </extLst>
    </bk>
    <bk>
      <extLst>
        <ext uri="{3e2802c4-a4d2-4d8b-9148-e3be6c30e623}">
          <xlrd:rvb i="4696"/>
        </ext>
      </extLst>
    </bk>
    <bk>
      <extLst>
        <ext uri="{3e2802c4-a4d2-4d8b-9148-e3be6c30e623}">
          <xlrd:rvb i="4697"/>
        </ext>
      </extLst>
    </bk>
    <bk>
      <extLst>
        <ext uri="{3e2802c4-a4d2-4d8b-9148-e3be6c30e623}">
          <xlrd:rvb i="4698"/>
        </ext>
      </extLst>
    </bk>
    <bk>
      <extLst>
        <ext uri="{3e2802c4-a4d2-4d8b-9148-e3be6c30e623}">
          <xlrd:rvb i="4699"/>
        </ext>
      </extLst>
    </bk>
    <bk>
      <extLst>
        <ext uri="{3e2802c4-a4d2-4d8b-9148-e3be6c30e623}">
          <xlrd:rvb i="4700"/>
        </ext>
      </extLst>
    </bk>
    <bk>
      <extLst>
        <ext uri="{3e2802c4-a4d2-4d8b-9148-e3be6c30e623}">
          <xlrd:rvb i="4701"/>
        </ext>
      </extLst>
    </bk>
    <bk>
      <extLst>
        <ext uri="{3e2802c4-a4d2-4d8b-9148-e3be6c30e623}">
          <xlrd:rvb i="4702"/>
        </ext>
      </extLst>
    </bk>
    <bk>
      <extLst>
        <ext uri="{3e2802c4-a4d2-4d8b-9148-e3be6c30e623}">
          <xlrd:rvb i="4703"/>
        </ext>
      </extLst>
    </bk>
    <bk>
      <extLst>
        <ext uri="{3e2802c4-a4d2-4d8b-9148-e3be6c30e623}">
          <xlrd:rvb i="4704"/>
        </ext>
      </extLst>
    </bk>
    <bk>
      <extLst>
        <ext uri="{3e2802c4-a4d2-4d8b-9148-e3be6c30e623}">
          <xlrd:rvb i="4705"/>
        </ext>
      </extLst>
    </bk>
    <bk>
      <extLst>
        <ext uri="{3e2802c4-a4d2-4d8b-9148-e3be6c30e623}">
          <xlrd:rvb i="4706"/>
        </ext>
      </extLst>
    </bk>
    <bk>
      <extLst>
        <ext uri="{3e2802c4-a4d2-4d8b-9148-e3be6c30e623}">
          <xlrd:rvb i="4707"/>
        </ext>
      </extLst>
    </bk>
    <bk>
      <extLst>
        <ext uri="{3e2802c4-a4d2-4d8b-9148-e3be6c30e623}">
          <xlrd:rvb i="4708"/>
        </ext>
      </extLst>
    </bk>
    <bk>
      <extLst>
        <ext uri="{3e2802c4-a4d2-4d8b-9148-e3be6c30e623}">
          <xlrd:rvb i="4709"/>
        </ext>
      </extLst>
    </bk>
    <bk>
      <extLst>
        <ext uri="{3e2802c4-a4d2-4d8b-9148-e3be6c30e623}">
          <xlrd:rvb i="4710"/>
        </ext>
      </extLst>
    </bk>
    <bk>
      <extLst>
        <ext uri="{3e2802c4-a4d2-4d8b-9148-e3be6c30e623}">
          <xlrd:rvb i="4711"/>
        </ext>
      </extLst>
    </bk>
    <bk>
      <extLst>
        <ext uri="{3e2802c4-a4d2-4d8b-9148-e3be6c30e623}">
          <xlrd:rvb i="4712"/>
        </ext>
      </extLst>
    </bk>
    <bk>
      <extLst>
        <ext uri="{3e2802c4-a4d2-4d8b-9148-e3be6c30e623}">
          <xlrd:rvb i="4713"/>
        </ext>
      </extLst>
    </bk>
    <bk>
      <extLst>
        <ext uri="{3e2802c4-a4d2-4d8b-9148-e3be6c30e623}">
          <xlrd:rvb i="4714"/>
        </ext>
      </extLst>
    </bk>
    <bk>
      <extLst>
        <ext uri="{3e2802c4-a4d2-4d8b-9148-e3be6c30e623}">
          <xlrd:rvb i="4715"/>
        </ext>
      </extLst>
    </bk>
    <bk>
      <extLst>
        <ext uri="{3e2802c4-a4d2-4d8b-9148-e3be6c30e623}">
          <xlrd:rvb i="4716"/>
        </ext>
      </extLst>
    </bk>
    <bk>
      <extLst>
        <ext uri="{3e2802c4-a4d2-4d8b-9148-e3be6c30e623}">
          <xlrd:rvb i="4717"/>
        </ext>
      </extLst>
    </bk>
    <bk>
      <extLst>
        <ext uri="{3e2802c4-a4d2-4d8b-9148-e3be6c30e623}">
          <xlrd:rvb i="4718"/>
        </ext>
      </extLst>
    </bk>
    <bk>
      <extLst>
        <ext uri="{3e2802c4-a4d2-4d8b-9148-e3be6c30e623}">
          <xlrd:rvb i="4719"/>
        </ext>
      </extLst>
    </bk>
    <bk>
      <extLst>
        <ext uri="{3e2802c4-a4d2-4d8b-9148-e3be6c30e623}">
          <xlrd:rvb i="4720"/>
        </ext>
      </extLst>
    </bk>
    <bk>
      <extLst>
        <ext uri="{3e2802c4-a4d2-4d8b-9148-e3be6c30e623}">
          <xlrd:rvb i="4721"/>
        </ext>
      </extLst>
    </bk>
    <bk>
      <extLst>
        <ext uri="{3e2802c4-a4d2-4d8b-9148-e3be6c30e623}">
          <xlrd:rvb i="4722"/>
        </ext>
      </extLst>
    </bk>
    <bk>
      <extLst>
        <ext uri="{3e2802c4-a4d2-4d8b-9148-e3be6c30e623}">
          <xlrd:rvb i="4723"/>
        </ext>
      </extLst>
    </bk>
    <bk>
      <extLst>
        <ext uri="{3e2802c4-a4d2-4d8b-9148-e3be6c30e623}">
          <xlrd:rvb i="4724"/>
        </ext>
      </extLst>
    </bk>
    <bk>
      <extLst>
        <ext uri="{3e2802c4-a4d2-4d8b-9148-e3be6c30e623}">
          <xlrd:rvb i="4725"/>
        </ext>
      </extLst>
    </bk>
    <bk>
      <extLst>
        <ext uri="{3e2802c4-a4d2-4d8b-9148-e3be6c30e623}">
          <xlrd:rvb i="4726"/>
        </ext>
      </extLst>
    </bk>
    <bk>
      <extLst>
        <ext uri="{3e2802c4-a4d2-4d8b-9148-e3be6c30e623}">
          <xlrd:rvb i="4727"/>
        </ext>
      </extLst>
    </bk>
    <bk>
      <extLst>
        <ext uri="{3e2802c4-a4d2-4d8b-9148-e3be6c30e623}">
          <xlrd:rvb i="4728"/>
        </ext>
      </extLst>
    </bk>
    <bk>
      <extLst>
        <ext uri="{3e2802c4-a4d2-4d8b-9148-e3be6c30e623}">
          <xlrd:rvb i="4729"/>
        </ext>
      </extLst>
    </bk>
    <bk>
      <extLst>
        <ext uri="{3e2802c4-a4d2-4d8b-9148-e3be6c30e623}">
          <xlrd:rvb i="4730"/>
        </ext>
      </extLst>
    </bk>
    <bk>
      <extLst>
        <ext uri="{3e2802c4-a4d2-4d8b-9148-e3be6c30e623}">
          <xlrd:rvb i="4731"/>
        </ext>
      </extLst>
    </bk>
    <bk>
      <extLst>
        <ext uri="{3e2802c4-a4d2-4d8b-9148-e3be6c30e623}">
          <xlrd:rvb i="4732"/>
        </ext>
      </extLst>
    </bk>
    <bk>
      <extLst>
        <ext uri="{3e2802c4-a4d2-4d8b-9148-e3be6c30e623}">
          <xlrd:rvb i="4733"/>
        </ext>
      </extLst>
    </bk>
    <bk>
      <extLst>
        <ext uri="{3e2802c4-a4d2-4d8b-9148-e3be6c30e623}">
          <xlrd:rvb i="4734"/>
        </ext>
      </extLst>
    </bk>
    <bk>
      <extLst>
        <ext uri="{3e2802c4-a4d2-4d8b-9148-e3be6c30e623}">
          <xlrd:rvb i="4735"/>
        </ext>
      </extLst>
    </bk>
    <bk>
      <extLst>
        <ext uri="{3e2802c4-a4d2-4d8b-9148-e3be6c30e623}">
          <xlrd:rvb i="4736"/>
        </ext>
      </extLst>
    </bk>
    <bk>
      <extLst>
        <ext uri="{3e2802c4-a4d2-4d8b-9148-e3be6c30e623}">
          <xlrd:rvb i="4737"/>
        </ext>
      </extLst>
    </bk>
    <bk>
      <extLst>
        <ext uri="{3e2802c4-a4d2-4d8b-9148-e3be6c30e623}">
          <xlrd:rvb i="4738"/>
        </ext>
      </extLst>
    </bk>
    <bk>
      <extLst>
        <ext uri="{3e2802c4-a4d2-4d8b-9148-e3be6c30e623}">
          <xlrd:rvb i="4739"/>
        </ext>
      </extLst>
    </bk>
    <bk>
      <extLst>
        <ext uri="{3e2802c4-a4d2-4d8b-9148-e3be6c30e623}">
          <xlrd:rvb i="4740"/>
        </ext>
      </extLst>
    </bk>
    <bk>
      <extLst>
        <ext uri="{3e2802c4-a4d2-4d8b-9148-e3be6c30e623}">
          <xlrd:rvb i="4741"/>
        </ext>
      </extLst>
    </bk>
    <bk>
      <extLst>
        <ext uri="{3e2802c4-a4d2-4d8b-9148-e3be6c30e623}">
          <xlrd:rvb i="4742"/>
        </ext>
      </extLst>
    </bk>
    <bk>
      <extLst>
        <ext uri="{3e2802c4-a4d2-4d8b-9148-e3be6c30e623}">
          <xlrd:rvb i="4743"/>
        </ext>
      </extLst>
    </bk>
    <bk>
      <extLst>
        <ext uri="{3e2802c4-a4d2-4d8b-9148-e3be6c30e623}">
          <xlrd:rvb i="4744"/>
        </ext>
      </extLst>
    </bk>
    <bk>
      <extLst>
        <ext uri="{3e2802c4-a4d2-4d8b-9148-e3be6c30e623}">
          <xlrd:rvb i="4745"/>
        </ext>
      </extLst>
    </bk>
    <bk>
      <extLst>
        <ext uri="{3e2802c4-a4d2-4d8b-9148-e3be6c30e623}">
          <xlrd:rvb i="4746"/>
        </ext>
      </extLst>
    </bk>
    <bk>
      <extLst>
        <ext uri="{3e2802c4-a4d2-4d8b-9148-e3be6c30e623}">
          <xlrd:rvb i="4747"/>
        </ext>
      </extLst>
    </bk>
    <bk>
      <extLst>
        <ext uri="{3e2802c4-a4d2-4d8b-9148-e3be6c30e623}">
          <xlrd:rvb i="4748"/>
        </ext>
      </extLst>
    </bk>
    <bk>
      <extLst>
        <ext uri="{3e2802c4-a4d2-4d8b-9148-e3be6c30e623}">
          <xlrd:rvb i="4749"/>
        </ext>
      </extLst>
    </bk>
    <bk>
      <extLst>
        <ext uri="{3e2802c4-a4d2-4d8b-9148-e3be6c30e623}">
          <xlrd:rvb i="4750"/>
        </ext>
      </extLst>
    </bk>
    <bk>
      <extLst>
        <ext uri="{3e2802c4-a4d2-4d8b-9148-e3be6c30e623}">
          <xlrd:rvb i="4751"/>
        </ext>
      </extLst>
    </bk>
    <bk>
      <extLst>
        <ext uri="{3e2802c4-a4d2-4d8b-9148-e3be6c30e623}">
          <xlrd:rvb i="4752"/>
        </ext>
      </extLst>
    </bk>
    <bk>
      <extLst>
        <ext uri="{3e2802c4-a4d2-4d8b-9148-e3be6c30e623}">
          <xlrd:rvb i="4753"/>
        </ext>
      </extLst>
    </bk>
    <bk>
      <extLst>
        <ext uri="{3e2802c4-a4d2-4d8b-9148-e3be6c30e623}">
          <xlrd:rvb i="4754"/>
        </ext>
      </extLst>
    </bk>
    <bk>
      <extLst>
        <ext uri="{3e2802c4-a4d2-4d8b-9148-e3be6c30e623}">
          <xlrd:rvb i="4755"/>
        </ext>
      </extLst>
    </bk>
    <bk>
      <extLst>
        <ext uri="{3e2802c4-a4d2-4d8b-9148-e3be6c30e623}">
          <xlrd:rvb i="4756"/>
        </ext>
      </extLst>
    </bk>
    <bk>
      <extLst>
        <ext uri="{3e2802c4-a4d2-4d8b-9148-e3be6c30e623}">
          <xlrd:rvb i="4757"/>
        </ext>
      </extLst>
    </bk>
    <bk>
      <extLst>
        <ext uri="{3e2802c4-a4d2-4d8b-9148-e3be6c30e623}">
          <xlrd:rvb i="4758"/>
        </ext>
      </extLst>
    </bk>
    <bk>
      <extLst>
        <ext uri="{3e2802c4-a4d2-4d8b-9148-e3be6c30e623}">
          <xlrd:rvb i="4759"/>
        </ext>
      </extLst>
    </bk>
    <bk>
      <extLst>
        <ext uri="{3e2802c4-a4d2-4d8b-9148-e3be6c30e623}">
          <xlrd:rvb i="4760"/>
        </ext>
      </extLst>
    </bk>
    <bk>
      <extLst>
        <ext uri="{3e2802c4-a4d2-4d8b-9148-e3be6c30e623}">
          <xlrd:rvb i="4761"/>
        </ext>
      </extLst>
    </bk>
    <bk>
      <extLst>
        <ext uri="{3e2802c4-a4d2-4d8b-9148-e3be6c30e623}">
          <xlrd:rvb i="4762"/>
        </ext>
      </extLst>
    </bk>
    <bk>
      <extLst>
        <ext uri="{3e2802c4-a4d2-4d8b-9148-e3be6c30e623}">
          <xlrd:rvb i="4763"/>
        </ext>
      </extLst>
    </bk>
    <bk>
      <extLst>
        <ext uri="{3e2802c4-a4d2-4d8b-9148-e3be6c30e623}">
          <xlrd:rvb i="4764"/>
        </ext>
      </extLst>
    </bk>
    <bk>
      <extLst>
        <ext uri="{3e2802c4-a4d2-4d8b-9148-e3be6c30e623}">
          <xlrd:rvb i="4765"/>
        </ext>
      </extLst>
    </bk>
    <bk>
      <extLst>
        <ext uri="{3e2802c4-a4d2-4d8b-9148-e3be6c30e623}">
          <xlrd:rvb i="4766"/>
        </ext>
      </extLst>
    </bk>
    <bk>
      <extLst>
        <ext uri="{3e2802c4-a4d2-4d8b-9148-e3be6c30e623}">
          <xlrd:rvb i="4767"/>
        </ext>
      </extLst>
    </bk>
    <bk>
      <extLst>
        <ext uri="{3e2802c4-a4d2-4d8b-9148-e3be6c30e623}">
          <xlrd:rvb i="4768"/>
        </ext>
      </extLst>
    </bk>
    <bk>
      <extLst>
        <ext uri="{3e2802c4-a4d2-4d8b-9148-e3be6c30e623}">
          <xlrd:rvb i="4769"/>
        </ext>
      </extLst>
    </bk>
    <bk>
      <extLst>
        <ext uri="{3e2802c4-a4d2-4d8b-9148-e3be6c30e623}">
          <xlrd:rvb i="4770"/>
        </ext>
      </extLst>
    </bk>
    <bk>
      <extLst>
        <ext uri="{3e2802c4-a4d2-4d8b-9148-e3be6c30e623}">
          <xlrd:rvb i="4771"/>
        </ext>
      </extLst>
    </bk>
    <bk>
      <extLst>
        <ext uri="{3e2802c4-a4d2-4d8b-9148-e3be6c30e623}">
          <xlrd:rvb i="4772"/>
        </ext>
      </extLst>
    </bk>
    <bk>
      <extLst>
        <ext uri="{3e2802c4-a4d2-4d8b-9148-e3be6c30e623}">
          <xlrd:rvb i="4773"/>
        </ext>
      </extLst>
    </bk>
    <bk>
      <extLst>
        <ext uri="{3e2802c4-a4d2-4d8b-9148-e3be6c30e623}">
          <xlrd:rvb i="4774"/>
        </ext>
      </extLst>
    </bk>
    <bk>
      <extLst>
        <ext uri="{3e2802c4-a4d2-4d8b-9148-e3be6c30e623}">
          <xlrd:rvb i="4775"/>
        </ext>
      </extLst>
    </bk>
    <bk>
      <extLst>
        <ext uri="{3e2802c4-a4d2-4d8b-9148-e3be6c30e623}">
          <xlrd:rvb i="4776"/>
        </ext>
      </extLst>
    </bk>
    <bk>
      <extLst>
        <ext uri="{3e2802c4-a4d2-4d8b-9148-e3be6c30e623}">
          <xlrd:rvb i="4777"/>
        </ext>
      </extLst>
    </bk>
    <bk>
      <extLst>
        <ext uri="{3e2802c4-a4d2-4d8b-9148-e3be6c30e623}">
          <xlrd:rvb i="4778"/>
        </ext>
      </extLst>
    </bk>
    <bk>
      <extLst>
        <ext uri="{3e2802c4-a4d2-4d8b-9148-e3be6c30e623}">
          <xlrd:rvb i="4779"/>
        </ext>
      </extLst>
    </bk>
    <bk>
      <extLst>
        <ext uri="{3e2802c4-a4d2-4d8b-9148-e3be6c30e623}">
          <xlrd:rvb i="4780"/>
        </ext>
      </extLst>
    </bk>
    <bk>
      <extLst>
        <ext uri="{3e2802c4-a4d2-4d8b-9148-e3be6c30e623}">
          <xlrd:rvb i="4781"/>
        </ext>
      </extLst>
    </bk>
    <bk>
      <extLst>
        <ext uri="{3e2802c4-a4d2-4d8b-9148-e3be6c30e623}">
          <xlrd:rvb i="4782"/>
        </ext>
      </extLst>
    </bk>
    <bk>
      <extLst>
        <ext uri="{3e2802c4-a4d2-4d8b-9148-e3be6c30e623}">
          <xlrd:rvb i="4783"/>
        </ext>
      </extLst>
    </bk>
    <bk>
      <extLst>
        <ext uri="{3e2802c4-a4d2-4d8b-9148-e3be6c30e623}">
          <xlrd:rvb i="4784"/>
        </ext>
      </extLst>
    </bk>
    <bk>
      <extLst>
        <ext uri="{3e2802c4-a4d2-4d8b-9148-e3be6c30e623}">
          <xlrd:rvb i="4785"/>
        </ext>
      </extLst>
    </bk>
    <bk>
      <extLst>
        <ext uri="{3e2802c4-a4d2-4d8b-9148-e3be6c30e623}">
          <xlrd:rvb i="4786"/>
        </ext>
      </extLst>
    </bk>
    <bk>
      <extLst>
        <ext uri="{3e2802c4-a4d2-4d8b-9148-e3be6c30e623}">
          <xlrd:rvb i="4787"/>
        </ext>
      </extLst>
    </bk>
    <bk>
      <extLst>
        <ext uri="{3e2802c4-a4d2-4d8b-9148-e3be6c30e623}">
          <xlrd:rvb i="4788"/>
        </ext>
      </extLst>
    </bk>
    <bk>
      <extLst>
        <ext uri="{3e2802c4-a4d2-4d8b-9148-e3be6c30e623}">
          <xlrd:rvb i="4789"/>
        </ext>
      </extLst>
    </bk>
    <bk>
      <extLst>
        <ext uri="{3e2802c4-a4d2-4d8b-9148-e3be6c30e623}">
          <xlrd:rvb i="4790"/>
        </ext>
      </extLst>
    </bk>
    <bk>
      <extLst>
        <ext uri="{3e2802c4-a4d2-4d8b-9148-e3be6c30e623}">
          <xlrd:rvb i="4791"/>
        </ext>
      </extLst>
    </bk>
    <bk>
      <extLst>
        <ext uri="{3e2802c4-a4d2-4d8b-9148-e3be6c30e623}">
          <xlrd:rvb i="4792"/>
        </ext>
      </extLst>
    </bk>
    <bk>
      <extLst>
        <ext uri="{3e2802c4-a4d2-4d8b-9148-e3be6c30e623}">
          <xlrd:rvb i="4793"/>
        </ext>
      </extLst>
    </bk>
    <bk>
      <extLst>
        <ext uri="{3e2802c4-a4d2-4d8b-9148-e3be6c30e623}">
          <xlrd:rvb i="4794"/>
        </ext>
      </extLst>
    </bk>
    <bk>
      <extLst>
        <ext uri="{3e2802c4-a4d2-4d8b-9148-e3be6c30e623}">
          <xlrd:rvb i="4795"/>
        </ext>
      </extLst>
    </bk>
    <bk>
      <extLst>
        <ext uri="{3e2802c4-a4d2-4d8b-9148-e3be6c30e623}">
          <xlrd:rvb i="4796"/>
        </ext>
      </extLst>
    </bk>
    <bk>
      <extLst>
        <ext uri="{3e2802c4-a4d2-4d8b-9148-e3be6c30e623}">
          <xlrd:rvb i="4797"/>
        </ext>
      </extLst>
    </bk>
    <bk>
      <extLst>
        <ext uri="{3e2802c4-a4d2-4d8b-9148-e3be6c30e623}">
          <xlrd:rvb i="4798"/>
        </ext>
      </extLst>
    </bk>
    <bk>
      <extLst>
        <ext uri="{3e2802c4-a4d2-4d8b-9148-e3be6c30e623}">
          <xlrd:rvb i="4799"/>
        </ext>
      </extLst>
    </bk>
    <bk>
      <extLst>
        <ext uri="{3e2802c4-a4d2-4d8b-9148-e3be6c30e623}">
          <xlrd:rvb i="4800"/>
        </ext>
      </extLst>
    </bk>
    <bk>
      <extLst>
        <ext uri="{3e2802c4-a4d2-4d8b-9148-e3be6c30e623}">
          <xlrd:rvb i="4801"/>
        </ext>
      </extLst>
    </bk>
    <bk>
      <extLst>
        <ext uri="{3e2802c4-a4d2-4d8b-9148-e3be6c30e623}">
          <xlrd:rvb i="4802"/>
        </ext>
      </extLst>
    </bk>
    <bk>
      <extLst>
        <ext uri="{3e2802c4-a4d2-4d8b-9148-e3be6c30e623}">
          <xlrd:rvb i="4803"/>
        </ext>
      </extLst>
    </bk>
    <bk>
      <extLst>
        <ext uri="{3e2802c4-a4d2-4d8b-9148-e3be6c30e623}">
          <xlrd:rvb i="4804"/>
        </ext>
      </extLst>
    </bk>
    <bk>
      <extLst>
        <ext uri="{3e2802c4-a4d2-4d8b-9148-e3be6c30e623}">
          <xlrd:rvb i="4805"/>
        </ext>
      </extLst>
    </bk>
    <bk>
      <extLst>
        <ext uri="{3e2802c4-a4d2-4d8b-9148-e3be6c30e623}">
          <xlrd:rvb i="4806"/>
        </ext>
      </extLst>
    </bk>
    <bk>
      <extLst>
        <ext uri="{3e2802c4-a4d2-4d8b-9148-e3be6c30e623}">
          <xlrd:rvb i="4807"/>
        </ext>
      </extLst>
    </bk>
    <bk>
      <extLst>
        <ext uri="{3e2802c4-a4d2-4d8b-9148-e3be6c30e623}">
          <xlrd:rvb i="4808"/>
        </ext>
      </extLst>
    </bk>
    <bk>
      <extLst>
        <ext uri="{3e2802c4-a4d2-4d8b-9148-e3be6c30e623}">
          <xlrd:rvb i="4809"/>
        </ext>
      </extLst>
    </bk>
    <bk>
      <extLst>
        <ext uri="{3e2802c4-a4d2-4d8b-9148-e3be6c30e623}">
          <xlrd:rvb i="4810"/>
        </ext>
      </extLst>
    </bk>
    <bk>
      <extLst>
        <ext uri="{3e2802c4-a4d2-4d8b-9148-e3be6c30e623}">
          <xlrd:rvb i="4811"/>
        </ext>
      </extLst>
    </bk>
    <bk>
      <extLst>
        <ext uri="{3e2802c4-a4d2-4d8b-9148-e3be6c30e623}">
          <xlrd:rvb i="4812"/>
        </ext>
      </extLst>
    </bk>
    <bk>
      <extLst>
        <ext uri="{3e2802c4-a4d2-4d8b-9148-e3be6c30e623}">
          <xlrd:rvb i="4813"/>
        </ext>
      </extLst>
    </bk>
    <bk>
      <extLst>
        <ext uri="{3e2802c4-a4d2-4d8b-9148-e3be6c30e623}">
          <xlrd:rvb i="4814"/>
        </ext>
      </extLst>
    </bk>
    <bk>
      <extLst>
        <ext uri="{3e2802c4-a4d2-4d8b-9148-e3be6c30e623}">
          <xlrd:rvb i="4815"/>
        </ext>
      </extLst>
    </bk>
    <bk>
      <extLst>
        <ext uri="{3e2802c4-a4d2-4d8b-9148-e3be6c30e623}">
          <xlrd:rvb i="4816"/>
        </ext>
      </extLst>
    </bk>
    <bk>
      <extLst>
        <ext uri="{3e2802c4-a4d2-4d8b-9148-e3be6c30e623}">
          <xlrd:rvb i="4817"/>
        </ext>
      </extLst>
    </bk>
    <bk>
      <extLst>
        <ext uri="{3e2802c4-a4d2-4d8b-9148-e3be6c30e623}">
          <xlrd:rvb i="4818"/>
        </ext>
      </extLst>
    </bk>
    <bk>
      <extLst>
        <ext uri="{3e2802c4-a4d2-4d8b-9148-e3be6c30e623}">
          <xlrd:rvb i="4819"/>
        </ext>
      </extLst>
    </bk>
    <bk>
      <extLst>
        <ext uri="{3e2802c4-a4d2-4d8b-9148-e3be6c30e623}">
          <xlrd:rvb i="4820"/>
        </ext>
      </extLst>
    </bk>
    <bk>
      <extLst>
        <ext uri="{3e2802c4-a4d2-4d8b-9148-e3be6c30e623}">
          <xlrd:rvb i="4821"/>
        </ext>
      </extLst>
    </bk>
    <bk>
      <extLst>
        <ext uri="{3e2802c4-a4d2-4d8b-9148-e3be6c30e623}">
          <xlrd:rvb i="4822"/>
        </ext>
      </extLst>
    </bk>
    <bk>
      <extLst>
        <ext uri="{3e2802c4-a4d2-4d8b-9148-e3be6c30e623}">
          <xlrd:rvb i="4823"/>
        </ext>
      </extLst>
    </bk>
    <bk>
      <extLst>
        <ext uri="{3e2802c4-a4d2-4d8b-9148-e3be6c30e623}">
          <xlrd:rvb i="4824"/>
        </ext>
      </extLst>
    </bk>
    <bk>
      <extLst>
        <ext uri="{3e2802c4-a4d2-4d8b-9148-e3be6c30e623}">
          <xlrd:rvb i="4825"/>
        </ext>
      </extLst>
    </bk>
    <bk>
      <extLst>
        <ext uri="{3e2802c4-a4d2-4d8b-9148-e3be6c30e623}">
          <xlrd:rvb i="4826"/>
        </ext>
      </extLst>
    </bk>
    <bk>
      <extLst>
        <ext uri="{3e2802c4-a4d2-4d8b-9148-e3be6c30e623}">
          <xlrd:rvb i="4827"/>
        </ext>
      </extLst>
    </bk>
    <bk>
      <extLst>
        <ext uri="{3e2802c4-a4d2-4d8b-9148-e3be6c30e623}">
          <xlrd:rvb i="4828"/>
        </ext>
      </extLst>
    </bk>
    <bk>
      <extLst>
        <ext uri="{3e2802c4-a4d2-4d8b-9148-e3be6c30e623}">
          <xlrd:rvb i="4829"/>
        </ext>
      </extLst>
    </bk>
    <bk>
      <extLst>
        <ext uri="{3e2802c4-a4d2-4d8b-9148-e3be6c30e623}">
          <xlrd:rvb i="4830"/>
        </ext>
      </extLst>
    </bk>
    <bk>
      <extLst>
        <ext uri="{3e2802c4-a4d2-4d8b-9148-e3be6c30e623}">
          <xlrd:rvb i="4831"/>
        </ext>
      </extLst>
    </bk>
    <bk>
      <extLst>
        <ext uri="{3e2802c4-a4d2-4d8b-9148-e3be6c30e623}">
          <xlrd:rvb i="4832"/>
        </ext>
      </extLst>
    </bk>
    <bk>
      <extLst>
        <ext uri="{3e2802c4-a4d2-4d8b-9148-e3be6c30e623}">
          <xlrd:rvb i="4833"/>
        </ext>
      </extLst>
    </bk>
    <bk>
      <extLst>
        <ext uri="{3e2802c4-a4d2-4d8b-9148-e3be6c30e623}">
          <xlrd:rvb i="4834"/>
        </ext>
      </extLst>
    </bk>
    <bk>
      <extLst>
        <ext uri="{3e2802c4-a4d2-4d8b-9148-e3be6c30e623}">
          <xlrd:rvb i="4835"/>
        </ext>
      </extLst>
    </bk>
    <bk>
      <extLst>
        <ext uri="{3e2802c4-a4d2-4d8b-9148-e3be6c30e623}">
          <xlrd:rvb i="4836"/>
        </ext>
      </extLst>
    </bk>
    <bk>
      <extLst>
        <ext uri="{3e2802c4-a4d2-4d8b-9148-e3be6c30e623}">
          <xlrd:rvb i="4837"/>
        </ext>
      </extLst>
    </bk>
    <bk>
      <extLst>
        <ext uri="{3e2802c4-a4d2-4d8b-9148-e3be6c30e623}">
          <xlrd:rvb i="4838"/>
        </ext>
      </extLst>
    </bk>
    <bk>
      <extLst>
        <ext uri="{3e2802c4-a4d2-4d8b-9148-e3be6c30e623}">
          <xlrd:rvb i="4839"/>
        </ext>
      </extLst>
    </bk>
    <bk>
      <extLst>
        <ext uri="{3e2802c4-a4d2-4d8b-9148-e3be6c30e623}">
          <xlrd:rvb i="4840"/>
        </ext>
      </extLst>
    </bk>
    <bk>
      <extLst>
        <ext uri="{3e2802c4-a4d2-4d8b-9148-e3be6c30e623}">
          <xlrd:rvb i="4841"/>
        </ext>
      </extLst>
    </bk>
    <bk>
      <extLst>
        <ext uri="{3e2802c4-a4d2-4d8b-9148-e3be6c30e623}">
          <xlrd:rvb i="4842"/>
        </ext>
      </extLst>
    </bk>
    <bk>
      <extLst>
        <ext uri="{3e2802c4-a4d2-4d8b-9148-e3be6c30e623}">
          <xlrd:rvb i="4843"/>
        </ext>
      </extLst>
    </bk>
    <bk>
      <extLst>
        <ext uri="{3e2802c4-a4d2-4d8b-9148-e3be6c30e623}">
          <xlrd:rvb i="4844"/>
        </ext>
      </extLst>
    </bk>
    <bk>
      <extLst>
        <ext uri="{3e2802c4-a4d2-4d8b-9148-e3be6c30e623}">
          <xlrd:rvb i="4845"/>
        </ext>
      </extLst>
    </bk>
    <bk>
      <extLst>
        <ext uri="{3e2802c4-a4d2-4d8b-9148-e3be6c30e623}">
          <xlrd:rvb i="4846"/>
        </ext>
      </extLst>
    </bk>
    <bk>
      <extLst>
        <ext uri="{3e2802c4-a4d2-4d8b-9148-e3be6c30e623}">
          <xlrd:rvb i="4847"/>
        </ext>
      </extLst>
    </bk>
    <bk>
      <extLst>
        <ext uri="{3e2802c4-a4d2-4d8b-9148-e3be6c30e623}">
          <xlrd:rvb i="4848"/>
        </ext>
      </extLst>
    </bk>
    <bk>
      <extLst>
        <ext uri="{3e2802c4-a4d2-4d8b-9148-e3be6c30e623}">
          <xlrd:rvb i="4849"/>
        </ext>
      </extLst>
    </bk>
    <bk>
      <extLst>
        <ext uri="{3e2802c4-a4d2-4d8b-9148-e3be6c30e623}">
          <xlrd:rvb i="4850"/>
        </ext>
      </extLst>
    </bk>
    <bk>
      <extLst>
        <ext uri="{3e2802c4-a4d2-4d8b-9148-e3be6c30e623}">
          <xlrd:rvb i="4851"/>
        </ext>
      </extLst>
    </bk>
    <bk>
      <extLst>
        <ext uri="{3e2802c4-a4d2-4d8b-9148-e3be6c30e623}">
          <xlrd:rvb i="4852"/>
        </ext>
      </extLst>
    </bk>
    <bk>
      <extLst>
        <ext uri="{3e2802c4-a4d2-4d8b-9148-e3be6c30e623}">
          <xlrd:rvb i="4853"/>
        </ext>
      </extLst>
    </bk>
    <bk>
      <extLst>
        <ext uri="{3e2802c4-a4d2-4d8b-9148-e3be6c30e623}">
          <xlrd:rvb i="4854"/>
        </ext>
      </extLst>
    </bk>
    <bk>
      <extLst>
        <ext uri="{3e2802c4-a4d2-4d8b-9148-e3be6c30e623}">
          <xlrd:rvb i="4855"/>
        </ext>
      </extLst>
    </bk>
    <bk>
      <extLst>
        <ext uri="{3e2802c4-a4d2-4d8b-9148-e3be6c30e623}">
          <xlrd:rvb i="4856"/>
        </ext>
      </extLst>
    </bk>
    <bk>
      <extLst>
        <ext uri="{3e2802c4-a4d2-4d8b-9148-e3be6c30e623}">
          <xlrd:rvb i="4857"/>
        </ext>
      </extLst>
    </bk>
    <bk>
      <extLst>
        <ext uri="{3e2802c4-a4d2-4d8b-9148-e3be6c30e623}">
          <xlrd:rvb i="4858"/>
        </ext>
      </extLst>
    </bk>
    <bk>
      <extLst>
        <ext uri="{3e2802c4-a4d2-4d8b-9148-e3be6c30e623}">
          <xlrd:rvb i="4859"/>
        </ext>
      </extLst>
    </bk>
    <bk>
      <extLst>
        <ext uri="{3e2802c4-a4d2-4d8b-9148-e3be6c30e623}">
          <xlrd:rvb i="4860"/>
        </ext>
      </extLst>
    </bk>
    <bk>
      <extLst>
        <ext uri="{3e2802c4-a4d2-4d8b-9148-e3be6c30e623}">
          <xlrd:rvb i="4861"/>
        </ext>
      </extLst>
    </bk>
    <bk>
      <extLst>
        <ext uri="{3e2802c4-a4d2-4d8b-9148-e3be6c30e623}">
          <xlrd:rvb i="4862"/>
        </ext>
      </extLst>
    </bk>
    <bk>
      <extLst>
        <ext uri="{3e2802c4-a4d2-4d8b-9148-e3be6c30e623}">
          <xlrd:rvb i="4863"/>
        </ext>
      </extLst>
    </bk>
    <bk>
      <extLst>
        <ext uri="{3e2802c4-a4d2-4d8b-9148-e3be6c30e623}">
          <xlrd:rvb i="4864"/>
        </ext>
      </extLst>
    </bk>
    <bk>
      <extLst>
        <ext uri="{3e2802c4-a4d2-4d8b-9148-e3be6c30e623}">
          <xlrd:rvb i="4865"/>
        </ext>
      </extLst>
    </bk>
    <bk>
      <extLst>
        <ext uri="{3e2802c4-a4d2-4d8b-9148-e3be6c30e623}">
          <xlrd:rvb i="4866"/>
        </ext>
      </extLst>
    </bk>
    <bk>
      <extLst>
        <ext uri="{3e2802c4-a4d2-4d8b-9148-e3be6c30e623}">
          <xlrd:rvb i="4867"/>
        </ext>
      </extLst>
    </bk>
    <bk>
      <extLst>
        <ext uri="{3e2802c4-a4d2-4d8b-9148-e3be6c30e623}">
          <xlrd:rvb i="4868"/>
        </ext>
      </extLst>
    </bk>
    <bk>
      <extLst>
        <ext uri="{3e2802c4-a4d2-4d8b-9148-e3be6c30e623}">
          <xlrd:rvb i="4869"/>
        </ext>
      </extLst>
    </bk>
    <bk>
      <extLst>
        <ext uri="{3e2802c4-a4d2-4d8b-9148-e3be6c30e623}">
          <xlrd:rvb i="4870"/>
        </ext>
      </extLst>
    </bk>
    <bk>
      <extLst>
        <ext uri="{3e2802c4-a4d2-4d8b-9148-e3be6c30e623}">
          <xlrd:rvb i="4871"/>
        </ext>
      </extLst>
    </bk>
    <bk>
      <extLst>
        <ext uri="{3e2802c4-a4d2-4d8b-9148-e3be6c30e623}">
          <xlrd:rvb i="4872"/>
        </ext>
      </extLst>
    </bk>
    <bk>
      <extLst>
        <ext uri="{3e2802c4-a4d2-4d8b-9148-e3be6c30e623}">
          <xlrd:rvb i="4873"/>
        </ext>
      </extLst>
    </bk>
    <bk>
      <extLst>
        <ext uri="{3e2802c4-a4d2-4d8b-9148-e3be6c30e623}">
          <xlrd:rvb i="4874"/>
        </ext>
      </extLst>
    </bk>
    <bk>
      <extLst>
        <ext uri="{3e2802c4-a4d2-4d8b-9148-e3be6c30e623}">
          <xlrd:rvb i="4875"/>
        </ext>
      </extLst>
    </bk>
    <bk>
      <extLst>
        <ext uri="{3e2802c4-a4d2-4d8b-9148-e3be6c30e623}">
          <xlrd:rvb i="4876"/>
        </ext>
      </extLst>
    </bk>
    <bk>
      <extLst>
        <ext uri="{3e2802c4-a4d2-4d8b-9148-e3be6c30e623}">
          <xlrd:rvb i="4877"/>
        </ext>
      </extLst>
    </bk>
    <bk>
      <extLst>
        <ext uri="{3e2802c4-a4d2-4d8b-9148-e3be6c30e623}">
          <xlrd:rvb i="4878"/>
        </ext>
      </extLst>
    </bk>
    <bk>
      <extLst>
        <ext uri="{3e2802c4-a4d2-4d8b-9148-e3be6c30e623}">
          <xlrd:rvb i="4879"/>
        </ext>
      </extLst>
    </bk>
    <bk>
      <extLst>
        <ext uri="{3e2802c4-a4d2-4d8b-9148-e3be6c30e623}">
          <xlrd:rvb i="4880"/>
        </ext>
      </extLst>
    </bk>
    <bk>
      <extLst>
        <ext uri="{3e2802c4-a4d2-4d8b-9148-e3be6c30e623}">
          <xlrd:rvb i="4881"/>
        </ext>
      </extLst>
    </bk>
    <bk>
      <extLst>
        <ext uri="{3e2802c4-a4d2-4d8b-9148-e3be6c30e623}">
          <xlrd:rvb i="4882"/>
        </ext>
      </extLst>
    </bk>
    <bk>
      <extLst>
        <ext uri="{3e2802c4-a4d2-4d8b-9148-e3be6c30e623}">
          <xlrd:rvb i="4883"/>
        </ext>
      </extLst>
    </bk>
    <bk>
      <extLst>
        <ext uri="{3e2802c4-a4d2-4d8b-9148-e3be6c30e623}">
          <xlrd:rvb i="4884"/>
        </ext>
      </extLst>
    </bk>
    <bk>
      <extLst>
        <ext uri="{3e2802c4-a4d2-4d8b-9148-e3be6c30e623}">
          <xlrd:rvb i="4885"/>
        </ext>
      </extLst>
    </bk>
    <bk>
      <extLst>
        <ext uri="{3e2802c4-a4d2-4d8b-9148-e3be6c30e623}">
          <xlrd:rvb i="4886"/>
        </ext>
      </extLst>
    </bk>
    <bk>
      <extLst>
        <ext uri="{3e2802c4-a4d2-4d8b-9148-e3be6c30e623}">
          <xlrd:rvb i="4887"/>
        </ext>
      </extLst>
    </bk>
    <bk>
      <extLst>
        <ext uri="{3e2802c4-a4d2-4d8b-9148-e3be6c30e623}">
          <xlrd:rvb i="4888"/>
        </ext>
      </extLst>
    </bk>
    <bk>
      <extLst>
        <ext uri="{3e2802c4-a4d2-4d8b-9148-e3be6c30e623}">
          <xlrd:rvb i="4889"/>
        </ext>
      </extLst>
    </bk>
    <bk>
      <extLst>
        <ext uri="{3e2802c4-a4d2-4d8b-9148-e3be6c30e623}">
          <xlrd:rvb i="4890"/>
        </ext>
      </extLst>
    </bk>
    <bk>
      <extLst>
        <ext uri="{3e2802c4-a4d2-4d8b-9148-e3be6c30e623}">
          <xlrd:rvb i="4891"/>
        </ext>
      </extLst>
    </bk>
    <bk>
      <extLst>
        <ext uri="{3e2802c4-a4d2-4d8b-9148-e3be6c30e623}">
          <xlrd:rvb i="4892"/>
        </ext>
      </extLst>
    </bk>
    <bk>
      <extLst>
        <ext uri="{3e2802c4-a4d2-4d8b-9148-e3be6c30e623}">
          <xlrd:rvb i="4893"/>
        </ext>
      </extLst>
    </bk>
    <bk>
      <extLst>
        <ext uri="{3e2802c4-a4d2-4d8b-9148-e3be6c30e623}">
          <xlrd:rvb i="4894"/>
        </ext>
      </extLst>
    </bk>
    <bk>
      <extLst>
        <ext uri="{3e2802c4-a4d2-4d8b-9148-e3be6c30e623}">
          <xlrd:rvb i="4895"/>
        </ext>
      </extLst>
    </bk>
    <bk>
      <extLst>
        <ext uri="{3e2802c4-a4d2-4d8b-9148-e3be6c30e623}">
          <xlrd:rvb i="4896"/>
        </ext>
      </extLst>
    </bk>
    <bk>
      <extLst>
        <ext uri="{3e2802c4-a4d2-4d8b-9148-e3be6c30e623}">
          <xlrd:rvb i="4897"/>
        </ext>
      </extLst>
    </bk>
    <bk>
      <extLst>
        <ext uri="{3e2802c4-a4d2-4d8b-9148-e3be6c30e623}">
          <xlrd:rvb i="4898"/>
        </ext>
      </extLst>
    </bk>
    <bk>
      <extLst>
        <ext uri="{3e2802c4-a4d2-4d8b-9148-e3be6c30e623}">
          <xlrd:rvb i="4899"/>
        </ext>
      </extLst>
    </bk>
    <bk>
      <extLst>
        <ext uri="{3e2802c4-a4d2-4d8b-9148-e3be6c30e623}">
          <xlrd:rvb i="4900"/>
        </ext>
      </extLst>
    </bk>
    <bk>
      <extLst>
        <ext uri="{3e2802c4-a4d2-4d8b-9148-e3be6c30e623}">
          <xlrd:rvb i="4901"/>
        </ext>
      </extLst>
    </bk>
    <bk>
      <extLst>
        <ext uri="{3e2802c4-a4d2-4d8b-9148-e3be6c30e623}">
          <xlrd:rvb i="4902"/>
        </ext>
      </extLst>
    </bk>
    <bk>
      <extLst>
        <ext uri="{3e2802c4-a4d2-4d8b-9148-e3be6c30e623}">
          <xlrd:rvb i="4903"/>
        </ext>
      </extLst>
    </bk>
    <bk>
      <extLst>
        <ext uri="{3e2802c4-a4d2-4d8b-9148-e3be6c30e623}">
          <xlrd:rvb i="4904"/>
        </ext>
      </extLst>
    </bk>
    <bk>
      <extLst>
        <ext uri="{3e2802c4-a4d2-4d8b-9148-e3be6c30e623}">
          <xlrd:rvb i="4905"/>
        </ext>
      </extLst>
    </bk>
    <bk>
      <extLst>
        <ext uri="{3e2802c4-a4d2-4d8b-9148-e3be6c30e623}">
          <xlrd:rvb i="4906"/>
        </ext>
      </extLst>
    </bk>
    <bk>
      <extLst>
        <ext uri="{3e2802c4-a4d2-4d8b-9148-e3be6c30e623}">
          <xlrd:rvb i="4907"/>
        </ext>
      </extLst>
    </bk>
    <bk>
      <extLst>
        <ext uri="{3e2802c4-a4d2-4d8b-9148-e3be6c30e623}">
          <xlrd:rvb i="4908"/>
        </ext>
      </extLst>
    </bk>
    <bk>
      <extLst>
        <ext uri="{3e2802c4-a4d2-4d8b-9148-e3be6c30e623}">
          <xlrd:rvb i="4909"/>
        </ext>
      </extLst>
    </bk>
    <bk>
      <extLst>
        <ext uri="{3e2802c4-a4d2-4d8b-9148-e3be6c30e623}">
          <xlrd:rvb i="4910"/>
        </ext>
      </extLst>
    </bk>
    <bk>
      <extLst>
        <ext uri="{3e2802c4-a4d2-4d8b-9148-e3be6c30e623}">
          <xlrd:rvb i="4911"/>
        </ext>
      </extLst>
    </bk>
    <bk>
      <extLst>
        <ext uri="{3e2802c4-a4d2-4d8b-9148-e3be6c30e623}">
          <xlrd:rvb i="4912"/>
        </ext>
      </extLst>
    </bk>
    <bk>
      <extLst>
        <ext uri="{3e2802c4-a4d2-4d8b-9148-e3be6c30e623}">
          <xlrd:rvb i="4913"/>
        </ext>
      </extLst>
    </bk>
    <bk>
      <extLst>
        <ext uri="{3e2802c4-a4d2-4d8b-9148-e3be6c30e623}">
          <xlrd:rvb i="4914"/>
        </ext>
      </extLst>
    </bk>
    <bk>
      <extLst>
        <ext uri="{3e2802c4-a4d2-4d8b-9148-e3be6c30e623}">
          <xlrd:rvb i="4915"/>
        </ext>
      </extLst>
    </bk>
    <bk>
      <extLst>
        <ext uri="{3e2802c4-a4d2-4d8b-9148-e3be6c30e623}">
          <xlrd:rvb i="4916"/>
        </ext>
      </extLst>
    </bk>
    <bk>
      <extLst>
        <ext uri="{3e2802c4-a4d2-4d8b-9148-e3be6c30e623}">
          <xlrd:rvb i="4917"/>
        </ext>
      </extLst>
    </bk>
    <bk>
      <extLst>
        <ext uri="{3e2802c4-a4d2-4d8b-9148-e3be6c30e623}">
          <xlrd:rvb i="4918"/>
        </ext>
      </extLst>
    </bk>
    <bk>
      <extLst>
        <ext uri="{3e2802c4-a4d2-4d8b-9148-e3be6c30e623}">
          <xlrd:rvb i="4919"/>
        </ext>
      </extLst>
    </bk>
    <bk>
      <extLst>
        <ext uri="{3e2802c4-a4d2-4d8b-9148-e3be6c30e623}">
          <xlrd:rvb i="4920"/>
        </ext>
      </extLst>
    </bk>
    <bk>
      <extLst>
        <ext uri="{3e2802c4-a4d2-4d8b-9148-e3be6c30e623}">
          <xlrd:rvb i="4921"/>
        </ext>
      </extLst>
    </bk>
    <bk>
      <extLst>
        <ext uri="{3e2802c4-a4d2-4d8b-9148-e3be6c30e623}">
          <xlrd:rvb i="4922"/>
        </ext>
      </extLst>
    </bk>
    <bk>
      <extLst>
        <ext uri="{3e2802c4-a4d2-4d8b-9148-e3be6c30e623}">
          <xlrd:rvb i="4923"/>
        </ext>
      </extLst>
    </bk>
    <bk>
      <extLst>
        <ext uri="{3e2802c4-a4d2-4d8b-9148-e3be6c30e623}">
          <xlrd:rvb i="4924"/>
        </ext>
      </extLst>
    </bk>
    <bk>
      <extLst>
        <ext uri="{3e2802c4-a4d2-4d8b-9148-e3be6c30e623}">
          <xlrd:rvb i="4925"/>
        </ext>
      </extLst>
    </bk>
    <bk>
      <extLst>
        <ext uri="{3e2802c4-a4d2-4d8b-9148-e3be6c30e623}">
          <xlrd:rvb i="4926"/>
        </ext>
      </extLst>
    </bk>
    <bk>
      <extLst>
        <ext uri="{3e2802c4-a4d2-4d8b-9148-e3be6c30e623}">
          <xlrd:rvb i="4927"/>
        </ext>
      </extLst>
    </bk>
    <bk>
      <extLst>
        <ext uri="{3e2802c4-a4d2-4d8b-9148-e3be6c30e623}">
          <xlrd:rvb i="4928"/>
        </ext>
      </extLst>
    </bk>
    <bk>
      <extLst>
        <ext uri="{3e2802c4-a4d2-4d8b-9148-e3be6c30e623}">
          <xlrd:rvb i="4929"/>
        </ext>
      </extLst>
    </bk>
    <bk>
      <extLst>
        <ext uri="{3e2802c4-a4d2-4d8b-9148-e3be6c30e623}">
          <xlrd:rvb i="4930"/>
        </ext>
      </extLst>
    </bk>
    <bk>
      <extLst>
        <ext uri="{3e2802c4-a4d2-4d8b-9148-e3be6c30e623}">
          <xlrd:rvb i="4931"/>
        </ext>
      </extLst>
    </bk>
    <bk>
      <extLst>
        <ext uri="{3e2802c4-a4d2-4d8b-9148-e3be6c30e623}">
          <xlrd:rvb i="4932"/>
        </ext>
      </extLst>
    </bk>
    <bk>
      <extLst>
        <ext uri="{3e2802c4-a4d2-4d8b-9148-e3be6c30e623}">
          <xlrd:rvb i="4933"/>
        </ext>
      </extLst>
    </bk>
    <bk>
      <extLst>
        <ext uri="{3e2802c4-a4d2-4d8b-9148-e3be6c30e623}">
          <xlrd:rvb i="4934"/>
        </ext>
      </extLst>
    </bk>
    <bk>
      <extLst>
        <ext uri="{3e2802c4-a4d2-4d8b-9148-e3be6c30e623}">
          <xlrd:rvb i="4935"/>
        </ext>
      </extLst>
    </bk>
    <bk>
      <extLst>
        <ext uri="{3e2802c4-a4d2-4d8b-9148-e3be6c30e623}">
          <xlrd:rvb i="4936"/>
        </ext>
      </extLst>
    </bk>
    <bk>
      <extLst>
        <ext uri="{3e2802c4-a4d2-4d8b-9148-e3be6c30e623}">
          <xlrd:rvb i="4937"/>
        </ext>
      </extLst>
    </bk>
    <bk>
      <extLst>
        <ext uri="{3e2802c4-a4d2-4d8b-9148-e3be6c30e623}">
          <xlrd:rvb i="4938"/>
        </ext>
      </extLst>
    </bk>
    <bk>
      <extLst>
        <ext uri="{3e2802c4-a4d2-4d8b-9148-e3be6c30e623}">
          <xlrd:rvb i="4939"/>
        </ext>
      </extLst>
    </bk>
    <bk>
      <extLst>
        <ext uri="{3e2802c4-a4d2-4d8b-9148-e3be6c30e623}">
          <xlrd:rvb i="4940"/>
        </ext>
      </extLst>
    </bk>
    <bk>
      <extLst>
        <ext uri="{3e2802c4-a4d2-4d8b-9148-e3be6c30e623}">
          <xlrd:rvb i="4941"/>
        </ext>
      </extLst>
    </bk>
    <bk>
      <extLst>
        <ext uri="{3e2802c4-a4d2-4d8b-9148-e3be6c30e623}">
          <xlrd:rvb i="4942"/>
        </ext>
      </extLst>
    </bk>
    <bk>
      <extLst>
        <ext uri="{3e2802c4-a4d2-4d8b-9148-e3be6c30e623}">
          <xlrd:rvb i="4943"/>
        </ext>
      </extLst>
    </bk>
    <bk>
      <extLst>
        <ext uri="{3e2802c4-a4d2-4d8b-9148-e3be6c30e623}">
          <xlrd:rvb i="4944"/>
        </ext>
      </extLst>
    </bk>
    <bk>
      <extLst>
        <ext uri="{3e2802c4-a4d2-4d8b-9148-e3be6c30e623}">
          <xlrd:rvb i="4945"/>
        </ext>
      </extLst>
    </bk>
    <bk>
      <extLst>
        <ext uri="{3e2802c4-a4d2-4d8b-9148-e3be6c30e623}">
          <xlrd:rvb i="4946"/>
        </ext>
      </extLst>
    </bk>
    <bk>
      <extLst>
        <ext uri="{3e2802c4-a4d2-4d8b-9148-e3be6c30e623}">
          <xlrd:rvb i="4947"/>
        </ext>
      </extLst>
    </bk>
    <bk>
      <extLst>
        <ext uri="{3e2802c4-a4d2-4d8b-9148-e3be6c30e623}">
          <xlrd:rvb i="4948"/>
        </ext>
      </extLst>
    </bk>
    <bk>
      <extLst>
        <ext uri="{3e2802c4-a4d2-4d8b-9148-e3be6c30e623}">
          <xlrd:rvb i="4949"/>
        </ext>
      </extLst>
    </bk>
    <bk>
      <extLst>
        <ext uri="{3e2802c4-a4d2-4d8b-9148-e3be6c30e623}">
          <xlrd:rvb i="4950"/>
        </ext>
      </extLst>
    </bk>
    <bk>
      <extLst>
        <ext uri="{3e2802c4-a4d2-4d8b-9148-e3be6c30e623}">
          <xlrd:rvb i="4951"/>
        </ext>
      </extLst>
    </bk>
    <bk>
      <extLst>
        <ext uri="{3e2802c4-a4d2-4d8b-9148-e3be6c30e623}">
          <xlrd:rvb i="4952"/>
        </ext>
      </extLst>
    </bk>
    <bk>
      <extLst>
        <ext uri="{3e2802c4-a4d2-4d8b-9148-e3be6c30e623}">
          <xlrd:rvb i="4953"/>
        </ext>
      </extLst>
    </bk>
    <bk>
      <extLst>
        <ext uri="{3e2802c4-a4d2-4d8b-9148-e3be6c30e623}">
          <xlrd:rvb i="4954"/>
        </ext>
      </extLst>
    </bk>
    <bk>
      <extLst>
        <ext uri="{3e2802c4-a4d2-4d8b-9148-e3be6c30e623}">
          <xlrd:rvb i="4955"/>
        </ext>
      </extLst>
    </bk>
    <bk>
      <extLst>
        <ext uri="{3e2802c4-a4d2-4d8b-9148-e3be6c30e623}">
          <xlrd:rvb i="4956"/>
        </ext>
      </extLst>
    </bk>
    <bk>
      <extLst>
        <ext uri="{3e2802c4-a4d2-4d8b-9148-e3be6c30e623}">
          <xlrd:rvb i="4957"/>
        </ext>
      </extLst>
    </bk>
    <bk>
      <extLst>
        <ext uri="{3e2802c4-a4d2-4d8b-9148-e3be6c30e623}">
          <xlrd:rvb i="4958"/>
        </ext>
      </extLst>
    </bk>
    <bk>
      <extLst>
        <ext uri="{3e2802c4-a4d2-4d8b-9148-e3be6c30e623}">
          <xlrd:rvb i="4959"/>
        </ext>
      </extLst>
    </bk>
    <bk>
      <extLst>
        <ext uri="{3e2802c4-a4d2-4d8b-9148-e3be6c30e623}">
          <xlrd:rvb i="4960"/>
        </ext>
      </extLst>
    </bk>
    <bk>
      <extLst>
        <ext uri="{3e2802c4-a4d2-4d8b-9148-e3be6c30e623}">
          <xlrd:rvb i="4961"/>
        </ext>
      </extLst>
    </bk>
    <bk>
      <extLst>
        <ext uri="{3e2802c4-a4d2-4d8b-9148-e3be6c30e623}">
          <xlrd:rvb i="4962"/>
        </ext>
      </extLst>
    </bk>
    <bk>
      <extLst>
        <ext uri="{3e2802c4-a4d2-4d8b-9148-e3be6c30e623}">
          <xlrd:rvb i="4963"/>
        </ext>
      </extLst>
    </bk>
    <bk>
      <extLst>
        <ext uri="{3e2802c4-a4d2-4d8b-9148-e3be6c30e623}">
          <xlrd:rvb i="4964"/>
        </ext>
      </extLst>
    </bk>
    <bk>
      <extLst>
        <ext uri="{3e2802c4-a4d2-4d8b-9148-e3be6c30e623}">
          <xlrd:rvb i="4965"/>
        </ext>
      </extLst>
    </bk>
    <bk>
      <extLst>
        <ext uri="{3e2802c4-a4d2-4d8b-9148-e3be6c30e623}">
          <xlrd:rvb i="4966"/>
        </ext>
      </extLst>
    </bk>
    <bk>
      <extLst>
        <ext uri="{3e2802c4-a4d2-4d8b-9148-e3be6c30e623}">
          <xlrd:rvb i="4967"/>
        </ext>
      </extLst>
    </bk>
    <bk>
      <extLst>
        <ext uri="{3e2802c4-a4d2-4d8b-9148-e3be6c30e623}">
          <xlrd:rvb i="4968"/>
        </ext>
      </extLst>
    </bk>
    <bk>
      <extLst>
        <ext uri="{3e2802c4-a4d2-4d8b-9148-e3be6c30e623}">
          <xlrd:rvb i="4969"/>
        </ext>
      </extLst>
    </bk>
    <bk>
      <extLst>
        <ext uri="{3e2802c4-a4d2-4d8b-9148-e3be6c30e623}">
          <xlrd:rvb i="4970"/>
        </ext>
      </extLst>
    </bk>
    <bk>
      <extLst>
        <ext uri="{3e2802c4-a4d2-4d8b-9148-e3be6c30e623}">
          <xlrd:rvb i="4971"/>
        </ext>
      </extLst>
    </bk>
    <bk>
      <extLst>
        <ext uri="{3e2802c4-a4d2-4d8b-9148-e3be6c30e623}">
          <xlrd:rvb i="4972"/>
        </ext>
      </extLst>
    </bk>
    <bk>
      <extLst>
        <ext uri="{3e2802c4-a4d2-4d8b-9148-e3be6c30e623}">
          <xlrd:rvb i="4973"/>
        </ext>
      </extLst>
    </bk>
    <bk>
      <extLst>
        <ext uri="{3e2802c4-a4d2-4d8b-9148-e3be6c30e623}">
          <xlrd:rvb i="4974"/>
        </ext>
      </extLst>
    </bk>
    <bk>
      <extLst>
        <ext uri="{3e2802c4-a4d2-4d8b-9148-e3be6c30e623}">
          <xlrd:rvb i="4975"/>
        </ext>
      </extLst>
    </bk>
    <bk>
      <extLst>
        <ext uri="{3e2802c4-a4d2-4d8b-9148-e3be6c30e623}">
          <xlrd:rvb i="4976"/>
        </ext>
      </extLst>
    </bk>
    <bk>
      <extLst>
        <ext uri="{3e2802c4-a4d2-4d8b-9148-e3be6c30e623}">
          <xlrd:rvb i="4977"/>
        </ext>
      </extLst>
    </bk>
    <bk>
      <extLst>
        <ext uri="{3e2802c4-a4d2-4d8b-9148-e3be6c30e623}">
          <xlrd:rvb i="4978"/>
        </ext>
      </extLst>
    </bk>
    <bk>
      <extLst>
        <ext uri="{3e2802c4-a4d2-4d8b-9148-e3be6c30e623}">
          <xlrd:rvb i="4979"/>
        </ext>
      </extLst>
    </bk>
    <bk>
      <extLst>
        <ext uri="{3e2802c4-a4d2-4d8b-9148-e3be6c30e623}">
          <xlrd:rvb i="4980"/>
        </ext>
      </extLst>
    </bk>
    <bk>
      <extLst>
        <ext uri="{3e2802c4-a4d2-4d8b-9148-e3be6c30e623}">
          <xlrd:rvb i="4981"/>
        </ext>
      </extLst>
    </bk>
    <bk>
      <extLst>
        <ext uri="{3e2802c4-a4d2-4d8b-9148-e3be6c30e623}">
          <xlrd:rvb i="4982"/>
        </ext>
      </extLst>
    </bk>
    <bk>
      <extLst>
        <ext uri="{3e2802c4-a4d2-4d8b-9148-e3be6c30e623}">
          <xlrd:rvb i="4983"/>
        </ext>
      </extLst>
    </bk>
    <bk>
      <extLst>
        <ext uri="{3e2802c4-a4d2-4d8b-9148-e3be6c30e623}">
          <xlrd:rvb i="4984"/>
        </ext>
      </extLst>
    </bk>
    <bk>
      <extLst>
        <ext uri="{3e2802c4-a4d2-4d8b-9148-e3be6c30e623}">
          <xlrd:rvb i="4985"/>
        </ext>
      </extLst>
    </bk>
    <bk>
      <extLst>
        <ext uri="{3e2802c4-a4d2-4d8b-9148-e3be6c30e623}">
          <xlrd:rvb i="4986"/>
        </ext>
      </extLst>
    </bk>
    <bk>
      <extLst>
        <ext uri="{3e2802c4-a4d2-4d8b-9148-e3be6c30e623}">
          <xlrd:rvb i="4987"/>
        </ext>
      </extLst>
    </bk>
    <bk>
      <extLst>
        <ext uri="{3e2802c4-a4d2-4d8b-9148-e3be6c30e623}">
          <xlrd:rvb i="4988"/>
        </ext>
      </extLst>
    </bk>
    <bk>
      <extLst>
        <ext uri="{3e2802c4-a4d2-4d8b-9148-e3be6c30e623}">
          <xlrd:rvb i="4989"/>
        </ext>
      </extLst>
    </bk>
    <bk>
      <extLst>
        <ext uri="{3e2802c4-a4d2-4d8b-9148-e3be6c30e623}">
          <xlrd:rvb i="4990"/>
        </ext>
      </extLst>
    </bk>
    <bk>
      <extLst>
        <ext uri="{3e2802c4-a4d2-4d8b-9148-e3be6c30e623}">
          <xlrd:rvb i="4991"/>
        </ext>
      </extLst>
    </bk>
    <bk>
      <extLst>
        <ext uri="{3e2802c4-a4d2-4d8b-9148-e3be6c30e623}">
          <xlrd:rvb i="4992"/>
        </ext>
      </extLst>
    </bk>
    <bk>
      <extLst>
        <ext uri="{3e2802c4-a4d2-4d8b-9148-e3be6c30e623}">
          <xlrd:rvb i="4993"/>
        </ext>
      </extLst>
    </bk>
    <bk>
      <extLst>
        <ext uri="{3e2802c4-a4d2-4d8b-9148-e3be6c30e623}">
          <xlrd:rvb i="4994"/>
        </ext>
      </extLst>
    </bk>
    <bk>
      <extLst>
        <ext uri="{3e2802c4-a4d2-4d8b-9148-e3be6c30e623}">
          <xlrd:rvb i="4995"/>
        </ext>
      </extLst>
    </bk>
    <bk>
      <extLst>
        <ext uri="{3e2802c4-a4d2-4d8b-9148-e3be6c30e623}">
          <xlrd:rvb i="4996"/>
        </ext>
      </extLst>
    </bk>
    <bk>
      <extLst>
        <ext uri="{3e2802c4-a4d2-4d8b-9148-e3be6c30e623}">
          <xlrd:rvb i="4997"/>
        </ext>
      </extLst>
    </bk>
    <bk>
      <extLst>
        <ext uri="{3e2802c4-a4d2-4d8b-9148-e3be6c30e623}">
          <xlrd:rvb i="4998"/>
        </ext>
      </extLst>
    </bk>
    <bk>
      <extLst>
        <ext uri="{3e2802c4-a4d2-4d8b-9148-e3be6c30e623}">
          <xlrd:rvb i="4999"/>
        </ext>
      </extLst>
    </bk>
    <bk>
      <extLst>
        <ext uri="{3e2802c4-a4d2-4d8b-9148-e3be6c30e623}">
          <xlrd:rvb i="5000"/>
        </ext>
      </extLst>
    </bk>
    <bk>
      <extLst>
        <ext uri="{3e2802c4-a4d2-4d8b-9148-e3be6c30e623}">
          <xlrd:rvb i="5001"/>
        </ext>
      </extLst>
    </bk>
    <bk>
      <extLst>
        <ext uri="{3e2802c4-a4d2-4d8b-9148-e3be6c30e623}">
          <xlrd:rvb i="5002"/>
        </ext>
      </extLst>
    </bk>
    <bk>
      <extLst>
        <ext uri="{3e2802c4-a4d2-4d8b-9148-e3be6c30e623}">
          <xlrd:rvb i="5003"/>
        </ext>
      </extLst>
    </bk>
    <bk>
      <extLst>
        <ext uri="{3e2802c4-a4d2-4d8b-9148-e3be6c30e623}">
          <xlrd:rvb i="5004"/>
        </ext>
      </extLst>
    </bk>
    <bk>
      <extLst>
        <ext uri="{3e2802c4-a4d2-4d8b-9148-e3be6c30e623}">
          <xlrd:rvb i="5005"/>
        </ext>
      </extLst>
    </bk>
    <bk>
      <extLst>
        <ext uri="{3e2802c4-a4d2-4d8b-9148-e3be6c30e623}">
          <xlrd:rvb i="5006"/>
        </ext>
      </extLst>
    </bk>
    <bk>
      <extLst>
        <ext uri="{3e2802c4-a4d2-4d8b-9148-e3be6c30e623}">
          <xlrd:rvb i="5007"/>
        </ext>
      </extLst>
    </bk>
    <bk>
      <extLst>
        <ext uri="{3e2802c4-a4d2-4d8b-9148-e3be6c30e623}">
          <xlrd:rvb i="5008"/>
        </ext>
      </extLst>
    </bk>
    <bk>
      <extLst>
        <ext uri="{3e2802c4-a4d2-4d8b-9148-e3be6c30e623}">
          <xlrd:rvb i="5009"/>
        </ext>
      </extLst>
    </bk>
    <bk>
      <extLst>
        <ext uri="{3e2802c4-a4d2-4d8b-9148-e3be6c30e623}">
          <xlrd:rvb i="5010"/>
        </ext>
      </extLst>
    </bk>
    <bk>
      <extLst>
        <ext uri="{3e2802c4-a4d2-4d8b-9148-e3be6c30e623}">
          <xlrd:rvb i="5011"/>
        </ext>
      </extLst>
    </bk>
    <bk>
      <extLst>
        <ext uri="{3e2802c4-a4d2-4d8b-9148-e3be6c30e623}">
          <xlrd:rvb i="5012"/>
        </ext>
      </extLst>
    </bk>
    <bk>
      <extLst>
        <ext uri="{3e2802c4-a4d2-4d8b-9148-e3be6c30e623}">
          <xlrd:rvb i="5013"/>
        </ext>
      </extLst>
    </bk>
    <bk>
      <extLst>
        <ext uri="{3e2802c4-a4d2-4d8b-9148-e3be6c30e623}">
          <xlrd:rvb i="5014"/>
        </ext>
      </extLst>
    </bk>
    <bk>
      <extLst>
        <ext uri="{3e2802c4-a4d2-4d8b-9148-e3be6c30e623}">
          <xlrd:rvb i="5015"/>
        </ext>
      </extLst>
    </bk>
    <bk>
      <extLst>
        <ext uri="{3e2802c4-a4d2-4d8b-9148-e3be6c30e623}">
          <xlrd:rvb i="5016"/>
        </ext>
      </extLst>
    </bk>
    <bk>
      <extLst>
        <ext uri="{3e2802c4-a4d2-4d8b-9148-e3be6c30e623}">
          <xlrd:rvb i="5017"/>
        </ext>
      </extLst>
    </bk>
    <bk>
      <extLst>
        <ext uri="{3e2802c4-a4d2-4d8b-9148-e3be6c30e623}">
          <xlrd:rvb i="5018"/>
        </ext>
      </extLst>
    </bk>
    <bk>
      <extLst>
        <ext uri="{3e2802c4-a4d2-4d8b-9148-e3be6c30e623}">
          <xlrd:rvb i="5019"/>
        </ext>
      </extLst>
    </bk>
    <bk>
      <extLst>
        <ext uri="{3e2802c4-a4d2-4d8b-9148-e3be6c30e623}">
          <xlrd:rvb i="5020"/>
        </ext>
      </extLst>
    </bk>
    <bk>
      <extLst>
        <ext uri="{3e2802c4-a4d2-4d8b-9148-e3be6c30e623}">
          <xlrd:rvb i="5021"/>
        </ext>
      </extLst>
    </bk>
    <bk>
      <extLst>
        <ext uri="{3e2802c4-a4d2-4d8b-9148-e3be6c30e623}">
          <xlrd:rvb i="5022"/>
        </ext>
      </extLst>
    </bk>
    <bk>
      <extLst>
        <ext uri="{3e2802c4-a4d2-4d8b-9148-e3be6c30e623}">
          <xlrd:rvb i="5023"/>
        </ext>
      </extLst>
    </bk>
    <bk>
      <extLst>
        <ext uri="{3e2802c4-a4d2-4d8b-9148-e3be6c30e623}">
          <xlrd:rvb i="5024"/>
        </ext>
      </extLst>
    </bk>
    <bk>
      <extLst>
        <ext uri="{3e2802c4-a4d2-4d8b-9148-e3be6c30e623}">
          <xlrd:rvb i="5025"/>
        </ext>
      </extLst>
    </bk>
    <bk>
      <extLst>
        <ext uri="{3e2802c4-a4d2-4d8b-9148-e3be6c30e623}">
          <xlrd:rvb i="5026"/>
        </ext>
      </extLst>
    </bk>
    <bk>
      <extLst>
        <ext uri="{3e2802c4-a4d2-4d8b-9148-e3be6c30e623}">
          <xlrd:rvb i="5027"/>
        </ext>
      </extLst>
    </bk>
    <bk>
      <extLst>
        <ext uri="{3e2802c4-a4d2-4d8b-9148-e3be6c30e623}">
          <xlrd:rvb i="5028"/>
        </ext>
      </extLst>
    </bk>
    <bk>
      <extLst>
        <ext uri="{3e2802c4-a4d2-4d8b-9148-e3be6c30e623}">
          <xlrd:rvb i="5029"/>
        </ext>
      </extLst>
    </bk>
    <bk>
      <extLst>
        <ext uri="{3e2802c4-a4d2-4d8b-9148-e3be6c30e623}">
          <xlrd:rvb i="5030"/>
        </ext>
      </extLst>
    </bk>
    <bk>
      <extLst>
        <ext uri="{3e2802c4-a4d2-4d8b-9148-e3be6c30e623}">
          <xlrd:rvb i="5031"/>
        </ext>
      </extLst>
    </bk>
    <bk>
      <extLst>
        <ext uri="{3e2802c4-a4d2-4d8b-9148-e3be6c30e623}">
          <xlrd:rvb i="5032"/>
        </ext>
      </extLst>
    </bk>
    <bk>
      <extLst>
        <ext uri="{3e2802c4-a4d2-4d8b-9148-e3be6c30e623}">
          <xlrd:rvb i="5033"/>
        </ext>
      </extLst>
    </bk>
    <bk>
      <extLst>
        <ext uri="{3e2802c4-a4d2-4d8b-9148-e3be6c30e623}">
          <xlrd:rvb i="5034"/>
        </ext>
      </extLst>
    </bk>
    <bk>
      <extLst>
        <ext uri="{3e2802c4-a4d2-4d8b-9148-e3be6c30e623}">
          <xlrd:rvb i="5035"/>
        </ext>
      </extLst>
    </bk>
    <bk>
      <extLst>
        <ext uri="{3e2802c4-a4d2-4d8b-9148-e3be6c30e623}">
          <xlrd:rvb i="5036"/>
        </ext>
      </extLst>
    </bk>
    <bk>
      <extLst>
        <ext uri="{3e2802c4-a4d2-4d8b-9148-e3be6c30e623}">
          <xlrd:rvb i="5037"/>
        </ext>
      </extLst>
    </bk>
    <bk>
      <extLst>
        <ext uri="{3e2802c4-a4d2-4d8b-9148-e3be6c30e623}">
          <xlrd:rvb i="5038"/>
        </ext>
      </extLst>
    </bk>
    <bk>
      <extLst>
        <ext uri="{3e2802c4-a4d2-4d8b-9148-e3be6c30e623}">
          <xlrd:rvb i="5039"/>
        </ext>
      </extLst>
    </bk>
    <bk>
      <extLst>
        <ext uri="{3e2802c4-a4d2-4d8b-9148-e3be6c30e623}">
          <xlrd:rvb i="5040"/>
        </ext>
      </extLst>
    </bk>
    <bk>
      <extLst>
        <ext uri="{3e2802c4-a4d2-4d8b-9148-e3be6c30e623}">
          <xlrd:rvb i="5041"/>
        </ext>
      </extLst>
    </bk>
    <bk>
      <extLst>
        <ext uri="{3e2802c4-a4d2-4d8b-9148-e3be6c30e623}">
          <xlrd:rvb i="5042"/>
        </ext>
      </extLst>
    </bk>
    <bk>
      <extLst>
        <ext uri="{3e2802c4-a4d2-4d8b-9148-e3be6c30e623}">
          <xlrd:rvb i="5043"/>
        </ext>
      </extLst>
    </bk>
    <bk>
      <extLst>
        <ext uri="{3e2802c4-a4d2-4d8b-9148-e3be6c30e623}">
          <xlrd:rvb i="5044"/>
        </ext>
      </extLst>
    </bk>
    <bk>
      <extLst>
        <ext uri="{3e2802c4-a4d2-4d8b-9148-e3be6c30e623}">
          <xlrd:rvb i="5045"/>
        </ext>
      </extLst>
    </bk>
    <bk>
      <extLst>
        <ext uri="{3e2802c4-a4d2-4d8b-9148-e3be6c30e623}">
          <xlrd:rvb i="5046"/>
        </ext>
      </extLst>
    </bk>
    <bk>
      <extLst>
        <ext uri="{3e2802c4-a4d2-4d8b-9148-e3be6c30e623}">
          <xlrd:rvb i="5047"/>
        </ext>
      </extLst>
    </bk>
    <bk>
      <extLst>
        <ext uri="{3e2802c4-a4d2-4d8b-9148-e3be6c30e623}">
          <xlrd:rvb i="5048"/>
        </ext>
      </extLst>
    </bk>
    <bk>
      <extLst>
        <ext uri="{3e2802c4-a4d2-4d8b-9148-e3be6c30e623}">
          <xlrd:rvb i="5049"/>
        </ext>
      </extLst>
    </bk>
    <bk>
      <extLst>
        <ext uri="{3e2802c4-a4d2-4d8b-9148-e3be6c30e623}">
          <xlrd:rvb i="5050"/>
        </ext>
      </extLst>
    </bk>
    <bk>
      <extLst>
        <ext uri="{3e2802c4-a4d2-4d8b-9148-e3be6c30e623}">
          <xlrd:rvb i="5051"/>
        </ext>
      </extLst>
    </bk>
    <bk>
      <extLst>
        <ext uri="{3e2802c4-a4d2-4d8b-9148-e3be6c30e623}">
          <xlrd:rvb i="5052"/>
        </ext>
      </extLst>
    </bk>
    <bk>
      <extLst>
        <ext uri="{3e2802c4-a4d2-4d8b-9148-e3be6c30e623}">
          <xlrd:rvb i="5053"/>
        </ext>
      </extLst>
    </bk>
    <bk>
      <extLst>
        <ext uri="{3e2802c4-a4d2-4d8b-9148-e3be6c30e623}">
          <xlrd:rvb i="5054"/>
        </ext>
      </extLst>
    </bk>
    <bk>
      <extLst>
        <ext uri="{3e2802c4-a4d2-4d8b-9148-e3be6c30e623}">
          <xlrd:rvb i="5055"/>
        </ext>
      </extLst>
    </bk>
    <bk>
      <extLst>
        <ext uri="{3e2802c4-a4d2-4d8b-9148-e3be6c30e623}">
          <xlrd:rvb i="5056"/>
        </ext>
      </extLst>
    </bk>
    <bk>
      <extLst>
        <ext uri="{3e2802c4-a4d2-4d8b-9148-e3be6c30e623}">
          <xlrd:rvb i="5057"/>
        </ext>
      </extLst>
    </bk>
    <bk>
      <extLst>
        <ext uri="{3e2802c4-a4d2-4d8b-9148-e3be6c30e623}">
          <xlrd:rvb i="5058"/>
        </ext>
      </extLst>
    </bk>
    <bk>
      <extLst>
        <ext uri="{3e2802c4-a4d2-4d8b-9148-e3be6c30e623}">
          <xlrd:rvb i="5059"/>
        </ext>
      </extLst>
    </bk>
    <bk>
      <extLst>
        <ext uri="{3e2802c4-a4d2-4d8b-9148-e3be6c30e623}">
          <xlrd:rvb i="5060"/>
        </ext>
      </extLst>
    </bk>
    <bk>
      <extLst>
        <ext uri="{3e2802c4-a4d2-4d8b-9148-e3be6c30e623}">
          <xlrd:rvb i="5061"/>
        </ext>
      </extLst>
    </bk>
    <bk>
      <extLst>
        <ext uri="{3e2802c4-a4d2-4d8b-9148-e3be6c30e623}">
          <xlrd:rvb i="5062"/>
        </ext>
      </extLst>
    </bk>
    <bk>
      <extLst>
        <ext uri="{3e2802c4-a4d2-4d8b-9148-e3be6c30e623}">
          <xlrd:rvb i="5063"/>
        </ext>
      </extLst>
    </bk>
    <bk>
      <extLst>
        <ext uri="{3e2802c4-a4d2-4d8b-9148-e3be6c30e623}">
          <xlrd:rvb i="5064"/>
        </ext>
      </extLst>
    </bk>
    <bk>
      <extLst>
        <ext uri="{3e2802c4-a4d2-4d8b-9148-e3be6c30e623}">
          <xlrd:rvb i="5065"/>
        </ext>
      </extLst>
    </bk>
    <bk>
      <extLst>
        <ext uri="{3e2802c4-a4d2-4d8b-9148-e3be6c30e623}">
          <xlrd:rvb i="5066"/>
        </ext>
      </extLst>
    </bk>
    <bk>
      <extLst>
        <ext uri="{3e2802c4-a4d2-4d8b-9148-e3be6c30e623}">
          <xlrd:rvb i="5067"/>
        </ext>
      </extLst>
    </bk>
    <bk>
      <extLst>
        <ext uri="{3e2802c4-a4d2-4d8b-9148-e3be6c30e623}">
          <xlrd:rvb i="5068"/>
        </ext>
      </extLst>
    </bk>
    <bk>
      <extLst>
        <ext uri="{3e2802c4-a4d2-4d8b-9148-e3be6c30e623}">
          <xlrd:rvb i="5069"/>
        </ext>
      </extLst>
    </bk>
    <bk>
      <extLst>
        <ext uri="{3e2802c4-a4d2-4d8b-9148-e3be6c30e623}">
          <xlrd:rvb i="5070"/>
        </ext>
      </extLst>
    </bk>
    <bk>
      <extLst>
        <ext uri="{3e2802c4-a4d2-4d8b-9148-e3be6c30e623}">
          <xlrd:rvb i="5071"/>
        </ext>
      </extLst>
    </bk>
    <bk>
      <extLst>
        <ext uri="{3e2802c4-a4d2-4d8b-9148-e3be6c30e623}">
          <xlrd:rvb i="5072"/>
        </ext>
      </extLst>
    </bk>
    <bk>
      <extLst>
        <ext uri="{3e2802c4-a4d2-4d8b-9148-e3be6c30e623}">
          <xlrd:rvb i="5073"/>
        </ext>
      </extLst>
    </bk>
    <bk>
      <extLst>
        <ext uri="{3e2802c4-a4d2-4d8b-9148-e3be6c30e623}">
          <xlrd:rvb i="5074"/>
        </ext>
      </extLst>
    </bk>
    <bk>
      <extLst>
        <ext uri="{3e2802c4-a4d2-4d8b-9148-e3be6c30e623}">
          <xlrd:rvb i="5075"/>
        </ext>
      </extLst>
    </bk>
    <bk>
      <extLst>
        <ext uri="{3e2802c4-a4d2-4d8b-9148-e3be6c30e623}">
          <xlrd:rvb i="5076"/>
        </ext>
      </extLst>
    </bk>
    <bk>
      <extLst>
        <ext uri="{3e2802c4-a4d2-4d8b-9148-e3be6c30e623}">
          <xlrd:rvb i="5077"/>
        </ext>
      </extLst>
    </bk>
    <bk>
      <extLst>
        <ext uri="{3e2802c4-a4d2-4d8b-9148-e3be6c30e623}">
          <xlrd:rvb i="5078"/>
        </ext>
      </extLst>
    </bk>
    <bk>
      <extLst>
        <ext uri="{3e2802c4-a4d2-4d8b-9148-e3be6c30e623}">
          <xlrd:rvb i="5079"/>
        </ext>
      </extLst>
    </bk>
    <bk>
      <extLst>
        <ext uri="{3e2802c4-a4d2-4d8b-9148-e3be6c30e623}">
          <xlrd:rvb i="5080"/>
        </ext>
      </extLst>
    </bk>
    <bk>
      <extLst>
        <ext uri="{3e2802c4-a4d2-4d8b-9148-e3be6c30e623}">
          <xlrd:rvb i="5081"/>
        </ext>
      </extLst>
    </bk>
    <bk>
      <extLst>
        <ext uri="{3e2802c4-a4d2-4d8b-9148-e3be6c30e623}">
          <xlrd:rvb i="5082"/>
        </ext>
      </extLst>
    </bk>
    <bk>
      <extLst>
        <ext uri="{3e2802c4-a4d2-4d8b-9148-e3be6c30e623}">
          <xlrd:rvb i="5083"/>
        </ext>
      </extLst>
    </bk>
    <bk>
      <extLst>
        <ext uri="{3e2802c4-a4d2-4d8b-9148-e3be6c30e623}">
          <xlrd:rvb i="5084"/>
        </ext>
      </extLst>
    </bk>
    <bk>
      <extLst>
        <ext uri="{3e2802c4-a4d2-4d8b-9148-e3be6c30e623}">
          <xlrd:rvb i="5085"/>
        </ext>
      </extLst>
    </bk>
    <bk>
      <extLst>
        <ext uri="{3e2802c4-a4d2-4d8b-9148-e3be6c30e623}">
          <xlrd:rvb i="5086"/>
        </ext>
      </extLst>
    </bk>
    <bk>
      <extLst>
        <ext uri="{3e2802c4-a4d2-4d8b-9148-e3be6c30e623}">
          <xlrd:rvb i="5087"/>
        </ext>
      </extLst>
    </bk>
    <bk>
      <extLst>
        <ext uri="{3e2802c4-a4d2-4d8b-9148-e3be6c30e623}">
          <xlrd:rvb i="5088"/>
        </ext>
      </extLst>
    </bk>
    <bk>
      <extLst>
        <ext uri="{3e2802c4-a4d2-4d8b-9148-e3be6c30e623}">
          <xlrd:rvb i="5089"/>
        </ext>
      </extLst>
    </bk>
    <bk>
      <extLst>
        <ext uri="{3e2802c4-a4d2-4d8b-9148-e3be6c30e623}">
          <xlrd:rvb i="5090"/>
        </ext>
      </extLst>
    </bk>
    <bk>
      <extLst>
        <ext uri="{3e2802c4-a4d2-4d8b-9148-e3be6c30e623}">
          <xlrd:rvb i="5091"/>
        </ext>
      </extLst>
    </bk>
    <bk>
      <extLst>
        <ext uri="{3e2802c4-a4d2-4d8b-9148-e3be6c30e623}">
          <xlrd:rvb i="5092"/>
        </ext>
      </extLst>
    </bk>
    <bk>
      <extLst>
        <ext uri="{3e2802c4-a4d2-4d8b-9148-e3be6c30e623}">
          <xlrd:rvb i="5093"/>
        </ext>
      </extLst>
    </bk>
    <bk>
      <extLst>
        <ext uri="{3e2802c4-a4d2-4d8b-9148-e3be6c30e623}">
          <xlrd:rvb i="5094"/>
        </ext>
      </extLst>
    </bk>
    <bk>
      <extLst>
        <ext uri="{3e2802c4-a4d2-4d8b-9148-e3be6c30e623}">
          <xlrd:rvb i="5095"/>
        </ext>
      </extLst>
    </bk>
    <bk>
      <extLst>
        <ext uri="{3e2802c4-a4d2-4d8b-9148-e3be6c30e623}">
          <xlrd:rvb i="5096"/>
        </ext>
      </extLst>
    </bk>
    <bk>
      <extLst>
        <ext uri="{3e2802c4-a4d2-4d8b-9148-e3be6c30e623}">
          <xlrd:rvb i="5097"/>
        </ext>
      </extLst>
    </bk>
    <bk>
      <extLst>
        <ext uri="{3e2802c4-a4d2-4d8b-9148-e3be6c30e623}">
          <xlrd:rvb i="5098"/>
        </ext>
      </extLst>
    </bk>
    <bk>
      <extLst>
        <ext uri="{3e2802c4-a4d2-4d8b-9148-e3be6c30e623}">
          <xlrd:rvb i="5099"/>
        </ext>
      </extLst>
    </bk>
    <bk>
      <extLst>
        <ext uri="{3e2802c4-a4d2-4d8b-9148-e3be6c30e623}">
          <xlrd:rvb i="5100"/>
        </ext>
      </extLst>
    </bk>
    <bk>
      <extLst>
        <ext uri="{3e2802c4-a4d2-4d8b-9148-e3be6c30e623}">
          <xlrd:rvb i="5101"/>
        </ext>
      </extLst>
    </bk>
    <bk>
      <extLst>
        <ext uri="{3e2802c4-a4d2-4d8b-9148-e3be6c30e623}">
          <xlrd:rvb i="5102"/>
        </ext>
      </extLst>
    </bk>
    <bk>
      <extLst>
        <ext uri="{3e2802c4-a4d2-4d8b-9148-e3be6c30e623}">
          <xlrd:rvb i="5103"/>
        </ext>
      </extLst>
    </bk>
    <bk>
      <extLst>
        <ext uri="{3e2802c4-a4d2-4d8b-9148-e3be6c30e623}">
          <xlrd:rvb i="5104"/>
        </ext>
      </extLst>
    </bk>
    <bk>
      <extLst>
        <ext uri="{3e2802c4-a4d2-4d8b-9148-e3be6c30e623}">
          <xlrd:rvb i="5105"/>
        </ext>
      </extLst>
    </bk>
    <bk>
      <extLst>
        <ext uri="{3e2802c4-a4d2-4d8b-9148-e3be6c30e623}">
          <xlrd:rvb i="5106"/>
        </ext>
      </extLst>
    </bk>
    <bk>
      <extLst>
        <ext uri="{3e2802c4-a4d2-4d8b-9148-e3be6c30e623}">
          <xlrd:rvb i="5107"/>
        </ext>
      </extLst>
    </bk>
    <bk>
      <extLst>
        <ext uri="{3e2802c4-a4d2-4d8b-9148-e3be6c30e623}">
          <xlrd:rvb i="5108"/>
        </ext>
      </extLst>
    </bk>
    <bk>
      <extLst>
        <ext uri="{3e2802c4-a4d2-4d8b-9148-e3be6c30e623}">
          <xlrd:rvb i="5109"/>
        </ext>
      </extLst>
    </bk>
    <bk>
      <extLst>
        <ext uri="{3e2802c4-a4d2-4d8b-9148-e3be6c30e623}">
          <xlrd:rvb i="5110"/>
        </ext>
      </extLst>
    </bk>
    <bk>
      <extLst>
        <ext uri="{3e2802c4-a4d2-4d8b-9148-e3be6c30e623}">
          <xlrd:rvb i="5111"/>
        </ext>
      </extLst>
    </bk>
    <bk>
      <extLst>
        <ext uri="{3e2802c4-a4d2-4d8b-9148-e3be6c30e623}">
          <xlrd:rvb i="5112"/>
        </ext>
      </extLst>
    </bk>
    <bk>
      <extLst>
        <ext uri="{3e2802c4-a4d2-4d8b-9148-e3be6c30e623}">
          <xlrd:rvb i="5113"/>
        </ext>
      </extLst>
    </bk>
    <bk>
      <extLst>
        <ext uri="{3e2802c4-a4d2-4d8b-9148-e3be6c30e623}">
          <xlrd:rvb i="5114"/>
        </ext>
      </extLst>
    </bk>
    <bk>
      <extLst>
        <ext uri="{3e2802c4-a4d2-4d8b-9148-e3be6c30e623}">
          <xlrd:rvb i="5115"/>
        </ext>
      </extLst>
    </bk>
    <bk>
      <extLst>
        <ext uri="{3e2802c4-a4d2-4d8b-9148-e3be6c30e623}">
          <xlrd:rvb i="5116"/>
        </ext>
      </extLst>
    </bk>
    <bk>
      <extLst>
        <ext uri="{3e2802c4-a4d2-4d8b-9148-e3be6c30e623}">
          <xlrd:rvb i="5117"/>
        </ext>
      </extLst>
    </bk>
    <bk>
      <extLst>
        <ext uri="{3e2802c4-a4d2-4d8b-9148-e3be6c30e623}">
          <xlrd:rvb i="5118"/>
        </ext>
      </extLst>
    </bk>
    <bk>
      <extLst>
        <ext uri="{3e2802c4-a4d2-4d8b-9148-e3be6c30e623}">
          <xlrd:rvb i="5119"/>
        </ext>
      </extLst>
    </bk>
    <bk>
      <extLst>
        <ext uri="{3e2802c4-a4d2-4d8b-9148-e3be6c30e623}">
          <xlrd:rvb i="5120"/>
        </ext>
      </extLst>
    </bk>
    <bk>
      <extLst>
        <ext uri="{3e2802c4-a4d2-4d8b-9148-e3be6c30e623}">
          <xlrd:rvb i="5121"/>
        </ext>
      </extLst>
    </bk>
    <bk>
      <extLst>
        <ext uri="{3e2802c4-a4d2-4d8b-9148-e3be6c30e623}">
          <xlrd:rvb i="5122"/>
        </ext>
      </extLst>
    </bk>
    <bk>
      <extLst>
        <ext uri="{3e2802c4-a4d2-4d8b-9148-e3be6c30e623}">
          <xlrd:rvb i="5123"/>
        </ext>
      </extLst>
    </bk>
    <bk>
      <extLst>
        <ext uri="{3e2802c4-a4d2-4d8b-9148-e3be6c30e623}">
          <xlrd:rvb i="5124"/>
        </ext>
      </extLst>
    </bk>
    <bk>
      <extLst>
        <ext uri="{3e2802c4-a4d2-4d8b-9148-e3be6c30e623}">
          <xlrd:rvb i="5125"/>
        </ext>
      </extLst>
    </bk>
    <bk>
      <extLst>
        <ext uri="{3e2802c4-a4d2-4d8b-9148-e3be6c30e623}">
          <xlrd:rvb i="5126"/>
        </ext>
      </extLst>
    </bk>
    <bk>
      <extLst>
        <ext uri="{3e2802c4-a4d2-4d8b-9148-e3be6c30e623}">
          <xlrd:rvb i="5127"/>
        </ext>
      </extLst>
    </bk>
    <bk>
      <extLst>
        <ext uri="{3e2802c4-a4d2-4d8b-9148-e3be6c30e623}">
          <xlrd:rvb i="5128"/>
        </ext>
      </extLst>
    </bk>
    <bk>
      <extLst>
        <ext uri="{3e2802c4-a4d2-4d8b-9148-e3be6c30e623}">
          <xlrd:rvb i="5129"/>
        </ext>
      </extLst>
    </bk>
    <bk>
      <extLst>
        <ext uri="{3e2802c4-a4d2-4d8b-9148-e3be6c30e623}">
          <xlrd:rvb i="5130"/>
        </ext>
      </extLst>
    </bk>
    <bk>
      <extLst>
        <ext uri="{3e2802c4-a4d2-4d8b-9148-e3be6c30e623}">
          <xlrd:rvb i="5131"/>
        </ext>
      </extLst>
    </bk>
    <bk>
      <extLst>
        <ext uri="{3e2802c4-a4d2-4d8b-9148-e3be6c30e623}">
          <xlrd:rvb i="5132"/>
        </ext>
      </extLst>
    </bk>
    <bk>
      <extLst>
        <ext uri="{3e2802c4-a4d2-4d8b-9148-e3be6c30e623}">
          <xlrd:rvb i="5133"/>
        </ext>
      </extLst>
    </bk>
    <bk>
      <extLst>
        <ext uri="{3e2802c4-a4d2-4d8b-9148-e3be6c30e623}">
          <xlrd:rvb i="5134"/>
        </ext>
      </extLst>
    </bk>
    <bk>
      <extLst>
        <ext uri="{3e2802c4-a4d2-4d8b-9148-e3be6c30e623}">
          <xlrd:rvb i="5135"/>
        </ext>
      </extLst>
    </bk>
    <bk>
      <extLst>
        <ext uri="{3e2802c4-a4d2-4d8b-9148-e3be6c30e623}">
          <xlrd:rvb i="5136"/>
        </ext>
      </extLst>
    </bk>
    <bk>
      <extLst>
        <ext uri="{3e2802c4-a4d2-4d8b-9148-e3be6c30e623}">
          <xlrd:rvb i="5137"/>
        </ext>
      </extLst>
    </bk>
    <bk>
      <extLst>
        <ext uri="{3e2802c4-a4d2-4d8b-9148-e3be6c30e623}">
          <xlrd:rvb i="5138"/>
        </ext>
      </extLst>
    </bk>
    <bk>
      <extLst>
        <ext uri="{3e2802c4-a4d2-4d8b-9148-e3be6c30e623}">
          <xlrd:rvb i="5139"/>
        </ext>
      </extLst>
    </bk>
    <bk>
      <extLst>
        <ext uri="{3e2802c4-a4d2-4d8b-9148-e3be6c30e623}">
          <xlrd:rvb i="5140"/>
        </ext>
      </extLst>
    </bk>
    <bk>
      <extLst>
        <ext uri="{3e2802c4-a4d2-4d8b-9148-e3be6c30e623}">
          <xlrd:rvb i="5141"/>
        </ext>
      </extLst>
    </bk>
    <bk>
      <extLst>
        <ext uri="{3e2802c4-a4d2-4d8b-9148-e3be6c30e623}">
          <xlrd:rvb i="5142"/>
        </ext>
      </extLst>
    </bk>
    <bk>
      <extLst>
        <ext uri="{3e2802c4-a4d2-4d8b-9148-e3be6c30e623}">
          <xlrd:rvb i="5143"/>
        </ext>
      </extLst>
    </bk>
    <bk>
      <extLst>
        <ext uri="{3e2802c4-a4d2-4d8b-9148-e3be6c30e623}">
          <xlrd:rvb i="5144"/>
        </ext>
      </extLst>
    </bk>
    <bk>
      <extLst>
        <ext uri="{3e2802c4-a4d2-4d8b-9148-e3be6c30e623}">
          <xlrd:rvb i="5145"/>
        </ext>
      </extLst>
    </bk>
    <bk>
      <extLst>
        <ext uri="{3e2802c4-a4d2-4d8b-9148-e3be6c30e623}">
          <xlrd:rvb i="5146"/>
        </ext>
      </extLst>
    </bk>
    <bk>
      <extLst>
        <ext uri="{3e2802c4-a4d2-4d8b-9148-e3be6c30e623}">
          <xlrd:rvb i="5147"/>
        </ext>
      </extLst>
    </bk>
    <bk>
      <extLst>
        <ext uri="{3e2802c4-a4d2-4d8b-9148-e3be6c30e623}">
          <xlrd:rvb i="5148"/>
        </ext>
      </extLst>
    </bk>
    <bk>
      <extLst>
        <ext uri="{3e2802c4-a4d2-4d8b-9148-e3be6c30e623}">
          <xlrd:rvb i="5149"/>
        </ext>
      </extLst>
    </bk>
    <bk>
      <extLst>
        <ext uri="{3e2802c4-a4d2-4d8b-9148-e3be6c30e623}">
          <xlrd:rvb i="5150"/>
        </ext>
      </extLst>
    </bk>
    <bk>
      <extLst>
        <ext uri="{3e2802c4-a4d2-4d8b-9148-e3be6c30e623}">
          <xlrd:rvb i="5151"/>
        </ext>
      </extLst>
    </bk>
    <bk>
      <extLst>
        <ext uri="{3e2802c4-a4d2-4d8b-9148-e3be6c30e623}">
          <xlrd:rvb i="5152"/>
        </ext>
      </extLst>
    </bk>
    <bk>
      <extLst>
        <ext uri="{3e2802c4-a4d2-4d8b-9148-e3be6c30e623}">
          <xlrd:rvb i="5153"/>
        </ext>
      </extLst>
    </bk>
    <bk>
      <extLst>
        <ext uri="{3e2802c4-a4d2-4d8b-9148-e3be6c30e623}">
          <xlrd:rvb i="5154"/>
        </ext>
      </extLst>
    </bk>
    <bk>
      <extLst>
        <ext uri="{3e2802c4-a4d2-4d8b-9148-e3be6c30e623}">
          <xlrd:rvb i="5155"/>
        </ext>
      </extLst>
    </bk>
    <bk>
      <extLst>
        <ext uri="{3e2802c4-a4d2-4d8b-9148-e3be6c30e623}">
          <xlrd:rvb i="5156"/>
        </ext>
      </extLst>
    </bk>
    <bk>
      <extLst>
        <ext uri="{3e2802c4-a4d2-4d8b-9148-e3be6c30e623}">
          <xlrd:rvb i="5157"/>
        </ext>
      </extLst>
    </bk>
    <bk>
      <extLst>
        <ext uri="{3e2802c4-a4d2-4d8b-9148-e3be6c30e623}">
          <xlrd:rvb i="5158"/>
        </ext>
      </extLst>
    </bk>
    <bk>
      <extLst>
        <ext uri="{3e2802c4-a4d2-4d8b-9148-e3be6c30e623}">
          <xlrd:rvb i="5159"/>
        </ext>
      </extLst>
    </bk>
    <bk>
      <extLst>
        <ext uri="{3e2802c4-a4d2-4d8b-9148-e3be6c30e623}">
          <xlrd:rvb i="5160"/>
        </ext>
      </extLst>
    </bk>
    <bk>
      <extLst>
        <ext uri="{3e2802c4-a4d2-4d8b-9148-e3be6c30e623}">
          <xlrd:rvb i="5161"/>
        </ext>
      </extLst>
    </bk>
    <bk>
      <extLst>
        <ext uri="{3e2802c4-a4d2-4d8b-9148-e3be6c30e623}">
          <xlrd:rvb i="5162"/>
        </ext>
      </extLst>
    </bk>
    <bk>
      <extLst>
        <ext uri="{3e2802c4-a4d2-4d8b-9148-e3be6c30e623}">
          <xlrd:rvb i="5163"/>
        </ext>
      </extLst>
    </bk>
    <bk>
      <extLst>
        <ext uri="{3e2802c4-a4d2-4d8b-9148-e3be6c30e623}">
          <xlrd:rvb i="5164"/>
        </ext>
      </extLst>
    </bk>
    <bk>
      <extLst>
        <ext uri="{3e2802c4-a4d2-4d8b-9148-e3be6c30e623}">
          <xlrd:rvb i="5165"/>
        </ext>
      </extLst>
    </bk>
    <bk>
      <extLst>
        <ext uri="{3e2802c4-a4d2-4d8b-9148-e3be6c30e623}">
          <xlrd:rvb i="5166"/>
        </ext>
      </extLst>
    </bk>
    <bk>
      <extLst>
        <ext uri="{3e2802c4-a4d2-4d8b-9148-e3be6c30e623}">
          <xlrd:rvb i="5167"/>
        </ext>
      </extLst>
    </bk>
    <bk>
      <extLst>
        <ext uri="{3e2802c4-a4d2-4d8b-9148-e3be6c30e623}">
          <xlrd:rvb i="5168"/>
        </ext>
      </extLst>
    </bk>
    <bk>
      <extLst>
        <ext uri="{3e2802c4-a4d2-4d8b-9148-e3be6c30e623}">
          <xlrd:rvb i="5169"/>
        </ext>
      </extLst>
    </bk>
    <bk>
      <extLst>
        <ext uri="{3e2802c4-a4d2-4d8b-9148-e3be6c30e623}">
          <xlrd:rvb i="5170"/>
        </ext>
      </extLst>
    </bk>
    <bk>
      <extLst>
        <ext uri="{3e2802c4-a4d2-4d8b-9148-e3be6c30e623}">
          <xlrd:rvb i="5171"/>
        </ext>
      </extLst>
    </bk>
    <bk>
      <extLst>
        <ext uri="{3e2802c4-a4d2-4d8b-9148-e3be6c30e623}">
          <xlrd:rvb i="5172"/>
        </ext>
      </extLst>
    </bk>
    <bk>
      <extLst>
        <ext uri="{3e2802c4-a4d2-4d8b-9148-e3be6c30e623}">
          <xlrd:rvb i="5173"/>
        </ext>
      </extLst>
    </bk>
    <bk>
      <extLst>
        <ext uri="{3e2802c4-a4d2-4d8b-9148-e3be6c30e623}">
          <xlrd:rvb i="5174"/>
        </ext>
      </extLst>
    </bk>
    <bk>
      <extLst>
        <ext uri="{3e2802c4-a4d2-4d8b-9148-e3be6c30e623}">
          <xlrd:rvb i="5175"/>
        </ext>
      </extLst>
    </bk>
    <bk>
      <extLst>
        <ext uri="{3e2802c4-a4d2-4d8b-9148-e3be6c30e623}">
          <xlrd:rvb i="5176"/>
        </ext>
      </extLst>
    </bk>
    <bk>
      <extLst>
        <ext uri="{3e2802c4-a4d2-4d8b-9148-e3be6c30e623}">
          <xlrd:rvb i="5177"/>
        </ext>
      </extLst>
    </bk>
    <bk>
      <extLst>
        <ext uri="{3e2802c4-a4d2-4d8b-9148-e3be6c30e623}">
          <xlrd:rvb i="5178"/>
        </ext>
      </extLst>
    </bk>
    <bk>
      <extLst>
        <ext uri="{3e2802c4-a4d2-4d8b-9148-e3be6c30e623}">
          <xlrd:rvb i="5179"/>
        </ext>
      </extLst>
    </bk>
    <bk>
      <extLst>
        <ext uri="{3e2802c4-a4d2-4d8b-9148-e3be6c30e623}">
          <xlrd:rvb i="5180"/>
        </ext>
      </extLst>
    </bk>
    <bk>
      <extLst>
        <ext uri="{3e2802c4-a4d2-4d8b-9148-e3be6c30e623}">
          <xlrd:rvb i="5181"/>
        </ext>
      </extLst>
    </bk>
    <bk>
      <extLst>
        <ext uri="{3e2802c4-a4d2-4d8b-9148-e3be6c30e623}">
          <xlrd:rvb i="5182"/>
        </ext>
      </extLst>
    </bk>
    <bk>
      <extLst>
        <ext uri="{3e2802c4-a4d2-4d8b-9148-e3be6c30e623}">
          <xlrd:rvb i="5183"/>
        </ext>
      </extLst>
    </bk>
    <bk>
      <extLst>
        <ext uri="{3e2802c4-a4d2-4d8b-9148-e3be6c30e623}">
          <xlrd:rvb i="5184"/>
        </ext>
      </extLst>
    </bk>
    <bk>
      <extLst>
        <ext uri="{3e2802c4-a4d2-4d8b-9148-e3be6c30e623}">
          <xlrd:rvb i="5185"/>
        </ext>
      </extLst>
    </bk>
    <bk>
      <extLst>
        <ext uri="{3e2802c4-a4d2-4d8b-9148-e3be6c30e623}">
          <xlrd:rvb i="5186"/>
        </ext>
      </extLst>
    </bk>
    <bk>
      <extLst>
        <ext uri="{3e2802c4-a4d2-4d8b-9148-e3be6c30e623}">
          <xlrd:rvb i="5187"/>
        </ext>
      </extLst>
    </bk>
    <bk>
      <extLst>
        <ext uri="{3e2802c4-a4d2-4d8b-9148-e3be6c30e623}">
          <xlrd:rvb i="5188"/>
        </ext>
      </extLst>
    </bk>
    <bk>
      <extLst>
        <ext uri="{3e2802c4-a4d2-4d8b-9148-e3be6c30e623}">
          <xlrd:rvb i="5189"/>
        </ext>
      </extLst>
    </bk>
    <bk>
      <extLst>
        <ext uri="{3e2802c4-a4d2-4d8b-9148-e3be6c30e623}">
          <xlrd:rvb i="5190"/>
        </ext>
      </extLst>
    </bk>
    <bk>
      <extLst>
        <ext uri="{3e2802c4-a4d2-4d8b-9148-e3be6c30e623}">
          <xlrd:rvb i="5191"/>
        </ext>
      </extLst>
    </bk>
    <bk>
      <extLst>
        <ext uri="{3e2802c4-a4d2-4d8b-9148-e3be6c30e623}">
          <xlrd:rvb i="5192"/>
        </ext>
      </extLst>
    </bk>
    <bk>
      <extLst>
        <ext uri="{3e2802c4-a4d2-4d8b-9148-e3be6c30e623}">
          <xlrd:rvb i="5193"/>
        </ext>
      </extLst>
    </bk>
    <bk>
      <extLst>
        <ext uri="{3e2802c4-a4d2-4d8b-9148-e3be6c30e623}">
          <xlrd:rvb i="5194"/>
        </ext>
      </extLst>
    </bk>
    <bk>
      <extLst>
        <ext uri="{3e2802c4-a4d2-4d8b-9148-e3be6c30e623}">
          <xlrd:rvb i="5195"/>
        </ext>
      </extLst>
    </bk>
    <bk>
      <extLst>
        <ext uri="{3e2802c4-a4d2-4d8b-9148-e3be6c30e623}">
          <xlrd:rvb i="5196"/>
        </ext>
      </extLst>
    </bk>
    <bk>
      <extLst>
        <ext uri="{3e2802c4-a4d2-4d8b-9148-e3be6c30e623}">
          <xlrd:rvb i="5197"/>
        </ext>
      </extLst>
    </bk>
    <bk>
      <extLst>
        <ext uri="{3e2802c4-a4d2-4d8b-9148-e3be6c30e623}">
          <xlrd:rvb i="5198"/>
        </ext>
      </extLst>
    </bk>
    <bk>
      <extLst>
        <ext uri="{3e2802c4-a4d2-4d8b-9148-e3be6c30e623}">
          <xlrd:rvb i="5199"/>
        </ext>
      </extLst>
    </bk>
    <bk>
      <extLst>
        <ext uri="{3e2802c4-a4d2-4d8b-9148-e3be6c30e623}">
          <xlrd:rvb i="5200"/>
        </ext>
      </extLst>
    </bk>
    <bk>
      <extLst>
        <ext uri="{3e2802c4-a4d2-4d8b-9148-e3be6c30e623}">
          <xlrd:rvb i="5201"/>
        </ext>
      </extLst>
    </bk>
    <bk>
      <extLst>
        <ext uri="{3e2802c4-a4d2-4d8b-9148-e3be6c30e623}">
          <xlrd:rvb i="5202"/>
        </ext>
      </extLst>
    </bk>
    <bk>
      <extLst>
        <ext uri="{3e2802c4-a4d2-4d8b-9148-e3be6c30e623}">
          <xlrd:rvb i="5203"/>
        </ext>
      </extLst>
    </bk>
    <bk>
      <extLst>
        <ext uri="{3e2802c4-a4d2-4d8b-9148-e3be6c30e623}">
          <xlrd:rvb i="5204"/>
        </ext>
      </extLst>
    </bk>
    <bk>
      <extLst>
        <ext uri="{3e2802c4-a4d2-4d8b-9148-e3be6c30e623}">
          <xlrd:rvb i="5205"/>
        </ext>
      </extLst>
    </bk>
    <bk>
      <extLst>
        <ext uri="{3e2802c4-a4d2-4d8b-9148-e3be6c30e623}">
          <xlrd:rvb i="5206"/>
        </ext>
      </extLst>
    </bk>
    <bk>
      <extLst>
        <ext uri="{3e2802c4-a4d2-4d8b-9148-e3be6c30e623}">
          <xlrd:rvb i="5207"/>
        </ext>
      </extLst>
    </bk>
    <bk>
      <extLst>
        <ext uri="{3e2802c4-a4d2-4d8b-9148-e3be6c30e623}">
          <xlrd:rvb i="5208"/>
        </ext>
      </extLst>
    </bk>
    <bk>
      <extLst>
        <ext uri="{3e2802c4-a4d2-4d8b-9148-e3be6c30e623}">
          <xlrd:rvb i="5209"/>
        </ext>
      </extLst>
    </bk>
    <bk>
      <extLst>
        <ext uri="{3e2802c4-a4d2-4d8b-9148-e3be6c30e623}">
          <xlrd:rvb i="5210"/>
        </ext>
      </extLst>
    </bk>
    <bk>
      <extLst>
        <ext uri="{3e2802c4-a4d2-4d8b-9148-e3be6c30e623}">
          <xlrd:rvb i="5211"/>
        </ext>
      </extLst>
    </bk>
    <bk>
      <extLst>
        <ext uri="{3e2802c4-a4d2-4d8b-9148-e3be6c30e623}">
          <xlrd:rvb i="5212"/>
        </ext>
      </extLst>
    </bk>
    <bk>
      <extLst>
        <ext uri="{3e2802c4-a4d2-4d8b-9148-e3be6c30e623}">
          <xlrd:rvb i="5213"/>
        </ext>
      </extLst>
    </bk>
    <bk>
      <extLst>
        <ext uri="{3e2802c4-a4d2-4d8b-9148-e3be6c30e623}">
          <xlrd:rvb i="5214"/>
        </ext>
      </extLst>
    </bk>
    <bk>
      <extLst>
        <ext uri="{3e2802c4-a4d2-4d8b-9148-e3be6c30e623}">
          <xlrd:rvb i="5215"/>
        </ext>
      </extLst>
    </bk>
    <bk>
      <extLst>
        <ext uri="{3e2802c4-a4d2-4d8b-9148-e3be6c30e623}">
          <xlrd:rvb i="5216"/>
        </ext>
      </extLst>
    </bk>
    <bk>
      <extLst>
        <ext uri="{3e2802c4-a4d2-4d8b-9148-e3be6c30e623}">
          <xlrd:rvb i="5217"/>
        </ext>
      </extLst>
    </bk>
    <bk>
      <extLst>
        <ext uri="{3e2802c4-a4d2-4d8b-9148-e3be6c30e623}">
          <xlrd:rvb i="5218"/>
        </ext>
      </extLst>
    </bk>
    <bk>
      <extLst>
        <ext uri="{3e2802c4-a4d2-4d8b-9148-e3be6c30e623}">
          <xlrd:rvb i="5219"/>
        </ext>
      </extLst>
    </bk>
    <bk>
      <extLst>
        <ext uri="{3e2802c4-a4d2-4d8b-9148-e3be6c30e623}">
          <xlrd:rvb i="5220"/>
        </ext>
      </extLst>
    </bk>
    <bk>
      <extLst>
        <ext uri="{3e2802c4-a4d2-4d8b-9148-e3be6c30e623}">
          <xlrd:rvb i="5221"/>
        </ext>
      </extLst>
    </bk>
    <bk>
      <extLst>
        <ext uri="{3e2802c4-a4d2-4d8b-9148-e3be6c30e623}">
          <xlrd:rvb i="5222"/>
        </ext>
      </extLst>
    </bk>
    <bk>
      <extLst>
        <ext uri="{3e2802c4-a4d2-4d8b-9148-e3be6c30e623}">
          <xlrd:rvb i="5223"/>
        </ext>
      </extLst>
    </bk>
    <bk>
      <extLst>
        <ext uri="{3e2802c4-a4d2-4d8b-9148-e3be6c30e623}">
          <xlrd:rvb i="5224"/>
        </ext>
      </extLst>
    </bk>
    <bk>
      <extLst>
        <ext uri="{3e2802c4-a4d2-4d8b-9148-e3be6c30e623}">
          <xlrd:rvb i="5225"/>
        </ext>
      </extLst>
    </bk>
    <bk>
      <extLst>
        <ext uri="{3e2802c4-a4d2-4d8b-9148-e3be6c30e623}">
          <xlrd:rvb i="5226"/>
        </ext>
      </extLst>
    </bk>
    <bk>
      <extLst>
        <ext uri="{3e2802c4-a4d2-4d8b-9148-e3be6c30e623}">
          <xlrd:rvb i="5227"/>
        </ext>
      </extLst>
    </bk>
    <bk>
      <extLst>
        <ext uri="{3e2802c4-a4d2-4d8b-9148-e3be6c30e623}">
          <xlrd:rvb i="5228"/>
        </ext>
      </extLst>
    </bk>
    <bk>
      <extLst>
        <ext uri="{3e2802c4-a4d2-4d8b-9148-e3be6c30e623}">
          <xlrd:rvb i="5229"/>
        </ext>
      </extLst>
    </bk>
    <bk>
      <extLst>
        <ext uri="{3e2802c4-a4d2-4d8b-9148-e3be6c30e623}">
          <xlrd:rvb i="5230"/>
        </ext>
      </extLst>
    </bk>
    <bk>
      <extLst>
        <ext uri="{3e2802c4-a4d2-4d8b-9148-e3be6c30e623}">
          <xlrd:rvb i="5231"/>
        </ext>
      </extLst>
    </bk>
    <bk>
      <extLst>
        <ext uri="{3e2802c4-a4d2-4d8b-9148-e3be6c30e623}">
          <xlrd:rvb i="5232"/>
        </ext>
      </extLst>
    </bk>
    <bk>
      <extLst>
        <ext uri="{3e2802c4-a4d2-4d8b-9148-e3be6c30e623}">
          <xlrd:rvb i="5233"/>
        </ext>
      </extLst>
    </bk>
    <bk>
      <extLst>
        <ext uri="{3e2802c4-a4d2-4d8b-9148-e3be6c30e623}">
          <xlrd:rvb i="5234"/>
        </ext>
      </extLst>
    </bk>
    <bk>
      <extLst>
        <ext uri="{3e2802c4-a4d2-4d8b-9148-e3be6c30e623}">
          <xlrd:rvb i="5235"/>
        </ext>
      </extLst>
    </bk>
    <bk>
      <extLst>
        <ext uri="{3e2802c4-a4d2-4d8b-9148-e3be6c30e623}">
          <xlrd:rvb i="5236"/>
        </ext>
      </extLst>
    </bk>
    <bk>
      <extLst>
        <ext uri="{3e2802c4-a4d2-4d8b-9148-e3be6c30e623}">
          <xlrd:rvb i="5237"/>
        </ext>
      </extLst>
    </bk>
    <bk>
      <extLst>
        <ext uri="{3e2802c4-a4d2-4d8b-9148-e3be6c30e623}">
          <xlrd:rvb i="5238"/>
        </ext>
      </extLst>
    </bk>
    <bk>
      <extLst>
        <ext uri="{3e2802c4-a4d2-4d8b-9148-e3be6c30e623}">
          <xlrd:rvb i="5239"/>
        </ext>
      </extLst>
    </bk>
    <bk>
      <extLst>
        <ext uri="{3e2802c4-a4d2-4d8b-9148-e3be6c30e623}">
          <xlrd:rvb i="5240"/>
        </ext>
      </extLst>
    </bk>
    <bk>
      <extLst>
        <ext uri="{3e2802c4-a4d2-4d8b-9148-e3be6c30e623}">
          <xlrd:rvb i="5241"/>
        </ext>
      </extLst>
    </bk>
    <bk>
      <extLst>
        <ext uri="{3e2802c4-a4d2-4d8b-9148-e3be6c30e623}">
          <xlrd:rvb i="5242"/>
        </ext>
      </extLst>
    </bk>
    <bk>
      <extLst>
        <ext uri="{3e2802c4-a4d2-4d8b-9148-e3be6c30e623}">
          <xlrd:rvb i="5243"/>
        </ext>
      </extLst>
    </bk>
    <bk>
      <extLst>
        <ext uri="{3e2802c4-a4d2-4d8b-9148-e3be6c30e623}">
          <xlrd:rvb i="5244"/>
        </ext>
      </extLst>
    </bk>
    <bk>
      <extLst>
        <ext uri="{3e2802c4-a4d2-4d8b-9148-e3be6c30e623}">
          <xlrd:rvb i="5245"/>
        </ext>
      </extLst>
    </bk>
    <bk>
      <extLst>
        <ext uri="{3e2802c4-a4d2-4d8b-9148-e3be6c30e623}">
          <xlrd:rvb i="5246"/>
        </ext>
      </extLst>
    </bk>
    <bk>
      <extLst>
        <ext uri="{3e2802c4-a4d2-4d8b-9148-e3be6c30e623}">
          <xlrd:rvb i="5247"/>
        </ext>
      </extLst>
    </bk>
    <bk>
      <extLst>
        <ext uri="{3e2802c4-a4d2-4d8b-9148-e3be6c30e623}">
          <xlrd:rvb i="5248"/>
        </ext>
      </extLst>
    </bk>
    <bk>
      <extLst>
        <ext uri="{3e2802c4-a4d2-4d8b-9148-e3be6c30e623}">
          <xlrd:rvb i="5249"/>
        </ext>
      </extLst>
    </bk>
    <bk>
      <extLst>
        <ext uri="{3e2802c4-a4d2-4d8b-9148-e3be6c30e623}">
          <xlrd:rvb i="5250"/>
        </ext>
      </extLst>
    </bk>
    <bk>
      <extLst>
        <ext uri="{3e2802c4-a4d2-4d8b-9148-e3be6c30e623}">
          <xlrd:rvb i="5251"/>
        </ext>
      </extLst>
    </bk>
    <bk>
      <extLst>
        <ext uri="{3e2802c4-a4d2-4d8b-9148-e3be6c30e623}">
          <xlrd:rvb i="5252"/>
        </ext>
      </extLst>
    </bk>
    <bk>
      <extLst>
        <ext uri="{3e2802c4-a4d2-4d8b-9148-e3be6c30e623}">
          <xlrd:rvb i="5253"/>
        </ext>
      </extLst>
    </bk>
    <bk>
      <extLst>
        <ext uri="{3e2802c4-a4d2-4d8b-9148-e3be6c30e623}">
          <xlrd:rvb i="5254"/>
        </ext>
      </extLst>
    </bk>
    <bk>
      <extLst>
        <ext uri="{3e2802c4-a4d2-4d8b-9148-e3be6c30e623}">
          <xlrd:rvb i="5255"/>
        </ext>
      </extLst>
    </bk>
    <bk>
      <extLst>
        <ext uri="{3e2802c4-a4d2-4d8b-9148-e3be6c30e623}">
          <xlrd:rvb i="5256"/>
        </ext>
      </extLst>
    </bk>
    <bk>
      <extLst>
        <ext uri="{3e2802c4-a4d2-4d8b-9148-e3be6c30e623}">
          <xlrd:rvb i="5257"/>
        </ext>
      </extLst>
    </bk>
    <bk>
      <extLst>
        <ext uri="{3e2802c4-a4d2-4d8b-9148-e3be6c30e623}">
          <xlrd:rvb i="5258"/>
        </ext>
      </extLst>
    </bk>
    <bk>
      <extLst>
        <ext uri="{3e2802c4-a4d2-4d8b-9148-e3be6c30e623}">
          <xlrd:rvb i="5259"/>
        </ext>
      </extLst>
    </bk>
    <bk>
      <extLst>
        <ext uri="{3e2802c4-a4d2-4d8b-9148-e3be6c30e623}">
          <xlrd:rvb i="5260"/>
        </ext>
      </extLst>
    </bk>
    <bk>
      <extLst>
        <ext uri="{3e2802c4-a4d2-4d8b-9148-e3be6c30e623}">
          <xlrd:rvb i="5261"/>
        </ext>
      </extLst>
    </bk>
    <bk>
      <extLst>
        <ext uri="{3e2802c4-a4d2-4d8b-9148-e3be6c30e623}">
          <xlrd:rvb i="5262"/>
        </ext>
      </extLst>
    </bk>
    <bk>
      <extLst>
        <ext uri="{3e2802c4-a4d2-4d8b-9148-e3be6c30e623}">
          <xlrd:rvb i="5263"/>
        </ext>
      </extLst>
    </bk>
    <bk>
      <extLst>
        <ext uri="{3e2802c4-a4d2-4d8b-9148-e3be6c30e623}">
          <xlrd:rvb i="5264"/>
        </ext>
      </extLst>
    </bk>
    <bk>
      <extLst>
        <ext uri="{3e2802c4-a4d2-4d8b-9148-e3be6c30e623}">
          <xlrd:rvb i="5265"/>
        </ext>
      </extLst>
    </bk>
    <bk>
      <extLst>
        <ext uri="{3e2802c4-a4d2-4d8b-9148-e3be6c30e623}">
          <xlrd:rvb i="5266"/>
        </ext>
      </extLst>
    </bk>
    <bk>
      <extLst>
        <ext uri="{3e2802c4-a4d2-4d8b-9148-e3be6c30e623}">
          <xlrd:rvb i="5267"/>
        </ext>
      </extLst>
    </bk>
    <bk>
      <extLst>
        <ext uri="{3e2802c4-a4d2-4d8b-9148-e3be6c30e623}">
          <xlrd:rvb i="5268"/>
        </ext>
      </extLst>
    </bk>
    <bk>
      <extLst>
        <ext uri="{3e2802c4-a4d2-4d8b-9148-e3be6c30e623}">
          <xlrd:rvb i="5269"/>
        </ext>
      </extLst>
    </bk>
    <bk>
      <extLst>
        <ext uri="{3e2802c4-a4d2-4d8b-9148-e3be6c30e623}">
          <xlrd:rvb i="5270"/>
        </ext>
      </extLst>
    </bk>
    <bk>
      <extLst>
        <ext uri="{3e2802c4-a4d2-4d8b-9148-e3be6c30e623}">
          <xlrd:rvb i="5271"/>
        </ext>
      </extLst>
    </bk>
    <bk>
      <extLst>
        <ext uri="{3e2802c4-a4d2-4d8b-9148-e3be6c30e623}">
          <xlrd:rvb i="5272"/>
        </ext>
      </extLst>
    </bk>
    <bk>
      <extLst>
        <ext uri="{3e2802c4-a4d2-4d8b-9148-e3be6c30e623}">
          <xlrd:rvb i="5273"/>
        </ext>
      </extLst>
    </bk>
    <bk>
      <extLst>
        <ext uri="{3e2802c4-a4d2-4d8b-9148-e3be6c30e623}">
          <xlrd:rvb i="5274"/>
        </ext>
      </extLst>
    </bk>
    <bk>
      <extLst>
        <ext uri="{3e2802c4-a4d2-4d8b-9148-e3be6c30e623}">
          <xlrd:rvb i="5275"/>
        </ext>
      </extLst>
    </bk>
    <bk>
      <extLst>
        <ext uri="{3e2802c4-a4d2-4d8b-9148-e3be6c30e623}">
          <xlrd:rvb i="5276"/>
        </ext>
      </extLst>
    </bk>
    <bk>
      <extLst>
        <ext uri="{3e2802c4-a4d2-4d8b-9148-e3be6c30e623}">
          <xlrd:rvb i="5277"/>
        </ext>
      </extLst>
    </bk>
    <bk>
      <extLst>
        <ext uri="{3e2802c4-a4d2-4d8b-9148-e3be6c30e623}">
          <xlrd:rvb i="5278"/>
        </ext>
      </extLst>
    </bk>
    <bk>
      <extLst>
        <ext uri="{3e2802c4-a4d2-4d8b-9148-e3be6c30e623}">
          <xlrd:rvb i="5279"/>
        </ext>
      </extLst>
    </bk>
    <bk>
      <extLst>
        <ext uri="{3e2802c4-a4d2-4d8b-9148-e3be6c30e623}">
          <xlrd:rvb i="5280"/>
        </ext>
      </extLst>
    </bk>
    <bk>
      <extLst>
        <ext uri="{3e2802c4-a4d2-4d8b-9148-e3be6c30e623}">
          <xlrd:rvb i="5281"/>
        </ext>
      </extLst>
    </bk>
    <bk>
      <extLst>
        <ext uri="{3e2802c4-a4d2-4d8b-9148-e3be6c30e623}">
          <xlrd:rvb i="5282"/>
        </ext>
      </extLst>
    </bk>
    <bk>
      <extLst>
        <ext uri="{3e2802c4-a4d2-4d8b-9148-e3be6c30e623}">
          <xlrd:rvb i="5283"/>
        </ext>
      </extLst>
    </bk>
    <bk>
      <extLst>
        <ext uri="{3e2802c4-a4d2-4d8b-9148-e3be6c30e623}">
          <xlrd:rvb i="5284"/>
        </ext>
      </extLst>
    </bk>
    <bk>
      <extLst>
        <ext uri="{3e2802c4-a4d2-4d8b-9148-e3be6c30e623}">
          <xlrd:rvb i="5285"/>
        </ext>
      </extLst>
    </bk>
    <bk>
      <extLst>
        <ext uri="{3e2802c4-a4d2-4d8b-9148-e3be6c30e623}">
          <xlrd:rvb i="5286"/>
        </ext>
      </extLst>
    </bk>
    <bk>
      <extLst>
        <ext uri="{3e2802c4-a4d2-4d8b-9148-e3be6c30e623}">
          <xlrd:rvb i="5287"/>
        </ext>
      </extLst>
    </bk>
    <bk>
      <extLst>
        <ext uri="{3e2802c4-a4d2-4d8b-9148-e3be6c30e623}">
          <xlrd:rvb i="5288"/>
        </ext>
      </extLst>
    </bk>
    <bk>
      <extLst>
        <ext uri="{3e2802c4-a4d2-4d8b-9148-e3be6c30e623}">
          <xlrd:rvb i="5289"/>
        </ext>
      </extLst>
    </bk>
    <bk>
      <extLst>
        <ext uri="{3e2802c4-a4d2-4d8b-9148-e3be6c30e623}">
          <xlrd:rvb i="5290"/>
        </ext>
      </extLst>
    </bk>
    <bk>
      <extLst>
        <ext uri="{3e2802c4-a4d2-4d8b-9148-e3be6c30e623}">
          <xlrd:rvb i="5291"/>
        </ext>
      </extLst>
    </bk>
    <bk>
      <extLst>
        <ext uri="{3e2802c4-a4d2-4d8b-9148-e3be6c30e623}">
          <xlrd:rvb i="5292"/>
        </ext>
      </extLst>
    </bk>
    <bk>
      <extLst>
        <ext uri="{3e2802c4-a4d2-4d8b-9148-e3be6c30e623}">
          <xlrd:rvb i="5293"/>
        </ext>
      </extLst>
    </bk>
    <bk>
      <extLst>
        <ext uri="{3e2802c4-a4d2-4d8b-9148-e3be6c30e623}">
          <xlrd:rvb i="5294"/>
        </ext>
      </extLst>
    </bk>
    <bk>
      <extLst>
        <ext uri="{3e2802c4-a4d2-4d8b-9148-e3be6c30e623}">
          <xlrd:rvb i="5295"/>
        </ext>
      </extLst>
    </bk>
    <bk>
      <extLst>
        <ext uri="{3e2802c4-a4d2-4d8b-9148-e3be6c30e623}">
          <xlrd:rvb i="5296"/>
        </ext>
      </extLst>
    </bk>
    <bk>
      <extLst>
        <ext uri="{3e2802c4-a4d2-4d8b-9148-e3be6c30e623}">
          <xlrd:rvb i="5297"/>
        </ext>
      </extLst>
    </bk>
    <bk>
      <extLst>
        <ext uri="{3e2802c4-a4d2-4d8b-9148-e3be6c30e623}">
          <xlrd:rvb i="5298"/>
        </ext>
      </extLst>
    </bk>
    <bk>
      <extLst>
        <ext uri="{3e2802c4-a4d2-4d8b-9148-e3be6c30e623}">
          <xlrd:rvb i="5299"/>
        </ext>
      </extLst>
    </bk>
    <bk>
      <extLst>
        <ext uri="{3e2802c4-a4d2-4d8b-9148-e3be6c30e623}">
          <xlrd:rvb i="5300"/>
        </ext>
      </extLst>
    </bk>
    <bk>
      <extLst>
        <ext uri="{3e2802c4-a4d2-4d8b-9148-e3be6c30e623}">
          <xlrd:rvb i="5301"/>
        </ext>
      </extLst>
    </bk>
    <bk>
      <extLst>
        <ext uri="{3e2802c4-a4d2-4d8b-9148-e3be6c30e623}">
          <xlrd:rvb i="5302"/>
        </ext>
      </extLst>
    </bk>
    <bk>
      <extLst>
        <ext uri="{3e2802c4-a4d2-4d8b-9148-e3be6c30e623}">
          <xlrd:rvb i="5303"/>
        </ext>
      </extLst>
    </bk>
    <bk>
      <extLst>
        <ext uri="{3e2802c4-a4d2-4d8b-9148-e3be6c30e623}">
          <xlrd:rvb i="5304"/>
        </ext>
      </extLst>
    </bk>
    <bk>
      <extLst>
        <ext uri="{3e2802c4-a4d2-4d8b-9148-e3be6c30e623}">
          <xlrd:rvb i="5305"/>
        </ext>
      </extLst>
    </bk>
    <bk>
      <extLst>
        <ext uri="{3e2802c4-a4d2-4d8b-9148-e3be6c30e623}">
          <xlrd:rvb i="5306"/>
        </ext>
      </extLst>
    </bk>
    <bk>
      <extLst>
        <ext uri="{3e2802c4-a4d2-4d8b-9148-e3be6c30e623}">
          <xlrd:rvb i="5307"/>
        </ext>
      </extLst>
    </bk>
    <bk>
      <extLst>
        <ext uri="{3e2802c4-a4d2-4d8b-9148-e3be6c30e623}">
          <xlrd:rvb i="5308"/>
        </ext>
      </extLst>
    </bk>
    <bk>
      <extLst>
        <ext uri="{3e2802c4-a4d2-4d8b-9148-e3be6c30e623}">
          <xlrd:rvb i="5309"/>
        </ext>
      </extLst>
    </bk>
    <bk>
      <extLst>
        <ext uri="{3e2802c4-a4d2-4d8b-9148-e3be6c30e623}">
          <xlrd:rvb i="5310"/>
        </ext>
      </extLst>
    </bk>
    <bk>
      <extLst>
        <ext uri="{3e2802c4-a4d2-4d8b-9148-e3be6c30e623}">
          <xlrd:rvb i="5311"/>
        </ext>
      </extLst>
    </bk>
    <bk>
      <extLst>
        <ext uri="{3e2802c4-a4d2-4d8b-9148-e3be6c30e623}">
          <xlrd:rvb i="5312"/>
        </ext>
      </extLst>
    </bk>
    <bk>
      <extLst>
        <ext uri="{3e2802c4-a4d2-4d8b-9148-e3be6c30e623}">
          <xlrd:rvb i="5313"/>
        </ext>
      </extLst>
    </bk>
    <bk>
      <extLst>
        <ext uri="{3e2802c4-a4d2-4d8b-9148-e3be6c30e623}">
          <xlrd:rvb i="5314"/>
        </ext>
      </extLst>
    </bk>
    <bk>
      <extLst>
        <ext uri="{3e2802c4-a4d2-4d8b-9148-e3be6c30e623}">
          <xlrd:rvb i="5315"/>
        </ext>
      </extLst>
    </bk>
    <bk>
      <extLst>
        <ext uri="{3e2802c4-a4d2-4d8b-9148-e3be6c30e623}">
          <xlrd:rvb i="5316"/>
        </ext>
      </extLst>
    </bk>
    <bk>
      <extLst>
        <ext uri="{3e2802c4-a4d2-4d8b-9148-e3be6c30e623}">
          <xlrd:rvb i="5317"/>
        </ext>
      </extLst>
    </bk>
    <bk>
      <extLst>
        <ext uri="{3e2802c4-a4d2-4d8b-9148-e3be6c30e623}">
          <xlrd:rvb i="5318"/>
        </ext>
      </extLst>
    </bk>
    <bk>
      <extLst>
        <ext uri="{3e2802c4-a4d2-4d8b-9148-e3be6c30e623}">
          <xlrd:rvb i="5319"/>
        </ext>
      </extLst>
    </bk>
    <bk>
      <extLst>
        <ext uri="{3e2802c4-a4d2-4d8b-9148-e3be6c30e623}">
          <xlrd:rvb i="5320"/>
        </ext>
      </extLst>
    </bk>
    <bk>
      <extLst>
        <ext uri="{3e2802c4-a4d2-4d8b-9148-e3be6c30e623}">
          <xlrd:rvb i="5321"/>
        </ext>
      </extLst>
    </bk>
    <bk>
      <extLst>
        <ext uri="{3e2802c4-a4d2-4d8b-9148-e3be6c30e623}">
          <xlrd:rvb i="5322"/>
        </ext>
      </extLst>
    </bk>
    <bk>
      <extLst>
        <ext uri="{3e2802c4-a4d2-4d8b-9148-e3be6c30e623}">
          <xlrd:rvb i="5323"/>
        </ext>
      </extLst>
    </bk>
    <bk>
      <extLst>
        <ext uri="{3e2802c4-a4d2-4d8b-9148-e3be6c30e623}">
          <xlrd:rvb i="5324"/>
        </ext>
      </extLst>
    </bk>
    <bk>
      <extLst>
        <ext uri="{3e2802c4-a4d2-4d8b-9148-e3be6c30e623}">
          <xlrd:rvb i="5325"/>
        </ext>
      </extLst>
    </bk>
    <bk>
      <extLst>
        <ext uri="{3e2802c4-a4d2-4d8b-9148-e3be6c30e623}">
          <xlrd:rvb i="5326"/>
        </ext>
      </extLst>
    </bk>
    <bk>
      <extLst>
        <ext uri="{3e2802c4-a4d2-4d8b-9148-e3be6c30e623}">
          <xlrd:rvb i="5327"/>
        </ext>
      </extLst>
    </bk>
    <bk>
      <extLst>
        <ext uri="{3e2802c4-a4d2-4d8b-9148-e3be6c30e623}">
          <xlrd:rvb i="5328"/>
        </ext>
      </extLst>
    </bk>
    <bk>
      <extLst>
        <ext uri="{3e2802c4-a4d2-4d8b-9148-e3be6c30e623}">
          <xlrd:rvb i="5329"/>
        </ext>
      </extLst>
    </bk>
    <bk>
      <extLst>
        <ext uri="{3e2802c4-a4d2-4d8b-9148-e3be6c30e623}">
          <xlrd:rvb i="5330"/>
        </ext>
      </extLst>
    </bk>
    <bk>
      <extLst>
        <ext uri="{3e2802c4-a4d2-4d8b-9148-e3be6c30e623}">
          <xlrd:rvb i="5331"/>
        </ext>
      </extLst>
    </bk>
    <bk>
      <extLst>
        <ext uri="{3e2802c4-a4d2-4d8b-9148-e3be6c30e623}">
          <xlrd:rvb i="5332"/>
        </ext>
      </extLst>
    </bk>
    <bk>
      <extLst>
        <ext uri="{3e2802c4-a4d2-4d8b-9148-e3be6c30e623}">
          <xlrd:rvb i="5333"/>
        </ext>
      </extLst>
    </bk>
    <bk>
      <extLst>
        <ext uri="{3e2802c4-a4d2-4d8b-9148-e3be6c30e623}">
          <xlrd:rvb i="5334"/>
        </ext>
      </extLst>
    </bk>
    <bk>
      <extLst>
        <ext uri="{3e2802c4-a4d2-4d8b-9148-e3be6c30e623}">
          <xlrd:rvb i="5335"/>
        </ext>
      </extLst>
    </bk>
    <bk>
      <extLst>
        <ext uri="{3e2802c4-a4d2-4d8b-9148-e3be6c30e623}">
          <xlrd:rvb i="5336"/>
        </ext>
      </extLst>
    </bk>
    <bk>
      <extLst>
        <ext uri="{3e2802c4-a4d2-4d8b-9148-e3be6c30e623}">
          <xlrd:rvb i="5337"/>
        </ext>
      </extLst>
    </bk>
    <bk>
      <extLst>
        <ext uri="{3e2802c4-a4d2-4d8b-9148-e3be6c30e623}">
          <xlrd:rvb i="5338"/>
        </ext>
      </extLst>
    </bk>
    <bk>
      <extLst>
        <ext uri="{3e2802c4-a4d2-4d8b-9148-e3be6c30e623}">
          <xlrd:rvb i="5339"/>
        </ext>
      </extLst>
    </bk>
    <bk>
      <extLst>
        <ext uri="{3e2802c4-a4d2-4d8b-9148-e3be6c30e623}">
          <xlrd:rvb i="5340"/>
        </ext>
      </extLst>
    </bk>
    <bk>
      <extLst>
        <ext uri="{3e2802c4-a4d2-4d8b-9148-e3be6c30e623}">
          <xlrd:rvb i="5341"/>
        </ext>
      </extLst>
    </bk>
    <bk>
      <extLst>
        <ext uri="{3e2802c4-a4d2-4d8b-9148-e3be6c30e623}">
          <xlrd:rvb i="5342"/>
        </ext>
      </extLst>
    </bk>
    <bk>
      <extLst>
        <ext uri="{3e2802c4-a4d2-4d8b-9148-e3be6c30e623}">
          <xlrd:rvb i="5343"/>
        </ext>
      </extLst>
    </bk>
    <bk>
      <extLst>
        <ext uri="{3e2802c4-a4d2-4d8b-9148-e3be6c30e623}">
          <xlrd:rvb i="5344"/>
        </ext>
      </extLst>
    </bk>
    <bk>
      <extLst>
        <ext uri="{3e2802c4-a4d2-4d8b-9148-e3be6c30e623}">
          <xlrd:rvb i="5345"/>
        </ext>
      </extLst>
    </bk>
    <bk>
      <extLst>
        <ext uri="{3e2802c4-a4d2-4d8b-9148-e3be6c30e623}">
          <xlrd:rvb i="5346"/>
        </ext>
      </extLst>
    </bk>
    <bk>
      <extLst>
        <ext uri="{3e2802c4-a4d2-4d8b-9148-e3be6c30e623}">
          <xlrd:rvb i="5347"/>
        </ext>
      </extLst>
    </bk>
    <bk>
      <extLst>
        <ext uri="{3e2802c4-a4d2-4d8b-9148-e3be6c30e623}">
          <xlrd:rvb i="5348"/>
        </ext>
      </extLst>
    </bk>
    <bk>
      <extLst>
        <ext uri="{3e2802c4-a4d2-4d8b-9148-e3be6c30e623}">
          <xlrd:rvb i="5349"/>
        </ext>
      </extLst>
    </bk>
    <bk>
      <extLst>
        <ext uri="{3e2802c4-a4d2-4d8b-9148-e3be6c30e623}">
          <xlrd:rvb i="5350"/>
        </ext>
      </extLst>
    </bk>
    <bk>
      <extLst>
        <ext uri="{3e2802c4-a4d2-4d8b-9148-e3be6c30e623}">
          <xlrd:rvb i="5351"/>
        </ext>
      </extLst>
    </bk>
    <bk>
      <extLst>
        <ext uri="{3e2802c4-a4d2-4d8b-9148-e3be6c30e623}">
          <xlrd:rvb i="5352"/>
        </ext>
      </extLst>
    </bk>
    <bk>
      <extLst>
        <ext uri="{3e2802c4-a4d2-4d8b-9148-e3be6c30e623}">
          <xlrd:rvb i="5353"/>
        </ext>
      </extLst>
    </bk>
    <bk>
      <extLst>
        <ext uri="{3e2802c4-a4d2-4d8b-9148-e3be6c30e623}">
          <xlrd:rvb i="5354"/>
        </ext>
      </extLst>
    </bk>
    <bk>
      <extLst>
        <ext uri="{3e2802c4-a4d2-4d8b-9148-e3be6c30e623}">
          <xlrd:rvb i="5355"/>
        </ext>
      </extLst>
    </bk>
    <bk>
      <extLst>
        <ext uri="{3e2802c4-a4d2-4d8b-9148-e3be6c30e623}">
          <xlrd:rvb i="5356"/>
        </ext>
      </extLst>
    </bk>
    <bk>
      <extLst>
        <ext uri="{3e2802c4-a4d2-4d8b-9148-e3be6c30e623}">
          <xlrd:rvb i="5357"/>
        </ext>
      </extLst>
    </bk>
    <bk>
      <extLst>
        <ext uri="{3e2802c4-a4d2-4d8b-9148-e3be6c30e623}">
          <xlrd:rvb i="5358"/>
        </ext>
      </extLst>
    </bk>
    <bk>
      <extLst>
        <ext uri="{3e2802c4-a4d2-4d8b-9148-e3be6c30e623}">
          <xlrd:rvb i="5359"/>
        </ext>
      </extLst>
    </bk>
    <bk>
      <extLst>
        <ext uri="{3e2802c4-a4d2-4d8b-9148-e3be6c30e623}">
          <xlrd:rvb i="5360"/>
        </ext>
      </extLst>
    </bk>
    <bk>
      <extLst>
        <ext uri="{3e2802c4-a4d2-4d8b-9148-e3be6c30e623}">
          <xlrd:rvb i="5361"/>
        </ext>
      </extLst>
    </bk>
    <bk>
      <extLst>
        <ext uri="{3e2802c4-a4d2-4d8b-9148-e3be6c30e623}">
          <xlrd:rvb i="5362"/>
        </ext>
      </extLst>
    </bk>
    <bk>
      <extLst>
        <ext uri="{3e2802c4-a4d2-4d8b-9148-e3be6c30e623}">
          <xlrd:rvb i="5363"/>
        </ext>
      </extLst>
    </bk>
    <bk>
      <extLst>
        <ext uri="{3e2802c4-a4d2-4d8b-9148-e3be6c30e623}">
          <xlrd:rvb i="5364"/>
        </ext>
      </extLst>
    </bk>
    <bk>
      <extLst>
        <ext uri="{3e2802c4-a4d2-4d8b-9148-e3be6c30e623}">
          <xlrd:rvb i="5365"/>
        </ext>
      </extLst>
    </bk>
    <bk>
      <extLst>
        <ext uri="{3e2802c4-a4d2-4d8b-9148-e3be6c30e623}">
          <xlrd:rvb i="5366"/>
        </ext>
      </extLst>
    </bk>
    <bk>
      <extLst>
        <ext uri="{3e2802c4-a4d2-4d8b-9148-e3be6c30e623}">
          <xlrd:rvb i="5367"/>
        </ext>
      </extLst>
    </bk>
    <bk>
      <extLst>
        <ext uri="{3e2802c4-a4d2-4d8b-9148-e3be6c30e623}">
          <xlrd:rvb i="5368"/>
        </ext>
      </extLst>
    </bk>
    <bk>
      <extLst>
        <ext uri="{3e2802c4-a4d2-4d8b-9148-e3be6c30e623}">
          <xlrd:rvb i="5369"/>
        </ext>
      </extLst>
    </bk>
    <bk>
      <extLst>
        <ext uri="{3e2802c4-a4d2-4d8b-9148-e3be6c30e623}">
          <xlrd:rvb i="5370"/>
        </ext>
      </extLst>
    </bk>
    <bk>
      <extLst>
        <ext uri="{3e2802c4-a4d2-4d8b-9148-e3be6c30e623}">
          <xlrd:rvb i="5371"/>
        </ext>
      </extLst>
    </bk>
    <bk>
      <extLst>
        <ext uri="{3e2802c4-a4d2-4d8b-9148-e3be6c30e623}">
          <xlrd:rvb i="5372"/>
        </ext>
      </extLst>
    </bk>
    <bk>
      <extLst>
        <ext uri="{3e2802c4-a4d2-4d8b-9148-e3be6c30e623}">
          <xlrd:rvb i="5373"/>
        </ext>
      </extLst>
    </bk>
    <bk>
      <extLst>
        <ext uri="{3e2802c4-a4d2-4d8b-9148-e3be6c30e623}">
          <xlrd:rvb i="5374"/>
        </ext>
      </extLst>
    </bk>
    <bk>
      <extLst>
        <ext uri="{3e2802c4-a4d2-4d8b-9148-e3be6c30e623}">
          <xlrd:rvb i="5375"/>
        </ext>
      </extLst>
    </bk>
    <bk>
      <extLst>
        <ext uri="{3e2802c4-a4d2-4d8b-9148-e3be6c30e623}">
          <xlrd:rvb i="5376"/>
        </ext>
      </extLst>
    </bk>
    <bk>
      <extLst>
        <ext uri="{3e2802c4-a4d2-4d8b-9148-e3be6c30e623}">
          <xlrd:rvb i="5377"/>
        </ext>
      </extLst>
    </bk>
    <bk>
      <extLst>
        <ext uri="{3e2802c4-a4d2-4d8b-9148-e3be6c30e623}">
          <xlrd:rvb i="5378"/>
        </ext>
      </extLst>
    </bk>
    <bk>
      <extLst>
        <ext uri="{3e2802c4-a4d2-4d8b-9148-e3be6c30e623}">
          <xlrd:rvb i="5379"/>
        </ext>
      </extLst>
    </bk>
    <bk>
      <extLst>
        <ext uri="{3e2802c4-a4d2-4d8b-9148-e3be6c30e623}">
          <xlrd:rvb i="5380"/>
        </ext>
      </extLst>
    </bk>
    <bk>
      <extLst>
        <ext uri="{3e2802c4-a4d2-4d8b-9148-e3be6c30e623}">
          <xlrd:rvb i="5381"/>
        </ext>
      </extLst>
    </bk>
    <bk>
      <extLst>
        <ext uri="{3e2802c4-a4d2-4d8b-9148-e3be6c30e623}">
          <xlrd:rvb i="5382"/>
        </ext>
      </extLst>
    </bk>
    <bk>
      <extLst>
        <ext uri="{3e2802c4-a4d2-4d8b-9148-e3be6c30e623}">
          <xlrd:rvb i="5383"/>
        </ext>
      </extLst>
    </bk>
    <bk>
      <extLst>
        <ext uri="{3e2802c4-a4d2-4d8b-9148-e3be6c30e623}">
          <xlrd:rvb i="5384"/>
        </ext>
      </extLst>
    </bk>
    <bk>
      <extLst>
        <ext uri="{3e2802c4-a4d2-4d8b-9148-e3be6c30e623}">
          <xlrd:rvb i="5385"/>
        </ext>
      </extLst>
    </bk>
    <bk>
      <extLst>
        <ext uri="{3e2802c4-a4d2-4d8b-9148-e3be6c30e623}">
          <xlrd:rvb i="5386"/>
        </ext>
      </extLst>
    </bk>
    <bk>
      <extLst>
        <ext uri="{3e2802c4-a4d2-4d8b-9148-e3be6c30e623}">
          <xlrd:rvb i="5387"/>
        </ext>
      </extLst>
    </bk>
    <bk>
      <extLst>
        <ext uri="{3e2802c4-a4d2-4d8b-9148-e3be6c30e623}">
          <xlrd:rvb i="5388"/>
        </ext>
      </extLst>
    </bk>
    <bk>
      <extLst>
        <ext uri="{3e2802c4-a4d2-4d8b-9148-e3be6c30e623}">
          <xlrd:rvb i="5389"/>
        </ext>
      </extLst>
    </bk>
    <bk>
      <extLst>
        <ext uri="{3e2802c4-a4d2-4d8b-9148-e3be6c30e623}">
          <xlrd:rvb i="5390"/>
        </ext>
      </extLst>
    </bk>
    <bk>
      <extLst>
        <ext uri="{3e2802c4-a4d2-4d8b-9148-e3be6c30e623}">
          <xlrd:rvb i="5391"/>
        </ext>
      </extLst>
    </bk>
    <bk>
      <extLst>
        <ext uri="{3e2802c4-a4d2-4d8b-9148-e3be6c30e623}">
          <xlrd:rvb i="5392"/>
        </ext>
      </extLst>
    </bk>
    <bk>
      <extLst>
        <ext uri="{3e2802c4-a4d2-4d8b-9148-e3be6c30e623}">
          <xlrd:rvb i="5393"/>
        </ext>
      </extLst>
    </bk>
    <bk>
      <extLst>
        <ext uri="{3e2802c4-a4d2-4d8b-9148-e3be6c30e623}">
          <xlrd:rvb i="5394"/>
        </ext>
      </extLst>
    </bk>
    <bk>
      <extLst>
        <ext uri="{3e2802c4-a4d2-4d8b-9148-e3be6c30e623}">
          <xlrd:rvb i="5395"/>
        </ext>
      </extLst>
    </bk>
    <bk>
      <extLst>
        <ext uri="{3e2802c4-a4d2-4d8b-9148-e3be6c30e623}">
          <xlrd:rvb i="5396"/>
        </ext>
      </extLst>
    </bk>
    <bk>
      <extLst>
        <ext uri="{3e2802c4-a4d2-4d8b-9148-e3be6c30e623}">
          <xlrd:rvb i="5397"/>
        </ext>
      </extLst>
    </bk>
    <bk>
      <extLst>
        <ext uri="{3e2802c4-a4d2-4d8b-9148-e3be6c30e623}">
          <xlrd:rvb i="5398"/>
        </ext>
      </extLst>
    </bk>
    <bk>
      <extLst>
        <ext uri="{3e2802c4-a4d2-4d8b-9148-e3be6c30e623}">
          <xlrd:rvb i="5399"/>
        </ext>
      </extLst>
    </bk>
    <bk>
      <extLst>
        <ext uri="{3e2802c4-a4d2-4d8b-9148-e3be6c30e623}">
          <xlrd:rvb i="5400"/>
        </ext>
      </extLst>
    </bk>
    <bk>
      <extLst>
        <ext uri="{3e2802c4-a4d2-4d8b-9148-e3be6c30e623}">
          <xlrd:rvb i="5401"/>
        </ext>
      </extLst>
    </bk>
    <bk>
      <extLst>
        <ext uri="{3e2802c4-a4d2-4d8b-9148-e3be6c30e623}">
          <xlrd:rvb i="5402"/>
        </ext>
      </extLst>
    </bk>
    <bk>
      <extLst>
        <ext uri="{3e2802c4-a4d2-4d8b-9148-e3be6c30e623}">
          <xlrd:rvb i="5403"/>
        </ext>
      </extLst>
    </bk>
    <bk>
      <extLst>
        <ext uri="{3e2802c4-a4d2-4d8b-9148-e3be6c30e623}">
          <xlrd:rvb i="5404"/>
        </ext>
      </extLst>
    </bk>
    <bk>
      <extLst>
        <ext uri="{3e2802c4-a4d2-4d8b-9148-e3be6c30e623}">
          <xlrd:rvb i="5405"/>
        </ext>
      </extLst>
    </bk>
    <bk>
      <extLst>
        <ext uri="{3e2802c4-a4d2-4d8b-9148-e3be6c30e623}">
          <xlrd:rvb i="5406"/>
        </ext>
      </extLst>
    </bk>
    <bk>
      <extLst>
        <ext uri="{3e2802c4-a4d2-4d8b-9148-e3be6c30e623}">
          <xlrd:rvb i="5407"/>
        </ext>
      </extLst>
    </bk>
    <bk>
      <extLst>
        <ext uri="{3e2802c4-a4d2-4d8b-9148-e3be6c30e623}">
          <xlrd:rvb i="5408"/>
        </ext>
      </extLst>
    </bk>
    <bk>
      <extLst>
        <ext uri="{3e2802c4-a4d2-4d8b-9148-e3be6c30e623}">
          <xlrd:rvb i="5409"/>
        </ext>
      </extLst>
    </bk>
    <bk>
      <extLst>
        <ext uri="{3e2802c4-a4d2-4d8b-9148-e3be6c30e623}">
          <xlrd:rvb i="5410"/>
        </ext>
      </extLst>
    </bk>
    <bk>
      <extLst>
        <ext uri="{3e2802c4-a4d2-4d8b-9148-e3be6c30e623}">
          <xlrd:rvb i="5411"/>
        </ext>
      </extLst>
    </bk>
    <bk>
      <extLst>
        <ext uri="{3e2802c4-a4d2-4d8b-9148-e3be6c30e623}">
          <xlrd:rvb i="5412"/>
        </ext>
      </extLst>
    </bk>
    <bk>
      <extLst>
        <ext uri="{3e2802c4-a4d2-4d8b-9148-e3be6c30e623}">
          <xlrd:rvb i="5413"/>
        </ext>
      </extLst>
    </bk>
    <bk>
      <extLst>
        <ext uri="{3e2802c4-a4d2-4d8b-9148-e3be6c30e623}">
          <xlrd:rvb i="5414"/>
        </ext>
      </extLst>
    </bk>
    <bk>
      <extLst>
        <ext uri="{3e2802c4-a4d2-4d8b-9148-e3be6c30e623}">
          <xlrd:rvb i="5415"/>
        </ext>
      </extLst>
    </bk>
    <bk>
      <extLst>
        <ext uri="{3e2802c4-a4d2-4d8b-9148-e3be6c30e623}">
          <xlrd:rvb i="5416"/>
        </ext>
      </extLst>
    </bk>
    <bk>
      <extLst>
        <ext uri="{3e2802c4-a4d2-4d8b-9148-e3be6c30e623}">
          <xlrd:rvb i="5417"/>
        </ext>
      </extLst>
    </bk>
    <bk>
      <extLst>
        <ext uri="{3e2802c4-a4d2-4d8b-9148-e3be6c30e623}">
          <xlrd:rvb i="5418"/>
        </ext>
      </extLst>
    </bk>
    <bk>
      <extLst>
        <ext uri="{3e2802c4-a4d2-4d8b-9148-e3be6c30e623}">
          <xlrd:rvb i="5419"/>
        </ext>
      </extLst>
    </bk>
    <bk>
      <extLst>
        <ext uri="{3e2802c4-a4d2-4d8b-9148-e3be6c30e623}">
          <xlrd:rvb i="5420"/>
        </ext>
      </extLst>
    </bk>
    <bk>
      <extLst>
        <ext uri="{3e2802c4-a4d2-4d8b-9148-e3be6c30e623}">
          <xlrd:rvb i="5421"/>
        </ext>
      </extLst>
    </bk>
    <bk>
      <extLst>
        <ext uri="{3e2802c4-a4d2-4d8b-9148-e3be6c30e623}">
          <xlrd:rvb i="5422"/>
        </ext>
      </extLst>
    </bk>
    <bk>
      <extLst>
        <ext uri="{3e2802c4-a4d2-4d8b-9148-e3be6c30e623}">
          <xlrd:rvb i="5423"/>
        </ext>
      </extLst>
    </bk>
    <bk>
      <extLst>
        <ext uri="{3e2802c4-a4d2-4d8b-9148-e3be6c30e623}">
          <xlrd:rvb i="5424"/>
        </ext>
      </extLst>
    </bk>
    <bk>
      <extLst>
        <ext uri="{3e2802c4-a4d2-4d8b-9148-e3be6c30e623}">
          <xlrd:rvb i="5425"/>
        </ext>
      </extLst>
    </bk>
    <bk>
      <extLst>
        <ext uri="{3e2802c4-a4d2-4d8b-9148-e3be6c30e623}">
          <xlrd:rvb i="5426"/>
        </ext>
      </extLst>
    </bk>
    <bk>
      <extLst>
        <ext uri="{3e2802c4-a4d2-4d8b-9148-e3be6c30e623}">
          <xlrd:rvb i="5427"/>
        </ext>
      </extLst>
    </bk>
    <bk>
      <extLst>
        <ext uri="{3e2802c4-a4d2-4d8b-9148-e3be6c30e623}">
          <xlrd:rvb i="5428"/>
        </ext>
      </extLst>
    </bk>
    <bk>
      <extLst>
        <ext uri="{3e2802c4-a4d2-4d8b-9148-e3be6c30e623}">
          <xlrd:rvb i="5429"/>
        </ext>
      </extLst>
    </bk>
    <bk>
      <extLst>
        <ext uri="{3e2802c4-a4d2-4d8b-9148-e3be6c30e623}">
          <xlrd:rvb i="5430"/>
        </ext>
      </extLst>
    </bk>
    <bk>
      <extLst>
        <ext uri="{3e2802c4-a4d2-4d8b-9148-e3be6c30e623}">
          <xlrd:rvb i="5431"/>
        </ext>
      </extLst>
    </bk>
    <bk>
      <extLst>
        <ext uri="{3e2802c4-a4d2-4d8b-9148-e3be6c30e623}">
          <xlrd:rvb i="5432"/>
        </ext>
      </extLst>
    </bk>
    <bk>
      <extLst>
        <ext uri="{3e2802c4-a4d2-4d8b-9148-e3be6c30e623}">
          <xlrd:rvb i="5433"/>
        </ext>
      </extLst>
    </bk>
    <bk>
      <extLst>
        <ext uri="{3e2802c4-a4d2-4d8b-9148-e3be6c30e623}">
          <xlrd:rvb i="5434"/>
        </ext>
      </extLst>
    </bk>
    <bk>
      <extLst>
        <ext uri="{3e2802c4-a4d2-4d8b-9148-e3be6c30e623}">
          <xlrd:rvb i="5435"/>
        </ext>
      </extLst>
    </bk>
    <bk>
      <extLst>
        <ext uri="{3e2802c4-a4d2-4d8b-9148-e3be6c30e623}">
          <xlrd:rvb i="5436"/>
        </ext>
      </extLst>
    </bk>
    <bk>
      <extLst>
        <ext uri="{3e2802c4-a4d2-4d8b-9148-e3be6c30e623}">
          <xlrd:rvb i="5437"/>
        </ext>
      </extLst>
    </bk>
    <bk>
      <extLst>
        <ext uri="{3e2802c4-a4d2-4d8b-9148-e3be6c30e623}">
          <xlrd:rvb i="5438"/>
        </ext>
      </extLst>
    </bk>
    <bk>
      <extLst>
        <ext uri="{3e2802c4-a4d2-4d8b-9148-e3be6c30e623}">
          <xlrd:rvb i="5439"/>
        </ext>
      </extLst>
    </bk>
    <bk>
      <extLst>
        <ext uri="{3e2802c4-a4d2-4d8b-9148-e3be6c30e623}">
          <xlrd:rvb i="5440"/>
        </ext>
      </extLst>
    </bk>
    <bk>
      <extLst>
        <ext uri="{3e2802c4-a4d2-4d8b-9148-e3be6c30e623}">
          <xlrd:rvb i="5441"/>
        </ext>
      </extLst>
    </bk>
    <bk>
      <extLst>
        <ext uri="{3e2802c4-a4d2-4d8b-9148-e3be6c30e623}">
          <xlrd:rvb i="5442"/>
        </ext>
      </extLst>
    </bk>
    <bk>
      <extLst>
        <ext uri="{3e2802c4-a4d2-4d8b-9148-e3be6c30e623}">
          <xlrd:rvb i="5443"/>
        </ext>
      </extLst>
    </bk>
    <bk>
      <extLst>
        <ext uri="{3e2802c4-a4d2-4d8b-9148-e3be6c30e623}">
          <xlrd:rvb i="5444"/>
        </ext>
      </extLst>
    </bk>
    <bk>
      <extLst>
        <ext uri="{3e2802c4-a4d2-4d8b-9148-e3be6c30e623}">
          <xlrd:rvb i="5445"/>
        </ext>
      </extLst>
    </bk>
    <bk>
      <extLst>
        <ext uri="{3e2802c4-a4d2-4d8b-9148-e3be6c30e623}">
          <xlrd:rvb i="5446"/>
        </ext>
      </extLst>
    </bk>
    <bk>
      <extLst>
        <ext uri="{3e2802c4-a4d2-4d8b-9148-e3be6c30e623}">
          <xlrd:rvb i="5447"/>
        </ext>
      </extLst>
    </bk>
    <bk>
      <extLst>
        <ext uri="{3e2802c4-a4d2-4d8b-9148-e3be6c30e623}">
          <xlrd:rvb i="5448"/>
        </ext>
      </extLst>
    </bk>
    <bk>
      <extLst>
        <ext uri="{3e2802c4-a4d2-4d8b-9148-e3be6c30e623}">
          <xlrd:rvb i="5449"/>
        </ext>
      </extLst>
    </bk>
    <bk>
      <extLst>
        <ext uri="{3e2802c4-a4d2-4d8b-9148-e3be6c30e623}">
          <xlrd:rvb i="5450"/>
        </ext>
      </extLst>
    </bk>
    <bk>
      <extLst>
        <ext uri="{3e2802c4-a4d2-4d8b-9148-e3be6c30e623}">
          <xlrd:rvb i="5451"/>
        </ext>
      </extLst>
    </bk>
    <bk>
      <extLst>
        <ext uri="{3e2802c4-a4d2-4d8b-9148-e3be6c30e623}">
          <xlrd:rvb i="5452"/>
        </ext>
      </extLst>
    </bk>
    <bk>
      <extLst>
        <ext uri="{3e2802c4-a4d2-4d8b-9148-e3be6c30e623}">
          <xlrd:rvb i="5453"/>
        </ext>
      </extLst>
    </bk>
    <bk>
      <extLst>
        <ext uri="{3e2802c4-a4d2-4d8b-9148-e3be6c30e623}">
          <xlrd:rvb i="5454"/>
        </ext>
      </extLst>
    </bk>
    <bk>
      <extLst>
        <ext uri="{3e2802c4-a4d2-4d8b-9148-e3be6c30e623}">
          <xlrd:rvb i="5455"/>
        </ext>
      </extLst>
    </bk>
    <bk>
      <extLst>
        <ext uri="{3e2802c4-a4d2-4d8b-9148-e3be6c30e623}">
          <xlrd:rvb i="5456"/>
        </ext>
      </extLst>
    </bk>
    <bk>
      <extLst>
        <ext uri="{3e2802c4-a4d2-4d8b-9148-e3be6c30e623}">
          <xlrd:rvb i="5457"/>
        </ext>
      </extLst>
    </bk>
    <bk>
      <extLst>
        <ext uri="{3e2802c4-a4d2-4d8b-9148-e3be6c30e623}">
          <xlrd:rvb i="5458"/>
        </ext>
      </extLst>
    </bk>
    <bk>
      <extLst>
        <ext uri="{3e2802c4-a4d2-4d8b-9148-e3be6c30e623}">
          <xlrd:rvb i="5459"/>
        </ext>
      </extLst>
    </bk>
    <bk>
      <extLst>
        <ext uri="{3e2802c4-a4d2-4d8b-9148-e3be6c30e623}">
          <xlrd:rvb i="5460"/>
        </ext>
      </extLst>
    </bk>
    <bk>
      <extLst>
        <ext uri="{3e2802c4-a4d2-4d8b-9148-e3be6c30e623}">
          <xlrd:rvb i="5461"/>
        </ext>
      </extLst>
    </bk>
    <bk>
      <extLst>
        <ext uri="{3e2802c4-a4d2-4d8b-9148-e3be6c30e623}">
          <xlrd:rvb i="5462"/>
        </ext>
      </extLst>
    </bk>
    <bk>
      <extLst>
        <ext uri="{3e2802c4-a4d2-4d8b-9148-e3be6c30e623}">
          <xlrd:rvb i="5463"/>
        </ext>
      </extLst>
    </bk>
    <bk>
      <extLst>
        <ext uri="{3e2802c4-a4d2-4d8b-9148-e3be6c30e623}">
          <xlrd:rvb i="5464"/>
        </ext>
      </extLst>
    </bk>
    <bk>
      <extLst>
        <ext uri="{3e2802c4-a4d2-4d8b-9148-e3be6c30e623}">
          <xlrd:rvb i="5465"/>
        </ext>
      </extLst>
    </bk>
    <bk>
      <extLst>
        <ext uri="{3e2802c4-a4d2-4d8b-9148-e3be6c30e623}">
          <xlrd:rvb i="5466"/>
        </ext>
      </extLst>
    </bk>
    <bk>
      <extLst>
        <ext uri="{3e2802c4-a4d2-4d8b-9148-e3be6c30e623}">
          <xlrd:rvb i="5467"/>
        </ext>
      </extLst>
    </bk>
    <bk>
      <extLst>
        <ext uri="{3e2802c4-a4d2-4d8b-9148-e3be6c30e623}">
          <xlrd:rvb i="5468"/>
        </ext>
      </extLst>
    </bk>
    <bk>
      <extLst>
        <ext uri="{3e2802c4-a4d2-4d8b-9148-e3be6c30e623}">
          <xlrd:rvb i="5469"/>
        </ext>
      </extLst>
    </bk>
    <bk>
      <extLst>
        <ext uri="{3e2802c4-a4d2-4d8b-9148-e3be6c30e623}">
          <xlrd:rvb i="5470"/>
        </ext>
      </extLst>
    </bk>
    <bk>
      <extLst>
        <ext uri="{3e2802c4-a4d2-4d8b-9148-e3be6c30e623}">
          <xlrd:rvb i="5471"/>
        </ext>
      </extLst>
    </bk>
    <bk>
      <extLst>
        <ext uri="{3e2802c4-a4d2-4d8b-9148-e3be6c30e623}">
          <xlrd:rvb i="5472"/>
        </ext>
      </extLst>
    </bk>
    <bk>
      <extLst>
        <ext uri="{3e2802c4-a4d2-4d8b-9148-e3be6c30e623}">
          <xlrd:rvb i="5473"/>
        </ext>
      </extLst>
    </bk>
    <bk>
      <extLst>
        <ext uri="{3e2802c4-a4d2-4d8b-9148-e3be6c30e623}">
          <xlrd:rvb i="5474"/>
        </ext>
      </extLst>
    </bk>
    <bk>
      <extLst>
        <ext uri="{3e2802c4-a4d2-4d8b-9148-e3be6c30e623}">
          <xlrd:rvb i="5475"/>
        </ext>
      </extLst>
    </bk>
    <bk>
      <extLst>
        <ext uri="{3e2802c4-a4d2-4d8b-9148-e3be6c30e623}">
          <xlrd:rvb i="5476"/>
        </ext>
      </extLst>
    </bk>
    <bk>
      <extLst>
        <ext uri="{3e2802c4-a4d2-4d8b-9148-e3be6c30e623}">
          <xlrd:rvb i="5477"/>
        </ext>
      </extLst>
    </bk>
    <bk>
      <extLst>
        <ext uri="{3e2802c4-a4d2-4d8b-9148-e3be6c30e623}">
          <xlrd:rvb i="5478"/>
        </ext>
      </extLst>
    </bk>
    <bk>
      <extLst>
        <ext uri="{3e2802c4-a4d2-4d8b-9148-e3be6c30e623}">
          <xlrd:rvb i="5479"/>
        </ext>
      </extLst>
    </bk>
    <bk>
      <extLst>
        <ext uri="{3e2802c4-a4d2-4d8b-9148-e3be6c30e623}">
          <xlrd:rvb i="5480"/>
        </ext>
      </extLst>
    </bk>
    <bk>
      <extLst>
        <ext uri="{3e2802c4-a4d2-4d8b-9148-e3be6c30e623}">
          <xlrd:rvb i="5481"/>
        </ext>
      </extLst>
    </bk>
    <bk>
      <extLst>
        <ext uri="{3e2802c4-a4d2-4d8b-9148-e3be6c30e623}">
          <xlrd:rvb i="5482"/>
        </ext>
      </extLst>
    </bk>
    <bk>
      <extLst>
        <ext uri="{3e2802c4-a4d2-4d8b-9148-e3be6c30e623}">
          <xlrd:rvb i="5483"/>
        </ext>
      </extLst>
    </bk>
    <bk>
      <extLst>
        <ext uri="{3e2802c4-a4d2-4d8b-9148-e3be6c30e623}">
          <xlrd:rvb i="5484"/>
        </ext>
      </extLst>
    </bk>
    <bk>
      <extLst>
        <ext uri="{3e2802c4-a4d2-4d8b-9148-e3be6c30e623}">
          <xlrd:rvb i="5485"/>
        </ext>
      </extLst>
    </bk>
    <bk>
      <extLst>
        <ext uri="{3e2802c4-a4d2-4d8b-9148-e3be6c30e623}">
          <xlrd:rvb i="5486"/>
        </ext>
      </extLst>
    </bk>
    <bk>
      <extLst>
        <ext uri="{3e2802c4-a4d2-4d8b-9148-e3be6c30e623}">
          <xlrd:rvb i="5487"/>
        </ext>
      </extLst>
    </bk>
    <bk>
      <extLst>
        <ext uri="{3e2802c4-a4d2-4d8b-9148-e3be6c30e623}">
          <xlrd:rvb i="5488"/>
        </ext>
      </extLst>
    </bk>
    <bk>
      <extLst>
        <ext uri="{3e2802c4-a4d2-4d8b-9148-e3be6c30e623}">
          <xlrd:rvb i="5489"/>
        </ext>
      </extLst>
    </bk>
    <bk>
      <extLst>
        <ext uri="{3e2802c4-a4d2-4d8b-9148-e3be6c30e623}">
          <xlrd:rvb i="5490"/>
        </ext>
      </extLst>
    </bk>
    <bk>
      <extLst>
        <ext uri="{3e2802c4-a4d2-4d8b-9148-e3be6c30e623}">
          <xlrd:rvb i="5491"/>
        </ext>
      </extLst>
    </bk>
    <bk>
      <extLst>
        <ext uri="{3e2802c4-a4d2-4d8b-9148-e3be6c30e623}">
          <xlrd:rvb i="5492"/>
        </ext>
      </extLst>
    </bk>
    <bk>
      <extLst>
        <ext uri="{3e2802c4-a4d2-4d8b-9148-e3be6c30e623}">
          <xlrd:rvb i="5493"/>
        </ext>
      </extLst>
    </bk>
    <bk>
      <extLst>
        <ext uri="{3e2802c4-a4d2-4d8b-9148-e3be6c30e623}">
          <xlrd:rvb i="5494"/>
        </ext>
      </extLst>
    </bk>
    <bk>
      <extLst>
        <ext uri="{3e2802c4-a4d2-4d8b-9148-e3be6c30e623}">
          <xlrd:rvb i="5495"/>
        </ext>
      </extLst>
    </bk>
    <bk>
      <extLst>
        <ext uri="{3e2802c4-a4d2-4d8b-9148-e3be6c30e623}">
          <xlrd:rvb i="5496"/>
        </ext>
      </extLst>
    </bk>
    <bk>
      <extLst>
        <ext uri="{3e2802c4-a4d2-4d8b-9148-e3be6c30e623}">
          <xlrd:rvb i="5497"/>
        </ext>
      </extLst>
    </bk>
    <bk>
      <extLst>
        <ext uri="{3e2802c4-a4d2-4d8b-9148-e3be6c30e623}">
          <xlrd:rvb i="5498"/>
        </ext>
      </extLst>
    </bk>
    <bk>
      <extLst>
        <ext uri="{3e2802c4-a4d2-4d8b-9148-e3be6c30e623}">
          <xlrd:rvb i="5499"/>
        </ext>
      </extLst>
    </bk>
    <bk>
      <extLst>
        <ext uri="{3e2802c4-a4d2-4d8b-9148-e3be6c30e623}">
          <xlrd:rvb i="5500"/>
        </ext>
      </extLst>
    </bk>
    <bk>
      <extLst>
        <ext uri="{3e2802c4-a4d2-4d8b-9148-e3be6c30e623}">
          <xlrd:rvb i="5501"/>
        </ext>
      </extLst>
    </bk>
    <bk>
      <extLst>
        <ext uri="{3e2802c4-a4d2-4d8b-9148-e3be6c30e623}">
          <xlrd:rvb i="5502"/>
        </ext>
      </extLst>
    </bk>
    <bk>
      <extLst>
        <ext uri="{3e2802c4-a4d2-4d8b-9148-e3be6c30e623}">
          <xlrd:rvb i="5503"/>
        </ext>
      </extLst>
    </bk>
    <bk>
      <extLst>
        <ext uri="{3e2802c4-a4d2-4d8b-9148-e3be6c30e623}">
          <xlrd:rvb i="5504"/>
        </ext>
      </extLst>
    </bk>
    <bk>
      <extLst>
        <ext uri="{3e2802c4-a4d2-4d8b-9148-e3be6c30e623}">
          <xlrd:rvb i="5505"/>
        </ext>
      </extLst>
    </bk>
    <bk>
      <extLst>
        <ext uri="{3e2802c4-a4d2-4d8b-9148-e3be6c30e623}">
          <xlrd:rvb i="5506"/>
        </ext>
      </extLst>
    </bk>
    <bk>
      <extLst>
        <ext uri="{3e2802c4-a4d2-4d8b-9148-e3be6c30e623}">
          <xlrd:rvb i="5507"/>
        </ext>
      </extLst>
    </bk>
    <bk>
      <extLst>
        <ext uri="{3e2802c4-a4d2-4d8b-9148-e3be6c30e623}">
          <xlrd:rvb i="5508"/>
        </ext>
      </extLst>
    </bk>
    <bk>
      <extLst>
        <ext uri="{3e2802c4-a4d2-4d8b-9148-e3be6c30e623}">
          <xlrd:rvb i="5509"/>
        </ext>
      </extLst>
    </bk>
    <bk>
      <extLst>
        <ext uri="{3e2802c4-a4d2-4d8b-9148-e3be6c30e623}">
          <xlrd:rvb i="5510"/>
        </ext>
      </extLst>
    </bk>
    <bk>
      <extLst>
        <ext uri="{3e2802c4-a4d2-4d8b-9148-e3be6c30e623}">
          <xlrd:rvb i="5511"/>
        </ext>
      </extLst>
    </bk>
    <bk>
      <extLst>
        <ext uri="{3e2802c4-a4d2-4d8b-9148-e3be6c30e623}">
          <xlrd:rvb i="5512"/>
        </ext>
      </extLst>
    </bk>
    <bk>
      <extLst>
        <ext uri="{3e2802c4-a4d2-4d8b-9148-e3be6c30e623}">
          <xlrd:rvb i="5513"/>
        </ext>
      </extLst>
    </bk>
    <bk>
      <extLst>
        <ext uri="{3e2802c4-a4d2-4d8b-9148-e3be6c30e623}">
          <xlrd:rvb i="5514"/>
        </ext>
      </extLst>
    </bk>
    <bk>
      <extLst>
        <ext uri="{3e2802c4-a4d2-4d8b-9148-e3be6c30e623}">
          <xlrd:rvb i="5515"/>
        </ext>
      </extLst>
    </bk>
    <bk>
      <extLst>
        <ext uri="{3e2802c4-a4d2-4d8b-9148-e3be6c30e623}">
          <xlrd:rvb i="5516"/>
        </ext>
      </extLst>
    </bk>
    <bk>
      <extLst>
        <ext uri="{3e2802c4-a4d2-4d8b-9148-e3be6c30e623}">
          <xlrd:rvb i="5517"/>
        </ext>
      </extLst>
    </bk>
    <bk>
      <extLst>
        <ext uri="{3e2802c4-a4d2-4d8b-9148-e3be6c30e623}">
          <xlrd:rvb i="5518"/>
        </ext>
      </extLst>
    </bk>
    <bk>
      <extLst>
        <ext uri="{3e2802c4-a4d2-4d8b-9148-e3be6c30e623}">
          <xlrd:rvb i="5519"/>
        </ext>
      </extLst>
    </bk>
    <bk>
      <extLst>
        <ext uri="{3e2802c4-a4d2-4d8b-9148-e3be6c30e623}">
          <xlrd:rvb i="5520"/>
        </ext>
      </extLst>
    </bk>
    <bk>
      <extLst>
        <ext uri="{3e2802c4-a4d2-4d8b-9148-e3be6c30e623}">
          <xlrd:rvb i="5521"/>
        </ext>
      </extLst>
    </bk>
    <bk>
      <extLst>
        <ext uri="{3e2802c4-a4d2-4d8b-9148-e3be6c30e623}">
          <xlrd:rvb i="5522"/>
        </ext>
      </extLst>
    </bk>
    <bk>
      <extLst>
        <ext uri="{3e2802c4-a4d2-4d8b-9148-e3be6c30e623}">
          <xlrd:rvb i="5523"/>
        </ext>
      </extLst>
    </bk>
    <bk>
      <extLst>
        <ext uri="{3e2802c4-a4d2-4d8b-9148-e3be6c30e623}">
          <xlrd:rvb i="5524"/>
        </ext>
      </extLst>
    </bk>
    <bk>
      <extLst>
        <ext uri="{3e2802c4-a4d2-4d8b-9148-e3be6c30e623}">
          <xlrd:rvb i="5525"/>
        </ext>
      </extLst>
    </bk>
    <bk>
      <extLst>
        <ext uri="{3e2802c4-a4d2-4d8b-9148-e3be6c30e623}">
          <xlrd:rvb i="5526"/>
        </ext>
      </extLst>
    </bk>
    <bk>
      <extLst>
        <ext uri="{3e2802c4-a4d2-4d8b-9148-e3be6c30e623}">
          <xlrd:rvb i="5527"/>
        </ext>
      </extLst>
    </bk>
    <bk>
      <extLst>
        <ext uri="{3e2802c4-a4d2-4d8b-9148-e3be6c30e623}">
          <xlrd:rvb i="5528"/>
        </ext>
      </extLst>
    </bk>
    <bk>
      <extLst>
        <ext uri="{3e2802c4-a4d2-4d8b-9148-e3be6c30e623}">
          <xlrd:rvb i="5529"/>
        </ext>
      </extLst>
    </bk>
    <bk>
      <extLst>
        <ext uri="{3e2802c4-a4d2-4d8b-9148-e3be6c30e623}">
          <xlrd:rvb i="5530"/>
        </ext>
      </extLst>
    </bk>
    <bk>
      <extLst>
        <ext uri="{3e2802c4-a4d2-4d8b-9148-e3be6c30e623}">
          <xlrd:rvb i="5531"/>
        </ext>
      </extLst>
    </bk>
    <bk>
      <extLst>
        <ext uri="{3e2802c4-a4d2-4d8b-9148-e3be6c30e623}">
          <xlrd:rvb i="5532"/>
        </ext>
      </extLst>
    </bk>
    <bk>
      <extLst>
        <ext uri="{3e2802c4-a4d2-4d8b-9148-e3be6c30e623}">
          <xlrd:rvb i="5533"/>
        </ext>
      </extLst>
    </bk>
    <bk>
      <extLst>
        <ext uri="{3e2802c4-a4d2-4d8b-9148-e3be6c30e623}">
          <xlrd:rvb i="5534"/>
        </ext>
      </extLst>
    </bk>
    <bk>
      <extLst>
        <ext uri="{3e2802c4-a4d2-4d8b-9148-e3be6c30e623}">
          <xlrd:rvb i="5535"/>
        </ext>
      </extLst>
    </bk>
    <bk>
      <extLst>
        <ext uri="{3e2802c4-a4d2-4d8b-9148-e3be6c30e623}">
          <xlrd:rvb i="5536"/>
        </ext>
      </extLst>
    </bk>
    <bk>
      <extLst>
        <ext uri="{3e2802c4-a4d2-4d8b-9148-e3be6c30e623}">
          <xlrd:rvb i="5537"/>
        </ext>
      </extLst>
    </bk>
    <bk>
      <extLst>
        <ext uri="{3e2802c4-a4d2-4d8b-9148-e3be6c30e623}">
          <xlrd:rvb i="5538"/>
        </ext>
      </extLst>
    </bk>
    <bk>
      <extLst>
        <ext uri="{3e2802c4-a4d2-4d8b-9148-e3be6c30e623}">
          <xlrd:rvb i="5539"/>
        </ext>
      </extLst>
    </bk>
    <bk>
      <extLst>
        <ext uri="{3e2802c4-a4d2-4d8b-9148-e3be6c30e623}">
          <xlrd:rvb i="5540"/>
        </ext>
      </extLst>
    </bk>
    <bk>
      <extLst>
        <ext uri="{3e2802c4-a4d2-4d8b-9148-e3be6c30e623}">
          <xlrd:rvb i="5541"/>
        </ext>
      </extLst>
    </bk>
    <bk>
      <extLst>
        <ext uri="{3e2802c4-a4d2-4d8b-9148-e3be6c30e623}">
          <xlrd:rvb i="5542"/>
        </ext>
      </extLst>
    </bk>
    <bk>
      <extLst>
        <ext uri="{3e2802c4-a4d2-4d8b-9148-e3be6c30e623}">
          <xlrd:rvb i="5543"/>
        </ext>
      </extLst>
    </bk>
    <bk>
      <extLst>
        <ext uri="{3e2802c4-a4d2-4d8b-9148-e3be6c30e623}">
          <xlrd:rvb i="5544"/>
        </ext>
      </extLst>
    </bk>
    <bk>
      <extLst>
        <ext uri="{3e2802c4-a4d2-4d8b-9148-e3be6c30e623}">
          <xlrd:rvb i="5545"/>
        </ext>
      </extLst>
    </bk>
    <bk>
      <extLst>
        <ext uri="{3e2802c4-a4d2-4d8b-9148-e3be6c30e623}">
          <xlrd:rvb i="5546"/>
        </ext>
      </extLst>
    </bk>
    <bk>
      <extLst>
        <ext uri="{3e2802c4-a4d2-4d8b-9148-e3be6c30e623}">
          <xlrd:rvb i="5547"/>
        </ext>
      </extLst>
    </bk>
    <bk>
      <extLst>
        <ext uri="{3e2802c4-a4d2-4d8b-9148-e3be6c30e623}">
          <xlrd:rvb i="5548"/>
        </ext>
      </extLst>
    </bk>
    <bk>
      <extLst>
        <ext uri="{3e2802c4-a4d2-4d8b-9148-e3be6c30e623}">
          <xlrd:rvb i="5549"/>
        </ext>
      </extLst>
    </bk>
    <bk>
      <extLst>
        <ext uri="{3e2802c4-a4d2-4d8b-9148-e3be6c30e623}">
          <xlrd:rvb i="5550"/>
        </ext>
      </extLst>
    </bk>
    <bk>
      <extLst>
        <ext uri="{3e2802c4-a4d2-4d8b-9148-e3be6c30e623}">
          <xlrd:rvb i="5551"/>
        </ext>
      </extLst>
    </bk>
    <bk>
      <extLst>
        <ext uri="{3e2802c4-a4d2-4d8b-9148-e3be6c30e623}">
          <xlrd:rvb i="5552"/>
        </ext>
      </extLst>
    </bk>
    <bk>
      <extLst>
        <ext uri="{3e2802c4-a4d2-4d8b-9148-e3be6c30e623}">
          <xlrd:rvb i="5553"/>
        </ext>
      </extLst>
    </bk>
    <bk>
      <extLst>
        <ext uri="{3e2802c4-a4d2-4d8b-9148-e3be6c30e623}">
          <xlrd:rvb i="5554"/>
        </ext>
      </extLst>
    </bk>
    <bk>
      <extLst>
        <ext uri="{3e2802c4-a4d2-4d8b-9148-e3be6c30e623}">
          <xlrd:rvb i="5555"/>
        </ext>
      </extLst>
    </bk>
    <bk>
      <extLst>
        <ext uri="{3e2802c4-a4d2-4d8b-9148-e3be6c30e623}">
          <xlrd:rvb i="5556"/>
        </ext>
      </extLst>
    </bk>
    <bk>
      <extLst>
        <ext uri="{3e2802c4-a4d2-4d8b-9148-e3be6c30e623}">
          <xlrd:rvb i="5557"/>
        </ext>
      </extLst>
    </bk>
    <bk>
      <extLst>
        <ext uri="{3e2802c4-a4d2-4d8b-9148-e3be6c30e623}">
          <xlrd:rvb i="5558"/>
        </ext>
      </extLst>
    </bk>
    <bk>
      <extLst>
        <ext uri="{3e2802c4-a4d2-4d8b-9148-e3be6c30e623}">
          <xlrd:rvb i="5559"/>
        </ext>
      </extLst>
    </bk>
    <bk>
      <extLst>
        <ext uri="{3e2802c4-a4d2-4d8b-9148-e3be6c30e623}">
          <xlrd:rvb i="5560"/>
        </ext>
      </extLst>
    </bk>
    <bk>
      <extLst>
        <ext uri="{3e2802c4-a4d2-4d8b-9148-e3be6c30e623}">
          <xlrd:rvb i="5561"/>
        </ext>
      </extLst>
    </bk>
    <bk>
      <extLst>
        <ext uri="{3e2802c4-a4d2-4d8b-9148-e3be6c30e623}">
          <xlrd:rvb i="5562"/>
        </ext>
      </extLst>
    </bk>
    <bk>
      <extLst>
        <ext uri="{3e2802c4-a4d2-4d8b-9148-e3be6c30e623}">
          <xlrd:rvb i="5563"/>
        </ext>
      </extLst>
    </bk>
    <bk>
      <extLst>
        <ext uri="{3e2802c4-a4d2-4d8b-9148-e3be6c30e623}">
          <xlrd:rvb i="5564"/>
        </ext>
      </extLst>
    </bk>
    <bk>
      <extLst>
        <ext uri="{3e2802c4-a4d2-4d8b-9148-e3be6c30e623}">
          <xlrd:rvb i="5565"/>
        </ext>
      </extLst>
    </bk>
    <bk>
      <extLst>
        <ext uri="{3e2802c4-a4d2-4d8b-9148-e3be6c30e623}">
          <xlrd:rvb i="5566"/>
        </ext>
      </extLst>
    </bk>
    <bk>
      <extLst>
        <ext uri="{3e2802c4-a4d2-4d8b-9148-e3be6c30e623}">
          <xlrd:rvb i="5567"/>
        </ext>
      </extLst>
    </bk>
    <bk>
      <extLst>
        <ext uri="{3e2802c4-a4d2-4d8b-9148-e3be6c30e623}">
          <xlrd:rvb i="5568"/>
        </ext>
      </extLst>
    </bk>
    <bk>
      <extLst>
        <ext uri="{3e2802c4-a4d2-4d8b-9148-e3be6c30e623}">
          <xlrd:rvb i="5569"/>
        </ext>
      </extLst>
    </bk>
    <bk>
      <extLst>
        <ext uri="{3e2802c4-a4d2-4d8b-9148-e3be6c30e623}">
          <xlrd:rvb i="5570"/>
        </ext>
      </extLst>
    </bk>
    <bk>
      <extLst>
        <ext uri="{3e2802c4-a4d2-4d8b-9148-e3be6c30e623}">
          <xlrd:rvb i="5571"/>
        </ext>
      </extLst>
    </bk>
    <bk>
      <extLst>
        <ext uri="{3e2802c4-a4d2-4d8b-9148-e3be6c30e623}">
          <xlrd:rvb i="5572"/>
        </ext>
      </extLst>
    </bk>
    <bk>
      <extLst>
        <ext uri="{3e2802c4-a4d2-4d8b-9148-e3be6c30e623}">
          <xlrd:rvb i="5573"/>
        </ext>
      </extLst>
    </bk>
    <bk>
      <extLst>
        <ext uri="{3e2802c4-a4d2-4d8b-9148-e3be6c30e623}">
          <xlrd:rvb i="5574"/>
        </ext>
      </extLst>
    </bk>
    <bk>
      <extLst>
        <ext uri="{3e2802c4-a4d2-4d8b-9148-e3be6c30e623}">
          <xlrd:rvb i="5575"/>
        </ext>
      </extLst>
    </bk>
    <bk>
      <extLst>
        <ext uri="{3e2802c4-a4d2-4d8b-9148-e3be6c30e623}">
          <xlrd:rvb i="5576"/>
        </ext>
      </extLst>
    </bk>
    <bk>
      <extLst>
        <ext uri="{3e2802c4-a4d2-4d8b-9148-e3be6c30e623}">
          <xlrd:rvb i="5577"/>
        </ext>
      </extLst>
    </bk>
    <bk>
      <extLst>
        <ext uri="{3e2802c4-a4d2-4d8b-9148-e3be6c30e623}">
          <xlrd:rvb i="5578"/>
        </ext>
      </extLst>
    </bk>
    <bk>
      <extLst>
        <ext uri="{3e2802c4-a4d2-4d8b-9148-e3be6c30e623}">
          <xlrd:rvb i="5579"/>
        </ext>
      </extLst>
    </bk>
    <bk>
      <extLst>
        <ext uri="{3e2802c4-a4d2-4d8b-9148-e3be6c30e623}">
          <xlrd:rvb i="5580"/>
        </ext>
      </extLst>
    </bk>
    <bk>
      <extLst>
        <ext uri="{3e2802c4-a4d2-4d8b-9148-e3be6c30e623}">
          <xlrd:rvb i="5581"/>
        </ext>
      </extLst>
    </bk>
    <bk>
      <extLst>
        <ext uri="{3e2802c4-a4d2-4d8b-9148-e3be6c30e623}">
          <xlrd:rvb i="5582"/>
        </ext>
      </extLst>
    </bk>
    <bk>
      <extLst>
        <ext uri="{3e2802c4-a4d2-4d8b-9148-e3be6c30e623}">
          <xlrd:rvb i="5583"/>
        </ext>
      </extLst>
    </bk>
    <bk>
      <extLst>
        <ext uri="{3e2802c4-a4d2-4d8b-9148-e3be6c30e623}">
          <xlrd:rvb i="5584"/>
        </ext>
      </extLst>
    </bk>
    <bk>
      <extLst>
        <ext uri="{3e2802c4-a4d2-4d8b-9148-e3be6c30e623}">
          <xlrd:rvb i="5585"/>
        </ext>
      </extLst>
    </bk>
    <bk>
      <extLst>
        <ext uri="{3e2802c4-a4d2-4d8b-9148-e3be6c30e623}">
          <xlrd:rvb i="5586"/>
        </ext>
      </extLst>
    </bk>
    <bk>
      <extLst>
        <ext uri="{3e2802c4-a4d2-4d8b-9148-e3be6c30e623}">
          <xlrd:rvb i="5587"/>
        </ext>
      </extLst>
    </bk>
    <bk>
      <extLst>
        <ext uri="{3e2802c4-a4d2-4d8b-9148-e3be6c30e623}">
          <xlrd:rvb i="5588"/>
        </ext>
      </extLst>
    </bk>
    <bk>
      <extLst>
        <ext uri="{3e2802c4-a4d2-4d8b-9148-e3be6c30e623}">
          <xlrd:rvb i="5589"/>
        </ext>
      </extLst>
    </bk>
    <bk>
      <extLst>
        <ext uri="{3e2802c4-a4d2-4d8b-9148-e3be6c30e623}">
          <xlrd:rvb i="5590"/>
        </ext>
      </extLst>
    </bk>
    <bk>
      <extLst>
        <ext uri="{3e2802c4-a4d2-4d8b-9148-e3be6c30e623}">
          <xlrd:rvb i="5591"/>
        </ext>
      </extLst>
    </bk>
    <bk>
      <extLst>
        <ext uri="{3e2802c4-a4d2-4d8b-9148-e3be6c30e623}">
          <xlrd:rvb i="5592"/>
        </ext>
      </extLst>
    </bk>
    <bk>
      <extLst>
        <ext uri="{3e2802c4-a4d2-4d8b-9148-e3be6c30e623}">
          <xlrd:rvb i="5593"/>
        </ext>
      </extLst>
    </bk>
    <bk>
      <extLst>
        <ext uri="{3e2802c4-a4d2-4d8b-9148-e3be6c30e623}">
          <xlrd:rvb i="5594"/>
        </ext>
      </extLst>
    </bk>
    <bk>
      <extLst>
        <ext uri="{3e2802c4-a4d2-4d8b-9148-e3be6c30e623}">
          <xlrd:rvb i="5595"/>
        </ext>
      </extLst>
    </bk>
    <bk>
      <extLst>
        <ext uri="{3e2802c4-a4d2-4d8b-9148-e3be6c30e623}">
          <xlrd:rvb i="5596"/>
        </ext>
      </extLst>
    </bk>
    <bk>
      <extLst>
        <ext uri="{3e2802c4-a4d2-4d8b-9148-e3be6c30e623}">
          <xlrd:rvb i="5597"/>
        </ext>
      </extLst>
    </bk>
    <bk>
      <extLst>
        <ext uri="{3e2802c4-a4d2-4d8b-9148-e3be6c30e623}">
          <xlrd:rvb i="5598"/>
        </ext>
      </extLst>
    </bk>
    <bk>
      <extLst>
        <ext uri="{3e2802c4-a4d2-4d8b-9148-e3be6c30e623}">
          <xlrd:rvb i="5599"/>
        </ext>
      </extLst>
    </bk>
    <bk>
      <extLst>
        <ext uri="{3e2802c4-a4d2-4d8b-9148-e3be6c30e623}">
          <xlrd:rvb i="5600"/>
        </ext>
      </extLst>
    </bk>
    <bk>
      <extLst>
        <ext uri="{3e2802c4-a4d2-4d8b-9148-e3be6c30e623}">
          <xlrd:rvb i="5601"/>
        </ext>
      </extLst>
    </bk>
    <bk>
      <extLst>
        <ext uri="{3e2802c4-a4d2-4d8b-9148-e3be6c30e623}">
          <xlrd:rvb i="5602"/>
        </ext>
      </extLst>
    </bk>
    <bk>
      <extLst>
        <ext uri="{3e2802c4-a4d2-4d8b-9148-e3be6c30e623}">
          <xlrd:rvb i="5603"/>
        </ext>
      </extLst>
    </bk>
    <bk>
      <extLst>
        <ext uri="{3e2802c4-a4d2-4d8b-9148-e3be6c30e623}">
          <xlrd:rvb i="5604"/>
        </ext>
      </extLst>
    </bk>
    <bk>
      <extLst>
        <ext uri="{3e2802c4-a4d2-4d8b-9148-e3be6c30e623}">
          <xlrd:rvb i="5605"/>
        </ext>
      </extLst>
    </bk>
    <bk>
      <extLst>
        <ext uri="{3e2802c4-a4d2-4d8b-9148-e3be6c30e623}">
          <xlrd:rvb i="5606"/>
        </ext>
      </extLst>
    </bk>
    <bk>
      <extLst>
        <ext uri="{3e2802c4-a4d2-4d8b-9148-e3be6c30e623}">
          <xlrd:rvb i="5607"/>
        </ext>
      </extLst>
    </bk>
    <bk>
      <extLst>
        <ext uri="{3e2802c4-a4d2-4d8b-9148-e3be6c30e623}">
          <xlrd:rvb i="5608"/>
        </ext>
      </extLst>
    </bk>
    <bk>
      <extLst>
        <ext uri="{3e2802c4-a4d2-4d8b-9148-e3be6c30e623}">
          <xlrd:rvb i="5609"/>
        </ext>
      </extLst>
    </bk>
    <bk>
      <extLst>
        <ext uri="{3e2802c4-a4d2-4d8b-9148-e3be6c30e623}">
          <xlrd:rvb i="5610"/>
        </ext>
      </extLst>
    </bk>
    <bk>
      <extLst>
        <ext uri="{3e2802c4-a4d2-4d8b-9148-e3be6c30e623}">
          <xlrd:rvb i="5611"/>
        </ext>
      </extLst>
    </bk>
    <bk>
      <extLst>
        <ext uri="{3e2802c4-a4d2-4d8b-9148-e3be6c30e623}">
          <xlrd:rvb i="5612"/>
        </ext>
      </extLst>
    </bk>
    <bk>
      <extLst>
        <ext uri="{3e2802c4-a4d2-4d8b-9148-e3be6c30e623}">
          <xlrd:rvb i="5613"/>
        </ext>
      </extLst>
    </bk>
    <bk>
      <extLst>
        <ext uri="{3e2802c4-a4d2-4d8b-9148-e3be6c30e623}">
          <xlrd:rvb i="5614"/>
        </ext>
      </extLst>
    </bk>
    <bk>
      <extLst>
        <ext uri="{3e2802c4-a4d2-4d8b-9148-e3be6c30e623}">
          <xlrd:rvb i="5615"/>
        </ext>
      </extLst>
    </bk>
    <bk>
      <extLst>
        <ext uri="{3e2802c4-a4d2-4d8b-9148-e3be6c30e623}">
          <xlrd:rvb i="5616"/>
        </ext>
      </extLst>
    </bk>
    <bk>
      <extLst>
        <ext uri="{3e2802c4-a4d2-4d8b-9148-e3be6c30e623}">
          <xlrd:rvb i="5617"/>
        </ext>
      </extLst>
    </bk>
    <bk>
      <extLst>
        <ext uri="{3e2802c4-a4d2-4d8b-9148-e3be6c30e623}">
          <xlrd:rvb i="5618"/>
        </ext>
      </extLst>
    </bk>
    <bk>
      <extLst>
        <ext uri="{3e2802c4-a4d2-4d8b-9148-e3be6c30e623}">
          <xlrd:rvb i="5619"/>
        </ext>
      </extLst>
    </bk>
    <bk>
      <extLst>
        <ext uri="{3e2802c4-a4d2-4d8b-9148-e3be6c30e623}">
          <xlrd:rvb i="5620"/>
        </ext>
      </extLst>
    </bk>
    <bk>
      <extLst>
        <ext uri="{3e2802c4-a4d2-4d8b-9148-e3be6c30e623}">
          <xlrd:rvb i="5621"/>
        </ext>
      </extLst>
    </bk>
    <bk>
      <extLst>
        <ext uri="{3e2802c4-a4d2-4d8b-9148-e3be6c30e623}">
          <xlrd:rvb i="5622"/>
        </ext>
      </extLst>
    </bk>
    <bk>
      <extLst>
        <ext uri="{3e2802c4-a4d2-4d8b-9148-e3be6c30e623}">
          <xlrd:rvb i="5623"/>
        </ext>
      </extLst>
    </bk>
    <bk>
      <extLst>
        <ext uri="{3e2802c4-a4d2-4d8b-9148-e3be6c30e623}">
          <xlrd:rvb i="5624"/>
        </ext>
      </extLst>
    </bk>
    <bk>
      <extLst>
        <ext uri="{3e2802c4-a4d2-4d8b-9148-e3be6c30e623}">
          <xlrd:rvb i="5625"/>
        </ext>
      </extLst>
    </bk>
    <bk>
      <extLst>
        <ext uri="{3e2802c4-a4d2-4d8b-9148-e3be6c30e623}">
          <xlrd:rvb i="5626"/>
        </ext>
      </extLst>
    </bk>
    <bk>
      <extLst>
        <ext uri="{3e2802c4-a4d2-4d8b-9148-e3be6c30e623}">
          <xlrd:rvb i="5627"/>
        </ext>
      </extLst>
    </bk>
    <bk>
      <extLst>
        <ext uri="{3e2802c4-a4d2-4d8b-9148-e3be6c30e623}">
          <xlrd:rvb i="5628"/>
        </ext>
      </extLst>
    </bk>
    <bk>
      <extLst>
        <ext uri="{3e2802c4-a4d2-4d8b-9148-e3be6c30e623}">
          <xlrd:rvb i="5629"/>
        </ext>
      </extLst>
    </bk>
    <bk>
      <extLst>
        <ext uri="{3e2802c4-a4d2-4d8b-9148-e3be6c30e623}">
          <xlrd:rvb i="5630"/>
        </ext>
      </extLst>
    </bk>
    <bk>
      <extLst>
        <ext uri="{3e2802c4-a4d2-4d8b-9148-e3be6c30e623}">
          <xlrd:rvb i="5631"/>
        </ext>
      </extLst>
    </bk>
    <bk>
      <extLst>
        <ext uri="{3e2802c4-a4d2-4d8b-9148-e3be6c30e623}">
          <xlrd:rvb i="5632"/>
        </ext>
      </extLst>
    </bk>
    <bk>
      <extLst>
        <ext uri="{3e2802c4-a4d2-4d8b-9148-e3be6c30e623}">
          <xlrd:rvb i="5633"/>
        </ext>
      </extLst>
    </bk>
    <bk>
      <extLst>
        <ext uri="{3e2802c4-a4d2-4d8b-9148-e3be6c30e623}">
          <xlrd:rvb i="5634"/>
        </ext>
      </extLst>
    </bk>
    <bk>
      <extLst>
        <ext uri="{3e2802c4-a4d2-4d8b-9148-e3be6c30e623}">
          <xlrd:rvb i="5635"/>
        </ext>
      </extLst>
    </bk>
    <bk>
      <extLst>
        <ext uri="{3e2802c4-a4d2-4d8b-9148-e3be6c30e623}">
          <xlrd:rvb i="5636"/>
        </ext>
      </extLst>
    </bk>
    <bk>
      <extLst>
        <ext uri="{3e2802c4-a4d2-4d8b-9148-e3be6c30e623}">
          <xlrd:rvb i="5637"/>
        </ext>
      </extLst>
    </bk>
    <bk>
      <extLst>
        <ext uri="{3e2802c4-a4d2-4d8b-9148-e3be6c30e623}">
          <xlrd:rvb i="5638"/>
        </ext>
      </extLst>
    </bk>
    <bk>
      <extLst>
        <ext uri="{3e2802c4-a4d2-4d8b-9148-e3be6c30e623}">
          <xlrd:rvb i="5639"/>
        </ext>
      </extLst>
    </bk>
    <bk>
      <extLst>
        <ext uri="{3e2802c4-a4d2-4d8b-9148-e3be6c30e623}">
          <xlrd:rvb i="5640"/>
        </ext>
      </extLst>
    </bk>
    <bk>
      <extLst>
        <ext uri="{3e2802c4-a4d2-4d8b-9148-e3be6c30e623}">
          <xlrd:rvb i="5641"/>
        </ext>
      </extLst>
    </bk>
    <bk>
      <extLst>
        <ext uri="{3e2802c4-a4d2-4d8b-9148-e3be6c30e623}">
          <xlrd:rvb i="5642"/>
        </ext>
      </extLst>
    </bk>
    <bk>
      <extLst>
        <ext uri="{3e2802c4-a4d2-4d8b-9148-e3be6c30e623}">
          <xlrd:rvb i="5643"/>
        </ext>
      </extLst>
    </bk>
    <bk>
      <extLst>
        <ext uri="{3e2802c4-a4d2-4d8b-9148-e3be6c30e623}">
          <xlrd:rvb i="5644"/>
        </ext>
      </extLst>
    </bk>
    <bk>
      <extLst>
        <ext uri="{3e2802c4-a4d2-4d8b-9148-e3be6c30e623}">
          <xlrd:rvb i="5645"/>
        </ext>
      </extLst>
    </bk>
    <bk>
      <extLst>
        <ext uri="{3e2802c4-a4d2-4d8b-9148-e3be6c30e623}">
          <xlrd:rvb i="5646"/>
        </ext>
      </extLst>
    </bk>
    <bk>
      <extLst>
        <ext uri="{3e2802c4-a4d2-4d8b-9148-e3be6c30e623}">
          <xlrd:rvb i="5647"/>
        </ext>
      </extLst>
    </bk>
    <bk>
      <extLst>
        <ext uri="{3e2802c4-a4d2-4d8b-9148-e3be6c30e623}">
          <xlrd:rvb i="5648"/>
        </ext>
      </extLst>
    </bk>
    <bk>
      <extLst>
        <ext uri="{3e2802c4-a4d2-4d8b-9148-e3be6c30e623}">
          <xlrd:rvb i="5649"/>
        </ext>
      </extLst>
    </bk>
    <bk>
      <extLst>
        <ext uri="{3e2802c4-a4d2-4d8b-9148-e3be6c30e623}">
          <xlrd:rvb i="5650"/>
        </ext>
      </extLst>
    </bk>
    <bk>
      <extLst>
        <ext uri="{3e2802c4-a4d2-4d8b-9148-e3be6c30e623}">
          <xlrd:rvb i="5651"/>
        </ext>
      </extLst>
    </bk>
    <bk>
      <extLst>
        <ext uri="{3e2802c4-a4d2-4d8b-9148-e3be6c30e623}">
          <xlrd:rvb i="5652"/>
        </ext>
      </extLst>
    </bk>
    <bk>
      <extLst>
        <ext uri="{3e2802c4-a4d2-4d8b-9148-e3be6c30e623}">
          <xlrd:rvb i="5653"/>
        </ext>
      </extLst>
    </bk>
    <bk>
      <extLst>
        <ext uri="{3e2802c4-a4d2-4d8b-9148-e3be6c30e623}">
          <xlrd:rvb i="5654"/>
        </ext>
      </extLst>
    </bk>
    <bk>
      <extLst>
        <ext uri="{3e2802c4-a4d2-4d8b-9148-e3be6c30e623}">
          <xlrd:rvb i="5655"/>
        </ext>
      </extLst>
    </bk>
    <bk>
      <extLst>
        <ext uri="{3e2802c4-a4d2-4d8b-9148-e3be6c30e623}">
          <xlrd:rvb i="5656"/>
        </ext>
      </extLst>
    </bk>
    <bk>
      <extLst>
        <ext uri="{3e2802c4-a4d2-4d8b-9148-e3be6c30e623}">
          <xlrd:rvb i="5657"/>
        </ext>
      </extLst>
    </bk>
    <bk>
      <extLst>
        <ext uri="{3e2802c4-a4d2-4d8b-9148-e3be6c30e623}">
          <xlrd:rvb i="5658"/>
        </ext>
      </extLst>
    </bk>
    <bk>
      <extLst>
        <ext uri="{3e2802c4-a4d2-4d8b-9148-e3be6c30e623}">
          <xlrd:rvb i="5659"/>
        </ext>
      </extLst>
    </bk>
    <bk>
      <extLst>
        <ext uri="{3e2802c4-a4d2-4d8b-9148-e3be6c30e623}">
          <xlrd:rvb i="5660"/>
        </ext>
      </extLst>
    </bk>
    <bk>
      <extLst>
        <ext uri="{3e2802c4-a4d2-4d8b-9148-e3be6c30e623}">
          <xlrd:rvb i="5661"/>
        </ext>
      </extLst>
    </bk>
    <bk>
      <extLst>
        <ext uri="{3e2802c4-a4d2-4d8b-9148-e3be6c30e623}">
          <xlrd:rvb i="5662"/>
        </ext>
      </extLst>
    </bk>
    <bk>
      <extLst>
        <ext uri="{3e2802c4-a4d2-4d8b-9148-e3be6c30e623}">
          <xlrd:rvb i="5663"/>
        </ext>
      </extLst>
    </bk>
    <bk>
      <extLst>
        <ext uri="{3e2802c4-a4d2-4d8b-9148-e3be6c30e623}">
          <xlrd:rvb i="5664"/>
        </ext>
      </extLst>
    </bk>
    <bk>
      <extLst>
        <ext uri="{3e2802c4-a4d2-4d8b-9148-e3be6c30e623}">
          <xlrd:rvb i="5665"/>
        </ext>
      </extLst>
    </bk>
    <bk>
      <extLst>
        <ext uri="{3e2802c4-a4d2-4d8b-9148-e3be6c30e623}">
          <xlrd:rvb i="5666"/>
        </ext>
      </extLst>
    </bk>
    <bk>
      <extLst>
        <ext uri="{3e2802c4-a4d2-4d8b-9148-e3be6c30e623}">
          <xlrd:rvb i="5667"/>
        </ext>
      </extLst>
    </bk>
    <bk>
      <extLst>
        <ext uri="{3e2802c4-a4d2-4d8b-9148-e3be6c30e623}">
          <xlrd:rvb i="5668"/>
        </ext>
      </extLst>
    </bk>
    <bk>
      <extLst>
        <ext uri="{3e2802c4-a4d2-4d8b-9148-e3be6c30e623}">
          <xlrd:rvb i="5669"/>
        </ext>
      </extLst>
    </bk>
    <bk>
      <extLst>
        <ext uri="{3e2802c4-a4d2-4d8b-9148-e3be6c30e623}">
          <xlrd:rvb i="5670"/>
        </ext>
      </extLst>
    </bk>
    <bk>
      <extLst>
        <ext uri="{3e2802c4-a4d2-4d8b-9148-e3be6c30e623}">
          <xlrd:rvb i="5671"/>
        </ext>
      </extLst>
    </bk>
    <bk>
      <extLst>
        <ext uri="{3e2802c4-a4d2-4d8b-9148-e3be6c30e623}">
          <xlrd:rvb i="5672"/>
        </ext>
      </extLst>
    </bk>
    <bk>
      <extLst>
        <ext uri="{3e2802c4-a4d2-4d8b-9148-e3be6c30e623}">
          <xlrd:rvb i="5673"/>
        </ext>
      </extLst>
    </bk>
    <bk>
      <extLst>
        <ext uri="{3e2802c4-a4d2-4d8b-9148-e3be6c30e623}">
          <xlrd:rvb i="5674"/>
        </ext>
      </extLst>
    </bk>
    <bk>
      <extLst>
        <ext uri="{3e2802c4-a4d2-4d8b-9148-e3be6c30e623}">
          <xlrd:rvb i="5675"/>
        </ext>
      </extLst>
    </bk>
    <bk>
      <extLst>
        <ext uri="{3e2802c4-a4d2-4d8b-9148-e3be6c30e623}">
          <xlrd:rvb i="5676"/>
        </ext>
      </extLst>
    </bk>
    <bk>
      <extLst>
        <ext uri="{3e2802c4-a4d2-4d8b-9148-e3be6c30e623}">
          <xlrd:rvb i="5677"/>
        </ext>
      </extLst>
    </bk>
    <bk>
      <extLst>
        <ext uri="{3e2802c4-a4d2-4d8b-9148-e3be6c30e623}">
          <xlrd:rvb i="5678"/>
        </ext>
      </extLst>
    </bk>
    <bk>
      <extLst>
        <ext uri="{3e2802c4-a4d2-4d8b-9148-e3be6c30e623}">
          <xlrd:rvb i="5679"/>
        </ext>
      </extLst>
    </bk>
    <bk>
      <extLst>
        <ext uri="{3e2802c4-a4d2-4d8b-9148-e3be6c30e623}">
          <xlrd:rvb i="5680"/>
        </ext>
      </extLst>
    </bk>
    <bk>
      <extLst>
        <ext uri="{3e2802c4-a4d2-4d8b-9148-e3be6c30e623}">
          <xlrd:rvb i="5681"/>
        </ext>
      </extLst>
    </bk>
    <bk>
      <extLst>
        <ext uri="{3e2802c4-a4d2-4d8b-9148-e3be6c30e623}">
          <xlrd:rvb i="5682"/>
        </ext>
      </extLst>
    </bk>
    <bk>
      <extLst>
        <ext uri="{3e2802c4-a4d2-4d8b-9148-e3be6c30e623}">
          <xlrd:rvb i="5683"/>
        </ext>
      </extLst>
    </bk>
    <bk>
      <extLst>
        <ext uri="{3e2802c4-a4d2-4d8b-9148-e3be6c30e623}">
          <xlrd:rvb i="5684"/>
        </ext>
      </extLst>
    </bk>
    <bk>
      <extLst>
        <ext uri="{3e2802c4-a4d2-4d8b-9148-e3be6c30e623}">
          <xlrd:rvb i="5685"/>
        </ext>
      </extLst>
    </bk>
    <bk>
      <extLst>
        <ext uri="{3e2802c4-a4d2-4d8b-9148-e3be6c30e623}">
          <xlrd:rvb i="5686"/>
        </ext>
      </extLst>
    </bk>
    <bk>
      <extLst>
        <ext uri="{3e2802c4-a4d2-4d8b-9148-e3be6c30e623}">
          <xlrd:rvb i="5687"/>
        </ext>
      </extLst>
    </bk>
    <bk>
      <extLst>
        <ext uri="{3e2802c4-a4d2-4d8b-9148-e3be6c30e623}">
          <xlrd:rvb i="5688"/>
        </ext>
      </extLst>
    </bk>
    <bk>
      <extLst>
        <ext uri="{3e2802c4-a4d2-4d8b-9148-e3be6c30e623}">
          <xlrd:rvb i="5689"/>
        </ext>
      </extLst>
    </bk>
    <bk>
      <extLst>
        <ext uri="{3e2802c4-a4d2-4d8b-9148-e3be6c30e623}">
          <xlrd:rvb i="5690"/>
        </ext>
      </extLst>
    </bk>
    <bk>
      <extLst>
        <ext uri="{3e2802c4-a4d2-4d8b-9148-e3be6c30e623}">
          <xlrd:rvb i="5691"/>
        </ext>
      </extLst>
    </bk>
    <bk>
      <extLst>
        <ext uri="{3e2802c4-a4d2-4d8b-9148-e3be6c30e623}">
          <xlrd:rvb i="5692"/>
        </ext>
      </extLst>
    </bk>
    <bk>
      <extLst>
        <ext uri="{3e2802c4-a4d2-4d8b-9148-e3be6c30e623}">
          <xlrd:rvb i="5693"/>
        </ext>
      </extLst>
    </bk>
    <bk>
      <extLst>
        <ext uri="{3e2802c4-a4d2-4d8b-9148-e3be6c30e623}">
          <xlrd:rvb i="5694"/>
        </ext>
      </extLst>
    </bk>
    <bk>
      <extLst>
        <ext uri="{3e2802c4-a4d2-4d8b-9148-e3be6c30e623}">
          <xlrd:rvb i="5695"/>
        </ext>
      </extLst>
    </bk>
    <bk>
      <extLst>
        <ext uri="{3e2802c4-a4d2-4d8b-9148-e3be6c30e623}">
          <xlrd:rvb i="5696"/>
        </ext>
      </extLst>
    </bk>
    <bk>
      <extLst>
        <ext uri="{3e2802c4-a4d2-4d8b-9148-e3be6c30e623}">
          <xlrd:rvb i="5697"/>
        </ext>
      </extLst>
    </bk>
    <bk>
      <extLst>
        <ext uri="{3e2802c4-a4d2-4d8b-9148-e3be6c30e623}">
          <xlrd:rvb i="5698"/>
        </ext>
      </extLst>
    </bk>
    <bk>
      <extLst>
        <ext uri="{3e2802c4-a4d2-4d8b-9148-e3be6c30e623}">
          <xlrd:rvb i="5699"/>
        </ext>
      </extLst>
    </bk>
    <bk>
      <extLst>
        <ext uri="{3e2802c4-a4d2-4d8b-9148-e3be6c30e623}">
          <xlrd:rvb i="5700"/>
        </ext>
      </extLst>
    </bk>
    <bk>
      <extLst>
        <ext uri="{3e2802c4-a4d2-4d8b-9148-e3be6c30e623}">
          <xlrd:rvb i="5701"/>
        </ext>
      </extLst>
    </bk>
    <bk>
      <extLst>
        <ext uri="{3e2802c4-a4d2-4d8b-9148-e3be6c30e623}">
          <xlrd:rvb i="5702"/>
        </ext>
      </extLst>
    </bk>
    <bk>
      <extLst>
        <ext uri="{3e2802c4-a4d2-4d8b-9148-e3be6c30e623}">
          <xlrd:rvb i="5703"/>
        </ext>
      </extLst>
    </bk>
    <bk>
      <extLst>
        <ext uri="{3e2802c4-a4d2-4d8b-9148-e3be6c30e623}">
          <xlrd:rvb i="5704"/>
        </ext>
      </extLst>
    </bk>
    <bk>
      <extLst>
        <ext uri="{3e2802c4-a4d2-4d8b-9148-e3be6c30e623}">
          <xlrd:rvb i="5705"/>
        </ext>
      </extLst>
    </bk>
    <bk>
      <extLst>
        <ext uri="{3e2802c4-a4d2-4d8b-9148-e3be6c30e623}">
          <xlrd:rvb i="5706"/>
        </ext>
      </extLst>
    </bk>
    <bk>
      <extLst>
        <ext uri="{3e2802c4-a4d2-4d8b-9148-e3be6c30e623}">
          <xlrd:rvb i="5707"/>
        </ext>
      </extLst>
    </bk>
    <bk>
      <extLst>
        <ext uri="{3e2802c4-a4d2-4d8b-9148-e3be6c30e623}">
          <xlrd:rvb i="5708"/>
        </ext>
      </extLst>
    </bk>
    <bk>
      <extLst>
        <ext uri="{3e2802c4-a4d2-4d8b-9148-e3be6c30e623}">
          <xlrd:rvb i="5709"/>
        </ext>
      </extLst>
    </bk>
    <bk>
      <extLst>
        <ext uri="{3e2802c4-a4d2-4d8b-9148-e3be6c30e623}">
          <xlrd:rvb i="5710"/>
        </ext>
      </extLst>
    </bk>
    <bk>
      <extLst>
        <ext uri="{3e2802c4-a4d2-4d8b-9148-e3be6c30e623}">
          <xlrd:rvb i="5711"/>
        </ext>
      </extLst>
    </bk>
    <bk>
      <extLst>
        <ext uri="{3e2802c4-a4d2-4d8b-9148-e3be6c30e623}">
          <xlrd:rvb i="5712"/>
        </ext>
      </extLst>
    </bk>
    <bk>
      <extLst>
        <ext uri="{3e2802c4-a4d2-4d8b-9148-e3be6c30e623}">
          <xlrd:rvb i="5713"/>
        </ext>
      </extLst>
    </bk>
    <bk>
      <extLst>
        <ext uri="{3e2802c4-a4d2-4d8b-9148-e3be6c30e623}">
          <xlrd:rvb i="5714"/>
        </ext>
      </extLst>
    </bk>
    <bk>
      <extLst>
        <ext uri="{3e2802c4-a4d2-4d8b-9148-e3be6c30e623}">
          <xlrd:rvb i="5715"/>
        </ext>
      </extLst>
    </bk>
    <bk>
      <extLst>
        <ext uri="{3e2802c4-a4d2-4d8b-9148-e3be6c30e623}">
          <xlrd:rvb i="5716"/>
        </ext>
      </extLst>
    </bk>
    <bk>
      <extLst>
        <ext uri="{3e2802c4-a4d2-4d8b-9148-e3be6c30e623}">
          <xlrd:rvb i="5717"/>
        </ext>
      </extLst>
    </bk>
    <bk>
      <extLst>
        <ext uri="{3e2802c4-a4d2-4d8b-9148-e3be6c30e623}">
          <xlrd:rvb i="5718"/>
        </ext>
      </extLst>
    </bk>
    <bk>
      <extLst>
        <ext uri="{3e2802c4-a4d2-4d8b-9148-e3be6c30e623}">
          <xlrd:rvb i="5719"/>
        </ext>
      </extLst>
    </bk>
    <bk>
      <extLst>
        <ext uri="{3e2802c4-a4d2-4d8b-9148-e3be6c30e623}">
          <xlrd:rvb i="5720"/>
        </ext>
      </extLst>
    </bk>
    <bk>
      <extLst>
        <ext uri="{3e2802c4-a4d2-4d8b-9148-e3be6c30e623}">
          <xlrd:rvb i="5721"/>
        </ext>
      </extLst>
    </bk>
    <bk>
      <extLst>
        <ext uri="{3e2802c4-a4d2-4d8b-9148-e3be6c30e623}">
          <xlrd:rvb i="5722"/>
        </ext>
      </extLst>
    </bk>
    <bk>
      <extLst>
        <ext uri="{3e2802c4-a4d2-4d8b-9148-e3be6c30e623}">
          <xlrd:rvb i="5723"/>
        </ext>
      </extLst>
    </bk>
    <bk>
      <extLst>
        <ext uri="{3e2802c4-a4d2-4d8b-9148-e3be6c30e623}">
          <xlrd:rvb i="5724"/>
        </ext>
      </extLst>
    </bk>
    <bk>
      <extLst>
        <ext uri="{3e2802c4-a4d2-4d8b-9148-e3be6c30e623}">
          <xlrd:rvb i="5725"/>
        </ext>
      </extLst>
    </bk>
    <bk>
      <extLst>
        <ext uri="{3e2802c4-a4d2-4d8b-9148-e3be6c30e623}">
          <xlrd:rvb i="5726"/>
        </ext>
      </extLst>
    </bk>
    <bk>
      <extLst>
        <ext uri="{3e2802c4-a4d2-4d8b-9148-e3be6c30e623}">
          <xlrd:rvb i="5727"/>
        </ext>
      </extLst>
    </bk>
    <bk>
      <extLst>
        <ext uri="{3e2802c4-a4d2-4d8b-9148-e3be6c30e623}">
          <xlrd:rvb i="5728"/>
        </ext>
      </extLst>
    </bk>
    <bk>
      <extLst>
        <ext uri="{3e2802c4-a4d2-4d8b-9148-e3be6c30e623}">
          <xlrd:rvb i="5729"/>
        </ext>
      </extLst>
    </bk>
    <bk>
      <extLst>
        <ext uri="{3e2802c4-a4d2-4d8b-9148-e3be6c30e623}">
          <xlrd:rvb i="5730"/>
        </ext>
      </extLst>
    </bk>
    <bk>
      <extLst>
        <ext uri="{3e2802c4-a4d2-4d8b-9148-e3be6c30e623}">
          <xlrd:rvb i="5731"/>
        </ext>
      </extLst>
    </bk>
    <bk>
      <extLst>
        <ext uri="{3e2802c4-a4d2-4d8b-9148-e3be6c30e623}">
          <xlrd:rvb i="5732"/>
        </ext>
      </extLst>
    </bk>
    <bk>
      <extLst>
        <ext uri="{3e2802c4-a4d2-4d8b-9148-e3be6c30e623}">
          <xlrd:rvb i="5733"/>
        </ext>
      </extLst>
    </bk>
    <bk>
      <extLst>
        <ext uri="{3e2802c4-a4d2-4d8b-9148-e3be6c30e623}">
          <xlrd:rvb i="5734"/>
        </ext>
      </extLst>
    </bk>
    <bk>
      <extLst>
        <ext uri="{3e2802c4-a4d2-4d8b-9148-e3be6c30e623}">
          <xlrd:rvb i="5735"/>
        </ext>
      </extLst>
    </bk>
    <bk>
      <extLst>
        <ext uri="{3e2802c4-a4d2-4d8b-9148-e3be6c30e623}">
          <xlrd:rvb i="5736"/>
        </ext>
      </extLst>
    </bk>
    <bk>
      <extLst>
        <ext uri="{3e2802c4-a4d2-4d8b-9148-e3be6c30e623}">
          <xlrd:rvb i="5737"/>
        </ext>
      </extLst>
    </bk>
    <bk>
      <extLst>
        <ext uri="{3e2802c4-a4d2-4d8b-9148-e3be6c30e623}">
          <xlrd:rvb i="5738"/>
        </ext>
      </extLst>
    </bk>
    <bk>
      <extLst>
        <ext uri="{3e2802c4-a4d2-4d8b-9148-e3be6c30e623}">
          <xlrd:rvb i="5739"/>
        </ext>
      </extLst>
    </bk>
    <bk>
      <extLst>
        <ext uri="{3e2802c4-a4d2-4d8b-9148-e3be6c30e623}">
          <xlrd:rvb i="5740"/>
        </ext>
      </extLst>
    </bk>
    <bk>
      <extLst>
        <ext uri="{3e2802c4-a4d2-4d8b-9148-e3be6c30e623}">
          <xlrd:rvb i="5741"/>
        </ext>
      </extLst>
    </bk>
    <bk>
      <extLst>
        <ext uri="{3e2802c4-a4d2-4d8b-9148-e3be6c30e623}">
          <xlrd:rvb i="5742"/>
        </ext>
      </extLst>
    </bk>
    <bk>
      <extLst>
        <ext uri="{3e2802c4-a4d2-4d8b-9148-e3be6c30e623}">
          <xlrd:rvb i="5743"/>
        </ext>
      </extLst>
    </bk>
    <bk>
      <extLst>
        <ext uri="{3e2802c4-a4d2-4d8b-9148-e3be6c30e623}">
          <xlrd:rvb i="5744"/>
        </ext>
      </extLst>
    </bk>
    <bk>
      <extLst>
        <ext uri="{3e2802c4-a4d2-4d8b-9148-e3be6c30e623}">
          <xlrd:rvb i="5745"/>
        </ext>
      </extLst>
    </bk>
    <bk>
      <extLst>
        <ext uri="{3e2802c4-a4d2-4d8b-9148-e3be6c30e623}">
          <xlrd:rvb i="5746"/>
        </ext>
      </extLst>
    </bk>
    <bk>
      <extLst>
        <ext uri="{3e2802c4-a4d2-4d8b-9148-e3be6c30e623}">
          <xlrd:rvb i="5747"/>
        </ext>
      </extLst>
    </bk>
    <bk>
      <extLst>
        <ext uri="{3e2802c4-a4d2-4d8b-9148-e3be6c30e623}">
          <xlrd:rvb i="5748"/>
        </ext>
      </extLst>
    </bk>
    <bk>
      <extLst>
        <ext uri="{3e2802c4-a4d2-4d8b-9148-e3be6c30e623}">
          <xlrd:rvb i="5749"/>
        </ext>
      </extLst>
    </bk>
    <bk>
      <extLst>
        <ext uri="{3e2802c4-a4d2-4d8b-9148-e3be6c30e623}">
          <xlrd:rvb i="5750"/>
        </ext>
      </extLst>
    </bk>
    <bk>
      <extLst>
        <ext uri="{3e2802c4-a4d2-4d8b-9148-e3be6c30e623}">
          <xlrd:rvb i="5751"/>
        </ext>
      </extLst>
    </bk>
    <bk>
      <extLst>
        <ext uri="{3e2802c4-a4d2-4d8b-9148-e3be6c30e623}">
          <xlrd:rvb i="5752"/>
        </ext>
      </extLst>
    </bk>
    <bk>
      <extLst>
        <ext uri="{3e2802c4-a4d2-4d8b-9148-e3be6c30e623}">
          <xlrd:rvb i="5753"/>
        </ext>
      </extLst>
    </bk>
    <bk>
      <extLst>
        <ext uri="{3e2802c4-a4d2-4d8b-9148-e3be6c30e623}">
          <xlrd:rvb i="5754"/>
        </ext>
      </extLst>
    </bk>
    <bk>
      <extLst>
        <ext uri="{3e2802c4-a4d2-4d8b-9148-e3be6c30e623}">
          <xlrd:rvb i="5755"/>
        </ext>
      </extLst>
    </bk>
    <bk>
      <extLst>
        <ext uri="{3e2802c4-a4d2-4d8b-9148-e3be6c30e623}">
          <xlrd:rvb i="5756"/>
        </ext>
      </extLst>
    </bk>
    <bk>
      <extLst>
        <ext uri="{3e2802c4-a4d2-4d8b-9148-e3be6c30e623}">
          <xlrd:rvb i="5757"/>
        </ext>
      </extLst>
    </bk>
    <bk>
      <extLst>
        <ext uri="{3e2802c4-a4d2-4d8b-9148-e3be6c30e623}">
          <xlrd:rvb i="5758"/>
        </ext>
      </extLst>
    </bk>
    <bk>
      <extLst>
        <ext uri="{3e2802c4-a4d2-4d8b-9148-e3be6c30e623}">
          <xlrd:rvb i="5759"/>
        </ext>
      </extLst>
    </bk>
    <bk>
      <extLst>
        <ext uri="{3e2802c4-a4d2-4d8b-9148-e3be6c30e623}">
          <xlrd:rvb i="5760"/>
        </ext>
      </extLst>
    </bk>
    <bk>
      <extLst>
        <ext uri="{3e2802c4-a4d2-4d8b-9148-e3be6c30e623}">
          <xlrd:rvb i="5761"/>
        </ext>
      </extLst>
    </bk>
    <bk>
      <extLst>
        <ext uri="{3e2802c4-a4d2-4d8b-9148-e3be6c30e623}">
          <xlrd:rvb i="5762"/>
        </ext>
      </extLst>
    </bk>
    <bk>
      <extLst>
        <ext uri="{3e2802c4-a4d2-4d8b-9148-e3be6c30e623}">
          <xlrd:rvb i="5763"/>
        </ext>
      </extLst>
    </bk>
    <bk>
      <extLst>
        <ext uri="{3e2802c4-a4d2-4d8b-9148-e3be6c30e623}">
          <xlrd:rvb i="5764"/>
        </ext>
      </extLst>
    </bk>
    <bk>
      <extLst>
        <ext uri="{3e2802c4-a4d2-4d8b-9148-e3be6c30e623}">
          <xlrd:rvb i="5765"/>
        </ext>
      </extLst>
    </bk>
    <bk>
      <extLst>
        <ext uri="{3e2802c4-a4d2-4d8b-9148-e3be6c30e623}">
          <xlrd:rvb i="5766"/>
        </ext>
      </extLst>
    </bk>
    <bk>
      <extLst>
        <ext uri="{3e2802c4-a4d2-4d8b-9148-e3be6c30e623}">
          <xlrd:rvb i="5767"/>
        </ext>
      </extLst>
    </bk>
    <bk>
      <extLst>
        <ext uri="{3e2802c4-a4d2-4d8b-9148-e3be6c30e623}">
          <xlrd:rvb i="5768"/>
        </ext>
      </extLst>
    </bk>
    <bk>
      <extLst>
        <ext uri="{3e2802c4-a4d2-4d8b-9148-e3be6c30e623}">
          <xlrd:rvb i="5769"/>
        </ext>
      </extLst>
    </bk>
    <bk>
      <extLst>
        <ext uri="{3e2802c4-a4d2-4d8b-9148-e3be6c30e623}">
          <xlrd:rvb i="5770"/>
        </ext>
      </extLst>
    </bk>
    <bk>
      <extLst>
        <ext uri="{3e2802c4-a4d2-4d8b-9148-e3be6c30e623}">
          <xlrd:rvb i="5771"/>
        </ext>
      </extLst>
    </bk>
    <bk>
      <extLst>
        <ext uri="{3e2802c4-a4d2-4d8b-9148-e3be6c30e623}">
          <xlrd:rvb i="5772"/>
        </ext>
      </extLst>
    </bk>
    <bk>
      <extLst>
        <ext uri="{3e2802c4-a4d2-4d8b-9148-e3be6c30e623}">
          <xlrd:rvb i="5773"/>
        </ext>
      </extLst>
    </bk>
    <bk>
      <extLst>
        <ext uri="{3e2802c4-a4d2-4d8b-9148-e3be6c30e623}">
          <xlrd:rvb i="5774"/>
        </ext>
      </extLst>
    </bk>
    <bk>
      <extLst>
        <ext uri="{3e2802c4-a4d2-4d8b-9148-e3be6c30e623}">
          <xlrd:rvb i="5775"/>
        </ext>
      </extLst>
    </bk>
    <bk>
      <extLst>
        <ext uri="{3e2802c4-a4d2-4d8b-9148-e3be6c30e623}">
          <xlrd:rvb i="5776"/>
        </ext>
      </extLst>
    </bk>
    <bk>
      <extLst>
        <ext uri="{3e2802c4-a4d2-4d8b-9148-e3be6c30e623}">
          <xlrd:rvb i="5777"/>
        </ext>
      </extLst>
    </bk>
    <bk>
      <extLst>
        <ext uri="{3e2802c4-a4d2-4d8b-9148-e3be6c30e623}">
          <xlrd:rvb i="5778"/>
        </ext>
      </extLst>
    </bk>
    <bk>
      <extLst>
        <ext uri="{3e2802c4-a4d2-4d8b-9148-e3be6c30e623}">
          <xlrd:rvb i="5779"/>
        </ext>
      </extLst>
    </bk>
    <bk>
      <extLst>
        <ext uri="{3e2802c4-a4d2-4d8b-9148-e3be6c30e623}">
          <xlrd:rvb i="5780"/>
        </ext>
      </extLst>
    </bk>
    <bk>
      <extLst>
        <ext uri="{3e2802c4-a4d2-4d8b-9148-e3be6c30e623}">
          <xlrd:rvb i="5781"/>
        </ext>
      </extLst>
    </bk>
    <bk>
      <extLst>
        <ext uri="{3e2802c4-a4d2-4d8b-9148-e3be6c30e623}">
          <xlrd:rvb i="5782"/>
        </ext>
      </extLst>
    </bk>
    <bk>
      <extLst>
        <ext uri="{3e2802c4-a4d2-4d8b-9148-e3be6c30e623}">
          <xlrd:rvb i="5783"/>
        </ext>
      </extLst>
    </bk>
    <bk>
      <extLst>
        <ext uri="{3e2802c4-a4d2-4d8b-9148-e3be6c30e623}">
          <xlrd:rvb i="5784"/>
        </ext>
      </extLst>
    </bk>
    <bk>
      <extLst>
        <ext uri="{3e2802c4-a4d2-4d8b-9148-e3be6c30e623}">
          <xlrd:rvb i="5785"/>
        </ext>
      </extLst>
    </bk>
    <bk>
      <extLst>
        <ext uri="{3e2802c4-a4d2-4d8b-9148-e3be6c30e623}">
          <xlrd:rvb i="5786"/>
        </ext>
      </extLst>
    </bk>
    <bk>
      <extLst>
        <ext uri="{3e2802c4-a4d2-4d8b-9148-e3be6c30e623}">
          <xlrd:rvb i="5787"/>
        </ext>
      </extLst>
    </bk>
    <bk>
      <extLst>
        <ext uri="{3e2802c4-a4d2-4d8b-9148-e3be6c30e623}">
          <xlrd:rvb i="5788"/>
        </ext>
      </extLst>
    </bk>
    <bk>
      <extLst>
        <ext uri="{3e2802c4-a4d2-4d8b-9148-e3be6c30e623}">
          <xlrd:rvb i="5789"/>
        </ext>
      </extLst>
    </bk>
    <bk>
      <extLst>
        <ext uri="{3e2802c4-a4d2-4d8b-9148-e3be6c30e623}">
          <xlrd:rvb i="5790"/>
        </ext>
      </extLst>
    </bk>
    <bk>
      <extLst>
        <ext uri="{3e2802c4-a4d2-4d8b-9148-e3be6c30e623}">
          <xlrd:rvb i="5791"/>
        </ext>
      </extLst>
    </bk>
    <bk>
      <extLst>
        <ext uri="{3e2802c4-a4d2-4d8b-9148-e3be6c30e623}">
          <xlrd:rvb i="5792"/>
        </ext>
      </extLst>
    </bk>
    <bk>
      <extLst>
        <ext uri="{3e2802c4-a4d2-4d8b-9148-e3be6c30e623}">
          <xlrd:rvb i="5793"/>
        </ext>
      </extLst>
    </bk>
    <bk>
      <extLst>
        <ext uri="{3e2802c4-a4d2-4d8b-9148-e3be6c30e623}">
          <xlrd:rvb i="5794"/>
        </ext>
      </extLst>
    </bk>
    <bk>
      <extLst>
        <ext uri="{3e2802c4-a4d2-4d8b-9148-e3be6c30e623}">
          <xlrd:rvb i="5795"/>
        </ext>
      </extLst>
    </bk>
    <bk>
      <extLst>
        <ext uri="{3e2802c4-a4d2-4d8b-9148-e3be6c30e623}">
          <xlrd:rvb i="5796"/>
        </ext>
      </extLst>
    </bk>
    <bk>
      <extLst>
        <ext uri="{3e2802c4-a4d2-4d8b-9148-e3be6c30e623}">
          <xlrd:rvb i="5797"/>
        </ext>
      </extLst>
    </bk>
    <bk>
      <extLst>
        <ext uri="{3e2802c4-a4d2-4d8b-9148-e3be6c30e623}">
          <xlrd:rvb i="5798"/>
        </ext>
      </extLst>
    </bk>
    <bk>
      <extLst>
        <ext uri="{3e2802c4-a4d2-4d8b-9148-e3be6c30e623}">
          <xlrd:rvb i="5799"/>
        </ext>
      </extLst>
    </bk>
    <bk>
      <extLst>
        <ext uri="{3e2802c4-a4d2-4d8b-9148-e3be6c30e623}">
          <xlrd:rvb i="5800"/>
        </ext>
      </extLst>
    </bk>
    <bk>
      <extLst>
        <ext uri="{3e2802c4-a4d2-4d8b-9148-e3be6c30e623}">
          <xlrd:rvb i="5801"/>
        </ext>
      </extLst>
    </bk>
    <bk>
      <extLst>
        <ext uri="{3e2802c4-a4d2-4d8b-9148-e3be6c30e623}">
          <xlrd:rvb i="5802"/>
        </ext>
      </extLst>
    </bk>
    <bk>
      <extLst>
        <ext uri="{3e2802c4-a4d2-4d8b-9148-e3be6c30e623}">
          <xlrd:rvb i="5803"/>
        </ext>
      </extLst>
    </bk>
    <bk>
      <extLst>
        <ext uri="{3e2802c4-a4d2-4d8b-9148-e3be6c30e623}">
          <xlrd:rvb i="5804"/>
        </ext>
      </extLst>
    </bk>
    <bk>
      <extLst>
        <ext uri="{3e2802c4-a4d2-4d8b-9148-e3be6c30e623}">
          <xlrd:rvb i="5805"/>
        </ext>
      </extLst>
    </bk>
    <bk>
      <extLst>
        <ext uri="{3e2802c4-a4d2-4d8b-9148-e3be6c30e623}">
          <xlrd:rvb i="5806"/>
        </ext>
      </extLst>
    </bk>
    <bk>
      <extLst>
        <ext uri="{3e2802c4-a4d2-4d8b-9148-e3be6c30e623}">
          <xlrd:rvb i="5807"/>
        </ext>
      </extLst>
    </bk>
    <bk>
      <extLst>
        <ext uri="{3e2802c4-a4d2-4d8b-9148-e3be6c30e623}">
          <xlrd:rvb i="5808"/>
        </ext>
      </extLst>
    </bk>
    <bk>
      <extLst>
        <ext uri="{3e2802c4-a4d2-4d8b-9148-e3be6c30e623}">
          <xlrd:rvb i="5809"/>
        </ext>
      </extLst>
    </bk>
    <bk>
      <extLst>
        <ext uri="{3e2802c4-a4d2-4d8b-9148-e3be6c30e623}">
          <xlrd:rvb i="5810"/>
        </ext>
      </extLst>
    </bk>
    <bk>
      <extLst>
        <ext uri="{3e2802c4-a4d2-4d8b-9148-e3be6c30e623}">
          <xlrd:rvb i="5811"/>
        </ext>
      </extLst>
    </bk>
    <bk>
      <extLst>
        <ext uri="{3e2802c4-a4d2-4d8b-9148-e3be6c30e623}">
          <xlrd:rvb i="5812"/>
        </ext>
      </extLst>
    </bk>
    <bk>
      <extLst>
        <ext uri="{3e2802c4-a4d2-4d8b-9148-e3be6c30e623}">
          <xlrd:rvb i="5813"/>
        </ext>
      </extLst>
    </bk>
    <bk>
      <extLst>
        <ext uri="{3e2802c4-a4d2-4d8b-9148-e3be6c30e623}">
          <xlrd:rvb i="5814"/>
        </ext>
      </extLst>
    </bk>
    <bk>
      <extLst>
        <ext uri="{3e2802c4-a4d2-4d8b-9148-e3be6c30e623}">
          <xlrd:rvb i="5815"/>
        </ext>
      </extLst>
    </bk>
    <bk>
      <extLst>
        <ext uri="{3e2802c4-a4d2-4d8b-9148-e3be6c30e623}">
          <xlrd:rvb i="5816"/>
        </ext>
      </extLst>
    </bk>
    <bk>
      <extLst>
        <ext uri="{3e2802c4-a4d2-4d8b-9148-e3be6c30e623}">
          <xlrd:rvb i="5817"/>
        </ext>
      </extLst>
    </bk>
    <bk>
      <extLst>
        <ext uri="{3e2802c4-a4d2-4d8b-9148-e3be6c30e623}">
          <xlrd:rvb i="5818"/>
        </ext>
      </extLst>
    </bk>
    <bk>
      <extLst>
        <ext uri="{3e2802c4-a4d2-4d8b-9148-e3be6c30e623}">
          <xlrd:rvb i="5819"/>
        </ext>
      </extLst>
    </bk>
    <bk>
      <extLst>
        <ext uri="{3e2802c4-a4d2-4d8b-9148-e3be6c30e623}">
          <xlrd:rvb i="5820"/>
        </ext>
      </extLst>
    </bk>
    <bk>
      <extLst>
        <ext uri="{3e2802c4-a4d2-4d8b-9148-e3be6c30e623}">
          <xlrd:rvb i="5821"/>
        </ext>
      </extLst>
    </bk>
    <bk>
      <extLst>
        <ext uri="{3e2802c4-a4d2-4d8b-9148-e3be6c30e623}">
          <xlrd:rvb i="5822"/>
        </ext>
      </extLst>
    </bk>
    <bk>
      <extLst>
        <ext uri="{3e2802c4-a4d2-4d8b-9148-e3be6c30e623}">
          <xlrd:rvb i="5823"/>
        </ext>
      </extLst>
    </bk>
    <bk>
      <extLst>
        <ext uri="{3e2802c4-a4d2-4d8b-9148-e3be6c30e623}">
          <xlrd:rvb i="5824"/>
        </ext>
      </extLst>
    </bk>
    <bk>
      <extLst>
        <ext uri="{3e2802c4-a4d2-4d8b-9148-e3be6c30e623}">
          <xlrd:rvb i="5825"/>
        </ext>
      </extLst>
    </bk>
    <bk>
      <extLst>
        <ext uri="{3e2802c4-a4d2-4d8b-9148-e3be6c30e623}">
          <xlrd:rvb i="5826"/>
        </ext>
      </extLst>
    </bk>
    <bk>
      <extLst>
        <ext uri="{3e2802c4-a4d2-4d8b-9148-e3be6c30e623}">
          <xlrd:rvb i="5827"/>
        </ext>
      </extLst>
    </bk>
    <bk>
      <extLst>
        <ext uri="{3e2802c4-a4d2-4d8b-9148-e3be6c30e623}">
          <xlrd:rvb i="5828"/>
        </ext>
      </extLst>
    </bk>
    <bk>
      <extLst>
        <ext uri="{3e2802c4-a4d2-4d8b-9148-e3be6c30e623}">
          <xlrd:rvb i="5829"/>
        </ext>
      </extLst>
    </bk>
    <bk>
      <extLst>
        <ext uri="{3e2802c4-a4d2-4d8b-9148-e3be6c30e623}">
          <xlrd:rvb i="5830"/>
        </ext>
      </extLst>
    </bk>
    <bk>
      <extLst>
        <ext uri="{3e2802c4-a4d2-4d8b-9148-e3be6c30e623}">
          <xlrd:rvb i="5831"/>
        </ext>
      </extLst>
    </bk>
    <bk>
      <extLst>
        <ext uri="{3e2802c4-a4d2-4d8b-9148-e3be6c30e623}">
          <xlrd:rvb i="5832"/>
        </ext>
      </extLst>
    </bk>
    <bk>
      <extLst>
        <ext uri="{3e2802c4-a4d2-4d8b-9148-e3be6c30e623}">
          <xlrd:rvb i="5833"/>
        </ext>
      </extLst>
    </bk>
    <bk>
      <extLst>
        <ext uri="{3e2802c4-a4d2-4d8b-9148-e3be6c30e623}">
          <xlrd:rvb i="5834"/>
        </ext>
      </extLst>
    </bk>
    <bk>
      <extLst>
        <ext uri="{3e2802c4-a4d2-4d8b-9148-e3be6c30e623}">
          <xlrd:rvb i="5835"/>
        </ext>
      </extLst>
    </bk>
    <bk>
      <extLst>
        <ext uri="{3e2802c4-a4d2-4d8b-9148-e3be6c30e623}">
          <xlrd:rvb i="5836"/>
        </ext>
      </extLst>
    </bk>
    <bk>
      <extLst>
        <ext uri="{3e2802c4-a4d2-4d8b-9148-e3be6c30e623}">
          <xlrd:rvb i="5837"/>
        </ext>
      </extLst>
    </bk>
    <bk>
      <extLst>
        <ext uri="{3e2802c4-a4d2-4d8b-9148-e3be6c30e623}">
          <xlrd:rvb i="5838"/>
        </ext>
      </extLst>
    </bk>
    <bk>
      <extLst>
        <ext uri="{3e2802c4-a4d2-4d8b-9148-e3be6c30e623}">
          <xlrd:rvb i="5839"/>
        </ext>
      </extLst>
    </bk>
    <bk>
      <extLst>
        <ext uri="{3e2802c4-a4d2-4d8b-9148-e3be6c30e623}">
          <xlrd:rvb i="5840"/>
        </ext>
      </extLst>
    </bk>
    <bk>
      <extLst>
        <ext uri="{3e2802c4-a4d2-4d8b-9148-e3be6c30e623}">
          <xlrd:rvb i="5841"/>
        </ext>
      </extLst>
    </bk>
    <bk>
      <extLst>
        <ext uri="{3e2802c4-a4d2-4d8b-9148-e3be6c30e623}">
          <xlrd:rvb i="5842"/>
        </ext>
      </extLst>
    </bk>
    <bk>
      <extLst>
        <ext uri="{3e2802c4-a4d2-4d8b-9148-e3be6c30e623}">
          <xlrd:rvb i="5843"/>
        </ext>
      </extLst>
    </bk>
    <bk>
      <extLst>
        <ext uri="{3e2802c4-a4d2-4d8b-9148-e3be6c30e623}">
          <xlrd:rvb i="5844"/>
        </ext>
      </extLst>
    </bk>
    <bk>
      <extLst>
        <ext uri="{3e2802c4-a4d2-4d8b-9148-e3be6c30e623}">
          <xlrd:rvb i="5845"/>
        </ext>
      </extLst>
    </bk>
    <bk>
      <extLst>
        <ext uri="{3e2802c4-a4d2-4d8b-9148-e3be6c30e623}">
          <xlrd:rvb i="5846"/>
        </ext>
      </extLst>
    </bk>
    <bk>
      <extLst>
        <ext uri="{3e2802c4-a4d2-4d8b-9148-e3be6c30e623}">
          <xlrd:rvb i="5847"/>
        </ext>
      </extLst>
    </bk>
    <bk>
      <extLst>
        <ext uri="{3e2802c4-a4d2-4d8b-9148-e3be6c30e623}">
          <xlrd:rvb i="5848"/>
        </ext>
      </extLst>
    </bk>
    <bk>
      <extLst>
        <ext uri="{3e2802c4-a4d2-4d8b-9148-e3be6c30e623}">
          <xlrd:rvb i="5849"/>
        </ext>
      </extLst>
    </bk>
    <bk>
      <extLst>
        <ext uri="{3e2802c4-a4d2-4d8b-9148-e3be6c30e623}">
          <xlrd:rvb i="5850"/>
        </ext>
      </extLst>
    </bk>
    <bk>
      <extLst>
        <ext uri="{3e2802c4-a4d2-4d8b-9148-e3be6c30e623}">
          <xlrd:rvb i="5851"/>
        </ext>
      </extLst>
    </bk>
    <bk>
      <extLst>
        <ext uri="{3e2802c4-a4d2-4d8b-9148-e3be6c30e623}">
          <xlrd:rvb i="5852"/>
        </ext>
      </extLst>
    </bk>
    <bk>
      <extLst>
        <ext uri="{3e2802c4-a4d2-4d8b-9148-e3be6c30e623}">
          <xlrd:rvb i="5853"/>
        </ext>
      </extLst>
    </bk>
    <bk>
      <extLst>
        <ext uri="{3e2802c4-a4d2-4d8b-9148-e3be6c30e623}">
          <xlrd:rvb i="5854"/>
        </ext>
      </extLst>
    </bk>
    <bk>
      <extLst>
        <ext uri="{3e2802c4-a4d2-4d8b-9148-e3be6c30e623}">
          <xlrd:rvb i="5855"/>
        </ext>
      </extLst>
    </bk>
    <bk>
      <extLst>
        <ext uri="{3e2802c4-a4d2-4d8b-9148-e3be6c30e623}">
          <xlrd:rvb i="5856"/>
        </ext>
      </extLst>
    </bk>
    <bk>
      <extLst>
        <ext uri="{3e2802c4-a4d2-4d8b-9148-e3be6c30e623}">
          <xlrd:rvb i="5857"/>
        </ext>
      </extLst>
    </bk>
    <bk>
      <extLst>
        <ext uri="{3e2802c4-a4d2-4d8b-9148-e3be6c30e623}">
          <xlrd:rvb i="5858"/>
        </ext>
      </extLst>
    </bk>
    <bk>
      <extLst>
        <ext uri="{3e2802c4-a4d2-4d8b-9148-e3be6c30e623}">
          <xlrd:rvb i="5859"/>
        </ext>
      </extLst>
    </bk>
    <bk>
      <extLst>
        <ext uri="{3e2802c4-a4d2-4d8b-9148-e3be6c30e623}">
          <xlrd:rvb i="5860"/>
        </ext>
      </extLst>
    </bk>
    <bk>
      <extLst>
        <ext uri="{3e2802c4-a4d2-4d8b-9148-e3be6c30e623}">
          <xlrd:rvb i="5861"/>
        </ext>
      </extLst>
    </bk>
    <bk>
      <extLst>
        <ext uri="{3e2802c4-a4d2-4d8b-9148-e3be6c30e623}">
          <xlrd:rvb i="5862"/>
        </ext>
      </extLst>
    </bk>
    <bk>
      <extLst>
        <ext uri="{3e2802c4-a4d2-4d8b-9148-e3be6c30e623}">
          <xlrd:rvb i="5863"/>
        </ext>
      </extLst>
    </bk>
    <bk>
      <extLst>
        <ext uri="{3e2802c4-a4d2-4d8b-9148-e3be6c30e623}">
          <xlrd:rvb i="5864"/>
        </ext>
      </extLst>
    </bk>
    <bk>
      <extLst>
        <ext uri="{3e2802c4-a4d2-4d8b-9148-e3be6c30e623}">
          <xlrd:rvb i="5865"/>
        </ext>
      </extLst>
    </bk>
    <bk>
      <extLst>
        <ext uri="{3e2802c4-a4d2-4d8b-9148-e3be6c30e623}">
          <xlrd:rvb i="5866"/>
        </ext>
      </extLst>
    </bk>
    <bk>
      <extLst>
        <ext uri="{3e2802c4-a4d2-4d8b-9148-e3be6c30e623}">
          <xlrd:rvb i="5867"/>
        </ext>
      </extLst>
    </bk>
    <bk>
      <extLst>
        <ext uri="{3e2802c4-a4d2-4d8b-9148-e3be6c30e623}">
          <xlrd:rvb i="5868"/>
        </ext>
      </extLst>
    </bk>
    <bk>
      <extLst>
        <ext uri="{3e2802c4-a4d2-4d8b-9148-e3be6c30e623}">
          <xlrd:rvb i="5869"/>
        </ext>
      </extLst>
    </bk>
    <bk>
      <extLst>
        <ext uri="{3e2802c4-a4d2-4d8b-9148-e3be6c30e623}">
          <xlrd:rvb i="5870"/>
        </ext>
      </extLst>
    </bk>
    <bk>
      <extLst>
        <ext uri="{3e2802c4-a4d2-4d8b-9148-e3be6c30e623}">
          <xlrd:rvb i="5871"/>
        </ext>
      </extLst>
    </bk>
    <bk>
      <extLst>
        <ext uri="{3e2802c4-a4d2-4d8b-9148-e3be6c30e623}">
          <xlrd:rvb i="5872"/>
        </ext>
      </extLst>
    </bk>
    <bk>
      <extLst>
        <ext uri="{3e2802c4-a4d2-4d8b-9148-e3be6c30e623}">
          <xlrd:rvb i="5873"/>
        </ext>
      </extLst>
    </bk>
    <bk>
      <extLst>
        <ext uri="{3e2802c4-a4d2-4d8b-9148-e3be6c30e623}">
          <xlrd:rvb i="5874"/>
        </ext>
      </extLst>
    </bk>
    <bk>
      <extLst>
        <ext uri="{3e2802c4-a4d2-4d8b-9148-e3be6c30e623}">
          <xlrd:rvb i="5875"/>
        </ext>
      </extLst>
    </bk>
    <bk>
      <extLst>
        <ext uri="{3e2802c4-a4d2-4d8b-9148-e3be6c30e623}">
          <xlrd:rvb i="5876"/>
        </ext>
      </extLst>
    </bk>
    <bk>
      <extLst>
        <ext uri="{3e2802c4-a4d2-4d8b-9148-e3be6c30e623}">
          <xlrd:rvb i="5877"/>
        </ext>
      </extLst>
    </bk>
    <bk>
      <extLst>
        <ext uri="{3e2802c4-a4d2-4d8b-9148-e3be6c30e623}">
          <xlrd:rvb i="5878"/>
        </ext>
      </extLst>
    </bk>
    <bk>
      <extLst>
        <ext uri="{3e2802c4-a4d2-4d8b-9148-e3be6c30e623}">
          <xlrd:rvb i="5879"/>
        </ext>
      </extLst>
    </bk>
    <bk>
      <extLst>
        <ext uri="{3e2802c4-a4d2-4d8b-9148-e3be6c30e623}">
          <xlrd:rvb i="5880"/>
        </ext>
      </extLst>
    </bk>
    <bk>
      <extLst>
        <ext uri="{3e2802c4-a4d2-4d8b-9148-e3be6c30e623}">
          <xlrd:rvb i="5881"/>
        </ext>
      </extLst>
    </bk>
    <bk>
      <extLst>
        <ext uri="{3e2802c4-a4d2-4d8b-9148-e3be6c30e623}">
          <xlrd:rvb i="5882"/>
        </ext>
      </extLst>
    </bk>
    <bk>
      <extLst>
        <ext uri="{3e2802c4-a4d2-4d8b-9148-e3be6c30e623}">
          <xlrd:rvb i="5883"/>
        </ext>
      </extLst>
    </bk>
    <bk>
      <extLst>
        <ext uri="{3e2802c4-a4d2-4d8b-9148-e3be6c30e623}">
          <xlrd:rvb i="5884"/>
        </ext>
      </extLst>
    </bk>
    <bk>
      <extLst>
        <ext uri="{3e2802c4-a4d2-4d8b-9148-e3be6c30e623}">
          <xlrd:rvb i="5885"/>
        </ext>
      </extLst>
    </bk>
    <bk>
      <extLst>
        <ext uri="{3e2802c4-a4d2-4d8b-9148-e3be6c30e623}">
          <xlrd:rvb i="5886"/>
        </ext>
      </extLst>
    </bk>
    <bk>
      <extLst>
        <ext uri="{3e2802c4-a4d2-4d8b-9148-e3be6c30e623}">
          <xlrd:rvb i="5887"/>
        </ext>
      </extLst>
    </bk>
    <bk>
      <extLst>
        <ext uri="{3e2802c4-a4d2-4d8b-9148-e3be6c30e623}">
          <xlrd:rvb i="5888"/>
        </ext>
      </extLst>
    </bk>
    <bk>
      <extLst>
        <ext uri="{3e2802c4-a4d2-4d8b-9148-e3be6c30e623}">
          <xlrd:rvb i="5889"/>
        </ext>
      </extLst>
    </bk>
    <bk>
      <extLst>
        <ext uri="{3e2802c4-a4d2-4d8b-9148-e3be6c30e623}">
          <xlrd:rvb i="5890"/>
        </ext>
      </extLst>
    </bk>
    <bk>
      <extLst>
        <ext uri="{3e2802c4-a4d2-4d8b-9148-e3be6c30e623}">
          <xlrd:rvb i="5891"/>
        </ext>
      </extLst>
    </bk>
    <bk>
      <extLst>
        <ext uri="{3e2802c4-a4d2-4d8b-9148-e3be6c30e623}">
          <xlrd:rvb i="5892"/>
        </ext>
      </extLst>
    </bk>
    <bk>
      <extLst>
        <ext uri="{3e2802c4-a4d2-4d8b-9148-e3be6c30e623}">
          <xlrd:rvb i="5893"/>
        </ext>
      </extLst>
    </bk>
    <bk>
      <extLst>
        <ext uri="{3e2802c4-a4d2-4d8b-9148-e3be6c30e623}">
          <xlrd:rvb i="5894"/>
        </ext>
      </extLst>
    </bk>
    <bk>
      <extLst>
        <ext uri="{3e2802c4-a4d2-4d8b-9148-e3be6c30e623}">
          <xlrd:rvb i="5895"/>
        </ext>
      </extLst>
    </bk>
    <bk>
      <extLst>
        <ext uri="{3e2802c4-a4d2-4d8b-9148-e3be6c30e623}">
          <xlrd:rvb i="5896"/>
        </ext>
      </extLst>
    </bk>
    <bk>
      <extLst>
        <ext uri="{3e2802c4-a4d2-4d8b-9148-e3be6c30e623}">
          <xlrd:rvb i="5897"/>
        </ext>
      </extLst>
    </bk>
    <bk>
      <extLst>
        <ext uri="{3e2802c4-a4d2-4d8b-9148-e3be6c30e623}">
          <xlrd:rvb i="5898"/>
        </ext>
      </extLst>
    </bk>
    <bk>
      <extLst>
        <ext uri="{3e2802c4-a4d2-4d8b-9148-e3be6c30e623}">
          <xlrd:rvb i="5899"/>
        </ext>
      </extLst>
    </bk>
    <bk>
      <extLst>
        <ext uri="{3e2802c4-a4d2-4d8b-9148-e3be6c30e623}">
          <xlrd:rvb i="5900"/>
        </ext>
      </extLst>
    </bk>
    <bk>
      <extLst>
        <ext uri="{3e2802c4-a4d2-4d8b-9148-e3be6c30e623}">
          <xlrd:rvb i="5901"/>
        </ext>
      </extLst>
    </bk>
    <bk>
      <extLst>
        <ext uri="{3e2802c4-a4d2-4d8b-9148-e3be6c30e623}">
          <xlrd:rvb i="5902"/>
        </ext>
      </extLst>
    </bk>
    <bk>
      <extLst>
        <ext uri="{3e2802c4-a4d2-4d8b-9148-e3be6c30e623}">
          <xlrd:rvb i="5903"/>
        </ext>
      </extLst>
    </bk>
    <bk>
      <extLst>
        <ext uri="{3e2802c4-a4d2-4d8b-9148-e3be6c30e623}">
          <xlrd:rvb i="5904"/>
        </ext>
      </extLst>
    </bk>
    <bk>
      <extLst>
        <ext uri="{3e2802c4-a4d2-4d8b-9148-e3be6c30e623}">
          <xlrd:rvb i="5905"/>
        </ext>
      </extLst>
    </bk>
    <bk>
      <extLst>
        <ext uri="{3e2802c4-a4d2-4d8b-9148-e3be6c30e623}">
          <xlrd:rvb i="5906"/>
        </ext>
      </extLst>
    </bk>
    <bk>
      <extLst>
        <ext uri="{3e2802c4-a4d2-4d8b-9148-e3be6c30e623}">
          <xlrd:rvb i="5907"/>
        </ext>
      </extLst>
    </bk>
    <bk>
      <extLst>
        <ext uri="{3e2802c4-a4d2-4d8b-9148-e3be6c30e623}">
          <xlrd:rvb i="5908"/>
        </ext>
      </extLst>
    </bk>
    <bk>
      <extLst>
        <ext uri="{3e2802c4-a4d2-4d8b-9148-e3be6c30e623}">
          <xlrd:rvb i="5909"/>
        </ext>
      </extLst>
    </bk>
    <bk>
      <extLst>
        <ext uri="{3e2802c4-a4d2-4d8b-9148-e3be6c30e623}">
          <xlrd:rvb i="5910"/>
        </ext>
      </extLst>
    </bk>
    <bk>
      <extLst>
        <ext uri="{3e2802c4-a4d2-4d8b-9148-e3be6c30e623}">
          <xlrd:rvb i="5911"/>
        </ext>
      </extLst>
    </bk>
    <bk>
      <extLst>
        <ext uri="{3e2802c4-a4d2-4d8b-9148-e3be6c30e623}">
          <xlrd:rvb i="5912"/>
        </ext>
      </extLst>
    </bk>
    <bk>
      <extLst>
        <ext uri="{3e2802c4-a4d2-4d8b-9148-e3be6c30e623}">
          <xlrd:rvb i="5913"/>
        </ext>
      </extLst>
    </bk>
    <bk>
      <extLst>
        <ext uri="{3e2802c4-a4d2-4d8b-9148-e3be6c30e623}">
          <xlrd:rvb i="5914"/>
        </ext>
      </extLst>
    </bk>
    <bk>
      <extLst>
        <ext uri="{3e2802c4-a4d2-4d8b-9148-e3be6c30e623}">
          <xlrd:rvb i="5915"/>
        </ext>
      </extLst>
    </bk>
    <bk>
      <extLst>
        <ext uri="{3e2802c4-a4d2-4d8b-9148-e3be6c30e623}">
          <xlrd:rvb i="5916"/>
        </ext>
      </extLst>
    </bk>
    <bk>
      <extLst>
        <ext uri="{3e2802c4-a4d2-4d8b-9148-e3be6c30e623}">
          <xlrd:rvb i="5917"/>
        </ext>
      </extLst>
    </bk>
    <bk>
      <extLst>
        <ext uri="{3e2802c4-a4d2-4d8b-9148-e3be6c30e623}">
          <xlrd:rvb i="5918"/>
        </ext>
      </extLst>
    </bk>
    <bk>
      <extLst>
        <ext uri="{3e2802c4-a4d2-4d8b-9148-e3be6c30e623}">
          <xlrd:rvb i="5919"/>
        </ext>
      </extLst>
    </bk>
    <bk>
      <extLst>
        <ext uri="{3e2802c4-a4d2-4d8b-9148-e3be6c30e623}">
          <xlrd:rvb i="5920"/>
        </ext>
      </extLst>
    </bk>
    <bk>
      <extLst>
        <ext uri="{3e2802c4-a4d2-4d8b-9148-e3be6c30e623}">
          <xlrd:rvb i="5921"/>
        </ext>
      </extLst>
    </bk>
    <bk>
      <extLst>
        <ext uri="{3e2802c4-a4d2-4d8b-9148-e3be6c30e623}">
          <xlrd:rvb i="5922"/>
        </ext>
      </extLst>
    </bk>
    <bk>
      <extLst>
        <ext uri="{3e2802c4-a4d2-4d8b-9148-e3be6c30e623}">
          <xlrd:rvb i="5923"/>
        </ext>
      </extLst>
    </bk>
    <bk>
      <extLst>
        <ext uri="{3e2802c4-a4d2-4d8b-9148-e3be6c30e623}">
          <xlrd:rvb i="5924"/>
        </ext>
      </extLst>
    </bk>
    <bk>
      <extLst>
        <ext uri="{3e2802c4-a4d2-4d8b-9148-e3be6c30e623}">
          <xlrd:rvb i="5925"/>
        </ext>
      </extLst>
    </bk>
    <bk>
      <extLst>
        <ext uri="{3e2802c4-a4d2-4d8b-9148-e3be6c30e623}">
          <xlrd:rvb i="5926"/>
        </ext>
      </extLst>
    </bk>
    <bk>
      <extLst>
        <ext uri="{3e2802c4-a4d2-4d8b-9148-e3be6c30e623}">
          <xlrd:rvb i="5927"/>
        </ext>
      </extLst>
    </bk>
    <bk>
      <extLst>
        <ext uri="{3e2802c4-a4d2-4d8b-9148-e3be6c30e623}">
          <xlrd:rvb i="5928"/>
        </ext>
      </extLst>
    </bk>
    <bk>
      <extLst>
        <ext uri="{3e2802c4-a4d2-4d8b-9148-e3be6c30e623}">
          <xlrd:rvb i="5929"/>
        </ext>
      </extLst>
    </bk>
    <bk>
      <extLst>
        <ext uri="{3e2802c4-a4d2-4d8b-9148-e3be6c30e623}">
          <xlrd:rvb i="5930"/>
        </ext>
      </extLst>
    </bk>
    <bk>
      <extLst>
        <ext uri="{3e2802c4-a4d2-4d8b-9148-e3be6c30e623}">
          <xlrd:rvb i="5931"/>
        </ext>
      </extLst>
    </bk>
    <bk>
      <extLst>
        <ext uri="{3e2802c4-a4d2-4d8b-9148-e3be6c30e623}">
          <xlrd:rvb i="5932"/>
        </ext>
      </extLst>
    </bk>
    <bk>
      <extLst>
        <ext uri="{3e2802c4-a4d2-4d8b-9148-e3be6c30e623}">
          <xlrd:rvb i="5933"/>
        </ext>
      </extLst>
    </bk>
    <bk>
      <extLst>
        <ext uri="{3e2802c4-a4d2-4d8b-9148-e3be6c30e623}">
          <xlrd:rvb i="5934"/>
        </ext>
      </extLst>
    </bk>
    <bk>
      <extLst>
        <ext uri="{3e2802c4-a4d2-4d8b-9148-e3be6c30e623}">
          <xlrd:rvb i="5935"/>
        </ext>
      </extLst>
    </bk>
    <bk>
      <extLst>
        <ext uri="{3e2802c4-a4d2-4d8b-9148-e3be6c30e623}">
          <xlrd:rvb i="5936"/>
        </ext>
      </extLst>
    </bk>
    <bk>
      <extLst>
        <ext uri="{3e2802c4-a4d2-4d8b-9148-e3be6c30e623}">
          <xlrd:rvb i="5937"/>
        </ext>
      </extLst>
    </bk>
    <bk>
      <extLst>
        <ext uri="{3e2802c4-a4d2-4d8b-9148-e3be6c30e623}">
          <xlrd:rvb i="5938"/>
        </ext>
      </extLst>
    </bk>
    <bk>
      <extLst>
        <ext uri="{3e2802c4-a4d2-4d8b-9148-e3be6c30e623}">
          <xlrd:rvb i="5939"/>
        </ext>
      </extLst>
    </bk>
    <bk>
      <extLst>
        <ext uri="{3e2802c4-a4d2-4d8b-9148-e3be6c30e623}">
          <xlrd:rvb i="5940"/>
        </ext>
      </extLst>
    </bk>
    <bk>
      <extLst>
        <ext uri="{3e2802c4-a4d2-4d8b-9148-e3be6c30e623}">
          <xlrd:rvb i="5941"/>
        </ext>
      </extLst>
    </bk>
    <bk>
      <extLst>
        <ext uri="{3e2802c4-a4d2-4d8b-9148-e3be6c30e623}">
          <xlrd:rvb i="5942"/>
        </ext>
      </extLst>
    </bk>
    <bk>
      <extLst>
        <ext uri="{3e2802c4-a4d2-4d8b-9148-e3be6c30e623}">
          <xlrd:rvb i="5943"/>
        </ext>
      </extLst>
    </bk>
    <bk>
      <extLst>
        <ext uri="{3e2802c4-a4d2-4d8b-9148-e3be6c30e623}">
          <xlrd:rvb i="5944"/>
        </ext>
      </extLst>
    </bk>
    <bk>
      <extLst>
        <ext uri="{3e2802c4-a4d2-4d8b-9148-e3be6c30e623}">
          <xlrd:rvb i="5945"/>
        </ext>
      </extLst>
    </bk>
    <bk>
      <extLst>
        <ext uri="{3e2802c4-a4d2-4d8b-9148-e3be6c30e623}">
          <xlrd:rvb i="5946"/>
        </ext>
      </extLst>
    </bk>
    <bk>
      <extLst>
        <ext uri="{3e2802c4-a4d2-4d8b-9148-e3be6c30e623}">
          <xlrd:rvb i="5947"/>
        </ext>
      </extLst>
    </bk>
    <bk>
      <extLst>
        <ext uri="{3e2802c4-a4d2-4d8b-9148-e3be6c30e623}">
          <xlrd:rvb i="5948"/>
        </ext>
      </extLst>
    </bk>
    <bk>
      <extLst>
        <ext uri="{3e2802c4-a4d2-4d8b-9148-e3be6c30e623}">
          <xlrd:rvb i="5949"/>
        </ext>
      </extLst>
    </bk>
    <bk>
      <extLst>
        <ext uri="{3e2802c4-a4d2-4d8b-9148-e3be6c30e623}">
          <xlrd:rvb i="5950"/>
        </ext>
      </extLst>
    </bk>
    <bk>
      <extLst>
        <ext uri="{3e2802c4-a4d2-4d8b-9148-e3be6c30e623}">
          <xlrd:rvb i="5951"/>
        </ext>
      </extLst>
    </bk>
    <bk>
      <extLst>
        <ext uri="{3e2802c4-a4d2-4d8b-9148-e3be6c30e623}">
          <xlrd:rvb i="5952"/>
        </ext>
      </extLst>
    </bk>
    <bk>
      <extLst>
        <ext uri="{3e2802c4-a4d2-4d8b-9148-e3be6c30e623}">
          <xlrd:rvb i="5953"/>
        </ext>
      </extLst>
    </bk>
    <bk>
      <extLst>
        <ext uri="{3e2802c4-a4d2-4d8b-9148-e3be6c30e623}">
          <xlrd:rvb i="5954"/>
        </ext>
      </extLst>
    </bk>
    <bk>
      <extLst>
        <ext uri="{3e2802c4-a4d2-4d8b-9148-e3be6c30e623}">
          <xlrd:rvb i="5955"/>
        </ext>
      </extLst>
    </bk>
    <bk>
      <extLst>
        <ext uri="{3e2802c4-a4d2-4d8b-9148-e3be6c30e623}">
          <xlrd:rvb i="5956"/>
        </ext>
      </extLst>
    </bk>
    <bk>
      <extLst>
        <ext uri="{3e2802c4-a4d2-4d8b-9148-e3be6c30e623}">
          <xlrd:rvb i="5957"/>
        </ext>
      </extLst>
    </bk>
    <bk>
      <extLst>
        <ext uri="{3e2802c4-a4d2-4d8b-9148-e3be6c30e623}">
          <xlrd:rvb i="5958"/>
        </ext>
      </extLst>
    </bk>
    <bk>
      <extLst>
        <ext uri="{3e2802c4-a4d2-4d8b-9148-e3be6c30e623}">
          <xlrd:rvb i="5959"/>
        </ext>
      </extLst>
    </bk>
    <bk>
      <extLst>
        <ext uri="{3e2802c4-a4d2-4d8b-9148-e3be6c30e623}">
          <xlrd:rvb i="5960"/>
        </ext>
      </extLst>
    </bk>
    <bk>
      <extLst>
        <ext uri="{3e2802c4-a4d2-4d8b-9148-e3be6c30e623}">
          <xlrd:rvb i="5961"/>
        </ext>
      </extLst>
    </bk>
    <bk>
      <extLst>
        <ext uri="{3e2802c4-a4d2-4d8b-9148-e3be6c30e623}">
          <xlrd:rvb i="5962"/>
        </ext>
      </extLst>
    </bk>
    <bk>
      <extLst>
        <ext uri="{3e2802c4-a4d2-4d8b-9148-e3be6c30e623}">
          <xlrd:rvb i="5963"/>
        </ext>
      </extLst>
    </bk>
    <bk>
      <extLst>
        <ext uri="{3e2802c4-a4d2-4d8b-9148-e3be6c30e623}">
          <xlrd:rvb i="5964"/>
        </ext>
      </extLst>
    </bk>
    <bk>
      <extLst>
        <ext uri="{3e2802c4-a4d2-4d8b-9148-e3be6c30e623}">
          <xlrd:rvb i="5965"/>
        </ext>
      </extLst>
    </bk>
    <bk>
      <extLst>
        <ext uri="{3e2802c4-a4d2-4d8b-9148-e3be6c30e623}">
          <xlrd:rvb i="5966"/>
        </ext>
      </extLst>
    </bk>
    <bk>
      <extLst>
        <ext uri="{3e2802c4-a4d2-4d8b-9148-e3be6c30e623}">
          <xlrd:rvb i="5967"/>
        </ext>
      </extLst>
    </bk>
    <bk>
      <extLst>
        <ext uri="{3e2802c4-a4d2-4d8b-9148-e3be6c30e623}">
          <xlrd:rvb i="5968"/>
        </ext>
      </extLst>
    </bk>
    <bk>
      <extLst>
        <ext uri="{3e2802c4-a4d2-4d8b-9148-e3be6c30e623}">
          <xlrd:rvb i="5969"/>
        </ext>
      </extLst>
    </bk>
    <bk>
      <extLst>
        <ext uri="{3e2802c4-a4d2-4d8b-9148-e3be6c30e623}">
          <xlrd:rvb i="5970"/>
        </ext>
      </extLst>
    </bk>
    <bk>
      <extLst>
        <ext uri="{3e2802c4-a4d2-4d8b-9148-e3be6c30e623}">
          <xlrd:rvb i="5971"/>
        </ext>
      </extLst>
    </bk>
    <bk>
      <extLst>
        <ext uri="{3e2802c4-a4d2-4d8b-9148-e3be6c30e623}">
          <xlrd:rvb i="5972"/>
        </ext>
      </extLst>
    </bk>
    <bk>
      <extLst>
        <ext uri="{3e2802c4-a4d2-4d8b-9148-e3be6c30e623}">
          <xlrd:rvb i="5973"/>
        </ext>
      </extLst>
    </bk>
    <bk>
      <extLst>
        <ext uri="{3e2802c4-a4d2-4d8b-9148-e3be6c30e623}">
          <xlrd:rvb i="5974"/>
        </ext>
      </extLst>
    </bk>
    <bk>
      <extLst>
        <ext uri="{3e2802c4-a4d2-4d8b-9148-e3be6c30e623}">
          <xlrd:rvb i="5975"/>
        </ext>
      </extLst>
    </bk>
    <bk>
      <extLst>
        <ext uri="{3e2802c4-a4d2-4d8b-9148-e3be6c30e623}">
          <xlrd:rvb i="5976"/>
        </ext>
      </extLst>
    </bk>
    <bk>
      <extLst>
        <ext uri="{3e2802c4-a4d2-4d8b-9148-e3be6c30e623}">
          <xlrd:rvb i="5977"/>
        </ext>
      </extLst>
    </bk>
    <bk>
      <extLst>
        <ext uri="{3e2802c4-a4d2-4d8b-9148-e3be6c30e623}">
          <xlrd:rvb i="5978"/>
        </ext>
      </extLst>
    </bk>
    <bk>
      <extLst>
        <ext uri="{3e2802c4-a4d2-4d8b-9148-e3be6c30e623}">
          <xlrd:rvb i="5979"/>
        </ext>
      </extLst>
    </bk>
    <bk>
      <extLst>
        <ext uri="{3e2802c4-a4d2-4d8b-9148-e3be6c30e623}">
          <xlrd:rvb i="5980"/>
        </ext>
      </extLst>
    </bk>
    <bk>
      <extLst>
        <ext uri="{3e2802c4-a4d2-4d8b-9148-e3be6c30e623}">
          <xlrd:rvb i="5981"/>
        </ext>
      </extLst>
    </bk>
    <bk>
      <extLst>
        <ext uri="{3e2802c4-a4d2-4d8b-9148-e3be6c30e623}">
          <xlrd:rvb i="5982"/>
        </ext>
      </extLst>
    </bk>
    <bk>
      <extLst>
        <ext uri="{3e2802c4-a4d2-4d8b-9148-e3be6c30e623}">
          <xlrd:rvb i="5983"/>
        </ext>
      </extLst>
    </bk>
    <bk>
      <extLst>
        <ext uri="{3e2802c4-a4d2-4d8b-9148-e3be6c30e623}">
          <xlrd:rvb i="5984"/>
        </ext>
      </extLst>
    </bk>
    <bk>
      <extLst>
        <ext uri="{3e2802c4-a4d2-4d8b-9148-e3be6c30e623}">
          <xlrd:rvb i="5985"/>
        </ext>
      </extLst>
    </bk>
    <bk>
      <extLst>
        <ext uri="{3e2802c4-a4d2-4d8b-9148-e3be6c30e623}">
          <xlrd:rvb i="5986"/>
        </ext>
      </extLst>
    </bk>
    <bk>
      <extLst>
        <ext uri="{3e2802c4-a4d2-4d8b-9148-e3be6c30e623}">
          <xlrd:rvb i="5987"/>
        </ext>
      </extLst>
    </bk>
    <bk>
      <extLst>
        <ext uri="{3e2802c4-a4d2-4d8b-9148-e3be6c30e623}">
          <xlrd:rvb i="5988"/>
        </ext>
      </extLst>
    </bk>
    <bk>
      <extLst>
        <ext uri="{3e2802c4-a4d2-4d8b-9148-e3be6c30e623}">
          <xlrd:rvb i="5989"/>
        </ext>
      </extLst>
    </bk>
    <bk>
      <extLst>
        <ext uri="{3e2802c4-a4d2-4d8b-9148-e3be6c30e623}">
          <xlrd:rvb i="5990"/>
        </ext>
      </extLst>
    </bk>
    <bk>
      <extLst>
        <ext uri="{3e2802c4-a4d2-4d8b-9148-e3be6c30e623}">
          <xlrd:rvb i="5991"/>
        </ext>
      </extLst>
    </bk>
    <bk>
      <extLst>
        <ext uri="{3e2802c4-a4d2-4d8b-9148-e3be6c30e623}">
          <xlrd:rvb i="5992"/>
        </ext>
      </extLst>
    </bk>
    <bk>
      <extLst>
        <ext uri="{3e2802c4-a4d2-4d8b-9148-e3be6c30e623}">
          <xlrd:rvb i="5993"/>
        </ext>
      </extLst>
    </bk>
    <bk>
      <extLst>
        <ext uri="{3e2802c4-a4d2-4d8b-9148-e3be6c30e623}">
          <xlrd:rvb i="5994"/>
        </ext>
      </extLst>
    </bk>
    <bk>
      <extLst>
        <ext uri="{3e2802c4-a4d2-4d8b-9148-e3be6c30e623}">
          <xlrd:rvb i="5995"/>
        </ext>
      </extLst>
    </bk>
    <bk>
      <extLst>
        <ext uri="{3e2802c4-a4d2-4d8b-9148-e3be6c30e623}">
          <xlrd:rvb i="5996"/>
        </ext>
      </extLst>
    </bk>
    <bk>
      <extLst>
        <ext uri="{3e2802c4-a4d2-4d8b-9148-e3be6c30e623}">
          <xlrd:rvb i="5997"/>
        </ext>
      </extLst>
    </bk>
    <bk>
      <extLst>
        <ext uri="{3e2802c4-a4d2-4d8b-9148-e3be6c30e623}">
          <xlrd:rvb i="5998"/>
        </ext>
      </extLst>
    </bk>
    <bk>
      <extLst>
        <ext uri="{3e2802c4-a4d2-4d8b-9148-e3be6c30e623}">
          <xlrd:rvb i="5999"/>
        </ext>
      </extLst>
    </bk>
    <bk>
      <extLst>
        <ext uri="{3e2802c4-a4d2-4d8b-9148-e3be6c30e623}">
          <xlrd:rvb i="6000"/>
        </ext>
      </extLst>
    </bk>
    <bk>
      <extLst>
        <ext uri="{3e2802c4-a4d2-4d8b-9148-e3be6c30e623}">
          <xlrd:rvb i="6001"/>
        </ext>
      </extLst>
    </bk>
    <bk>
      <extLst>
        <ext uri="{3e2802c4-a4d2-4d8b-9148-e3be6c30e623}">
          <xlrd:rvb i="6002"/>
        </ext>
      </extLst>
    </bk>
    <bk>
      <extLst>
        <ext uri="{3e2802c4-a4d2-4d8b-9148-e3be6c30e623}">
          <xlrd:rvb i="6003"/>
        </ext>
      </extLst>
    </bk>
    <bk>
      <extLst>
        <ext uri="{3e2802c4-a4d2-4d8b-9148-e3be6c30e623}">
          <xlrd:rvb i="6004"/>
        </ext>
      </extLst>
    </bk>
    <bk>
      <extLst>
        <ext uri="{3e2802c4-a4d2-4d8b-9148-e3be6c30e623}">
          <xlrd:rvb i="6005"/>
        </ext>
      </extLst>
    </bk>
    <bk>
      <extLst>
        <ext uri="{3e2802c4-a4d2-4d8b-9148-e3be6c30e623}">
          <xlrd:rvb i="6006"/>
        </ext>
      </extLst>
    </bk>
    <bk>
      <extLst>
        <ext uri="{3e2802c4-a4d2-4d8b-9148-e3be6c30e623}">
          <xlrd:rvb i="6007"/>
        </ext>
      </extLst>
    </bk>
    <bk>
      <extLst>
        <ext uri="{3e2802c4-a4d2-4d8b-9148-e3be6c30e623}">
          <xlrd:rvb i="6008"/>
        </ext>
      </extLst>
    </bk>
    <bk>
      <extLst>
        <ext uri="{3e2802c4-a4d2-4d8b-9148-e3be6c30e623}">
          <xlrd:rvb i="6009"/>
        </ext>
      </extLst>
    </bk>
    <bk>
      <extLst>
        <ext uri="{3e2802c4-a4d2-4d8b-9148-e3be6c30e623}">
          <xlrd:rvb i="6010"/>
        </ext>
      </extLst>
    </bk>
    <bk>
      <extLst>
        <ext uri="{3e2802c4-a4d2-4d8b-9148-e3be6c30e623}">
          <xlrd:rvb i="6011"/>
        </ext>
      </extLst>
    </bk>
    <bk>
      <extLst>
        <ext uri="{3e2802c4-a4d2-4d8b-9148-e3be6c30e623}">
          <xlrd:rvb i="6012"/>
        </ext>
      </extLst>
    </bk>
    <bk>
      <extLst>
        <ext uri="{3e2802c4-a4d2-4d8b-9148-e3be6c30e623}">
          <xlrd:rvb i="6013"/>
        </ext>
      </extLst>
    </bk>
    <bk>
      <extLst>
        <ext uri="{3e2802c4-a4d2-4d8b-9148-e3be6c30e623}">
          <xlrd:rvb i="6014"/>
        </ext>
      </extLst>
    </bk>
    <bk>
      <extLst>
        <ext uri="{3e2802c4-a4d2-4d8b-9148-e3be6c30e623}">
          <xlrd:rvb i="6015"/>
        </ext>
      </extLst>
    </bk>
    <bk>
      <extLst>
        <ext uri="{3e2802c4-a4d2-4d8b-9148-e3be6c30e623}">
          <xlrd:rvb i="6016"/>
        </ext>
      </extLst>
    </bk>
    <bk>
      <extLst>
        <ext uri="{3e2802c4-a4d2-4d8b-9148-e3be6c30e623}">
          <xlrd:rvb i="6017"/>
        </ext>
      </extLst>
    </bk>
    <bk>
      <extLst>
        <ext uri="{3e2802c4-a4d2-4d8b-9148-e3be6c30e623}">
          <xlrd:rvb i="6018"/>
        </ext>
      </extLst>
    </bk>
    <bk>
      <extLst>
        <ext uri="{3e2802c4-a4d2-4d8b-9148-e3be6c30e623}">
          <xlrd:rvb i="6019"/>
        </ext>
      </extLst>
    </bk>
    <bk>
      <extLst>
        <ext uri="{3e2802c4-a4d2-4d8b-9148-e3be6c30e623}">
          <xlrd:rvb i="6020"/>
        </ext>
      </extLst>
    </bk>
    <bk>
      <extLst>
        <ext uri="{3e2802c4-a4d2-4d8b-9148-e3be6c30e623}">
          <xlrd:rvb i="6021"/>
        </ext>
      </extLst>
    </bk>
    <bk>
      <extLst>
        <ext uri="{3e2802c4-a4d2-4d8b-9148-e3be6c30e623}">
          <xlrd:rvb i="6022"/>
        </ext>
      </extLst>
    </bk>
    <bk>
      <extLst>
        <ext uri="{3e2802c4-a4d2-4d8b-9148-e3be6c30e623}">
          <xlrd:rvb i="6023"/>
        </ext>
      </extLst>
    </bk>
    <bk>
      <extLst>
        <ext uri="{3e2802c4-a4d2-4d8b-9148-e3be6c30e623}">
          <xlrd:rvb i="6024"/>
        </ext>
      </extLst>
    </bk>
    <bk>
      <extLst>
        <ext uri="{3e2802c4-a4d2-4d8b-9148-e3be6c30e623}">
          <xlrd:rvb i="6025"/>
        </ext>
      </extLst>
    </bk>
    <bk>
      <extLst>
        <ext uri="{3e2802c4-a4d2-4d8b-9148-e3be6c30e623}">
          <xlrd:rvb i="6026"/>
        </ext>
      </extLst>
    </bk>
    <bk>
      <extLst>
        <ext uri="{3e2802c4-a4d2-4d8b-9148-e3be6c30e623}">
          <xlrd:rvb i="6027"/>
        </ext>
      </extLst>
    </bk>
    <bk>
      <extLst>
        <ext uri="{3e2802c4-a4d2-4d8b-9148-e3be6c30e623}">
          <xlrd:rvb i="6028"/>
        </ext>
      </extLst>
    </bk>
    <bk>
      <extLst>
        <ext uri="{3e2802c4-a4d2-4d8b-9148-e3be6c30e623}">
          <xlrd:rvb i="6029"/>
        </ext>
      </extLst>
    </bk>
    <bk>
      <extLst>
        <ext uri="{3e2802c4-a4d2-4d8b-9148-e3be6c30e623}">
          <xlrd:rvb i="6030"/>
        </ext>
      </extLst>
    </bk>
    <bk>
      <extLst>
        <ext uri="{3e2802c4-a4d2-4d8b-9148-e3be6c30e623}">
          <xlrd:rvb i="6031"/>
        </ext>
      </extLst>
    </bk>
    <bk>
      <extLst>
        <ext uri="{3e2802c4-a4d2-4d8b-9148-e3be6c30e623}">
          <xlrd:rvb i="6032"/>
        </ext>
      </extLst>
    </bk>
    <bk>
      <extLst>
        <ext uri="{3e2802c4-a4d2-4d8b-9148-e3be6c30e623}">
          <xlrd:rvb i="6033"/>
        </ext>
      </extLst>
    </bk>
    <bk>
      <extLst>
        <ext uri="{3e2802c4-a4d2-4d8b-9148-e3be6c30e623}">
          <xlrd:rvb i="6034"/>
        </ext>
      </extLst>
    </bk>
    <bk>
      <extLst>
        <ext uri="{3e2802c4-a4d2-4d8b-9148-e3be6c30e623}">
          <xlrd:rvb i="6035"/>
        </ext>
      </extLst>
    </bk>
    <bk>
      <extLst>
        <ext uri="{3e2802c4-a4d2-4d8b-9148-e3be6c30e623}">
          <xlrd:rvb i="6036"/>
        </ext>
      </extLst>
    </bk>
    <bk>
      <extLst>
        <ext uri="{3e2802c4-a4d2-4d8b-9148-e3be6c30e623}">
          <xlrd:rvb i="6037"/>
        </ext>
      </extLst>
    </bk>
    <bk>
      <extLst>
        <ext uri="{3e2802c4-a4d2-4d8b-9148-e3be6c30e623}">
          <xlrd:rvb i="6038"/>
        </ext>
      </extLst>
    </bk>
    <bk>
      <extLst>
        <ext uri="{3e2802c4-a4d2-4d8b-9148-e3be6c30e623}">
          <xlrd:rvb i="6039"/>
        </ext>
      </extLst>
    </bk>
    <bk>
      <extLst>
        <ext uri="{3e2802c4-a4d2-4d8b-9148-e3be6c30e623}">
          <xlrd:rvb i="6040"/>
        </ext>
      </extLst>
    </bk>
    <bk>
      <extLst>
        <ext uri="{3e2802c4-a4d2-4d8b-9148-e3be6c30e623}">
          <xlrd:rvb i="6041"/>
        </ext>
      </extLst>
    </bk>
    <bk>
      <extLst>
        <ext uri="{3e2802c4-a4d2-4d8b-9148-e3be6c30e623}">
          <xlrd:rvb i="6042"/>
        </ext>
      </extLst>
    </bk>
    <bk>
      <extLst>
        <ext uri="{3e2802c4-a4d2-4d8b-9148-e3be6c30e623}">
          <xlrd:rvb i="6043"/>
        </ext>
      </extLst>
    </bk>
    <bk>
      <extLst>
        <ext uri="{3e2802c4-a4d2-4d8b-9148-e3be6c30e623}">
          <xlrd:rvb i="6044"/>
        </ext>
      </extLst>
    </bk>
    <bk>
      <extLst>
        <ext uri="{3e2802c4-a4d2-4d8b-9148-e3be6c30e623}">
          <xlrd:rvb i="6045"/>
        </ext>
      </extLst>
    </bk>
    <bk>
      <extLst>
        <ext uri="{3e2802c4-a4d2-4d8b-9148-e3be6c30e623}">
          <xlrd:rvb i="6046"/>
        </ext>
      </extLst>
    </bk>
    <bk>
      <extLst>
        <ext uri="{3e2802c4-a4d2-4d8b-9148-e3be6c30e623}">
          <xlrd:rvb i="6047"/>
        </ext>
      </extLst>
    </bk>
    <bk>
      <extLst>
        <ext uri="{3e2802c4-a4d2-4d8b-9148-e3be6c30e623}">
          <xlrd:rvb i="6048"/>
        </ext>
      </extLst>
    </bk>
    <bk>
      <extLst>
        <ext uri="{3e2802c4-a4d2-4d8b-9148-e3be6c30e623}">
          <xlrd:rvb i="6049"/>
        </ext>
      </extLst>
    </bk>
    <bk>
      <extLst>
        <ext uri="{3e2802c4-a4d2-4d8b-9148-e3be6c30e623}">
          <xlrd:rvb i="6050"/>
        </ext>
      </extLst>
    </bk>
    <bk>
      <extLst>
        <ext uri="{3e2802c4-a4d2-4d8b-9148-e3be6c30e623}">
          <xlrd:rvb i="6051"/>
        </ext>
      </extLst>
    </bk>
    <bk>
      <extLst>
        <ext uri="{3e2802c4-a4d2-4d8b-9148-e3be6c30e623}">
          <xlrd:rvb i="6052"/>
        </ext>
      </extLst>
    </bk>
    <bk>
      <extLst>
        <ext uri="{3e2802c4-a4d2-4d8b-9148-e3be6c30e623}">
          <xlrd:rvb i="6053"/>
        </ext>
      </extLst>
    </bk>
    <bk>
      <extLst>
        <ext uri="{3e2802c4-a4d2-4d8b-9148-e3be6c30e623}">
          <xlrd:rvb i="6054"/>
        </ext>
      </extLst>
    </bk>
    <bk>
      <extLst>
        <ext uri="{3e2802c4-a4d2-4d8b-9148-e3be6c30e623}">
          <xlrd:rvb i="6055"/>
        </ext>
      </extLst>
    </bk>
    <bk>
      <extLst>
        <ext uri="{3e2802c4-a4d2-4d8b-9148-e3be6c30e623}">
          <xlrd:rvb i="6056"/>
        </ext>
      </extLst>
    </bk>
    <bk>
      <extLst>
        <ext uri="{3e2802c4-a4d2-4d8b-9148-e3be6c30e623}">
          <xlrd:rvb i="6057"/>
        </ext>
      </extLst>
    </bk>
    <bk>
      <extLst>
        <ext uri="{3e2802c4-a4d2-4d8b-9148-e3be6c30e623}">
          <xlrd:rvb i="6058"/>
        </ext>
      </extLst>
    </bk>
    <bk>
      <extLst>
        <ext uri="{3e2802c4-a4d2-4d8b-9148-e3be6c30e623}">
          <xlrd:rvb i="6059"/>
        </ext>
      </extLst>
    </bk>
    <bk>
      <extLst>
        <ext uri="{3e2802c4-a4d2-4d8b-9148-e3be6c30e623}">
          <xlrd:rvb i="6060"/>
        </ext>
      </extLst>
    </bk>
    <bk>
      <extLst>
        <ext uri="{3e2802c4-a4d2-4d8b-9148-e3be6c30e623}">
          <xlrd:rvb i="6061"/>
        </ext>
      </extLst>
    </bk>
    <bk>
      <extLst>
        <ext uri="{3e2802c4-a4d2-4d8b-9148-e3be6c30e623}">
          <xlrd:rvb i="6062"/>
        </ext>
      </extLst>
    </bk>
    <bk>
      <extLst>
        <ext uri="{3e2802c4-a4d2-4d8b-9148-e3be6c30e623}">
          <xlrd:rvb i="6063"/>
        </ext>
      </extLst>
    </bk>
    <bk>
      <extLst>
        <ext uri="{3e2802c4-a4d2-4d8b-9148-e3be6c30e623}">
          <xlrd:rvb i="6064"/>
        </ext>
      </extLst>
    </bk>
    <bk>
      <extLst>
        <ext uri="{3e2802c4-a4d2-4d8b-9148-e3be6c30e623}">
          <xlrd:rvb i="6065"/>
        </ext>
      </extLst>
    </bk>
    <bk>
      <extLst>
        <ext uri="{3e2802c4-a4d2-4d8b-9148-e3be6c30e623}">
          <xlrd:rvb i="6066"/>
        </ext>
      </extLst>
    </bk>
    <bk>
      <extLst>
        <ext uri="{3e2802c4-a4d2-4d8b-9148-e3be6c30e623}">
          <xlrd:rvb i="6067"/>
        </ext>
      </extLst>
    </bk>
    <bk>
      <extLst>
        <ext uri="{3e2802c4-a4d2-4d8b-9148-e3be6c30e623}">
          <xlrd:rvb i="6068"/>
        </ext>
      </extLst>
    </bk>
    <bk>
      <extLst>
        <ext uri="{3e2802c4-a4d2-4d8b-9148-e3be6c30e623}">
          <xlrd:rvb i="6069"/>
        </ext>
      </extLst>
    </bk>
    <bk>
      <extLst>
        <ext uri="{3e2802c4-a4d2-4d8b-9148-e3be6c30e623}">
          <xlrd:rvb i="6070"/>
        </ext>
      </extLst>
    </bk>
    <bk>
      <extLst>
        <ext uri="{3e2802c4-a4d2-4d8b-9148-e3be6c30e623}">
          <xlrd:rvb i="6071"/>
        </ext>
      </extLst>
    </bk>
    <bk>
      <extLst>
        <ext uri="{3e2802c4-a4d2-4d8b-9148-e3be6c30e623}">
          <xlrd:rvb i="6072"/>
        </ext>
      </extLst>
    </bk>
    <bk>
      <extLst>
        <ext uri="{3e2802c4-a4d2-4d8b-9148-e3be6c30e623}">
          <xlrd:rvb i="6073"/>
        </ext>
      </extLst>
    </bk>
    <bk>
      <extLst>
        <ext uri="{3e2802c4-a4d2-4d8b-9148-e3be6c30e623}">
          <xlrd:rvb i="6074"/>
        </ext>
      </extLst>
    </bk>
    <bk>
      <extLst>
        <ext uri="{3e2802c4-a4d2-4d8b-9148-e3be6c30e623}">
          <xlrd:rvb i="6075"/>
        </ext>
      </extLst>
    </bk>
    <bk>
      <extLst>
        <ext uri="{3e2802c4-a4d2-4d8b-9148-e3be6c30e623}">
          <xlrd:rvb i="6076"/>
        </ext>
      </extLst>
    </bk>
    <bk>
      <extLst>
        <ext uri="{3e2802c4-a4d2-4d8b-9148-e3be6c30e623}">
          <xlrd:rvb i="6077"/>
        </ext>
      </extLst>
    </bk>
    <bk>
      <extLst>
        <ext uri="{3e2802c4-a4d2-4d8b-9148-e3be6c30e623}">
          <xlrd:rvb i="6078"/>
        </ext>
      </extLst>
    </bk>
    <bk>
      <extLst>
        <ext uri="{3e2802c4-a4d2-4d8b-9148-e3be6c30e623}">
          <xlrd:rvb i="6079"/>
        </ext>
      </extLst>
    </bk>
    <bk>
      <extLst>
        <ext uri="{3e2802c4-a4d2-4d8b-9148-e3be6c30e623}">
          <xlrd:rvb i="6080"/>
        </ext>
      </extLst>
    </bk>
    <bk>
      <extLst>
        <ext uri="{3e2802c4-a4d2-4d8b-9148-e3be6c30e623}">
          <xlrd:rvb i="6081"/>
        </ext>
      </extLst>
    </bk>
    <bk>
      <extLst>
        <ext uri="{3e2802c4-a4d2-4d8b-9148-e3be6c30e623}">
          <xlrd:rvb i="6082"/>
        </ext>
      </extLst>
    </bk>
    <bk>
      <extLst>
        <ext uri="{3e2802c4-a4d2-4d8b-9148-e3be6c30e623}">
          <xlrd:rvb i="6083"/>
        </ext>
      </extLst>
    </bk>
    <bk>
      <extLst>
        <ext uri="{3e2802c4-a4d2-4d8b-9148-e3be6c30e623}">
          <xlrd:rvb i="6084"/>
        </ext>
      </extLst>
    </bk>
    <bk>
      <extLst>
        <ext uri="{3e2802c4-a4d2-4d8b-9148-e3be6c30e623}">
          <xlrd:rvb i="6085"/>
        </ext>
      </extLst>
    </bk>
    <bk>
      <extLst>
        <ext uri="{3e2802c4-a4d2-4d8b-9148-e3be6c30e623}">
          <xlrd:rvb i="6086"/>
        </ext>
      </extLst>
    </bk>
    <bk>
      <extLst>
        <ext uri="{3e2802c4-a4d2-4d8b-9148-e3be6c30e623}">
          <xlrd:rvb i="6087"/>
        </ext>
      </extLst>
    </bk>
    <bk>
      <extLst>
        <ext uri="{3e2802c4-a4d2-4d8b-9148-e3be6c30e623}">
          <xlrd:rvb i="6088"/>
        </ext>
      </extLst>
    </bk>
    <bk>
      <extLst>
        <ext uri="{3e2802c4-a4d2-4d8b-9148-e3be6c30e623}">
          <xlrd:rvb i="6089"/>
        </ext>
      </extLst>
    </bk>
    <bk>
      <extLst>
        <ext uri="{3e2802c4-a4d2-4d8b-9148-e3be6c30e623}">
          <xlrd:rvb i="6090"/>
        </ext>
      </extLst>
    </bk>
    <bk>
      <extLst>
        <ext uri="{3e2802c4-a4d2-4d8b-9148-e3be6c30e623}">
          <xlrd:rvb i="6091"/>
        </ext>
      </extLst>
    </bk>
    <bk>
      <extLst>
        <ext uri="{3e2802c4-a4d2-4d8b-9148-e3be6c30e623}">
          <xlrd:rvb i="6092"/>
        </ext>
      </extLst>
    </bk>
    <bk>
      <extLst>
        <ext uri="{3e2802c4-a4d2-4d8b-9148-e3be6c30e623}">
          <xlrd:rvb i="6093"/>
        </ext>
      </extLst>
    </bk>
    <bk>
      <extLst>
        <ext uri="{3e2802c4-a4d2-4d8b-9148-e3be6c30e623}">
          <xlrd:rvb i="6094"/>
        </ext>
      </extLst>
    </bk>
    <bk>
      <extLst>
        <ext uri="{3e2802c4-a4d2-4d8b-9148-e3be6c30e623}">
          <xlrd:rvb i="6095"/>
        </ext>
      </extLst>
    </bk>
    <bk>
      <extLst>
        <ext uri="{3e2802c4-a4d2-4d8b-9148-e3be6c30e623}">
          <xlrd:rvb i="6096"/>
        </ext>
      </extLst>
    </bk>
    <bk>
      <extLst>
        <ext uri="{3e2802c4-a4d2-4d8b-9148-e3be6c30e623}">
          <xlrd:rvb i="6097"/>
        </ext>
      </extLst>
    </bk>
    <bk>
      <extLst>
        <ext uri="{3e2802c4-a4d2-4d8b-9148-e3be6c30e623}">
          <xlrd:rvb i="6098"/>
        </ext>
      </extLst>
    </bk>
    <bk>
      <extLst>
        <ext uri="{3e2802c4-a4d2-4d8b-9148-e3be6c30e623}">
          <xlrd:rvb i="6099"/>
        </ext>
      </extLst>
    </bk>
    <bk>
      <extLst>
        <ext uri="{3e2802c4-a4d2-4d8b-9148-e3be6c30e623}">
          <xlrd:rvb i="6100"/>
        </ext>
      </extLst>
    </bk>
    <bk>
      <extLst>
        <ext uri="{3e2802c4-a4d2-4d8b-9148-e3be6c30e623}">
          <xlrd:rvb i="6101"/>
        </ext>
      </extLst>
    </bk>
    <bk>
      <extLst>
        <ext uri="{3e2802c4-a4d2-4d8b-9148-e3be6c30e623}">
          <xlrd:rvb i="6102"/>
        </ext>
      </extLst>
    </bk>
    <bk>
      <extLst>
        <ext uri="{3e2802c4-a4d2-4d8b-9148-e3be6c30e623}">
          <xlrd:rvb i="6103"/>
        </ext>
      </extLst>
    </bk>
    <bk>
      <extLst>
        <ext uri="{3e2802c4-a4d2-4d8b-9148-e3be6c30e623}">
          <xlrd:rvb i="6104"/>
        </ext>
      </extLst>
    </bk>
    <bk>
      <extLst>
        <ext uri="{3e2802c4-a4d2-4d8b-9148-e3be6c30e623}">
          <xlrd:rvb i="6105"/>
        </ext>
      </extLst>
    </bk>
    <bk>
      <extLst>
        <ext uri="{3e2802c4-a4d2-4d8b-9148-e3be6c30e623}">
          <xlrd:rvb i="6106"/>
        </ext>
      </extLst>
    </bk>
    <bk>
      <extLst>
        <ext uri="{3e2802c4-a4d2-4d8b-9148-e3be6c30e623}">
          <xlrd:rvb i="6107"/>
        </ext>
      </extLst>
    </bk>
    <bk>
      <extLst>
        <ext uri="{3e2802c4-a4d2-4d8b-9148-e3be6c30e623}">
          <xlrd:rvb i="6108"/>
        </ext>
      </extLst>
    </bk>
    <bk>
      <extLst>
        <ext uri="{3e2802c4-a4d2-4d8b-9148-e3be6c30e623}">
          <xlrd:rvb i="6109"/>
        </ext>
      </extLst>
    </bk>
    <bk>
      <extLst>
        <ext uri="{3e2802c4-a4d2-4d8b-9148-e3be6c30e623}">
          <xlrd:rvb i="6110"/>
        </ext>
      </extLst>
    </bk>
    <bk>
      <extLst>
        <ext uri="{3e2802c4-a4d2-4d8b-9148-e3be6c30e623}">
          <xlrd:rvb i="6111"/>
        </ext>
      </extLst>
    </bk>
    <bk>
      <extLst>
        <ext uri="{3e2802c4-a4d2-4d8b-9148-e3be6c30e623}">
          <xlrd:rvb i="6112"/>
        </ext>
      </extLst>
    </bk>
    <bk>
      <extLst>
        <ext uri="{3e2802c4-a4d2-4d8b-9148-e3be6c30e623}">
          <xlrd:rvb i="6113"/>
        </ext>
      </extLst>
    </bk>
    <bk>
      <extLst>
        <ext uri="{3e2802c4-a4d2-4d8b-9148-e3be6c30e623}">
          <xlrd:rvb i="6114"/>
        </ext>
      </extLst>
    </bk>
    <bk>
      <extLst>
        <ext uri="{3e2802c4-a4d2-4d8b-9148-e3be6c30e623}">
          <xlrd:rvb i="6115"/>
        </ext>
      </extLst>
    </bk>
    <bk>
      <extLst>
        <ext uri="{3e2802c4-a4d2-4d8b-9148-e3be6c30e623}">
          <xlrd:rvb i="6116"/>
        </ext>
      </extLst>
    </bk>
    <bk>
      <extLst>
        <ext uri="{3e2802c4-a4d2-4d8b-9148-e3be6c30e623}">
          <xlrd:rvb i="6117"/>
        </ext>
      </extLst>
    </bk>
    <bk>
      <extLst>
        <ext uri="{3e2802c4-a4d2-4d8b-9148-e3be6c30e623}">
          <xlrd:rvb i="6118"/>
        </ext>
      </extLst>
    </bk>
    <bk>
      <extLst>
        <ext uri="{3e2802c4-a4d2-4d8b-9148-e3be6c30e623}">
          <xlrd:rvb i="6119"/>
        </ext>
      </extLst>
    </bk>
    <bk>
      <extLst>
        <ext uri="{3e2802c4-a4d2-4d8b-9148-e3be6c30e623}">
          <xlrd:rvb i="6120"/>
        </ext>
      </extLst>
    </bk>
    <bk>
      <extLst>
        <ext uri="{3e2802c4-a4d2-4d8b-9148-e3be6c30e623}">
          <xlrd:rvb i="6121"/>
        </ext>
      </extLst>
    </bk>
    <bk>
      <extLst>
        <ext uri="{3e2802c4-a4d2-4d8b-9148-e3be6c30e623}">
          <xlrd:rvb i="6122"/>
        </ext>
      </extLst>
    </bk>
    <bk>
      <extLst>
        <ext uri="{3e2802c4-a4d2-4d8b-9148-e3be6c30e623}">
          <xlrd:rvb i="6123"/>
        </ext>
      </extLst>
    </bk>
    <bk>
      <extLst>
        <ext uri="{3e2802c4-a4d2-4d8b-9148-e3be6c30e623}">
          <xlrd:rvb i="6124"/>
        </ext>
      </extLst>
    </bk>
    <bk>
      <extLst>
        <ext uri="{3e2802c4-a4d2-4d8b-9148-e3be6c30e623}">
          <xlrd:rvb i="6125"/>
        </ext>
      </extLst>
    </bk>
    <bk>
      <extLst>
        <ext uri="{3e2802c4-a4d2-4d8b-9148-e3be6c30e623}">
          <xlrd:rvb i="6126"/>
        </ext>
      </extLst>
    </bk>
    <bk>
      <extLst>
        <ext uri="{3e2802c4-a4d2-4d8b-9148-e3be6c30e623}">
          <xlrd:rvb i="6127"/>
        </ext>
      </extLst>
    </bk>
    <bk>
      <extLst>
        <ext uri="{3e2802c4-a4d2-4d8b-9148-e3be6c30e623}">
          <xlrd:rvb i="6128"/>
        </ext>
      </extLst>
    </bk>
    <bk>
      <extLst>
        <ext uri="{3e2802c4-a4d2-4d8b-9148-e3be6c30e623}">
          <xlrd:rvb i="6129"/>
        </ext>
      </extLst>
    </bk>
    <bk>
      <extLst>
        <ext uri="{3e2802c4-a4d2-4d8b-9148-e3be6c30e623}">
          <xlrd:rvb i="6130"/>
        </ext>
      </extLst>
    </bk>
    <bk>
      <extLst>
        <ext uri="{3e2802c4-a4d2-4d8b-9148-e3be6c30e623}">
          <xlrd:rvb i="6131"/>
        </ext>
      </extLst>
    </bk>
    <bk>
      <extLst>
        <ext uri="{3e2802c4-a4d2-4d8b-9148-e3be6c30e623}">
          <xlrd:rvb i="6132"/>
        </ext>
      </extLst>
    </bk>
    <bk>
      <extLst>
        <ext uri="{3e2802c4-a4d2-4d8b-9148-e3be6c30e623}">
          <xlrd:rvb i="6133"/>
        </ext>
      </extLst>
    </bk>
    <bk>
      <extLst>
        <ext uri="{3e2802c4-a4d2-4d8b-9148-e3be6c30e623}">
          <xlrd:rvb i="6134"/>
        </ext>
      </extLst>
    </bk>
    <bk>
      <extLst>
        <ext uri="{3e2802c4-a4d2-4d8b-9148-e3be6c30e623}">
          <xlrd:rvb i="6135"/>
        </ext>
      </extLst>
    </bk>
    <bk>
      <extLst>
        <ext uri="{3e2802c4-a4d2-4d8b-9148-e3be6c30e623}">
          <xlrd:rvb i="6136"/>
        </ext>
      </extLst>
    </bk>
    <bk>
      <extLst>
        <ext uri="{3e2802c4-a4d2-4d8b-9148-e3be6c30e623}">
          <xlrd:rvb i="6137"/>
        </ext>
      </extLst>
    </bk>
    <bk>
      <extLst>
        <ext uri="{3e2802c4-a4d2-4d8b-9148-e3be6c30e623}">
          <xlrd:rvb i="6138"/>
        </ext>
      </extLst>
    </bk>
    <bk>
      <extLst>
        <ext uri="{3e2802c4-a4d2-4d8b-9148-e3be6c30e623}">
          <xlrd:rvb i="6139"/>
        </ext>
      </extLst>
    </bk>
    <bk>
      <extLst>
        <ext uri="{3e2802c4-a4d2-4d8b-9148-e3be6c30e623}">
          <xlrd:rvb i="6140"/>
        </ext>
      </extLst>
    </bk>
    <bk>
      <extLst>
        <ext uri="{3e2802c4-a4d2-4d8b-9148-e3be6c30e623}">
          <xlrd:rvb i="6141"/>
        </ext>
      </extLst>
    </bk>
    <bk>
      <extLst>
        <ext uri="{3e2802c4-a4d2-4d8b-9148-e3be6c30e623}">
          <xlrd:rvb i="6142"/>
        </ext>
      </extLst>
    </bk>
    <bk>
      <extLst>
        <ext uri="{3e2802c4-a4d2-4d8b-9148-e3be6c30e623}">
          <xlrd:rvb i="6143"/>
        </ext>
      </extLst>
    </bk>
    <bk>
      <extLst>
        <ext uri="{3e2802c4-a4d2-4d8b-9148-e3be6c30e623}">
          <xlrd:rvb i="6144"/>
        </ext>
      </extLst>
    </bk>
    <bk>
      <extLst>
        <ext uri="{3e2802c4-a4d2-4d8b-9148-e3be6c30e623}">
          <xlrd:rvb i="6145"/>
        </ext>
      </extLst>
    </bk>
    <bk>
      <extLst>
        <ext uri="{3e2802c4-a4d2-4d8b-9148-e3be6c30e623}">
          <xlrd:rvb i="6146"/>
        </ext>
      </extLst>
    </bk>
    <bk>
      <extLst>
        <ext uri="{3e2802c4-a4d2-4d8b-9148-e3be6c30e623}">
          <xlrd:rvb i="6147"/>
        </ext>
      </extLst>
    </bk>
    <bk>
      <extLst>
        <ext uri="{3e2802c4-a4d2-4d8b-9148-e3be6c30e623}">
          <xlrd:rvb i="6148"/>
        </ext>
      </extLst>
    </bk>
    <bk>
      <extLst>
        <ext uri="{3e2802c4-a4d2-4d8b-9148-e3be6c30e623}">
          <xlrd:rvb i="6149"/>
        </ext>
      </extLst>
    </bk>
    <bk>
      <extLst>
        <ext uri="{3e2802c4-a4d2-4d8b-9148-e3be6c30e623}">
          <xlrd:rvb i="6150"/>
        </ext>
      </extLst>
    </bk>
    <bk>
      <extLst>
        <ext uri="{3e2802c4-a4d2-4d8b-9148-e3be6c30e623}">
          <xlrd:rvb i="6151"/>
        </ext>
      </extLst>
    </bk>
    <bk>
      <extLst>
        <ext uri="{3e2802c4-a4d2-4d8b-9148-e3be6c30e623}">
          <xlrd:rvb i="6152"/>
        </ext>
      </extLst>
    </bk>
    <bk>
      <extLst>
        <ext uri="{3e2802c4-a4d2-4d8b-9148-e3be6c30e623}">
          <xlrd:rvb i="6153"/>
        </ext>
      </extLst>
    </bk>
    <bk>
      <extLst>
        <ext uri="{3e2802c4-a4d2-4d8b-9148-e3be6c30e623}">
          <xlrd:rvb i="6154"/>
        </ext>
      </extLst>
    </bk>
    <bk>
      <extLst>
        <ext uri="{3e2802c4-a4d2-4d8b-9148-e3be6c30e623}">
          <xlrd:rvb i="6155"/>
        </ext>
      </extLst>
    </bk>
    <bk>
      <extLst>
        <ext uri="{3e2802c4-a4d2-4d8b-9148-e3be6c30e623}">
          <xlrd:rvb i="6156"/>
        </ext>
      </extLst>
    </bk>
    <bk>
      <extLst>
        <ext uri="{3e2802c4-a4d2-4d8b-9148-e3be6c30e623}">
          <xlrd:rvb i="6157"/>
        </ext>
      </extLst>
    </bk>
    <bk>
      <extLst>
        <ext uri="{3e2802c4-a4d2-4d8b-9148-e3be6c30e623}">
          <xlrd:rvb i="6158"/>
        </ext>
      </extLst>
    </bk>
    <bk>
      <extLst>
        <ext uri="{3e2802c4-a4d2-4d8b-9148-e3be6c30e623}">
          <xlrd:rvb i="6159"/>
        </ext>
      </extLst>
    </bk>
    <bk>
      <extLst>
        <ext uri="{3e2802c4-a4d2-4d8b-9148-e3be6c30e623}">
          <xlrd:rvb i="6160"/>
        </ext>
      </extLst>
    </bk>
    <bk>
      <extLst>
        <ext uri="{3e2802c4-a4d2-4d8b-9148-e3be6c30e623}">
          <xlrd:rvb i="6161"/>
        </ext>
      </extLst>
    </bk>
    <bk>
      <extLst>
        <ext uri="{3e2802c4-a4d2-4d8b-9148-e3be6c30e623}">
          <xlrd:rvb i="6162"/>
        </ext>
      </extLst>
    </bk>
    <bk>
      <extLst>
        <ext uri="{3e2802c4-a4d2-4d8b-9148-e3be6c30e623}">
          <xlrd:rvb i="6163"/>
        </ext>
      </extLst>
    </bk>
    <bk>
      <extLst>
        <ext uri="{3e2802c4-a4d2-4d8b-9148-e3be6c30e623}">
          <xlrd:rvb i="6164"/>
        </ext>
      </extLst>
    </bk>
    <bk>
      <extLst>
        <ext uri="{3e2802c4-a4d2-4d8b-9148-e3be6c30e623}">
          <xlrd:rvb i="6165"/>
        </ext>
      </extLst>
    </bk>
    <bk>
      <extLst>
        <ext uri="{3e2802c4-a4d2-4d8b-9148-e3be6c30e623}">
          <xlrd:rvb i="6166"/>
        </ext>
      </extLst>
    </bk>
    <bk>
      <extLst>
        <ext uri="{3e2802c4-a4d2-4d8b-9148-e3be6c30e623}">
          <xlrd:rvb i="6167"/>
        </ext>
      </extLst>
    </bk>
    <bk>
      <extLst>
        <ext uri="{3e2802c4-a4d2-4d8b-9148-e3be6c30e623}">
          <xlrd:rvb i="6168"/>
        </ext>
      </extLst>
    </bk>
    <bk>
      <extLst>
        <ext uri="{3e2802c4-a4d2-4d8b-9148-e3be6c30e623}">
          <xlrd:rvb i="6169"/>
        </ext>
      </extLst>
    </bk>
    <bk>
      <extLst>
        <ext uri="{3e2802c4-a4d2-4d8b-9148-e3be6c30e623}">
          <xlrd:rvb i="6170"/>
        </ext>
      </extLst>
    </bk>
    <bk>
      <extLst>
        <ext uri="{3e2802c4-a4d2-4d8b-9148-e3be6c30e623}">
          <xlrd:rvb i="6171"/>
        </ext>
      </extLst>
    </bk>
    <bk>
      <extLst>
        <ext uri="{3e2802c4-a4d2-4d8b-9148-e3be6c30e623}">
          <xlrd:rvb i="6172"/>
        </ext>
      </extLst>
    </bk>
    <bk>
      <extLst>
        <ext uri="{3e2802c4-a4d2-4d8b-9148-e3be6c30e623}">
          <xlrd:rvb i="6173"/>
        </ext>
      </extLst>
    </bk>
    <bk>
      <extLst>
        <ext uri="{3e2802c4-a4d2-4d8b-9148-e3be6c30e623}">
          <xlrd:rvb i="6174"/>
        </ext>
      </extLst>
    </bk>
    <bk>
      <extLst>
        <ext uri="{3e2802c4-a4d2-4d8b-9148-e3be6c30e623}">
          <xlrd:rvb i="6175"/>
        </ext>
      </extLst>
    </bk>
    <bk>
      <extLst>
        <ext uri="{3e2802c4-a4d2-4d8b-9148-e3be6c30e623}">
          <xlrd:rvb i="6176"/>
        </ext>
      </extLst>
    </bk>
    <bk>
      <extLst>
        <ext uri="{3e2802c4-a4d2-4d8b-9148-e3be6c30e623}">
          <xlrd:rvb i="6177"/>
        </ext>
      </extLst>
    </bk>
    <bk>
      <extLst>
        <ext uri="{3e2802c4-a4d2-4d8b-9148-e3be6c30e623}">
          <xlrd:rvb i="6178"/>
        </ext>
      </extLst>
    </bk>
    <bk>
      <extLst>
        <ext uri="{3e2802c4-a4d2-4d8b-9148-e3be6c30e623}">
          <xlrd:rvb i="6179"/>
        </ext>
      </extLst>
    </bk>
    <bk>
      <extLst>
        <ext uri="{3e2802c4-a4d2-4d8b-9148-e3be6c30e623}">
          <xlrd:rvb i="6180"/>
        </ext>
      </extLst>
    </bk>
    <bk>
      <extLst>
        <ext uri="{3e2802c4-a4d2-4d8b-9148-e3be6c30e623}">
          <xlrd:rvb i="6181"/>
        </ext>
      </extLst>
    </bk>
    <bk>
      <extLst>
        <ext uri="{3e2802c4-a4d2-4d8b-9148-e3be6c30e623}">
          <xlrd:rvb i="6182"/>
        </ext>
      </extLst>
    </bk>
    <bk>
      <extLst>
        <ext uri="{3e2802c4-a4d2-4d8b-9148-e3be6c30e623}">
          <xlrd:rvb i="6183"/>
        </ext>
      </extLst>
    </bk>
    <bk>
      <extLst>
        <ext uri="{3e2802c4-a4d2-4d8b-9148-e3be6c30e623}">
          <xlrd:rvb i="6184"/>
        </ext>
      </extLst>
    </bk>
    <bk>
      <extLst>
        <ext uri="{3e2802c4-a4d2-4d8b-9148-e3be6c30e623}">
          <xlrd:rvb i="6185"/>
        </ext>
      </extLst>
    </bk>
    <bk>
      <extLst>
        <ext uri="{3e2802c4-a4d2-4d8b-9148-e3be6c30e623}">
          <xlrd:rvb i="6186"/>
        </ext>
      </extLst>
    </bk>
    <bk>
      <extLst>
        <ext uri="{3e2802c4-a4d2-4d8b-9148-e3be6c30e623}">
          <xlrd:rvb i="6187"/>
        </ext>
      </extLst>
    </bk>
    <bk>
      <extLst>
        <ext uri="{3e2802c4-a4d2-4d8b-9148-e3be6c30e623}">
          <xlrd:rvb i="6188"/>
        </ext>
      </extLst>
    </bk>
    <bk>
      <extLst>
        <ext uri="{3e2802c4-a4d2-4d8b-9148-e3be6c30e623}">
          <xlrd:rvb i="6189"/>
        </ext>
      </extLst>
    </bk>
    <bk>
      <extLst>
        <ext uri="{3e2802c4-a4d2-4d8b-9148-e3be6c30e623}">
          <xlrd:rvb i="6190"/>
        </ext>
      </extLst>
    </bk>
    <bk>
      <extLst>
        <ext uri="{3e2802c4-a4d2-4d8b-9148-e3be6c30e623}">
          <xlrd:rvb i="6191"/>
        </ext>
      </extLst>
    </bk>
    <bk>
      <extLst>
        <ext uri="{3e2802c4-a4d2-4d8b-9148-e3be6c30e623}">
          <xlrd:rvb i="6192"/>
        </ext>
      </extLst>
    </bk>
    <bk>
      <extLst>
        <ext uri="{3e2802c4-a4d2-4d8b-9148-e3be6c30e623}">
          <xlrd:rvb i="6193"/>
        </ext>
      </extLst>
    </bk>
    <bk>
      <extLst>
        <ext uri="{3e2802c4-a4d2-4d8b-9148-e3be6c30e623}">
          <xlrd:rvb i="6194"/>
        </ext>
      </extLst>
    </bk>
    <bk>
      <extLst>
        <ext uri="{3e2802c4-a4d2-4d8b-9148-e3be6c30e623}">
          <xlrd:rvb i="6195"/>
        </ext>
      </extLst>
    </bk>
    <bk>
      <extLst>
        <ext uri="{3e2802c4-a4d2-4d8b-9148-e3be6c30e623}">
          <xlrd:rvb i="6196"/>
        </ext>
      </extLst>
    </bk>
    <bk>
      <extLst>
        <ext uri="{3e2802c4-a4d2-4d8b-9148-e3be6c30e623}">
          <xlrd:rvb i="6197"/>
        </ext>
      </extLst>
    </bk>
    <bk>
      <extLst>
        <ext uri="{3e2802c4-a4d2-4d8b-9148-e3be6c30e623}">
          <xlrd:rvb i="6198"/>
        </ext>
      </extLst>
    </bk>
    <bk>
      <extLst>
        <ext uri="{3e2802c4-a4d2-4d8b-9148-e3be6c30e623}">
          <xlrd:rvb i="6199"/>
        </ext>
      </extLst>
    </bk>
    <bk>
      <extLst>
        <ext uri="{3e2802c4-a4d2-4d8b-9148-e3be6c30e623}">
          <xlrd:rvb i="6200"/>
        </ext>
      </extLst>
    </bk>
    <bk>
      <extLst>
        <ext uri="{3e2802c4-a4d2-4d8b-9148-e3be6c30e623}">
          <xlrd:rvb i="6201"/>
        </ext>
      </extLst>
    </bk>
    <bk>
      <extLst>
        <ext uri="{3e2802c4-a4d2-4d8b-9148-e3be6c30e623}">
          <xlrd:rvb i="6202"/>
        </ext>
      </extLst>
    </bk>
    <bk>
      <extLst>
        <ext uri="{3e2802c4-a4d2-4d8b-9148-e3be6c30e623}">
          <xlrd:rvb i="6203"/>
        </ext>
      </extLst>
    </bk>
    <bk>
      <extLst>
        <ext uri="{3e2802c4-a4d2-4d8b-9148-e3be6c30e623}">
          <xlrd:rvb i="6204"/>
        </ext>
      </extLst>
    </bk>
    <bk>
      <extLst>
        <ext uri="{3e2802c4-a4d2-4d8b-9148-e3be6c30e623}">
          <xlrd:rvb i="6205"/>
        </ext>
      </extLst>
    </bk>
    <bk>
      <extLst>
        <ext uri="{3e2802c4-a4d2-4d8b-9148-e3be6c30e623}">
          <xlrd:rvb i="6206"/>
        </ext>
      </extLst>
    </bk>
    <bk>
      <extLst>
        <ext uri="{3e2802c4-a4d2-4d8b-9148-e3be6c30e623}">
          <xlrd:rvb i="6207"/>
        </ext>
      </extLst>
    </bk>
    <bk>
      <extLst>
        <ext uri="{3e2802c4-a4d2-4d8b-9148-e3be6c30e623}">
          <xlrd:rvb i="6208"/>
        </ext>
      </extLst>
    </bk>
    <bk>
      <extLst>
        <ext uri="{3e2802c4-a4d2-4d8b-9148-e3be6c30e623}">
          <xlrd:rvb i="6209"/>
        </ext>
      </extLst>
    </bk>
    <bk>
      <extLst>
        <ext uri="{3e2802c4-a4d2-4d8b-9148-e3be6c30e623}">
          <xlrd:rvb i="6210"/>
        </ext>
      </extLst>
    </bk>
    <bk>
      <extLst>
        <ext uri="{3e2802c4-a4d2-4d8b-9148-e3be6c30e623}">
          <xlrd:rvb i="6211"/>
        </ext>
      </extLst>
    </bk>
    <bk>
      <extLst>
        <ext uri="{3e2802c4-a4d2-4d8b-9148-e3be6c30e623}">
          <xlrd:rvb i="6212"/>
        </ext>
      </extLst>
    </bk>
    <bk>
      <extLst>
        <ext uri="{3e2802c4-a4d2-4d8b-9148-e3be6c30e623}">
          <xlrd:rvb i="6213"/>
        </ext>
      </extLst>
    </bk>
    <bk>
      <extLst>
        <ext uri="{3e2802c4-a4d2-4d8b-9148-e3be6c30e623}">
          <xlrd:rvb i="6214"/>
        </ext>
      </extLst>
    </bk>
    <bk>
      <extLst>
        <ext uri="{3e2802c4-a4d2-4d8b-9148-e3be6c30e623}">
          <xlrd:rvb i="6215"/>
        </ext>
      </extLst>
    </bk>
    <bk>
      <extLst>
        <ext uri="{3e2802c4-a4d2-4d8b-9148-e3be6c30e623}">
          <xlrd:rvb i="6216"/>
        </ext>
      </extLst>
    </bk>
    <bk>
      <extLst>
        <ext uri="{3e2802c4-a4d2-4d8b-9148-e3be6c30e623}">
          <xlrd:rvb i="6217"/>
        </ext>
      </extLst>
    </bk>
    <bk>
      <extLst>
        <ext uri="{3e2802c4-a4d2-4d8b-9148-e3be6c30e623}">
          <xlrd:rvb i="6218"/>
        </ext>
      </extLst>
    </bk>
    <bk>
      <extLst>
        <ext uri="{3e2802c4-a4d2-4d8b-9148-e3be6c30e623}">
          <xlrd:rvb i="6219"/>
        </ext>
      </extLst>
    </bk>
    <bk>
      <extLst>
        <ext uri="{3e2802c4-a4d2-4d8b-9148-e3be6c30e623}">
          <xlrd:rvb i="6220"/>
        </ext>
      </extLst>
    </bk>
    <bk>
      <extLst>
        <ext uri="{3e2802c4-a4d2-4d8b-9148-e3be6c30e623}">
          <xlrd:rvb i="6221"/>
        </ext>
      </extLst>
    </bk>
    <bk>
      <extLst>
        <ext uri="{3e2802c4-a4d2-4d8b-9148-e3be6c30e623}">
          <xlrd:rvb i="6222"/>
        </ext>
      </extLst>
    </bk>
    <bk>
      <extLst>
        <ext uri="{3e2802c4-a4d2-4d8b-9148-e3be6c30e623}">
          <xlrd:rvb i="6223"/>
        </ext>
      </extLst>
    </bk>
    <bk>
      <extLst>
        <ext uri="{3e2802c4-a4d2-4d8b-9148-e3be6c30e623}">
          <xlrd:rvb i="6224"/>
        </ext>
      </extLst>
    </bk>
    <bk>
      <extLst>
        <ext uri="{3e2802c4-a4d2-4d8b-9148-e3be6c30e623}">
          <xlrd:rvb i="6225"/>
        </ext>
      </extLst>
    </bk>
    <bk>
      <extLst>
        <ext uri="{3e2802c4-a4d2-4d8b-9148-e3be6c30e623}">
          <xlrd:rvb i="6226"/>
        </ext>
      </extLst>
    </bk>
    <bk>
      <extLst>
        <ext uri="{3e2802c4-a4d2-4d8b-9148-e3be6c30e623}">
          <xlrd:rvb i="6227"/>
        </ext>
      </extLst>
    </bk>
    <bk>
      <extLst>
        <ext uri="{3e2802c4-a4d2-4d8b-9148-e3be6c30e623}">
          <xlrd:rvb i="6228"/>
        </ext>
      </extLst>
    </bk>
    <bk>
      <extLst>
        <ext uri="{3e2802c4-a4d2-4d8b-9148-e3be6c30e623}">
          <xlrd:rvb i="6229"/>
        </ext>
      </extLst>
    </bk>
    <bk>
      <extLst>
        <ext uri="{3e2802c4-a4d2-4d8b-9148-e3be6c30e623}">
          <xlrd:rvb i="6230"/>
        </ext>
      </extLst>
    </bk>
    <bk>
      <extLst>
        <ext uri="{3e2802c4-a4d2-4d8b-9148-e3be6c30e623}">
          <xlrd:rvb i="6231"/>
        </ext>
      </extLst>
    </bk>
    <bk>
      <extLst>
        <ext uri="{3e2802c4-a4d2-4d8b-9148-e3be6c30e623}">
          <xlrd:rvb i="6232"/>
        </ext>
      </extLst>
    </bk>
    <bk>
      <extLst>
        <ext uri="{3e2802c4-a4d2-4d8b-9148-e3be6c30e623}">
          <xlrd:rvb i="6233"/>
        </ext>
      </extLst>
    </bk>
    <bk>
      <extLst>
        <ext uri="{3e2802c4-a4d2-4d8b-9148-e3be6c30e623}">
          <xlrd:rvb i="6234"/>
        </ext>
      </extLst>
    </bk>
    <bk>
      <extLst>
        <ext uri="{3e2802c4-a4d2-4d8b-9148-e3be6c30e623}">
          <xlrd:rvb i="6235"/>
        </ext>
      </extLst>
    </bk>
    <bk>
      <extLst>
        <ext uri="{3e2802c4-a4d2-4d8b-9148-e3be6c30e623}">
          <xlrd:rvb i="6236"/>
        </ext>
      </extLst>
    </bk>
    <bk>
      <extLst>
        <ext uri="{3e2802c4-a4d2-4d8b-9148-e3be6c30e623}">
          <xlrd:rvb i="6237"/>
        </ext>
      </extLst>
    </bk>
    <bk>
      <extLst>
        <ext uri="{3e2802c4-a4d2-4d8b-9148-e3be6c30e623}">
          <xlrd:rvb i="6238"/>
        </ext>
      </extLst>
    </bk>
    <bk>
      <extLst>
        <ext uri="{3e2802c4-a4d2-4d8b-9148-e3be6c30e623}">
          <xlrd:rvb i="6239"/>
        </ext>
      </extLst>
    </bk>
    <bk>
      <extLst>
        <ext uri="{3e2802c4-a4d2-4d8b-9148-e3be6c30e623}">
          <xlrd:rvb i="6240"/>
        </ext>
      </extLst>
    </bk>
    <bk>
      <extLst>
        <ext uri="{3e2802c4-a4d2-4d8b-9148-e3be6c30e623}">
          <xlrd:rvb i="6241"/>
        </ext>
      </extLst>
    </bk>
    <bk>
      <extLst>
        <ext uri="{3e2802c4-a4d2-4d8b-9148-e3be6c30e623}">
          <xlrd:rvb i="6242"/>
        </ext>
      </extLst>
    </bk>
    <bk>
      <extLst>
        <ext uri="{3e2802c4-a4d2-4d8b-9148-e3be6c30e623}">
          <xlrd:rvb i="6243"/>
        </ext>
      </extLst>
    </bk>
    <bk>
      <extLst>
        <ext uri="{3e2802c4-a4d2-4d8b-9148-e3be6c30e623}">
          <xlrd:rvb i="6244"/>
        </ext>
      </extLst>
    </bk>
    <bk>
      <extLst>
        <ext uri="{3e2802c4-a4d2-4d8b-9148-e3be6c30e623}">
          <xlrd:rvb i="6245"/>
        </ext>
      </extLst>
    </bk>
    <bk>
      <extLst>
        <ext uri="{3e2802c4-a4d2-4d8b-9148-e3be6c30e623}">
          <xlrd:rvb i="6246"/>
        </ext>
      </extLst>
    </bk>
    <bk>
      <extLst>
        <ext uri="{3e2802c4-a4d2-4d8b-9148-e3be6c30e623}">
          <xlrd:rvb i="6247"/>
        </ext>
      </extLst>
    </bk>
    <bk>
      <extLst>
        <ext uri="{3e2802c4-a4d2-4d8b-9148-e3be6c30e623}">
          <xlrd:rvb i="6248"/>
        </ext>
      </extLst>
    </bk>
    <bk>
      <extLst>
        <ext uri="{3e2802c4-a4d2-4d8b-9148-e3be6c30e623}">
          <xlrd:rvb i="6249"/>
        </ext>
      </extLst>
    </bk>
    <bk>
      <extLst>
        <ext uri="{3e2802c4-a4d2-4d8b-9148-e3be6c30e623}">
          <xlrd:rvb i="6250"/>
        </ext>
      </extLst>
    </bk>
    <bk>
      <extLst>
        <ext uri="{3e2802c4-a4d2-4d8b-9148-e3be6c30e623}">
          <xlrd:rvb i="6251"/>
        </ext>
      </extLst>
    </bk>
    <bk>
      <extLst>
        <ext uri="{3e2802c4-a4d2-4d8b-9148-e3be6c30e623}">
          <xlrd:rvb i="6252"/>
        </ext>
      </extLst>
    </bk>
    <bk>
      <extLst>
        <ext uri="{3e2802c4-a4d2-4d8b-9148-e3be6c30e623}">
          <xlrd:rvb i="6253"/>
        </ext>
      </extLst>
    </bk>
    <bk>
      <extLst>
        <ext uri="{3e2802c4-a4d2-4d8b-9148-e3be6c30e623}">
          <xlrd:rvb i="6254"/>
        </ext>
      </extLst>
    </bk>
    <bk>
      <extLst>
        <ext uri="{3e2802c4-a4d2-4d8b-9148-e3be6c30e623}">
          <xlrd:rvb i="6255"/>
        </ext>
      </extLst>
    </bk>
    <bk>
      <extLst>
        <ext uri="{3e2802c4-a4d2-4d8b-9148-e3be6c30e623}">
          <xlrd:rvb i="6256"/>
        </ext>
      </extLst>
    </bk>
    <bk>
      <extLst>
        <ext uri="{3e2802c4-a4d2-4d8b-9148-e3be6c30e623}">
          <xlrd:rvb i="6257"/>
        </ext>
      </extLst>
    </bk>
    <bk>
      <extLst>
        <ext uri="{3e2802c4-a4d2-4d8b-9148-e3be6c30e623}">
          <xlrd:rvb i="6258"/>
        </ext>
      </extLst>
    </bk>
    <bk>
      <extLst>
        <ext uri="{3e2802c4-a4d2-4d8b-9148-e3be6c30e623}">
          <xlrd:rvb i="6259"/>
        </ext>
      </extLst>
    </bk>
    <bk>
      <extLst>
        <ext uri="{3e2802c4-a4d2-4d8b-9148-e3be6c30e623}">
          <xlrd:rvb i="6260"/>
        </ext>
      </extLst>
    </bk>
    <bk>
      <extLst>
        <ext uri="{3e2802c4-a4d2-4d8b-9148-e3be6c30e623}">
          <xlrd:rvb i="6261"/>
        </ext>
      </extLst>
    </bk>
    <bk>
      <extLst>
        <ext uri="{3e2802c4-a4d2-4d8b-9148-e3be6c30e623}">
          <xlrd:rvb i="6262"/>
        </ext>
      </extLst>
    </bk>
    <bk>
      <extLst>
        <ext uri="{3e2802c4-a4d2-4d8b-9148-e3be6c30e623}">
          <xlrd:rvb i="6263"/>
        </ext>
      </extLst>
    </bk>
    <bk>
      <extLst>
        <ext uri="{3e2802c4-a4d2-4d8b-9148-e3be6c30e623}">
          <xlrd:rvb i="6264"/>
        </ext>
      </extLst>
    </bk>
    <bk>
      <extLst>
        <ext uri="{3e2802c4-a4d2-4d8b-9148-e3be6c30e623}">
          <xlrd:rvb i="6265"/>
        </ext>
      </extLst>
    </bk>
    <bk>
      <extLst>
        <ext uri="{3e2802c4-a4d2-4d8b-9148-e3be6c30e623}">
          <xlrd:rvb i="6266"/>
        </ext>
      </extLst>
    </bk>
    <bk>
      <extLst>
        <ext uri="{3e2802c4-a4d2-4d8b-9148-e3be6c30e623}">
          <xlrd:rvb i="6267"/>
        </ext>
      </extLst>
    </bk>
    <bk>
      <extLst>
        <ext uri="{3e2802c4-a4d2-4d8b-9148-e3be6c30e623}">
          <xlrd:rvb i="6268"/>
        </ext>
      </extLst>
    </bk>
    <bk>
      <extLst>
        <ext uri="{3e2802c4-a4d2-4d8b-9148-e3be6c30e623}">
          <xlrd:rvb i="6269"/>
        </ext>
      </extLst>
    </bk>
    <bk>
      <extLst>
        <ext uri="{3e2802c4-a4d2-4d8b-9148-e3be6c30e623}">
          <xlrd:rvb i="6270"/>
        </ext>
      </extLst>
    </bk>
    <bk>
      <extLst>
        <ext uri="{3e2802c4-a4d2-4d8b-9148-e3be6c30e623}">
          <xlrd:rvb i="6271"/>
        </ext>
      </extLst>
    </bk>
    <bk>
      <extLst>
        <ext uri="{3e2802c4-a4d2-4d8b-9148-e3be6c30e623}">
          <xlrd:rvb i="6272"/>
        </ext>
      </extLst>
    </bk>
    <bk>
      <extLst>
        <ext uri="{3e2802c4-a4d2-4d8b-9148-e3be6c30e623}">
          <xlrd:rvb i="6273"/>
        </ext>
      </extLst>
    </bk>
    <bk>
      <extLst>
        <ext uri="{3e2802c4-a4d2-4d8b-9148-e3be6c30e623}">
          <xlrd:rvb i="6274"/>
        </ext>
      </extLst>
    </bk>
    <bk>
      <extLst>
        <ext uri="{3e2802c4-a4d2-4d8b-9148-e3be6c30e623}">
          <xlrd:rvb i="6275"/>
        </ext>
      </extLst>
    </bk>
    <bk>
      <extLst>
        <ext uri="{3e2802c4-a4d2-4d8b-9148-e3be6c30e623}">
          <xlrd:rvb i="6276"/>
        </ext>
      </extLst>
    </bk>
    <bk>
      <extLst>
        <ext uri="{3e2802c4-a4d2-4d8b-9148-e3be6c30e623}">
          <xlrd:rvb i="6277"/>
        </ext>
      </extLst>
    </bk>
    <bk>
      <extLst>
        <ext uri="{3e2802c4-a4d2-4d8b-9148-e3be6c30e623}">
          <xlrd:rvb i="6278"/>
        </ext>
      </extLst>
    </bk>
    <bk>
      <extLst>
        <ext uri="{3e2802c4-a4d2-4d8b-9148-e3be6c30e623}">
          <xlrd:rvb i="6279"/>
        </ext>
      </extLst>
    </bk>
    <bk>
      <extLst>
        <ext uri="{3e2802c4-a4d2-4d8b-9148-e3be6c30e623}">
          <xlrd:rvb i="6280"/>
        </ext>
      </extLst>
    </bk>
    <bk>
      <extLst>
        <ext uri="{3e2802c4-a4d2-4d8b-9148-e3be6c30e623}">
          <xlrd:rvb i="6281"/>
        </ext>
      </extLst>
    </bk>
    <bk>
      <extLst>
        <ext uri="{3e2802c4-a4d2-4d8b-9148-e3be6c30e623}">
          <xlrd:rvb i="6282"/>
        </ext>
      </extLst>
    </bk>
    <bk>
      <extLst>
        <ext uri="{3e2802c4-a4d2-4d8b-9148-e3be6c30e623}">
          <xlrd:rvb i="6283"/>
        </ext>
      </extLst>
    </bk>
    <bk>
      <extLst>
        <ext uri="{3e2802c4-a4d2-4d8b-9148-e3be6c30e623}">
          <xlrd:rvb i="6284"/>
        </ext>
      </extLst>
    </bk>
    <bk>
      <extLst>
        <ext uri="{3e2802c4-a4d2-4d8b-9148-e3be6c30e623}">
          <xlrd:rvb i="6285"/>
        </ext>
      </extLst>
    </bk>
    <bk>
      <extLst>
        <ext uri="{3e2802c4-a4d2-4d8b-9148-e3be6c30e623}">
          <xlrd:rvb i="6286"/>
        </ext>
      </extLst>
    </bk>
    <bk>
      <extLst>
        <ext uri="{3e2802c4-a4d2-4d8b-9148-e3be6c30e623}">
          <xlrd:rvb i="6287"/>
        </ext>
      </extLst>
    </bk>
    <bk>
      <extLst>
        <ext uri="{3e2802c4-a4d2-4d8b-9148-e3be6c30e623}">
          <xlrd:rvb i="6288"/>
        </ext>
      </extLst>
    </bk>
    <bk>
      <extLst>
        <ext uri="{3e2802c4-a4d2-4d8b-9148-e3be6c30e623}">
          <xlrd:rvb i="6289"/>
        </ext>
      </extLst>
    </bk>
    <bk>
      <extLst>
        <ext uri="{3e2802c4-a4d2-4d8b-9148-e3be6c30e623}">
          <xlrd:rvb i="6290"/>
        </ext>
      </extLst>
    </bk>
    <bk>
      <extLst>
        <ext uri="{3e2802c4-a4d2-4d8b-9148-e3be6c30e623}">
          <xlrd:rvb i="6291"/>
        </ext>
      </extLst>
    </bk>
    <bk>
      <extLst>
        <ext uri="{3e2802c4-a4d2-4d8b-9148-e3be6c30e623}">
          <xlrd:rvb i="6292"/>
        </ext>
      </extLst>
    </bk>
    <bk>
      <extLst>
        <ext uri="{3e2802c4-a4d2-4d8b-9148-e3be6c30e623}">
          <xlrd:rvb i="6293"/>
        </ext>
      </extLst>
    </bk>
    <bk>
      <extLst>
        <ext uri="{3e2802c4-a4d2-4d8b-9148-e3be6c30e623}">
          <xlrd:rvb i="6294"/>
        </ext>
      </extLst>
    </bk>
    <bk>
      <extLst>
        <ext uri="{3e2802c4-a4d2-4d8b-9148-e3be6c30e623}">
          <xlrd:rvb i="6295"/>
        </ext>
      </extLst>
    </bk>
    <bk>
      <extLst>
        <ext uri="{3e2802c4-a4d2-4d8b-9148-e3be6c30e623}">
          <xlrd:rvb i="6296"/>
        </ext>
      </extLst>
    </bk>
    <bk>
      <extLst>
        <ext uri="{3e2802c4-a4d2-4d8b-9148-e3be6c30e623}">
          <xlrd:rvb i="6297"/>
        </ext>
      </extLst>
    </bk>
    <bk>
      <extLst>
        <ext uri="{3e2802c4-a4d2-4d8b-9148-e3be6c30e623}">
          <xlrd:rvb i="6298"/>
        </ext>
      </extLst>
    </bk>
    <bk>
      <extLst>
        <ext uri="{3e2802c4-a4d2-4d8b-9148-e3be6c30e623}">
          <xlrd:rvb i="6299"/>
        </ext>
      </extLst>
    </bk>
    <bk>
      <extLst>
        <ext uri="{3e2802c4-a4d2-4d8b-9148-e3be6c30e623}">
          <xlrd:rvb i="6300"/>
        </ext>
      </extLst>
    </bk>
    <bk>
      <extLst>
        <ext uri="{3e2802c4-a4d2-4d8b-9148-e3be6c30e623}">
          <xlrd:rvb i="6301"/>
        </ext>
      </extLst>
    </bk>
    <bk>
      <extLst>
        <ext uri="{3e2802c4-a4d2-4d8b-9148-e3be6c30e623}">
          <xlrd:rvb i="6302"/>
        </ext>
      </extLst>
    </bk>
    <bk>
      <extLst>
        <ext uri="{3e2802c4-a4d2-4d8b-9148-e3be6c30e623}">
          <xlrd:rvb i="6303"/>
        </ext>
      </extLst>
    </bk>
    <bk>
      <extLst>
        <ext uri="{3e2802c4-a4d2-4d8b-9148-e3be6c30e623}">
          <xlrd:rvb i="6304"/>
        </ext>
      </extLst>
    </bk>
    <bk>
      <extLst>
        <ext uri="{3e2802c4-a4d2-4d8b-9148-e3be6c30e623}">
          <xlrd:rvb i="6305"/>
        </ext>
      </extLst>
    </bk>
    <bk>
      <extLst>
        <ext uri="{3e2802c4-a4d2-4d8b-9148-e3be6c30e623}">
          <xlrd:rvb i="6306"/>
        </ext>
      </extLst>
    </bk>
    <bk>
      <extLst>
        <ext uri="{3e2802c4-a4d2-4d8b-9148-e3be6c30e623}">
          <xlrd:rvb i="6307"/>
        </ext>
      </extLst>
    </bk>
    <bk>
      <extLst>
        <ext uri="{3e2802c4-a4d2-4d8b-9148-e3be6c30e623}">
          <xlrd:rvb i="6308"/>
        </ext>
      </extLst>
    </bk>
    <bk>
      <extLst>
        <ext uri="{3e2802c4-a4d2-4d8b-9148-e3be6c30e623}">
          <xlrd:rvb i="6309"/>
        </ext>
      </extLst>
    </bk>
    <bk>
      <extLst>
        <ext uri="{3e2802c4-a4d2-4d8b-9148-e3be6c30e623}">
          <xlrd:rvb i="6310"/>
        </ext>
      </extLst>
    </bk>
    <bk>
      <extLst>
        <ext uri="{3e2802c4-a4d2-4d8b-9148-e3be6c30e623}">
          <xlrd:rvb i="6311"/>
        </ext>
      </extLst>
    </bk>
    <bk>
      <extLst>
        <ext uri="{3e2802c4-a4d2-4d8b-9148-e3be6c30e623}">
          <xlrd:rvb i="6312"/>
        </ext>
      </extLst>
    </bk>
    <bk>
      <extLst>
        <ext uri="{3e2802c4-a4d2-4d8b-9148-e3be6c30e623}">
          <xlrd:rvb i="6313"/>
        </ext>
      </extLst>
    </bk>
    <bk>
      <extLst>
        <ext uri="{3e2802c4-a4d2-4d8b-9148-e3be6c30e623}">
          <xlrd:rvb i="6314"/>
        </ext>
      </extLst>
    </bk>
    <bk>
      <extLst>
        <ext uri="{3e2802c4-a4d2-4d8b-9148-e3be6c30e623}">
          <xlrd:rvb i="6315"/>
        </ext>
      </extLst>
    </bk>
    <bk>
      <extLst>
        <ext uri="{3e2802c4-a4d2-4d8b-9148-e3be6c30e623}">
          <xlrd:rvb i="6316"/>
        </ext>
      </extLst>
    </bk>
    <bk>
      <extLst>
        <ext uri="{3e2802c4-a4d2-4d8b-9148-e3be6c30e623}">
          <xlrd:rvb i="6317"/>
        </ext>
      </extLst>
    </bk>
    <bk>
      <extLst>
        <ext uri="{3e2802c4-a4d2-4d8b-9148-e3be6c30e623}">
          <xlrd:rvb i="6318"/>
        </ext>
      </extLst>
    </bk>
    <bk>
      <extLst>
        <ext uri="{3e2802c4-a4d2-4d8b-9148-e3be6c30e623}">
          <xlrd:rvb i="6319"/>
        </ext>
      </extLst>
    </bk>
    <bk>
      <extLst>
        <ext uri="{3e2802c4-a4d2-4d8b-9148-e3be6c30e623}">
          <xlrd:rvb i="6320"/>
        </ext>
      </extLst>
    </bk>
    <bk>
      <extLst>
        <ext uri="{3e2802c4-a4d2-4d8b-9148-e3be6c30e623}">
          <xlrd:rvb i="6321"/>
        </ext>
      </extLst>
    </bk>
    <bk>
      <extLst>
        <ext uri="{3e2802c4-a4d2-4d8b-9148-e3be6c30e623}">
          <xlrd:rvb i="6322"/>
        </ext>
      </extLst>
    </bk>
    <bk>
      <extLst>
        <ext uri="{3e2802c4-a4d2-4d8b-9148-e3be6c30e623}">
          <xlrd:rvb i="6323"/>
        </ext>
      </extLst>
    </bk>
    <bk>
      <extLst>
        <ext uri="{3e2802c4-a4d2-4d8b-9148-e3be6c30e623}">
          <xlrd:rvb i="6324"/>
        </ext>
      </extLst>
    </bk>
    <bk>
      <extLst>
        <ext uri="{3e2802c4-a4d2-4d8b-9148-e3be6c30e623}">
          <xlrd:rvb i="6325"/>
        </ext>
      </extLst>
    </bk>
    <bk>
      <extLst>
        <ext uri="{3e2802c4-a4d2-4d8b-9148-e3be6c30e623}">
          <xlrd:rvb i="6326"/>
        </ext>
      </extLst>
    </bk>
    <bk>
      <extLst>
        <ext uri="{3e2802c4-a4d2-4d8b-9148-e3be6c30e623}">
          <xlrd:rvb i="6327"/>
        </ext>
      </extLst>
    </bk>
    <bk>
      <extLst>
        <ext uri="{3e2802c4-a4d2-4d8b-9148-e3be6c30e623}">
          <xlrd:rvb i="6328"/>
        </ext>
      </extLst>
    </bk>
    <bk>
      <extLst>
        <ext uri="{3e2802c4-a4d2-4d8b-9148-e3be6c30e623}">
          <xlrd:rvb i="6329"/>
        </ext>
      </extLst>
    </bk>
    <bk>
      <extLst>
        <ext uri="{3e2802c4-a4d2-4d8b-9148-e3be6c30e623}">
          <xlrd:rvb i="6330"/>
        </ext>
      </extLst>
    </bk>
    <bk>
      <extLst>
        <ext uri="{3e2802c4-a4d2-4d8b-9148-e3be6c30e623}">
          <xlrd:rvb i="6331"/>
        </ext>
      </extLst>
    </bk>
    <bk>
      <extLst>
        <ext uri="{3e2802c4-a4d2-4d8b-9148-e3be6c30e623}">
          <xlrd:rvb i="6332"/>
        </ext>
      </extLst>
    </bk>
    <bk>
      <extLst>
        <ext uri="{3e2802c4-a4d2-4d8b-9148-e3be6c30e623}">
          <xlrd:rvb i="6333"/>
        </ext>
      </extLst>
    </bk>
    <bk>
      <extLst>
        <ext uri="{3e2802c4-a4d2-4d8b-9148-e3be6c30e623}">
          <xlrd:rvb i="6334"/>
        </ext>
      </extLst>
    </bk>
    <bk>
      <extLst>
        <ext uri="{3e2802c4-a4d2-4d8b-9148-e3be6c30e623}">
          <xlrd:rvb i="6335"/>
        </ext>
      </extLst>
    </bk>
    <bk>
      <extLst>
        <ext uri="{3e2802c4-a4d2-4d8b-9148-e3be6c30e623}">
          <xlrd:rvb i="6336"/>
        </ext>
      </extLst>
    </bk>
    <bk>
      <extLst>
        <ext uri="{3e2802c4-a4d2-4d8b-9148-e3be6c30e623}">
          <xlrd:rvb i="6337"/>
        </ext>
      </extLst>
    </bk>
    <bk>
      <extLst>
        <ext uri="{3e2802c4-a4d2-4d8b-9148-e3be6c30e623}">
          <xlrd:rvb i="6338"/>
        </ext>
      </extLst>
    </bk>
    <bk>
      <extLst>
        <ext uri="{3e2802c4-a4d2-4d8b-9148-e3be6c30e623}">
          <xlrd:rvb i="6339"/>
        </ext>
      </extLst>
    </bk>
    <bk>
      <extLst>
        <ext uri="{3e2802c4-a4d2-4d8b-9148-e3be6c30e623}">
          <xlrd:rvb i="6340"/>
        </ext>
      </extLst>
    </bk>
    <bk>
      <extLst>
        <ext uri="{3e2802c4-a4d2-4d8b-9148-e3be6c30e623}">
          <xlrd:rvb i="6341"/>
        </ext>
      </extLst>
    </bk>
    <bk>
      <extLst>
        <ext uri="{3e2802c4-a4d2-4d8b-9148-e3be6c30e623}">
          <xlrd:rvb i="6342"/>
        </ext>
      </extLst>
    </bk>
    <bk>
      <extLst>
        <ext uri="{3e2802c4-a4d2-4d8b-9148-e3be6c30e623}">
          <xlrd:rvb i="6343"/>
        </ext>
      </extLst>
    </bk>
    <bk>
      <extLst>
        <ext uri="{3e2802c4-a4d2-4d8b-9148-e3be6c30e623}">
          <xlrd:rvb i="6344"/>
        </ext>
      </extLst>
    </bk>
    <bk>
      <extLst>
        <ext uri="{3e2802c4-a4d2-4d8b-9148-e3be6c30e623}">
          <xlrd:rvb i="6345"/>
        </ext>
      </extLst>
    </bk>
    <bk>
      <extLst>
        <ext uri="{3e2802c4-a4d2-4d8b-9148-e3be6c30e623}">
          <xlrd:rvb i="6346"/>
        </ext>
      </extLst>
    </bk>
    <bk>
      <extLst>
        <ext uri="{3e2802c4-a4d2-4d8b-9148-e3be6c30e623}">
          <xlrd:rvb i="6347"/>
        </ext>
      </extLst>
    </bk>
    <bk>
      <extLst>
        <ext uri="{3e2802c4-a4d2-4d8b-9148-e3be6c30e623}">
          <xlrd:rvb i="6348"/>
        </ext>
      </extLst>
    </bk>
    <bk>
      <extLst>
        <ext uri="{3e2802c4-a4d2-4d8b-9148-e3be6c30e623}">
          <xlrd:rvb i="6349"/>
        </ext>
      </extLst>
    </bk>
    <bk>
      <extLst>
        <ext uri="{3e2802c4-a4d2-4d8b-9148-e3be6c30e623}">
          <xlrd:rvb i="6350"/>
        </ext>
      </extLst>
    </bk>
    <bk>
      <extLst>
        <ext uri="{3e2802c4-a4d2-4d8b-9148-e3be6c30e623}">
          <xlrd:rvb i="6351"/>
        </ext>
      </extLst>
    </bk>
    <bk>
      <extLst>
        <ext uri="{3e2802c4-a4d2-4d8b-9148-e3be6c30e623}">
          <xlrd:rvb i="6352"/>
        </ext>
      </extLst>
    </bk>
    <bk>
      <extLst>
        <ext uri="{3e2802c4-a4d2-4d8b-9148-e3be6c30e623}">
          <xlrd:rvb i="6353"/>
        </ext>
      </extLst>
    </bk>
    <bk>
      <extLst>
        <ext uri="{3e2802c4-a4d2-4d8b-9148-e3be6c30e623}">
          <xlrd:rvb i="6354"/>
        </ext>
      </extLst>
    </bk>
    <bk>
      <extLst>
        <ext uri="{3e2802c4-a4d2-4d8b-9148-e3be6c30e623}">
          <xlrd:rvb i="6355"/>
        </ext>
      </extLst>
    </bk>
    <bk>
      <extLst>
        <ext uri="{3e2802c4-a4d2-4d8b-9148-e3be6c30e623}">
          <xlrd:rvb i="6356"/>
        </ext>
      </extLst>
    </bk>
    <bk>
      <extLst>
        <ext uri="{3e2802c4-a4d2-4d8b-9148-e3be6c30e623}">
          <xlrd:rvb i="6357"/>
        </ext>
      </extLst>
    </bk>
    <bk>
      <extLst>
        <ext uri="{3e2802c4-a4d2-4d8b-9148-e3be6c30e623}">
          <xlrd:rvb i="6358"/>
        </ext>
      </extLst>
    </bk>
    <bk>
      <extLst>
        <ext uri="{3e2802c4-a4d2-4d8b-9148-e3be6c30e623}">
          <xlrd:rvb i="6359"/>
        </ext>
      </extLst>
    </bk>
    <bk>
      <extLst>
        <ext uri="{3e2802c4-a4d2-4d8b-9148-e3be6c30e623}">
          <xlrd:rvb i="6360"/>
        </ext>
      </extLst>
    </bk>
    <bk>
      <extLst>
        <ext uri="{3e2802c4-a4d2-4d8b-9148-e3be6c30e623}">
          <xlrd:rvb i="6361"/>
        </ext>
      </extLst>
    </bk>
    <bk>
      <extLst>
        <ext uri="{3e2802c4-a4d2-4d8b-9148-e3be6c30e623}">
          <xlrd:rvb i="6362"/>
        </ext>
      </extLst>
    </bk>
    <bk>
      <extLst>
        <ext uri="{3e2802c4-a4d2-4d8b-9148-e3be6c30e623}">
          <xlrd:rvb i="6363"/>
        </ext>
      </extLst>
    </bk>
    <bk>
      <extLst>
        <ext uri="{3e2802c4-a4d2-4d8b-9148-e3be6c30e623}">
          <xlrd:rvb i="6364"/>
        </ext>
      </extLst>
    </bk>
    <bk>
      <extLst>
        <ext uri="{3e2802c4-a4d2-4d8b-9148-e3be6c30e623}">
          <xlrd:rvb i="6365"/>
        </ext>
      </extLst>
    </bk>
    <bk>
      <extLst>
        <ext uri="{3e2802c4-a4d2-4d8b-9148-e3be6c30e623}">
          <xlrd:rvb i="6366"/>
        </ext>
      </extLst>
    </bk>
    <bk>
      <extLst>
        <ext uri="{3e2802c4-a4d2-4d8b-9148-e3be6c30e623}">
          <xlrd:rvb i="6367"/>
        </ext>
      </extLst>
    </bk>
    <bk>
      <extLst>
        <ext uri="{3e2802c4-a4d2-4d8b-9148-e3be6c30e623}">
          <xlrd:rvb i="6368"/>
        </ext>
      </extLst>
    </bk>
    <bk>
      <extLst>
        <ext uri="{3e2802c4-a4d2-4d8b-9148-e3be6c30e623}">
          <xlrd:rvb i="6369"/>
        </ext>
      </extLst>
    </bk>
    <bk>
      <extLst>
        <ext uri="{3e2802c4-a4d2-4d8b-9148-e3be6c30e623}">
          <xlrd:rvb i="6370"/>
        </ext>
      </extLst>
    </bk>
    <bk>
      <extLst>
        <ext uri="{3e2802c4-a4d2-4d8b-9148-e3be6c30e623}">
          <xlrd:rvb i="6371"/>
        </ext>
      </extLst>
    </bk>
    <bk>
      <extLst>
        <ext uri="{3e2802c4-a4d2-4d8b-9148-e3be6c30e623}">
          <xlrd:rvb i="6372"/>
        </ext>
      </extLst>
    </bk>
    <bk>
      <extLst>
        <ext uri="{3e2802c4-a4d2-4d8b-9148-e3be6c30e623}">
          <xlrd:rvb i="6373"/>
        </ext>
      </extLst>
    </bk>
    <bk>
      <extLst>
        <ext uri="{3e2802c4-a4d2-4d8b-9148-e3be6c30e623}">
          <xlrd:rvb i="6374"/>
        </ext>
      </extLst>
    </bk>
    <bk>
      <extLst>
        <ext uri="{3e2802c4-a4d2-4d8b-9148-e3be6c30e623}">
          <xlrd:rvb i="6375"/>
        </ext>
      </extLst>
    </bk>
    <bk>
      <extLst>
        <ext uri="{3e2802c4-a4d2-4d8b-9148-e3be6c30e623}">
          <xlrd:rvb i="6376"/>
        </ext>
      </extLst>
    </bk>
    <bk>
      <extLst>
        <ext uri="{3e2802c4-a4d2-4d8b-9148-e3be6c30e623}">
          <xlrd:rvb i="6377"/>
        </ext>
      </extLst>
    </bk>
    <bk>
      <extLst>
        <ext uri="{3e2802c4-a4d2-4d8b-9148-e3be6c30e623}">
          <xlrd:rvb i="6378"/>
        </ext>
      </extLst>
    </bk>
    <bk>
      <extLst>
        <ext uri="{3e2802c4-a4d2-4d8b-9148-e3be6c30e623}">
          <xlrd:rvb i="6379"/>
        </ext>
      </extLst>
    </bk>
    <bk>
      <extLst>
        <ext uri="{3e2802c4-a4d2-4d8b-9148-e3be6c30e623}">
          <xlrd:rvb i="6380"/>
        </ext>
      </extLst>
    </bk>
    <bk>
      <extLst>
        <ext uri="{3e2802c4-a4d2-4d8b-9148-e3be6c30e623}">
          <xlrd:rvb i="6381"/>
        </ext>
      </extLst>
    </bk>
    <bk>
      <extLst>
        <ext uri="{3e2802c4-a4d2-4d8b-9148-e3be6c30e623}">
          <xlrd:rvb i="6382"/>
        </ext>
      </extLst>
    </bk>
    <bk>
      <extLst>
        <ext uri="{3e2802c4-a4d2-4d8b-9148-e3be6c30e623}">
          <xlrd:rvb i="6383"/>
        </ext>
      </extLst>
    </bk>
    <bk>
      <extLst>
        <ext uri="{3e2802c4-a4d2-4d8b-9148-e3be6c30e623}">
          <xlrd:rvb i="6384"/>
        </ext>
      </extLst>
    </bk>
    <bk>
      <extLst>
        <ext uri="{3e2802c4-a4d2-4d8b-9148-e3be6c30e623}">
          <xlrd:rvb i="6385"/>
        </ext>
      </extLst>
    </bk>
    <bk>
      <extLst>
        <ext uri="{3e2802c4-a4d2-4d8b-9148-e3be6c30e623}">
          <xlrd:rvb i="6386"/>
        </ext>
      </extLst>
    </bk>
    <bk>
      <extLst>
        <ext uri="{3e2802c4-a4d2-4d8b-9148-e3be6c30e623}">
          <xlrd:rvb i="6387"/>
        </ext>
      </extLst>
    </bk>
    <bk>
      <extLst>
        <ext uri="{3e2802c4-a4d2-4d8b-9148-e3be6c30e623}">
          <xlrd:rvb i="6388"/>
        </ext>
      </extLst>
    </bk>
    <bk>
      <extLst>
        <ext uri="{3e2802c4-a4d2-4d8b-9148-e3be6c30e623}">
          <xlrd:rvb i="6389"/>
        </ext>
      </extLst>
    </bk>
    <bk>
      <extLst>
        <ext uri="{3e2802c4-a4d2-4d8b-9148-e3be6c30e623}">
          <xlrd:rvb i="6390"/>
        </ext>
      </extLst>
    </bk>
    <bk>
      <extLst>
        <ext uri="{3e2802c4-a4d2-4d8b-9148-e3be6c30e623}">
          <xlrd:rvb i="6391"/>
        </ext>
      </extLst>
    </bk>
    <bk>
      <extLst>
        <ext uri="{3e2802c4-a4d2-4d8b-9148-e3be6c30e623}">
          <xlrd:rvb i="6392"/>
        </ext>
      </extLst>
    </bk>
    <bk>
      <extLst>
        <ext uri="{3e2802c4-a4d2-4d8b-9148-e3be6c30e623}">
          <xlrd:rvb i="6393"/>
        </ext>
      </extLst>
    </bk>
    <bk>
      <extLst>
        <ext uri="{3e2802c4-a4d2-4d8b-9148-e3be6c30e623}">
          <xlrd:rvb i="6394"/>
        </ext>
      </extLst>
    </bk>
    <bk>
      <extLst>
        <ext uri="{3e2802c4-a4d2-4d8b-9148-e3be6c30e623}">
          <xlrd:rvb i="6395"/>
        </ext>
      </extLst>
    </bk>
    <bk>
      <extLst>
        <ext uri="{3e2802c4-a4d2-4d8b-9148-e3be6c30e623}">
          <xlrd:rvb i="6396"/>
        </ext>
      </extLst>
    </bk>
    <bk>
      <extLst>
        <ext uri="{3e2802c4-a4d2-4d8b-9148-e3be6c30e623}">
          <xlrd:rvb i="6397"/>
        </ext>
      </extLst>
    </bk>
    <bk>
      <extLst>
        <ext uri="{3e2802c4-a4d2-4d8b-9148-e3be6c30e623}">
          <xlrd:rvb i="6398"/>
        </ext>
      </extLst>
    </bk>
    <bk>
      <extLst>
        <ext uri="{3e2802c4-a4d2-4d8b-9148-e3be6c30e623}">
          <xlrd:rvb i="6399"/>
        </ext>
      </extLst>
    </bk>
    <bk>
      <extLst>
        <ext uri="{3e2802c4-a4d2-4d8b-9148-e3be6c30e623}">
          <xlrd:rvb i="6400"/>
        </ext>
      </extLst>
    </bk>
    <bk>
      <extLst>
        <ext uri="{3e2802c4-a4d2-4d8b-9148-e3be6c30e623}">
          <xlrd:rvb i="6401"/>
        </ext>
      </extLst>
    </bk>
    <bk>
      <extLst>
        <ext uri="{3e2802c4-a4d2-4d8b-9148-e3be6c30e623}">
          <xlrd:rvb i="6402"/>
        </ext>
      </extLst>
    </bk>
    <bk>
      <extLst>
        <ext uri="{3e2802c4-a4d2-4d8b-9148-e3be6c30e623}">
          <xlrd:rvb i="6403"/>
        </ext>
      </extLst>
    </bk>
    <bk>
      <extLst>
        <ext uri="{3e2802c4-a4d2-4d8b-9148-e3be6c30e623}">
          <xlrd:rvb i="6404"/>
        </ext>
      </extLst>
    </bk>
    <bk>
      <extLst>
        <ext uri="{3e2802c4-a4d2-4d8b-9148-e3be6c30e623}">
          <xlrd:rvb i="6405"/>
        </ext>
      </extLst>
    </bk>
    <bk>
      <extLst>
        <ext uri="{3e2802c4-a4d2-4d8b-9148-e3be6c30e623}">
          <xlrd:rvb i="6406"/>
        </ext>
      </extLst>
    </bk>
    <bk>
      <extLst>
        <ext uri="{3e2802c4-a4d2-4d8b-9148-e3be6c30e623}">
          <xlrd:rvb i="6407"/>
        </ext>
      </extLst>
    </bk>
    <bk>
      <extLst>
        <ext uri="{3e2802c4-a4d2-4d8b-9148-e3be6c30e623}">
          <xlrd:rvb i="6408"/>
        </ext>
      </extLst>
    </bk>
    <bk>
      <extLst>
        <ext uri="{3e2802c4-a4d2-4d8b-9148-e3be6c30e623}">
          <xlrd:rvb i="6409"/>
        </ext>
      </extLst>
    </bk>
    <bk>
      <extLst>
        <ext uri="{3e2802c4-a4d2-4d8b-9148-e3be6c30e623}">
          <xlrd:rvb i="6410"/>
        </ext>
      </extLst>
    </bk>
    <bk>
      <extLst>
        <ext uri="{3e2802c4-a4d2-4d8b-9148-e3be6c30e623}">
          <xlrd:rvb i="6411"/>
        </ext>
      </extLst>
    </bk>
    <bk>
      <extLst>
        <ext uri="{3e2802c4-a4d2-4d8b-9148-e3be6c30e623}">
          <xlrd:rvb i="6412"/>
        </ext>
      </extLst>
    </bk>
    <bk>
      <extLst>
        <ext uri="{3e2802c4-a4d2-4d8b-9148-e3be6c30e623}">
          <xlrd:rvb i="6413"/>
        </ext>
      </extLst>
    </bk>
    <bk>
      <extLst>
        <ext uri="{3e2802c4-a4d2-4d8b-9148-e3be6c30e623}">
          <xlrd:rvb i="6414"/>
        </ext>
      </extLst>
    </bk>
    <bk>
      <extLst>
        <ext uri="{3e2802c4-a4d2-4d8b-9148-e3be6c30e623}">
          <xlrd:rvb i="6415"/>
        </ext>
      </extLst>
    </bk>
    <bk>
      <extLst>
        <ext uri="{3e2802c4-a4d2-4d8b-9148-e3be6c30e623}">
          <xlrd:rvb i="6416"/>
        </ext>
      </extLst>
    </bk>
    <bk>
      <extLst>
        <ext uri="{3e2802c4-a4d2-4d8b-9148-e3be6c30e623}">
          <xlrd:rvb i="6417"/>
        </ext>
      </extLst>
    </bk>
    <bk>
      <extLst>
        <ext uri="{3e2802c4-a4d2-4d8b-9148-e3be6c30e623}">
          <xlrd:rvb i="6418"/>
        </ext>
      </extLst>
    </bk>
    <bk>
      <extLst>
        <ext uri="{3e2802c4-a4d2-4d8b-9148-e3be6c30e623}">
          <xlrd:rvb i="6419"/>
        </ext>
      </extLst>
    </bk>
    <bk>
      <extLst>
        <ext uri="{3e2802c4-a4d2-4d8b-9148-e3be6c30e623}">
          <xlrd:rvb i="6420"/>
        </ext>
      </extLst>
    </bk>
    <bk>
      <extLst>
        <ext uri="{3e2802c4-a4d2-4d8b-9148-e3be6c30e623}">
          <xlrd:rvb i="6421"/>
        </ext>
      </extLst>
    </bk>
    <bk>
      <extLst>
        <ext uri="{3e2802c4-a4d2-4d8b-9148-e3be6c30e623}">
          <xlrd:rvb i="6422"/>
        </ext>
      </extLst>
    </bk>
    <bk>
      <extLst>
        <ext uri="{3e2802c4-a4d2-4d8b-9148-e3be6c30e623}">
          <xlrd:rvb i="6423"/>
        </ext>
      </extLst>
    </bk>
    <bk>
      <extLst>
        <ext uri="{3e2802c4-a4d2-4d8b-9148-e3be6c30e623}">
          <xlrd:rvb i="6424"/>
        </ext>
      </extLst>
    </bk>
    <bk>
      <extLst>
        <ext uri="{3e2802c4-a4d2-4d8b-9148-e3be6c30e623}">
          <xlrd:rvb i="6425"/>
        </ext>
      </extLst>
    </bk>
    <bk>
      <extLst>
        <ext uri="{3e2802c4-a4d2-4d8b-9148-e3be6c30e623}">
          <xlrd:rvb i="6426"/>
        </ext>
      </extLst>
    </bk>
    <bk>
      <extLst>
        <ext uri="{3e2802c4-a4d2-4d8b-9148-e3be6c30e623}">
          <xlrd:rvb i="6427"/>
        </ext>
      </extLst>
    </bk>
    <bk>
      <extLst>
        <ext uri="{3e2802c4-a4d2-4d8b-9148-e3be6c30e623}">
          <xlrd:rvb i="6428"/>
        </ext>
      </extLst>
    </bk>
    <bk>
      <extLst>
        <ext uri="{3e2802c4-a4d2-4d8b-9148-e3be6c30e623}">
          <xlrd:rvb i="6429"/>
        </ext>
      </extLst>
    </bk>
    <bk>
      <extLst>
        <ext uri="{3e2802c4-a4d2-4d8b-9148-e3be6c30e623}">
          <xlrd:rvb i="6430"/>
        </ext>
      </extLst>
    </bk>
    <bk>
      <extLst>
        <ext uri="{3e2802c4-a4d2-4d8b-9148-e3be6c30e623}">
          <xlrd:rvb i="6431"/>
        </ext>
      </extLst>
    </bk>
    <bk>
      <extLst>
        <ext uri="{3e2802c4-a4d2-4d8b-9148-e3be6c30e623}">
          <xlrd:rvb i="6432"/>
        </ext>
      </extLst>
    </bk>
    <bk>
      <extLst>
        <ext uri="{3e2802c4-a4d2-4d8b-9148-e3be6c30e623}">
          <xlrd:rvb i="6433"/>
        </ext>
      </extLst>
    </bk>
    <bk>
      <extLst>
        <ext uri="{3e2802c4-a4d2-4d8b-9148-e3be6c30e623}">
          <xlrd:rvb i="6434"/>
        </ext>
      </extLst>
    </bk>
    <bk>
      <extLst>
        <ext uri="{3e2802c4-a4d2-4d8b-9148-e3be6c30e623}">
          <xlrd:rvb i="6435"/>
        </ext>
      </extLst>
    </bk>
    <bk>
      <extLst>
        <ext uri="{3e2802c4-a4d2-4d8b-9148-e3be6c30e623}">
          <xlrd:rvb i="6436"/>
        </ext>
      </extLst>
    </bk>
    <bk>
      <extLst>
        <ext uri="{3e2802c4-a4d2-4d8b-9148-e3be6c30e623}">
          <xlrd:rvb i="6437"/>
        </ext>
      </extLst>
    </bk>
    <bk>
      <extLst>
        <ext uri="{3e2802c4-a4d2-4d8b-9148-e3be6c30e623}">
          <xlrd:rvb i="6438"/>
        </ext>
      </extLst>
    </bk>
    <bk>
      <extLst>
        <ext uri="{3e2802c4-a4d2-4d8b-9148-e3be6c30e623}">
          <xlrd:rvb i="6439"/>
        </ext>
      </extLst>
    </bk>
    <bk>
      <extLst>
        <ext uri="{3e2802c4-a4d2-4d8b-9148-e3be6c30e623}">
          <xlrd:rvb i="6440"/>
        </ext>
      </extLst>
    </bk>
    <bk>
      <extLst>
        <ext uri="{3e2802c4-a4d2-4d8b-9148-e3be6c30e623}">
          <xlrd:rvb i="6441"/>
        </ext>
      </extLst>
    </bk>
    <bk>
      <extLst>
        <ext uri="{3e2802c4-a4d2-4d8b-9148-e3be6c30e623}">
          <xlrd:rvb i="6442"/>
        </ext>
      </extLst>
    </bk>
    <bk>
      <extLst>
        <ext uri="{3e2802c4-a4d2-4d8b-9148-e3be6c30e623}">
          <xlrd:rvb i="6443"/>
        </ext>
      </extLst>
    </bk>
    <bk>
      <extLst>
        <ext uri="{3e2802c4-a4d2-4d8b-9148-e3be6c30e623}">
          <xlrd:rvb i="6444"/>
        </ext>
      </extLst>
    </bk>
    <bk>
      <extLst>
        <ext uri="{3e2802c4-a4d2-4d8b-9148-e3be6c30e623}">
          <xlrd:rvb i="6445"/>
        </ext>
      </extLst>
    </bk>
    <bk>
      <extLst>
        <ext uri="{3e2802c4-a4d2-4d8b-9148-e3be6c30e623}">
          <xlrd:rvb i="6446"/>
        </ext>
      </extLst>
    </bk>
    <bk>
      <extLst>
        <ext uri="{3e2802c4-a4d2-4d8b-9148-e3be6c30e623}">
          <xlrd:rvb i="6447"/>
        </ext>
      </extLst>
    </bk>
    <bk>
      <extLst>
        <ext uri="{3e2802c4-a4d2-4d8b-9148-e3be6c30e623}">
          <xlrd:rvb i="6448"/>
        </ext>
      </extLst>
    </bk>
    <bk>
      <extLst>
        <ext uri="{3e2802c4-a4d2-4d8b-9148-e3be6c30e623}">
          <xlrd:rvb i="6449"/>
        </ext>
      </extLst>
    </bk>
    <bk>
      <extLst>
        <ext uri="{3e2802c4-a4d2-4d8b-9148-e3be6c30e623}">
          <xlrd:rvb i="6450"/>
        </ext>
      </extLst>
    </bk>
    <bk>
      <extLst>
        <ext uri="{3e2802c4-a4d2-4d8b-9148-e3be6c30e623}">
          <xlrd:rvb i="6451"/>
        </ext>
      </extLst>
    </bk>
    <bk>
      <extLst>
        <ext uri="{3e2802c4-a4d2-4d8b-9148-e3be6c30e623}">
          <xlrd:rvb i="6452"/>
        </ext>
      </extLst>
    </bk>
    <bk>
      <extLst>
        <ext uri="{3e2802c4-a4d2-4d8b-9148-e3be6c30e623}">
          <xlrd:rvb i="6453"/>
        </ext>
      </extLst>
    </bk>
    <bk>
      <extLst>
        <ext uri="{3e2802c4-a4d2-4d8b-9148-e3be6c30e623}">
          <xlrd:rvb i="6454"/>
        </ext>
      </extLst>
    </bk>
    <bk>
      <extLst>
        <ext uri="{3e2802c4-a4d2-4d8b-9148-e3be6c30e623}">
          <xlrd:rvb i="6455"/>
        </ext>
      </extLst>
    </bk>
    <bk>
      <extLst>
        <ext uri="{3e2802c4-a4d2-4d8b-9148-e3be6c30e623}">
          <xlrd:rvb i="6456"/>
        </ext>
      </extLst>
    </bk>
    <bk>
      <extLst>
        <ext uri="{3e2802c4-a4d2-4d8b-9148-e3be6c30e623}">
          <xlrd:rvb i="6457"/>
        </ext>
      </extLst>
    </bk>
    <bk>
      <extLst>
        <ext uri="{3e2802c4-a4d2-4d8b-9148-e3be6c30e623}">
          <xlrd:rvb i="6458"/>
        </ext>
      </extLst>
    </bk>
    <bk>
      <extLst>
        <ext uri="{3e2802c4-a4d2-4d8b-9148-e3be6c30e623}">
          <xlrd:rvb i="6459"/>
        </ext>
      </extLst>
    </bk>
    <bk>
      <extLst>
        <ext uri="{3e2802c4-a4d2-4d8b-9148-e3be6c30e623}">
          <xlrd:rvb i="6460"/>
        </ext>
      </extLst>
    </bk>
    <bk>
      <extLst>
        <ext uri="{3e2802c4-a4d2-4d8b-9148-e3be6c30e623}">
          <xlrd:rvb i="6461"/>
        </ext>
      </extLst>
    </bk>
    <bk>
      <extLst>
        <ext uri="{3e2802c4-a4d2-4d8b-9148-e3be6c30e623}">
          <xlrd:rvb i="6462"/>
        </ext>
      </extLst>
    </bk>
    <bk>
      <extLst>
        <ext uri="{3e2802c4-a4d2-4d8b-9148-e3be6c30e623}">
          <xlrd:rvb i="6463"/>
        </ext>
      </extLst>
    </bk>
    <bk>
      <extLst>
        <ext uri="{3e2802c4-a4d2-4d8b-9148-e3be6c30e623}">
          <xlrd:rvb i="6464"/>
        </ext>
      </extLst>
    </bk>
    <bk>
      <extLst>
        <ext uri="{3e2802c4-a4d2-4d8b-9148-e3be6c30e623}">
          <xlrd:rvb i="6465"/>
        </ext>
      </extLst>
    </bk>
    <bk>
      <extLst>
        <ext uri="{3e2802c4-a4d2-4d8b-9148-e3be6c30e623}">
          <xlrd:rvb i="6466"/>
        </ext>
      </extLst>
    </bk>
    <bk>
      <extLst>
        <ext uri="{3e2802c4-a4d2-4d8b-9148-e3be6c30e623}">
          <xlrd:rvb i="6467"/>
        </ext>
      </extLst>
    </bk>
    <bk>
      <extLst>
        <ext uri="{3e2802c4-a4d2-4d8b-9148-e3be6c30e623}">
          <xlrd:rvb i="6468"/>
        </ext>
      </extLst>
    </bk>
    <bk>
      <extLst>
        <ext uri="{3e2802c4-a4d2-4d8b-9148-e3be6c30e623}">
          <xlrd:rvb i="6469"/>
        </ext>
      </extLst>
    </bk>
    <bk>
      <extLst>
        <ext uri="{3e2802c4-a4d2-4d8b-9148-e3be6c30e623}">
          <xlrd:rvb i="6470"/>
        </ext>
      </extLst>
    </bk>
    <bk>
      <extLst>
        <ext uri="{3e2802c4-a4d2-4d8b-9148-e3be6c30e623}">
          <xlrd:rvb i="6471"/>
        </ext>
      </extLst>
    </bk>
    <bk>
      <extLst>
        <ext uri="{3e2802c4-a4d2-4d8b-9148-e3be6c30e623}">
          <xlrd:rvb i="6472"/>
        </ext>
      </extLst>
    </bk>
    <bk>
      <extLst>
        <ext uri="{3e2802c4-a4d2-4d8b-9148-e3be6c30e623}">
          <xlrd:rvb i="6473"/>
        </ext>
      </extLst>
    </bk>
    <bk>
      <extLst>
        <ext uri="{3e2802c4-a4d2-4d8b-9148-e3be6c30e623}">
          <xlrd:rvb i="6474"/>
        </ext>
      </extLst>
    </bk>
    <bk>
      <extLst>
        <ext uri="{3e2802c4-a4d2-4d8b-9148-e3be6c30e623}">
          <xlrd:rvb i="6475"/>
        </ext>
      </extLst>
    </bk>
    <bk>
      <extLst>
        <ext uri="{3e2802c4-a4d2-4d8b-9148-e3be6c30e623}">
          <xlrd:rvb i="6476"/>
        </ext>
      </extLst>
    </bk>
    <bk>
      <extLst>
        <ext uri="{3e2802c4-a4d2-4d8b-9148-e3be6c30e623}">
          <xlrd:rvb i="6477"/>
        </ext>
      </extLst>
    </bk>
    <bk>
      <extLst>
        <ext uri="{3e2802c4-a4d2-4d8b-9148-e3be6c30e623}">
          <xlrd:rvb i="6478"/>
        </ext>
      </extLst>
    </bk>
    <bk>
      <extLst>
        <ext uri="{3e2802c4-a4d2-4d8b-9148-e3be6c30e623}">
          <xlrd:rvb i="6479"/>
        </ext>
      </extLst>
    </bk>
    <bk>
      <extLst>
        <ext uri="{3e2802c4-a4d2-4d8b-9148-e3be6c30e623}">
          <xlrd:rvb i="6480"/>
        </ext>
      </extLst>
    </bk>
    <bk>
      <extLst>
        <ext uri="{3e2802c4-a4d2-4d8b-9148-e3be6c30e623}">
          <xlrd:rvb i="6481"/>
        </ext>
      </extLst>
    </bk>
    <bk>
      <extLst>
        <ext uri="{3e2802c4-a4d2-4d8b-9148-e3be6c30e623}">
          <xlrd:rvb i="6482"/>
        </ext>
      </extLst>
    </bk>
    <bk>
      <extLst>
        <ext uri="{3e2802c4-a4d2-4d8b-9148-e3be6c30e623}">
          <xlrd:rvb i="6483"/>
        </ext>
      </extLst>
    </bk>
    <bk>
      <extLst>
        <ext uri="{3e2802c4-a4d2-4d8b-9148-e3be6c30e623}">
          <xlrd:rvb i="6484"/>
        </ext>
      </extLst>
    </bk>
    <bk>
      <extLst>
        <ext uri="{3e2802c4-a4d2-4d8b-9148-e3be6c30e623}">
          <xlrd:rvb i="6485"/>
        </ext>
      </extLst>
    </bk>
    <bk>
      <extLst>
        <ext uri="{3e2802c4-a4d2-4d8b-9148-e3be6c30e623}">
          <xlrd:rvb i="6486"/>
        </ext>
      </extLst>
    </bk>
    <bk>
      <extLst>
        <ext uri="{3e2802c4-a4d2-4d8b-9148-e3be6c30e623}">
          <xlrd:rvb i="6487"/>
        </ext>
      </extLst>
    </bk>
    <bk>
      <extLst>
        <ext uri="{3e2802c4-a4d2-4d8b-9148-e3be6c30e623}">
          <xlrd:rvb i="6488"/>
        </ext>
      </extLst>
    </bk>
    <bk>
      <extLst>
        <ext uri="{3e2802c4-a4d2-4d8b-9148-e3be6c30e623}">
          <xlrd:rvb i="6489"/>
        </ext>
      </extLst>
    </bk>
    <bk>
      <extLst>
        <ext uri="{3e2802c4-a4d2-4d8b-9148-e3be6c30e623}">
          <xlrd:rvb i="6490"/>
        </ext>
      </extLst>
    </bk>
    <bk>
      <extLst>
        <ext uri="{3e2802c4-a4d2-4d8b-9148-e3be6c30e623}">
          <xlrd:rvb i="6491"/>
        </ext>
      </extLst>
    </bk>
    <bk>
      <extLst>
        <ext uri="{3e2802c4-a4d2-4d8b-9148-e3be6c30e623}">
          <xlrd:rvb i="6492"/>
        </ext>
      </extLst>
    </bk>
    <bk>
      <extLst>
        <ext uri="{3e2802c4-a4d2-4d8b-9148-e3be6c30e623}">
          <xlrd:rvb i="6493"/>
        </ext>
      </extLst>
    </bk>
    <bk>
      <extLst>
        <ext uri="{3e2802c4-a4d2-4d8b-9148-e3be6c30e623}">
          <xlrd:rvb i="6494"/>
        </ext>
      </extLst>
    </bk>
    <bk>
      <extLst>
        <ext uri="{3e2802c4-a4d2-4d8b-9148-e3be6c30e623}">
          <xlrd:rvb i="6495"/>
        </ext>
      </extLst>
    </bk>
    <bk>
      <extLst>
        <ext uri="{3e2802c4-a4d2-4d8b-9148-e3be6c30e623}">
          <xlrd:rvb i="6496"/>
        </ext>
      </extLst>
    </bk>
    <bk>
      <extLst>
        <ext uri="{3e2802c4-a4d2-4d8b-9148-e3be6c30e623}">
          <xlrd:rvb i="6497"/>
        </ext>
      </extLst>
    </bk>
    <bk>
      <extLst>
        <ext uri="{3e2802c4-a4d2-4d8b-9148-e3be6c30e623}">
          <xlrd:rvb i="6498"/>
        </ext>
      </extLst>
    </bk>
    <bk>
      <extLst>
        <ext uri="{3e2802c4-a4d2-4d8b-9148-e3be6c30e623}">
          <xlrd:rvb i="6499"/>
        </ext>
      </extLst>
    </bk>
    <bk>
      <extLst>
        <ext uri="{3e2802c4-a4d2-4d8b-9148-e3be6c30e623}">
          <xlrd:rvb i="6500"/>
        </ext>
      </extLst>
    </bk>
    <bk>
      <extLst>
        <ext uri="{3e2802c4-a4d2-4d8b-9148-e3be6c30e623}">
          <xlrd:rvb i="6501"/>
        </ext>
      </extLst>
    </bk>
    <bk>
      <extLst>
        <ext uri="{3e2802c4-a4d2-4d8b-9148-e3be6c30e623}">
          <xlrd:rvb i="6502"/>
        </ext>
      </extLst>
    </bk>
    <bk>
      <extLst>
        <ext uri="{3e2802c4-a4d2-4d8b-9148-e3be6c30e623}">
          <xlrd:rvb i="6503"/>
        </ext>
      </extLst>
    </bk>
    <bk>
      <extLst>
        <ext uri="{3e2802c4-a4d2-4d8b-9148-e3be6c30e623}">
          <xlrd:rvb i="6504"/>
        </ext>
      </extLst>
    </bk>
    <bk>
      <extLst>
        <ext uri="{3e2802c4-a4d2-4d8b-9148-e3be6c30e623}">
          <xlrd:rvb i="6505"/>
        </ext>
      </extLst>
    </bk>
    <bk>
      <extLst>
        <ext uri="{3e2802c4-a4d2-4d8b-9148-e3be6c30e623}">
          <xlrd:rvb i="6506"/>
        </ext>
      </extLst>
    </bk>
    <bk>
      <extLst>
        <ext uri="{3e2802c4-a4d2-4d8b-9148-e3be6c30e623}">
          <xlrd:rvb i="6507"/>
        </ext>
      </extLst>
    </bk>
    <bk>
      <extLst>
        <ext uri="{3e2802c4-a4d2-4d8b-9148-e3be6c30e623}">
          <xlrd:rvb i="6508"/>
        </ext>
      </extLst>
    </bk>
    <bk>
      <extLst>
        <ext uri="{3e2802c4-a4d2-4d8b-9148-e3be6c30e623}">
          <xlrd:rvb i="6509"/>
        </ext>
      </extLst>
    </bk>
    <bk>
      <extLst>
        <ext uri="{3e2802c4-a4d2-4d8b-9148-e3be6c30e623}">
          <xlrd:rvb i="6510"/>
        </ext>
      </extLst>
    </bk>
    <bk>
      <extLst>
        <ext uri="{3e2802c4-a4d2-4d8b-9148-e3be6c30e623}">
          <xlrd:rvb i="6511"/>
        </ext>
      </extLst>
    </bk>
    <bk>
      <extLst>
        <ext uri="{3e2802c4-a4d2-4d8b-9148-e3be6c30e623}">
          <xlrd:rvb i="6512"/>
        </ext>
      </extLst>
    </bk>
    <bk>
      <extLst>
        <ext uri="{3e2802c4-a4d2-4d8b-9148-e3be6c30e623}">
          <xlrd:rvb i="6513"/>
        </ext>
      </extLst>
    </bk>
    <bk>
      <extLst>
        <ext uri="{3e2802c4-a4d2-4d8b-9148-e3be6c30e623}">
          <xlrd:rvb i="6514"/>
        </ext>
      </extLst>
    </bk>
    <bk>
      <extLst>
        <ext uri="{3e2802c4-a4d2-4d8b-9148-e3be6c30e623}">
          <xlrd:rvb i="6515"/>
        </ext>
      </extLst>
    </bk>
    <bk>
      <extLst>
        <ext uri="{3e2802c4-a4d2-4d8b-9148-e3be6c30e623}">
          <xlrd:rvb i="6516"/>
        </ext>
      </extLst>
    </bk>
    <bk>
      <extLst>
        <ext uri="{3e2802c4-a4d2-4d8b-9148-e3be6c30e623}">
          <xlrd:rvb i="6517"/>
        </ext>
      </extLst>
    </bk>
    <bk>
      <extLst>
        <ext uri="{3e2802c4-a4d2-4d8b-9148-e3be6c30e623}">
          <xlrd:rvb i="6518"/>
        </ext>
      </extLst>
    </bk>
    <bk>
      <extLst>
        <ext uri="{3e2802c4-a4d2-4d8b-9148-e3be6c30e623}">
          <xlrd:rvb i="6519"/>
        </ext>
      </extLst>
    </bk>
    <bk>
      <extLst>
        <ext uri="{3e2802c4-a4d2-4d8b-9148-e3be6c30e623}">
          <xlrd:rvb i="6520"/>
        </ext>
      </extLst>
    </bk>
    <bk>
      <extLst>
        <ext uri="{3e2802c4-a4d2-4d8b-9148-e3be6c30e623}">
          <xlrd:rvb i="6521"/>
        </ext>
      </extLst>
    </bk>
    <bk>
      <extLst>
        <ext uri="{3e2802c4-a4d2-4d8b-9148-e3be6c30e623}">
          <xlrd:rvb i="6522"/>
        </ext>
      </extLst>
    </bk>
    <bk>
      <extLst>
        <ext uri="{3e2802c4-a4d2-4d8b-9148-e3be6c30e623}">
          <xlrd:rvb i="6523"/>
        </ext>
      </extLst>
    </bk>
    <bk>
      <extLst>
        <ext uri="{3e2802c4-a4d2-4d8b-9148-e3be6c30e623}">
          <xlrd:rvb i="6524"/>
        </ext>
      </extLst>
    </bk>
    <bk>
      <extLst>
        <ext uri="{3e2802c4-a4d2-4d8b-9148-e3be6c30e623}">
          <xlrd:rvb i="6525"/>
        </ext>
      </extLst>
    </bk>
    <bk>
      <extLst>
        <ext uri="{3e2802c4-a4d2-4d8b-9148-e3be6c30e623}">
          <xlrd:rvb i="6526"/>
        </ext>
      </extLst>
    </bk>
    <bk>
      <extLst>
        <ext uri="{3e2802c4-a4d2-4d8b-9148-e3be6c30e623}">
          <xlrd:rvb i="6527"/>
        </ext>
      </extLst>
    </bk>
    <bk>
      <extLst>
        <ext uri="{3e2802c4-a4d2-4d8b-9148-e3be6c30e623}">
          <xlrd:rvb i="6528"/>
        </ext>
      </extLst>
    </bk>
    <bk>
      <extLst>
        <ext uri="{3e2802c4-a4d2-4d8b-9148-e3be6c30e623}">
          <xlrd:rvb i="6529"/>
        </ext>
      </extLst>
    </bk>
    <bk>
      <extLst>
        <ext uri="{3e2802c4-a4d2-4d8b-9148-e3be6c30e623}">
          <xlrd:rvb i="6530"/>
        </ext>
      </extLst>
    </bk>
    <bk>
      <extLst>
        <ext uri="{3e2802c4-a4d2-4d8b-9148-e3be6c30e623}">
          <xlrd:rvb i="6531"/>
        </ext>
      </extLst>
    </bk>
    <bk>
      <extLst>
        <ext uri="{3e2802c4-a4d2-4d8b-9148-e3be6c30e623}">
          <xlrd:rvb i="6532"/>
        </ext>
      </extLst>
    </bk>
    <bk>
      <extLst>
        <ext uri="{3e2802c4-a4d2-4d8b-9148-e3be6c30e623}">
          <xlrd:rvb i="6533"/>
        </ext>
      </extLst>
    </bk>
    <bk>
      <extLst>
        <ext uri="{3e2802c4-a4d2-4d8b-9148-e3be6c30e623}">
          <xlrd:rvb i="6534"/>
        </ext>
      </extLst>
    </bk>
    <bk>
      <extLst>
        <ext uri="{3e2802c4-a4d2-4d8b-9148-e3be6c30e623}">
          <xlrd:rvb i="6535"/>
        </ext>
      </extLst>
    </bk>
    <bk>
      <extLst>
        <ext uri="{3e2802c4-a4d2-4d8b-9148-e3be6c30e623}">
          <xlrd:rvb i="6536"/>
        </ext>
      </extLst>
    </bk>
    <bk>
      <extLst>
        <ext uri="{3e2802c4-a4d2-4d8b-9148-e3be6c30e623}">
          <xlrd:rvb i="6537"/>
        </ext>
      </extLst>
    </bk>
    <bk>
      <extLst>
        <ext uri="{3e2802c4-a4d2-4d8b-9148-e3be6c30e623}">
          <xlrd:rvb i="6538"/>
        </ext>
      </extLst>
    </bk>
    <bk>
      <extLst>
        <ext uri="{3e2802c4-a4d2-4d8b-9148-e3be6c30e623}">
          <xlrd:rvb i="6539"/>
        </ext>
      </extLst>
    </bk>
    <bk>
      <extLst>
        <ext uri="{3e2802c4-a4d2-4d8b-9148-e3be6c30e623}">
          <xlrd:rvb i="6540"/>
        </ext>
      </extLst>
    </bk>
    <bk>
      <extLst>
        <ext uri="{3e2802c4-a4d2-4d8b-9148-e3be6c30e623}">
          <xlrd:rvb i="6541"/>
        </ext>
      </extLst>
    </bk>
    <bk>
      <extLst>
        <ext uri="{3e2802c4-a4d2-4d8b-9148-e3be6c30e623}">
          <xlrd:rvb i="6542"/>
        </ext>
      </extLst>
    </bk>
    <bk>
      <extLst>
        <ext uri="{3e2802c4-a4d2-4d8b-9148-e3be6c30e623}">
          <xlrd:rvb i="6543"/>
        </ext>
      </extLst>
    </bk>
    <bk>
      <extLst>
        <ext uri="{3e2802c4-a4d2-4d8b-9148-e3be6c30e623}">
          <xlrd:rvb i="6544"/>
        </ext>
      </extLst>
    </bk>
    <bk>
      <extLst>
        <ext uri="{3e2802c4-a4d2-4d8b-9148-e3be6c30e623}">
          <xlrd:rvb i="6545"/>
        </ext>
      </extLst>
    </bk>
    <bk>
      <extLst>
        <ext uri="{3e2802c4-a4d2-4d8b-9148-e3be6c30e623}">
          <xlrd:rvb i="6546"/>
        </ext>
      </extLst>
    </bk>
    <bk>
      <extLst>
        <ext uri="{3e2802c4-a4d2-4d8b-9148-e3be6c30e623}">
          <xlrd:rvb i="6547"/>
        </ext>
      </extLst>
    </bk>
    <bk>
      <extLst>
        <ext uri="{3e2802c4-a4d2-4d8b-9148-e3be6c30e623}">
          <xlrd:rvb i="6548"/>
        </ext>
      </extLst>
    </bk>
    <bk>
      <extLst>
        <ext uri="{3e2802c4-a4d2-4d8b-9148-e3be6c30e623}">
          <xlrd:rvb i="6549"/>
        </ext>
      </extLst>
    </bk>
    <bk>
      <extLst>
        <ext uri="{3e2802c4-a4d2-4d8b-9148-e3be6c30e623}">
          <xlrd:rvb i="6550"/>
        </ext>
      </extLst>
    </bk>
    <bk>
      <extLst>
        <ext uri="{3e2802c4-a4d2-4d8b-9148-e3be6c30e623}">
          <xlrd:rvb i="6551"/>
        </ext>
      </extLst>
    </bk>
    <bk>
      <extLst>
        <ext uri="{3e2802c4-a4d2-4d8b-9148-e3be6c30e623}">
          <xlrd:rvb i="6552"/>
        </ext>
      </extLst>
    </bk>
    <bk>
      <extLst>
        <ext uri="{3e2802c4-a4d2-4d8b-9148-e3be6c30e623}">
          <xlrd:rvb i="6553"/>
        </ext>
      </extLst>
    </bk>
    <bk>
      <extLst>
        <ext uri="{3e2802c4-a4d2-4d8b-9148-e3be6c30e623}">
          <xlrd:rvb i="6554"/>
        </ext>
      </extLst>
    </bk>
    <bk>
      <extLst>
        <ext uri="{3e2802c4-a4d2-4d8b-9148-e3be6c30e623}">
          <xlrd:rvb i="6555"/>
        </ext>
      </extLst>
    </bk>
    <bk>
      <extLst>
        <ext uri="{3e2802c4-a4d2-4d8b-9148-e3be6c30e623}">
          <xlrd:rvb i="6556"/>
        </ext>
      </extLst>
    </bk>
    <bk>
      <extLst>
        <ext uri="{3e2802c4-a4d2-4d8b-9148-e3be6c30e623}">
          <xlrd:rvb i="6557"/>
        </ext>
      </extLst>
    </bk>
    <bk>
      <extLst>
        <ext uri="{3e2802c4-a4d2-4d8b-9148-e3be6c30e623}">
          <xlrd:rvb i="6558"/>
        </ext>
      </extLst>
    </bk>
    <bk>
      <extLst>
        <ext uri="{3e2802c4-a4d2-4d8b-9148-e3be6c30e623}">
          <xlrd:rvb i="6559"/>
        </ext>
      </extLst>
    </bk>
    <bk>
      <extLst>
        <ext uri="{3e2802c4-a4d2-4d8b-9148-e3be6c30e623}">
          <xlrd:rvb i="6560"/>
        </ext>
      </extLst>
    </bk>
    <bk>
      <extLst>
        <ext uri="{3e2802c4-a4d2-4d8b-9148-e3be6c30e623}">
          <xlrd:rvb i="6561"/>
        </ext>
      </extLst>
    </bk>
    <bk>
      <extLst>
        <ext uri="{3e2802c4-a4d2-4d8b-9148-e3be6c30e623}">
          <xlrd:rvb i="6562"/>
        </ext>
      </extLst>
    </bk>
    <bk>
      <extLst>
        <ext uri="{3e2802c4-a4d2-4d8b-9148-e3be6c30e623}">
          <xlrd:rvb i="6563"/>
        </ext>
      </extLst>
    </bk>
    <bk>
      <extLst>
        <ext uri="{3e2802c4-a4d2-4d8b-9148-e3be6c30e623}">
          <xlrd:rvb i="6564"/>
        </ext>
      </extLst>
    </bk>
    <bk>
      <extLst>
        <ext uri="{3e2802c4-a4d2-4d8b-9148-e3be6c30e623}">
          <xlrd:rvb i="6565"/>
        </ext>
      </extLst>
    </bk>
    <bk>
      <extLst>
        <ext uri="{3e2802c4-a4d2-4d8b-9148-e3be6c30e623}">
          <xlrd:rvb i="6566"/>
        </ext>
      </extLst>
    </bk>
    <bk>
      <extLst>
        <ext uri="{3e2802c4-a4d2-4d8b-9148-e3be6c30e623}">
          <xlrd:rvb i="6567"/>
        </ext>
      </extLst>
    </bk>
    <bk>
      <extLst>
        <ext uri="{3e2802c4-a4d2-4d8b-9148-e3be6c30e623}">
          <xlrd:rvb i="6568"/>
        </ext>
      </extLst>
    </bk>
    <bk>
      <extLst>
        <ext uri="{3e2802c4-a4d2-4d8b-9148-e3be6c30e623}">
          <xlrd:rvb i="6569"/>
        </ext>
      </extLst>
    </bk>
    <bk>
      <extLst>
        <ext uri="{3e2802c4-a4d2-4d8b-9148-e3be6c30e623}">
          <xlrd:rvb i="6570"/>
        </ext>
      </extLst>
    </bk>
    <bk>
      <extLst>
        <ext uri="{3e2802c4-a4d2-4d8b-9148-e3be6c30e623}">
          <xlrd:rvb i="6571"/>
        </ext>
      </extLst>
    </bk>
    <bk>
      <extLst>
        <ext uri="{3e2802c4-a4d2-4d8b-9148-e3be6c30e623}">
          <xlrd:rvb i="6572"/>
        </ext>
      </extLst>
    </bk>
    <bk>
      <extLst>
        <ext uri="{3e2802c4-a4d2-4d8b-9148-e3be6c30e623}">
          <xlrd:rvb i="6573"/>
        </ext>
      </extLst>
    </bk>
    <bk>
      <extLst>
        <ext uri="{3e2802c4-a4d2-4d8b-9148-e3be6c30e623}">
          <xlrd:rvb i="6574"/>
        </ext>
      </extLst>
    </bk>
    <bk>
      <extLst>
        <ext uri="{3e2802c4-a4d2-4d8b-9148-e3be6c30e623}">
          <xlrd:rvb i="6575"/>
        </ext>
      </extLst>
    </bk>
    <bk>
      <extLst>
        <ext uri="{3e2802c4-a4d2-4d8b-9148-e3be6c30e623}">
          <xlrd:rvb i="6576"/>
        </ext>
      </extLst>
    </bk>
    <bk>
      <extLst>
        <ext uri="{3e2802c4-a4d2-4d8b-9148-e3be6c30e623}">
          <xlrd:rvb i="6577"/>
        </ext>
      </extLst>
    </bk>
    <bk>
      <extLst>
        <ext uri="{3e2802c4-a4d2-4d8b-9148-e3be6c30e623}">
          <xlrd:rvb i="6578"/>
        </ext>
      </extLst>
    </bk>
    <bk>
      <extLst>
        <ext uri="{3e2802c4-a4d2-4d8b-9148-e3be6c30e623}">
          <xlrd:rvb i="6579"/>
        </ext>
      </extLst>
    </bk>
    <bk>
      <extLst>
        <ext uri="{3e2802c4-a4d2-4d8b-9148-e3be6c30e623}">
          <xlrd:rvb i="6580"/>
        </ext>
      </extLst>
    </bk>
    <bk>
      <extLst>
        <ext uri="{3e2802c4-a4d2-4d8b-9148-e3be6c30e623}">
          <xlrd:rvb i="6581"/>
        </ext>
      </extLst>
    </bk>
    <bk>
      <extLst>
        <ext uri="{3e2802c4-a4d2-4d8b-9148-e3be6c30e623}">
          <xlrd:rvb i="6582"/>
        </ext>
      </extLst>
    </bk>
    <bk>
      <extLst>
        <ext uri="{3e2802c4-a4d2-4d8b-9148-e3be6c30e623}">
          <xlrd:rvb i="6583"/>
        </ext>
      </extLst>
    </bk>
    <bk>
      <extLst>
        <ext uri="{3e2802c4-a4d2-4d8b-9148-e3be6c30e623}">
          <xlrd:rvb i="6584"/>
        </ext>
      </extLst>
    </bk>
    <bk>
      <extLst>
        <ext uri="{3e2802c4-a4d2-4d8b-9148-e3be6c30e623}">
          <xlrd:rvb i="6585"/>
        </ext>
      </extLst>
    </bk>
    <bk>
      <extLst>
        <ext uri="{3e2802c4-a4d2-4d8b-9148-e3be6c30e623}">
          <xlrd:rvb i="6586"/>
        </ext>
      </extLst>
    </bk>
    <bk>
      <extLst>
        <ext uri="{3e2802c4-a4d2-4d8b-9148-e3be6c30e623}">
          <xlrd:rvb i="6587"/>
        </ext>
      </extLst>
    </bk>
    <bk>
      <extLst>
        <ext uri="{3e2802c4-a4d2-4d8b-9148-e3be6c30e623}">
          <xlrd:rvb i="6588"/>
        </ext>
      </extLst>
    </bk>
    <bk>
      <extLst>
        <ext uri="{3e2802c4-a4d2-4d8b-9148-e3be6c30e623}">
          <xlrd:rvb i="6589"/>
        </ext>
      </extLst>
    </bk>
    <bk>
      <extLst>
        <ext uri="{3e2802c4-a4d2-4d8b-9148-e3be6c30e623}">
          <xlrd:rvb i="6590"/>
        </ext>
      </extLst>
    </bk>
    <bk>
      <extLst>
        <ext uri="{3e2802c4-a4d2-4d8b-9148-e3be6c30e623}">
          <xlrd:rvb i="6591"/>
        </ext>
      </extLst>
    </bk>
    <bk>
      <extLst>
        <ext uri="{3e2802c4-a4d2-4d8b-9148-e3be6c30e623}">
          <xlrd:rvb i="6592"/>
        </ext>
      </extLst>
    </bk>
    <bk>
      <extLst>
        <ext uri="{3e2802c4-a4d2-4d8b-9148-e3be6c30e623}">
          <xlrd:rvb i="6593"/>
        </ext>
      </extLst>
    </bk>
    <bk>
      <extLst>
        <ext uri="{3e2802c4-a4d2-4d8b-9148-e3be6c30e623}">
          <xlrd:rvb i="6594"/>
        </ext>
      </extLst>
    </bk>
    <bk>
      <extLst>
        <ext uri="{3e2802c4-a4d2-4d8b-9148-e3be6c30e623}">
          <xlrd:rvb i="6595"/>
        </ext>
      </extLst>
    </bk>
    <bk>
      <extLst>
        <ext uri="{3e2802c4-a4d2-4d8b-9148-e3be6c30e623}">
          <xlrd:rvb i="6596"/>
        </ext>
      </extLst>
    </bk>
    <bk>
      <extLst>
        <ext uri="{3e2802c4-a4d2-4d8b-9148-e3be6c30e623}">
          <xlrd:rvb i="6597"/>
        </ext>
      </extLst>
    </bk>
    <bk>
      <extLst>
        <ext uri="{3e2802c4-a4d2-4d8b-9148-e3be6c30e623}">
          <xlrd:rvb i="6598"/>
        </ext>
      </extLst>
    </bk>
    <bk>
      <extLst>
        <ext uri="{3e2802c4-a4d2-4d8b-9148-e3be6c30e623}">
          <xlrd:rvb i="6599"/>
        </ext>
      </extLst>
    </bk>
    <bk>
      <extLst>
        <ext uri="{3e2802c4-a4d2-4d8b-9148-e3be6c30e623}">
          <xlrd:rvb i="6600"/>
        </ext>
      </extLst>
    </bk>
    <bk>
      <extLst>
        <ext uri="{3e2802c4-a4d2-4d8b-9148-e3be6c30e623}">
          <xlrd:rvb i="6601"/>
        </ext>
      </extLst>
    </bk>
    <bk>
      <extLst>
        <ext uri="{3e2802c4-a4d2-4d8b-9148-e3be6c30e623}">
          <xlrd:rvb i="6602"/>
        </ext>
      </extLst>
    </bk>
    <bk>
      <extLst>
        <ext uri="{3e2802c4-a4d2-4d8b-9148-e3be6c30e623}">
          <xlrd:rvb i="6603"/>
        </ext>
      </extLst>
    </bk>
    <bk>
      <extLst>
        <ext uri="{3e2802c4-a4d2-4d8b-9148-e3be6c30e623}">
          <xlrd:rvb i="6604"/>
        </ext>
      </extLst>
    </bk>
    <bk>
      <extLst>
        <ext uri="{3e2802c4-a4d2-4d8b-9148-e3be6c30e623}">
          <xlrd:rvb i="6605"/>
        </ext>
      </extLst>
    </bk>
    <bk>
      <extLst>
        <ext uri="{3e2802c4-a4d2-4d8b-9148-e3be6c30e623}">
          <xlrd:rvb i="6606"/>
        </ext>
      </extLst>
    </bk>
    <bk>
      <extLst>
        <ext uri="{3e2802c4-a4d2-4d8b-9148-e3be6c30e623}">
          <xlrd:rvb i="6607"/>
        </ext>
      </extLst>
    </bk>
    <bk>
      <extLst>
        <ext uri="{3e2802c4-a4d2-4d8b-9148-e3be6c30e623}">
          <xlrd:rvb i="6608"/>
        </ext>
      </extLst>
    </bk>
    <bk>
      <extLst>
        <ext uri="{3e2802c4-a4d2-4d8b-9148-e3be6c30e623}">
          <xlrd:rvb i="6609"/>
        </ext>
      </extLst>
    </bk>
    <bk>
      <extLst>
        <ext uri="{3e2802c4-a4d2-4d8b-9148-e3be6c30e623}">
          <xlrd:rvb i="6610"/>
        </ext>
      </extLst>
    </bk>
    <bk>
      <extLst>
        <ext uri="{3e2802c4-a4d2-4d8b-9148-e3be6c30e623}">
          <xlrd:rvb i="6611"/>
        </ext>
      </extLst>
    </bk>
    <bk>
      <extLst>
        <ext uri="{3e2802c4-a4d2-4d8b-9148-e3be6c30e623}">
          <xlrd:rvb i="6612"/>
        </ext>
      </extLst>
    </bk>
    <bk>
      <extLst>
        <ext uri="{3e2802c4-a4d2-4d8b-9148-e3be6c30e623}">
          <xlrd:rvb i="6613"/>
        </ext>
      </extLst>
    </bk>
    <bk>
      <extLst>
        <ext uri="{3e2802c4-a4d2-4d8b-9148-e3be6c30e623}">
          <xlrd:rvb i="6614"/>
        </ext>
      </extLst>
    </bk>
    <bk>
      <extLst>
        <ext uri="{3e2802c4-a4d2-4d8b-9148-e3be6c30e623}">
          <xlrd:rvb i="6615"/>
        </ext>
      </extLst>
    </bk>
    <bk>
      <extLst>
        <ext uri="{3e2802c4-a4d2-4d8b-9148-e3be6c30e623}">
          <xlrd:rvb i="6616"/>
        </ext>
      </extLst>
    </bk>
    <bk>
      <extLst>
        <ext uri="{3e2802c4-a4d2-4d8b-9148-e3be6c30e623}">
          <xlrd:rvb i="6617"/>
        </ext>
      </extLst>
    </bk>
    <bk>
      <extLst>
        <ext uri="{3e2802c4-a4d2-4d8b-9148-e3be6c30e623}">
          <xlrd:rvb i="6618"/>
        </ext>
      </extLst>
    </bk>
    <bk>
      <extLst>
        <ext uri="{3e2802c4-a4d2-4d8b-9148-e3be6c30e623}">
          <xlrd:rvb i="6619"/>
        </ext>
      </extLst>
    </bk>
    <bk>
      <extLst>
        <ext uri="{3e2802c4-a4d2-4d8b-9148-e3be6c30e623}">
          <xlrd:rvb i="6620"/>
        </ext>
      </extLst>
    </bk>
    <bk>
      <extLst>
        <ext uri="{3e2802c4-a4d2-4d8b-9148-e3be6c30e623}">
          <xlrd:rvb i="6621"/>
        </ext>
      </extLst>
    </bk>
    <bk>
      <extLst>
        <ext uri="{3e2802c4-a4d2-4d8b-9148-e3be6c30e623}">
          <xlrd:rvb i="6622"/>
        </ext>
      </extLst>
    </bk>
    <bk>
      <extLst>
        <ext uri="{3e2802c4-a4d2-4d8b-9148-e3be6c30e623}">
          <xlrd:rvb i="6623"/>
        </ext>
      </extLst>
    </bk>
    <bk>
      <extLst>
        <ext uri="{3e2802c4-a4d2-4d8b-9148-e3be6c30e623}">
          <xlrd:rvb i="6624"/>
        </ext>
      </extLst>
    </bk>
    <bk>
      <extLst>
        <ext uri="{3e2802c4-a4d2-4d8b-9148-e3be6c30e623}">
          <xlrd:rvb i="6625"/>
        </ext>
      </extLst>
    </bk>
    <bk>
      <extLst>
        <ext uri="{3e2802c4-a4d2-4d8b-9148-e3be6c30e623}">
          <xlrd:rvb i="6626"/>
        </ext>
      </extLst>
    </bk>
    <bk>
      <extLst>
        <ext uri="{3e2802c4-a4d2-4d8b-9148-e3be6c30e623}">
          <xlrd:rvb i="6627"/>
        </ext>
      </extLst>
    </bk>
    <bk>
      <extLst>
        <ext uri="{3e2802c4-a4d2-4d8b-9148-e3be6c30e623}">
          <xlrd:rvb i="6628"/>
        </ext>
      </extLst>
    </bk>
    <bk>
      <extLst>
        <ext uri="{3e2802c4-a4d2-4d8b-9148-e3be6c30e623}">
          <xlrd:rvb i="6629"/>
        </ext>
      </extLst>
    </bk>
    <bk>
      <extLst>
        <ext uri="{3e2802c4-a4d2-4d8b-9148-e3be6c30e623}">
          <xlrd:rvb i="6630"/>
        </ext>
      </extLst>
    </bk>
    <bk>
      <extLst>
        <ext uri="{3e2802c4-a4d2-4d8b-9148-e3be6c30e623}">
          <xlrd:rvb i="6631"/>
        </ext>
      </extLst>
    </bk>
    <bk>
      <extLst>
        <ext uri="{3e2802c4-a4d2-4d8b-9148-e3be6c30e623}">
          <xlrd:rvb i="6632"/>
        </ext>
      </extLst>
    </bk>
    <bk>
      <extLst>
        <ext uri="{3e2802c4-a4d2-4d8b-9148-e3be6c30e623}">
          <xlrd:rvb i="6633"/>
        </ext>
      </extLst>
    </bk>
    <bk>
      <extLst>
        <ext uri="{3e2802c4-a4d2-4d8b-9148-e3be6c30e623}">
          <xlrd:rvb i="6634"/>
        </ext>
      </extLst>
    </bk>
    <bk>
      <extLst>
        <ext uri="{3e2802c4-a4d2-4d8b-9148-e3be6c30e623}">
          <xlrd:rvb i="6635"/>
        </ext>
      </extLst>
    </bk>
    <bk>
      <extLst>
        <ext uri="{3e2802c4-a4d2-4d8b-9148-e3be6c30e623}">
          <xlrd:rvb i="6636"/>
        </ext>
      </extLst>
    </bk>
    <bk>
      <extLst>
        <ext uri="{3e2802c4-a4d2-4d8b-9148-e3be6c30e623}">
          <xlrd:rvb i="6637"/>
        </ext>
      </extLst>
    </bk>
    <bk>
      <extLst>
        <ext uri="{3e2802c4-a4d2-4d8b-9148-e3be6c30e623}">
          <xlrd:rvb i="6638"/>
        </ext>
      </extLst>
    </bk>
    <bk>
      <extLst>
        <ext uri="{3e2802c4-a4d2-4d8b-9148-e3be6c30e623}">
          <xlrd:rvb i="6639"/>
        </ext>
      </extLst>
    </bk>
    <bk>
      <extLst>
        <ext uri="{3e2802c4-a4d2-4d8b-9148-e3be6c30e623}">
          <xlrd:rvb i="6640"/>
        </ext>
      </extLst>
    </bk>
    <bk>
      <extLst>
        <ext uri="{3e2802c4-a4d2-4d8b-9148-e3be6c30e623}">
          <xlrd:rvb i="6641"/>
        </ext>
      </extLst>
    </bk>
    <bk>
      <extLst>
        <ext uri="{3e2802c4-a4d2-4d8b-9148-e3be6c30e623}">
          <xlrd:rvb i="6642"/>
        </ext>
      </extLst>
    </bk>
    <bk>
      <extLst>
        <ext uri="{3e2802c4-a4d2-4d8b-9148-e3be6c30e623}">
          <xlrd:rvb i="6643"/>
        </ext>
      </extLst>
    </bk>
    <bk>
      <extLst>
        <ext uri="{3e2802c4-a4d2-4d8b-9148-e3be6c30e623}">
          <xlrd:rvb i="6644"/>
        </ext>
      </extLst>
    </bk>
    <bk>
      <extLst>
        <ext uri="{3e2802c4-a4d2-4d8b-9148-e3be6c30e623}">
          <xlrd:rvb i="6645"/>
        </ext>
      </extLst>
    </bk>
    <bk>
      <extLst>
        <ext uri="{3e2802c4-a4d2-4d8b-9148-e3be6c30e623}">
          <xlrd:rvb i="6646"/>
        </ext>
      </extLst>
    </bk>
    <bk>
      <extLst>
        <ext uri="{3e2802c4-a4d2-4d8b-9148-e3be6c30e623}">
          <xlrd:rvb i="6647"/>
        </ext>
      </extLst>
    </bk>
    <bk>
      <extLst>
        <ext uri="{3e2802c4-a4d2-4d8b-9148-e3be6c30e623}">
          <xlrd:rvb i="6648"/>
        </ext>
      </extLst>
    </bk>
    <bk>
      <extLst>
        <ext uri="{3e2802c4-a4d2-4d8b-9148-e3be6c30e623}">
          <xlrd:rvb i="6649"/>
        </ext>
      </extLst>
    </bk>
    <bk>
      <extLst>
        <ext uri="{3e2802c4-a4d2-4d8b-9148-e3be6c30e623}">
          <xlrd:rvb i="6650"/>
        </ext>
      </extLst>
    </bk>
    <bk>
      <extLst>
        <ext uri="{3e2802c4-a4d2-4d8b-9148-e3be6c30e623}">
          <xlrd:rvb i="6651"/>
        </ext>
      </extLst>
    </bk>
    <bk>
      <extLst>
        <ext uri="{3e2802c4-a4d2-4d8b-9148-e3be6c30e623}">
          <xlrd:rvb i="6652"/>
        </ext>
      </extLst>
    </bk>
    <bk>
      <extLst>
        <ext uri="{3e2802c4-a4d2-4d8b-9148-e3be6c30e623}">
          <xlrd:rvb i="6653"/>
        </ext>
      </extLst>
    </bk>
    <bk>
      <extLst>
        <ext uri="{3e2802c4-a4d2-4d8b-9148-e3be6c30e623}">
          <xlrd:rvb i="6654"/>
        </ext>
      </extLst>
    </bk>
    <bk>
      <extLst>
        <ext uri="{3e2802c4-a4d2-4d8b-9148-e3be6c30e623}">
          <xlrd:rvb i="6655"/>
        </ext>
      </extLst>
    </bk>
    <bk>
      <extLst>
        <ext uri="{3e2802c4-a4d2-4d8b-9148-e3be6c30e623}">
          <xlrd:rvb i="6656"/>
        </ext>
      </extLst>
    </bk>
    <bk>
      <extLst>
        <ext uri="{3e2802c4-a4d2-4d8b-9148-e3be6c30e623}">
          <xlrd:rvb i="6657"/>
        </ext>
      </extLst>
    </bk>
    <bk>
      <extLst>
        <ext uri="{3e2802c4-a4d2-4d8b-9148-e3be6c30e623}">
          <xlrd:rvb i="6658"/>
        </ext>
      </extLst>
    </bk>
    <bk>
      <extLst>
        <ext uri="{3e2802c4-a4d2-4d8b-9148-e3be6c30e623}">
          <xlrd:rvb i="6659"/>
        </ext>
      </extLst>
    </bk>
    <bk>
      <extLst>
        <ext uri="{3e2802c4-a4d2-4d8b-9148-e3be6c30e623}">
          <xlrd:rvb i="6660"/>
        </ext>
      </extLst>
    </bk>
    <bk>
      <extLst>
        <ext uri="{3e2802c4-a4d2-4d8b-9148-e3be6c30e623}">
          <xlrd:rvb i="6661"/>
        </ext>
      </extLst>
    </bk>
    <bk>
      <extLst>
        <ext uri="{3e2802c4-a4d2-4d8b-9148-e3be6c30e623}">
          <xlrd:rvb i="6662"/>
        </ext>
      </extLst>
    </bk>
    <bk>
      <extLst>
        <ext uri="{3e2802c4-a4d2-4d8b-9148-e3be6c30e623}">
          <xlrd:rvb i="6663"/>
        </ext>
      </extLst>
    </bk>
    <bk>
      <extLst>
        <ext uri="{3e2802c4-a4d2-4d8b-9148-e3be6c30e623}">
          <xlrd:rvb i="6664"/>
        </ext>
      </extLst>
    </bk>
    <bk>
      <extLst>
        <ext uri="{3e2802c4-a4d2-4d8b-9148-e3be6c30e623}">
          <xlrd:rvb i="6665"/>
        </ext>
      </extLst>
    </bk>
    <bk>
      <extLst>
        <ext uri="{3e2802c4-a4d2-4d8b-9148-e3be6c30e623}">
          <xlrd:rvb i="6666"/>
        </ext>
      </extLst>
    </bk>
    <bk>
      <extLst>
        <ext uri="{3e2802c4-a4d2-4d8b-9148-e3be6c30e623}">
          <xlrd:rvb i="6667"/>
        </ext>
      </extLst>
    </bk>
    <bk>
      <extLst>
        <ext uri="{3e2802c4-a4d2-4d8b-9148-e3be6c30e623}">
          <xlrd:rvb i="6668"/>
        </ext>
      </extLst>
    </bk>
    <bk>
      <extLst>
        <ext uri="{3e2802c4-a4d2-4d8b-9148-e3be6c30e623}">
          <xlrd:rvb i="6669"/>
        </ext>
      </extLst>
    </bk>
    <bk>
      <extLst>
        <ext uri="{3e2802c4-a4d2-4d8b-9148-e3be6c30e623}">
          <xlrd:rvb i="6670"/>
        </ext>
      </extLst>
    </bk>
    <bk>
      <extLst>
        <ext uri="{3e2802c4-a4d2-4d8b-9148-e3be6c30e623}">
          <xlrd:rvb i="6671"/>
        </ext>
      </extLst>
    </bk>
    <bk>
      <extLst>
        <ext uri="{3e2802c4-a4d2-4d8b-9148-e3be6c30e623}">
          <xlrd:rvb i="6672"/>
        </ext>
      </extLst>
    </bk>
    <bk>
      <extLst>
        <ext uri="{3e2802c4-a4d2-4d8b-9148-e3be6c30e623}">
          <xlrd:rvb i="6673"/>
        </ext>
      </extLst>
    </bk>
    <bk>
      <extLst>
        <ext uri="{3e2802c4-a4d2-4d8b-9148-e3be6c30e623}">
          <xlrd:rvb i="6674"/>
        </ext>
      </extLst>
    </bk>
    <bk>
      <extLst>
        <ext uri="{3e2802c4-a4d2-4d8b-9148-e3be6c30e623}">
          <xlrd:rvb i="6675"/>
        </ext>
      </extLst>
    </bk>
    <bk>
      <extLst>
        <ext uri="{3e2802c4-a4d2-4d8b-9148-e3be6c30e623}">
          <xlrd:rvb i="6676"/>
        </ext>
      </extLst>
    </bk>
    <bk>
      <extLst>
        <ext uri="{3e2802c4-a4d2-4d8b-9148-e3be6c30e623}">
          <xlrd:rvb i="6677"/>
        </ext>
      </extLst>
    </bk>
    <bk>
      <extLst>
        <ext uri="{3e2802c4-a4d2-4d8b-9148-e3be6c30e623}">
          <xlrd:rvb i="6678"/>
        </ext>
      </extLst>
    </bk>
    <bk>
      <extLst>
        <ext uri="{3e2802c4-a4d2-4d8b-9148-e3be6c30e623}">
          <xlrd:rvb i="6679"/>
        </ext>
      </extLst>
    </bk>
    <bk>
      <extLst>
        <ext uri="{3e2802c4-a4d2-4d8b-9148-e3be6c30e623}">
          <xlrd:rvb i="6680"/>
        </ext>
      </extLst>
    </bk>
    <bk>
      <extLst>
        <ext uri="{3e2802c4-a4d2-4d8b-9148-e3be6c30e623}">
          <xlrd:rvb i="6681"/>
        </ext>
      </extLst>
    </bk>
    <bk>
      <extLst>
        <ext uri="{3e2802c4-a4d2-4d8b-9148-e3be6c30e623}">
          <xlrd:rvb i="6682"/>
        </ext>
      </extLst>
    </bk>
    <bk>
      <extLst>
        <ext uri="{3e2802c4-a4d2-4d8b-9148-e3be6c30e623}">
          <xlrd:rvb i="6683"/>
        </ext>
      </extLst>
    </bk>
    <bk>
      <extLst>
        <ext uri="{3e2802c4-a4d2-4d8b-9148-e3be6c30e623}">
          <xlrd:rvb i="6684"/>
        </ext>
      </extLst>
    </bk>
    <bk>
      <extLst>
        <ext uri="{3e2802c4-a4d2-4d8b-9148-e3be6c30e623}">
          <xlrd:rvb i="6685"/>
        </ext>
      </extLst>
    </bk>
    <bk>
      <extLst>
        <ext uri="{3e2802c4-a4d2-4d8b-9148-e3be6c30e623}">
          <xlrd:rvb i="6686"/>
        </ext>
      </extLst>
    </bk>
    <bk>
      <extLst>
        <ext uri="{3e2802c4-a4d2-4d8b-9148-e3be6c30e623}">
          <xlrd:rvb i="6687"/>
        </ext>
      </extLst>
    </bk>
    <bk>
      <extLst>
        <ext uri="{3e2802c4-a4d2-4d8b-9148-e3be6c30e623}">
          <xlrd:rvb i="6688"/>
        </ext>
      </extLst>
    </bk>
    <bk>
      <extLst>
        <ext uri="{3e2802c4-a4d2-4d8b-9148-e3be6c30e623}">
          <xlrd:rvb i="6689"/>
        </ext>
      </extLst>
    </bk>
    <bk>
      <extLst>
        <ext uri="{3e2802c4-a4d2-4d8b-9148-e3be6c30e623}">
          <xlrd:rvb i="6690"/>
        </ext>
      </extLst>
    </bk>
    <bk>
      <extLst>
        <ext uri="{3e2802c4-a4d2-4d8b-9148-e3be6c30e623}">
          <xlrd:rvb i="6691"/>
        </ext>
      </extLst>
    </bk>
    <bk>
      <extLst>
        <ext uri="{3e2802c4-a4d2-4d8b-9148-e3be6c30e623}">
          <xlrd:rvb i="6692"/>
        </ext>
      </extLst>
    </bk>
    <bk>
      <extLst>
        <ext uri="{3e2802c4-a4d2-4d8b-9148-e3be6c30e623}">
          <xlrd:rvb i="6693"/>
        </ext>
      </extLst>
    </bk>
    <bk>
      <extLst>
        <ext uri="{3e2802c4-a4d2-4d8b-9148-e3be6c30e623}">
          <xlrd:rvb i="6694"/>
        </ext>
      </extLst>
    </bk>
    <bk>
      <extLst>
        <ext uri="{3e2802c4-a4d2-4d8b-9148-e3be6c30e623}">
          <xlrd:rvb i="6695"/>
        </ext>
      </extLst>
    </bk>
    <bk>
      <extLst>
        <ext uri="{3e2802c4-a4d2-4d8b-9148-e3be6c30e623}">
          <xlrd:rvb i="6696"/>
        </ext>
      </extLst>
    </bk>
    <bk>
      <extLst>
        <ext uri="{3e2802c4-a4d2-4d8b-9148-e3be6c30e623}">
          <xlrd:rvb i="6697"/>
        </ext>
      </extLst>
    </bk>
    <bk>
      <extLst>
        <ext uri="{3e2802c4-a4d2-4d8b-9148-e3be6c30e623}">
          <xlrd:rvb i="6698"/>
        </ext>
      </extLst>
    </bk>
    <bk>
      <extLst>
        <ext uri="{3e2802c4-a4d2-4d8b-9148-e3be6c30e623}">
          <xlrd:rvb i="6699"/>
        </ext>
      </extLst>
    </bk>
    <bk>
      <extLst>
        <ext uri="{3e2802c4-a4d2-4d8b-9148-e3be6c30e623}">
          <xlrd:rvb i="6700"/>
        </ext>
      </extLst>
    </bk>
    <bk>
      <extLst>
        <ext uri="{3e2802c4-a4d2-4d8b-9148-e3be6c30e623}">
          <xlrd:rvb i="6701"/>
        </ext>
      </extLst>
    </bk>
    <bk>
      <extLst>
        <ext uri="{3e2802c4-a4d2-4d8b-9148-e3be6c30e623}">
          <xlrd:rvb i="6702"/>
        </ext>
      </extLst>
    </bk>
    <bk>
      <extLst>
        <ext uri="{3e2802c4-a4d2-4d8b-9148-e3be6c30e623}">
          <xlrd:rvb i="6703"/>
        </ext>
      </extLst>
    </bk>
    <bk>
      <extLst>
        <ext uri="{3e2802c4-a4d2-4d8b-9148-e3be6c30e623}">
          <xlrd:rvb i="6704"/>
        </ext>
      </extLst>
    </bk>
    <bk>
      <extLst>
        <ext uri="{3e2802c4-a4d2-4d8b-9148-e3be6c30e623}">
          <xlrd:rvb i="6705"/>
        </ext>
      </extLst>
    </bk>
    <bk>
      <extLst>
        <ext uri="{3e2802c4-a4d2-4d8b-9148-e3be6c30e623}">
          <xlrd:rvb i="6706"/>
        </ext>
      </extLst>
    </bk>
    <bk>
      <extLst>
        <ext uri="{3e2802c4-a4d2-4d8b-9148-e3be6c30e623}">
          <xlrd:rvb i="6707"/>
        </ext>
      </extLst>
    </bk>
    <bk>
      <extLst>
        <ext uri="{3e2802c4-a4d2-4d8b-9148-e3be6c30e623}">
          <xlrd:rvb i="6708"/>
        </ext>
      </extLst>
    </bk>
    <bk>
      <extLst>
        <ext uri="{3e2802c4-a4d2-4d8b-9148-e3be6c30e623}">
          <xlrd:rvb i="6709"/>
        </ext>
      </extLst>
    </bk>
    <bk>
      <extLst>
        <ext uri="{3e2802c4-a4d2-4d8b-9148-e3be6c30e623}">
          <xlrd:rvb i="6710"/>
        </ext>
      </extLst>
    </bk>
    <bk>
      <extLst>
        <ext uri="{3e2802c4-a4d2-4d8b-9148-e3be6c30e623}">
          <xlrd:rvb i="6711"/>
        </ext>
      </extLst>
    </bk>
    <bk>
      <extLst>
        <ext uri="{3e2802c4-a4d2-4d8b-9148-e3be6c30e623}">
          <xlrd:rvb i="6712"/>
        </ext>
      </extLst>
    </bk>
    <bk>
      <extLst>
        <ext uri="{3e2802c4-a4d2-4d8b-9148-e3be6c30e623}">
          <xlrd:rvb i="6713"/>
        </ext>
      </extLst>
    </bk>
    <bk>
      <extLst>
        <ext uri="{3e2802c4-a4d2-4d8b-9148-e3be6c30e623}">
          <xlrd:rvb i="6714"/>
        </ext>
      </extLst>
    </bk>
    <bk>
      <extLst>
        <ext uri="{3e2802c4-a4d2-4d8b-9148-e3be6c30e623}">
          <xlrd:rvb i="6715"/>
        </ext>
      </extLst>
    </bk>
    <bk>
      <extLst>
        <ext uri="{3e2802c4-a4d2-4d8b-9148-e3be6c30e623}">
          <xlrd:rvb i="6716"/>
        </ext>
      </extLst>
    </bk>
    <bk>
      <extLst>
        <ext uri="{3e2802c4-a4d2-4d8b-9148-e3be6c30e623}">
          <xlrd:rvb i="6717"/>
        </ext>
      </extLst>
    </bk>
    <bk>
      <extLst>
        <ext uri="{3e2802c4-a4d2-4d8b-9148-e3be6c30e623}">
          <xlrd:rvb i="6718"/>
        </ext>
      </extLst>
    </bk>
    <bk>
      <extLst>
        <ext uri="{3e2802c4-a4d2-4d8b-9148-e3be6c30e623}">
          <xlrd:rvb i="6719"/>
        </ext>
      </extLst>
    </bk>
    <bk>
      <extLst>
        <ext uri="{3e2802c4-a4d2-4d8b-9148-e3be6c30e623}">
          <xlrd:rvb i="6720"/>
        </ext>
      </extLst>
    </bk>
    <bk>
      <extLst>
        <ext uri="{3e2802c4-a4d2-4d8b-9148-e3be6c30e623}">
          <xlrd:rvb i="6721"/>
        </ext>
      </extLst>
    </bk>
    <bk>
      <extLst>
        <ext uri="{3e2802c4-a4d2-4d8b-9148-e3be6c30e623}">
          <xlrd:rvb i="6722"/>
        </ext>
      </extLst>
    </bk>
    <bk>
      <extLst>
        <ext uri="{3e2802c4-a4d2-4d8b-9148-e3be6c30e623}">
          <xlrd:rvb i="6723"/>
        </ext>
      </extLst>
    </bk>
    <bk>
      <extLst>
        <ext uri="{3e2802c4-a4d2-4d8b-9148-e3be6c30e623}">
          <xlrd:rvb i="6724"/>
        </ext>
      </extLst>
    </bk>
    <bk>
      <extLst>
        <ext uri="{3e2802c4-a4d2-4d8b-9148-e3be6c30e623}">
          <xlrd:rvb i="6725"/>
        </ext>
      </extLst>
    </bk>
    <bk>
      <extLst>
        <ext uri="{3e2802c4-a4d2-4d8b-9148-e3be6c30e623}">
          <xlrd:rvb i="6726"/>
        </ext>
      </extLst>
    </bk>
    <bk>
      <extLst>
        <ext uri="{3e2802c4-a4d2-4d8b-9148-e3be6c30e623}">
          <xlrd:rvb i="6727"/>
        </ext>
      </extLst>
    </bk>
    <bk>
      <extLst>
        <ext uri="{3e2802c4-a4d2-4d8b-9148-e3be6c30e623}">
          <xlrd:rvb i="6728"/>
        </ext>
      </extLst>
    </bk>
    <bk>
      <extLst>
        <ext uri="{3e2802c4-a4d2-4d8b-9148-e3be6c30e623}">
          <xlrd:rvb i="6729"/>
        </ext>
      </extLst>
    </bk>
    <bk>
      <extLst>
        <ext uri="{3e2802c4-a4d2-4d8b-9148-e3be6c30e623}">
          <xlrd:rvb i="6730"/>
        </ext>
      </extLst>
    </bk>
    <bk>
      <extLst>
        <ext uri="{3e2802c4-a4d2-4d8b-9148-e3be6c30e623}">
          <xlrd:rvb i="6731"/>
        </ext>
      </extLst>
    </bk>
    <bk>
      <extLst>
        <ext uri="{3e2802c4-a4d2-4d8b-9148-e3be6c30e623}">
          <xlrd:rvb i="6732"/>
        </ext>
      </extLst>
    </bk>
    <bk>
      <extLst>
        <ext uri="{3e2802c4-a4d2-4d8b-9148-e3be6c30e623}">
          <xlrd:rvb i="6733"/>
        </ext>
      </extLst>
    </bk>
    <bk>
      <extLst>
        <ext uri="{3e2802c4-a4d2-4d8b-9148-e3be6c30e623}">
          <xlrd:rvb i="6734"/>
        </ext>
      </extLst>
    </bk>
    <bk>
      <extLst>
        <ext uri="{3e2802c4-a4d2-4d8b-9148-e3be6c30e623}">
          <xlrd:rvb i="6735"/>
        </ext>
      </extLst>
    </bk>
    <bk>
      <extLst>
        <ext uri="{3e2802c4-a4d2-4d8b-9148-e3be6c30e623}">
          <xlrd:rvb i="6736"/>
        </ext>
      </extLst>
    </bk>
    <bk>
      <extLst>
        <ext uri="{3e2802c4-a4d2-4d8b-9148-e3be6c30e623}">
          <xlrd:rvb i="6737"/>
        </ext>
      </extLst>
    </bk>
    <bk>
      <extLst>
        <ext uri="{3e2802c4-a4d2-4d8b-9148-e3be6c30e623}">
          <xlrd:rvb i="6738"/>
        </ext>
      </extLst>
    </bk>
    <bk>
      <extLst>
        <ext uri="{3e2802c4-a4d2-4d8b-9148-e3be6c30e623}">
          <xlrd:rvb i="6739"/>
        </ext>
      </extLst>
    </bk>
    <bk>
      <extLst>
        <ext uri="{3e2802c4-a4d2-4d8b-9148-e3be6c30e623}">
          <xlrd:rvb i="6740"/>
        </ext>
      </extLst>
    </bk>
    <bk>
      <extLst>
        <ext uri="{3e2802c4-a4d2-4d8b-9148-e3be6c30e623}">
          <xlrd:rvb i="6741"/>
        </ext>
      </extLst>
    </bk>
    <bk>
      <extLst>
        <ext uri="{3e2802c4-a4d2-4d8b-9148-e3be6c30e623}">
          <xlrd:rvb i="6742"/>
        </ext>
      </extLst>
    </bk>
    <bk>
      <extLst>
        <ext uri="{3e2802c4-a4d2-4d8b-9148-e3be6c30e623}">
          <xlrd:rvb i="6743"/>
        </ext>
      </extLst>
    </bk>
    <bk>
      <extLst>
        <ext uri="{3e2802c4-a4d2-4d8b-9148-e3be6c30e623}">
          <xlrd:rvb i="6744"/>
        </ext>
      </extLst>
    </bk>
    <bk>
      <extLst>
        <ext uri="{3e2802c4-a4d2-4d8b-9148-e3be6c30e623}">
          <xlrd:rvb i="6745"/>
        </ext>
      </extLst>
    </bk>
    <bk>
      <extLst>
        <ext uri="{3e2802c4-a4d2-4d8b-9148-e3be6c30e623}">
          <xlrd:rvb i="6746"/>
        </ext>
      </extLst>
    </bk>
    <bk>
      <extLst>
        <ext uri="{3e2802c4-a4d2-4d8b-9148-e3be6c30e623}">
          <xlrd:rvb i="6747"/>
        </ext>
      </extLst>
    </bk>
    <bk>
      <extLst>
        <ext uri="{3e2802c4-a4d2-4d8b-9148-e3be6c30e623}">
          <xlrd:rvb i="6748"/>
        </ext>
      </extLst>
    </bk>
    <bk>
      <extLst>
        <ext uri="{3e2802c4-a4d2-4d8b-9148-e3be6c30e623}">
          <xlrd:rvb i="6749"/>
        </ext>
      </extLst>
    </bk>
    <bk>
      <extLst>
        <ext uri="{3e2802c4-a4d2-4d8b-9148-e3be6c30e623}">
          <xlrd:rvb i="6750"/>
        </ext>
      </extLst>
    </bk>
    <bk>
      <extLst>
        <ext uri="{3e2802c4-a4d2-4d8b-9148-e3be6c30e623}">
          <xlrd:rvb i="6751"/>
        </ext>
      </extLst>
    </bk>
    <bk>
      <extLst>
        <ext uri="{3e2802c4-a4d2-4d8b-9148-e3be6c30e623}">
          <xlrd:rvb i="6752"/>
        </ext>
      </extLst>
    </bk>
    <bk>
      <extLst>
        <ext uri="{3e2802c4-a4d2-4d8b-9148-e3be6c30e623}">
          <xlrd:rvb i="6753"/>
        </ext>
      </extLst>
    </bk>
    <bk>
      <extLst>
        <ext uri="{3e2802c4-a4d2-4d8b-9148-e3be6c30e623}">
          <xlrd:rvb i="6754"/>
        </ext>
      </extLst>
    </bk>
    <bk>
      <extLst>
        <ext uri="{3e2802c4-a4d2-4d8b-9148-e3be6c30e623}">
          <xlrd:rvb i="6755"/>
        </ext>
      </extLst>
    </bk>
    <bk>
      <extLst>
        <ext uri="{3e2802c4-a4d2-4d8b-9148-e3be6c30e623}">
          <xlrd:rvb i="6756"/>
        </ext>
      </extLst>
    </bk>
    <bk>
      <extLst>
        <ext uri="{3e2802c4-a4d2-4d8b-9148-e3be6c30e623}">
          <xlrd:rvb i="6757"/>
        </ext>
      </extLst>
    </bk>
    <bk>
      <extLst>
        <ext uri="{3e2802c4-a4d2-4d8b-9148-e3be6c30e623}">
          <xlrd:rvb i="6758"/>
        </ext>
      </extLst>
    </bk>
    <bk>
      <extLst>
        <ext uri="{3e2802c4-a4d2-4d8b-9148-e3be6c30e623}">
          <xlrd:rvb i="6759"/>
        </ext>
      </extLst>
    </bk>
    <bk>
      <extLst>
        <ext uri="{3e2802c4-a4d2-4d8b-9148-e3be6c30e623}">
          <xlrd:rvb i="6760"/>
        </ext>
      </extLst>
    </bk>
    <bk>
      <extLst>
        <ext uri="{3e2802c4-a4d2-4d8b-9148-e3be6c30e623}">
          <xlrd:rvb i="6761"/>
        </ext>
      </extLst>
    </bk>
    <bk>
      <extLst>
        <ext uri="{3e2802c4-a4d2-4d8b-9148-e3be6c30e623}">
          <xlrd:rvb i="6762"/>
        </ext>
      </extLst>
    </bk>
    <bk>
      <extLst>
        <ext uri="{3e2802c4-a4d2-4d8b-9148-e3be6c30e623}">
          <xlrd:rvb i="6763"/>
        </ext>
      </extLst>
    </bk>
    <bk>
      <extLst>
        <ext uri="{3e2802c4-a4d2-4d8b-9148-e3be6c30e623}">
          <xlrd:rvb i="6764"/>
        </ext>
      </extLst>
    </bk>
    <bk>
      <extLst>
        <ext uri="{3e2802c4-a4d2-4d8b-9148-e3be6c30e623}">
          <xlrd:rvb i="6765"/>
        </ext>
      </extLst>
    </bk>
    <bk>
      <extLst>
        <ext uri="{3e2802c4-a4d2-4d8b-9148-e3be6c30e623}">
          <xlrd:rvb i="6766"/>
        </ext>
      </extLst>
    </bk>
    <bk>
      <extLst>
        <ext uri="{3e2802c4-a4d2-4d8b-9148-e3be6c30e623}">
          <xlrd:rvb i="6767"/>
        </ext>
      </extLst>
    </bk>
    <bk>
      <extLst>
        <ext uri="{3e2802c4-a4d2-4d8b-9148-e3be6c30e623}">
          <xlrd:rvb i="6768"/>
        </ext>
      </extLst>
    </bk>
    <bk>
      <extLst>
        <ext uri="{3e2802c4-a4d2-4d8b-9148-e3be6c30e623}">
          <xlrd:rvb i="6769"/>
        </ext>
      </extLst>
    </bk>
    <bk>
      <extLst>
        <ext uri="{3e2802c4-a4d2-4d8b-9148-e3be6c30e623}">
          <xlrd:rvb i="6770"/>
        </ext>
      </extLst>
    </bk>
    <bk>
      <extLst>
        <ext uri="{3e2802c4-a4d2-4d8b-9148-e3be6c30e623}">
          <xlrd:rvb i="6771"/>
        </ext>
      </extLst>
    </bk>
    <bk>
      <extLst>
        <ext uri="{3e2802c4-a4d2-4d8b-9148-e3be6c30e623}">
          <xlrd:rvb i="6772"/>
        </ext>
      </extLst>
    </bk>
    <bk>
      <extLst>
        <ext uri="{3e2802c4-a4d2-4d8b-9148-e3be6c30e623}">
          <xlrd:rvb i="6773"/>
        </ext>
      </extLst>
    </bk>
    <bk>
      <extLst>
        <ext uri="{3e2802c4-a4d2-4d8b-9148-e3be6c30e623}">
          <xlrd:rvb i="6774"/>
        </ext>
      </extLst>
    </bk>
    <bk>
      <extLst>
        <ext uri="{3e2802c4-a4d2-4d8b-9148-e3be6c30e623}">
          <xlrd:rvb i="6775"/>
        </ext>
      </extLst>
    </bk>
    <bk>
      <extLst>
        <ext uri="{3e2802c4-a4d2-4d8b-9148-e3be6c30e623}">
          <xlrd:rvb i="6776"/>
        </ext>
      </extLst>
    </bk>
    <bk>
      <extLst>
        <ext uri="{3e2802c4-a4d2-4d8b-9148-e3be6c30e623}">
          <xlrd:rvb i="6777"/>
        </ext>
      </extLst>
    </bk>
    <bk>
      <extLst>
        <ext uri="{3e2802c4-a4d2-4d8b-9148-e3be6c30e623}">
          <xlrd:rvb i="6778"/>
        </ext>
      </extLst>
    </bk>
    <bk>
      <extLst>
        <ext uri="{3e2802c4-a4d2-4d8b-9148-e3be6c30e623}">
          <xlrd:rvb i="6779"/>
        </ext>
      </extLst>
    </bk>
    <bk>
      <extLst>
        <ext uri="{3e2802c4-a4d2-4d8b-9148-e3be6c30e623}">
          <xlrd:rvb i="6780"/>
        </ext>
      </extLst>
    </bk>
    <bk>
      <extLst>
        <ext uri="{3e2802c4-a4d2-4d8b-9148-e3be6c30e623}">
          <xlrd:rvb i="6781"/>
        </ext>
      </extLst>
    </bk>
    <bk>
      <extLst>
        <ext uri="{3e2802c4-a4d2-4d8b-9148-e3be6c30e623}">
          <xlrd:rvb i="6782"/>
        </ext>
      </extLst>
    </bk>
    <bk>
      <extLst>
        <ext uri="{3e2802c4-a4d2-4d8b-9148-e3be6c30e623}">
          <xlrd:rvb i="6783"/>
        </ext>
      </extLst>
    </bk>
    <bk>
      <extLst>
        <ext uri="{3e2802c4-a4d2-4d8b-9148-e3be6c30e623}">
          <xlrd:rvb i="6784"/>
        </ext>
      </extLst>
    </bk>
    <bk>
      <extLst>
        <ext uri="{3e2802c4-a4d2-4d8b-9148-e3be6c30e623}">
          <xlrd:rvb i="6785"/>
        </ext>
      </extLst>
    </bk>
    <bk>
      <extLst>
        <ext uri="{3e2802c4-a4d2-4d8b-9148-e3be6c30e623}">
          <xlrd:rvb i="6786"/>
        </ext>
      </extLst>
    </bk>
    <bk>
      <extLst>
        <ext uri="{3e2802c4-a4d2-4d8b-9148-e3be6c30e623}">
          <xlrd:rvb i="6787"/>
        </ext>
      </extLst>
    </bk>
    <bk>
      <extLst>
        <ext uri="{3e2802c4-a4d2-4d8b-9148-e3be6c30e623}">
          <xlrd:rvb i="6788"/>
        </ext>
      </extLst>
    </bk>
    <bk>
      <extLst>
        <ext uri="{3e2802c4-a4d2-4d8b-9148-e3be6c30e623}">
          <xlrd:rvb i="6789"/>
        </ext>
      </extLst>
    </bk>
    <bk>
      <extLst>
        <ext uri="{3e2802c4-a4d2-4d8b-9148-e3be6c30e623}">
          <xlrd:rvb i="6790"/>
        </ext>
      </extLst>
    </bk>
    <bk>
      <extLst>
        <ext uri="{3e2802c4-a4d2-4d8b-9148-e3be6c30e623}">
          <xlrd:rvb i="6791"/>
        </ext>
      </extLst>
    </bk>
    <bk>
      <extLst>
        <ext uri="{3e2802c4-a4d2-4d8b-9148-e3be6c30e623}">
          <xlrd:rvb i="6792"/>
        </ext>
      </extLst>
    </bk>
    <bk>
      <extLst>
        <ext uri="{3e2802c4-a4d2-4d8b-9148-e3be6c30e623}">
          <xlrd:rvb i="6793"/>
        </ext>
      </extLst>
    </bk>
    <bk>
      <extLst>
        <ext uri="{3e2802c4-a4d2-4d8b-9148-e3be6c30e623}">
          <xlrd:rvb i="6794"/>
        </ext>
      </extLst>
    </bk>
    <bk>
      <extLst>
        <ext uri="{3e2802c4-a4d2-4d8b-9148-e3be6c30e623}">
          <xlrd:rvb i="6795"/>
        </ext>
      </extLst>
    </bk>
    <bk>
      <extLst>
        <ext uri="{3e2802c4-a4d2-4d8b-9148-e3be6c30e623}">
          <xlrd:rvb i="6796"/>
        </ext>
      </extLst>
    </bk>
    <bk>
      <extLst>
        <ext uri="{3e2802c4-a4d2-4d8b-9148-e3be6c30e623}">
          <xlrd:rvb i="6797"/>
        </ext>
      </extLst>
    </bk>
    <bk>
      <extLst>
        <ext uri="{3e2802c4-a4d2-4d8b-9148-e3be6c30e623}">
          <xlrd:rvb i="6798"/>
        </ext>
      </extLst>
    </bk>
    <bk>
      <extLst>
        <ext uri="{3e2802c4-a4d2-4d8b-9148-e3be6c30e623}">
          <xlrd:rvb i="6799"/>
        </ext>
      </extLst>
    </bk>
    <bk>
      <extLst>
        <ext uri="{3e2802c4-a4d2-4d8b-9148-e3be6c30e623}">
          <xlrd:rvb i="6800"/>
        </ext>
      </extLst>
    </bk>
    <bk>
      <extLst>
        <ext uri="{3e2802c4-a4d2-4d8b-9148-e3be6c30e623}">
          <xlrd:rvb i="6801"/>
        </ext>
      </extLst>
    </bk>
    <bk>
      <extLst>
        <ext uri="{3e2802c4-a4d2-4d8b-9148-e3be6c30e623}">
          <xlrd:rvb i="6802"/>
        </ext>
      </extLst>
    </bk>
    <bk>
      <extLst>
        <ext uri="{3e2802c4-a4d2-4d8b-9148-e3be6c30e623}">
          <xlrd:rvb i="6803"/>
        </ext>
      </extLst>
    </bk>
    <bk>
      <extLst>
        <ext uri="{3e2802c4-a4d2-4d8b-9148-e3be6c30e623}">
          <xlrd:rvb i="6804"/>
        </ext>
      </extLst>
    </bk>
    <bk>
      <extLst>
        <ext uri="{3e2802c4-a4d2-4d8b-9148-e3be6c30e623}">
          <xlrd:rvb i="6805"/>
        </ext>
      </extLst>
    </bk>
    <bk>
      <extLst>
        <ext uri="{3e2802c4-a4d2-4d8b-9148-e3be6c30e623}">
          <xlrd:rvb i="6806"/>
        </ext>
      </extLst>
    </bk>
    <bk>
      <extLst>
        <ext uri="{3e2802c4-a4d2-4d8b-9148-e3be6c30e623}">
          <xlrd:rvb i="6807"/>
        </ext>
      </extLst>
    </bk>
    <bk>
      <extLst>
        <ext uri="{3e2802c4-a4d2-4d8b-9148-e3be6c30e623}">
          <xlrd:rvb i="6808"/>
        </ext>
      </extLst>
    </bk>
    <bk>
      <extLst>
        <ext uri="{3e2802c4-a4d2-4d8b-9148-e3be6c30e623}">
          <xlrd:rvb i="6809"/>
        </ext>
      </extLst>
    </bk>
    <bk>
      <extLst>
        <ext uri="{3e2802c4-a4d2-4d8b-9148-e3be6c30e623}">
          <xlrd:rvb i="6810"/>
        </ext>
      </extLst>
    </bk>
    <bk>
      <extLst>
        <ext uri="{3e2802c4-a4d2-4d8b-9148-e3be6c30e623}">
          <xlrd:rvb i="6811"/>
        </ext>
      </extLst>
    </bk>
    <bk>
      <extLst>
        <ext uri="{3e2802c4-a4d2-4d8b-9148-e3be6c30e623}">
          <xlrd:rvb i="6812"/>
        </ext>
      </extLst>
    </bk>
    <bk>
      <extLst>
        <ext uri="{3e2802c4-a4d2-4d8b-9148-e3be6c30e623}">
          <xlrd:rvb i="6813"/>
        </ext>
      </extLst>
    </bk>
    <bk>
      <extLst>
        <ext uri="{3e2802c4-a4d2-4d8b-9148-e3be6c30e623}">
          <xlrd:rvb i="6814"/>
        </ext>
      </extLst>
    </bk>
    <bk>
      <extLst>
        <ext uri="{3e2802c4-a4d2-4d8b-9148-e3be6c30e623}">
          <xlrd:rvb i="6815"/>
        </ext>
      </extLst>
    </bk>
    <bk>
      <extLst>
        <ext uri="{3e2802c4-a4d2-4d8b-9148-e3be6c30e623}">
          <xlrd:rvb i="6816"/>
        </ext>
      </extLst>
    </bk>
    <bk>
      <extLst>
        <ext uri="{3e2802c4-a4d2-4d8b-9148-e3be6c30e623}">
          <xlrd:rvb i="6817"/>
        </ext>
      </extLst>
    </bk>
    <bk>
      <extLst>
        <ext uri="{3e2802c4-a4d2-4d8b-9148-e3be6c30e623}">
          <xlrd:rvb i="6818"/>
        </ext>
      </extLst>
    </bk>
    <bk>
      <extLst>
        <ext uri="{3e2802c4-a4d2-4d8b-9148-e3be6c30e623}">
          <xlrd:rvb i="6819"/>
        </ext>
      </extLst>
    </bk>
    <bk>
      <extLst>
        <ext uri="{3e2802c4-a4d2-4d8b-9148-e3be6c30e623}">
          <xlrd:rvb i="6820"/>
        </ext>
      </extLst>
    </bk>
    <bk>
      <extLst>
        <ext uri="{3e2802c4-a4d2-4d8b-9148-e3be6c30e623}">
          <xlrd:rvb i="6821"/>
        </ext>
      </extLst>
    </bk>
    <bk>
      <extLst>
        <ext uri="{3e2802c4-a4d2-4d8b-9148-e3be6c30e623}">
          <xlrd:rvb i="6822"/>
        </ext>
      </extLst>
    </bk>
    <bk>
      <extLst>
        <ext uri="{3e2802c4-a4d2-4d8b-9148-e3be6c30e623}">
          <xlrd:rvb i="6823"/>
        </ext>
      </extLst>
    </bk>
    <bk>
      <extLst>
        <ext uri="{3e2802c4-a4d2-4d8b-9148-e3be6c30e623}">
          <xlrd:rvb i="6824"/>
        </ext>
      </extLst>
    </bk>
    <bk>
      <extLst>
        <ext uri="{3e2802c4-a4d2-4d8b-9148-e3be6c30e623}">
          <xlrd:rvb i="6825"/>
        </ext>
      </extLst>
    </bk>
    <bk>
      <extLst>
        <ext uri="{3e2802c4-a4d2-4d8b-9148-e3be6c30e623}">
          <xlrd:rvb i="6826"/>
        </ext>
      </extLst>
    </bk>
    <bk>
      <extLst>
        <ext uri="{3e2802c4-a4d2-4d8b-9148-e3be6c30e623}">
          <xlrd:rvb i="6827"/>
        </ext>
      </extLst>
    </bk>
    <bk>
      <extLst>
        <ext uri="{3e2802c4-a4d2-4d8b-9148-e3be6c30e623}">
          <xlrd:rvb i="6828"/>
        </ext>
      </extLst>
    </bk>
    <bk>
      <extLst>
        <ext uri="{3e2802c4-a4d2-4d8b-9148-e3be6c30e623}">
          <xlrd:rvb i="6829"/>
        </ext>
      </extLst>
    </bk>
    <bk>
      <extLst>
        <ext uri="{3e2802c4-a4d2-4d8b-9148-e3be6c30e623}">
          <xlrd:rvb i="6830"/>
        </ext>
      </extLst>
    </bk>
    <bk>
      <extLst>
        <ext uri="{3e2802c4-a4d2-4d8b-9148-e3be6c30e623}">
          <xlrd:rvb i="6831"/>
        </ext>
      </extLst>
    </bk>
    <bk>
      <extLst>
        <ext uri="{3e2802c4-a4d2-4d8b-9148-e3be6c30e623}">
          <xlrd:rvb i="6832"/>
        </ext>
      </extLst>
    </bk>
    <bk>
      <extLst>
        <ext uri="{3e2802c4-a4d2-4d8b-9148-e3be6c30e623}">
          <xlrd:rvb i="6833"/>
        </ext>
      </extLst>
    </bk>
    <bk>
      <extLst>
        <ext uri="{3e2802c4-a4d2-4d8b-9148-e3be6c30e623}">
          <xlrd:rvb i="6834"/>
        </ext>
      </extLst>
    </bk>
    <bk>
      <extLst>
        <ext uri="{3e2802c4-a4d2-4d8b-9148-e3be6c30e623}">
          <xlrd:rvb i="6835"/>
        </ext>
      </extLst>
    </bk>
    <bk>
      <extLst>
        <ext uri="{3e2802c4-a4d2-4d8b-9148-e3be6c30e623}">
          <xlrd:rvb i="6836"/>
        </ext>
      </extLst>
    </bk>
    <bk>
      <extLst>
        <ext uri="{3e2802c4-a4d2-4d8b-9148-e3be6c30e623}">
          <xlrd:rvb i="6837"/>
        </ext>
      </extLst>
    </bk>
    <bk>
      <extLst>
        <ext uri="{3e2802c4-a4d2-4d8b-9148-e3be6c30e623}">
          <xlrd:rvb i="6838"/>
        </ext>
      </extLst>
    </bk>
    <bk>
      <extLst>
        <ext uri="{3e2802c4-a4d2-4d8b-9148-e3be6c30e623}">
          <xlrd:rvb i="6839"/>
        </ext>
      </extLst>
    </bk>
    <bk>
      <extLst>
        <ext uri="{3e2802c4-a4d2-4d8b-9148-e3be6c30e623}">
          <xlrd:rvb i="6840"/>
        </ext>
      </extLst>
    </bk>
    <bk>
      <extLst>
        <ext uri="{3e2802c4-a4d2-4d8b-9148-e3be6c30e623}">
          <xlrd:rvb i="6841"/>
        </ext>
      </extLst>
    </bk>
    <bk>
      <extLst>
        <ext uri="{3e2802c4-a4d2-4d8b-9148-e3be6c30e623}">
          <xlrd:rvb i="6842"/>
        </ext>
      </extLst>
    </bk>
    <bk>
      <extLst>
        <ext uri="{3e2802c4-a4d2-4d8b-9148-e3be6c30e623}">
          <xlrd:rvb i="6843"/>
        </ext>
      </extLst>
    </bk>
    <bk>
      <extLst>
        <ext uri="{3e2802c4-a4d2-4d8b-9148-e3be6c30e623}">
          <xlrd:rvb i="6844"/>
        </ext>
      </extLst>
    </bk>
    <bk>
      <extLst>
        <ext uri="{3e2802c4-a4d2-4d8b-9148-e3be6c30e623}">
          <xlrd:rvb i="6845"/>
        </ext>
      </extLst>
    </bk>
    <bk>
      <extLst>
        <ext uri="{3e2802c4-a4d2-4d8b-9148-e3be6c30e623}">
          <xlrd:rvb i="6846"/>
        </ext>
      </extLst>
    </bk>
    <bk>
      <extLst>
        <ext uri="{3e2802c4-a4d2-4d8b-9148-e3be6c30e623}">
          <xlrd:rvb i="6847"/>
        </ext>
      </extLst>
    </bk>
    <bk>
      <extLst>
        <ext uri="{3e2802c4-a4d2-4d8b-9148-e3be6c30e623}">
          <xlrd:rvb i="6848"/>
        </ext>
      </extLst>
    </bk>
    <bk>
      <extLst>
        <ext uri="{3e2802c4-a4d2-4d8b-9148-e3be6c30e623}">
          <xlrd:rvb i="6849"/>
        </ext>
      </extLst>
    </bk>
    <bk>
      <extLst>
        <ext uri="{3e2802c4-a4d2-4d8b-9148-e3be6c30e623}">
          <xlrd:rvb i="6850"/>
        </ext>
      </extLst>
    </bk>
    <bk>
      <extLst>
        <ext uri="{3e2802c4-a4d2-4d8b-9148-e3be6c30e623}">
          <xlrd:rvb i="6851"/>
        </ext>
      </extLst>
    </bk>
    <bk>
      <extLst>
        <ext uri="{3e2802c4-a4d2-4d8b-9148-e3be6c30e623}">
          <xlrd:rvb i="6852"/>
        </ext>
      </extLst>
    </bk>
    <bk>
      <extLst>
        <ext uri="{3e2802c4-a4d2-4d8b-9148-e3be6c30e623}">
          <xlrd:rvb i="6853"/>
        </ext>
      </extLst>
    </bk>
    <bk>
      <extLst>
        <ext uri="{3e2802c4-a4d2-4d8b-9148-e3be6c30e623}">
          <xlrd:rvb i="6854"/>
        </ext>
      </extLst>
    </bk>
    <bk>
      <extLst>
        <ext uri="{3e2802c4-a4d2-4d8b-9148-e3be6c30e623}">
          <xlrd:rvb i="6855"/>
        </ext>
      </extLst>
    </bk>
    <bk>
      <extLst>
        <ext uri="{3e2802c4-a4d2-4d8b-9148-e3be6c30e623}">
          <xlrd:rvb i="6856"/>
        </ext>
      </extLst>
    </bk>
    <bk>
      <extLst>
        <ext uri="{3e2802c4-a4d2-4d8b-9148-e3be6c30e623}">
          <xlrd:rvb i="6857"/>
        </ext>
      </extLst>
    </bk>
    <bk>
      <extLst>
        <ext uri="{3e2802c4-a4d2-4d8b-9148-e3be6c30e623}">
          <xlrd:rvb i="6858"/>
        </ext>
      </extLst>
    </bk>
    <bk>
      <extLst>
        <ext uri="{3e2802c4-a4d2-4d8b-9148-e3be6c30e623}">
          <xlrd:rvb i="6859"/>
        </ext>
      </extLst>
    </bk>
    <bk>
      <extLst>
        <ext uri="{3e2802c4-a4d2-4d8b-9148-e3be6c30e623}">
          <xlrd:rvb i="6860"/>
        </ext>
      </extLst>
    </bk>
    <bk>
      <extLst>
        <ext uri="{3e2802c4-a4d2-4d8b-9148-e3be6c30e623}">
          <xlrd:rvb i="6861"/>
        </ext>
      </extLst>
    </bk>
    <bk>
      <extLst>
        <ext uri="{3e2802c4-a4d2-4d8b-9148-e3be6c30e623}">
          <xlrd:rvb i="6862"/>
        </ext>
      </extLst>
    </bk>
    <bk>
      <extLst>
        <ext uri="{3e2802c4-a4d2-4d8b-9148-e3be6c30e623}">
          <xlrd:rvb i="6863"/>
        </ext>
      </extLst>
    </bk>
    <bk>
      <extLst>
        <ext uri="{3e2802c4-a4d2-4d8b-9148-e3be6c30e623}">
          <xlrd:rvb i="6864"/>
        </ext>
      </extLst>
    </bk>
    <bk>
      <extLst>
        <ext uri="{3e2802c4-a4d2-4d8b-9148-e3be6c30e623}">
          <xlrd:rvb i="6865"/>
        </ext>
      </extLst>
    </bk>
    <bk>
      <extLst>
        <ext uri="{3e2802c4-a4d2-4d8b-9148-e3be6c30e623}">
          <xlrd:rvb i="6866"/>
        </ext>
      </extLst>
    </bk>
    <bk>
      <extLst>
        <ext uri="{3e2802c4-a4d2-4d8b-9148-e3be6c30e623}">
          <xlrd:rvb i="6867"/>
        </ext>
      </extLst>
    </bk>
    <bk>
      <extLst>
        <ext uri="{3e2802c4-a4d2-4d8b-9148-e3be6c30e623}">
          <xlrd:rvb i="6868"/>
        </ext>
      </extLst>
    </bk>
    <bk>
      <extLst>
        <ext uri="{3e2802c4-a4d2-4d8b-9148-e3be6c30e623}">
          <xlrd:rvb i="6869"/>
        </ext>
      </extLst>
    </bk>
    <bk>
      <extLst>
        <ext uri="{3e2802c4-a4d2-4d8b-9148-e3be6c30e623}">
          <xlrd:rvb i="6870"/>
        </ext>
      </extLst>
    </bk>
    <bk>
      <extLst>
        <ext uri="{3e2802c4-a4d2-4d8b-9148-e3be6c30e623}">
          <xlrd:rvb i="6871"/>
        </ext>
      </extLst>
    </bk>
    <bk>
      <extLst>
        <ext uri="{3e2802c4-a4d2-4d8b-9148-e3be6c30e623}">
          <xlrd:rvb i="6872"/>
        </ext>
      </extLst>
    </bk>
    <bk>
      <extLst>
        <ext uri="{3e2802c4-a4d2-4d8b-9148-e3be6c30e623}">
          <xlrd:rvb i="6873"/>
        </ext>
      </extLst>
    </bk>
    <bk>
      <extLst>
        <ext uri="{3e2802c4-a4d2-4d8b-9148-e3be6c30e623}">
          <xlrd:rvb i="6874"/>
        </ext>
      </extLst>
    </bk>
    <bk>
      <extLst>
        <ext uri="{3e2802c4-a4d2-4d8b-9148-e3be6c30e623}">
          <xlrd:rvb i="6875"/>
        </ext>
      </extLst>
    </bk>
    <bk>
      <extLst>
        <ext uri="{3e2802c4-a4d2-4d8b-9148-e3be6c30e623}">
          <xlrd:rvb i="6876"/>
        </ext>
      </extLst>
    </bk>
    <bk>
      <extLst>
        <ext uri="{3e2802c4-a4d2-4d8b-9148-e3be6c30e623}">
          <xlrd:rvb i="6877"/>
        </ext>
      </extLst>
    </bk>
    <bk>
      <extLst>
        <ext uri="{3e2802c4-a4d2-4d8b-9148-e3be6c30e623}">
          <xlrd:rvb i="6878"/>
        </ext>
      </extLst>
    </bk>
    <bk>
      <extLst>
        <ext uri="{3e2802c4-a4d2-4d8b-9148-e3be6c30e623}">
          <xlrd:rvb i="6879"/>
        </ext>
      </extLst>
    </bk>
    <bk>
      <extLst>
        <ext uri="{3e2802c4-a4d2-4d8b-9148-e3be6c30e623}">
          <xlrd:rvb i="6880"/>
        </ext>
      </extLst>
    </bk>
    <bk>
      <extLst>
        <ext uri="{3e2802c4-a4d2-4d8b-9148-e3be6c30e623}">
          <xlrd:rvb i="6881"/>
        </ext>
      </extLst>
    </bk>
    <bk>
      <extLst>
        <ext uri="{3e2802c4-a4d2-4d8b-9148-e3be6c30e623}">
          <xlrd:rvb i="6882"/>
        </ext>
      </extLst>
    </bk>
    <bk>
      <extLst>
        <ext uri="{3e2802c4-a4d2-4d8b-9148-e3be6c30e623}">
          <xlrd:rvb i="6883"/>
        </ext>
      </extLst>
    </bk>
    <bk>
      <extLst>
        <ext uri="{3e2802c4-a4d2-4d8b-9148-e3be6c30e623}">
          <xlrd:rvb i="6884"/>
        </ext>
      </extLst>
    </bk>
    <bk>
      <extLst>
        <ext uri="{3e2802c4-a4d2-4d8b-9148-e3be6c30e623}">
          <xlrd:rvb i="6885"/>
        </ext>
      </extLst>
    </bk>
    <bk>
      <extLst>
        <ext uri="{3e2802c4-a4d2-4d8b-9148-e3be6c30e623}">
          <xlrd:rvb i="6886"/>
        </ext>
      </extLst>
    </bk>
    <bk>
      <extLst>
        <ext uri="{3e2802c4-a4d2-4d8b-9148-e3be6c30e623}">
          <xlrd:rvb i="6887"/>
        </ext>
      </extLst>
    </bk>
    <bk>
      <extLst>
        <ext uri="{3e2802c4-a4d2-4d8b-9148-e3be6c30e623}">
          <xlrd:rvb i="6888"/>
        </ext>
      </extLst>
    </bk>
    <bk>
      <extLst>
        <ext uri="{3e2802c4-a4d2-4d8b-9148-e3be6c30e623}">
          <xlrd:rvb i="6889"/>
        </ext>
      </extLst>
    </bk>
    <bk>
      <extLst>
        <ext uri="{3e2802c4-a4d2-4d8b-9148-e3be6c30e623}">
          <xlrd:rvb i="6890"/>
        </ext>
      </extLst>
    </bk>
    <bk>
      <extLst>
        <ext uri="{3e2802c4-a4d2-4d8b-9148-e3be6c30e623}">
          <xlrd:rvb i="6891"/>
        </ext>
      </extLst>
    </bk>
    <bk>
      <extLst>
        <ext uri="{3e2802c4-a4d2-4d8b-9148-e3be6c30e623}">
          <xlrd:rvb i="6892"/>
        </ext>
      </extLst>
    </bk>
    <bk>
      <extLst>
        <ext uri="{3e2802c4-a4d2-4d8b-9148-e3be6c30e623}">
          <xlrd:rvb i="6893"/>
        </ext>
      </extLst>
    </bk>
    <bk>
      <extLst>
        <ext uri="{3e2802c4-a4d2-4d8b-9148-e3be6c30e623}">
          <xlrd:rvb i="6894"/>
        </ext>
      </extLst>
    </bk>
    <bk>
      <extLst>
        <ext uri="{3e2802c4-a4d2-4d8b-9148-e3be6c30e623}">
          <xlrd:rvb i="6895"/>
        </ext>
      </extLst>
    </bk>
    <bk>
      <extLst>
        <ext uri="{3e2802c4-a4d2-4d8b-9148-e3be6c30e623}">
          <xlrd:rvb i="6896"/>
        </ext>
      </extLst>
    </bk>
    <bk>
      <extLst>
        <ext uri="{3e2802c4-a4d2-4d8b-9148-e3be6c30e623}">
          <xlrd:rvb i="6897"/>
        </ext>
      </extLst>
    </bk>
    <bk>
      <extLst>
        <ext uri="{3e2802c4-a4d2-4d8b-9148-e3be6c30e623}">
          <xlrd:rvb i="6898"/>
        </ext>
      </extLst>
    </bk>
    <bk>
      <extLst>
        <ext uri="{3e2802c4-a4d2-4d8b-9148-e3be6c30e623}">
          <xlrd:rvb i="6899"/>
        </ext>
      </extLst>
    </bk>
    <bk>
      <extLst>
        <ext uri="{3e2802c4-a4d2-4d8b-9148-e3be6c30e623}">
          <xlrd:rvb i="6900"/>
        </ext>
      </extLst>
    </bk>
    <bk>
      <extLst>
        <ext uri="{3e2802c4-a4d2-4d8b-9148-e3be6c30e623}">
          <xlrd:rvb i="6901"/>
        </ext>
      </extLst>
    </bk>
    <bk>
      <extLst>
        <ext uri="{3e2802c4-a4d2-4d8b-9148-e3be6c30e623}">
          <xlrd:rvb i="6902"/>
        </ext>
      </extLst>
    </bk>
    <bk>
      <extLst>
        <ext uri="{3e2802c4-a4d2-4d8b-9148-e3be6c30e623}">
          <xlrd:rvb i="6903"/>
        </ext>
      </extLst>
    </bk>
    <bk>
      <extLst>
        <ext uri="{3e2802c4-a4d2-4d8b-9148-e3be6c30e623}">
          <xlrd:rvb i="6904"/>
        </ext>
      </extLst>
    </bk>
    <bk>
      <extLst>
        <ext uri="{3e2802c4-a4d2-4d8b-9148-e3be6c30e623}">
          <xlrd:rvb i="6905"/>
        </ext>
      </extLst>
    </bk>
    <bk>
      <extLst>
        <ext uri="{3e2802c4-a4d2-4d8b-9148-e3be6c30e623}">
          <xlrd:rvb i="6906"/>
        </ext>
      </extLst>
    </bk>
    <bk>
      <extLst>
        <ext uri="{3e2802c4-a4d2-4d8b-9148-e3be6c30e623}">
          <xlrd:rvb i="6907"/>
        </ext>
      </extLst>
    </bk>
    <bk>
      <extLst>
        <ext uri="{3e2802c4-a4d2-4d8b-9148-e3be6c30e623}">
          <xlrd:rvb i="6908"/>
        </ext>
      </extLst>
    </bk>
    <bk>
      <extLst>
        <ext uri="{3e2802c4-a4d2-4d8b-9148-e3be6c30e623}">
          <xlrd:rvb i="6909"/>
        </ext>
      </extLst>
    </bk>
    <bk>
      <extLst>
        <ext uri="{3e2802c4-a4d2-4d8b-9148-e3be6c30e623}">
          <xlrd:rvb i="6910"/>
        </ext>
      </extLst>
    </bk>
    <bk>
      <extLst>
        <ext uri="{3e2802c4-a4d2-4d8b-9148-e3be6c30e623}">
          <xlrd:rvb i="6911"/>
        </ext>
      </extLst>
    </bk>
    <bk>
      <extLst>
        <ext uri="{3e2802c4-a4d2-4d8b-9148-e3be6c30e623}">
          <xlrd:rvb i="6912"/>
        </ext>
      </extLst>
    </bk>
    <bk>
      <extLst>
        <ext uri="{3e2802c4-a4d2-4d8b-9148-e3be6c30e623}">
          <xlrd:rvb i="6913"/>
        </ext>
      </extLst>
    </bk>
    <bk>
      <extLst>
        <ext uri="{3e2802c4-a4d2-4d8b-9148-e3be6c30e623}">
          <xlrd:rvb i="6914"/>
        </ext>
      </extLst>
    </bk>
    <bk>
      <extLst>
        <ext uri="{3e2802c4-a4d2-4d8b-9148-e3be6c30e623}">
          <xlrd:rvb i="6915"/>
        </ext>
      </extLst>
    </bk>
    <bk>
      <extLst>
        <ext uri="{3e2802c4-a4d2-4d8b-9148-e3be6c30e623}">
          <xlrd:rvb i="6916"/>
        </ext>
      </extLst>
    </bk>
    <bk>
      <extLst>
        <ext uri="{3e2802c4-a4d2-4d8b-9148-e3be6c30e623}">
          <xlrd:rvb i="6917"/>
        </ext>
      </extLst>
    </bk>
    <bk>
      <extLst>
        <ext uri="{3e2802c4-a4d2-4d8b-9148-e3be6c30e623}">
          <xlrd:rvb i="6918"/>
        </ext>
      </extLst>
    </bk>
    <bk>
      <extLst>
        <ext uri="{3e2802c4-a4d2-4d8b-9148-e3be6c30e623}">
          <xlrd:rvb i="6919"/>
        </ext>
      </extLst>
    </bk>
    <bk>
      <extLst>
        <ext uri="{3e2802c4-a4d2-4d8b-9148-e3be6c30e623}">
          <xlrd:rvb i="6920"/>
        </ext>
      </extLst>
    </bk>
    <bk>
      <extLst>
        <ext uri="{3e2802c4-a4d2-4d8b-9148-e3be6c30e623}">
          <xlrd:rvb i="6921"/>
        </ext>
      </extLst>
    </bk>
    <bk>
      <extLst>
        <ext uri="{3e2802c4-a4d2-4d8b-9148-e3be6c30e623}">
          <xlrd:rvb i="6922"/>
        </ext>
      </extLst>
    </bk>
    <bk>
      <extLst>
        <ext uri="{3e2802c4-a4d2-4d8b-9148-e3be6c30e623}">
          <xlrd:rvb i="6923"/>
        </ext>
      </extLst>
    </bk>
    <bk>
      <extLst>
        <ext uri="{3e2802c4-a4d2-4d8b-9148-e3be6c30e623}">
          <xlrd:rvb i="6924"/>
        </ext>
      </extLst>
    </bk>
    <bk>
      <extLst>
        <ext uri="{3e2802c4-a4d2-4d8b-9148-e3be6c30e623}">
          <xlrd:rvb i="6925"/>
        </ext>
      </extLst>
    </bk>
    <bk>
      <extLst>
        <ext uri="{3e2802c4-a4d2-4d8b-9148-e3be6c30e623}">
          <xlrd:rvb i="6926"/>
        </ext>
      </extLst>
    </bk>
    <bk>
      <extLst>
        <ext uri="{3e2802c4-a4d2-4d8b-9148-e3be6c30e623}">
          <xlrd:rvb i="6927"/>
        </ext>
      </extLst>
    </bk>
    <bk>
      <extLst>
        <ext uri="{3e2802c4-a4d2-4d8b-9148-e3be6c30e623}">
          <xlrd:rvb i="6928"/>
        </ext>
      </extLst>
    </bk>
    <bk>
      <extLst>
        <ext uri="{3e2802c4-a4d2-4d8b-9148-e3be6c30e623}">
          <xlrd:rvb i="6929"/>
        </ext>
      </extLst>
    </bk>
    <bk>
      <extLst>
        <ext uri="{3e2802c4-a4d2-4d8b-9148-e3be6c30e623}">
          <xlrd:rvb i="6930"/>
        </ext>
      </extLst>
    </bk>
    <bk>
      <extLst>
        <ext uri="{3e2802c4-a4d2-4d8b-9148-e3be6c30e623}">
          <xlrd:rvb i="6931"/>
        </ext>
      </extLst>
    </bk>
    <bk>
      <extLst>
        <ext uri="{3e2802c4-a4d2-4d8b-9148-e3be6c30e623}">
          <xlrd:rvb i="6932"/>
        </ext>
      </extLst>
    </bk>
    <bk>
      <extLst>
        <ext uri="{3e2802c4-a4d2-4d8b-9148-e3be6c30e623}">
          <xlrd:rvb i="6933"/>
        </ext>
      </extLst>
    </bk>
    <bk>
      <extLst>
        <ext uri="{3e2802c4-a4d2-4d8b-9148-e3be6c30e623}">
          <xlrd:rvb i="6934"/>
        </ext>
      </extLst>
    </bk>
    <bk>
      <extLst>
        <ext uri="{3e2802c4-a4d2-4d8b-9148-e3be6c30e623}">
          <xlrd:rvb i="6935"/>
        </ext>
      </extLst>
    </bk>
    <bk>
      <extLst>
        <ext uri="{3e2802c4-a4d2-4d8b-9148-e3be6c30e623}">
          <xlrd:rvb i="6936"/>
        </ext>
      </extLst>
    </bk>
    <bk>
      <extLst>
        <ext uri="{3e2802c4-a4d2-4d8b-9148-e3be6c30e623}">
          <xlrd:rvb i="6937"/>
        </ext>
      </extLst>
    </bk>
    <bk>
      <extLst>
        <ext uri="{3e2802c4-a4d2-4d8b-9148-e3be6c30e623}">
          <xlrd:rvb i="6938"/>
        </ext>
      </extLst>
    </bk>
    <bk>
      <extLst>
        <ext uri="{3e2802c4-a4d2-4d8b-9148-e3be6c30e623}">
          <xlrd:rvb i="6939"/>
        </ext>
      </extLst>
    </bk>
    <bk>
      <extLst>
        <ext uri="{3e2802c4-a4d2-4d8b-9148-e3be6c30e623}">
          <xlrd:rvb i="6940"/>
        </ext>
      </extLst>
    </bk>
    <bk>
      <extLst>
        <ext uri="{3e2802c4-a4d2-4d8b-9148-e3be6c30e623}">
          <xlrd:rvb i="6941"/>
        </ext>
      </extLst>
    </bk>
    <bk>
      <extLst>
        <ext uri="{3e2802c4-a4d2-4d8b-9148-e3be6c30e623}">
          <xlrd:rvb i="6942"/>
        </ext>
      </extLst>
    </bk>
    <bk>
      <extLst>
        <ext uri="{3e2802c4-a4d2-4d8b-9148-e3be6c30e623}">
          <xlrd:rvb i="6943"/>
        </ext>
      </extLst>
    </bk>
    <bk>
      <extLst>
        <ext uri="{3e2802c4-a4d2-4d8b-9148-e3be6c30e623}">
          <xlrd:rvb i="6944"/>
        </ext>
      </extLst>
    </bk>
    <bk>
      <extLst>
        <ext uri="{3e2802c4-a4d2-4d8b-9148-e3be6c30e623}">
          <xlrd:rvb i="6945"/>
        </ext>
      </extLst>
    </bk>
    <bk>
      <extLst>
        <ext uri="{3e2802c4-a4d2-4d8b-9148-e3be6c30e623}">
          <xlrd:rvb i="6946"/>
        </ext>
      </extLst>
    </bk>
    <bk>
      <extLst>
        <ext uri="{3e2802c4-a4d2-4d8b-9148-e3be6c30e623}">
          <xlrd:rvb i="6947"/>
        </ext>
      </extLst>
    </bk>
    <bk>
      <extLst>
        <ext uri="{3e2802c4-a4d2-4d8b-9148-e3be6c30e623}">
          <xlrd:rvb i="6948"/>
        </ext>
      </extLst>
    </bk>
    <bk>
      <extLst>
        <ext uri="{3e2802c4-a4d2-4d8b-9148-e3be6c30e623}">
          <xlrd:rvb i="6949"/>
        </ext>
      </extLst>
    </bk>
    <bk>
      <extLst>
        <ext uri="{3e2802c4-a4d2-4d8b-9148-e3be6c30e623}">
          <xlrd:rvb i="6950"/>
        </ext>
      </extLst>
    </bk>
    <bk>
      <extLst>
        <ext uri="{3e2802c4-a4d2-4d8b-9148-e3be6c30e623}">
          <xlrd:rvb i="6951"/>
        </ext>
      </extLst>
    </bk>
    <bk>
      <extLst>
        <ext uri="{3e2802c4-a4d2-4d8b-9148-e3be6c30e623}">
          <xlrd:rvb i="6952"/>
        </ext>
      </extLst>
    </bk>
    <bk>
      <extLst>
        <ext uri="{3e2802c4-a4d2-4d8b-9148-e3be6c30e623}">
          <xlrd:rvb i="6953"/>
        </ext>
      </extLst>
    </bk>
    <bk>
      <extLst>
        <ext uri="{3e2802c4-a4d2-4d8b-9148-e3be6c30e623}">
          <xlrd:rvb i="6954"/>
        </ext>
      </extLst>
    </bk>
    <bk>
      <extLst>
        <ext uri="{3e2802c4-a4d2-4d8b-9148-e3be6c30e623}">
          <xlrd:rvb i="6955"/>
        </ext>
      </extLst>
    </bk>
    <bk>
      <extLst>
        <ext uri="{3e2802c4-a4d2-4d8b-9148-e3be6c30e623}">
          <xlrd:rvb i="6956"/>
        </ext>
      </extLst>
    </bk>
    <bk>
      <extLst>
        <ext uri="{3e2802c4-a4d2-4d8b-9148-e3be6c30e623}">
          <xlrd:rvb i="6957"/>
        </ext>
      </extLst>
    </bk>
    <bk>
      <extLst>
        <ext uri="{3e2802c4-a4d2-4d8b-9148-e3be6c30e623}">
          <xlrd:rvb i="6958"/>
        </ext>
      </extLst>
    </bk>
    <bk>
      <extLst>
        <ext uri="{3e2802c4-a4d2-4d8b-9148-e3be6c30e623}">
          <xlrd:rvb i="6959"/>
        </ext>
      </extLst>
    </bk>
    <bk>
      <extLst>
        <ext uri="{3e2802c4-a4d2-4d8b-9148-e3be6c30e623}">
          <xlrd:rvb i="6960"/>
        </ext>
      </extLst>
    </bk>
    <bk>
      <extLst>
        <ext uri="{3e2802c4-a4d2-4d8b-9148-e3be6c30e623}">
          <xlrd:rvb i="6961"/>
        </ext>
      </extLst>
    </bk>
    <bk>
      <extLst>
        <ext uri="{3e2802c4-a4d2-4d8b-9148-e3be6c30e623}">
          <xlrd:rvb i="6962"/>
        </ext>
      </extLst>
    </bk>
    <bk>
      <extLst>
        <ext uri="{3e2802c4-a4d2-4d8b-9148-e3be6c30e623}">
          <xlrd:rvb i="6963"/>
        </ext>
      </extLst>
    </bk>
    <bk>
      <extLst>
        <ext uri="{3e2802c4-a4d2-4d8b-9148-e3be6c30e623}">
          <xlrd:rvb i="6964"/>
        </ext>
      </extLst>
    </bk>
    <bk>
      <extLst>
        <ext uri="{3e2802c4-a4d2-4d8b-9148-e3be6c30e623}">
          <xlrd:rvb i="6965"/>
        </ext>
      </extLst>
    </bk>
    <bk>
      <extLst>
        <ext uri="{3e2802c4-a4d2-4d8b-9148-e3be6c30e623}">
          <xlrd:rvb i="6966"/>
        </ext>
      </extLst>
    </bk>
    <bk>
      <extLst>
        <ext uri="{3e2802c4-a4d2-4d8b-9148-e3be6c30e623}">
          <xlrd:rvb i="6967"/>
        </ext>
      </extLst>
    </bk>
    <bk>
      <extLst>
        <ext uri="{3e2802c4-a4d2-4d8b-9148-e3be6c30e623}">
          <xlrd:rvb i="6968"/>
        </ext>
      </extLst>
    </bk>
    <bk>
      <extLst>
        <ext uri="{3e2802c4-a4d2-4d8b-9148-e3be6c30e623}">
          <xlrd:rvb i="6969"/>
        </ext>
      </extLst>
    </bk>
    <bk>
      <extLst>
        <ext uri="{3e2802c4-a4d2-4d8b-9148-e3be6c30e623}">
          <xlrd:rvb i="6970"/>
        </ext>
      </extLst>
    </bk>
    <bk>
      <extLst>
        <ext uri="{3e2802c4-a4d2-4d8b-9148-e3be6c30e623}">
          <xlrd:rvb i="6971"/>
        </ext>
      </extLst>
    </bk>
    <bk>
      <extLst>
        <ext uri="{3e2802c4-a4d2-4d8b-9148-e3be6c30e623}">
          <xlrd:rvb i="6972"/>
        </ext>
      </extLst>
    </bk>
    <bk>
      <extLst>
        <ext uri="{3e2802c4-a4d2-4d8b-9148-e3be6c30e623}">
          <xlrd:rvb i="6973"/>
        </ext>
      </extLst>
    </bk>
    <bk>
      <extLst>
        <ext uri="{3e2802c4-a4d2-4d8b-9148-e3be6c30e623}">
          <xlrd:rvb i="6974"/>
        </ext>
      </extLst>
    </bk>
    <bk>
      <extLst>
        <ext uri="{3e2802c4-a4d2-4d8b-9148-e3be6c30e623}">
          <xlrd:rvb i="6975"/>
        </ext>
      </extLst>
    </bk>
    <bk>
      <extLst>
        <ext uri="{3e2802c4-a4d2-4d8b-9148-e3be6c30e623}">
          <xlrd:rvb i="6976"/>
        </ext>
      </extLst>
    </bk>
    <bk>
      <extLst>
        <ext uri="{3e2802c4-a4d2-4d8b-9148-e3be6c30e623}">
          <xlrd:rvb i="6977"/>
        </ext>
      </extLst>
    </bk>
    <bk>
      <extLst>
        <ext uri="{3e2802c4-a4d2-4d8b-9148-e3be6c30e623}">
          <xlrd:rvb i="6978"/>
        </ext>
      </extLst>
    </bk>
    <bk>
      <extLst>
        <ext uri="{3e2802c4-a4d2-4d8b-9148-e3be6c30e623}">
          <xlrd:rvb i="6979"/>
        </ext>
      </extLst>
    </bk>
    <bk>
      <extLst>
        <ext uri="{3e2802c4-a4d2-4d8b-9148-e3be6c30e623}">
          <xlrd:rvb i="6980"/>
        </ext>
      </extLst>
    </bk>
    <bk>
      <extLst>
        <ext uri="{3e2802c4-a4d2-4d8b-9148-e3be6c30e623}">
          <xlrd:rvb i="6981"/>
        </ext>
      </extLst>
    </bk>
    <bk>
      <extLst>
        <ext uri="{3e2802c4-a4d2-4d8b-9148-e3be6c30e623}">
          <xlrd:rvb i="6982"/>
        </ext>
      </extLst>
    </bk>
    <bk>
      <extLst>
        <ext uri="{3e2802c4-a4d2-4d8b-9148-e3be6c30e623}">
          <xlrd:rvb i="6983"/>
        </ext>
      </extLst>
    </bk>
    <bk>
      <extLst>
        <ext uri="{3e2802c4-a4d2-4d8b-9148-e3be6c30e623}">
          <xlrd:rvb i="6984"/>
        </ext>
      </extLst>
    </bk>
    <bk>
      <extLst>
        <ext uri="{3e2802c4-a4d2-4d8b-9148-e3be6c30e623}">
          <xlrd:rvb i="6985"/>
        </ext>
      </extLst>
    </bk>
    <bk>
      <extLst>
        <ext uri="{3e2802c4-a4d2-4d8b-9148-e3be6c30e623}">
          <xlrd:rvb i="6986"/>
        </ext>
      </extLst>
    </bk>
    <bk>
      <extLst>
        <ext uri="{3e2802c4-a4d2-4d8b-9148-e3be6c30e623}">
          <xlrd:rvb i="6987"/>
        </ext>
      </extLst>
    </bk>
    <bk>
      <extLst>
        <ext uri="{3e2802c4-a4d2-4d8b-9148-e3be6c30e623}">
          <xlrd:rvb i="6988"/>
        </ext>
      </extLst>
    </bk>
    <bk>
      <extLst>
        <ext uri="{3e2802c4-a4d2-4d8b-9148-e3be6c30e623}">
          <xlrd:rvb i="6989"/>
        </ext>
      </extLst>
    </bk>
    <bk>
      <extLst>
        <ext uri="{3e2802c4-a4d2-4d8b-9148-e3be6c30e623}">
          <xlrd:rvb i="6990"/>
        </ext>
      </extLst>
    </bk>
    <bk>
      <extLst>
        <ext uri="{3e2802c4-a4d2-4d8b-9148-e3be6c30e623}">
          <xlrd:rvb i="6991"/>
        </ext>
      </extLst>
    </bk>
    <bk>
      <extLst>
        <ext uri="{3e2802c4-a4d2-4d8b-9148-e3be6c30e623}">
          <xlrd:rvb i="6992"/>
        </ext>
      </extLst>
    </bk>
    <bk>
      <extLst>
        <ext uri="{3e2802c4-a4d2-4d8b-9148-e3be6c30e623}">
          <xlrd:rvb i="6993"/>
        </ext>
      </extLst>
    </bk>
    <bk>
      <extLst>
        <ext uri="{3e2802c4-a4d2-4d8b-9148-e3be6c30e623}">
          <xlrd:rvb i="6994"/>
        </ext>
      </extLst>
    </bk>
    <bk>
      <extLst>
        <ext uri="{3e2802c4-a4d2-4d8b-9148-e3be6c30e623}">
          <xlrd:rvb i="6995"/>
        </ext>
      </extLst>
    </bk>
    <bk>
      <extLst>
        <ext uri="{3e2802c4-a4d2-4d8b-9148-e3be6c30e623}">
          <xlrd:rvb i="6996"/>
        </ext>
      </extLst>
    </bk>
    <bk>
      <extLst>
        <ext uri="{3e2802c4-a4d2-4d8b-9148-e3be6c30e623}">
          <xlrd:rvb i="6997"/>
        </ext>
      </extLst>
    </bk>
    <bk>
      <extLst>
        <ext uri="{3e2802c4-a4d2-4d8b-9148-e3be6c30e623}">
          <xlrd:rvb i="6998"/>
        </ext>
      </extLst>
    </bk>
    <bk>
      <extLst>
        <ext uri="{3e2802c4-a4d2-4d8b-9148-e3be6c30e623}">
          <xlrd:rvb i="6999"/>
        </ext>
      </extLst>
    </bk>
    <bk>
      <extLst>
        <ext uri="{3e2802c4-a4d2-4d8b-9148-e3be6c30e623}">
          <xlrd:rvb i="7000"/>
        </ext>
      </extLst>
    </bk>
    <bk>
      <extLst>
        <ext uri="{3e2802c4-a4d2-4d8b-9148-e3be6c30e623}">
          <xlrd:rvb i="7001"/>
        </ext>
      </extLst>
    </bk>
    <bk>
      <extLst>
        <ext uri="{3e2802c4-a4d2-4d8b-9148-e3be6c30e623}">
          <xlrd:rvb i="7002"/>
        </ext>
      </extLst>
    </bk>
    <bk>
      <extLst>
        <ext uri="{3e2802c4-a4d2-4d8b-9148-e3be6c30e623}">
          <xlrd:rvb i="7003"/>
        </ext>
      </extLst>
    </bk>
    <bk>
      <extLst>
        <ext uri="{3e2802c4-a4d2-4d8b-9148-e3be6c30e623}">
          <xlrd:rvb i="7004"/>
        </ext>
      </extLst>
    </bk>
    <bk>
      <extLst>
        <ext uri="{3e2802c4-a4d2-4d8b-9148-e3be6c30e623}">
          <xlrd:rvb i="7005"/>
        </ext>
      </extLst>
    </bk>
    <bk>
      <extLst>
        <ext uri="{3e2802c4-a4d2-4d8b-9148-e3be6c30e623}">
          <xlrd:rvb i="7006"/>
        </ext>
      </extLst>
    </bk>
    <bk>
      <extLst>
        <ext uri="{3e2802c4-a4d2-4d8b-9148-e3be6c30e623}">
          <xlrd:rvb i="7007"/>
        </ext>
      </extLst>
    </bk>
    <bk>
      <extLst>
        <ext uri="{3e2802c4-a4d2-4d8b-9148-e3be6c30e623}">
          <xlrd:rvb i="7008"/>
        </ext>
      </extLst>
    </bk>
    <bk>
      <extLst>
        <ext uri="{3e2802c4-a4d2-4d8b-9148-e3be6c30e623}">
          <xlrd:rvb i="7009"/>
        </ext>
      </extLst>
    </bk>
    <bk>
      <extLst>
        <ext uri="{3e2802c4-a4d2-4d8b-9148-e3be6c30e623}">
          <xlrd:rvb i="7010"/>
        </ext>
      </extLst>
    </bk>
    <bk>
      <extLst>
        <ext uri="{3e2802c4-a4d2-4d8b-9148-e3be6c30e623}">
          <xlrd:rvb i="7011"/>
        </ext>
      </extLst>
    </bk>
    <bk>
      <extLst>
        <ext uri="{3e2802c4-a4d2-4d8b-9148-e3be6c30e623}">
          <xlrd:rvb i="7012"/>
        </ext>
      </extLst>
    </bk>
    <bk>
      <extLst>
        <ext uri="{3e2802c4-a4d2-4d8b-9148-e3be6c30e623}">
          <xlrd:rvb i="7013"/>
        </ext>
      </extLst>
    </bk>
    <bk>
      <extLst>
        <ext uri="{3e2802c4-a4d2-4d8b-9148-e3be6c30e623}">
          <xlrd:rvb i="7014"/>
        </ext>
      </extLst>
    </bk>
    <bk>
      <extLst>
        <ext uri="{3e2802c4-a4d2-4d8b-9148-e3be6c30e623}">
          <xlrd:rvb i="7015"/>
        </ext>
      </extLst>
    </bk>
    <bk>
      <extLst>
        <ext uri="{3e2802c4-a4d2-4d8b-9148-e3be6c30e623}">
          <xlrd:rvb i="7016"/>
        </ext>
      </extLst>
    </bk>
    <bk>
      <extLst>
        <ext uri="{3e2802c4-a4d2-4d8b-9148-e3be6c30e623}">
          <xlrd:rvb i="7017"/>
        </ext>
      </extLst>
    </bk>
    <bk>
      <extLst>
        <ext uri="{3e2802c4-a4d2-4d8b-9148-e3be6c30e623}">
          <xlrd:rvb i="7018"/>
        </ext>
      </extLst>
    </bk>
    <bk>
      <extLst>
        <ext uri="{3e2802c4-a4d2-4d8b-9148-e3be6c30e623}">
          <xlrd:rvb i="7019"/>
        </ext>
      </extLst>
    </bk>
    <bk>
      <extLst>
        <ext uri="{3e2802c4-a4d2-4d8b-9148-e3be6c30e623}">
          <xlrd:rvb i="7020"/>
        </ext>
      </extLst>
    </bk>
    <bk>
      <extLst>
        <ext uri="{3e2802c4-a4d2-4d8b-9148-e3be6c30e623}">
          <xlrd:rvb i="7021"/>
        </ext>
      </extLst>
    </bk>
    <bk>
      <extLst>
        <ext uri="{3e2802c4-a4d2-4d8b-9148-e3be6c30e623}">
          <xlrd:rvb i="7022"/>
        </ext>
      </extLst>
    </bk>
    <bk>
      <extLst>
        <ext uri="{3e2802c4-a4d2-4d8b-9148-e3be6c30e623}">
          <xlrd:rvb i="7023"/>
        </ext>
      </extLst>
    </bk>
    <bk>
      <extLst>
        <ext uri="{3e2802c4-a4d2-4d8b-9148-e3be6c30e623}">
          <xlrd:rvb i="7024"/>
        </ext>
      </extLst>
    </bk>
    <bk>
      <extLst>
        <ext uri="{3e2802c4-a4d2-4d8b-9148-e3be6c30e623}">
          <xlrd:rvb i="7025"/>
        </ext>
      </extLst>
    </bk>
    <bk>
      <extLst>
        <ext uri="{3e2802c4-a4d2-4d8b-9148-e3be6c30e623}">
          <xlrd:rvb i="7026"/>
        </ext>
      </extLst>
    </bk>
    <bk>
      <extLst>
        <ext uri="{3e2802c4-a4d2-4d8b-9148-e3be6c30e623}">
          <xlrd:rvb i="7027"/>
        </ext>
      </extLst>
    </bk>
    <bk>
      <extLst>
        <ext uri="{3e2802c4-a4d2-4d8b-9148-e3be6c30e623}">
          <xlrd:rvb i="7028"/>
        </ext>
      </extLst>
    </bk>
    <bk>
      <extLst>
        <ext uri="{3e2802c4-a4d2-4d8b-9148-e3be6c30e623}">
          <xlrd:rvb i="7029"/>
        </ext>
      </extLst>
    </bk>
    <bk>
      <extLst>
        <ext uri="{3e2802c4-a4d2-4d8b-9148-e3be6c30e623}">
          <xlrd:rvb i="7030"/>
        </ext>
      </extLst>
    </bk>
    <bk>
      <extLst>
        <ext uri="{3e2802c4-a4d2-4d8b-9148-e3be6c30e623}">
          <xlrd:rvb i="7031"/>
        </ext>
      </extLst>
    </bk>
    <bk>
      <extLst>
        <ext uri="{3e2802c4-a4d2-4d8b-9148-e3be6c30e623}">
          <xlrd:rvb i="7032"/>
        </ext>
      </extLst>
    </bk>
    <bk>
      <extLst>
        <ext uri="{3e2802c4-a4d2-4d8b-9148-e3be6c30e623}">
          <xlrd:rvb i="7033"/>
        </ext>
      </extLst>
    </bk>
    <bk>
      <extLst>
        <ext uri="{3e2802c4-a4d2-4d8b-9148-e3be6c30e623}">
          <xlrd:rvb i="7034"/>
        </ext>
      </extLst>
    </bk>
    <bk>
      <extLst>
        <ext uri="{3e2802c4-a4d2-4d8b-9148-e3be6c30e623}">
          <xlrd:rvb i="7035"/>
        </ext>
      </extLst>
    </bk>
    <bk>
      <extLst>
        <ext uri="{3e2802c4-a4d2-4d8b-9148-e3be6c30e623}">
          <xlrd:rvb i="7036"/>
        </ext>
      </extLst>
    </bk>
    <bk>
      <extLst>
        <ext uri="{3e2802c4-a4d2-4d8b-9148-e3be6c30e623}">
          <xlrd:rvb i="7037"/>
        </ext>
      </extLst>
    </bk>
    <bk>
      <extLst>
        <ext uri="{3e2802c4-a4d2-4d8b-9148-e3be6c30e623}">
          <xlrd:rvb i="7038"/>
        </ext>
      </extLst>
    </bk>
    <bk>
      <extLst>
        <ext uri="{3e2802c4-a4d2-4d8b-9148-e3be6c30e623}">
          <xlrd:rvb i="7039"/>
        </ext>
      </extLst>
    </bk>
    <bk>
      <extLst>
        <ext uri="{3e2802c4-a4d2-4d8b-9148-e3be6c30e623}">
          <xlrd:rvb i="7040"/>
        </ext>
      </extLst>
    </bk>
    <bk>
      <extLst>
        <ext uri="{3e2802c4-a4d2-4d8b-9148-e3be6c30e623}">
          <xlrd:rvb i="7041"/>
        </ext>
      </extLst>
    </bk>
    <bk>
      <extLst>
        <ext uri="{3e2802c4-a4d2-4d8b-9148-e3be6c30e623}">
          <xlrd:rvb i="7042"/>
        </ext>
      </extLst>
    </bk>
    <bk>
      <extLst>
        <ext uri="{3e2802c4-a4d2-4d8b-9148-e3be6c30e623}">
          <xlrd:rvb i="7043"/>
        </ext>
      </extLst>
    </bk>
    <bk>
      <extLst>
        <ext uri="{3e2802c4-a4d2-4d8b-9148-e3be6c30e623}">
          <xlrd:rvb i="7044"/>
        </ext>
      </extLst>
    </bk>
    <bk>
      <extLst>
        <ext uri="{3e2802c4-a4d2-4d8b-9148-e3be6c30e623}">
          <xlrd:rvb i="7045"/>
        </ext>
      </extLst>
    </bk>
    <bk>
      <extLst>
        <ext uri="{3e2802c4-a4d2-4d8b-9148-e3be6c30e623}">
          <xlrd:rvb i="7046"/>
        </ext>
      </extLst>
    </bk>
    <bk>
      <extLst>
        <ext uri="{3e2802c4-a4d2-4d8b-9148-e3be6c30e623}">
          <xlrd:rvb i="7047"/>
        </ext>
      </extLst>
    </bk>
    <bk>
      <extLst>
        <ext uri="{3e2802c4-a4d2-4d8b-9148-e3be6c30e623}">
          <xlrd:rvb i="7048"/>
        </ext>
      </extLst>
    </bk>
    <bk>
      <extLst>
        <ext uri="{3e2802c4-a4d2-4d8b-9148-e3be6c30e623}">
          <xlrd:rvb i="7049"/>
        </ext>
      </extLst>
    </bk>
    <bk>
      <extLst>
        <ext uri="{3e2802c4-a4d2-4d8b-9148-e3be6c30e623}">
          <xlrd:rvb i="7050"/>
        </ext>
      </extLst>
    </bk>
    <bk>
      <extLst>
        <ext uri="{3e2802c4-a4d2-4d8b-9148-e3be6c30e623}">
          <xlrd:rvb i="7051"/>
        </ext>
      </extLst>
    </bk>
    <bk>
      <extLst>
        <ext uri="{3e2802c4-a4d2-4d8b-9148-e3be6c30e623}">
          <xlrd:rvb i="7052"/>
        </ext>
      </extLst>
    </bk>
    <bk>
      <extLst>
        <ext uri="{3e2802c4-a4d2-4d8b-9148-e3be6c30e623}">
          <xlrd:rvb i="7053"/>
        </ext>
      </extLst>
    </bk>
    <bk>
      <extLst>
        <ext uri="{3e2802c4-a4d2-4d8b-9148-e3be6c30e623}">
          <xlrd:rvb i="7054"/>
        </ext>
      </extLst>
    </bk>
    <bk>
      <extLst>
        <ext uri="{3e2802c4-a4d2-4d8b-9148-e3be6c30e623}">
          <xlrd:rvb i="7055"/>
        </ext>
      </extLst>
    </bk>
    <bk>
      <extLst>
        <ext uri="{3e2802c4-a4d2-4d8b-9148-e3be6c30e623}">
          <xlrd:rvb i="7056"/>
        </ext>
      </extLst>
    </bk>
    <bk>
      <extLst>
        <ext uri="{3e2802c4-a4d2-4d8b-9148-e3be6c30e623}">
          <xlrd:rvb i="7057"/>
        </ext>
      </extLst>
    </bk>
    <bk>
      <extLst>
        <ext uri="{3e2802c4-a4d2-4d8b-9148-e3be6c30e623}">
          <xlrd:rvb i="7058"/>
        </ext>
      </extLst>
    </bk>
    <bk>
      <extLst>
        <ext uri="{3e2802c4-a4d2-4d8b-9148-e3be6c30e623}">
          <xlrd:rvb i="7059"/>
        </ext>
      </extLst>
    </bk>
    <bk>
      <extLst>
        <ext uri="{3e2802c4-a4d2-4d8b-9148-e3be6c30e623}">
          <xlrd:rvb i="7060"/>
        </ext>
      </extLst>
    </bk>
    <bk>
      <extLst>
        <ext uri="{3e2802c4-a4d2-4d8b-9148-e3be6c30e623}">
          <xlrd:rvb i="7061"/>
        </ext>
      </extLst>
    </bk>
    <bk>
      <extLst>
        <ext uri="{3e2802c4-a4d2-4d8b-9148-e3be6c30e623}">
          <xlrd:rvb i="7062"/>
        </ext>
      </extLst>
    </bk>
    <bk>
      <extLst>
        <ext uri="{3e2802c4-a4d2-4d8b-9148-e3be6c30e623}">
          <xlrd:rvb i="7063"/>
        </ext>
      </extLst>
    </bk>
    <bk>
      <extLst>
        <ext uri="{3e2802c4-a4d2-4d8b-9148-e3be6c30e623}">
          <xlrd:rvb i="7064"/>
        </ext>
      </extLst>
    </bk>
    <bk>
      <extLst>
        <ext uri="{3e2802c4-a4d2-4d8b-9148-e3be6c30e623}">
          <xlrd:rvb i="7065"/>
        </ext>
      </extLst>
    </bk>
    <bk>
      <extLst>
        <ext uri="{3e2802c4-a4d2-4d8b-9148-e3be6c30e623}">
          <xlrd:rvb i="7066"/>
        </ext>
      </extLst>
    </bk>
    <bk>
      <extLst>
        <ext uri="{3e2802c4-a4d2-4d8b-9148-e3be6c30e623}">
          <xlrd:rvb i="7067"/>
        </ext>
      </extLst>
    </bk>
    <bk>
      <extLst>
        <ext uri="{3e2802c4-a4d2-4d8b-9148-e3be6c30e623}">
          <xlrd:rvb i="7068"/>
        </ext>
      </extLst>
    </bk>
    <bk>
      <extLst>
        <ext uri="{3e2802c4-a4d2-4d8b-9148-e3be6c30e623}">
          <xlrd:rvb i="7069"/>
        </ext>
      </extLst>
    </bk>
    <bk>
      <extLst>
        <ext uri="{3e2802c4-a4d2-4d8b-9148-e3be6c30e623}">
          <xlrd:rvb i="7070"/>
        </ext>
      </extLst>
    </bk>
    <bk>
      <extLst>
        <ext uri="{3e2802c4-a4d2-4d8b-9148-e3be6c30e623}">
          <xlrd:rvb i="7071"/>
        </ext>
      </extLst>
    </bk>
    <bk>
      <extLst>
        <ext uri="{3e2802c4-a4d2-4d8b-9148-e3be6c30e623}">
          <xlrd:rvb i="7072"/>
        </ext>
      </extLst>
    </bk>
    <bk>
      <extLst>
        <ext uri="{3e2802c4-a4d2-4d8b-9148-e3be6c30e623}">
          <xlrd:rvb i="7073"/>
        </ext>
      </extLst>
    </bk>
    <bk>
      <extLst>
        <ext uri="{3e2802c4-a4d2-4d8b-9148-e3be6c30e623}">
          <xlrd:rvb i="7074"/>
        </ext>
      </extLst>
    </bk>
    <bk>
      <extLst>
        <ext uri="{3e2802c4-a4d2-4d8b-9148-e3be6c30e623}">
          <xlrd:rvb i="7075"/>
        </ext>
      </extLst>
    </bk>
    <bk>
      <extLst>
        <ext uri="{3e2802c4-a4d2-4d8b-9148-e3be6c30e623}">
          <xlrd:rvb i="7076"/>
        </ext>
      </extLst>
    </bk>
    <bk>
      <extLst>
        <ext uri="{3e2802c4-a4d2-4d8b-9148-e3be6c30e623}">
          <xlrd:rvb i="7077"/>
        </ext>
      </extLst>
    </bk>
    <bk>
      <extLst>
        <ext uri="{3e2802c4-a4d2-4d8b-9148-e3be6c30e623}">
          <xlrd:rvb i="7078"/>
        </ext>
      </extLst>
    </bk>
    <bk>
      <extLst>
        <ext uri="{3e2802c4-a4d2-4d8b-9148-e3be6c30e623}">
          <xlrd:rvb i="7079"/>
        </ext>
      </extLst>
    </bk>
    <bk>
      <extLst>
        <ext uri="{3e2802c4-a4d2-4d8b-9148-e3be6c30e623}">
          <xlrd:rvb i="7080"/>
        </ext>
      </extLst>
    </bk>
    <bk>
      <extLst>
        <ext uri="{3e2802c4-a4d2-4d8b-9148-e3be6c30e623}">
          <xlrd:rvb i="7081"/>
        </ext>
      </extLst>
    </bk>
    <bk>
      <extLst>
        <ext uri="{3e2802c4-a4d2-4d8b-9148-e3be6c30e623}">
          <xlrd:rvb i="7082"/>
        </ext>
      </extLst>
    </bk>
    <bk>
      <extLst>
        <ext uri="{3e2802c4-a4d2-4d8b-9148-e3be6c30e623}">
          <xlrd:rvb i="7083"/>
        </ext>
      </extLst>
    </bk>
    <bk>
      <extLst>
        <ext uri="{3e2802c4-a4d2-4d8b-9148-e3be6c30e623}">
          <xlrd:rvb i="7084"/>
        </ext>
      </extLst>
    </bk>
    <bk>
      <extLst>
        <ext uri="{3e2802c4-a4d2-4d8b-9148-e3be6c30e623}">
          <xlrd:rvb i="7085"/>
        </ext>
      </extLst>
    </bk>
    <bk>
      <extLst>
        <ext uri="{3e2802c4-a4d2-4d8b-9148-e3be6c30e623}">
          <xlrd:rvb i="7086"/>
        </ext>
      </extLst>
    </bk>
    <bk>
      <extLst>
        <ext uri="{3e2802c4-a4d2-4d8b-9148-e3be6c30e623}">
          <xlrd:rvb i="7087"/>
        </ext>
      </extLst>
    </bk>
    <bk>
      <extLst>
        <ext uri="{3e2802c4-a4d2-4d8b-9148-e3be6c30e623}">
          <xlrd:rvb i="7088"/>
        </ext>
      </extLst>
    </bk>
    <bk>
      <extLst>
        <ext uri="{3e2802c4-a4d2-4d8b-9148-e3be6c30e623}">
          <xlrd:rvb i="7089"/>
        </ext>
      </extLst>
    </bk>
    <bk>
      <extLst>
        <ext uri="{3e2802c4-a4d2-4d8b-9148-e3be6c30e623}">
          <xlrd:rvb i="7090"/>
        </ext>
      </extLst>
    </bk>
    <bk>
      <extLst>
        <ext uri="{3e2802c4-a4d2-4d8b-9148-e3be6c30e623}">
          <xlrd:rvb i="7091"/>
        </ext>
      </extLst>
    </bk>
    <bk>
      <extLst>
        <ext uri="{3e2802c4-a4d2-4d8b-9148-e3be6c30e623}">
          <xlrd:rvb i="7092"/>
        </ext>
      </extLst>
    </bk>
    <bk>
      <extLst>
        <ext uri="{3e2802c4-a4d2-4d8b-9148-e3be6c30e623}">
          <xlrd:rvb i="7093"/>
        </ext>
      </extLst>
    </bk>
    <bk>
      <extLst>
        <ext uri="{3e2802c4-a4d2-4d8b-9148-e3be6c30e623}">
          <xlrd:rvb i="7094"/>
        </ext>
      </extLst>
    </bk>
    <bk>
      <extLst>
        <ext uri="{3e2802c4-a4d2-4d8b-9148-e3be6c30e623}">
          <xlrd:rvb i="7095"/>
        </ext>
      </extLst>
    </bk>
    <bk>
      <extLst>
        <ext uri="{3e2802c4-a4d2-4d8b-9148-e3be6c30e623}">
          <xlrd:rvb i="7096"/>
        </ext>
      </extLst>
    </bk>
    <bk>
      <extLst>
        <ext uri="{3e2802c4-a4d2-4d8b-9148-e3be6c30e623}">
          <xlrd:rvb i="7097"/>
        </ext>
      </extLst>
    </bk>
    <bk>
      <extLst>
        <ext uri="{3e2802c4-a4d2-4d8b-9148-e3be6c30e623}">
          <xlrd:rvb i="7098"/>
        </ext>
      </extLst>
    </bk>
    <bk>
      <extLst>
        <ext uri="{3e2802c4-a4d2-4d8b-9148-e3be6c30e623}">
          <xlrd:rvb i="7099"/>
        </ext>
      </extLst>
    </bk>
    <bk>
      <extLst>
        <ext uri="{3e2802c4-a4d2-4d8b-9148-e3be6c30e623}">
          <xlrd:rvb i="7100"/>
        </ext>
      </extLst>
    </bk>
    <bk>
      <extLst>
        <ext uri="{3e2802c4-a4d2-4d8b-9148-e3be6c30e623}">
          <xlrd:rvb i="7101"/>
        </ext>
      </extLst>
    </bk>
    <bk>
      <extLst>
        <ext uri="{3e2802c4-a4d2-4d8b-9148-e3be6c30e623}">
          <xlrd:rvb i="7102"/>
        </ext>
      </extLst>
    </bk>
    <bk>
      <extLst>
        <ext uri="{3e2802c4-a4d2-4d8b-9148-e3be6c30e623}">
          <xlrd:rvb i="7103"/>
        </ext>
      </extLst>
    </bk>
    <bk>
      <extLst>
        <ext uri="{3e2802c4-a4d2-4d8b-9148-e3be6c30e623}">
          <xlrd:rvb i="7104"/>
        </ext>
      </extLst>
    </bk>
    <bk>
      <extLst>
        <ext uri="{3e2802c4-a4d2-4d8b-9148-e3be6c30e623}">
          <xlrd:rvb i="7105"/>
        </ext>
      </extLst>
    </bk>
    <bk>
      <extLst>
        <ext uri="{3e2802c4-a4d2-4d8b-9148-e3be6c30e623}">
          <xlrd:rvb i="7106"/>
        </ext>
      </extLst>
    </bk>
    <bk>
      <extLst>
        <ext uri="{3e2802c4-a4d2-4d8b-9148-e3be6c30e623}">
          <xlrd:rvb i="7107"/>
        </ext>
      </extLst>
    </bk>
    <bk>
      <extLst>
        <ext uri="{3e2802c4-a4d2-4d8b-9148-e3be6c30e623}">
          <xlrd:rvb i="7108"/>
        </ext>
      </extLst>
    </bk>
    <bk>
      <extLst>
        <ext uri="{3e2802c4-a4d2-4d8b-9148-e3be6c30e623}">
          <xlrd:rvb i="7109"/>
        </ext>
      </extLst>
    </bk>
    <bk>
      <extLst>
        <ext uri="{3e2802c4-a4d2-4d8b-9148-e3be6c30e623}">
          <xlrd:rvb i="7110"/>
        </ext>
      </extLst>
    </bk>
    <bk>
      <extLst>
        <ext uri="{3e2802c4-a4d2-4d8b-9148-e3be6c30e623}">
          <xlrd:rvb i="7111"/>
        </ext>
      </extLst>
    </bk>
    <bk>
      <extLst>
        <ext uri="{3e2802c4-a4d2-4d8b-9148-e3be6c30e623}">
          <xlrd:rvb i="7112"/>
        </ext>
      </extLst>
    </bk>
    <bk>
      <extLst>
        <ext uri="{3e2802c4-a4d2-4d8b-9148-e3be6c30e623}">
          <xlrd:rvb i="7113"/>
        </ext>
      </extLst>
    </bk>
    <bk>
      <extLst>
        <ext uri="{3e2802c4-a4d2-4d8b-9148-e3be6c30e623}">
          <xlrd:rvb i="7114"/>
        </ext>
      </extLst>
    </bk>
    <bk>
      <extLst>
        <ext uri="{3e2802c4-a4d2-4d8b-9148-e3be6c30e623}">
          <xlrd:rvb i="7115"/>
        </ext>
      </extLst>
    </bk>
    <bk>
      <extLst>
        <ext uri="{3e2802c4-a4d2-4d8b-9148-e3be6c30e623}">
          <xlrd:rvb i="7116"/>
        </ext>
      </extLst>
    </bk>
    <bk>
      <extLst>
        <ext uri="{3e2802c4-a4d2-4d8b-9148-e3be6c30e623}">
          <xlrd:rvb i="7117"/>
        </ext>
      </extLst>
    </bk>
    <bk>
      <extLst>
        <ext uri="{3e2802c4-a4d2-4d8b-9148-e3be6c30e623}">
          <xlrd:rvb i="7118"/>
        </ext>
      </extLst>
    </bk>
    <bk>
      <extLst>
        <ext uri="{3e2802c4-a4d2-4d8b-9148-e3be6c30e623}">
          <xlrd:rvb i="7119"/>
        </ext>
      </extLst>
    </bk>
    <bk>
      <extLst>
        <ext uri="{3e2802c4-a4d2-4d8b-9148-e3be6c30e623}">
          <xlrd:rvb i="7120"/>
        </ext>
      </extLst>
    </bk>
    <bk>
      <extLst>
        <ext uri="{3e2802c4-a4d2-4d8b-9148-e3be6c30e623}">
          <xlrd:rvb i="7121"/>
        </ext>
      </extLst>
    </bk>
    <bk>
      <extLst>
        <ext uri="{3e2802c4-a4d2-4d8b-9148-e3be6c30e623}">
          <xlrd:rvb i="7122"/>
        </ext>
      </extLst>
    </bk>
    <bk>
      <extLst>
        <ext uri="{3e2802c4-a4d2-4d8b-9148-e3be6c30e623}">
          <xlrd:rvb i="7123"/>
        </ext>
      </extLst>
    </bk>
    <bk>
      <extLst>
        <ext uri="{3e2802c4-a4d2-4d8b-9148-e3be6c30e623}">
          <xlrd:rvb i="7124"/>
        </ext>
      </extLst>
    </bk>
    <bk>
      <extLst>
        <ext uri="{3e2802c4-a4d2-4d8b-9148-e3be6c30e623}">
          <xlrd:rvb i="7125"/>
        </ext>
      </extLst>
    </bk>
    <bk>
      <extLst>
        <ext uri="{3e2802c4-a4d2-4d8b-9148-e3be6c30e623}">
          <xlrd:rvb i="7126"/>
        </ext>
      </extLst>
    </bk>
    <bk>
      <extLst>
        <ext uri="{3e2802c4-a4d2-4d8b-9148-e3be6c30e623}">
          <xlrd:rvb i="7127"/>
        </ext>
      </extLst>
    </bk>
    <bk>
      <extLst>
        <ext uri="{3e2802c4-a4d2-4d8b-9148-e3be6c30e623}">
          <xlrd:rvb i="7128"/>
        </ext>
      </extLst>
    </bk>
    <bk>
      <extLst>
        <ext uri="{3e2802c4-a4d2-4d8b-9148-e3be6c30e623}">
          <xlrd:rvb i="7129"/>
        </ext>
      </extLst>
    </bk>
    <bk>
      <extLst>
        <ext uri="{3e2802c4-a4d2-4d8b-9148-e3be6c30e623}">
          <xlrd:rvb i="7130"/>
        </ext>
      </extLst>
    </bk>
    <bk>
      <extLst>
        <ext uri="{3e2802c4-a4d2-4d8b-9148-e3be6c30e623}">
          <xlrd:rvb i="7131"/>
        </ext>
      </extLst>
    </bk>
    <bk>
      <extLst>
        <ext uri="{3e2802c4-a4d2-4d8b-9148-e3be6c30e623}">
          <xlrd:rvb i="7132"/>
        </ext>
      </extLst>
    </bk>
    <bk>
      <extLst>
        <ext uri="{3e2802c4-a4d2-4d8b-9148-e3be6c30e623}">
          <xlrd:rvb i="7133"/>
        </ext>
      </extLst>
    </bk>
    <bk>
      <extLst>
        <ext uri="{3e2802c4-a4d2-4d8b-9148-e3be6c30e623}">
          <xlrd:rvb i="7134"/>
        </ext>
      </extLst>
    </bk>
    <bk>
      <extLst>
        <ext uri="{3e2802c4-a4d2-4d8b-9148-e3be6c30e623}">
          <xlrd:rvb i="7135"/>
        </ext>
      </extLst>
    </bk>
    <bk>
      <extLst>
        <ext uri="{3e2802c4-a4d2-4d8b-9148-e3be6c30e623}">
          <xlrd:rvb i="7136"/>
        </ext>
      </extLst>
    </bk>
    <bk>
      <extLst>
        <ext uri="{3e2802c4-a4d2-4d8b-9148-e3be6c30e623}">
          <xlrd:rvb i="7137"/>
        </ext>
      </extLst>
    </bk>
    <bk>
      <extLst>
        <ext uri="{3e2802c4-a4d2-4d8b-9148-e3be6c30e623}">
          <xlrd:rvb i="7138"/>
        </ext>
      </extLst>
    </bk>
    <bk>
      <extLst>
        <ext uri="{3e2802c4-a4d2-4d8b-9148-e3be6c30e623}">
          <xlrd:rvb i="7139"/>
        </ext>
      </extLst>
    </bk>
    <bk>
      <extLst>
        <ext uri="{3e2802c4-a4d2-4d8b-9148-e3be6c30e623}">
          <xlrd:rvb i="7140"/>
        </ext>
      </extLst>
    </bk>
    <bk>
      <extLst>
        <ext uri="{3e2802c4-a4d2-4d8b-9148-e3be6c30e623}">
          <xlrd:rvb i="7141"/>
        </ext>
      </extLst>
    </bk>
    <bk>
      <extLst>
        <ext uri="{3e2802c4-a4d2-4d8b-9148-e3be6c30e623}">
          <xlrd:rvb i="7142"/>
        </ext>
      </extLst>
    </bk>
    <bk>
      <extLst>
        <ext uri="{3e2802c4-a4d2-4d8b-9148-e3be6c30e623}">
          <xlrd:rvb i="7143"/>
        </ext>
      </extLst>
    </bk>
    <bk>
      <extLst>
        <ext uri="{3e2802c4-a4d2-4d8b-9148-e3be6c30e623}">
          <xlrd:rvb i="7144"/>
        </ext>
      </extLst>
    </bk>
    <bk>
      <extLst>
        <ext uri="{3e2802c4-a4d2-4d8b-9148-e3be6c30e623}">
          <xlrd:rvb i="7145"/>
        </ext>
      </extLst>
    </bk>
    <bk>
      <extLst>
        <ext uri="{3e2802c4-a4d2-4d8b-9148-e3be6c30e623}">
          <xlrd:rvb i="7146"/>
        </ext>
      </extLst>
    </bk>
    <bk>
      <extLst>
        <ext uri="{3e2802c4-a4d2-4d8b-9148-e3be6c30e623}">
          <xlrd:rvb i="7147"/>
        </ext>
      </extLst>
    </bk>
    <bk>
      <extLst>
        <ext uri="{3e2802c4-a4d2-4d8b-9148-e3be6c30e623}">
          <xlrd:rvb i="7148"/>
        </ext>
      </extLst>
    </bk>
    <bk>
      <extLst>
        <ext uri="{3e2802c4-a4d2-4d8b-9148-e3be6c30e623}">
          <xlrd:rvb i="7149"/>
        </ext>
      </extLst>
    </bk>
    <bk>
      <extLst>
        <ext uri="{3e2802c4-a4d2-4d8b-9148-e3be6c30e623}">
          <xlrd:rvb i="7150"/>
        </ext>
      </extLst>
    </bk>
    <bk>
      <extLst>
        <ext uri="{3e2802c4-a4d2-4d8b-9148-e3be6c30e623}">
          <xlrd:rvb i="7151"/>
        </ext>
      </extLst>
    </bk>
    <bk>
      <extLst>
        <ext uri="{3e2802c4-a4d2-4d8b-9148-e3be6c30e623}">
          <xlrd:rvb i="7152"/>
        </ext>
      </extLst>
    </bk>
    <bk>
      <extLst>
        <ext uri="{3e2802c4-a4d2-4d8b-9148-e3be6c30e623}">
          <xlrd:rvb i="7153"/>
        </ext>
      </extLst>
    </bk>
    <bk>
      <extLst>
        <ext uri="{3e2802c4-a4d2-4d8b-9148-e3be6c30e623}">
          <xlrd:rvb i="7154"/>
        </ext>
      </extLst>
    </bk>
    <bk>
      <extLst>
        <ext uri="{3e2802c4-a4d2-4d8b-9148-e3be6c30e623}">
          <xlrd:rvb i="7155"/>
        </ext>
      </extLst>
    </bk>
    <bk>
      <extLst>
        <ext uri="{3e2802c4-a4d2-4d8b-9148-e3be6c30e623}">
          <xlrd:rvb i="7156"/>
        </ext>
      </extLst>
    </bk>
    <bk>
      <extLst>
        <ext uri="{3e2802c4-a4d2-4d8b-9148-e3be6c30e623}">
          <xlrd:rvb i="7157"/>
        </ext>
      </extLst>
    </bk>
    <bk>
      <extLst>
        <ext uri="{3e2802c4-a4d2-4d8b-9148-e3be6c30e623}">
          <xlrd:rvb i="7158"/>
        </ext>
      </extLst>
    </bk>
    <bk>
      <extLst>
        <ext uri="{3e2802c4-a4d2-4d8b-9148-e3be6c30e623}">
          <xlrd:rvb i="7159"/>
        </ext>
      </extLst>
    </bk>
    <bk>
      <extLst>
        <ext uri="{3e2802c4-a4d2-4d8b-9148-e3be6c30e623}">
          <xlrd:rvb i="7160"/>
        </ext>
      </extLst>
    </bk>
    <bk>
      <extLst>
        <ext uri="{3e2802c4-a4d2-4d8b-9148-e3be6c30e623}">
          <xlrd:rvb i="7161"/>
        </ext>
      </extLst>
    </bk>
    <bk>
      <extLst>
        <ext uri="{3e2802c4-a4d2-4d8b-9148-e3be6c30e623}">
          <xlrd:rvb i="7162"/>
        </ext>
      </extLst>
    </bk>
    <bk>
      <extLst>
        <ext uri="{3e2802c4-a4d2-4d8b-9148-e3be6c30e623}">
          <xlrd:rvb i="7163"/>
        </ext>
      </extLst>
    </bk>
    <bk>
      <extLst>
        <ext uri="{3e2802c4-a4d2-4d8b-9148-e3be6c30e623}">
          <xlrd:rvb i="7164"/>
        </ext>
      </extLst>
    </bk>
    <bk>
      <extLst>
        <ext uri="{3e2802c4-a4d2-4d8b-9148-e3be6c30e623}">
          <xlrd:rvb i="7165"/>
        </ext>
      </extLst>
    </bk>
    <bk>
      <extLst>
        <ext uri="{3e2802c4-a4d2-4d8b-9148-e3be6c30e623}">
          <xlrd:rvb i="7166"/>
        </ext>
      </extLst>
    </bk>
    <bk>
      <extLst>
        <ext uri="{3e2802c4-a4d2-4d8b-9148-e3be6c30e623}">
          <xlrd:rvb i="7167"/>
        </ext>
      </extLst>
    </bk>
    <bk>
      <extLst>
        <ext uri="{3e2802c4-a4d2-4d8b-9148-e3be6c30e623}">
          <xlrd:rvb i="7168"/>
        </ext>
      </extLst>
    </bk>
    <bk>
      <extLst>
        <ext uri="{3e2802c4-a4d2-4d8b-9148-e3be6c30e623}">
          <xlrd:rvb i="7169"/>
        </ext>
      </extLst>
    </bk>
    <bk>
      <extLst>
        <ext uri="{3e2802c4-a4d2-4d8b-9148-e3be6c30e623}">
          <xlrd:rvb i="7170"/>
        </ext>
      </extLst>
    </bk>
    <bk>
      <extLst>
        <ext uri="{3e2802c4-a4d2-4d8b-9148-e3be6c30e623}">
          <xlrd:rvb i="7171"/>
        </ext>
      </extLst>
    </bk>
    <bk>
      <extLst>
        <ext uri="{3e2802c4-a4d2-4d8b-9148-e3be6c30e623}">
          <xlrd:rvb i="7172"/>
        </ext>
      </extLst>
    </bk>
    <bk>
      <extLst>
        <ext uri="{3e2802c4-a4d2-4d8b-9148-e3be6c30e623}">
          <xlrd:rvb i="7173"/>
        </ext>
      </extLst>
    </bk>
    <bk>
      <extLst>
        <ext uri="{3e2802c4-a4d2-4d8b-9148-e3be6c30e623}">
          <xlrd:rvb i="7174"/>
        </ext>
      </extLst>
    </bk>
    <bk>
      <extLst>
        <ext uri="{3e2802c4-a4d2-4d8b-9148-e3be6c30e623}">
          <xlrd:rvb i="7175"/>
        </ext>
      </extLst>
    </bk>
    <bk>
      <extLst>
        <ext uri="{3e2802c4-a4d2-4d8b-9148-e3be6c30e623}">
          <xlrd:rvb i="7176"/>
        </ext>
      </extLst>
    </bk>
    <bk>
      <extLst>
        <ext uri="{3e2802c4-a4d2-4d8b-9148-e3be6c30e623}">
          <xlrd:rvb i="7177"/>
        </ext>
      </extLst>
    </bk>
    <bk>
      <extLst>
        <ext uri="{3e2802c4-a4d2-4d8b-9148-e3be6c30e623}">
          <xlrd:rvb i="7178"/>
        </ext>
      </extLst>
    </bk>
    <bk>
      <extLst>
        <ext uri="{3e2802c4-a4d2-4d8b-9148-e3be6c30e623}">
          <xlrd:rvb i="7179"/>
        </ext>
      </extLst>
    </bk>
    <bk>
      <extLst>
        <ext uri="{3e2802c4-a4d2-4d8b-9148-e3be6c30e623}">
          <xlrd:rvb i="7180"/>
        </ext>
      </extLst>
    </bk>
    <bk>
      <extLst>
        <ext uri="{3e2802c4-a4d2-4d8b-9148-e3be6c30e623}">
          <xlrd:rvb i="7181"/>
        </ext>
      </extLst>
    </bk>
    <bk>
      <extLst>
        <ext uri="{3e2802c4-a4d2-4d8b-9148-e3be6c30e623}">
          <xlrd:rvb i="7182"/>
        </ext>
      </extLst>
    </bk>
    <bk>
      <extLst>
        <ext uri="{3e2802c4-a4d2-4d8b-9148-e3be6c30e623}">
          <xlrd:rvb i="7183"/>
        </ext>
      </extLst>
    </bk>
    <bk>
      <extLst>
        <ext uri="{3e2802c4-a4d2-4d8b-9148-e3be6c30e623}">
          <xlrd:rvb i="7184"/>
        </ext>
      </extLst>
    </bk>
    <bk>
      <extLst>
        <ext uri="{3e2802c4-a4d2-4d8b-9148-e3be6c30e623}">
          <xlrd:rvb i="7185"/>
        </ext>
      </extLst>
    </bk>
    <bk>
      <extLst>
        <ext uri="{3e2802c4-a4d2-4d8b-9148-e3be6c30e623}">
          <xlrd:rvb i="7186"/>
        </ext>
      </extLst>
    </bk>
    <bk>
      <extLst>
        <ext uri="{3e2802c4-a4d2-4d8b-9148-e3be6c30e623}">
          <xlrd:rvb i="7187"/>
        </ext>
      </extLst>
    </bk>
    <bk>
      <extLst>
        <ext uri="{3e2802c4-a4d2-4d8b-9148-e3be6c30e623}">
          <xlrd:rvb i="7188"/>
        </ext>
      </extLst>
    </bk>
    <bk>
      <extLst>
        <ext uri="{3e2802c4-a4d2-4d8b-9148-e3be6c30e623}">
          <xlrd:rvb i="7189"/>
        </ext>
      </extLst>
    </bk>
    <bk>
      <extLst>
        <ext uri="{3e2802c4-a4d2-4d8b-9148-e3be6c30e623}">
          <xlrd:rvb i="7190"/>
        </ext>
      </extLst>
    </bk>
    <bk>
      <extLst>
        <ext uri="{3e2802c4-a4d2-4d8b-9148-e3be6c30e623}">
          <xlrd:rvb i="7191"/>
        </ext>
      </extLst>
    </bk>
    <bk>
      <extLst>
        <ext uri="{3e2802c4-a4d2-4d8b-9148-e3be6c30e623}">
          <xlrd:rvb i="7192"/>
        </ext>
      </extLst>
    </bk>
    <bk>
      <extLst>
        <ext uri="{3e2802c4-a4d2-4d8b-9148-e3be6c30e623}">
          <xlrd:rvb i="7193"/>
        </ext>
      </extLst>
    </bk>
    <bk>
      <extLst>
        <ext uri="{3e2802c4-a4d2-4d8b-9148-e3be6c30e623}">
          <xlrd:rvb i="7194"/>
        </ext>
      </extLst>
    </bk>
    <bk>
      <extLst>
        <ext uri="{3e2802c4-a4d2-4d8b-9148-e3be6c30e623}">
          <xlrd:rvb i="7195"/>
        </ext>
      </extLst>
    </bk>
    <bk>
      <extLst>
        <ext uri="{3e2802c4-a4d2-4d8b-9148-e3be6c30e623}">
          <xlrd:rvb i="7196"/>
        </ext>
      </extLst>
    </bk>
    <bk>
      <extLst>
        <ext uri="{3e2802c4-a4d2-4d8b-9148-e3be6c30e623}">
          <xlrd:rvb i="7197"/>
        </ext>
      </extLst>
    </bk>
    <bk>
      <extLst>
        <ext uri="{3e2802c4-a4d2-4d8b-9148-e3be6c30e623}">
          <xlrd:rvb i="7198"/>
        </ext>
      </extLst>
    </bk>
    <bk>
      <extLst>
        <ext uri="{3e2802c4-a4d2-4d8b-9148-e3be6c30e623}">
          <xlrd:rvb i="7199"/>
        </ext>
      </extLst>
    </bk>
    <bk>
      <extLst>
        <ext uri="{3e2802c4-a4d2-4d8b-9148-e3be6c30e623}">
          <xlrd:rvb i="7200"/>
        </ext>
      </extLst>
    </bk>
    <bk>
      <extLst>
        <ext uri="{3e2802c4-a4d2-4d8b-9148-e3be6c30e623}">
          <xlrd:rvb i="7201"/>
        </ext>
      </extLst>
    </bk>
    <bk>
      <extLst>
        <ext uri="{3e2802c4-a4d2-4d8b-9148-e3be6c30e623}">
          <xlrd:rvb i="7202"/>
        </ext>
      </extLst>
    </bk>
    <bk>
      <extLst>
        <ext uri="{3e2802c4-a4d2-4d8b-9148-e3be6c30e623}">
          <xlrd:rvb i="7203"/>
        </ext>
      </extLst>
    </bk>
    <bk>
      <extLst>
        <ext uri="{3e2802c4-a4d2-4d8b-9148-e3be6c30e623}">
          <xlrd:rvb i="7204"/>
        </ext>
      </extLst>
    </bk>
    <bk>
      <extLst>
        <ext uri="{3e2802c4-a4d2-4d8b-9148-e3be6c30e623}">
          <xlrd:rvb i="7205"/>
        </ext>
      </extLst>
    </bk>
    <bk>
      <extLst>
        <ext uri="{3e2802c4-a4d2-4d8b-9148-e3be6c30e623}">
          <xlrd:rvb i="7206"/>
        </ext>
      </extLst>
    </bk>
    <bk>
      <extLst>
        <ext uri="{3e2802c4-a4d2-4d8b-9148-e3be6c30e623}">
          <xlrd:rvb i="7207"/>
        </ext>
      </extLst>
    </bk>
    <bk>
      <extLst>
        <ext uri="{3e2802c4-a4d2-4d8b-9148-e3be6c30e623}">
          <xlrd:rvb i="7208"/>
        </ext>
      </extLst>
    </bk>
    <bk>
      <extLst>
        <ext uri="{3e2802c4-a4d2-4d8b-9148-e3be6c30e623}">
          <xlrd:rvb i="7209"/>
        </ext>
      </extLst>
    </bk>
    <bk>
      <extLst>
        <ext uri="{3e2802c4-a4d2-4d8b-9148-e3be6c30e623}">
          <xlrd:rvb i="7210"/>
        </ext>
      </extLst>
    </bk>
    <bk>
      <extLst>
        <ext uri="{3e2802c4-a4d2-4d8b-9148-e3be6c30e623}">
          <xlrd:rvb i="7211"/>
        </ext>
      </extLst>
    </bk>
    <bk>
      <extLst>
        <ext uri="{3e2802c4-a4d2-4d8b-9148-e3be6c30e623}">
          <xlrd:rvb i="7212"/>
        </ext>
      </extLst>
    </bk>
    <bk>
      <extLst>
        <ext uri="{3e2802c4-a4d2-4d8b-9148-e3be6c30e623}">
          <xlrd:rvb i="7213"/>
        </ext>
      </extLst>
    </bk>
    <bk>
      <extLst>
        <ext uri="{3e2802c4-a4d2-4d8b-9148-e3be6c30e623}">
          <xlrd:rvb i="7214"/>
        </ext>
      </extLst>
    </bk>
    <bk>
      <extLst>
        <ext uri="{3e2802c4-a4d2-4d8b-9148-e3be6c30e623}">
          <xlrd:rvb i="7215"/>
        </ext>
      </extLst>
    </bk>
    <bk>
      <extLst>
        <ext uri="{3e2802c4-a4d2-4d8b-9148-e3be6c30e623}">
          <xlrd:rvb i="7216"/>
        </ext>
      </extLst>
    </bk>
    <bk>
      <extLst>
        <ext uri="{3e2802c4-a4d2-4d8b-9148-e3be6c30e623}">
          <xlrd:rvb i="7217"/>
        </ext>
      </extLst>
    </bk>
    <bk>
      <extLst>
        <ext uri="{3e2802c4-a4d2-4d8b-9148-e3be6c30e623}">
          <xlrd:rvb i="7218"/>
        </ext>
      </extLst>
    </bk>
    <bk>
      <extLst>
        <ext uri="{3e2802c4-a4d2-4d8b-9148-e3be6c30e623}">
          <xlrd:rvb i="7219"/>
        </ext>
      </extLst>
    </bk>
    <bk>
      <extLst>
        <ext uri="{3e2802c4-a4d2-4d8b-9148-e3be6c30e623}">
          <xlrd:rvb i="7220"/>
        </ext>
      </extLst>
    </bk>
    <bk>
      <extLst>
        <ext uri="{3e2802c4-a4d2-4d8b-9148-e3be6c30e623}">
          <xlrd:rvb i="7221"/>
        </ext>
      </extLst>
    </bk>
    <bk>
      <extLst>
        <ext uri="{3e2802c4-a4d2-4d8b-9148-e3be6c30e623}">
          <xlrd:rvb i="7222"/>
        </ext>
      </extLst>
    </bk>
    <bk>
      <extLst>
        <ext uri="{3e2802c4-a4d2-4d8b-9148-e3be6c30e623}">
          <xlrd:rvb i="7223"/>
        </ext>
      </extLst>
    </bk>
    <bk>
      <extLst>
        <ext uri="{3e2802c4-a4d2-4d8b-9148-e3be6c30e623}">
          <xlrd:rvb i="7224"/>
        </ext>
      </extLst>
    </bk>
    <bk>
      <extLst>
        <ext uri="{3e2802c4-a4d2-4d8b-9148-e3be6c30e623}">
          <xlrd:rvb i="7225"/>
        </ext>
      </extLst>
    </bk>
    <bk>
      <extLst>
        <ext uri="{3e2802c4-a4d2-4d8b-9148-e3be6c30e623}">
          <xlrd:rvb i="7226"/>
        </ext>
      </extLst>
    </bk>
    <bk>
      <extLst>
        <ext uri="{3e2802c4-a4d2-4d8b-9148-e3be6c30e623}">
          <xlrd:rvb i="7227"/>
        </ext>
      </extLst>
    </bk>
    <bk>
      <extLst>
        <ext uri="{3e2802c4-a4d2-4d8b-9148-e3be6c30e623}">
          <xlrd:rvb i="7228"/>
        </ext>
      </extLst>
    </bk>
    <bk>
      <extLst>
        <ext uri="{3e2802c4-a4d2-4d8b-9148-e3be6c30e623}">
          <xlrd:rvb i="7229"/>
        </ext>
      </extLst>
    </bk>
    <bk>
      <extLst>
        <ext uri="{3e2802c4-a4d2-4d8b-9148-e3be6c30e623}">
          <xlrd:rvb i="7230"/>
        </ext>
      </extLst>
    </bk>
    <bk>
      <extLst>
        <ext uri="{3e2802c4-a4d2-4d8b-9148-e3be6c30e623}">
          <xlrd:rvb i="7231"/>
        </ext>
      </extLst>
    </bk>
    <bk>
      <extLst>
        <ext uri="{3e2802c4-a4d2-4d8b-9148-e3be6c30e623}">
          <xlrd:rvb i="7232"/>
        </ext>
      </extLst>
    </bk>
    <bk>
      <extLst>
        <ext uri="{3e2802c4-a4d2-4d8b-9148-e3be6c30e623}">
          <xlrd:rvb i="7233"/>
        </ext>
      </extLst>
    </bk>
    <bk>
      <extLst>
        <ext uri="{3e2802c4-a4d2-4d8b-9148-e3be6c30e623}">
          <xlrd:rvb i="7234"/>
        </ext>
      </extLst>
    </bk>
    <bk>
      <extLst>
        <ext uri="{3e2802c4-a4d2-4d8b-9148-e3be6c30e623}">
          <xlrd:rvb i="7235"/>
        </ext>
      </extLst>
    </bk>
    <bk>
      <extLst>
        <ext uri="{3e2802c4-a4d2-4d8b-9148-e3be6c30e623}">
          <xlrd:rvb i="7236"/>
        </ext>
      </extLst>
    </bk>
    <bk>
      <extLst>
        <ext uri="{3e2802c4-a4d2-4d8b-9148-e3be6c30e623}">
          <xlrd:rvb i="7237"/>
        </ext>
      </extLst>
    </bk>
    <bk>
      <extLst>
        <ext uri="{3e2802c4-a4d2-4d8b-9148-e3be6c30e623}">
          <xlrd:rvb i="7238"/>
        </ext>
      </extLst>
    </bk>
    <bk>
      <extLst>
        <ext uri="{3e2802c4-a4d2-4d8b-9148-e3be6c30e623}">
          <xlrd:rvb i="7239"/>
        </ext>
      </extLst>
    </bk>
    <bk>
      <extLst>
        <ext uri="{3e2802c4-a4d2-4d8b-9148-e3be6c30e623}">
          <xlrd:rvb i="7240"/>
        </ext>
      </extLst>
    </bk>
    <bk>
      <extLst>
        <ext uri="{3e2802c4-a4d2-4d8b-9148-e3be6c30e623}">
          <xlrd:rvb i="7241"/>
        </ext>
      </extLst>
    </bk>
    <bk>
      <extLst>
        <ext uri="{3e2802c4-a4d2-4d8b-9148-e3be6c30e623}">
          <xlrd:rvb i="7242"/>
        </ext>
      </extLst>
    </bk>
    <bk>
      <extLst>
        <ext uri="{3e2802c4-a4d2-4d8b-9148-e3be6c30e623}">
          <xlrd:rvb i="7243"/>
        </ext>
      </extLst>
    </bk>
    <bk>
      <extLst>
        <ext uri="{3e2802c4-a4d2-4d8b-9148-e3be6c30e623}">
          <xlrd:rvb i="7244"/>
        </ext>
      </extLst>
    </bk>
    <bk>
      <extLst>
        <ext uri="{3e2802c4-a4d2-4d8b-9148-e3be6c30e623}">
          <xlrd:rvb i="7245"/>
        </ext>
      </extLst>
    </bk>
    <bk>
      <extLst>
        <ext uri="{3e2802c4-a4d2-4d8b-9148-e3be6c30e623}">
          <xlrd:rvb i="7246"/>
        </ext>
      </extLst>
    </bk>
    <bk>
      <extLst>
        <ext uri="{3e2802c4-a4d2-4d8b-9148-e3be6c30e623}">
          <xlrd:rvb i="7247"/>
        </ext>
      </extLst>
    </bk>
    <bk>
      <extLst>
        <ext uri="{3e2802c4-a4d2-4d8b-9148-e3be6c30e623}">
          <xlrd:rvb i="7248"/>
        </ext>
      </extLst>
    </bk>
    <bk>
      <extLst>
        <ext uri="{3e2802c4-a4d2-4d8b-9148-e3be6c30e623}">
          <xlrd:rvb i="7249"/>
        </ext>
      </extLst>
    </bk>
    <bk>
      <extLst>
        <ext uri="{3e2802c4-a4d2-4d8b-9148-e3be6c30e623}">
          <xlrd:rvb i="7250"/>
        </ext>
      </extLst>
    </bk>
    <bk>
      <extLst>
        <ext uri="{3e2802c4-a4d2-4d8b-9148-e3be6c30e623}">
          <xlrd:rvb i="7251"/>
        </ext>
      </extLst>
    </bk>
    <bk>
      <extLst>
        <ext uri="{3e2802c4-a4d2-4d8b-9148-e3be6c30e623}">
          <xlrd:rvb i="7252"/>
        </ext>
      </extLst>
    </bk>
    <bk>
      <extLst>
        <ext uri="{3e2802c4-a4d2-4d8b-9148-e3be6c30e623}">
          <xlrd:rvb i="7253"/>
        </ext>
      </extLst>
    </bk>
    <bk>
      <extLst>
        <ext uri="{3e2802c4-a4d2-4d8b-9148-e3be6c30e623}">
          <xlrd:rvb i="7254"/>
        </ext>
      </extLst>
    </bk>
    <bk>
      <extLst>
        <ext uri="{3e2802c4-a4d2-4d8b-9148-e3be6c30e623}">
          <xlrd:rvb i="7255"/>
        </ext>
      </extLst>
    </bk>
    <bk>
      <extLst>
        <ext uri="{3e2802c4-a4d2-4d8b-9148-e3be6c30e623}">
          <xlrd:rvb i="7256"/>
        </ext>
      </extLst>
    </bk>
    <bk>
      <extLst>
        <ext uri="{3e2802c4-a4d2-4d8b-9148-e3be6c30e623}">
          <xlrd:rvb i="7257"/>
        </ext>
      </extLst>
    </bk>
    <bk>
      <extLst>
        <ext uri="{3e2802c4-a4d2-4d8b-9148-e3be6c30e623}">
          <xlrd:rvb i="7258"/>
        </ext>
      </extLst>
    </bk>
    <bk>
      <extLst>
        <ext uri="{3e2802c4-a4d2-4d8b-9148-e3be6c30e623}">
          <xlrd:rvb i="7259"/>
        </ext>
      </extLst>
    </bk>
    <bk>
      <extLst>
        <ext uri="{3e2802c4-a4d2-4d8b-9148-e3be6c30e623}">
          <xlrd:rvb i="7260"/>
        </ext>
      </extLst>
    </bk>
    <bk>
      <extLst>
        <ext uri="{3e2802c4-a4d2-4d8b-9148-e3be6c30e623}">
          <xlrd:rvb i="7261"/>
        </ext>
      </extLst>
    </bk>
    <bk>
      <extLst>
        <ext uri="{3e2802c4-a4d2-4d8b-9148-e3be6c30e623}">
          <xlrd:rvb i="7262"/>
        </ext>
      </extLst>
    </bk>
    <bk>
      <extLst>
        <ext uri="{3e2802c4-a4d2-4d8b-9148-e3be6c30e623}">
          <xlrd:rvb i="7263"/>
        </ext>
      </extLst>
    </bk>
    <bk>
      <extLst>
        <ext uri="{3e2802c4-a4d2-4d8b-9148-e3be6c30e623}">
          <xlrd:rvb i="7264"/>
        </ext>
      </extLst>
    </bk>
    <bk>
      <extLst>
        <ext uri="{3e2802c4-a4d2-4d8b-9148-e3be6c30e623}">
          <xlrd:rvb i="7265"/>
        </ext>
      </extLst>
    </bk>
    <bk>
      <extLst>
        <ext uri="{3e2802c4-a4d2-4d8b-9148-e3be6c30e623}">
          <xlrd:rvb i="7266"/>
        </ext>
      </extLst>
    </bk>
    <bk>
      <extLst>
        <ext uri="{3e2802c4-a4d2-4d8b-9148-e3be6c30e623}">
          <xlrd:rvb i="7267"/>
        </ext>
      </extLst>
    </bk>
    <bk>
      <extLst>
        <ext uri="{3e2802c4-a4d2-4d8b-9148-e3be6c30e623}">
          <xlrd:rvb i="7268"/>
        </ext>
      </extLst>
    </bk>
    <bk>
      <extLst>
        <ext uri="{3e2802c4-a4d2-4d8b-9148-e3be6c30e623}">
          <xlrd:rvb i="7269"/>
        </ext>
      </extLst>
    </bk>
    <bk>
      <extLst>
        <ext uri="{3e2802c4-a4d2-4d8b-9148-e3be6c30e623}">
          <xlrd:rvb i="7270"/>
        </ext>
      </extLst>
    </bk>
    <bk>
      <extLst>
        <ext uri="{3e2802c4-a4d2-4d8b-9148-e3be6c30e623}">
          <xlrd:rvb i="7271"/>
        </ext>
      </extLst>
    </bk>
    <bk>
      <extLst>
        <ext uri="{3e2802c4-a4d2-4d8b-9148-e3be6c30e623}">
          <xlrd:rvb i="7272"/>
        </ext>
      </extLst>
    </bk>
    <bk>
      <extLst>
        <ext uri="{3e2802c4-a4d2-4d8b-9148-e3be6c30e623}">
          <xlrd:rvb i="7273"/>
        </ext>
      </extLst>
    </bk>
    <bk>
      <extLst>
        <ext uri="{3e2802c4-a4d2-4d8b-9148-e3be6c30e623}">
          <xlrd:rvb i="7274"/>
        </ext>
      </extLst>
    </bk>
    <bk>
      <extLst>
        <ext uri="{3e2802c4-a4d2-4d8b-9148-e3be6c30e623}">
          <xlrd:rvb i="7275"/>
        </ext>
      </extLst>
    </bk>
    <bk>
      <extLst>
        <ext uri="{3e2802c4-a4d2-4d8b-9148-e3be6c30e623}">
          <xlrd:rvb i="7276"/>
        </ext>
      </extLst>
    </bk>
    <bk>
      <extLst>
        <ext uri="{3e2802c4-a4d2-4d8b-9148-e3be6c30e623}">
          <xlrd:rvb i="7277"/>
        </ext>
      </extLst>
    </bk>
    <bk>
      <extLst>
        <ext uri="{3e2802c4-a4d2-4d8b-9148-e3be6c30e623}">
          <xlrd:rvb i="7278"/>
        </ext>
      </extLst>
    </bk>
    <bk>
      <extLst>
        <ext uri="{3e2802c4-a4d2-4d8b-9148-e3be6c30e623}">
          <xlrd:rvb i="7279"/>
        </ext>
      </extLst>
    </bk>
    <bk>
      <extLst>
        <ext uri="{3e2802c4-a4d2-4d8b-9148-e3be6c30e623}">
          <xlrd:rvb i="7280"/>
        </ext>
      </extLst>
    </bk>
    <bk>
      <extLst>
        <ext uri="{3e2802c4-a4d2-4d8b-9148-e3be6c30e623}">
          <xlrd:rvb i="7281"/>
        </ext>
      </extLst>
    </bk>
    <bk>
      <extLst>
        <ext uri="{3e2802c4-a4d2-4d8b-9148-e3be6c30e623}">
          <xlrd:rvb i="7282"/>
        </ext>
      </extLst>
    </bk>
    <bk>
      <extLst>
        <ext uri="{3e2802c4-a4d2-4d8b-9148-e3be6c30e623}">
          <xlrd:rvb i="7283"/>
        </ext>
      </extLst>
    </bk>
    <bk>
      <extLst>
        <ext uri="{3e2802c4-a4d2-4d8b-9148-e3be6c30e623}">
          <xlrd:rvb i="7284"/>
        </ext>
      </extLst>
    </bk>
    <bk>
      <extLst>
        <ext uri="{3e2802c4-a4d2-4d8b-9148-e3be6c30e623}">
          <xlrd:rvb i="7285"/>
        </ext>
      </extLst>
    </bk>
    <bk>
      <extLst>
        <ext uri="{3e2802c4-a4d2-4d8b-9148-e3be6c30e623}">
          <xlrd:rvb i="7286"/>
        </ext>
      </extLst>
    </bk>
    <bk>
      <extLst>
        <ext uri="{3e2802c4-a4d2-4d8b-9148-e3be6c30e623}">
          <xlrd:rvb i="7287"/>
        </ext>
      </extLst>
    </bk>
    <bk>
      <extLst>
        <ext uri="{3e2802c4-a4d2-4d8b-9148-e3be6c30e623}">
          <xlrd:rvb i="7288"/>
        </ext>
      </extLst>
    </bk>
    <bk>
      <extLst>
        <ext uri="{3e2802c4-a4d2-4d8b-9148-e3be6c30e623}">
          <xlrd:rvb i="7289"/>
        </ext>
      </extLst>
    </bk>
    <bk>
      <extLst>
        <ext uri="{3e2802c4-a4d2-4d8b-9148-e3be6c30e623}">
          <xlrd:rvb i="7290"/>
        </ext>
      </extLst>
    </bk>
    <bk>
      <extLst>
        <ext uri="{3e2802c4-a4d2-4d8b-9148-e3be6c30e623}">
          <xlrd:rvb i="7291"/>
        </ext>
      </extLst>
    </bk>
    <bk>
      <extLst>
        <ext uri="{3e2802c4-a4d2-4d8b-9148-e3be6c30e623}">
          <xlrd:rvb i="7292"/>
        </ext>
      </extLst>
    </bk>
    <bk>
      <extLst>
        <ext uri="{3e2802c4-a4d2-4d8b-9148-e3be6c30e623}">
          <xlrd:rvb i="7293"/>
        </ext>
      </extLst>
    </bk>
    <bk>
      <extLst>
        <ext uri="{3e2802c4-a4d2-4d8b-9148-e3be6c30e623}">
          <xlrd:rvb i="7294"/>
        </ext>
      </extLst>
    </bk>
    <bk>
      <extLst>
        <ext uri="{3e2802c4-a4d2-4d8b-9148-e3be6c30e623}">
          <xlrd:rvb i="7295"/>
        </ext>
      </extLst>
    </bk>
    <bk>
      <extLst>
        <ext uri="{3e2802c4-a4d2-4d8b-9148-e3be6c30e623}">
          <xlrd:rvb i="7296"/>
        </ext>
      </extLst>
    </bk>
    <bk>
      <extLst>
        <ext uri="{3e2802c4-a4d2-4d8b-9148-e3be6c30e623}">
          <xlrd:rvb i="7297"/>
        </ext>
      </extLst>
    </bk>
    <bk>
      <extLst>
        <ext uri="{3e2802c4-a4d2-4d8b-9148-e3be6c30e623}">
          <xlrd:rvb i="7298"/>
        </ext>
      </extLst>
    </bk>
    <bk>
      <extLst>
        <ext uri="{3e2802c4-a4d2-4d8b-9148-e3be6c30e623}">
          <xlrd:rvb i="7299"/>
        </ext>
      </extLst>
    </bk>
    <bk>
      <extLst>
        <ext uri="{3e2802c4-a4d2-4d8b-9148-e3be6c30e623}">
          <xlrd:rvb i="7300"/>
        </ext>
      </extLst>
    </bk>
    <bk>
      <extLst>
        <ext uri="{3e2802c4-a4d2-4d8b-9148-e3be6c30e623}">
          <xlrd:rvb i="7301"/>
        </ext>
      </extLst>
    </bk>
    <bk>
      <extLst>
        <ext uri="{3e2802c4-a4d2-4d8b-9148-e3be6c30e623}">
          <xlrd:rvb i="7302"/>
        </ext>
      </extLst>
    </bk>
    <bk>
      <extLst>
        <ext uri="{3e2802c4-a4d2-4d8b-9148-e3be6c30e623}">
          <xlrd:rvb i="7303"/>
        </ext>
      </extLst>
    </bk>
    <bk>
      <extLst>
        <ext uri="{3e2802c4-a4d2-4d8b-9148-e3be6c30e623}">
          <xlrd:rvb i="7304"/>
        </ext>
      </extLst>
    </bk>
    <bk>
      <extLst>
        <ext uri="{3e2802c4-a4d2-4d8b-9148-e3be6c30e623}">
          <xlrd:rvb i="7305"/>
        </ext>
      </extLst>
    </bk>
    <bk>
      <extLst>
        <ext uri="{3e2802c4-a4d2-4d8b-9148-e3be6c30e623}">
          <xlrd:rvb i="7306"/>
        </ext>
      </extLst>
    </bk>
    <bk>
      <extLst>
        <ext uri="{3e2802c4-a4d2-4d8b-9148-e3be6c30e623}">
          <xlrd:rvb i="7307"/>
        </ext>
      </extLst>
    </bk>
    <bk>
      <extLst>
        <ext uri="{3e2802c4-a4d2-4d8b-9148-e3be6c30e623}">
          <xlrd:rvb i="7308"/>
        </ext>
      </extLst>
    </bk>
    <bk>
      <extLst>
        <ext uri="{3e2802c4-a4d2-4d8b-9148-e3be6c30e623}">
          <xlrd:rvb i="7309"/>
        </ext>
      </extLst>
    </bk>
    <bk>
      <extLst>
        <ext uri="{3e2802c4-a4d2-4d8b-9148-e3be6c30e623}">
          <xlrd:rvb i="7310"/>
        </ext>
      </extLst>
    </bk>
    <bk>
      <extLst>
        <ext uri="{3e2802c4-a4d2-4d8b-9148-e3be6c30e623}">
          <xlrd:rvb i="7311"/>
        </ext>
      </extLst>
    </bk>
    <bk>
      <extLst>
        <ext uri="{3e2802c4-a4d2-4d8b-9148-e3be6c30e623}">
          <xlrd:rvb i="7312"/>
        </ext>
      </extLst>
    </bk>
    <bk>
      <extLst>
        <ext uri="{3e2802c4-a4d2-4d8b-9148-e3be6c30e623}">
          <xlrd:rvb i="7313"/>
        </ext>
      </extLst>
    </bk>
    <bk>
      <extLst>
        <ext uri="{3e2802c4-a4d2-4d8b-9148-e3be6c30e623}">
          <xlrd:rvb i="7314"/>
        </ext>
      </extLst>
    </bk>
    <bk>
      <extLst>
        <ext uri="{3e2802c4-a4d2-4d8b-9148-e3be6c30e623}">
          <xlrd:rvb i="7315"/>
        </ext>
      </extLst>
    </bk>
    <bk>
      <extLst>
        <ext uri="{3e2802c4-a4d2-4d8b-9148-e3be6c30e623}">
          <xlrd:rvb i="7316"/>
        </ext>
      </extLst>
    </bk>
    <bk>
      <extLst>
        <ext uri="{3e2802c4-a4d2-4d8b-9148-e3be6c30e623}">
          <xlrd:rvb i="7317"/>
        </ext>
      </extLst>
    </bk>
    <bk>
      <extLst>
        <ext uri="{3e2802c4-a4d2-4d8b-9148-e3be6c30e623}">
          <xlrd:rvb i="7318"/>
        </ext>
      </extLst>
    </bk>
    <bk>
      <extLst>
        <ext uri="{3e2802c4-a4d2-4d8b-9148-e3be6c30e623}">
          <xlrd:rvb i="7319"/>
        </ext>
      </extLst>
    </bk>
    <bk>
      <extLst>
        <ext uri="{3e2802c4-a4d2-4d8b-9148-e3be6c30e623}">
          <xlrd:rvb i="7320"/>
        </ext>
      </extLst>
    </bk>
    <bk>
      <extLst>
        <ext uri="{3e2802c4-a4d2-4d8b-9148-e3be6c30e623}">
          <xlrd:rvb i="7321"/>
        </ext>
      </extLst>
    </bk>
    <bk>
      <extLst>
        <ext uri="{3e2802c4-a4d2-4d8b-9148-e3be6c30e623}">
          <xlrd:rvb i="7322"/>
        </ext>
      </extLst>
    </bk>
    <bk>
      <extLst>
        <ext uri="{3e2802c4-a4d2-4d8b-9148-e3be6c30e623}">
          <xlrd:rvb i="7323"/>
        </ext>
      </extLst>
    </bk>
    <bk>
      <extLst>
        <ext uri="{3e2802c4-a4d2-4d8b-9148-e3be6c30e623}">
          <xlrd:rvb i="7324"/>
        </ext>
      </extLst>
    </bk>
    <bk>
      <extLst>
        <ext uri="{3e2802c4-a4d2-4d8b-9148-e3be6c30e623}">
          <xlrd:rvb i="7325"/>
        </ext>
      </extLst>
    </bk>
    <bk>
      <extLst>
        <ext uri="{3e2802c4-a4d2-4d8b-9148-e3be6c30e623}">
          <xlrd:rvb i="7326"/>
        </ext>
      </extLst>
    </bk>
    <bk>
      <extLst>
        <ext uri="{3e2802c4-a4d2-4d8b-9148-e3be6c30e623}">
          <xlrd:rvb i="7327"/>
        </ext>
      </extLst>
    </bk>
    <bk>
      <extLst>
        <ext uri="{3e2802c4-a4d2-4d8b-9148-e3be6c30e623}">
          <xlrd:rvb i="7328"/>
        </ext>
      </extLst>
    </bk>
    <bk>
      <extLst>
        <ext uri="{3e2802c4-a4d2-4d8b-9148-e3be6c30e623}">
          <xlrd:rvb i="7329"/>
        </ext>
      </extLst>
    </bk>
    <bk>
      <extLst>
        <ext uri="{3e2802c4-a4d2-4d8b-9148-e3be6c30e623}">
          <xlrd:rvb i="7330"/>
        </ext>
      </extLst>
    </bk>
    <bk>
      <extLst>
        <ext uri="{3e2802c4-a4d2-4d8b-9148-e3be6c30e623}">
          <xlrd:rvb i="7331"/>
        </ext>
      </extLst>
    </bk>
    <bk>
      <extLst>
        <ext uri="{3e2802c4-a4d2-4d8b-9148-e3be6c30e623}">
          <xlrd:rvb i="7332"/>
        </ext>
      </extLst>
    </bk>
    <bk>
      <extLst>
        <ext uri="{3e2802c4-a4d2-4d8b-9148-e3be6c30e623}">
          <xlrd:rvb i="7333"/>
        </ext>
      </extLst>
    </bk>
    <bk>
      <extLst>
        <ext uri="{3e2802c4-a4d2-4d8b-9148-e3be6c30e623}">
          <xlrd:rvb i="7334"/>
        </ext>
      </extLst>
    </bk>
    <bk>
      <extLst>
        <ext uri="{3e2802c4-a4d2-4d8b-9148-e3be6c30e623}">
          <xlrd:rvb i="7335"/>
        </ext>
      </extLst>
    </bk>
    <bk>
      <extLst>
        <ext uri="{3e2802c4-a4d2-4d8b-9148-e3be6c30e623}">
          <xlrd:rvb i="7336"/>
        </ext>
      </extLst>
    </bk>
    <bk>
      <extLst>
        <ext uri="{3e2802c4-a4d2-4d8b-9148-e3be6c30e623}">
          <xlrd:rvb i="7337"/>
        </ext>
      </extLst>
    </bk>
    <bk>
      <extLst>
        <ext uri="{3e2802c4-a4d2-4d8b-9148-e3be6c30e623}">
          <xlrd:rvb i="7338"/>
        </ext>
      </extLst>
    </bk>
    <bk>
      <extLst>
        <ext uri="{3e2802c4-a4d2-4d8b-9148-e3be6c30e623}">
          <xlrd:rvb i="7339"/>
        </ext>
      </extLst>
    </bk>
    <bk>
      <extLst>
        <ext uri="{3e2802c4-a4d2-4d8b-9148-e3be6c30e623}">
          <xlrd:rvb i="7340"/>
        </ext>
      </extLst>
    </bk>
    <bk>
      <extLst>
        <ext uri="{3e2802c4-a4d2-4d8b-9148-e3be6c30e623}">
          <xlrd:rvb i="7341"/>
        </ext>
      </extLst>
    </bk>
    <bk>
      <extLst>
        <ext uri="{3e2802c4-a4d2-4d8b-9148-e3be6c30e623}">
          <xlrd:rvb i="7342"/>
        </ext>
      </extLst>
    </bk>
    <bk>
      <extLst>
        <ext uri="{3e2802c4-a4d2-4d8b-9148-e3be6c30e623}">
          <xlrd:rvb i="7343"/>
        </ext>
      </extLst>
    </bk>
    <bk>
      <extLst>
        <ext uri="{3e2802c4-a4d2-4d8b-9148-e3be6c30e623}">
          <xlrd:rvb i="7344"/>
        </ext>
      </extLst>
    </bk>
    <bk>
      <extLst>
        <ext uri="{3e2802c4-a4d2-4d8b-9148-e3be6c30e623}">
          <xlrd:rvb i="7345"/>
        </ext>
      </extLst>
    </bk>
    <bk>
      <extLst>
        <ext uri="{3e2802c4-a4d2-4d8b-9148-e3be6c30e623}">
          <xlrd:rvb i="7346"/>
        </ext>
      </extLst>
    </bk>
    <bk>
      <extLst>
        <ext uri="{3e2802c4-a4d2-4d8b-9148-e3be6c30e623}">
          <xlrd:rvb i="7347"/>
        </ext>
      </extLst>
    </bk>
    <bk>
      <extLst>
        <ext uri="{3e2802c4-a4d2-4d8b-9148-e3be6c30e623}">
          <xlrd:rvb i="7348"/>
        </ext>
      </extLst>
    </bk>
    <bk>
      <extLst>
        <ext uri="{3e2802c4-a4d2-4d8b-9148-e3be6c30e623}">
          <xlrd:rvb i="7349"/>
        </ext>
      </extLst>
    </bk>
    <bk>
      <extLst>
        <ext uri="{3e2802c4-a4d2-4d8b-9148-e3be6c30e623}">
          <xlrd:rvb i="7350"/>
        </ext>
      </extLst>
    </bk>
    <bk>
      <extLst>
        <ext uri="{3e2802c4-a4d2-4d8b-9148-e3be6c30e623}">
          <xlrd:rvb i="7351"/>
        </ext>
      </extLst>
    </bk>
    <bk>
      <extLst>
        <ext uri="{3e2802c4-a4d2-4d8b-9148-e3be6c30e623}">
          <xlrd:rvb i="7352"/>
        </ext>
      </extLst>
    </bk>
    <bk>
      <extLst>
        <ext uri="{3e2802c4-a4d2-4d8b-9148-e3be6c30e623}">
          <xlrd:rvb i="7353"/>
        </ext>
      </extLst>
    </bk>
    <bk>
      <extLst>
        <ext uri="{3e2802c4-a4d2-4d8b-9148-e3be6c30e623}">
          <xlrd:rvb i="7354"/>
        </ext>
      </extLst>
    </bk>
    <bk>
      <extLst>
        <ext uri="{3e2802c4-a4d2-4d8b-9148-e3be6c30e623}">
          <xlrd:rvb i="7355"/>
        </ext>
      </extLst>
    </bk>
    <bk>
      <extLst>
        <ext uri="{3e2802c4-a4d2-4d8b-9148-e3be6c30e623}">
          <xlrd:rvb i="7356"/>
        </ext>
      </extLst>
    </bk>
    <bk>
      <extLst>
        <ext uri="{3e2802c4-a4d2-4d8b-9148-e3be6c30e623}">
          <xlrd:rvb i="7357"/>
        </ext>
      </extLst>
    </bk>
    <bk>
      <extLst>
        <ext uri="{3e2802c4-a4d2-4d8b-9148-e3be6c30e623}">
          <xlrd:rvb i="7358"/>
        </ext>
      </extLst>
    </bk>
    <bk>
      <extLst>
        <ext uri="{3e2802c4-a4d2-4d8b-9148-e3be6c30e623}">
          <xlrd:rvb i="7359"/>
        </ext>
      </extLst>
    </bk>
    <bk>
      <extLst>
        <ext uri="{3e2802c4-a4d2-4d8b-9148-e3be6c30e623}">
          <xlrd:rvb i="7360"/>
        </ext>
      </extLst>
    </bk>
    <bk>
      <extLst>
        <ext uri="{3e2802c4-a4d2-4d8b-9148-e3be6c30e623}">
          <xlrd:rvb i="7361"/>
        </ext>
      </extLst>
    </bk>
    <bk>
      <extLst>
        <ext uri="{3e2802c4-a4d2-4d8b-9148-e3be6c30e623}">
          <xlrd:rvb i="7362"/>
        </ext>
      </extLst>
    </bk>
    <bk>
      <extLst>
        <ext uri="{3e2802c4-a4d2-4d8b-9148-e3be6c30e623}">
          <xlrd:rvb i="7363"/>
        </ext>
      </extLst>
    </bk>
    <bk>
      <extLst>
        <ext uri="{3e2802c4-a4d2-4d8b-9148-e3be6c30e623}">
          <xlrd:rvb i="7364"/>
        </ext>
      </extLst>
    </bk>
    <bk>
      <extLst>
        <ext uri="{3e2802c4-a4d2-4d8b-9148-e3be6c30e623}">
          <xlrd:rvb i="7365"/>
        </ext>
      </extLst>
    </bk>
    <bk>
      <extLst>
        <ext uri="{3e2802c4-a4d2-4d8b-9148-e3be6c30e623}">
          <xlrd:rvb i="7366"/>
        </ext>
      </extLst>
    </bk>
    <bk>
      <extLst>
        <ext uri="{3e2802c4-a4d2-4d8b-9148-e3be6c30e623}">
          <xlrd:rvb i="7367"/>
        </ext>
      </extLst>
    </bk>
    <bk>
      <extLst>
        <ext uri="{3e2802c4-a4d2-4d8b-9148-e3be6c30e623}">
          <xlrd:rvb i="7368"/>
        </ext>
      </extLst>
    </bk>
    <bk>
      <extLst>
        <ext uri="{3e2802c4-a4d2-4d8b-9148-e3be6c30e623}">
          <xlrd:rvb i="7369"/>
        </ext>
      </extLst>
    </bk>
    <bk>
      <extLst>
        <ext uri="{3e2802c4-a4d2-4d8b-9148-e3be6c30e623}">
          <xlrd:rvb i="7370"/>
        </ext>
      </extLst>
    </bk>
    <bk>
      <extLst>
        <ext uri="{3e2802c4-a4d2-4d8b-9148-e3be6c30e623}">
          <xlrd:rvb i="7371"/>
        </ext>
      </extLst>
    </bk>
    <bk>
      <extLst>
        <ext uri="{3e2802c4-a4d2-4d8b-9148-e3be6c30e623}">
          <xlrd:rvb i="7372"/>
        </ext>
      </extLst>
    </bk>
    <bk>
      <extLst>
        <ext uri="{3e2802c4-a4d2-4d8b-9148-e3be6c30e623}">
          <xlrd:rvb i="7373"/>
        </ext>
      </extLst>
    </bk>
    <bk>
      <extLst>
        <ext uri="{3e2802c4-a4d2-4d8b-9148-e3be6c30e623}">
          <xlrd:rvb i="7374"/>
        </ext>
      </extLst>
    </bk>
    <bk>
      <extLst>
        <ext uri="{3e2802c4-a4d2-4d8b-9148-e3be6c30e623}">
          <xlrd:rvb i="7375"/>
        </ext>
      </extLst>
    </bk>
    <bk>
      <extLst>
        <ext uri="{3e2802c4-a4d2-4d8b-9148-e3be6c30e623}">
          <xlrd:rvb i="7376"/>
        </ext>
      </extLst>
    </bk>
    <bk>
      <extLst>
        <ext uri="{3e2802c4-a4d2-4d8b-9148-e3be6c30e623}">
          <xlrd:rvb i="7377"/>
        </ext>
      </extLst>
    </bk>
    <bk>
      <extLst>
        <ext uri="{3e2802c4-a4d2-4d8b-9148-e3be6c30e623}">
          <xlrd:rvb i="7378"/>
        </ext>
      </extLst>
    </bk>
    <bk>
      <extLst>
        <ext uri="{3e2802c4-a4d2-4d8b-9148-e3be6c30e623}">
          <xlrd:rvb i="7379"/>
        </ext>
      </extLst>
    </bk>
    <bk>
      <extLst>
        <ext uri="{3e2802c4-a4d2-4d8b-9148-e3be6c30e623}">
          <xlrd:rvb i="7380"/>
        </ext>
      </extLst>
    </bk>
    <bk>
      <extLst>
        <ext uri="{3e2802c4-a4d2-4d8b-9148-e3be6c30e623}">
          <xlrd:rvb i="7381"/>
        </ext>
      </extLst>
    </bk>
    <bk>
      <extLst>
        <ext uri="{3e2802c4-a4d2-4d8b-9148-e3be6c30e623}">
          <xlrd:rvb i="7382"/>
        </ext>
      </extLst>
    </bk>
    <bk>
      <extLst>
        <ext uri="{3e2802c4-a4d2-4d8b-9148-e3be6c30e623}">
          <xlrd:rvb i="7383"/>
        </ext>
      </extLst>
    </bk>
    <bk>
      <extLst>
        <ext uri="{3e2802c4-a4d2-4d8b-9148-e3be6c30e623}">
          <xlrd:rvb i="7384"/>
        </ext>
      </extLst>
    </bk>
    <bk>
      <extLst>
        <ext uri="{3e2802c4-a4d2-4d8b-9148-e3be6c30e623}">
          <xlrd:rvb i="7385"/>
        </ext>
      </extLst>
    </bk>
    <bk>
      <extLst>
        <ext uri="{3e2802c4-a4d2-4d8b-9148-e3be6c30e623}">
          <xlrd:rvb i="7386"/>
        </ext>
      </extLst>
    </bk>
    <bk>
      <extLst>
        <ext uri="{3e2802c4-a4d2-4d8b-9148-e3be6c30e623}">
          <xlrd:rvb i="7387"/>
        </ext>
      </extLst>
    </bk>
    <bk>
      <extLst>
        <ext uri="{3e2802c4-a4d2-4d8b-9148-e3be6c30e623}">
          <xlrd:rvb i="7388"/>
        </ext>
      </extLst>
    </bk>
    <bk>
      <extLst>
        <ext uri="{3e2802c4-a4d2-4d8b-9148-e3be6c30e623}">
          <xlrd:rvb i="7389"/>
        </ext>
      </extLst>
    </bk>
    <bk>
      <extLst>
        <ext uri="{3e2802c4-a4d2-4d8b-9148-e3be6c30e623}">
          <xlrd:rvb i="7390"/>
        </ext>
      </extLst>
    </bk>
    <bk>
      <extLst>
        <ext uri="{3e2802c4-a4d2-4d8b-9148-e3be6c30e623}">
          <xlrd:rvb i="7391"/>
        </ext>
      </extLst>
    </bk>
    <bk>
      <extLst>
        <ext uri="{3e2802c4-a4d2-4d8b-9148-e3be6c30e623}">
          <xlrd:rvb i="7392"/>
        </ext>
      </extLst>
    </bk>
    <bk>
      <extLst>
        <ext uri="{3e2802c4-a4d2-4d8b-9148-e3be6c30e623}">
          <xlrd:rvb i="7393"/>
        </ext>
      </extLst>
    </bk>
    <bk>
      <extLst>
        <ext uri="{3e2802c4-a4d2-4d8b-9148-e3be6c30e623}">
          <xlrd:rvb i="7394"/>
        </ext>
      </extLst>
    </bk>
    <bk>
      <extLst>
        <ext uri="{3e2802c4-a4d2-4d8b-9148-e3be6c30e623}">
          <xlrd:rvb i="7395"/>
        </ext>
      </extLst>
    </bk>
    <bk>
      <extLst>
        <ext uri="{3e2802c4-a4d2-4d8b-9148-e3be6c30e623}">
          <xlrd:rvb i="7396"/>
        </ext>
      </extLst>
    </bk>
    <bk>
      <extLst>
        <ext uri="{3e2802c4-a4d2-4d8b-9148-e3be6c30e623}">
          <xlrd:rvb i="7397"/>
        </ext>
      </extLst>
    </bk>
    <bk>
      <extLst>
        <ext uri="{3e2802c4-a4d2-4d8b-9148-e3be6c30e623}">
          <xlrd:rvb i="7398"/>
        </ext>
      </extLst>
    </bk>
    <bk>
      <extLst>
        <ext uri="{3e2802c4-a4d2-4d8b-9148-e3be6c30e623}">
          <xlrd:rvb i="7399"/>
        </ext>
      </extLst>
    </bk>
    <bk>
      <extLst>
        <ext uri="{3e2802c4-a4d2-4d8b-9148-e3be6c30e623}">
          <xlrd:rvb i="7400"/>
        </ext>
      </extLst>
    </bk>
    <bk>
      <extLst>
        <ext uri="{3e2802c4-a4d2-4d8b-9148-e3be6c30e623}">
          <xlrd:rvb i="7401"/>
        </ext>
      </extLst>
    </bk>
    <bk>
      <extLst>
        <ext uri="{3e2802c4-a4d2-4d8b-9148-e3be6c30e623}">
          <xlrd:rvb i="7402"/>
        </ext>
      </extLst>
    </bk>
    <bk>
      <extLst>
        <ext uri="{3e2802c4-a4d2-4d8b-9148-e3be6c30e623}">
          <xlrd:rvb i="7403"/>
        </ext>
      </extLst>
    </bk>
    <bk>
      <extLst>
        <ext uri="{3e2802c4-a4d2-4d8b-9148-e3be6c30e623}">
          <xlrd:rvb i="7404"/>
        </ext>
      </extLst>
    </bk>
    <bk>
      <extLst>
        <ext uri="{3e2802c4-a4d2-4d8b-9148-e3be6c30e623}">
          <xlrd:rvb i="7405"/>
        </ext>
      </extLst>
    </bk>
    <bk>
      <extLst>
        <ext uri="{3e2802c4-a4d2-4d8b-9148-e3be6c30e623}">
          <xlrd:rvb i="7406"/>
        </ext>
      </extLst>
    </bk>
    <bk>
      <extLst>
        <ext uri="{3e2802c4-a4d2-4d8b-9148-e3be6c30e623}">
          <xlrd:rvb i="7407"/>
        </ext>
      </extLst>
    </bk>
    <bk>
      <extLst>
        <ext uri="{3e2802c4-a4d2-4d8b-9148-e3be6c30e623}">
          <xlrd:rvb i="7408"/>
        </ext>
      </extLst>
    </bk>
    <bk>
      <extLst>
        <ext uri="{3e2802c4-a4d2-4d8b-9148-e3be6c30e623}">
          <xlrd:rvb i="7409"/>
        </ext>
      </extLst>
    </bk>
    <bk>
      <extLst>
        <ext uri="{3e2802c4-a4d2-4d8b-9148-e3be6c30e623}">
          <xlrd:rvb i="7410"/>
        </ext>
      </extLst>
    </bk>
    <bk>
      <extLst>
        <ext uri="{3e2802c4-a4d2-4d8b-9148-e3be6c30e623}">
          <xlrd:rvb i="7411"/>
        </ext>
      </extLst>
    </bk>
    <bk>
      <extLst>
        <ext uri="{3e2802c4-a4d2-4d8b-9148-e3be6c30e623}">
          <xlrd:rvb i="7412"/>
        </ext>
      </extLst>
    </bk>
    <bk>
      <extLst>
        <ext uri="{3e2802c4-a4d2-4d8b-9148-e3be6c30e623}">
          <xlrd:rvb i="7413"/>
        </ext>
      </extLst>
    </bk>
    <bk>
      <extLst>
        <ext uri="{3e2802c4-a4d2-4d8b-9148-e3be6c30e623}">
          <xlrd:rvb i="7414"/>
        </ext>
      </extLst>
    </bk>
    <bk>
      <extLst>
        <ext uri="{3e2802c4-a4d2-4d8b-9148-e3be6c30e623}">
          <xlrd:rvb i="7415"/>
        </ext>
      </extLst>
    </bk>
    <bk>
      <extLst>
        <ext uri="{3e2802c4-a4d2-4d8b-9148-e3be6c30e623}">
          <xlrd:rvb i="7416"/>
        </ext>
      </extLst>
    </bk>
    <bk>
      <extLst>
        <ext uri="{3e2802c4-a4d2-4d8b-9148-e3be6c30e623}">
          <xlrd:rvb i="7417"/>
        </ext>
      </extLst>
    </bk>
    <bk>
      <extLst>
        <ext uri="{3e2802c4-a4d2-4d8b-9148-e3be6c30e623}">
          <xlrd:rvb i="7418"/>
        </ext>
      </extLst>
    </bk>
    <bk>
      <extLst>
        <ext uri="{3e2802c4-a4d2-4d8b-9148-e3be6c30e623}">
          <xlrd:rvb i="7419"/>
        </ext>
      </extLst>
    </bk>
    <bk>
      <extLst>
        <ext uri="{3e2802c4-a4d2-4d8b-9148-e3be6c30e623}">
          <xlrd:rvb i="7420"/>
        </ext>
      </extLst>
    </bk>
    <bk>
      <extLst>
        <ext uri="{3e2802c4-a4d2-4d8b-9148-e3be6c30e623}">
          <xlrd:rvb i="7421"/>
        </ext>
      </extLst>
    </bk>
    <bk>
      <extLst>
        <ext uri="{3e2802c4-a4d2-4d8b-9148-e3be6c30e623}">
          <xlrd:rvb i="7422"/>
        </ext>
      </extLst>
    </bk>
    <bk>
      <extLst>
        <ext uri="{3e2802c4-a4d2-4d8b-9148-e3be6c30e623}">
          <xlrd:rvb i="7423"/>
        </ext>
      </extLst>
    </bk>
    <bk>
      <extLst>
        <ext uri="{3e2802c4-a4d2-4d8b-9148-e3be6c30e623}">
          <xlrd:rvb i="7424"/>
        </ext>
      </extLst>
    </bk>
    <bk>
      <extLst>
        <ext uri="{3e2802c4-a4d2-4d8b-9148-e3be6c30e623}">
          <xlrd:rvb i="7425"/>
        </ext>
      </extLst>
    </bk>
    <bk>
      <extLst>
        <ext uri="{3e2802c4-a4d2-4d8b-9148-e3be6c30e623}">
          <xlrd:rvb i="7426"/>
        </ext>
      </extLst>
    </bk>
    <bk>
      <extLst>
        <ext uri="{3e2802c4-a4d2-4d8b-9148-e3be6c30e623}">
          <xlrd:rvb i="7427"/>
        </ext>
      </extLst>
    </bk>
    <bk>
      <extLst>
        <ext uri="{3e2802c4-a4d2-4d8b-9148-e3be6c30e623}">
          <xlrd:rvb i="7428"/>
        </ext>
      </extLst>
    </bk>
    <bk>
      <extLst>
        <ext uri="{3e2802c4-a4d2-4d8b-9148-e3be6c30e623}">
          <xlrd:rvb i="7429"/>
        </ext>
      </extLst>
    </bk>
    <bk>
      <extLst>
        <ext uri="{3e2802c4-a4d2-4d8b-9148-e3be6c30e623}">
          <xlrd:rvb i="7430"/>
        </ext>
      </extLst>
    </bk>
    <bk>
      <extLst>
        <ext uri="{3e2802c4-a4d2-4d8b-9148-e3be6c30e623}">
          <xlrd:rvb i="7431"/>
        </ext>
      </extLst>
    </bk>
    <bk>
      <extLst>
        <ext uri="{3e2802c4-a4d2-4d8b-9148-e3be6c30e623}">
          <xlrd:rvb i="7432"/>
        </ext>
      </extLst>
    </bk>
    <bk>
      <extLst>
        <ext uri="{3e2802c4-a4d2-4d8b-9148-e3be6c30e623}">
          <xlrd:rvb i="7433"/>
        </ext>
      </extLst>
    </bk>
    <bk>
      <extLst>
        <ext uri="{3e2802c4-a4d2-4d8b-9148-e3be6c30e623}">
          <xlrd:rvb i="7434"/>
        </ext>
      </extLst>
    </bk>
    <bk>
      <extLst>
        <ext uri="{3e2802c4-a4d2-4d8b-9148-e3be6c30e623}">
          <xlrd:rvb i="7435"/>
        </ext>
      </extLst>
    </bk>
    <bk>
      <extLst>
        <ext uri="{3e2802c4-a4d2-4d8b-9148-e3be6c30e623}">
          <xlrd:rvb i="7436"/>
        </ext>
      </extLst>
    </bk>
    <bk>
      <extLst>
        <ext uri="{3e2802c4-a4d2-4d8b-9148-e3be6c30e623}">
          <xlrd:rvb i="7437"/>
        </ext>
      </extLst>
    </bk>
    <bk>
      <extLst>
        <ext uri="{3e2802c4-a4d2-4d8b-9148-e3be6c30e623}">
          <xlrd:rvb i="7438"/>
        </ext>
      </extLst>
    </bk>
    <bk>
      <extLst>
        <ext uri="{3e2802c4-a4d2-4d8b-9148-e3be6c30e623}">
          <xlrd:rvb i="7439"/>
        </ext>
      </extLst>
    </bk>
    <bk>
      <extLst>
        <ext uri="{3e2802c4-a4d2-4d8b-9148-e3be6c30e623}">
          <xlrd:rvb i="7440"/>
        </ext>
      </extLst>
    </bk>
    <bk>
      <extLst>
        <ext uri="{3e2802c4-a4d2-4d8b-9148-e3be6c30e623}">
          <xlrd:rvb i="7441"/>
        </ext>
      </extLst>
    </bk>
    <bk>
      <extLst>
        <ext uri="{3e2802c4-a4d2-4d8b-9148-e3be6c30e623}">
          <xlrd:rvb i="7442"/>
        </ext>
      </extLst>
    </bk>
    <bk>
      <extLst>
        <ext uri="{3e2802c4-a4d2-4d8b-9148-e3be6c30e623}">
          <xlrd:rvb i="7443"/>
        </ext>
      </extLst>
    </bk>
    <bk>
      <extLst>
        <ext uri="{3e2802c4-a4d2-4d8b-9148-e3be6c30e623}">
          <xlrd:rvb i="7444"/>
        </ext>
      </extLst>
    </bk>
    <bk>
      <extLst>
        <ext uri="{3e2802c4-a4d2-4d8b-9148-e3be6c30e623}">
          <xlrd:rvb i="7445"/>
        </ext>
      </extLst>
    </bk>
    <bk>
      <extLst>
        <ext uri="{3e2802c4-a4d2-4d8b-9148-e3be6c30e623}">
          <xlrd:rvb i="7446"/>
        </ext>
      </extLst>
    </bk>
    <bk>
      <extLst>
        <ext uri="{3e2802c4-a4d2-4d8b-9148-e3be6c30e623}">
          <xlrd:rvb i="7447"/>
        </ext>
      </extLst>
    </bk>
    <bk>
      <extLst>
        <ext uri="{3e2802c4-a4d2-4d8b-9148-e3be6c30e623}">
          <xlrd:rvb i="7448"/>
        </ext>
      </extLst>
    </bk>
    <bk>
      <extLst>
        <ext uri="{3e2802c4-a4d2-4d8b-9148-e3be6c30e623}">
          <xlrd:rvb i="7449"/>
        </ext>
      </extLst>
    </bk>
    <bk>
      <extLst>
        <ext uri="{3e2802c4-a4d2-4d8b-9148-e3be6c30e623}">
          <xlrd:rvb i="7450"/>
        </ext>
      </extLst>
    </bk>
    <bk>
      <extLst>
        <ext uri="{3e2802c4-a4d2-4d8b-9148-e3be6c30e623}">
          <xlrd:rvb i="7451"/>
        </ext>
      </extLst>
    </bk>
    <bk>
      <extLst>
        <ext uri="{3e2802c4-a4d2-4d8b-9148-e3be6c30e623}">
          <xlrd:rvb i="7452"/>
        </ext>
      </extLst>
    </bk>
    <bk>
      <extLst>
        <ext uri="{3e2802c4-a4d2-4d8b-9148-e3be6c30e623}">
          <xlrd:rvb i="7453"/>
        </ext>
      </extLst>
    </bk>
    <bk>
      <extLst>
        <ext uri="{3e2802c4-a4d2-4d8b-9148-e3be6c30e623}">
          <xlrd:rvb i="7454"/>
        </ext>
      </extLst>
    </bk>
    <bk>
      <extLst>
        <ext uri="{3e2802c4-a4d2-4d8b-9148-e3be6c30e623}">
          <xlrd:rvb i="7455"/>
        </ext>
      </extLst>
    </bk>
    <bk>
      <extLst>
        <ext uri="{3e2802c4-a4d2-4d8b-9148-e3be6c30e623}">
          <xlrd:rvb i="7456"/>
        </ext>
      </extLst>
    </bk>
    <bk>
      <extLst>
        <ext uri="{3e2802c4-a4d2-4d8b-9148-e3be6c30e623}">
          <xlrd:rvb i="7457"/>
        </ext>
      </extLst>
    </bk>
    <bk>
      <extLst>
        <ext uri="{3e2802c4-a4d2-4d8b-9148-e3be6c30e623}">
          <xlrd:rvb i="7458"/>
        </ext>
      </extLst>
    </bk>
    <bk>
      <extLst>
        <ext uri="{3e2802c4-a4d2-4d8b-9148-e3be6c30e623}">
          <xlrd:rvb i="7459"/>
        </ext>
      </extLst>
    </bk>
    <bk>
      <extLst>
        <ext uri="{3e2802c4-a4d2-4d8b-9148-e3be6c30e623}">
          <xlrd:rvb i="7460"/>
        </ext>
      </extLst>
    </bk>
    <bk>
      <extLst>
        <ext uri="{3e2802c4-a4d2-4d8b-9148-e3be6c30e623}">
          <xlrd:rvb i="7461"/>
        </ext>
      </extLst>
    </bk>
    <bk>
      <extLst>
        <ext uri="{3e2802c4-a4d2-4d8b-9148-e3be6c30e623}">
          <xlrd:rvb i="7462"/>
        </ext>
      </extLst>
    </bk>
    <bk>
      <extLst>
        <ext uri="{3e2802c4-a4d2-4d8b-9148-e3be6c30e623}">
          <xlrd:rvb i="7463"/>
        </ext>
      </extLst>
    </bk>
    <bk>
      <extLst>
        <ext uri="{3e2802c4-a4d2-4d8b-9148-e3be6c30e623}">
          <xlrd:rvb i="7464"/>
        </ext>
      </extLst>
    </bk>
    <bk>
      <extLst>
        <ext uri="{3e2802c4-a4d2-4d8b-9148-e3be6c30e623}">
          <xlrd:rvb i="7465"/>
        </ext>
      </extLst>
    </bk>
    <bk>
      <extLst>
        <ext uri="{3e2802c4-a4d2-4d8b-9148-e3be6c30e623}">
          <xlrd:rvb i="7466"/>
        </ext>
      </extLst>
    </bk>
    <bk>
      <extLst>
        <ext uri="{3e2802c4-a4d2-4d8b-9148-e3be6c30e623}">
          <xlrd:rvb i="7467"/>
        </ext>
      </extLst>
    </bk>
    <bk>
      <extLst>
        <ext uri="{3e2802c4-a4d2-4d8b-9148-e3be6c30e623}">
          <xlrd:rvb i="7468"/>
        </ext>
      </extLst>
    </bk>
    <bk>
      <extLst>
        <ext uri="{3e2802c4-a4d2-4d8b-9148-e3be6c30e623}">
          <xlrd:rvb i="7469"/>
        </ext>
      </extLst>
    </bk>
    <bk>
      <extLst>
        <ext uri="{3e2802c4-a4d2-4d8b-9148-e3be6c30e623}">
          <xlrd:rvb i="7470"/>
        </ext>
      </extLst>
    </bk>
    <bk>
      <extLst>
        <ext uri="{3e2802c4-a4d2-4d8b-9148-e3be6c30e623}">
          <xlrd:rvb i="7471"/>
        </ext>
      </extLst>
    </bk>
    <bk>
      <extLst>
        <ext uri="{3e2802c4-a4d2-4d8b-9148-e3be6c30e623}">
          <xlrd:rvb i="7472"/>
        </ext>
      </extLst>
    </bk>
    <bk>
      <extLst>
        <ext uri="{3e2802c4-a4d2-4d8b-9148-e3be6c30e623}">
          <xlrd:rvb i="7473"/>
        </ext>
      </extLst>
    </bk>
    <bk>
      <extLst>
        <ext uri="{3e2802c4-a4d2-4d8b-9148-e3be6c30e623}">
          <xlrd:rvb i="7474"/>
        </ext>
      </extLst>
    </bk>
    <bk>
      <extLst>
        <ext uri="{3e2802c4-a4d2-4d8b-9148-e3be6c30e623}">
          <xlrd:rvb i="7475"/>
        </ext>
      </extLst>
    </bk>
    <bk>
      <extLst>
        <ext uri="{3e2802c4-a4d2-4d8b-9148-e3be6c30e623}">
          <xlrd:rvb i="7476"/>
        </ext>
      </extLst>
    </bk>
    <bk>
      <extLst>
        <ext uri="{3e2802c4-a4d2-4d8b-9148-e3be6c30e623}">
          <xlrd:rvb i="7477"/>
        </ext>
      </extLst>
    </bk>
    <bk>
      <extLst>
        <ext uri="{3e2802c4-a4d2-4d8b-9148-e3be6c30e623}">
          <xlrd:rvb i="7478"/>
        </ext>
      </extLst>
    </bk>
    <bk>
      <extLst>
        <ext uri="{3e2802c4-a4d2-4d8b-9148-e3be6c30e623}">
          <xlrd:rvb i="7479"/>
        </ext>
      </extLst>
    </bk>
    <bk>
      <extLst>
        <ext uri="{3e2802c4-a4d2-4d8b-9148-e3be6c30e623}">
          <xlrd:rvb i="7480"/>
        </ext>
      </extLst>
    </bk>
    <bk>
      <extLst>
        <ext uri="{3e2802c4-a4d2-4d8b-9148-e3be6c30e623}">
          <xlrd:rvb i="7481"/>
        </ext>
      </extLst>
    </bk>
    <bk>
      <extLst>
        <ext uri="{3e2802c4-a4d2-4d8b-9148-e3be6c30e623}">
          <xlrd:rvb i="7482"/>
        </ext>
      </extLst>
    </bk>
    <bk>
      <extLst>
        <ext uri="{3e2802c4-a4d2-4d8b-9148-e3be6c30e623}">
          <xlrd:rvb i="7483"/>
        </ext>
      </extLst>
    </bk>
    <bk>
      <extLst>
        <ext uri="{3e2802c4-a4d2-4d8b-9148-e3be6c30e623}">
          <xlrd:rvb i="7484"/>
        </ext>
      </extLst>
    </bk>
    <bk>
      <extLst>
        <ext uri="{3e2802c4-a4d2-4d8b-9148-e3be6c30e623}">
          <xlrd:rvb i="7485"/>
        </ext>
      </extLst>
    </bk>
    <bk>
      <extLst>
        <ext uri="{3e2802c4-a4d2-4d8b-9148-e3be6c30e623}">
          <xlrd:rvb i="7486"/>
        </ext>
      </extLst>
    </bk>
    <bk>
      <extLst>
        <ext uri="{3e2802c4-a4d2-4d8b-9148-e3be6c30e623}">
          <xlrd:rvb i="7487"/>
        </ext>
      </extLst>
    </bk>
    <bk>
      <extLst>
        <ext uri="{3e2802c4-a4d2-4d8b-9148-e3be6c30e623}">
          <xlrd:rvb i="7488"/>
        </ext>
      </extLst>
    </bk>
    <bk>
      <extLst>
        <ext uri="{3e2802c4-a4d2-4d8b-9148-e3be6c30e623}">
          <xlrd:rvb i="7489"/>
        </ext>
      </extLst>
    </bk>
    <bk>
      <extLst>
        <ext uri="{3e2802c4-a4d2-4d8b-9148-e3be6c30e623}">
          <xlrd:rvb i="7490"/>
        </ext>
      </extLst>
    </bk>
    <bk>
      <extLst>
        <ext uri="{3e2802c4-a4d2-4d8b-9148-e3be6c30e623}">
          <xlrd:rvb i="7491"/>
        </ext>
      </extLst>
    </bk>
    <bk>
      <extLst>
        <ext uri="{3e2802c4-a4d2-4d8b-9148-e3be6c30e623}">
          <xlrd:rvb i="7492"/>
        </ext>
      </extLst>
    </bk>
    <bk>
      <extLst>
        <ext uri="{3e2802c4-a4d2-4d8b-9148-e3be6c30e623}">
          <xlrd:rvb i="7493"/>
        </ext>
      </extLst>
    </bk>
    <bk>
      <extLst>
        <ext uri="{3e2802c4-a4d2-4d8b-9148-e3be6c30e623}">
          <xlrd:rvb i="7494"/>
        </ext>
      </extLst>
    </bk>
    <bk>
      <extLst>
        <ext uri="{3e2802c4-a4d2-4d8b-9148-e3be6c30e623}">
          <xlrd:rvb i="7495"/>
        </ext>
      </extLst>
    </bk>
    <bk>
      <extLst>
        <ext uri="{3e2802c4-a4d2-4d8b-9148-e3be6c30e623}">
          <xlrd:rvb i="7496"/>
        </ext>
      </extLst>
    </bk>
    <bk>
      <extLst>
        <ext uri="{3e2802c4-a4d2-4d8b-9148-e3be6c30e623}">
          <xlrd:rvb i="7497"/>
        </ext>
      </extLst>
    </bk>
    <bk>
      <extLst>
        <ext uri="{3e2802c4-a4d2-4d8b-9148-e3be6c30e623}">
          <xlrd:rvb i="7498"/>
        </ext>
      </extLst>
    </bk>
    <bk>
      <extLst>
        <ext uri="{3e2802c4-a4d2-4d8b-9148-e3be6c30e623}">
          <xlrd:rvb i="7499"/>
        </ext>
      </extLst>
    </bk>
    <bk>
      <extLst>
        <ext uri="{3e2802c4-a4d2-4d8b-9148-e3be6c30e623}">
          <xlrd:rvb i="7500"/>
        </ext>
      </extLst>
    </bk>
    <bk>
      <extLst>
        <ext uri="{3e2802c4-a4d2-4d8b-9148-e3be6c30e623}">
          <xlrd:rvb i="7501"/>
        </ext>
      </extLst>
    </bk>
    <bk>
      <extLst>
        <ext uri="{3e2802c4-a4d2-4d8b-9148-e3be6c30e623}">
          <xlrd:rvb i="7502"/>
        </ext>
      </extLst>
    </bk>
    <bk>
      <extLst>
        <ext uri="{3e2802c4-a4d2-4d8b-9148-e3be6c30e623}">
          <xlrd:rvb i="7503"/>
        </ext>
      </extLst>
    </bk>
    <bk>
      <extLst>
        <ext uri="{3e2802c4-a4d2-4d8b-9148-e3be6c30e623}">
          <xlrd:rvb i="7504"/>
        </ext>
      </extLst>
    </bk>
    <bk>
      <extLst>
        <ext uri="{3e2802c4-a4d2-4d8b-9148-e3be6c30e623}">
          <xlrd:rvb i="7505"/>
        </ext>
      </extLst>
    </bk>
    <bk>
      <extLst>
        <ext uri="{3e2802c4-a4d2-4d8b-9148-e3be6c30e623}">
          <xlrd:rvb i="7506"/>
        </ext>
      </extLst>
    </bk>
    <bk>
      <extLst>
        <ext uri="{3e2802c4-a4d2-4d8b-9148-e3be6c30e623}">
          <xlrd:rvb i="7507"/>
        </ext>
      </extLst>
    </bk>
    <bk>
      <extLst>
        <ext uri="{3e2802c4-a4d2-4d8b-9148-e3be6c30e623}">
          <xlrd:rvb i="7508"/>
        </ext>
      </extLst>
    </bk>
    <bk>
      <extLst>
        <ext uri="{3e2802c4-a4d2-4d8b-9148-e3be6c30e623}">
          <xlrd:rvb i="7509"/>
        </ext>
      </extLst>
    </bk>
    <bk>
      <extLst>
        <ext uri="{3e2802c4-a4d2-4d8b-9148-e3be6c30e623}">
          <xlrd:rvb i="7510"/>
        </ext>
      </extLst>
    </bk>
    <bk>
      <extLst>
        <ext uri="{3e2802c4-a4d2-4d8b-9148-e3be6c30e623}">
          <xlrd:rvb i="7511"/>
        </ext>
      </extLst>
    </bk>
    <bk>
      <extLst>
        <ext uri="{3e2802c4-a4d2-4d8b-9148-e3be6c30e623}">
          <xlrd:rvb i="7512"/>
        </ext>
      </extLst>
    </bk>
    <bk>
      <extLst>
        <ext uri="{3e2802c4-a4d2-4d8b-9148-e3be6c30e623}">
          <xlrd:rvb i="7513"/>
        </ext>
      </extLst>
    </bk>
    <bk>
      <extLst>
        <ext uri="{3e2802c4-a4d2-4d8b-9148-e3be6c30e623}">
          <xlrd:rvb i="7514"/>
        </ext>
      </extLst>
    </bk>
    <bk>
      <extLst>
        <ext uri="{3e2802c4-a4d2-4d8b-9148-e3be6c30e623}">
          <xlrd:rvb i="7515"/>
        </ext>
      </extLst>
    </bk>
    <bk>
      <extLst>
        <ext uri="{3e2802c4-a4d2-4d8b-9148-e3be6c30e623}">
          <xlrd:rvb i="7516"/>
        </ext>
      </extLst>
    </bk>
    <bk>
      <extLst>
        <ext uri="{3e2802c4-a4d2-4d8b-9148-e3be6c30e623}">
          <xlrd:rvb i="7517"/>
        </ext>
      </extLst>
    </bk>
    <bk>
      <extLst>
        <ext uri="{3e2802c4-a4d2-4d8b-9148-e3be6c30e623}">
          <xlrd:rvb i="7518"/>
        </ext>
      </extLst>
    </bk>
    <bk>
      <extLst>
        <ext uri="{3e2802c4-a4d2-4d8b-9148-e3be6c30e623}">
          <xlrd:rvb i="7519"/>
        </ext>
      </extLst>
    </bk>
    <bk>
      <extLst>
        <ext uri="{3e2802c4-a4d2-4d8b-9148-e3be6c30e623}">
          <xlrd:rvb i="7520"/>
        </ext>
      </extLst>
    </bk>
    <bk>
      <extLst>
        <ext uri="{3e2802c4-a4d2-4d8b-9148-e3be6c30e623}">
          <xlrd:rvb i="7521"/>
        </ext>
      </extLst>
    </bk>
    <bk>
      <extLst>
        <ext uri="{3e2802c4-a4d2-4d8b-9148-e3be6c30e623}">
          <xlrd:rvb i="7522"/>
        </ext>
      </extLst>
    </bk>
    <bk>
      <extLst>
        <ext uri="{3e2802c4-a4d2-4d8b-9148-e3be6c30e623}">
          <xlrd:rvb i="7523"/>
        </ext>
      </extLst>
    </bk>
    <bk>
      <extLst>
        <ext uri="{3e2802c4-a4d2-4d8b-9148-e3be6c30e623}">
          <xlrd:rvb i="7524"/>
        </ext>
      </extLst>
    </bk>
    <bk>
      <extLst>
        <ext uri="{3e2802c4-a4d2-4d8b-9148-e3be6c30e623}">
          <xlrd:rvb i="7525"/>
        </ext>
      </extLst>
    </bk>
    <bk>
      <extLst>
        <ext uri="{3e2802c4-a4d2-4d8b-9148-e3be6c30e623}">
          <xlrd:rvb i="7526"/>
        </ext>
      </extLst>
    </bk>
    <bk>
      <extLst>
        <ext uri="{3e2802c4-a4d2-4d8b-9148-e3be6c30e623}">
          <xlrd:rvb i="7527"/>
        </ext>
      </extLst>
    </bk>
    <bk>
      <extLst>
        <ext uri="{3e2802c4-a4d2-4d8b-9148-e3be6c30e623}">
          <xlrd:rvb i="7528"/>
        </ext>
      </extLst>
    </bk>
    <bk>
      <extLst>
        <ext uri="{3e2802c4-a4d2-4d8b-9148-e3be6c30e623}">
          <xlrd:rvb i="7529"/>
        </ext>
      </extLst>
    </bk>
    <bk>
      <extLst>
        <ext uri="{3e2802c4-a4d2-4d8b-9148-e3be6c30e623}">
          <xlrd:rvb i="7530"/>
        </ext>
      </extLst>
    </bk>
    <bk>
      <extLst>
        <ext uri="{3e2802c4-a4d2-4d8b-9148-e3be6c30e623}">
          <xlrd:rvb i="7531"/>
        </ext>
      </extLst>
    </bk>
    <bk>
      <extLst>
        <ext uri="{3e2802c4-a4d2-4d8b-9148-e3be6c30e623}">
          <xlrd:rvb i="7532"/>
        </ext>
      </extLst>
    </bk>
    <bk>
      <extLst>
        <ext uri="{3e2802c4-a4d2-4d8b-9148-e3be6c30e623}">
          <xlrd:rvb i="7533"/>
        </ext>
      </extLst>
    </bk>
    <bk>
      <extLst>
        <ext uri="{3e2802c4-a4d2-4d8b-9148-e3be6c30e623}">
          <xlrd:rvb i="7534"/>
        </ext>
      </extLst>
    </bk>
    <bk>
      <extLst>
        <ext uri="{3e2802c4-a4d2-4d8b-9148-e3be6c30e623}">
          <xlrd:rvb i="7535"/>
        </ext>
      </extLst>
    </bk>
    <bk>
      <extLst>
        <ext uri="{3e2802c4-a4d2-4d8b-9148-e3be6c30e623}">
          <xlrd:rvb i="7536"/>
        </ext>
      </extLst>
    </bk>
    <bk>
      <extLst>
        <ext uri="{3e2802c4-a4d2-4d8b-9148-e3be6c30e623}">
          <xlrd:rvb i="7537"/>
        </ext>
      </extLst>
    </bk>
    <bk>
      <extLst>
        <ext uri="{3e2802c4-a4d2-4d8b-9148-e3be6c30e623}">
          <xlrd:rvb i="7538"/>
        </ext>
      </extLst>
    </bk>
    <bk>
      <extLst>
        <ext uri="{3e2802c4-a4d2-4d8b-9148-e3be6c30e623}">
          <xlrd:rvb i="7539"/>
        </ext>
      </extLst>
    </bk>
    <bk>
      <extLst>
        <ext uri="{3e2802c4-a4d2-4d8b-9148-e3be6c30e623}">
          <xlrd:rvb i="7540"/>
        </ext>
      </extLst>
    </bk>
    <bk>
      <extLst>
        <ext uri="{3e2802c4-a4d2-4d8b-9148-e3be6c30e623}">
          <xlrd:rvb i="7541"/>
        </ext>
      </extLst>
    </bk>
    <bk>
      <extLst>
        <ext uri="{3e2802c4-a4d2-4d8b-9148-e3be6c30e623}">
          <xlrd:rvb i="7542"/>
        </ext>
      </extLst>
    </bk>
    <bk>
      <extLst>
        <ext uri="{3e2802c4-a4d2-4d8b-9148-e3be6c30e623}">
          <xlrd:rvb i="7543"/>
        </ext>
      </extLst>
    </bk>
    <bk>
      <extLst>
        <ext uri="{3e2802c4-a4d2-4d8b-9148-e3be6c30e623}">
          <xlrd:rvb i="7544"/>
        </ext>
      </extLst>
    </bk>
    <bk>
      <extLst>
        <ext uri="{3e2802c4-a4d2-4d8b-9148-e3be6c30e623}">
          <xlrd:rvb i="7545"/>
        </ext>
      </extLst>
    </bk>
    <bk>
      <extLst>
        <ext uri="{3e2802c4-a4d2-4d8b-9148-e3be6c30e623}">
          <xlrd:rvb i="7546"/>
        </ext>
      </extLst>
    </bk>
    <bk>
      <extLst>
        <ext uri="{3e2802c4-a4d2-4d8b-9148-e3be6c30e623}">
          <xlrd:rvb i="7547"/>
        </ext>
      </extLst>
    </bk>
    <bk>
      <extLst>
        <ext uri="{3e2802c4-a4d2-4d8b-9148-e3be6c30e623}">
          <xlrd:rvb i="7548"/>
        </ext>
      </extLst>
    </bk>
    <bk>
      <extLst>
        <ext uri="{3e2802c4-a4d2-4d8b-9148-e3be6c30e623}">
          <xlrd:rvb i="7549"/>
        </ext>
      </extLst>
    </bk>
    <bk>
      <extLst>
        <ext uri="{3e2802c4-a4d2-4d8b-9148-e3be6c30e623}">
          <xlrd:rvb i="7550"/>
        </ext>
      </extLst>
    </bk>
    <bk>
      <extLst>
        <ext uri="{3e2802c4-a4d2-4d8b-9148-e3be6c30e623}">
          <xlrd:rvb i="7551"/>
        </ext>
      </extLst>
    </bk>
    <bk>
      <extLst>
        <ext uri="{3e2802c4-a4d2-4d8b-9148-e3be6c30e623}">
          <xlrd:rvb i="7552"/>
        </ext>
      </extLst>
    </bk>
    <bk>
      <extLst>
        <ext uri="{3e2802c4-a4d2-4d8b-9148-e3be6c30e623}">
          <xlrd:rvb i="7553"/>
        </ext>
      </extLst>
    </bk>
    <bk>
      <extLst>
        <ext uri="{3e2802c4-a4d2-4d8b-9148-e3be6c30e623}">
          <xlrd:rvb i="7554"/>
        </ext>
      </extLst>
    </bk>
    <bk>
      <extLst>
        <ext uri="{3e2802c4-a4d2-4d8b-9148-e3be6c30e623}">
          <xlrd:rvb i="7555"/>
        </ext>
      </extLst>
    </bk>
    <bk>
      <extLst>
        <ext uri="{3e2802c4-a4d2-4d8b-9148-e3be6c30e623}">
          <xlrd:rvb i="7556"/>
        </ext>
      </extLst>
    </bk>
    <bk>
      <extLst>
        <ext uri="{3e2802c4-a4d2-4d8b-9148-e3be6c30e623}">
          <xlrd:rvb i="7557"/>
        </ext>
      </extLst>
    </bk>
    <bk>
      <extLst>
        <ext uri="{3e2802c4-a4d2-4d8b-9148-e3be6c30e623}">
          <xlrd:rvb i="7558"/>
        </ext>
      </extLst>
    </bk>
    <bk>
      <extLst>
        <ext uri="{3e2802c4-a4d2-4d8b-9148-e3be6c30e623}">
          <xlrd:rvb i="7559"/>
        </ext>
      </extLst>
    </bk>
    <bk>
      <extLst>
        <ext uri="{3e2802c4-a4d2-4d8b-9148-e3be6c30e623}">
          <xlrd:rvb i="7560"/>
        </ext>
      </extLst>
    </bk>
    <bk>
      <extLst>
        <ext uri="{3e2802c4-a4d2-4d8b-9148-e3be6c30e623}">
          <xlrd:rvb i="7561"/>
        </ext>
      </extLst>
    </bk>
    <bk>
      <extLst>
        <ext uri="{3e2802c4-a4d2-4d8b-9148-e3be6c30e623}">
          <xlrd:rvb i="7562"/>
        </ext>
      </extLst>
    </bk>
    <bk>
      <extLst>
        <ext uri="{3e2802c4-a4d2-4d8b-9148-e3be6c30e623}">
          <xlrd:rvb i="7563"/>
        </ext>
      </extLst>
    </bk>
    <bk>
      <extLst>
        <ext uri="{3e2802c4-a4d2-4d8b-9148-e3be6c30e623}">
          <xlrd:rvb i="7564"/>
        </ext>
      </extLst>
    </bk>
    <bk>
      <extLst>
        <ext uri="{3e2802c4-a4d2-4d8b-9148-e3be6c30e623}">
          <xlrd:rvb i="7565"/>
        </ext>
      </extLst>
    </bk>
    <bk>
      <extLst>
        <ext uri="{3e2802c4-a4d2-4d8b-9148-e3be6c30e623}">
          <xlrd:rvb i="7566"/>
        </ext>
      </extLst>
    </bk>
    <bk>
      <extLst>
        <ext uri="{3e2802c4-a4d2-4d8b-9148-e3be6c30e623}">
          <xlrd:rvb i="7567"/>
        </ext>
      </extLst>
    </bk>
    <bk>
      <extLst>
        <ext uri="{3e2802c4-a4d2-4d8b-9148-e3be6c30e623}">
          <xlrd:rvb i="7568"/>
        </ext>
      </extLst>
    </bk>
    <bk>
      <extLst>
        <ext uri="{3e2802c4-a4d2-4d8b-9148-e3be6c30e623}">
          <xlrd:rvb i="7569"/>
        </ext>
      </extLst>
    </bk>
    <bk>
      <extLst>
        <ext uri="{3e2802c4-a4d2-4d8b-9148-e3be6c30e623}">
          <xlrd:rvb i="7570"/>
        </ext>
      </extLst>
    </bk>
    <bk>
      <extLst>
        <ext uri="{3e2802c4-a4d2-4d8b-9148-e3be6c30e623}">
          <xlrd:rvb i="7571"/>
        </ext>
      </extLst>
    </bk>
    <bk>
      <extLst>
        <ext uri="{3e2802c4-a4d2-4d8b-9148-e3be6c30e623}">
          <xlrd:rvb i="7572"/>
        </ext>
      </extLst>
    </bk>
    <bk>
      <extLst>
        <ext uri="{3e2802c4-a4d2-4d8b-9148-e3be6c30e623}">
          <xlrd:rvb i="7573"/>
        </ext>
      </extLst>
    </bk>
    <bk>
      <extLst>
        <ext uri="{3e2802c4-a4d2-4d8b-9148-e3be6c30e623}">
          <xlrd:rvb i="7574"/>
        </ext>
      </extLst>
    </bk>
    <bk>
      <extLst>
        <ext uri="{3e2802c4-a4d2-4d8b-9148-e3be6c30e623}">
          <xlrd:rvb i="7575"/>
        </ext>
      </extLst>
    </bk>
    <bk>
      <extLst>
        <ext uri="{3e2802c4-a4d2-4d8b-9148-e3be6c30e623}">
          <xlrd:rvb i="7576"/>
        </ext>
      </extLst>
    </bk>
    <bk>
      <extLst>
        <ext uri="{3e2802c4-a4d2-4d8b-9148-e3be6c30e623}">
          <xlrd:rvb i="7577"/>
        </ext>
      </extLst>
    </bk>
    <bk>
      <extLst>
        <ext uri="{3e2802c4-a4d2-4d8b-9148-e3be6c30e623}">
          <xlrd:rvb i="7578"/>
        </ext>
      </extLst>
    </bk>
    <bk>
      <extLst>
        <ext uri="{3e2802c4-a4d2-4d8b-9148-e3be6c30e623}">
          <xlrd:rvb i="7579"/>
        </ext>
      </extLst>
    </bk>
    <bk>
      <extLst>
        <ext uri="{3e2802c4-a4d2-4d8b-9148-e3be6c30e623}">
          <xlrd:rvb i="7580"/>
        </ext>
      </extLst>
    </bk>
    <bk>
      <extLst>
        <ext uri="{3e2802c4-a4d2-4d8b-9148-e3be6c30e623}">
          <xlrd:rvb i="7581"/>
        </ext>
      </extLst>
    </bk>
    <bk>
      <extLst>
        <ext uri="{3e2802c4-a4d2-4d8b-9148-e3be6c30e623}">
          <xlrd:rvb i="7582"/>
        </ext>
      </extLst>
    </bk>
    <bk>
      <extLst>
        <ext uri="{3e2802c4-a4d2-4d8b-9148-e3be6c30e623}">
          <xlrd:rvb i="7583"/>
        </ext>
      </extLst>
    </bk>
    <bk>
      <extLst>
        <ext uri="{3e2802c4-a4d2-4d8b-9148-e3be6c30e623}">
          <xlrd:rvb i="7584"/>
        </ext>
      </extLst>
    </bk>
    <bk>
      <extLst>
        <ext uri="{3e2802c4-a4d2-4d8b-9148-e3be6c30e623}">
          <xlrd:rvb i="7585"/>
        </ext>
      </extLst>
    </bk>
    <bk>
      <extLst>
        <ext uri="{3e2802c4-a4d2-4d8b-9148-e3be6c30e623}">
          <xlrd:rvb i="7586"/>
        </ext>
      </extLst>
    </bk>
    <bk>
      <extLst>
        <ext uri="{3e2802c4-a4d2-4d8b-9148-e3be6c30e623}">
          <xlrd:rvb i="7587"/>
        </ext>
      </extLst>
    </bk>
    <bk>
      <extLst>
        <ext uri="{3e2802c4-a4d2-4d8b-9148-e3be6c30e623}">
          <xlrd:rvb i="7588"/>
        </ext>
      </extLst>
    </bk>
    <bk>
      <extLst>
        <ext uri="{3e2802c4-a4d2-4d8b-9148-e3be6c30e623}">
          <xlrd:rvb i="7589"/>
        </ext>
      </extLst>
    </bk>
    <bk>
      <extLst>
        <ext uri="{3e2802c4-a4d2-4d8b-9148-e3be6c30e623}">
          <xlrd:rvb i="7590"/>
        </ext>
      </extLst>
    </bk>
    <bk>
      <extLst>
        <ext uri="{3e2802c4-a4d2-4d8b-9148-e3be6c30e623}">
          <xlrd:rvb i="7591"/>
        </ext>
      </extLst>
    </bk>
    <bk>
      <extLst>
        <ext uri="{3e2802c4-a4d2-4d8b-9148-e3be6c30e623}">
          <xlrd:rvb i="7592"/>
        </ext>
      </extLst>
    </bk>
    <bk>
      <extLst>
        <ext uri="{3e2802c4-a4d2-4d8b-9148-e3be6c30e623}">
          <xlrd:rvb i="7593"/>
        </ext>
      </extLst>
    </bk>
    <bk>
      <extLst>
        <ext uri="{3e2802c4-a4d2-4d8b-9148-e3be6c30e623}">
          <xlrd:rvb i="7594"/>
        </ext>
      </extLst>
    </bk>
    <bk>
      <extLst>
        <ext uri="{3e2802c4-a4d2-4d8b-9148-e3be6c30e623}">
          <xlrd:rvb i="7595"/>
        </ext>
      </extLst>
    </bk>
    <bk>
      <extLst>
        <ext uri="{3e2802c4-a4d2-4d8b-9148-e3be6c30e623}">
          <xlrd:rvb i="7596"/>
        </ext>
      </extLst>
    </bk>
    <bk>
      <extLst>
        <ext uri="{3e2802c4-a4d2-4d8b-9148-e3be6c30e623}">
          <xlrd:rvb i="7597"/>
        </ext>
      </extLst>
    </bk>
    <bk>
      <extLst>
        <ext uri="{3e2802c4-a4d2-4d8b-9148-e3be6c30e623}">
          <xlrd:rvb i="7598"/>
        </ext>
      </extLst>
    </bk>
    <bk>
      <extLst>
        <ext uri="{3e2802c4-a4d2-4d8b-9148-e3be6c30e623}">
          <xlrd:rvb i="7599"/>
        </ext>
      </extLst>
    </bk>
    <bk>
      <extLst>
        <ext uri="{3e2802c4-a4d2-4d8b-9148-e3be6c30e623}">
          <xlrd:rvb i="7600"/>
        </ext>
      </extLst>
    </bk>
    <bk>
      <extLst>
        <ext uri="{3e2802c4-a4d2-4d8b-9148-e3be6c30e623}">
          <xlrd:rvb i="7601"/>
        </ext>
      </extLst>
    </bk>
    <bk>
      <extLst>
        <ext uri="{3e2802c4-a4d2-4d8b-9148-e3be6c30e623}">
          <xlrd:rvb i="7602"/>
        </ext>
      </extLst>
    </bk>
    <bk>
      <extLst>
        <ext uri="{3e2802c4-a4d2-4d8b-9148-e3be6c30e623}">
          <xlrd:rvb i="7603"/>
        </ext>
      </extLst>
    </bk>
    <bk>
      <extLst>
        <ext uri="{3e2802c4-a4d2-4d8b-9148-e3be6c30e623}">
          <xlrd:rvb i="7604"/>
        </ext>
      </extLst>
    </bk>
    <bk>
      <extLst>
        <ext uri="{3e2802c4-a4d2-4d8b-9148-e3be6c30e623}">
          <xlrd:rvb i="7605"/>
        </ext>
      </extLst>
    </bk>
    <bk>
      <extLst>
        <ext uri="{3e2802c4-a4d2-4d8b-9148-e3be6c30e623}">
          <xlrd:rvb i="7606"/>
        </ext>
      </extLst>
    </bk>
    <bk>
      <extLst>
        <ext uri="{3e2802c4-a4d2-4d8b-9148-e3be6c30e623}">
          <xlrd:rvb i="7607"/>
        </ext>
      </extLst>
    </bk>
    <bk>
      <extLst>
        <ext uri="{3e2802c4-a4d2-4d8b-9148-e3be6c30e623}">
          <xlrd:rvb i="7608"/>
        </ext>
      </extLst>
    </bk>
    <bk>
      <extLst>
        <ext uri="{3e2802c4-a4d2-4d8b-9148-e3be6c30e623}">
          <xlrd:rvb i="7609"/>
        </ext>
      </extLst>
    </bk>
    <bk>
      <extLst>
        <ext uri="{3e2802c4-a4d2-4d8b-9148-e3be6c30e623}">
          <xlrd:rvb i="7610"/>
        </ext>
      </extLst>
    </bk>
    <bk>
      <extLst>
        <ext uri="{3e2802c4-a4d2-4d8b-9148-e3be6c30e623}">
          <xlrd:rvb i="7611"/>
        </ext>
      </extLst>
    </bk>
    <bk>
      <extLst>
        <ext uri="{3e2802c4-a4d2-4d8b-9148-e3be6c30e623}">
          <xlrd:rvb i="7612"/>
        </ext>
      </extLst>
    </bk>
    <bk>
      <extLst>
        <ext uri="{3e2802c4-a4d2-4d8b-9148-e3be6c30e623}">
          <xlrd:rvb i="7613"/>
        </ext>
      </extLst>
    </bk>
    <bk>
      <extLst>
        <ext uri="{3e2802c4-a4d2-4d8b-9148-e3be6c30e623}">
          <xlrd:rvb i="7614"/>
        </ext>
      </extLst>
    </bk>
    <bk>
      <extLst>
        <ext uri="{3e2802c4-a4d2-4d8b-9148-e3be6c30e623}">
          <xlrd:rvb i="7615"/>
        </ext>
      </extLst>
    </bk>
    <bk>
      <extLst>
        <ext uri="{3e2802c4-a4d2-4d8b-9148-e3be6c30e623}">
          <xlrd:rvb i="7616"/>
        </ext>
      </extLst>
    </bk>
    <bk>
      <extLst>
        <ext uri="{3e2802c4-a4d2-4d8b-9148-e3be6c30e623}">
          <xlrd:rvb i="7617"/>
        </ext>
      </extLst>
    </bk>
    <bk>
      <extLst>
        <ext uri="{3e2802c4-a4d2-4d8b-9148-e3be6c30e623}">
          <xlrd:rvb i="7618"/>
        </ext>
      </extLst>
    </bk>
    <bk>
      <extLst>
        <ext uri="{3e2802c4-a4d2-4d8b-9148-e3be6c30e623}">
          <xlrd:rvb i="7619"/>
        </ext>
      </extLst>
    </bk>
    <bk>
      <extLst>
        <ext uri="{3e2802c4-a4d2-4d8b-9148-e3be6c30e623}">
          <xlrd:rvb i="7620"/>
        </ext>
      </extLst>
    </bk>
    <bk>
      <extLst>
        <ext uri="{3e2802c4-a4d2-4d8b-9148-e3be6c30e623}">
          <xlrd:rvb i="7621"/>
        </ext>
      </extLst>
    </bk>
    <bk>
      <extLst>
        <ext uri="{3e2802c4-a4d2-4d8b-9148-e3be6c30e623}">
          <xlrd:rvb i="7622"/>
        </ext>
      </extLst>
    </bk>
    <bk>
      <extLst>
        <ext uri="{3e2802c4-a4d2-4d8b-9148-e3be6c30e623}">
          <xlrd:rvb i="7623"/>
        </ext>
      </extLst>
    </bk>
    <bk>
      <extLst>
        <ext uri="{3e2802c4-a4d2-4d8b-9148-e3be6c30e623}">
          <xlrd:rvb i="7624"/>
        </ext>
      </extLst>
    </bk>
    <bk>
      <extLst>
        <ext uri="{3e2802c4-a4d2-4d8b-9148-e3be6c30e623}">
          <xlrd:rvb i="7625"/>
        </ext>
      </extLst>
    </bk>
    <bk>
      <extLst>
        <ext uri="{3e2802c4-a4d2-4d8b-9148-e3be6c30e623}">
          <xlrd:rvb i="7626"/>
        </ext>
      </extLst>
    </bk>
    <bk>
      <extLst>
        <ext uri="{3e2802c4-a4d2-4d8b-9148-e3be6c30e623}">
          <xlrd:rvb i="7627"/>
        </ext>
      </extLst>
    </bk>
    <bk>
      <extLst>
        <ext uri="{3e2802c4-a4d2-4d8b-9148-e3be6c30e623}">
          <xlrd:rvb i="7628"/>
        </ext>
      </extLst>
    </bk>
    <bk>
      <extLst>
        <ext uri="{3e2802c4-a4d2-4d8b-9148-e3be6c30e623}">
          <xlrd:rvb i="7629"/>
        </ext>
      </extLst>
    </bk>
    <bk>
      <extLst>
        <ext uri="{3e2802c4-a4d2-4d8b-9148-e3be6c30e623}">
          <xlrd:rvb i="7630"/>
        </ext>
      </extLst>
    </bk>
    <bk>
      <extLst>
        <ext uri="{3e2802c4-a4d2-4d8b-9148-e3be6c30e623}">
          <xlrd:rvb i="7631"/>
        </ext>
      </extLst>
    </bk>
    <bk>
      <extLst>
        <ext uri="{3e2802c4-a4d2-4d8b-9148-e3be6c30e623}">
          <xlrd:rvb i="7632"/>
        </ext>
      </extLst>
    </bk>
    <bk>
      <extLst>
        <ext uri="{3e2802c4-a4d2-4d8b-9148-e3be6c30e623}">
          <xlrd:rvb i="7633"/>
        </ext>
      </extLst>
    </bk>
    <bk>
      <extLst>
        <ext uri="{3e2802c4-a4d2-4d8b-9148-e3be6c30e623}">
          <xlrd:rvb i="7634"/>
        </ext>
      </extLst>
    </bk>
    <bk>
      <extLst>
        <ext uri="{3e2802c4-a4d2-4d8b-9148-e3be6c30e623}">
          <xlrd:rvb i="7635"/>
        </ext>
      </extLst>
    </bk>
    <bk>
      <extLst>
        <ext uri="{3e2802c4-a4d2-4d8b-9148-e3be6c30e623}">
          <xlrd:rvb i="7636"/>
        </ext>
      </extLst>
    </bk>
    <bk>
      <extLst>
        <ext uri="{3e2802c4-a4d2-4d8b-9148-e3be6c30e623}">
          <xlrd:rvb i="7637"/>
        </ext>
      </extLst>
    </bk>
    <bk>
      <extLst>
        <ext uri="{3e2802c4-a4d2-4d8b-9148-e3be6c30e623}">
          <xlrd:rvb i="7638"/>
        </ext>
      </extLst>
    </bk>
    <bk>
      <extLst>
        <ext uri="{3e2802c4-a4d2-4d8b-9148-e3be6c30e623}">
          <xlrd:rvb i="7639"/>
        </ext>
      </extLst>
    </bk>
    <bk>
      <extLst>
        <ext uri="{3e2802c4-a4d2-4d8b-9148-e3be6c30e623}">
          <xlrd:rvb i="7640"/>
        </ext>
      </extLst>
    </bk>
    <bk>
      <extLst>
        <ext uri="{3e2802c4-a4d2-4d8b-9148-e3be6c30e623}">
          <xlrd:rvb i="7641"/>
        </ext>
      </extLst>
    </bk>
    <bk>
      <extLst>
        <ext uri="{3e2802c4-a4d2-4d8b-9148-e3be6c30e623}">
          <xlrd:rvb i="7642"/>
        </ext>
      </extLst>
    </bk>
    <bk>
      <extLst>
        <ext uri="{3e2802c4-a4d2-4d8b-9148-e3be6c30e623}">
          <xlrd:rvb i="7643"/>
        </ext>
      </extLst>
    </bk>
    <bk>
      <extLst>
        <ext uri="{3e2802c4-a4d2-4d8b-9148-e3be6c30e623}">
          <xlrd:rvb i="7644"/>
        </ext>
      </extLst>
    </bk>
    <bk>
      <extLst>
        <ext uri="{3e2802c4-a4d2-4d8b-9148-e3be6c30e623}">
          <xlrd:rvb i="7645"/>
        </ext>
      </extLst>
    </bk>
    <bk>
      <extLst>
        <ext uri="{3e2802c4-a4d2-4d8b-9148-e3be6c30e623}">
          <xlrd:rvb i="7646"/>
        </ext>
      </extLst>
    </bk>
    <bk>
      <extLst>
        <ext uri="{3e2802c4-a4d2-4d8b-9148-e3be6c30e623}">
          <xlrd:rvb i="7647"/>
        </ext>
      </extLst>
    </bk>
    <bk>
      <extLst>
        <ext uri="{3e2802c4-a4d2-4d8b-9148-e3be6c30e623}">
          <xlrd:rvb i="7648"/>
        </ext>
      </extLst>
    </bk>
    <bk>
      <extLst>
        <ext uri="{3e2802c4-a4d2-4d8b-9148-e3be6c30e623}">
          <xlrd:rvb i="7649"/>
        </ext>
      </extLst>
    </bk>
    <bk>
      <extLst>
        <ext uri="{3e2802c4-a4d2-4d8b-9148-e3be6c30e623}">
          <xlrd:rvb i="7650"/>
        </ext>
      </extLst>
    </bk>
    <bk>
      <extLst>
        <ext uri="{3e2802c4-a4d2-4d8b-9148-e3be6c30e623}">
          <xlrd:rvb i="7651"/>
        </ext>
      </extLst>
    </bk>
    <bk>
      <extLst>
        <ext uri="{3e2802c4-a4d2-4d8b-9148-e3be6c30e623}">
          <xlrd:rvb i="7652"/>
        </ext>
      </extLst>
    </bk>
    <bk>
      <extLst>
        <ext uri="{3e2802c4-a4d2-4d8b-9148-e3be6c30e623}">
          <xlrd:rvb i="7653"/>
        </ext>
      </extLst>
    </bk>
    <bk>
      <extLst>
        <ext uri="{3e2802c4-a4d2-4d8b-9148-e3be6c30e623}">
          <xlrd:rvb i="7654"/>
        </ext>
      </extLst>
    </bk>
    <bk>
      <extLst>
        <ext uri="{3e2802c4-a4d2-4d8b-9148-e3be6c30e623}">
          <xlrd:rvb i="7655"/>
        </ext>
      </extLst>
    </bk>
    <bk>
      <extLst>
        <ext uri="{3e2802c4-a4d2-4d8b-9148-e3be6c30e623}">
          <xlrd:rvb i="7656"/>
        </ext>
      </extLst>
    </bk>
    <bk>
      <extLst>
        <ext uri="{3e2802c4-a4d2-4d8b-9148-e3be6c30e623}">
          <xlrd:rvb i="7657"/>
        </ext>
      </extLst>
    </bk>
    <bk>
      <extLst>
        <ext uri="{3e2802c4-a4d2-4d8b-9148-e3be6c30e623}">
          <xlrd:rvb i="7658"/>
        </ext>
      </extLst>
    </bk>
    <bk>
      <extLst>
        <ext uri="{3e2802c4-a4d2-4d8b-9148-e3be6c30e623}">
          <xlrd:rvb i="7659"/>
        </ext>
      </extLst>
    </bk>
    <bk>
      <extLst>
        <ext uri="{3e2802c4-a4d2-4d8b-9148-e3be6c30e623}">
          <xlrd:rvb i="7660"/>
        </ext>
      </extLst>
    </bk>
    <bk>
      <extLst>
        <ext uri="{3e2802c4-a4d2-4d8b-9148-e3be6c30e623}">
          <xlrd:rvb i="7661"/>
        </ext>
      </extLst>
    </bk>
    <bk>
      <extLst>
        <ext uri="{3e2802c4-a4d2-4d8b-9148-e3be6c30e623}">
          <xlrd:rvb i="7662"/>
        </ext>
      </extLst>
    </bk>
    <bk>
      <extLst>
        <ext uri="{3e2802c4-a4d2-4d8b-9148-e3be6c30e623}">
          <xlrd:rvb i="7663"/>
        </ext>
      </extLst>
    </bk>
    <bk>
      <extLst>
        <ext uri="{3e2802c4-a4d2-4d8b-9148-e3be6c30e623}">
          <xlrd:rvb i="7664"/>
        </ext>
      </extLst>
    </bk>
    <bk>
      <extLst>
        <ext uri="{3e2802c4-a4d2-4d8b-9148-e3be6c30e623}">
          <xlrd:rvb i="7665"/>
        </ext>
      </extLst>
    </bk>
    <bk>
      <extLst>
        <ext uri="{3e2802c4-a4d2-4d8b-9148-e3be6c30e623}">
          <xlrd:rvb i="7666"/>
        </ext>
      </extLst>
    </bk>
    <bk>
      <extLst>
        <ext uri="{3e2802c4-a4d2-4d8b-9148-e3be6c30e623}">
          <xlrd:rvb i="7667"/>
        </ext>
      </extLst>
    </bk>
    <bk>
      <extLst>
        <ext uri="{3e2802c4-a4d2-4d8b-9148-e3be6c30e623}">
          <xlrd:rvb i="7668"/>
        </ext>
      </extLst>
    </bk>
    <bk>
      <extLst>
        <ext uri="{3e2802c4-a4d2-4d8b-9148-e3be6c30e623}">
          <xlrd:rvb i="7669"/>
        </ext>
      </extLst>
    </bk>
    <bk>
      <extLst>
        <ext uri="{3e2802c4-a4d2-4d8b-9148-e3be6c30e623}">
          <xlrd:rvb i="7670"/>
        </ext>
      </extLst>
    </bk>
    <bk>
      <extLst>
        <ext uri="{3e2802c4-a4d2-4d8b-9148-e3be6c30e623}">
          <xlrd:rvb i="7671"/>
        </ext>
      </extLst>
    </bk>
    <bk>
      <extLst>
        <ext uri="{3e2802c4-a4d2-4d8b-9148-e3be6c30e623}">
          <xlrd:rvb i="7672"/>
        </ext>
      </extLst>
    </bk>
    <bk>
      <extLst>
        <ext uri="{3e2802c4-a4d2-4d8b-9148-e3be6c30e623}">
          <xlrd:rvb i="7673"/>
        </ext>
      </extLst>
    </bk>
    <bk>
      <extLst>
        <ext uri="{3e2802c4-a4d2-4d8b-9148-e3be6c30e623}">
          <xlrd:rvb i="7674"/>
        </ext>
      </extLst>
    </bk>
    <bk>
      <extLst>
        <ext uri="{3e2802c4-a4d2-4d8b-9148-e3be6c30e623}">
          <xlrd:rvb i="7675"/>
        </ext>
      </extLst>
    </bk>
    <bk>
      <extLst>
        <ext uri="{3e2802c4-a4d2-4d8b-9148-e3be6c30e623}">
          <xlrd:rvb i="7676"/>
        </ext>
      </extLst>
    </bk>
    <bk>
      <extLst>
        <ext uri="{3e2802c4-a4d2-4d8b-9148-e3be6c30e623}">
          <xlrd:rvb i="7677"/>
        </ext>
      </extLst>
    </bk>
    <bk>
      <extLst>
        <ext uri="{3e2802c4-a4d2-4d8b-9148-e3be6c30e623}">
          <xlrd:rvb i="7678"/>
        </ext>
      </extLst>
    </bk>
    <bk>
      <extLst>
        <ext uri="{3e2802c4-a4d2-4d8b-9148-e3be6c30e623}">
          <xlrd:rvb i="7679"/>
        </ext>
      </extLst>
    </bk>
    <bk>
      <extLst>
        <ext uri="{3e2802c4-a4d2-4d8b-9148-e3be6c30e623}">
          <xlrd:rvb i="7680"/>
        </ext>
      </extLst>
    </bk>
    <bk>
      <extLst>
        <ext uri="{3e2802c4-a4d2-4d8b-9148-e3be6c30e623}">
          <xlrd:rvb i="7681"/>
        </ext>
      </extLst>
    </bk>
    <bk>
      <extLst>
        <ext uri="{3e2802c4-a4d2-4d8b-9148-e3be6c30e623}">
          <xlrd:rvb i="7682"/>
        </ext>
      </extLst>
    </bk>
    <bk>
      <extLst>
        <ext uri="{3e2802c4-a4d2-4d8b-9148-e3be6c30e623}">
          <xlrd:rvb i="7683"/>
        </ext>
      </extLst>
    </bk>
    <bk>
      <extLst>
        <ext uri="{3e2802c4-a4d2-4d8b-9148-e3be6c30e623}">
          <xlrd:rvb i="7684"/>
        </ext>
      </extLst>
    </bk>
    <bk>
      <extLst>
        <ext uri="{3e2802c4-a4d2-4d8b-9148-e3be6c30e623}">
          <xlrd:rvb i="7685"/>
        </ext>
      </extLst>
    </bk>
    <bk>
      <extLst>
        <ext uri="{3e2802c4-a4d2-4d8b-9148-e3be6c30e623}">
          <xlrd:rvb i="7686"/>
        </ext>
      </extLst>
    </bk>
    <bk>
      <extLst>
        <ext uri="{3e2802c4-a4d2-4d8b-9148-e3be6c30e623}">
          <xlrd:rvb i="7687"/>
        </ext>
      </extLst>
    </bk>
    <bk>
      <extLst>
        <ext uri="{3e2802c4-a4d2-4d8b-9148-e3be6c30e623}">
          <xlrd:rvb i="7688"/>
        </ext>
      </extLst>
    </bk>
    <bk>
      <extLst>
        <ext uri="{3e2802c4-a4d2-4d8b-9148-e3be6c30e623}">
          <xlrd:rvb i="7689"/>
        </ext>
      </extLst>
    </bk>
    <bk>
      <extLst>
        <ext uri="{3e2802c4-a4d2-4d8b-9148-e3be6c30e623}">
          <xlrd:rvb i="7690"/>
        </ext>
      </extLst>
    </bk>
    <bk>
      <extLst>
        <ext uri="{3e2802c4-a4d2-4d8b-9148-e3be6c30e623}">
          <xlrd:rvb i="7691"/>
        </ext>
      </extLst>
    </bk>
    <bk>
      <extLst>
        <ext uri="{3e2802c4-a4d2-4d8b-9148-e3be6c30e623}">
          <xlrd:rvb i="7692"/>
        </ext>
      </extLst>
    </bk>
    <bk>
      <extLst>
        <ext uri="{3e2802c4-a4d2-4d8b-9148-e3be6c30e623}">
          <xlrd:rvb i="7693"/>
        </ext>
      </extLst>
    </bk>
    <bk>
      <extLst>
        <ext uri="{3e2802c4-a4d2-4d8b-9148-e3be6c30e623}">
          <xlrd:rvb i="7694"/>
        </ext>
      </extLst>
    </bk>
    <bk>
      <extLst>
        <ext uri="{3e2802c4-a4d2-4d8b-9148-e3be6c30e623}">
          <xlrd:rvb i="7695"/>
        </ext>
      </extLst>
    </bk>
    <bk>
      <extLst>
        <ext uri="{3e2802c4-a4d2-4d8b-9148-e3be6c30e623}">
          <xlrd:rvb i="7696"/>
        </ext>
      </extLst>
    </bk>
    <bk>
      <extLst>
        <ext uri="{3e2802c4-a4d2-4d8b-9148-e3be6c30e623}">
          <xlrd:rvb i="7697"/>
        </ext>
      </extLst>
    </bk>
    <bk>
      <extLst>
        <ext uri="{3e2802c4-a4d2-4d8b-9148-e3be6c30e623}">
          <xlrd:rvb i="7698"/>
        </ext>
      </extLst>
    </bk>
    <bk>
      <extLst>
        <ext uri="{3e2802c4-a4d2-4d8b-9148-e3be6c30e623}">
          <xlrd:rvb i="7699"/>
        </ext>
      </extLst>
    </bk>
    <bk>
      <extLst>
        <ext uri="{3e2802c4-a4d2-4d8b-9148-e3be6c30e623}">
          <xlrd:rvb i="7700"/>
        </ext>
      </extLst>
    </bk>
    <bk>
      <extLst>
        <ext uri="{3e2802c4-a4d2-4d8b-9148-e3be6c30e623}">
          <xlrd:rvb i="7701"/>
        </ext>
      </extLst>
    </bk>
    <bk>
      <extLst>
        <ext uri="{3e2802c4-a4d2-4d8b-9148-e3be6c30e623}">
          <xlrd:rvb i="7702"/>
        </ext>
      </extLst>
    </bk>
    <bk>
      <extLst>
        <ext uri="{3e2802c4-a4d2-4d8b-9148-e3be6c30e623}">
          <xlrd:rvb i="7703"/>
        </ext>
      </extLst>
    </bk>
    <bk>
      <extLst>
        <ext uri="{3e2802c4-a4d2-4d8b-9148-e3be6c30e623}">
          <xlrd:rvb i="7704"/>
        </ext>
      </extLst>
    </bk>
    <bk>
      <extLst>
        <ext uri="{3e2802c4-a4d2-4d8b-9148-e3be6c30e623}">
          <xlrd:rvb i="7705"/>
        </ext>
      </extLst>
    </bk>
    <bk>
      <extLst>
        <ext uri="{3e2802c4-a4d2-4d8b-9148-e3be6c30e623}">
          <xlrd:rvb i="7706"/>
        </ext>
      </extLst>
    </bk>
    <bk>
      <extLst>
        <ext uri="{3e2802c4-a4d2-4d8b-9148-e3be6c30e623}">
          <xlrd:rvb i="7707"/>
        </ext>
      </extLst>
    </bk>
    <bk>
      <extLst>
        <ext uri="{3e2802c4-a4d2-4d8b-9148-e3be6c30e623}">
          <xlrd:rvb i="7708"/>
        </ext>
      </extLst>
    </bk>
    <bk>
      <extLst>
        <ext uri="{3e2802c4-a4d2-4d8b-9148-e3be6c30e623}">
          <xlrd:rvb i="7709"/>
        </ext>
      </extLst>
    </bk>
    <bk>
      <extLst>
        <ext uri="{3e2802c4-a4d2-4d8b-9148-e3be6c30e623}">
          <xlrd:rvb i="7710"/>
        </ext>
      </extLst>
    </bk>
    <bk>
      <extLst>
        <ext uri="{3e2802c4-a4d2-4d8b-9148-e3be6c30e623}">
          <xlrd:rvb i="7711"/>
        </ext>
      </extLst>
    </bk>
    <bk>
      <extLst>
        <ext uri="{3e2802c4-a4d2-4d8b-9148-e3be6c30e623}">
          <xlrd:rvb i="7712"/>
        </ext>
      </extLst>
    </bk>
    <bk>
      <extLst>
        <ext uri="{3e2802c4-a4d2-4d8b-9148-e3be6c30e623}">
          <xlrd:rvb i="7713"/>
        </ext>
      </extLst>
    </bk>
    <bk>
      <extLst>
        <ext uri="{3e2802c4-a4d2-4d8b-9148-e3be6c30e623}">
          <xlrd:rvb i="7714"/>
        </ext>
      </extLst>
    </bk>
    <bk>
      <extLst>
        <ext uri="{3e2802c4-a4d2-4d8b-9148-e3be6c30e623}">
          <xlrd:rvb i="7715"/>
        </ext>
      </extLst>
    </bk>
    <bk>
      <extLst>
        <ext uri="{3e2802c4-a4d2-4d8b-9148-e3be6c30e623}">
          <xlrd:rvb i="7716"/>
        </ext>
      </extLst>
    </bk>
    <bk>
      <extLst>
        <ext uri="{3e2802c4-a4d2-4d8b-9148-e3be6c30e623}">
          <xlrd:rvb i="7717"/>
        </ext>
      </extLst>
    </bk>
    <bk>
      <extLst>
        <ext uri="{3e2802c4-a4d2-4d8b-9148-e3be6c30e623}">
          <xlrd:rvb i="7718"/>
        </ext>
      </extLst>
    </bk>
    <bk>
      <extLst>
        <ext uri="{3e2802c4-a4d2-4d8b-9148-e3be6c30e623}">
          <xlrd:rvb i="7719"/>
        </ext>
      </extLst>
    </bk>
    <bk>
      <extLst>
        <ext uri="{3e2802c4-a4d2-4d8b-9148-e3be6c30e623}">
          <xlrd:rvb i="7720"/>
        </ext>
      </extLst>
    </bk>
    <bk>
      <extLst>
        <ext uri="{3e2802c4-a4d2-4d8b-9148-e3be6c30e623}">
          <xlrd:rvb i="7721"/>
        </ext>
      </extLst>
    </bk>
    <bk>
      <extLst>
        <ext uri="{3e2802c4-a4d2-4d8b-9148-e3be6c30e623}">
          <xlrd:rvb i="7722"/>
        </ext>
      </extLst>
    </bk>
    <bk>
      <extLst>
        <ext uri="{3e2802c4-a4d2-4d8b-9148-e3be6c30e623}">
          <xlrd:rvb i="7723"/>
        </ext>
      </extLst>
    </bk>
    <bk>
      <extLst>
        <ext uri="{3e2802c4-a4d2-4d8b-9148-e3be6c30e623}">
          <xlrd:rvb i="7724"/>
        </ext>
      </extLst>
    </bk>
    <bk>
      <extLst>
        <ext uri="{3e2802c4-a4d2-4d8b-9148-e3be6c30e623}">
          <xlrd:rvb i="7725"/>
        </ext>
      </extLst>
    </bk>
    <bk>
      <extLst>
        <ext uri="{3e2802c4-a4d2-4d8b-9148-e3be6c30e623}">
          <xlrd:rvb i="7726"/>
        </ext>
      </extLst>
    </bk>
    <bk>
      <extLst>
        <ext uri="{3e2802c4-a4d2-4d8b-9148-e3be6c30e623}">
          <xlrd:rvb i="7727"/>
        </ext>
      </extLst>
    </bk>
    <bk>
      <extLst>
        <ext uri="{3e2802c4-a4d2-4d8b-9148-e3be6c30e623}">
          <xlrd:rvb i="7728"/>
        </ext>
      </extLst>
    </bk>
    <bk>
      <extLst>
        <ext uri="{3e2802c4-a4d2-4d8b-9148-e3be6c30e623}">
          <xlrd:rvb i="7729"/>
        </ext>
      </extLst>
    </bk>
    <bk>
      <extLst>
        <ext uri="{3e2802c4-a4d2-4d8b-9148-e3be6c30e623}">
          <xlrd:rvb i="7730"/>
        </ext>
      </extLst>
    </bk>
    <bk>
      <extLst>
        <ext uri="{3e2802c4-a4d2-4d8b-9148-e3be6c30e623}">
          <xlrd:rvb i="7731"/>
        </ext>
      </extLst>
    </bk>
    <bk>
      <extLst>
        <ext uri="{3e2802c4-a4d2-4d8b-9148-e3be6c30e623}">
          <xlrd:rvb i="7732"/>
        </ext>
      </extLst>
    </bk>
    <bk>
      <extLst>
        <ext uri="{3e2802c4-a4d2-4d8b-9148-e3be6c30e623}">
          <xlrd:rvb i="7733"/>
        </ext>
      </extLst>
    </bk>
    <bk>
      <extLst>
        <ext uri="{3e2802c4-a4d2-4d8b-9148-e3be6c30e623}">
          <xlrd:rvb i="7734"/>
        </ext>
      </extLst>
    </bk>
    <bk>
      <extLst>
        <ext uri="{3e2802c4-a4d2-4d8b-9148-e3be6c30e623}">
          <xlrd:rvb i="7735"/>
        </ext>
      </extLst>
    </bk>
    <bk>
      <extLst>
        <ext uri="{3e2802c4-a4d2-4d8b-9148-e3be6c30e623}">
          <xlrd:rvb i="7736"/>
        </ext>
      </extLst>
    </bk>
    <bk>
      <extLst>
        <ext uri="{3e2802c4-a4d2-4d8b-9148-e3be6c30e623}">
          <xlrd:rvb i="7737"/>
        </ext>
      </extLst>
    </bk>
    <bk>
      <extLst>
        <ext uri="{3e2802c4-a4d2-4d8b-9148-e3be6c30e623}">
          <xlrd:rvb i="7738"/>
        </ext>
      </extLst>
    </bk>
    <bk>
      <extLst>
        <ext uri="{3e2802c4-a4d2-4d8b-9148-e3be6c30e623}">
          <xlrd:rvb i="7739"/>
        </ext>
      </extLst>
    </bk>
    <bk>
      <extLst>
        <ext uri="{3e2802c4-a4d2-4d8b-9148-e3be6c30e623}">
          <xlrd:rvb i="7740"/>
        </ext>
      </extLst>
    </bk>
    <bk>
      <extLst>
        <ext uri="{3e2802c4-a4d2-4d8b-9148-e3be6c30e623}">
          <xlrd:rvb i="7741"/>
        </ext>
      </extLst>
    </bk>
    <bk>
      <extLst>
        <ext uri="{3e2802c4-a4d2-4d8b-9148-e3be6c30e623}">
          <xlrd:rvb i="7742"/>
        </ext>
      </extLst>
    </bk>
    <bk>
      <extLst>
        <ext uri="{3e2802c4-a4d2-4d8b-9148-e3be6c30e623}">
          <xlrd:rvb i="7743"/>
        </ext>
      </extLst>
    </bk>
    <bk>
      <extLst>
        <ext uri="{3e2802c4-a4d2-4d8b-9148-e3be6c30e623}">
          <xlrd:rvb i="7744"/>
        </ext>
      </extLst>
    </bk>
    <bk>
      <extLst>
        <ext uri="{3e2802c4-a4d2-4d8b-9148-e3be6c30e623}">
          <xlrd:rvb i="7745"/>
        </ext>
      </extLst>
    </bk>
    <bk>
      <extLst>
        <ext uri="{3e2802c4-a4d2-4d8b-9148-e3be6c30e623}">
          <xlrd:rvb i="7746"/>
        </ext>
      </extLst>
    </bk>
    <bk>
      <extLst>
        <ext uri="{3e2802c4-a4d2-4d8b-9148-e3be6c30e623}">
          <xlrd:rvb i="7747"/>
        </ext>
      </extLst>
    </bk>
    <bk>
      <extLst>
        <ext uri="{3e2802c4-a4d2-4d8b-9148-e3be6c30e623}">
          <xlrd:rvb i="7748"/>
        </ext>
      </extLst>
    </bk>
    <bk>
      <extLst>
        <ext uri="{3e2802c4-a4d2-4d8b-9148-e3be6c30e623}">
          <xlrd:rvb i="7749"/>
        </ext>
      </extLst>
    </bk>
    <bk>
      <extLst>
        <ext uri="{3e2802c4-a4d2-4d8b-9148-e3be6c30e623}">
          <xlrd:rvb i="7750"/>
        </ext>
      </extLst>
    </bk>
    <bk>
      <extLst>
        <ext uri="{3e2802c4-a4d2-4d8b-9148-e3be6c30e623}">
          <xlrd:rvb i="7751"/>
        </ext>
      </extLst>
    </bk>
    <bk>
      <extLst>
        <ext uri="{3e2802c4-a4d2-4d8b-9148-e3be6c30e623}">
          <xlrd:rvb i="7752"/>
        </ext>
      </extLst>
    </bk>
    <bk>
      <extLst>
        <ext uri="{3e2802c4-a4d2-4d8b-9148-e3be6c30e623}">
          <xlrd:rvb i="7753"/>
        </ext>
      </extLst>
    </bk>
    <bk>
      <extLst>
        <ext uri="{3e2802c4-a4d2-4d8b-9148-e3be6c30e623}">
          <xlrd:rvb i="7754"/>
        </ext>
      </extLst>
    </bk>
    <bk>
      <extLst>
        <ext uri="{3e2802c4-a4d2-4d8b-9148-e3be6c30e623}">
          <xlrd:rvb i="7755"/>
        </ext>
      </extLst>
    </bk>
    <bk>
      <extLst>
        <ext uri="{3e2802c4-a4d2-4d8b-9148-e3be6c30e623}">
          <xlrd:rvb i="7756"/>
        </ext>
      </extLst>
    </bk>
    <bk>
      <extLst>
        <ext uri="{3e2802c4-a4d2-4d8b-9148-e3be6c30e623}">
          <xlrd:rvb i="7757"/>
        </ext>
      </extLst>
    </bk>
    <bk>
      <extLst>
        <ext uri="{3e2802c4-a4d2-4d8b-9148-e3be6c30e623}">
          <xlrd:rvb i="7758"/>
        </ext>
      </extLst>
    </bk>
    <bk>
      <extLst>
        <ext uri="{3e2802c4-a4d2-4d8b-9148-e3be6c30e623}">
          <xlrd:rvb i="7759"/>
        </ext>
      </extLst>
    </bk>
    <bk>
      <extLst>
        <ext uri="{3e2802c4-a4d2-4d8b-9148-e3be6c30e623}">
          <xlrd:rvb i="7760"/>
        </ext>
      </extLst>
    </bk>
    <bk>
      <extLst>
        <ext uri="{3e2802c4-a4d2-4d8b-9148-e3be6c30e623}">
          <xlrd:rvb i="7761"/>
        </ext>
      </extLst>
    </bk>
    <bk>
      <extLst>
        <ext uri="{3e2802c4-a4d2-4d8b-9148-e3be6c30e623}">
          <xlrd:rvb i="7762"/>
        </ext>
      </extLst>
    </bk>
    <bk>
      <extLst>
        <ext uri="{3e2802c4-a4d2-4d8b-9148-e3be6c30e623}">
          <xlrd:rvb i="7763"/>
        </ext>
      </extLst>
    </bk>
    <bk>
      <extLst>
        <ext uri="{3e2802c4-a4d2-4d8b-9148-e3be6c30e623}">
          <xlrd:rvb i="7764"/>
        </ext>
      </extLst>
    </bk>
    <bk>
      <extLst>
        <ext uri="{3e2802c4-a4d2-4d8b-9148-e3be6c30e623}">
          <xlrd:rvb i="7765"/>
        </ext>
      </extLst>
    </bk>
    <bk>
      <extLst>
        <ext uri="{3e2802c4-a4d2-4d8b-9148-e3be6c30e623}">
          <xlrd:rvb i="7766"/>
        </ext>
      </extLst>
    </bk>
    <bk>
      <extLst>
        <ext uri="{3e2802c4-a4d2-4d8b-9148-e3be6c30e623}">
          <xlrd:rvb i="7767"/>
        </ext>
      </extLst>
    </bk>
    <bk>
      <extLst>
        <ext uri="{3e2802c4-a4d2-4d8b-9148-e3be6c30e623}">
          <xlrd:rvb i="7768"/>
        </ext>
      </extLst>
    </bk>
    <bk>
      <extLst>
        <ext uri="{3e2802c4-a4d2-4d8b-9148-e3be6c30e623}">
          <xlrd:rvb i="7769"/>
        </ext>
      </extLst>
    </bk>
    <bk>
      <extLst>
        <ext uri="{3e2802c4-a4d2-4d8b-9148-e3be6c30e623}">
          <xlrd:rvb i="7770"/>
        </ext>
      </extLst>
    </bk>
    <bk>
      <extLst>
        <ext uri="{3e2802c4-a4d2-4d8b-9148-e3be6c30e623}">
          <xlrd:rvb i="7771"/>
        </ext>
      </extLst>
    </bk>
    <bk>
      <extLst>
        <ext uri="{3e2802c4-a4d2-4d8b-9148-e3be6c30e623}">
          <xlrd:rvb i="7772"/>
        </ext>
      </extLst>
    </bk>
    <bk>
      <extLst>
        <ext uri="{3e2802c4-a4d2-4d8b-9148-e3be6c30e623}">
          <xlrd:rvb i="7773"/>
        </ext>
      </extLst>
    </bk>
    <bk>
      <extLst>
        <ext uri="{3e2802c4-a4d2-4d8b-9148-e3be6c30e623}">
          <xlrd:rvb i="7774"/>
        </ext>
      </extLst>
    </bk>
    <bk>
      <extLst>
        <ext uri="{3e2802c4-a4d2-4d8b-9148-e3be6c30e623}">
          <xlrd:rvb i="7775"/>
        </ext>
      </extLst>
    </bk>
    <bk>
      <extLst>
        <ext uri="{3e2802c4-a4d2-4d8b-9148-e3be6c30e623}">
          <xlrd:rvb i="7776"/>
        </ext>
      </extLst>
    </bk>
    <bk>
      <extLst>
        <ext uri="{3e2802c4-a4d2-4d8b-9148-e3be6c30e623}">
          <xlrd:rvb i="7777"/>
        </ext>
      </extLst>
    </bk>
    <bk>
      <extLst>
        <ext uri="{3e2802c4-a4d2-4d8b-9148-e3be6c30e623}">
          <xlrd:rvb i="7778"/>
        </ext>
      </extLst>
    </bk>
    <bk>
      <extLst>
        <ext uri="{3e2802c4-a4d2-4d8b-9148-e3be6c30e623}">
          <xlrd:rvb i="7779"/>
        </ext>
      </extLst>
    </bk>
    <bk>
      <extLst>
        <ext uri="{3e2802c4-a4d2-4d8b-9148-e3be6c30e623}">
          <xlrd:rvb i="7780"/>
        </ext>
      </extLst>
    </bk>
    <bk>
      <extLst>
        <ext uri="{3e2802c4-a4d2-4d8b-9148-e3be6c30e623}">
          <xlrd:rvb i="7781"/>
        </ext>
      </extLst>
    </bk>
    <bk>
      <extLst>
        <ext uri="{3e2802c4-a4d2-4d8b-9148-e3be6c30e623}">
          <xlrd:rvb i="7782"/>
        </ext>
      </extLst>
    </bk>
    <bk>
      <extLst>
        <ext uri="{3e2802c4-a4d2-4d8b-9148-e3be6c30e623}">
          <xlrd:rvb i="7783"/>
        </ext>
      </extLst>
    </bk>
    <bk>
      <extLst>
        <ext uri="{3e2802c4-a4d2-4d8b-9148-e3be6c30e623}">
          <xlrd:rvb i="7784"/>
        </ext>
      </extLst>
    </bk>
    <bk>
      <extLst>
        <ext uri="{3e2802c4-a4d2-4d8b-9148-e3be6c30e623}">
          <xlrd:rvb i="7785"/>
        </ext>
      </extLst>
    </bk>
    <bk>
      <extLst>
        <ext uri="{3e2802c4-a4d2-4d8b-9148-e3be6c30e623}">
          <xlrd:rvb i="7786"/>
        </ext>
      </extLst>
    </bk>
    <bk>
      <extLst>
        <ext uri="{3e2802c4-a4d2-4d8b-9148-e3be6c30e623}">
          <xlrd:rvb i="7787"/>
        </ext>
      </extLst>
    </bk>
    <bk>
      <extLst>
        <ext uri="{3e2802c4-a4d2-4d8b-9148-e3be6c30e623}">
          <xlrd:rvb i="7788"/>
        </ext>
      </extLst>
    </bk>
    <bk>
      <extLst>
        <ext uri="{3e2802c4-a4d2-4d8b-9148-e3be6c30e623}">
          <xlrd:rvb i="7789"/>
        </ext>
      </extLst>
    </bk>
    <bk>
      <extLst>
        <ext uri="{3e2802c4-a4d2-4d8b-9148-e3be6c30e623}">
          <xlrd:rvb i="7790"/>
        </ext>
      </extLst>
    </bk>
    <bk>
      <extLst>
        <ext uri="{3e2802c4-a4d2-4d8b-9148-e3be6c30e623}">
          <xlrd:rvb i="7791"/>
        </ext>
      </extLst>
    </bk>
    <bk>
      <extLst>
        <ext uri="{3e2802c4-a4d2-4d8b-9148-e3be6c30e623}">
          <xlrd:rvb i="7792"/>
        </ext>
      </extLst>
    </bk>
    <bk>
      <extLst>
        <ext uri="{3e2802c4-a4d2-4d8b-9148-e3be6c30e623}">
          <xlrd:rvb i="7793"/>
        </ext>
      </extLst>
    </bk>
    <bk>
      <extLst>
        <ext uri="{3e2802c4-a4d2-4d8b-9148-e3be6c30e623}">
          <xlrd:rvb i="7794"/>
        </ext>
      </extLst>
    </bk>
    <bk>
      <extLst>
        <ext uri="{3e2802c4-a4d2-4d8b-9148-e3be6c30e623}">
          <xlrd:rvb i="7795"/>
        </ext>
      </extLst>
    </bk>
    <bk>
      <extLst>
        <ext uri="{3e2802c4-a4d2-4d8b-9148-e3be6c30e623}">
          <xlrd:rvb i="7796"/>
        </ext>
      </extLst>
    </bk>
    <bk>
      <extLst>
        <ext uri="{3e2802c4-a4d2-4d8b-9148-e3be6c30e623}">
          <xlrd:rvb i="7797"/>
        </ext>
      </extLst>
    </bk>
    <bk>
      <extLst>
        <ext uri="{3e2802c4-a4d2-4d8b-9148-e3be6c30e623}">
          <xlrd:rvb i="7798"/>
        </ext>
      </extLst>
    </bk>
    <bk>
      <extLst>
        <ext uri="{3e2802c4-a4d2-4d8b-9148-e3be6c30e623}">
          <xlrd:rvb i="7799"/>
        </ext>
      </extLst>
    </bk>
    <bk>
      <extLst>
        <ext uri="{3e2802c4-a4d2-4d8b-9148-e3be6c30e623}">
          <xlrd:rvb i="7800"/>
        </ext>
      </extLst>
    </bk>
    <bk>
      <extLst>
        <ext uri="{3e2802c4-a4d2-4d8b-9148-e3be6c30e623}">
          <xlrd:rvb i="7801"/>
        </ext>
      </extLst>
    </bk>
    <bk>
      <extLst>
        <ext uri="{3e2802c4-a4d2-4d8b-9148-e3be6c30e623}">
          <xlrd:rvb i="7802"/>
        </ext>
      </extLst>
    </bk>
    <bk>
      <extLst>
        <ext uri="{3e2802c4-a4d2-4d8b-9148-e3be6c30e623}">
          <xlrd:rvb i="7803"/>
        </ext>
      </extLst>
    </bk>
    <bk>
      <extLst>
        <ext uri="{3e2802c4-a4d2-4d8b-9148-e3be6c30e623}">
          <xlrd:rvb i="7804"/>
        </ext>
      </extLst>
    </bk>
    <bk>
      <extLst>
        <ext uri="{3e2802c4-a4d2-4d8b-9148-e3be6c30e623}">
          <xlrd:rvb i="7805"/>
        </ext>
      </extLst>
    </bk>
    <bk>
      <extLst>
        <ext uri="{3e2802c4-a4d2-4d8b-9148-e3be6c30e623}">
          <xlrd:rvb i="7806"/>
        </ext>
      </extLst>
    </bk>
    <bk>
      <extLst>
        <ext uri="{3e2802c4-a4d2-4d8b-9148-e3be6c30e623}">
          <xlrd:rvb i="7807"/>
        </ext>
      </extLst>
    </bk>
    <bk>
      <extLst>
        <ext uri="{3e2802c4-a4d2-4d8b-9148-e3be6c30e623}">
          <xlrd:rvb i="7808"/>
        </ext>
      </extLst>
    </bk>
    <bk>
      <extLst>
        <ext uri="{3e2802c4-a4d2-4d8b-9148-e3be6c30e623}">
          <xlrd:rvb i="7809"/>
        </ext>
      </extLst>
    </bk>
    <bk>
      <extLst>
        <ext uri="{3e2802c4-a4d2-4d8b-9148-e3be6c30e623}">
          <xlrd:rvb i="7810"/>
        </ext>
      </extLst>
    </bk>
    <bk>
      <extLst>
        <ext uri="{3e2802c4-a4d2-4d8b-9148-e3be6c30e623}">
          <xlrd:rvb i="7811"/>
        </ext>
      </extLst>
    </bk>
    <bk>
      <extLst>
        <ext uri="{3e2802c4-a4d2-4d8b-9148-e3be6c30e623}">
          <xlrd:rvb i="7812"/>
        </ext>
      </extLst>
    </bk>
    <bk>
      <extLst>
        <ext uri="{3e2802c4-a4d2-4d8b-9148-e3be6c30e623}">
          <xlrd:rvb i="7813"/>
        </ext>
      </extLst>
    </bk>
    <bk>
      <extLst>
        <ext uri="{3e2802c4-a4d2-4d8b-9148-e3be6c30e623}">
          <xlrd:rvb i="7814"/>
        </ext>
      </extLst>
    </bk>
    <bk>
      <extLst>
        <ext uri="{3e2802c4-a4d2-4d8b-9148-e3be6c30e623}">
          <xlrd:rvb i="7815"/>
        </ext>
      </extLst>
    </bk>
    <bk>
      <extLst>
        <ext uri="{3e2802c4-a4d2-4d8b-9148-e3be6c30e623}">
          <xlrd:rvb i="7816"/>
        </ext>
      </extLst>
    </bk>
    <bk>
      <extLst>
        <ext uri="{3e2802c4-a4d2-4d8b-9148-e3be6c30e623}">
          <xlrd:rvb i="7817"/>
        </ext>
      </extLst>
    </bk>
    <bk>
      <extLst>
        <ext uri="{3e2802c4-a4d2-4d8b-9148-e3be6c30e623}">
          <xlrd:rvb i="7818"/>
        </ext>
      </extLst>
    </bk>
    <bk>
      <extLst>
        <ext uri="{3e2802c4-a4d2-4d8b-9148-e3be6c30e623}">
          <xlrd:rvb i="7819"/>
        </ext>
      </extLst>
    </bk>
    <bk>
      <extLst>
        <ext uri="{3e2802c4-a4d2-4d8b-9148-e3be6c30e623}">
          <xlrd:rvb i="7820"/>
        </ext>
      </extLst>
    </bk>
    <bk>
      <extLst>
        <ext uri="{3e2802c4-a4d2-4d8b-9148-e3be6c30e623}">
          <xlrd:rvb i="7821"/>
        </ext>
      </extLst>
    </bk>
    <bk>
      <extLst>
        <ext uri="{3e2802c4-a4d2-4d8b-9148-e3be6c30e623}">
          <xlrd:rvb i="7822"/>
        </ext>
      </extLst>
    </bk>
    <bk>
      <extLst>
        <ext uri="{3e2802c4-a4d2-4d8b-9148-e3be6c30e623}">
          <xlrd:rvb i="7823"/>
        </ext>
      </extLst>
    </bk>
    <bk>
      <extLst>
        <ext uri="{3e2802c4-a4d2-4d8b-9148-e3be6c30e623}">
          <xlrd:rvb i="7824"/>
        </ext>
      </extLst>
    </bk>
    <bk>
      <extLst>
        <ext uri="{3e2802c4-a4d2-4d8b-9148-e3be6c30e623}">
          <xlrd:rvb i="7825"/>
        </ext>
      </extLst>
    </bk>
    <bk>
      <extLst>
        <ext uri="{3e2802c4-a4d2-4d8b-9148-e3be6c30e623}">
          <xlrd:rvb i="7826"/>
        </ext>
      </extLst>
    </bk>
    <bk>
      <extLst>
        <ext uri="{3e2802c4-a4d2-4d8b-9148-e3be6c30e623}">
          <xlrd:rvb i="7827"/>
        </ext>
      </extLst>
    </bk>
    <bk>
      <extLst>
        <ext uri="{3e2802c4-a4d2-4d8b-9148-e3be6c30e623}">
          <xlrd:rvb i="7828"/>
        </ext>
      </extLst>
    </bk>
    <bk>
      <extLst>
        <ext uri="{3e2802c4-a4d2-4d8b-9148-e3be6c30e623}">
          <xlrd:rvb i="7829"/>
        </ext>
      </extLst>
    </bk>
    <bk>
      <extLst>
        <ext uri="{3e2802c4-a4d2-4d8b-9148-e3be6c30e623}">
          <xlrd:rvb i="7830"/>
        </ext>
      </extLst>
    </bk>
    <bk>
      <extLst>
        <ext uri="{3e2802c4-a4d2-4d8b-9148-e3be6c30e623}">
          <xlrd:rvb i="7831"/>
        </ext>
      </extLst>
    </bk>
    <bk>
      <extLst>
        <ext uri="{3e2802c4-a4d2-4d8b-9148-e3be6c30e623}">
          <xlrd:rvb i="7832"/>
        </ext>
      </extLst>
    </bk>
    <bk>
      <extLst>
        <ext uri="{3e2802c4-a4d2-4d8b-9148-e3be6c30e623}">
          <xlrd:rvb i="7833"/>
        </ext>
      </extLst>
    </bk>
    <bk>
      <extLst>
        <ext uri="{3e2802c4-a4d2-4d8b-9148-e3be6c30e623}">
          <xlrd:rvb i="7834"/>
        </ext>
      </extLst>
    </bk>
    <bk>
      <extLst>
        <ext uri="{3e2802c4-a4d2-4d8b-9148-e3be6c30e623}">
          <xlrd:rvb i="7835"/>
        </ext>
      </extLst>
    </bk>
    <bk>
      <extLst>
        <ext uri="{3e2802c4-a4d2-4d8b-9148-e3be6c30e623}">
          <xlrd:rvb i="7836"/>
        </ext>
      </extLst>
    </bk>
    <bk>
      <extLst>
        <ext uri="{3e2802c4-a4d2-4d8b-9148-e3be6c30e623}">
          <xlrd:rvb i="7837"/>
        </ext>
      </extLst>
    </bk>
    <bk>
      <extLst>
        <ext uri="{3e2802c4-a4d2-4d8b-9148-e3be6c30e623}">
          <xlrd:rvb i="7838"/>
        </ext>
      </extLst>
    </bk>
    <bk>
      <extLst>
        <ext uri="{3e2802c4-a4d2-4d8b-9148-e3be6c30e623}">
          <xlrd:rvb i="7839"/>
        </ext>
      </extLst>
    </bk>
    <bk>
      <extLst>
        <ext uri="{3e2802c4-a4d2-4d8b-9148-e3be6c30e623}">
          <xlrd:rvb i="7840"/>
        </ext>
      </extLst>
    </bk>
    <bk>
      <extLst>
        <ext uri="{3e2802c4-a4d2-4d8b-9148-e3be6c30e623}">
          <xlrd:rvb i="7841"/>
        </ext>
      </extLst>
    </bk>
    <bk>
      <extLst>
        <ext uri="{3e2802c4-a4d2-4d8b-9148-e3be6c30e623}">
          <xlrd:rvb i="7842"/>
        </ext>
      </extLst>
    </bk>
    <bk>
      <extLst>
        <ext uri="{3e2802c4-a4d2-4d8b-9148-e3be6c30e623}">
          <xlrd:rvb i="7843"/>
        </ext>
      </extLst>
    </bk>
    <bk>
      <extLst>
        <ext uri="{3e2802c4-a4d2-4d8b-9148-e3be6c30e623}">
          <xlrd:rvb i="7844"/>
        </ext>
      </extLst>
    </bk>
    <bk>
      <extLst>
        <ext uri="{3e2802c4-a4d2-4d8b-9148-e3be6c30e623}">
          <xlrd:rvb i="7845"/>
        </ext>
      </extLst>
    </bk>
    <bk>
      <extLst>
        <ext uri="{3e2802c4-a4d2-4d8b-9148-e3be6c30e623}">
          <xlrd:rvb i="7846"/>
        </ext>
      </extLst>
    </bk>
    <bk>
      <extLst>
        <ext uri="{3e2802c4-a4d2-4d8b-9148-e3be6c30e623}">
          <xlrd:rvb i="7847"/>
        </ext>
      </extLst>
    </bk>
    <bk>
      <extLst>
        <ext uri="{3e2802c4-a4d2-4d8b-9148-e3be6c30e623}">
          <xlrd:rvb i="7848"/>
        </ext>
      </extLst>
    </bk>
    <bk>
      <extLst>
        <ext uri="{3e2802c4-a4d2-4d8b-9148-e3be6c30e623}">
          <xlrd:rvb i="7849"/>
        </ext>
      </extLst>
    </bk>
    <bk>
      <extLst>
        <ext uri="{3e2802c4-a4d2-4d8b-9148-e3be6c30e623}">
          <xlrd:rvb i="7850"/>
        </ext>
      </extLst>
    </bk>
    <bk>
      <extLst>
        <ext uri="{3e2802c4-a4d2-4d8b-9148-e3be6c30e623}">
          <xlrd:rvb i="7851"/>
        </ext>
      </extLst>
    </bk>
    <bk>
      <extLst>
        <ext uri="{3e2802c4-a4d2-4d8b-9148-e3be6c30e623}">
          <xlrd:rvb i="7852"/>
        </ext>
      </extLst>
    </bk>
    <bk>
      <extLst>
        <ext uri="{3e2802c4-a4d2-4d8b-9148-e3be6c30e623}">
          <xlrd:rvb i="7853"/>
        </ext>
      </extLst>
    </bk>
    <bk>
      <extLst>
        <ext uri="{3e2802c4-a4d2-4d8b-9148-e3be6c30e623}">
          <xlrd:rvb i="7854"/>
        </ext>
      </extLst>
    </bk>
    <bk>
      <extLst>
        <ext uri="{3e2802c4-a4d2-4d8b-9148-e3be6c30e623}">
          <xlrd:rvb i="7855"/>
        </ext>
      </extLst>
    </bk>
    <bk>
      <extLst>
        <ext uri="{3e2802c4-a4d2-4d8b-9148-e3be6c30e623}">
          <xlrd:rvb i="7856"/>
        </ext>
      </extLst>
    </bk>
    <bk>
      <extLst>
        <ext uri="{3e2802c4-a4d2-4d8b-9148-e3be6c30e623}">
          <xlrd:rvb i="7857"/>
        </ext>
      </extLst>
    </bk>
    <bk>
      <extLst>
        <ext uri="{3e2802c4-a4d2-4d8b-9148-e3be6c30e623}">
          <xlrd:rvb i="7858"/>
        </ext>
      </extLst>
    </bk>
    <bk>
      <extLst>
        <ext uri="{3e2802c4-a4d2-4d8b-9148-e3be6c30e623}">
          <xlrd:rvb i="7859"/>
        </ext>
      </extLst>
    </bk>
    <bk>
      <extLst>
        <ext uri="{3e2802c4-a4d2-4d8b-9148-e3be6c30e623}">
          <xlrd:rvb i="7860"/>
        </ext>
      </extLst>
    </bk>
    <bk>
      <extLst>
        <ext uri="{3e2802c4-a4d2-4d8b-9148-e3be6c30e623}">
          <xlrd:rvb i="7861"/>
        </ext>
      </extLst>
    </bk>
    <bk>
      <extLst>
        <ext uri="{3e2802c4-a4d2-4d8b-9148-e3be6c30e623}">
          <xlrd:rvb i="7862"/>
        </ext>
      </extLst>
    </bk>
    <bk>
      <extLst>
        <ext uri="{3e2802c4-a4d2-4d8b-9148-e3be6c30e623}">
          <xlrd:rvb i="7863"/>
        </ext>
      </extLst>
    </bk>
    <bk>
      <extLst>
        <ext uri="{3e2802c4-a4d2-4d8b-9148-e3be6c30e623}">
          <xlrd:rvb i="7864"/>
        </ext>
      </extLst>
    </bk>
    <bk>
      <extLst>
        <ext uri="{3e2802c4-a4d2-4d8b-9148-e3be6c30e623}">
          <xlrd:rvb i="7865"/>
        </ext>
      </extLst>
    </bk>
    <bk>
      <extLst>
        <ext uri="{3e2802c4-a4d2-4d8b-9148-e3be6c30e623}">
          <xlrd:rvb i="7866"/>
        </ext>
      </extLst>
    </bk>
    <bk>
      <extLst>
        <ext uri="{3e2802c4-a4d2-4d8b-9148-e3be6c30e623}">
          <xlrd:rvb i="7867"/>
        </ext>
      </extLst>
    </bk>
    <bk>
      <extLst>
        <ext uri="{3e2802c4-a4d2-4d8b-9148-e3be6c30e623}">
          <xlrd:rvb i="7868"/>
        </ext>
      </extLst>
    </bk>
    <bk>
      <extLst>
        <ext uri="{3e2802c4-a4d2-4d8b-9148-e3be6c30e623}">
          <xlrd:rvb i="7869"/>
        </ext>
      </extLst>
    </bk>
    <bk>
      <extLst>
        <ext uri="{3e2802c4-a4d2-4d8b-9148-e3be6c30e623}">
          <xlrd:rvb i="7870"/>
        </ext>
      </extLst>
    </bk>
    <bk>
      <extLst>
        <ext uri="{3e2802c4-a4d2-4d8b-9148-e3be6c30e623}">
          <xlrd:rvb i="7871"/>
        </ext>
      </extLst>
    </bk>
    <bk>
      <extLst>
        <ext uri="{3e2802c4-a4d2-4d8b-9148-e3be6c30e623}">
          <xlrd:rvb i="7872"/>
        </ext>
      </extLst>
    </bk>
    <bk>
      <extLst>
        <ext uri="{3e2802c4-a4d2-4d8b-9148-e3be6c30e623}">
          <xlrd:rvb i="7873"/>
        </ext>
      </extLst>
    </bk>
    <bk>
      <extLst>
        <ext uri="{3e2802c4-a4d2-4d8b-9148-e3be6c30e623}">
          <xlrd:rvb i="7874"/>
        </ext>
      </extLst>
    </bk>
    <bk>
      <extLst>
        <ext uri="{3e2802c4-a4d2-4d8b-9148-e3be6c30e623}">
          <xlrd:rvb i="7875"/>
        </ext>
      </extLst>
    </bk>
    <bk>
      <extLst>
        <ext uri="{3e2802c4-a4d2-4d8b-9148-e3be6c30e623}">
          <xlrd:rvb i="7876"/>
        </ext>
      </extLst>
    </bk>
    <bk>
      <extLst>
        <ext uri="{3e2802c4-a4d2-4d8b-9148-e3be6c30e623}">
          <xlrd:rvb i="7877"/>
        </ext>
      </extLst>
    </bk>
    <bk>
      <extLst>
        <ext uri="{3e2802c4-a4d2-4d8b-9148-e3be6c30e623}">
          <xlrd:rvb i="7878"/>
        </ext>
      </extLst>
    </bk>
    <bk>
      <extLst>
        <ext uri="{3e2802c4-a4d2-4d8b-9148-e3be6c30e623}">
          <xlrd:rvb i="7879"/>
        </ext>
      </extLst>
    </bk>
    <bk>
      <extLst>
        <ext uri="{3e2802c4-a4d2-4d8b-9148-e3be6c30e623}">
          <xlrd:rvb i="7880"/>
        </ext>
      </extLst>
    </bk>
    <bk>
      <extLst>
        <ext uri="{3e2802c4-a4d2-4d8b-9148-e3be6c30e623}">
          <xlrd:rvb i="7881"/>
        </ext>
      </extLst>
    </bk>
    <bk>
      <extLst>
        <ext uri="{3e2802c4-a4d2-4d8b-9148-e3be6c30e623}">
          <xlrd:rvb i="7882"/>
        </ext>
      </extLst>
    </bk>
    <bk>
      <extLst>
        <ext uri="{3e2802c4-a4d2-4d8b-9148-e3be6c30e623}">
          <xlrd:rvb i="7883"/>
        </ext>
      </extLst>
    </bk>
    <bk>
      <extLst>
        <ext uri="{3e2802c4-a4d2-4d8b-9148-e3be6c30e623}">
          <xlrd:rvb i="7884"/>
        </ext>
      </extLst>
    </bk>
    <bk>
      <extLst>
        <ext uri="{3e2802c4-a4d2-4d8b-9148-e3be6c30e623}">
          <xlrd:rvb i="7885"/>
        </ext>
      </extLst>
    </bk>
    <bk>
      <extLst>
        <ext uri="{3e2802c4-a4d2-4d8b-9148-e3be6c30e623}">
          <xlrd:rvb i="7886"/>
        </ext>
      </extLst>
    </bk>
    <bk>
      <extLst>
        <ext uri="{3e2802c4-a4d2-4d8b-9148-e3be6c30e623}">
          <xlrd:rvb i="7887"/>
        </ext>
      </extLst>
    </bk>
    <bk>
      <extLst>
        <ext uri="{3e2802c4-a4d2-4d8b-9148-e3be6c30e623}">
          <xlrd:rvb i="7888"/>
        </ext>
      </extLst>
    </bk>
    <bk>
      <extLst>
        <ext uri="{3e2802c4-a4d2-4d8b-9148-e3be6c30e623}">
          <xlrd:rvb i="7889"/>
        </ext>
      </extLst>
    </bk>
    <bk>
      <extLst>
        <ext uri="{3e2802c4-a4d2-4d8b-9148-e3be6c30e623}">
          <xlrd:rvb i="7890"/>
        </ext>
      </extLst>
    </bk>
    <bk>
      <extLst>
        <ext uri="{3e2802c4-a4d2-4d8b-9148-e3be6c30e623}">
          <xlrd:rvb i="7891"/>
        </ext>
      </extLst>
    </bk>
    <bk>
      <extLst>
        <ext uri="{3e2802c4-a4d2-4d8b-9148-e3be6c30e623}">
          <xlrd:rvb i="7892"/>
        </ext>
      </extLst>
    </bk>
    <bk>
      <extLst>
        <ext uri="{3e2802c4-a4d2-4d8b-9148-e3be6c30e623}">
          <xlrd:rvb i="7893"/>
        </ext>
      </extLst>
    </bk>
    <bk>
      <extLst>
        <ext uri="{3e2802c4-a4d2-4d8b-9148-e3be6c30e623}">
          <xlrd:rvb i="7894"/>
        </ext>
      </extLst>
    </bk>
    <bk>
      <extLst>
        <ext uri="{3e2802c4-a4d2-4d8b-9148-e3be6c30e623}">
          <xlrd:rvb i="7895"/>
        </ext>
      </extLst>
    </bk>
    <bk>
      <extLst>
        <ext uri="{3e2802c4-a4d2-4d8b-9148-e3be6c30e623}">
          <xlrd:rvb i="7896"/>
        </ext>
      </extLst>
    </bk>
    <bk>
      <extLst>
        <ext uri="{3e2802c4-a4d2-4d8b-9148-e3be6c30e623}">
          <xlrd:rvb i="7897"/>
        </ext>
      </extLst>
    </bk>
    <bk>
      <extLst>
        <ext uri="{3e2802c4-a4d2-4d8b-9148-e3be6c30e623}">
          <xlrd:rvb i="7898"/>
        </ext>
      </extLst>
    </bk>
    <bk>
      <extLst>
        <ext uri="{3e2802c4-a4d2-4d8b-9148-e3be6c30e623}">
          <xlrd:rvb i="7899"/>
        </ext>
      </extLst>
    </bk>
    <bk>
      <extLst>
        <ext uri="{3e2802c4-a4d2-4d8b-9148-e3be6c30e623}">
          <xlrd:rvb i="7900"/>
        </ext>
      </extLst>
    </bk>
    <bk>
      <extLst>
        <ext uri="{3e2802c4-a4d2-4d8b-9148-e3be6c30e623}">
          <xlrd:rvb i="7901"/>
        </ext>
      </extLst>
    </bk>
    <bk>
      <extLst>
        <ext uri="{3e2802c4-a4d2-4d8b-9148-e3be6c30e623}">
          <xlrd:rvb i="7902"/>
        </ext>
      </extLst>
    </bk>
    <bk>
      <extLst>
        <ext uri="{3e2802c4-a4d2-4d8b-9148-e3be6c30e623}">
          <xlrd:rvb i="7903"/>
        </ext>
      </extLst>
    </bk>
    <bk>
      <extLst>
        <ext uri="{3e2802c4-a4d2-4d8b-9148-e3be6c30e623}">
          <xlrd:rvb i="7904"/>
        </ext>
      </extLst>
    </bk>
    <bk>
      <extLst>
        <ext uri="{3e2802c4-a4d2-4d8b-9148-e3be6c30e623}">
          <xlrd:rvb i="7905"/>
        </ext>
      </extLst>
    </bk>
    <bk>
      <extLst>
        <ext uri="{3e2802c4-a4d2-4d8b-9148-e3be6c30e623}">
          <xlrd:rvb i="7906"/>
        </ext>
      </extLst>
    </bk>
    <bk>
      <extLst>
        <ext uri="{3e2802c4-a4d2-4d8b-9148-e3be6c30e623}">
          <xlrd:rvb i="7907"/>
        </ext>
      </extLst>
    </bk>
    <bk>
      <extLst>
        <ext uri="{3e2802c4-a4d2-4d8b-9148-e3be6c30e623}">
          <xlrd:rvb i="7908"/>
        </ext>
      </extLst>
    </bk>
    <bk>
      <extLst>
        <ext uri="{3e2802c4-a4d2-4d8b-9148-e3be6c30e623}">
          <xlrd:rvb i="7909"/>
        </ext>
      </extLst>
    </bk>
    <bk>
      <extLst>
        <ext uri="{3e2802c4-a4d2-4d8b-9148-e3be6c30e623}">
          <xlrd:rvb i="7910"/>
        </ext>
      </extLst>
    </bk>
    <bk>
      <extLst>
        <ext uri="{3e2802c4-a4d2-4d8b-9148-e3be6c30e623}">
          <xlrd:rvb i="7911"/>
        </ext>
      </extLst>
    </bk>
    <bk>
      <extLst>
        <ext uri="{3e2802c4-a4d2-4d8b-9148-e3be6c30e623}">
          <xlrd:rvb i="7912"/>
        </ext>
      </extLst>
    </bk>
    <bk>
      <extLst>
        <ext uri="{3e2802c4-a4d2-4d8b-9148-e3be6c30e623}">
          <xlrd:rvb i="7913"/>
        </ext>
      </extLst>
    </bk>
    <bk>
      <extLst>
        <ext uri="{3e2802c4-a4d2-4d8b-9148-e3be6c30e623}">
          <xlrd:rvb i="7914"/>
        </ext>
      </extLst>
    </bk>
    <bk>
      <extLst>
        <ext uri="{3e2802c4-a4d2-4d8b-9148-e3be6c30e623}">
          <xlrd:rvb i="7915"/>
        </ext>
      </extLst>
    </bk>
    <bk>
      <extLst>
        <ext uri="{3e2802c4-a4d2-4d8b-9148-e3be6c30e623}">
          <xlrd:rvb i="7916"/>
        </ext>
      </extLst>
    </bk>
    <bk>
      <extLst>
        <ext uri="{3e2802c4-a4d2-4d8b-9148-e3be6c30e623}">
          <xlrd:rvb i="7917"/>
        </ext>
      </extLst>
    </bk>
    <bk>
      <extLst>
        <ext uri="{3e2802c4-a4d2-4d8b-9148-e3be6c30e623}">
          <xlrd:rvb i="7918"/>
        </ext>
      </extLst>
    </bk>
    <bk>
      <extLst>
        <ext uri="{3e2802c4-a4d2-4d8b-9148-e3be6c30e623}">
          <xlrd:rvb i="7919"/>
        </ext>
      </extLst>
    </bk>
    <bk>
      <extLst>
        <ext uri="{3e2802c4-a4d2-4d8b-9148-e3be6c30e623}">
          <xlrd:rvb i="7920"/>
        </ext>
      </extLst>
    </bk>
    <bk>
      <extLst>
        <ext uri="{3e2802c4-a4d2-4d8b-9148-e3be6c30e623}">
          <xlrd:rvb i="7921"/>
        </ext>
      </extLst>
    </bk>
    <bk>
      <extLst>
        <ext uri="{3e2802c4-a4d2-4d8b-9148-e3be6c30e623}">
          <xlrd:rvb i="7922"/>
        </ext>
      </extLst>
    </bk>
    <bk>
      <extLst>
        <ext uri="{3e2802c4-a4d2-4d8b-9148-e3be6c30e623}">
          <xlrd:rvb i="7923"/>
        </ext>
      </extLst>
    </bk>
    <bk>
      <extLst>
        <ext uri="{3e2802c4-a4d2-4d8b-9148-e3be6c30e623}">
          <xlrd:rvb i="7924"/>
        </ext>
      </extLst>
    </bk>
    <bk>
      <extLst>
        <ext uri="{3e2802c4-a4d2-4d8b-9148-e3be6c30e623}">
          <xlrd:rvb i="7925"/>
        </ext>
      </extLst>
    </bk>
    <bk>
      <extLst>
        <ext uri="{3e2802c4-a4d2-4d8b-9148-e3be6c30e623}">
          <xlrd:rvb i="7926"/>
        </ext>
      </extLst>
    </bk>
    <bk>
      <extLst>
        <ext uri="{3e2802c4-a4d2-4d8b-9148-e3be6c30e623}">
          <xlrd:rvb i="7927"/>
        </ext>
      </extLst>
    </bk>
    <bk>
      <extLst>
        <ext uri="{3e2802c4-a4d2-4d8b-9148-e3be6c30e623}">
          <xlrd:rvb i="7928"/>
        </ext>
      </extLst>
    </bk>
    <bk>
      <extLst>
        <ext uri="{3e2802c4-a4d2-4d8b-9148-e3be6c30e623}">
          <xlrd:rvb i="7929"/>
        </ext>
      </extLst>
    </bk>
    <bk>
      <extLst>
        <ext uri="{3e2802c4-a4d2-4d8b-9148-e3be6c30e623}">
          <xlrd:rvb i="7930"/>
        </ext>
      </extLst>
    </bk>
    <bk>
      <extLst>
        <ext uri="{3e2802c4-a4d2-4d8b-9148-e3be6c30e623}">
          <xlrd:rvb i="7931"/>
        </ext>
      </extLst>
    </bk>
    <bk>
      <extLst>
        <ext uri="{3e2802c4-a4d2-4d8b-9148-e3be6c30e623}">
          <xlrd:rvb i="7932"/>
        </ext>
      </extLst>
    </bk>
    <bk>
      <extLst>
        <ext uri="{3e2802c4-a4d2-4d8b-9148-e3be6c30e623}">
          <xlrd:rvb i="7933"/>
        </ext>
      </extLst>
    </bk>
    <bk>
      <extLst>
        <ext uri="{3e2802c4-a4d2-4d8b-9148-e3be6c30e623}">
          <xlrd:rvb i="7934"/>
        </ext>
      </extLst>
    </bk>
    <bk>
      <extLst>
        <ext uri="{3e2802c4-a4d2-4d8b-9148-e3be6c30e623}">
          <xlrd:rvb i="7935"/>
        </ext>
      </extLst>
    </bk>
    <bk>
      <extLst>
        <ext uri="{3e2802c4-a4d2-4d8b-9148-e3be6c30e623}">
          <xlrd:rvb i="7936"/>
        </ext>
      </extLst>
    </bk>
    <bk>
      <extLst>
        <ext uri="{3e2802c4-a4d2-4d8b-9148-e3be6c30e623}">
          <xlrd:rvb i="7937"/>
        </ext>
      </extLst>
    </bk>
    <bk>
      <extLst>
        <ext uri="{3e2802c4-a4d2-4d8b-9148-e3be6c30e623}">
          <xlrd:rvb i="7938"/>
        </ext>
      </extLst>
    </bk>
    <bk>
      <extLst>
        <ext uri="{3e2802c4-a4d2-4d8b-9148-e3be6c30e623}">
          <xlrd:rvb i="7939"/>
        </ext>
      </extLst>
    </bk>
    <bk>
      <extLst>
        <ext uri="{3e2802c4-a4d2-4d8b-9148-e3be6c30e623}">
          <xlrd:rvb i="7940"/>
        </ext>
      </extLst>
    </bk>
    <bk>
      <extLst>
        <ext uri="{3e2802c4-a4d2-4d8b-9148-e3be6c30e623}">
          <xlrd:rvb i="7941"/>
        </ext>
      </extLst>
    </bk>
    <bk>
      <extLst>
        <ext uri="{3e2802c4-a4d2-4d8b-9148-e3be6c30e623}">
          <xlrd:rvb i="7942"/>
        </ext>
      </extLst>
    </bk>
    <bk>
      <extLst>
        <ext uri="{3e2802c4-a4d2-4d8b-9148-e3be6c30e623}">
          <xlrd:rvb i="7943"/>
        </ext>
      </extLst>
    </bk>
    <bk>
      <extLst>
        <ext uri="{3e2802c4-a4d2-4d8b-9148-e3be6c30e623}">
          <xlrd:rvb i="7944"/>
        </ext>
      </extLst>
    </bk>
    <bk>
      <extLst>
        <ext uri="{3e2802c4-a4d2-4d8b-9148-e3be6c30e623}">
          <xlrd:rvb i="7945"/>
        </ext>
      </extLst>
    </bk>
    <bk>
      <extLst>
        <ext uri="{3e2802c4-a4d2-4d8b-9148-e3be6c30e623}">
          <xlrd:rvb i="7946"/>
        </ext>
      </extLst>
    </bk>
    <bk>
      <extLst>
        <ext uri="{3e2802c4-a4d2-4d8b-9148-e3be6c30e623}">
          <xlrd:rvb i="7947"/>
        </ext>
      </extLst>
    </bk>
    <bk>
      <extLst>
        <ext uri="{3e2802c4-a4d2-4d8b-9148-e3be6c30e623}">
          <xlrd:rvb i="7948"/>
        </ext>
      </extLst>
    </bk>
    <bk>
      <extLst>
        <ext uri="{3e2802c4-a4d2-4d8b-9148-e3be6c30e623}">
          <xlrd:rvb i="7949"/>
        </ext>
      </extLst>
    </bk>
    <bk>
      <extLst>
        <ext uri="{3e2802c4-a4d2-4d8b-9148-e3be6c30e623}">
          <xlrd:rvb i="7950"/>
        </ext>
      </extLst>
    </bk>
    <bk>
      <extLst>
        <ext uri="{3e2802c4-a4d2-4d8b-9148-e3be6c30e623}">
          <xlrd:rvb i="7951"/>
        </ext>
      </extLst>
    </bk>
    <bk>
      <extLst>
        <ext uri="{3e2802c4-a4d2-4d8b-9148-e3be6c30e623}">
          <xlrd:rvb i="7952"/>
        </ext>
      </extLst>
    </bk>
    <bk>
      <extLst>
        <ext uri="{3e2802c4-a4d2-4d8b-9148-e3be6c30e623}">
          <xlrd:rvb i="7953"/>
        </ext>
      </extLst>
    </bk>
    <bk>
      <extLst>
        <ext uri="{3e2802c4-a4d2-4d8b-9148-e3be6c30e623}">
          <xlrd:rvb i="7954"/>
        </ext>
      </extLst>
    </bk>
    <bk>
      <extLst>
        <ext uri="{3e2802c4-a4d2-4d8b-9148-e3be6c30e623}">
          <xlrd:rvb i="7955"/>
        </ext>
      </extLst>
    </bk>
    <bk>
      <extLst>
        <ext uri="{3e2802c4-a4d2-4d8b-9148-e3be6c30e623}">
          <xlrd:rvb i="7956"/>
        </ext>
      </extLst>
    </bk>
    <bk>
      <extLst>
        <ext uri="{3e2802c4-a4d2-4d8b-9148-e3be6c30e623}">
          <xlrd:rvb i="7957"/>
        </ext>
      </extLst>
    </bk>
    <bk>
      <extLst>
        <ext uri="{3e2802c4-a4d2-4d8b-9148-e3be6c30e623}">
          <xlrd:rvb i="7958"/>
        </ext>
      </extLst>
    </bk>
    <bk>
      <extLst>
        <ext uri="{3e2802c4-a4d2-4d8b-9148-e3be6c30e623}">
          <xlrd:rvb i="7959"/>
        </ext>
      </extLst>
    </bk>
    <bk>
      <extLst>
        <ext uri="{3e2802c4-a4d2-4d8b-9148-e3be6c30e623}">
          <xlrd:rvb i="7960"/>
        </ext>
      </extLst>
    </bk>
    <bk>
      <extLst>
        <ext uri="{3e2802c4-a4d2-4d8b-9148-e3be6c30e623}">
          <xlrd:rvb i="7961"/>
        </ext>
      </extLst>
    </bk>
    <bk>
      <extLst>
        <ext uri="{3e2802c4-a4d2-4d8b-9148-e3be6c30e623}">
          <xlrd:rvb i="7962"/>
        </ext>
      </extLst>
    </bk>
    <bk>
      <extLst>
        <ext uri="{3e2802c4-a4d2-4d8b-9148-e3be6c30e623}">
          <xlrd:rvb i="7963"/>
        </ext>
      </extLst>
    </bk>
    <bk>
      <extLst>
        <ext uri="{3e2802c4-a4d2-4d8b-9148-e3be6c30e623}">
          <xlrd:rvb i="7964"/>
        </ext>
      </extLst>
    </bk>
    <bk>
      <extLst>
        <ext uri="{3e2802c4-a4d2-4d8b-9148-e3be6c30e623}">
          <xlrd:rvb i="7965"/>
        </ext>
      </extLst>
    </bk>
    <bk>
      <extLst>
        <ext uri="{3e2802c4-a4d2-4d8b-9148-e3be6c30e623}">
          <xlrd:rvb i="7966"/>
        </ext>
      </extLst>
    </bk>
    <bk>
      <extLst>
        <ext uri="{3e2802c4-a4d2-4d8b-9148-e3be6c30e623}">
          <xlrd:rvb i="7967"/>
        </ext>
      </extLst>
    </bk>
    <bk>
      <extLst>
        <ext uri="{3e2802c4-a4d2-4d8b-9148-e3be6c30e623}">
          <xlrd:rvb i="7968"/>
        </ext>
      </extLst>
    </bk>
    <bk>
      <extLst>
        <ext uri="{3e2802c4-a4d2-4d8b-9148-e3be6c30e623}">
          <xlrd:rvb i="7969"/>
        </ext>
      </extLst>
    </bk>
    <bk>
      <extLst>
        <ext uri="{3e2802c4-a4d2-4d8b-9148-e3be6c30e623}">
          <xlrd:rvb i="7970"/>
        </ext>
      </extLst>
    </bk>
    <bk>
      <extLst>
        <ext uri="{3e2802c4-a4d2-4d8b-9148-e3be6c30e623}">
          <xlrd:rvb i="7971"/>
        </ext>
      </extLst>
    </bk>
    <bk>
      <extLst>
        <ext uri="{3e2802c4-a4d2-4d8b-9148-e3be6c30e623}">
          <xlrd:rvb i="7972"/>
        </ext>
      </extLst>
    </bk>
    <bk>
      <extLst>
        <ext uri="{3e2802c4-a4d2-4d8b-9148-e3be6c30e623}">
          <xlrd:rvb i="7973"/>
        </ext>
      </extLst>
    </bk>
    <bk>
      <extLst>
        <ext uri="{3e2802c4-a4d2-4d8b-9148-e3be6c30e623}">
          <xlrd:rvb i="7974"/>
        </ext>
      </extLst>
    </bk>
    <bk>
      <extLst>
        <ext uri="{3e2802c4-a4d2-4d8b-9148-e3be6c30e623}">
          <xlrd:rvb i="7975"/>
        </ext>
      </extLst>
    </bk>
    <bk>
      <extLst>
        <ext uri="{3e2802c4-a4d2-4d8b-9148-e3be6c30e623}">
          <xlrd:rvb i="7976"/>
        </ext>
      </extLst>
    </bk>
    <bk>
      <extLst>
        <ext uri="{3e2802c4-a4d2-4d8b-9148-e3be6c30e623}">
          <xlrd:rvb i="7977"/>
        </ext>
      </extLst>
    </bk>
    <bk>
      <extLst>
        <ext uri="{3e2802c4-a4d2-4d8b-9148-e3be6c30e623}">
          <xlrd:rvb i="7978"/>
        </ext>
      </extLst>
    </bk>
    <bk>
      <extLst>
        <ext uri="{3e2802c4-a4d2-4d8b-9148-e3be6c30e623}">
          <xlrd:rvb i="7979"/>
        </ext>
      </extLst>
    </bk>
    <bk>
      <extLst>
        <ext uri="{3e2802c4-a4d2-4d8b-9148-e3be6c30e623}">
          <xlrd:rvb i="7980"/>
        </ext>
      </extLst>
    </bk>
    <bk>
      <extLst>
        <ext uri="{3e2802c4-a4d2-4d8b-9148-e3be6c30e623}">
          <xlrd:rvb i="7981"/>
        </ext>
      </extLst>
    </bk>
    <bk>
      <extLst>
        <ext uri="{3e2802c4-a4d2-4d8b-9148-e3be6c30e623}">
          <xlrd:rvb i="7982"/>
        </ext>
      </extLst>
    </bk>
    <bk>
      <extLst>
        <ext uri="{3e2802c4-a4d2-4d8b-9148-e3be6c30e623}">
          <xlrd:rvb i="7983"/>
        </ext>
      </extLst>
    </bk>
    <bk>
      <extLst>
        <ext uri="{3e2802c4-a4d2-4d8b-9148-e3be6c30e623}">
          <xlrd:rvb i="7984"/>
        </ext>
      </extLst>
    </bk>
    <bk>
      <extLst>
        <ext uri="{3e2802c4-a4d2-4d8b-9148-e3be6c30e623}">
          <xlrd:rvb i="7985"/>
        </ext>
      </extLst>
    </bk>
    <bk>
      <extLst>
        <ext uri="{3e2802c4-a4d2-4d8b-9148-e3be6c30e623}">
          <xlrd:rvb i="7986"/>
        </ext>
      </extLst>
    </bk>
    <bk>
      <extLst>
        <ext uri="{3e2802c4-a4d2-4d8b-9148-e3be6c30e623}">
          <xlrd:rvb i="7987"/>
        </ext>
      </extLst>
    </bk>
    <bk>
      <extLst>
        <ext uri="{3e2802c4-a4d2-4d8b-9148-e3be6c30e623}">
          <xlrd:rvb i="7988"/>
        </ext>
      </extLst>
    </bk>
    <bk>
      <extLst>
        <ext uri="{3e2802c4-a4d2-4d8b-9148-e3be6c30e623}">
          <xlrd:rvb i="7989"/>
        </ext>
      </extLst>
    </bk>
    <bk>
      <extLst>
        <ext uri="{3e2802c4-a4d2-4d8b-9148-e3be6c30e623}">
          <xlrd:rvb i="7990"/>
        </ext>
      </extLst>
    </bk>
    <bk>
      <extLst>
        <ext uri="{3e2802c4-a4d2-4d8b-9148-e3be6c30e623}">
          <xlrd:rvb i="7991"/>
        </ext>
      </extLst>
    </bk>
    <bk>
      <extLst>
        <ext uri="{3e2802c4-a4d2-4d8b-9148-e3be6c30e623}">
          <xlrd:rvb i="7992"/>
        </ext>
      </extLst>
    </bk>
    <bk>
      <extLst>
        <ext uri="{3e2802c4-a4d2-4d8b-9148-e3be6c30e623}">
          <xlrd:rvb i="7993"/>
        </ext>
      </extLst>
    </bk>
    <bk>
      <extLst>
        <ext uri="{3e2802c4-a4d2-4d8b-9148-e3be6c30e623}">
          <xlrd:rvb i="7994"/>
        </ext>
      </extLst>
    </bk>
    <bk>
      <extLst>
        <ext uri="{3e2802c4-a4d2-4d8b-9148-e3be6c30e623}">
          <xlrd:rvb i="7995"/>
        </ext>
      </extLst>
    </bk>
    <bk>
      <extLst>
        <ext uri="{3e2802c4-a4d2-4d8b-9148-e3be6c30e623}">
          <xlrd:rvb i="7996"/>
        </ext>
      </extLst>
    </bk>
    <bk>
      <extLst>
        <ext uri="{3e2802c4-a4d2-4d8b-9148-e3be6c30e623}">
          <xlrd:rvb i="7997"/>
        </ext>
      </extLst>
    </bk>
    <bk>
      <extLst>
        <ext uri="{3e2802c4-a4d2-4d8b-9148-e3be6c30e623}">
          <xlrd:rvb i="7998"/>
        </ext>
      </extLst>
    </bk>
    <bk>
      <extLst>
        <ext uri="{3e2802c4-a4d2-4d8b-9148-e3be6c30e623}">
          <xlrd:rvb i="7999"/>
        </ext>
      </extLst>
    </bk>
    <bk>
      <extLst>
        <ext uri="{3e2802c4-a4d2-4d8b-9148-e3be6c30e623}">
          <xlrd:rvb i="8000"/>
        </ext>
      </extLst>
    </bk>
    <bk>
      <extLst>
        <ext uri="{3e2802c4-a4d2-4d8b-9148-e3be6c30e623}">
          <xlrd:rvb i="8001"/>
        </ext>
      </extLst>
    </bk>
    <bk>
      <extLst>
        <ext uri="{3e2802c4-a4d2-4d8b-9148-e3be6c30e623}">
          <xlrd:rvb i="8002"/>
        </ext>
      </extLst>
    </bk>
    <bk>
      <extLst>
        <ext uri="{3e2802c4-a4d2-4d8b-9148-e3be6c30e623}">
          <xlrd:rvb i="8003"/>
        </ext>
      </extLst>
    </bk>
    <bk>
      <extLst>
        <ext uri="{3e2802c4-a4d2-4d8b-9148-e3be6c30e623}">
          <xlrd:rvb i="8004"/>
        </ext>
      </extLst>
    </bk>
    <bk>
      <extLst>
        <ext uri="{3e2802c4-a4d2-4d8b-9148-e3be6c30e623}">
          <xlrd:rvb i="8005"/>
        </ext>
      </extLst>
    </bk>
    <bk>
      <extLst>
        <ext uri="{3e2802c4-a4d2-4d8b-9148-e3be6c30e623}">
          <xlrd:rvb i="8006"/>
        </ext>
      </extLst>
    </bk>
    <bk>
      <extLst>
        <ext uri="{3e2802c4-a4d2-4d8b-9148-e3be6c30e623}">
          <xlrd:rvb i="8007"/>
        </ext>
      </extLst>
    </bk>
    <bk>
      <extLst>
        <ext uri="{3e2802c4-a4d2-4d8b-9148-e3be6c30e623}">
          <xlrd:rvb i="8008"/>
        </ext>
      </extLst>
    </bk>
    <bk>
      <extLst>
        <ext uri="{3e2802c4-a4d2-4d8b-9148-e3be6c30e623}">
          <xlrd:rvb i="8009"/>
        </ext>
      </extLst>
    </bk>
    <bk>
      <extLst>
        <ext uri="{3e2802c4-a4d2-4d8b-9148-e3be6c30e623}">
          <xlrd:rvb i="8010"/>
        </ext>
      </extLst>
    </bk>
    <bk>
      <extLst>
        <ext uri="{3e2802c4-a4d2-4d8b-9148-e3be6c30e623}">
          <xlrd:rvb i="8011"/>
        </ext>
      </extLst>
    </bk>
    <bk>
      <extLst>
        <ext uri="{3e2802c4-a4d2-4d8b-9148-e3be6c30e623}">
          <xlrd:rvb i="8012"/>
        </ext>
      </extLst>
    </bk>
    <bk>
      <extLst>
        <ext uri="{3e2802c4-a4d2-4d8b-9148-e3be6c30e623}">
          <xlrd:rvb i="8013"/>
        </ext>
      </extLst>
    </bk>
    <bk>
      <extLst>
        <ext uri="{3e2802c4-a4d2-4d8b-9148-e3be6c30e623}">
          <xlrd:rvb i="8014"/>
        </ext>
      </extLst>
    </bk>
    <bk>
      <extLst>
        <ext uri="{3e2802c4-a4d2-4d8b-9148-e3be6c30e623}">
          <xlrd:rvb i="8015"/>
        </ext>
      </extLst>
    </bk>
    <bk>
      <extLst>
        <ext uri="{3e2802c4-a4d2-4d8b-9148-e3be6c30e623}">
          <xlrd:rvb i="8016"/>
        </ext>
      </extLst>
    </bk>
    <bk>
      <extLst>
        <ext uri="{3e2802c4-a4d2-4d8b-9148-e3be6c30e623}">
          <xlrd:rvb i="8017"/>
        </ext>
      </extLst>
    </bk>
    <bk>
      <extLst>
        <ext uri="{3e2802c4-a4d2-4d8b-9148-e3be6c30e623}">
          <xlrd:rvb i="8018"/>
        </ext>
      </extLst>
    </bk>
    <bk>
      <extLst>
        <ext uri="{3e2802c4-a4d2-4d8b-9148-e3be6c30e623}">
          <xlrd:rvb i="8019"/>
        </ext>
      </extLst>
    </bk>
    <bk>
      <extLst>
        <ext uri="{3e2802c4-a4d2-4d8b-9148-e3be6c30e623}">
          <xlrd:rvb i="8020"/>
        </ext>
      </extLst>
    </bk>
    <bk>
      <extLst>
        <ext uri="{3e2802c4-a4d2-4d8b-9148-e3be6c30e623}">
          <xlrd:rvb i="8021"/>
        </ext>
      </extLst>
    </bk>
    <bk>
      <extLst>
        <ext uri="{3e2802c4-a4d2-4d8b-9148-e3be6c30e623}">
          <xlrd:rvb i="8022"/>
        </ext>
      </extLst>
    </bk>
    <bk>
      <extLst>
        <ext uri="{3e2802c4-a4d2-4d8b-9148-e3be6c30e623}">
          <xlrd:rvb i="8023"/>
        </ext>
      </extLst>
    </bk>
    <bk>
      <extLst>
        <ext uri="{3e2802c4-a4d2-4d8b-9148-e3be6c30e623}">
          <xlrd:rvb i="8024"/>
        </ext>
      </extLst>
    </bk>
    <bk>
      <extLst>
        <ext uri="{3e2802c4-a4d2-4d8b-9148-e3be6c30e623}">
          <xlrd:rvb i="8025"/>
        </ext>
      </extLst>
    </bk>
    <bk>
      <extLst>
        <ext uri="{3e2802c4-a4d2-4d8b-9148-e3be6c30e623}">
          <xlrd:rvb i="8026"/>
        </ext>
      </extLst>
    </bk>
    <bk>
      <extLst>
        <ext uri="{3e2802c4-a4d2-4d8b-9148-e3be6c30e623}">
          <xlrd:rvb i="8027"/>
        </ext>
      </extLst>
    </bk>
    <bk>
      <extLst>
        <ext uri="{3e2802c4-a4d2-4d8b-9148-e3be6c30e623}">
          <xlrd:rvb i="8028"/>
        </ext>
      </extLst>
    </bk>
    <bk>
      <extLst>
        <ext uri="{3e2802c4-a4d2-4d8b-9148-e3be6c30e623}">
          <xlrd:rvb i="8029"/>
        </ext>
      </extLst>
    </bk>
    <bk>
      <extLst>
        <ext uri="{3e2802c4-a4d2-4d8b-9148-e3be6c30e623}">
          <xlrd:rvb i="8030"/>
        </ext>
      </extLst>
    </bk>
    <bk>
      <extLst>
        <ext uri="{3e2802c4-a4d2-4d8b-9148-e3be6c30e623}">
          <xlrd:rvb i="8031"/>
        </ext>
      </extLst>
    </bk>
    <bk>
      <extLst>
        <ext uri="{3e2802c4-a4d2-4d8b-9148-e3be6c30e623}">
          <xlrd:rvb i="8032"/>
        </ext>
      </extLst>
    </bk>
    <bk>
      <extLst>
        <ext uri="{3e2802c4-a4d2-4d8b-9148-e3be6c30e623}">
          <xlrd:rvb i="8033"/>
        </ext>
      </extLst>
    </bk>
    <bk>
      <extLst>
        <ext uri="{3e2802c4-a4d2-4d8b-9148-e3be6c30e623}">
          <xlrd:rvb i="8034"/>
        </ext>
      </extLst>
    </bk>
    <bk>
      <extLst>
        <ext uri="{3e2802c4-a4d2-4d8b-9148-e3be6c30e623}">
          <xlrd:rvb i="8035"/>
        </ext>
      </extLst>
    </bk>
    <bk>
      <extLst>
        <ext uri="{3e2802c4-a4d2-4d8b-9148-e3be6c30e623}">
          <xlrd:rvb i="8036"/>
        </ext>
      </extLst>
    </bk>
    <bk>
      <extLst>
        <ext uri="{3e2802c4-a4d2-4d8b-9148-e3be6c30e623}">
          <xlrd:rvb i="8037"/>
        </ext>
      </extLst>
    </bk>
    <bk>
      <extLst>
        <ext uri="{3e2802c4-a4d2-4d8b-9148-e3be6c30e623}">
          <xlrd:rvb i="8038"/>
        </ext>
      </extLst>
    </bk>
    <bk>
      <extLst>
        <ext uri="{3e2802c4-a4d2-4d8b-9148-e3be6c30e623}">
          <xlrd:rvb i="8039"/>
        </ext>
      </extLst>
    </bk>
    <bk>
      <extLst>
        <ext uri="{3e2802c4-a4d2-4d8b-9148-e3be6c30e623}">
          <xlrd:rvb i="8040"/>
        </ext>
      </extLst>
    </bk>
    <bk>
      <extLst>
        <ext uri="{3e2802c4-a4d2-4d8b-9148-e3be6c30e623}">
          <xlrd:rvb i="8041"/>
        </ext>
      </extLst>
    </bk>
    <bk>
      <extLst>
        <ext uri="{3e2802c4-a4d2-4d8b-9148-e3be6c30e623}">
          <xlrd:rvb i="8042"/>
        </ext>
      </extLst>
    </bk>
    <bk>
      <extLst>
        <ext uri="{3e2802c4-a4d2-4d8b-9148-e3be6c30e623}">
          <xlrd:rvb i="8043"/>
        </ext>
      </extLst>
    </bk>
    <bk>
      <extLst>
        <ext uri="{3e2802c4-a4d2-4d8b-9148-e3be6c30e623}">
          <xlrd:rvb i="8044"/>
        </ext>
      </extLst>
    </bk>
    <bk>
      <extLst>
        <ext uri="{3e2802c4-a4d2-4d8b-9148-e3be6c30e623}">
          <xlrd:rvb i="8045"/>
        </ext>
      </extLst>
    </bk>
    <bk>
      <extLst>
        <ext uri="{3e2802c4-a4d2-4d8b-9148-e3be6c30e623}">
          <xlrd:rvb i="8046"/>
        </ext>
      </extLst>
    </bk>
    <bk>
      <extLst>
        <ext uri="{3e2802c4-a4d2-4d8b-9148-e3be6c30e623}">
          <xlrd:rvb i="8047"/>
        </ext>
      </extLst>
    </bk>
    <bk>
      <extLst>
        <ext uri="{3e2802c4-a4d2-4d8b-9148-e3be6c30e623}">
          <xlrd:rvb i="8048"/>
        </ext>
      </extLst>
    </bk>
    <bk>
      <extLst>
        <ext uri="{3e2802c4-a4d2-4d8b-9148-e3be6c30e623}">
          <xlrd:rvb i="8049"/>
        </ext>
      </extLst>
    </bk>
    <bk>
      <extLst>
        <ext uri="{3e2802c4-a4d2-4d8b-9148-e3be6c30e623}">
          <xlrd:rvb i="8050"/>
        </ext>
      </extLst>
    </bk>
    <bk>
      <extLst>
        <ext uri="{3e2802c4-a4d2-4d8b-9148-e3be6c30e623}">
          <xlrd:rvb i="8051"/>
        </ext>
      </extLst>
    </bk>
    <bk>
      <extLst>
        <ext uri="{3e2802c4-a4d2-4d8b-9148-e3be6c30e623}">
          <xlrd:rvb i="8052"/>
        </ext>
      </extLst>
    </bk>
    <bk>
      <extLst>
        <ext uri="{3e2802c4-a4d2-4d8b-9148-e3be6c30e623}">
          <xlrd:rvb i="8053"/>
        </ext>
      </extLst>
    </bk>
    <bk>
      <extLst>
        <ext uri="{3e2802c4-a4d2-4d8b-9148-e3be6c30e623}">
          <xlrd:rvb i="8054"/>
        </ext>
      </extLst>
    </bk>
    <bk>
      <extLst>
        <ext uri="{3e2802c4-a4d2-4d8b-9148-e3be6c30e623}">
          <xlrd:rvb i="8055"/>
        </ext>
      </extLst>
    </bk>
    <bk>
      <extLst>
        <ext uri="{3e2802c4-a4d2-4d8b-9148-e3be6c30e623}">
          <xlrd:rvb i="8056"/>
        </ext>
      </extLst>
    </bk>
    <bk>
      <extLst>
        <ext uri="{3e2802c4-a4d2-4d8b-9148-e3be6c30e623}">
          <xlrd:rvb i="8057"/>
        </ext>
      </extLst>
    </bk>
    <bk>
      <extLst>
        <ext uri="{3e2802c4-a4d2-4d8b-9148-e3be6c30e623}">
          <xlrd:rvb i="8058"/>
        </ext>
      </extLst>
    </bk>
    <bk>
      <extLst>
        <ext uri="{3e2802c4-a4d2-4d8b-9148-e3be6c30e623}">
          <xlrd:rvb i="8059"/>
        </ext>
      </extLst>
    </bk>
    <bk>
      <extLst>
        <ext uri="{3e2802c4-a4d2-4d8b-9148-e3be6c30e623}">
          <xlrd:rvb i="8060"/>
        </ext>
      </extLst>
    </bk>
    <bk>
      <extLst>
        <ext uri="{3e2802c4-a4d2-4d8b-9148-e3be6c30e623}">
          <xlrd:rvb i="8061"/>
        </ext>
      </extLst>
    </bk>
    <bk>
      <extLst>
        <ext uri="{3e2802c4-a4d2-4d8b-9148-e3be6c30e623}">
          <xlrd:rvb i="8062"/>
        </ext>
      </extLst>
    </bk>
    <bk>
      <extLst>
        <ext uri="{3e2802c4-a4d2-4d8b-9148-e3be6c30e623}">
          <xlrd:rvb i="8063"/>
        </ext>
      </extLst>
    </bk>
    <bk>
      <extLst>
        <ext uri="{3e2802c4-a4d2-4d8b-9148-e3be6c30e623}">
          <xlrd:rvb i="8064"/>
        </ext>
      </extLst>
    </bk>
    <bk>
      <extLst>
        <ext uri="{3e2802c4-a4d2-4d8b-9148-e3be6c30e623}">
          <xlrd:rvb i="8065"/>
        </ext>
      </extLst>
    </bk>
    <bk>
      <extLst>
        <ext uri="{3e2802c4-a4d2-4d8b-9148-e3be6c30e623}">
          <xlrd:rvb i="8066"/>
        </ext>
      </extLst>
    </bk>
    <bk>
      <extLst>
        <ext uri="{3e2802c4-a4d2-4d8b-9148-e3be6c30e623}">
          <xlrd:rvb i="8067"/>
        </ext>
      </extLst>
    </bk>
    <bk>
      <extLst>
        <ext uri="{3e2802c4-a4d2-4d8b-9148-e3be6c30e623}">
          <xlrd:rvb i="8068"/>
        </ext>
      </extLst>
    </bk>
    <bk>
      <extLst>
        <ext uri="{3e2802c4-a4d2-4d8b-9148-e3be6c30e623}">
          <xlrd:rvb i="8069"/>
        </ext>
      </extLst>
    </bk>
    <bk>
      <extLst>
        <ext uri="{3e2802c4-a4d2-4d8b-9148-e3be6c30e623}">
          <xlrd:rvb i="8070"/>
        </ext>
      </extLst>
    </bk>
    <bk>
      <extLst>
        <ext uri="{3e2802c4-a4d2-4d8b-9148-e3be6c30e623}">
          <xlrd:rvb i="8071"/>
        </ext>
      </extLst>
    </bk>
    <bk>
      <extLst>
        <ext uri="{3e2802c4-a4d2-4d8b-9148-e3be6c30e623}">
          <xlrd:rvb i="8072"/>
        </ext>
      </extLst>
    </bk>
    <bk>
      <extLst>
        <ext uri="{3e2802c4-a4d2-4d8b-9148-e3be6c30e623}">
          <xlrd:rvb i="8073"/>
        </ext>
      </extLst>
    </bk>
    <bk>
      <extLst>
        <ext uri="{3e2802c4-a4d2-4d8b-9148-e3be6c30e623}">
          <xlrd:rvb i="8074"/>
        </ext>
      </extLst>
    </bk>
    <bk>
      <extLst>
        <ext uri="{3e2802c4-a4d2-4d8b-9148-e3be6c30e623}">
          <xlrd:rvb i="8075"/>
        </ext>
      </extLst>
    </bk>
    <bk>
      <extLst>
        <ext uri="{3e2802c4-a4d2-4d8b-9148-e3be6c30e623}">
          <xlrd:rvb i="8076"/>
        </ext>
      </extLst>
    </bk>
    <bk>
      <extLst>
        <ext uri="{3e2802c4-a4d2-4d8b-9148-e3be6c30e623}">
          <xlrd:rvb i="8077"/>
        </ext>
      </extLst>
    </bk>
    <bk>
      <extLst>
        <ext uri="{3e2802c4-a4d2-4d8b-9148-e3be6c30e623}">
          <xlrd:rvb i="8078"/>
        </ext>
      </extLst>
    </bk>
    <bk>
      <extLst>
        <ext uri="{3e2802c4-a4d2-4d8b-9148-e3be6c30e623}">
          <xlrd:rvb i="8079"/>
        </ext>
      </extLst>
    </bk>
    <bk>
      <extLst>
        <ext uri="{3e2802c4-a4d2-4d8b-9148-e3be6c30e623}">
          <xlrd:rvb i="8080"/>
        </ext>
      </extLst>
    </bk>
    <bk>
      <extLst>
        <ext uri="{3e2802c4-a4d2-4d8b-9148-e3be6c30e623}">
          <xlrd:rvb i="8081"/>
        </ext>
      </extLst>
    </bk>
    <bk>
      <extLst>
        <ext uri="{3e2802c4-a4d2-4d8b-9148-e3be6c30e623}">
          <xlrd:rvb i="8082"/>
        </ext>
      </extLst>
    </bk>
    <bk>
      <extLst>
        <ext uri="{3e2802c4-a4d2-4d8b-9148-e3be6c30e623}">
          <xlrd:rvb i="8083"/>
        </ext>
      </extLst>
    </bk>
    <bk>
      <extLst>
        <ext uri="{3e2802c4-a4d2-4d8b-9148-e3be6c30e623}">
          <xlrd:rvb i="8084"/>
        </ext>
      </extLst>
    </bk>
    <bk>
      <extLst>
        <ext uri="{3e2802c4-a4d2-4d8b-9148-e3be6c30e623}">
          <xlrd:rvb i="8085"/>
        </ext>
      </extLst>
    </bk>
    <bk>
      <extLst>
        <ext uri="{3e2802c4-a4d2-4d8b-9148-e3be6c30e623}">
          <xlrd:rvb i="8086"/>
        </ext>
      </extLst>
    </bk>
    <bk>
      <extLst>
        <ext uri="{3e2802c4-a4d2-4d8b-9148-e3be6c30e623}">
          <xlrd:rvb i="8087"/>
        </ext>
      </extLst>
    </bk>
    <bk>
      <extLst>
        <ext uri="{3e2802c4-a4d2-4d8b-9148-e3be6c30e623}">
          <xlrd:rvb i="8088"/>
        </ext>
      </extLst>
    </bk>
    <bk>
      <extLst>
        <ext uri="{3e2802c4-a4d2-4d8b-9148-e3be6c30e623}">
          <xlrd:rvb i="8089"/>
        </ext>
      </extLst>
    </bk>
    <bk>
      <extLst>
        <ext uri="{3e2802c4-a4d2-4d8b-9148-e3be6c30e623}">
          <xlrd:rvb i="8090"/>
        </ext>
      </extLst>
    </bk>
    <bk>
      <extLst>
        <ext uri="{3e2802c4-a4d2-4d8b-9148-e3be6c30e623}">
          <xlrd:rvb i="8091"/>
        </ext>
      </extLst>
    </bk>
    <bk>
      <extLst>
        <ext uri="{3e2802c4-a4d2-4d8b-9148-e3be6c30e623}">
          <xlrd:rvb i="8092"/>
        </ext>
      </extLst>
    </bk>
    <bk>
      <extLst>
        <ext uri="{3e2802c4-a4d2-4d8b-9148-e3be6c30e623}">
          <xlrd:rvb i="8093"/>
        </ext>
      </extLst>
    </bk>
    <bk>
      <extLst>
        <ext uri="{3e2802c4-a4d2-4d8b-9148-e3be6c30e623}">
          <xlrd:rvb i="8094"/>
        </ext>
      </extLst>
    </bk>
    <bk>
      <extLst>
        <ext uri="{3e2802c4-a4d2-4d8b-9148-e3be6c30e623}">
          <xlrd:rvb i="8095"/>
        </ext>
      </extLst>
    </bk>
    <bk>
      <extLst>
        <ext uri="{3e2802c4-a4d2-4d8b-9148-e3be6c30e623}">
          <xlrd:rvb i="8096"/>
        </ext>
      </extLst>
    </bk>
    <bk>
      <extLst>
        <ext uri="{3e2802c4-a4d2-4d8b-9148-e3be6c30e623}">
          <xlrd:rvb i="8097"/>
        </ext>
      </extLst>
    </bk>
    <bk>
      <extLst>
        <ext uri="{3e2802c4-a4d2-4d8b-9148-e3be6c30e623}">
          <xlrd:rvb i="8098"/>
        </ext>
      </extLst>
    </bk>
    <bk>
      <extLst>
        <ext uri="{3e2802c4-a4d2-4d8b-9148-e3be6c30e623}">
          <xlrd:rvb i="8099"/>
        </ext>
      </extLst>
    </bk>
    <bk>
      <extLst>
        <ext uri="{3e2802c4-a4d2-4d8b-9148-e3be6c30e623}">
          <xlrd:rvb i="8100"/>
        </ext>
      </extLst>
    </bk>
    <bk>
      <extLst>
        <ext uri="{3e2802c4-a4d2-4d8b-9148-e3be6c30e623}">
          <xlrd:rvb i="8101"/>
        </ext>
      </extLst>
    </bk>
    <bk>
      <extLst>
        <ext uri="{3e2802c4-a4d2-4d8b-9148-e3be6c30e623}">
          <xlrd:rvb i="8102"/>
        </ext>
      </extLst>
    </bk>
    <bk>
      <extLst>
        <ext uri="{3e2802c4-a4d2-4d8b-9148-e3be6c30e623}">
          <xlrd:rvb i="8103"/>
        </ext>
      </extLst>
    </bk>
    <bk>
      <extLst>
        <ext uri="{3e2802c4-a4d2-4d8b-9148-e3be6c30e623}">
          <xlrd:rvb i="8104"/>
        </ext>
      </extLst>
    </bk>
    <bk>
      <extLst>
        <ext uri="{3e2802c4-a4d2-4d8b-9148-e3be6c30e623}">
          <xlrd:rvb i="8105"/>
        </ext>
      </extLst>
    </bk>
    <bk>
      <extLst>
        <ext uri="{3e2802c4-a4d2-4d8b-9148-e3be6c30e623}">
          <xlrd:rvb i="8106"/>
        </ext>
      </extLst>
    </bk>
    <bk>
      <extLst>
        <ext uri="{3e2802c4-a4d2-4d8b-9148-e3be6c30e623}">
          <xlrd:rvb i="8107"/>
        </ext>
      </extLst>
    </bk>
    <bk>
      <extLst>
        <ext uri="{3e2802c4-a4d2-4d8b-9148-e3be6c30e623}">
          <xlrd:rvb i="8108"/>
        </ext>
      </extLst>
    </bk>
    <bk>
      <extLst>
        <ext uri="{3e2802c4-a4d2-4d8b-9148-e3be6c30e623}">
          <xlrd:rvb i="8109"/>
        </ext>
      </extLst>
    </bk>
    <bk>
      <extLst>
        <ext uri="{3e2802c4-a4d2-4d8b-9148-e3be6c30e623}">
          <xlrd:rvb i="8110"/>
        </ext>
      </extLst>
    </bk>
    <bk>
      <extLst>
        <ext uri="{3e2802c4-a4d2-4d8b-9148-e3be6c30e623}">
          <xlrd:rvb i="8111"/>
        </ext>
      </extLst>
    </bk>
    <bk>
      <extLst>
        <ext uri="{3e2802c4-a4d2-4d8b-9148-e3be6c30e623}">
          <xlrd:rvb i="8112"/>
        </ext>
      </extLst>
    </bk>
    <bk>
      <extLst>
        <ext uri="{3e2802c4-a4d2-4d8b-9148-e3be6c30e623}">
          <xlrd:rvb i="8113"/>
        </ext>
      </extLst>
    </bk>
    <bk>
      <extLst>
        <ext uri="{3e2802c4-a4d2-4d8b-9148-e3be6c30e623}">
          <xlrd:rvb i="8114"/>
        </ext>
      </extLst>
    </bk>
    <bk>
      <extLst>
        <ext uri="{3e2802c4-a4d2-4d8b-9148-e3be6c30e623}">
          <xlrd:rvb i="8115"/>
        </ext>
      </extLst>
    </bk>
    <bk>
      <extLst>
        <ext uri="{3e2802c4-a4d2-4d8b-9148-e3be6c30e623}">
          <xlrd:rvb i="8116"/>
        </ext>
      </extLst>
    </bk>
    <bk>
      <extLst>
        <ext uri="{3e2802c4-a4d2-4d8b-9148-e3be6c30e623}">
          <xlrd:rvb i="8117"/>
        </ext>
      </extLst>
    </bk>
    <bk>
      <extLst>
        <ext uri="{3e2802c4-a4d2-4d8b-9148-e3be6c30e623}">
          <xlrd:rvb i="8118"/>
        </ext>
      </extLst>
    </bk>
    <bk>
      <extLst>
        <ext uri="{3e2802c4-a4d2-4d8b-9148-e3be6c30e623}">
          <xlrd:rvb i="8119"/>
        </ext>
      </extLst>
    </bk>
    <bk>
      <extLst>
        <ext uri="{3e2802c4-a4d2-4d8b-9148-e3be6c30e623}">
          <xlrd:rvb i="8120"/>
        </ext>
      </extLst>
    </bk>
    <bk>
      <extLst>
        <ext uri="{3e2802c4-a4d2-4d8b-9148-e3be6c30e623}">
          <xlrd:rvb i="8121"/>
        </ext>
      </extLst>
    </bk>
    <bk>
      <extLst>
        <ext uri="{3e2802c4-a4d2-4d8b-9148-e3be6c30e623}">
          <xlrd:rvb i="8122"/>
        </ext>
      </extLst>
    </bk>
    <bk>
      <extLst>
        <ext uri="{3e2802c4-a4d2-4d8b-9148-e3be6c30e623}">
          <xlrd:rvb i="8123"/>
        </ext>
      </extLst>
    </bk>
    <bk>
      <extLst>
        <ext uri="{3e2802c4-a4d2-4d8b-9148-e3be6c30e623}">
          <xlrd:rvb i="8124"/>
        </ext>
      </extLst>
    </bk>
    <bk>
      <extLst>
        <ext uri="{3e2802c4-a4d2-4d8b-9148-e3be6c30e623}">
          <xlrd:rvb i="8125"/>
        </ext>
      </extLst>
    </bk>
    <bk>
      <extLst>
        <ext uri="{3e2802c4-a4d2-4d8b-9148-e3be6c30e623}">
          <xlrd:rvb i="8126"/>
        </ext>
      </extLst>
    </bk>
    <bk>
      <extLst>
        <ext uri="{3e2802c4-a4d2-4d8b-9148-e3be6c30e623}">
          <xlrd:rvb i="8127"/>
        </ext>
      </extLst>
    </bk>
    <bk>
      <extLst>
        <ext uri="{3e2802c4-a4d2-4d8b-9148-e3be6c30e623}">
          <xlrd:rvb i="8128"/>
        </ext>
      </extLst>
    </bk>
    <bk>
      <extLst>
        <ext uri="{3e2802c4-a4d2-4d8b-9148-e3be6c30e623}">
          <xlrd:rvb i="8129"/>
        </ext>
      </extLst>
    </bk>
    <bk>
      <extLst>
        <ext uri="{3e2802c4-a4d2-4d8b-9148-e3be6c30e623}">
          <xlrd:rvb i="8130"/>
        </ext>
      </extLst>
    </bk>
    <bk>
      <extLst>
        <ext uri="{3e2802c4-a4d2-4d8b-9148-e3be6c30e623}">
          <xlrd:rvb i="8131"/>
        </ext>
      </extLst>
    </bk>
    <bk>
      <extLst>
        <ext uri="{3e2802c4-a4d2-4d8b-9148-e3be6c30e623}">
          <xlrd:rvb i="8132"/>
        </ext>
      </extLst>
    </bk>
    <bk>
      <extLst>
        <ext uri="{3e2802c4-a4d2-4d8b-9148-e3be6c30e623}">
          <xlrd:rvb i="8133"/>
        </ext>
      </extLst>
    </bk>
    <bk>
      <extLst>
        <ext uri="{3e2802c4-a4d2-4d8b-9148-e3be6c30e623}">
          <xlrd:rvb i="8134"/>
        </ext>
      </extLst>
    </bk>
    <bk>
      <extLst>
        <ext uri="{3e2802c4-a4d2-4d8b-9148-e3be6c30e623}">
          <xlrd:rvb i="8135"/>
        </ext>
      </extLst>
    </bk>
    <bk>
      <extLst>
        <ext uri="{3e2802c4-a4d2-4d8b-9148-e3be6c30e623}">
          <xlrd:rvb i="8136"/>
        </ext>
      </extLst>
    </bk>
    <bk>
      <extLst>
        <ext uri="{3e2802c4-a4d2-4d8b-9148-e3be6c30e623}">
          <xlrd:rvb i="8137"/>
        </ext>
      </extLst>
    </bk>
    <bk>
      <extLst>
        <ext uri="{3e2802c4-a4d2-4d8b-9148-e3be6c30e623}">
          <xlrd:rvb i="8138"/>
        </ext>
      </extLst>
    </bk>
    <bk>
      <extLst>
        <ext uri="{3e2802c4-a4d2-4d8b-9148-e3be6c30e623}">
          <xlrd:rvb i="8139"/>
        </ext>
      </extLst>
    </bk>
    <bk>
      <extLst>
        <ext uri="{3e2802c4-a4d2-4d8b-9148-e3be6c30e623}">
          <xlrd:rvb i="8140"/>
        </ext>
      </extLst>
    </bk>
    <bk>
      <extLst>
        <ext uri="{3e2802c4-a4d2-4d8b-9148-e3be6c30e623}">
          <xlrd:rvb i="8141"/>
        </ext>
      </extLst>
    </bk>
    <bk>
      <extLst>
        <ext uri="{3e2802c4-a4d2-4d8b-9148-e3be6c30e623}">
          <xlrd:rvb i="8142"/>
        </ext>
      </extLst>
    </bk>
    <bk>
      <extLst>
        <ext uri="{3e2802c4-a4d2-4d8b-9148-e3be6c30e623}">
          <xlrd:rvb i="8143"/>
        </ext>
      </extLst>
    </bk>
    <bk>
      <extLst>
        <ext uri="{3e2802c4-a4d2-4d8b-9148-e3be6c30e623}">
          <xlrd:rvb i="8144"/>
        </ext>
      </extLst>
    </bk>
    <bk>
      <extLst>
        <ext uri="{3e2802c4-a4d2-4d8b-9148-e3be6c30e623}">
          <xlrd:rvb i="8145"/>
        </ext>
      </extLst>
    </bk>
    <bk>
      <extLst>
        <ext uri="{3e2802c4-a4d2-4d8b-9148-e3be6c30e623}">
          <xlrd:rvb i="8146"/>
        </ext>
      </extLst>
    </bk>
    <bk>
      <extLst>
        <ext uri="{3e2802c4-a4d2-4d8b-9148-e3be6c30e623}">
          <xlrd:rvb i="8147"/>
        </ext>
      </extLst>
    </bk>
    <bk>
      <extLst>
        <ext uri="{3e2802c4-a4d2-4d8b-9148-e3be6c30e623}">
          <xlrd:rvb i="8148"/>
        </ext>
      </extLst>
    </bk>
    <bk>
      <extLst>
        <ext uri="{3e2802c4-a4d2-4d8b-9148-e3be6c30e623}">
          <xlrd:rvb i="8149"/>
        </ext>
      </extLst>
    </bk>
    <bk>
      <extLst>
        <ext uri="{3e2802c4-a4d2-4d8b-9148-e3be6c30e623}">
          <xlrd:rvb i="8150"/>
        </ext>
      </extLst>
    </bk>
    <bk>
      <extLst>
        <ext uri="{3e2802c4-a4d2-4d8b-9148-e3be6c30e623}">
          <xlrd:rvb i="8151"/>
        </ext>
      </extLst>
    </bk>
    <bk>
      <extLst>
        <ext uri="{3e2802c4-a4d2-4d8b-9148-e3be6c30e623}">
          <xlrd:rvb i="8152"/>
        </ext>
      </extLst>
    </bk>
    <bk>
      <extLst>
        <ext uri="{3e2802c4-a4d2-4d8b-9148-e3be6c30e623}">
          <xlrd:rvb i="8153"/>
        </ext>
      </extLst>
    </bk>
    <bk>
      <extLst>
        <ext uri="{3e2802c4-a4d2-4d8b-9148-e3be6c30e623}">
          <xlrd:rvb i="8154"/>
        </ext>
      </extLst>
    </bk>
    <bk>
      <extLst>
        <ext uri="{3e2802c4-a4d2-4d8b-9148-e3be6c30e623}">
          <xlrd:rvb i="8155"/>
        </ext>
      </extLst>
    </bk>
    <bk>
      <extLst>
        <ext uri="{3e2802c4-a4d2-4d8b-9148-e3be6c30e623}">
          <xlrd:rvb i="8156"/>
        </ext>
      </extLst>
    </bk>
    <bk>
      <extLst>
        <ext uri="{3e2802c4-a4d2-4d8b-9148-e3be6c30e623}">
          <xlrd:rvb i="8157"/>
        </ext>
      </extLst>
    </bk>
    <bk>
      <extLst>
        <ext uri="{3e2802c4-a4d2-4d8b-9148-e3be6c30e623}">
          <xlrd:rvb i="8158"/>
        </ext>
      </extLst>
    </bk>
    <bk>
      <extLst>
        <ext uri="{3e2802c4-a4d2-4d8b-9148-e3be6c30e623}">
          <xlrd:rvb i="8159"/>
        </ext>
      </extLst>
    </bk>
    <bk>
      <extLst>
        <ext uri="{3e2802c4-a4d2-4d8b-9148-e3be6c30e623}">
          <xlrd:rvb i="8160"/>
        </ext>
      </extLst>
    </bk>
    <bk>
      <extLst>
        <ext uri="{3e2802c4-a4d2-4d8b-9148-e3be6c30e623}">
          <xlrd:rvb i="8161"/>
        </ext>
      </extLst>
    </bk>
    <bk>
      <extLst>
        <ext uri="{3e2802c4-a4d2-4d8b-9148-e3be6c30e623}">
          <xlrd:rvb i="8162"/>
        </ext>
      </extLst>
    </bk>
    <bk>
      <extLst>
        <ext uri="{3e2802c4-a4d2-4d8b-9148-e3be6c30e623}">
          <xlrd:rvb i="8163"/>
        </ext>
      </extLst>
    </bk>
    <bk>
      <extLst>
        <ext uri="{3e2802c4-a4d2-4d8b-9148-e3be6c30e623}">
          <xlrd:rvb i="8164"/>
        </ext>
      </extLst>
    </bk>
    <bk>
      <extLst>
        <ext uri="{3e2802c4-a4d2-4d8b-9148-e3be6c30e623}">
          <xlrd:rvb i="8165"/>
        </ext>
      </extLst>
    </bk>
    <bk>
      <extLst>
        <ext uri="{3e2802c4-a4d2-4d8b-9148-e3be6c30e623}">
          <xlrd:rvb i="8166"/>
        </ext>
      </extLst>
    </bk>
    <bk>
      <extLst>
        <ext uri="{3e2802c4-a4d2-4d8b-9148-e3be6c30e623}">
          <xlrd:rvb i="8167"/>
        </ext>
      </extLst>
    </bk>
    <bk>
      <extLst>
        <ext uri="{3e2802c4-a4d2-4d8b-9148-e3be6c30e623}">
          <xlrd:rvb i="8168"/>
        </ext>
      </extLst>
    </bk>
    <bk>
      <extLst>
        <ext uri="{3e2802c4-a4d2-4d8b-9148-e3be6c30e623}">
          <xlrd:rvb i="8169"/>
        </ext>
      </extLst>
    </bk>
    <bk>
      <extLst>
        <ext uri="{3e2802c4-a4d2-4d8b-9148-e3be6c30e623}">
          <xlrd:rvb i="8170"/>
        </ext>
      </extLst>
    </bk>
    <bk>
      <extLst>
        <ext uri="{3e2802c4-a4d2-4d8b-9148-e3be6c30e623}">
          <xlrd:rvb i="8171"/>
        </ext>
      </extLst>
    </bk>
    <bk>
      <extLst>
        <ext uri="{3e2802c4-a4d2-4d8b-9148-e3be6c30e623}">
          <xlrd:rvb i="8172"/>
        </ext>
      </extLst>
    </bk>
    <bk>
      <extLst>
        <ext uri="{3e2802c4-a4d2-4d8b-9148-e3be6c30e623}">
          <xlrd:rvb i="8173"/>
        </ext>
      </extLst>
    </bk>
    <bk>
      <extLst>
        <ext uri="{3e2802c4-a4d2-4d8b-9148-e3be6c30e623}">
          <xlrd:rvb i="8174"/>
        </ext>
      </extLst>
    </bk>
    <bk>
      <extLst>
        <ext uri="{3e2802c4-a4d2-4d8b-9148-e3be6c30e623}">
          <xlrd:rvb i="8175"/>
        </ext>
      </extLst>
    </bk>
    <bk>
      <extLst>
        <ext uri="{3e2802c4-a4d2-4d8b-9148-e3be6c30e623}">
          <xlrd:rvb i="8176"/>
        </ext>
      </extLst>
    </bk>
    <bk>
      <extLst>
        <ext uri="{3e2802c4-a4d2-4d8b-9148-e3be6c30e623}">
          <xlrd:rvb i="8177"/>
        </ext>
      </extLst>
    </bk>
    <bk>
      <extLst>
        <ext uri="{3e2802c4-a4d2-4d8b-9148-e3be6c30e623}">
          <xlrd:rvb i="8178"/>
        </ext>
      </extLst>
    </bk>
    <bk>
      <extLst>
        <ext uri="{3e2802c4-a4d2-4d8b-9148-e3be6c30e623}">
          <xlrd:rvb i="8179"/>
        </ext>
      </extLst>
    </bk>
    <bk>
      <extLst>
        <ext uri="{3e2802c4-a4d2-4d8b-9148-e3be6c30e623}">
          <xlrd:rvb i="8180"/>
        </ext>
      </extLst>
    </bk>
    <bk>
      <extLst>
        <ext uri="{3e2802c4-a4d2-4d8b-9148-e3be6c30e623}">
          <xlrd:rvb i="8181"/>
        </ext>
      </extLst>
    </bk>
    <bk>
      <extLst>
        <ext uri="{3e2802c4-a4d2-4d8b-9148-e3be6c30e623}">
          <xlrd:rvb i="8182"/>
        </ext>
      </extLst>
    </bk>
    <bk>
      <extLst>
        <ext uri="{3e2802c4-a4d2-4d8b-9148-e3be6c30e623}">
          <xlrd:rvb i="8183"/>
        </ext>
      </extLst>
    </bk>
    <bk>
      <extLst>
        <ext uri="{3e2802c4-a4d2-4d8b-9148-e3be6c30e623}">
          <xlrd:rvb i="8184"/>
        </ext>
      </extLst>
    </bk>
    <bk>
      <extLst>
        <ext uri="{3e2802c4-a4d2-4d8b-9148-e3be6c30e623}">
          <xlrd:rvb i="8185"/>
        </ext>
      </extLst>
    </bk>
    <bk>
      <extLst>
        <ext uri="{3e2802c4-a4d2-4d8b-9148-e3be6c30e623}">
          <xlrd:rvb i="8186"/>
        </ext>
      </extLst>
    </bk>
    <bk>
      <extLst>
        <ext uri="{3e2802c4-a4d2-4d8b-9148-e3be6c30e623}">
          <xlrd:rvb i="8187"/>
        </ext>
      </extLst>
    </bk>
    <bk>
      <extLst>
        <ext uri="{3e2802c4-a4d2-4d8b-9148-e3be6c30e623}">
          <xlrd:rvb i="8188"/>
        </ext>
      </extLst>
    </bk>
    <bk>
      <extLst>
        <ext uri="{3e2802c4-a4d2-4d8b-9148-e3be6c30e623}">
          <xlrd:rvb i="8189"/>
        </ext>
      </extLst>
    </bk>
    <bk>
      <extLst>
        <ext uri="{3e2802c4-a4d2-4d8b-9148-e3be6c30e623}">
          <xlrd:rvb i="8190"/>
        </ext>
      </extLst>
    </bk>
    <bk>
      <extLst>
        <ext uri="{3e2802c4-a4d2-4d8b-9148-e3be6c30e623}">
          <xlrd:rvb i="8191"/>
        </ext>
      </extLst>
    </bk>
    <bk>
      <extLst>
        <ext uri="{3e2802c4-a4d2-4d8b-9148-e3be6c30e623}">
          <xlrd:rvb i="8192"/>
        </ext>
      </extLst>
    </bk>
    <bk>
      <extLst>
        <ext uri="{3e2802c4-a4d2-4d8b-9148-e3be6c30e623}">
          <xlrd:rvb i="8193"/>
        </ext>
      </extLst>
    </bk>
    <bk>
      <extLst>
        <ext uri="{3e2802c4-a4d2-4d8b-9148-e3be6c30e623}">
          <xlrd:rvb i="8194"/>
        </ext>
      </extLst>
    </bk>
    <bk>
      <extLst>
        <ext uri="{3e2802c4-a4d2-4d8b-9148-e3be6c30e623}">
          <xlrd:rvb i="8195"/>
        </ext>
      </extLst>
    </bk>
    <bk>
      <extLst>
        <ext uri="{3e2802c4-a4d2-4d8b-9148-e3be6c30e623}">
          <xlrd:rvb i="8196"/>
        </ext>
      </extLst>
    </bk>
    <bk>
      <extLst>
        <ext uri="{3e2802c4-a4d2-4d8b-9148-e3be6c30e623}">
          <xlrd:rvb i="8197"/>
        </ext>
      </extLst>
    </bk>
    <bk>
      <extLst>
        <ext uri="{3e2802c4-a4d2-4d8b-9148-e3be6c30e623}">
          <xlrd:rvb i="8198"/>
        </ext>
      </extLst>
    </bk>
    <bk>
      <extLst>
        <ext uri="{3e2802c4-a4d2-4d8b-9148-e3be6c30e623}">
          <xlrd:rvb i="8199"/>
        </ext>
      </extLst>
    </bk>
    <bk>
      <extLst>
        <ext uri="{3e2802c4-a4d2-4d8b-9148-e3be6c30e623}">
          <xlrd:rvb i="8200"/>
        </ext>
      </extLst>
    </bk>
    <bk>
      <extLst>
        <ext uri="{3e2802c4-a4d2-4d8b-9148-e3be6c30e623}">
          <xlrd:rvb i="8201"/>
        </ext>
      </extLst>
    </bk>
    <bk>
      <extLst>
        <ext uri="{3e2802c4-a4d2-4d8b-9148-e3be6c30e623}">
          <xlrd:rvb i="8202"/>
        </ext>
      </extLst>
    </bk>
    <bk>
      <extLst>
        <ext uri="{3e2802c4-a4d2-4d8b-9148-e3be6c30e623}">
          <xlrd:rvb i="8203"/>
        </ext>
      </extLst>
    </bk>
    <bk>
      <extLst>
        <ext uri="{3e2802c4-a4d2-4d8b-9148-e3be6c30e623}">
          <xlrd:rvb i="8204"/>
        </ext>
      </extLst>
    </bk>
    <bk>
      <extLst>
        <ext uri="{3e2802c4-a4d2-4d8b-9148-e3be6c30e623}">
          <xlrd:rvb i="8205"/>
        </ext>
      </extLst>
    </bk>
    <bk>
      <extLst>
        <ext uri="{3e2802c4-a4d2-4d8b-9148-e3be6c30e623}">
          <xlrd:rvb i="8206"/>
        </ext>
      </extLst>
    </bk>
    <bk>
      <extLst>
        <ext uri="{3e2802c4-a4d2-4d8b-9148-e3be6c30e623}">
          <xlrd:rvb i="8207"/>
        </ext>
      </extLst>
    </bk>
    <bk>
      <extLst>
        <ext uri="{3e2802c4-a4d2-4d8b-9148-e3be6c30e623}">
          <xlrd:rvb i="8208"/>
        </ext>
      </extLst>
    </bk>
    <bk>
      <extLst>
        <ext uri="{3e2802c4-a4d2-4d8b-9148-e3be6c30e623}">
          <xlrd:rvb i="8209"/>
        </ext>
      </extLst>
    </bk>
    <bk>
      <extLst>
        <ext uri="{3e2802c4-a4d2-4d8b-9148-e3be6c30e623}">
          <xlrd:rvb i="8210"/>
        </ext>
      </extLst>
    </bk>
    <bk>
      <extLst>
        <ext uri="{3e2802c4-a4d2-4d8b-9148-e3be6c30e623}">
          <xlrd:rvb i="8211"/>
        </ext>
      </extLst>
    </bk>
    <bk>
      <extLst>
        <ext uri="{3e2802c4-a4d2-4d8b-9148-e3be6c30e623}">
          <xlrd:rvb i="8212"/>
        </ext>
      </extLst>
    </bk>
    <bk>
      <extLst>
        <ext uri="{3e2802c4-a4d2-4d8b-9148-e3be6c30e623}">
          <xlrd:rvb i="8213"/>
        </ext>
      </extLst>
    </bk>
    <bk>
      <extLst>
        <ext uri="{3e2802c4-a4d2-4d8b-9148-e3be6c30e623}">
          <xlrd:rvb i="8214"/>
        </ext>
      </extLst>
    </bk>
    <bk>
      <extLst>
        <ext uri="{3e2802c4-a4d2-4d8b-9148-e3be6c30e623}">
          <xlrd:rvb i="8215"/>
        </ext>
      </extLst>
    </bk>
    <bk>
      <extLst>
        <ext uri="{3e2802c4-a4d2-4d8b-9148-e3be6c30e623}">
          <xlrd:rvb i="8216"/>
        </ext>
      </extLst>
    </bk>
    <bk>
      <extLst>
        <ext uri="{3e2802c4-a4d2-4d8b-9148-e3be6c30e623}">
          <xlrd:rvb i="8217"/>
        </ext>
      </extLst>
    </bk>
    <bk>
      <extLst>
        <ext uri="{3e2802c4-a4d2-4d8b-9148-e3be6c30e623}">
          <xlrd:rvb i="8218"/>
        </ext>
      </extLst>
    </bk>
    <bk>
      <extLst>
        <ext uri="{3e2802c4-a4d2-4d8b-9148-e3be6c30e623}">
          <xlrd:rvb i="8219"/>
        </ext>
      </extLst>
    </bk>
    <bk>
      <extLst>
        <ext uri="{3e2802c4-a4d2-4d8b-9148-e3be6c30e623}">
          <xlrd:rvb i="8220"/>
        </ext>
      </extLst>
    </bk>
    <bk>
      <extLst>
        <ext uri="{3e2802c4-a4d2-4d8b-9148-e3be6c30e623}">
          <xlrd:rvb i="8221"/>
        </ext>
      </extLst>
    </bk>
    <bk>
      <extLst>
        <ext uri="{3e2802c4-a4d2-4d8b-9148-e3be6c30e623}">
          <xlrd:rvb i="8222"/>
        </ext>
      </extLst>
    </bk>
    <bk>
      <extLst>
        <ext uri="{3e2802c4-a4d2-4d8b-9148-e3be6c30e623}">
          <xlrd:rvb i="8223"/>
        </ext>
      </extLst>
    </bk>
    <bk>
      <extLst>
        <ext uri="{3e2802c4-a4d2-4d8b-9148-e3be6c30e623}">
          <xlrd:rvb i="8224"/>
        </ext>
      </extLst>
    </bk>
    <bk>
      <extLst>
        <ext uri="{3e2802c4-a4d2-4d8b-9148-e3be6c30e623}">
          <xlrd:rvb i="8225"/>
        </ext>
      </extLst>
    </bk>
    <bk>
      <extLst>
        <ext uri="{3e2802c4-a4d2-4d8b-9148-e3be6c30e623}">
          <xlrd:rvb i="8226"/>
        </ext>
      </extLst>
    </bk>
    <bk>
      <extLst>
        <ext uri="{3e2802c4-a4d2-4d8b-9148-e3be6c30e623}">
          <xlrd:rvb i="8227"/>
        </ext>
      </extLst>
    </bk>
    <bk>
      <extLst>
        <ext uri="{3e2802c4-a4d2-4d8b-9148-e3be6c30e623}">
          <xlrd:rvb i="8228"/>
        </ext>
      </extLst>
    </bk>
    <bk>
      <extLst>
        <ext uri="{3e2802c4-a4d2-4d8b-9148-e3be6c30e623}">
          <xlrd:rvb i="8229"/>
        </ext>
      </extLst>
    </bk>
    <bk>
      <extLst>
        <ext uri="{3e2802c4-a4d2-4d8b-9148-e3be6c30e623}">
          <xlrd:rvb i="8230"/>
        </ext>
      </extLst>
    </bk>
    <bk>
      <extLst>
        <ext uri="{3e2802c4-a4d2-4d8b-9148-e3be6c30e623}">
          <xlrd:rvb i="8231"/>
        </ext>
      </extLst>
    </bk>
    <bk>
      <extLst>
        <ext uri="{3e2802c4-a4d2-4d8b-9148-e3be6c30e623}">
          <xlrd:rvb i="8232"/>
        </ext>
      </extLst>
    </bk>
    <bk>
      <extLst>
        <ext uri="{3e2802c4-a4d2-4d8b-9148-e3be6c30e623}">
          <xlrd:rvb i="8233"/>
        </ext>
      </extLst>
    </bk>
    <bk>
      <extLst>
        <ext uri="{3e2802c4-a4d2-4d8b-9148-e3be6c30e623}">
          <xlrd:rvb i="8234"/>
        </ext>
      </extLst>
    </bk>
    <bk>
      <extLst>
        <ext uri="{3e2802c4-a4d2-4d8b-9148-e3be6c30e623}">
          <xlrd:rvb i="8235"/>
        </ext>
      </extLst>
    </bk>
    <bk>
      <extLst>
        <ext uri="{3e2802c4-a4d2-4d8b-9148-e3be6c30e623}">
          <xlrd:rvb i="8236"/>
        </ext>
      </extLst>
    </bk>
    <bk>
      <extLst>
        <ext uri="{3e2802c4-a4d2-4d8b-9148-e3be6c30e623}">
          <xlrd:rvb i="8237"/>
        </ext>
      </extLst>
    </bk>
    <bk>
      <extLst>
        <ext uri="{3e2802c4-a4d2-4d8b-9148-e3be6c30e623}">
          <xlrd:rvb i="8238"/>
        </ext>
      </extLst>
    </bk>
    <bk>
      <extLst>
        <ext uri="{3e2802c4-a4d2-4d8b-9148-e3be6c30e623}">
          <xlrd:rvb i="8239"/>
        </ext>
      </extLst>
    </bk>
    <bk>
      <extLst>
        <ext uri="{3e2802c4-a4d2-4d8b-9148-e3be6c30e623}">
          <xlrd:rvb i="8240"/>
        </ext>
      </extLst>
    </bk>
    <bk>
      <extLst>
        <ext uri="{3e2802c4-a4d2-4d8b-9148-e3be6c30e623}">
          <xlrd:rvb i="8241"/>
        </ext>
      </extLst>
    </bk>
    <bk>
      <extLst>
        <ext uri="{3e2802c4-a4d2-4d8b-9148-e3be6c30e623}">
          <xlrd:rvb i="8242"/>
        </ext>
      </extLst>
    </bk>
    <bk>
      <extLst>
        <ext uri="{3e2802c4-a4d2-4d8b-9148-e3be6c30e623}">
          <xlrd:rvb i="8243"/>
        </ext>
      </extLst>
    </bk>
    <bk>
      <extLst>
        <ext uri="{3e2802c4-a4d2-4d8b-9148-e3be6c30e623}">
          <xlrd:rvb i="8244"/>
        </ext>
      </extLst>
    </bk>
    <bk>
      <extLst>
        <ext uri="{3e2802c4-a4d2-4d8b-9148-e3be6c30e623}">
          <xlrd:rvb i="8245"/>
        </ext>
      </extLst>
    </bk>
    <bk>
      <extLst>
        <ext uri="{3e2802c4-a4d2-4d8b-9148-e3be6c30e623}">
          <xlrd:rvb i="8246"/>
        </ext>
      </extLst>
    </bk>
    <bk>
      <extLst>
        <ext uri="{3e2802c4-a4d2-4d8b-9148-e3be6c30e623}">
          <xlrd:rvb i="8247"/>
        </ext>
      </extLst>
    </bk>
    <bk>
      <extLst>
        <ext uri="{3e2802c4-a4d2-4d8b-9148-e3be6c30e623}">
          <xlrd:rvb i="8248"/>
        </ext>
      </extLst>
    </bk>
    <bk>
      <extLst>
        <ext uri="{3e2802c4-a4d2-4d8b-9148-e3be6c30e623}">
          <xlrd:rvb i="8249"/>
        </ext>
      </extLst>
    </bk>
    <bk>
      <extLst>
        <ext uri="{3e2802c4-a4d2-4d8b-9148-e3be6c30e623}">
          <xlrd:rvb i="8250"/>
        </ext>
      </extLst>
    </bk>
    <bk>
      <extLst>
        <ext uri="{3e2802c4-a4d2-4d8b-9148-e3be6c30e623}">
          <xlrd:rvb i="8251"/>
        </ext>
      </extLst>
    </bk>
    <bk>
      <extLst>
        <ext uri="{3e2802c4-a4d2-4d8b-9148-e3be6c30e623}">
          <xlrd:rvb i="8252"/>
        </ext>
      </extLst>
    </bk>
    <bk>
      <extLst>
        <ext uri="{3e2802c4-a4d2-4d8b-9148-e3be6c30e623}">
          <xlrd:rvb i="8253"/>
        </ext>
      </extLst>
    </bk>
    <bk>
      <extLst>
        <ext uri="{3e2802c4-a4d2-4d8b-9148-e3be6c30e623}">
          <xlrd:rvb i="8254"/>
        </ext>
      </extLst>
    </bk>
    <bk>
      <extLst>
        <ext uri="{3e2802c4-a4d2-4d8b-9148-e3be6c30e623}">
          <xlrd:rvb i="8255"/>
        </ext>
      </extLst>
    </bk>
    <bk>
      <extLst>
        <ext uri="{3e2802c4-a4d2-4d8b-9148-e3be6c30e623}">
          <xlrd:rvb i="8256"/>
        </ext>
      </extLst>
    </bk>
    <bk>
      <extLst>
        <ext uri="{3e2802c4-a4d2-4d8b-9148-e3be6c30e623}">
          <xlrd:rvb i="8257"/>
        </ext>
      </extLst>
    </bk>
    <bk>
      <extLst>
        <ext uri="{3e2802c4-a4d2-4d8b-9148-e3be6c30e623}">
          <xlrd:rvb i="8258"/>
        </ext>
      </extLst>
    </bk>
    <bk>
      <extLst>
        <ext uri="{3e2802c4-a4d2-4d8b-9148-e3be6c30e623}">
          <xlrd:rvb i="8259"/>
        </ext>
      </extLst>
    </bk>
    <bk>
      <extLst>
        <ext uri="{3e2802c4-a4d2-4d8b-9148-e3be6c30e623}">
          <xlrd:rvb i="8260"/>
        </ext>
      </extLst>
    </bk>
    <bk>
      <extLst>
        <ext uri="{3e2802c4-a4d2-4d8b-9148-e3be6c30e623}">
          <xlrd:rvb i="8261"/>
        </ext>
      </extLst>
    </bk>
    <bk>
      <extLst>
        <ext uri="{3e2802c4-a4d2-4d8b-9148-e3be6c30e623}">
          <xlrd:rvb i="8262"/>
        </ext>
      </extLst>
    </bk>
    <bk>
      <extLst>
        <ext uri="{3e2802c4-a4d2-4d8b-9148-e3be6c30e623}">
          <xlrd:rvb i="8263"/>
        </ext>
      </extLst>
    </bk>
    <bk>
      <extLst>
        <ext uri="{3e2802c4-a4d2-4d8b-9148-e3be6c30e623}">
          <xlrd:rvb i="8264"/>
        </ext>
      </extLst>
    </bk>
    <bk>
      <extLst>
        <ext uri="{3e2802c4-a4d2-4d8b-9148-e3be6c30e623}">
          <xlrd:rvb i="8265"/>
        </ext>
      </extLst>
    </bk>
    <bk>
      <extLst>
        <ext uri="{3e2802c4-a4d2-4d8b-9148-e3be6c30e623}">
          <xlrd:rvb i="8266"/>
        </ext>
      </extLst>
    </bk>
    <bk>
      <extLst>
        <ext uri="{3e2802c4-a4d2-4d8b-9148-e3be6c30e623}">
          <xlrd:rvb i="8267"/>
        </ext>
      </extLst>
    </bk>
    <bk>
      <extLst>
        <ext uri="{3e2802c4-a4d2-4d8b-9148-e3be6c30e623}">
          <xlrd:rvb i="8268"/>
        </ext>
      </extLst>
    </bk>
    <bk>
      <extLst>
        <ext uri="{3e2802c4-a4d2-4d8b-9148-e3be6c30e623}">
          <xlrd:rvb i="8269"/>
        </ext>
      </extLst>
    </bk>
    <bk>
      <extLst>
        <ext uri="{3e2802c4-a4d2-4d8b-9148-e3be6c30e623}">
          <xlrd:rvb i="8270"/>
        </ext>
      </extLst>
    </bk>
    <bk>
      <extLst>
        <ext uri="{3e2802c4-a4d2-4d8b-9148-e3be6c30e623}">
          <xlrd:rvb i="8271"/>
        </ext>
      </extLst>
    </bk>
    <bk>
      <extLst>
        <ext uri="{3e2802c4-a4d2-4d8b-9148-e3be6c30e623}">
          <xlrd:rvb i="8272"/>
        </ext>
      </extLst>
    </bk>
    <bk>
      <extLst>
        <ext uri="{3e2802c4-a4d2-4d8b-9148-e3be6c30e623}">
          <xlrd:rvb i="8273"/>
        </ext>
      </extLst>
    </bk>
    <bk>
      <extLst>
        <ext uri="{3e2802c4-a4d2-4d8b-9148-e3be6c30e623}">
          <xlrd:rvb i="8274"/>
        </ext>
      </extLst>
    </bk>
    <bk>
      <extLst>
        <ext uri="{3e2802c4-a4d2-4d8b-9148-e3be6c30e623}">
          <xlrd:rvb i="8275"/>
        </ext>
      </extLst>
    </bk>
    <bk>
      <extLst>
        <ext uri="{3e2802c4-a4d2-4d8b-9148-e3be6c30e623}">
          <xlrd:rvb i="8276"/>
        </ext>
      </extLst>
    </bk>
    <bk>
      <extLst>
        <ext uri="{3e2802c4-a4d2-4d8b-9148-e3be6c30e623}">
          <xlrd:rvb i="8277"/>
        </ext>
      </extLst>
    </bk>
    <bk>
      <extLst>
        <ext uri="{3e2802c4-a4d2-4d8b-9148-e3be6c30e623}">
          <xlrd:rvb i="8278"/>
        </ext>
      </extLst>
    </bk>
    <bk>
      <extLst>
        <ext uri="{3e2802c4-a4d2-4d8b-9148-e3be6c30e623}">
          <xlrd:rvb i="8279"/>
        </ext>
      </extLst>
    </bk>
    <bk>
      <extLst>
        <ext uri="{3e2802c4-a4d2-4d8b-9148-e3be6c30e623}">
          <xlrd:rvb i="8280"/>
        </ext>
      </extLst>
    </bk>
    <bk>
      <extLst>
        <ext uri="{3e2802c4-a4d2-4d8b-9148-e3be6c30e623}">
          <xlrd:rvb i="8281"/>
        </ext>
      </extLst>
    </bk>
    <bk>
      <extLst>
        <ext uri="{3e2802c4-a4d2-4d8b-9148-e3be6c30e623}">
          <xlrd:rvb i="8282"/>
        </ext>
      </extLst>
    </bk>
    <bk>
      <extLst>
        <ext uri="{3e2802c4-a4d2-4d8b-9148-e3be6c30e623}">
          <xlrd:rvb i="8283"/>
        </ext>
      </extLst>
    </bk>
    <bk>
      <extLst>
        <ext uri="{3e2802c4-a4d2-4d8b-9148-e3be6c30e623}">
          <xlrd:rvb i="8284"/>
        </ext>
      </extLst>
    </bk>
    <bk>
      <extLst>
        <ext uri="{3e2802c4-a4d2-4d8b-9148-e3be6c30e623}">
          <xlrd:rvb i="8285"/>
        </ext>
      </extLst>
    </bk>
    <bk>
      <extLst>
        <ext uri="{3e2802c4-a4d2-4d8b-9148-e3be6c30e623}">
          <xlrd:rvb i="8286"/>
        </ext>
      </extLst>
    </bk>
    <bk>
      <extLst>
        <ext uri="{3e2802c4-a4d2-4d8b-9148-e3be6c30e623}">
          <xlrd:rvb i="8287"/>
        </ext>
      </extLst>
    </bk>
    <bk>
      <extLst>
        <ext uri="{3e2802c4-a4d2-4d8b-9148-e3be6c30e623}">
          <xlrd:rvb i="8288"/>
        </ext>
      </extLst>
    </bk>
    <bk>
      <extLst>
        <ext uri="{3e2802c4-a4d2-4d8b-9148-e3be6c30e623}">
          <xlrd:rvb i="8289"/>
        </ext>
      </extLst>
    </bk>
    <bk>
      <extLst>
        <ext uri="{3e2802c4-a4d2-4d8b-9148-e3be6c30e623}">
          <xlrd:rvb i="8290"/>
        </ext>
      </extLst>
    </bk>
    <bk>
      <extLst>
        <ext uri="{3e2802c4-a4d2-4d8b-9148-e3be6c30e623}">
          <xlrd:rvb i="8291"/>
        </ext>
      </extLst>
    </bk>
    <bk>
      <extLst>
        <ext uri="{3e2802c4-a4d2-4d8b-9148-e3be6c30e623}">
          <xlrd:rvb i="8292"/>
        </ext>
      </extLst>
    </bk>
    <bk>
      <extLst>
        <ext uri="{3e2802c4-a4d2-4d8b-9148-e3be6c30e623}">
          <xlrd:rvb i="8293"/>
        </ext>
      </extLst>
    </bk>
    <bk>
      <extLst>
        <ext uri="{3e2802c4-a4d2-4d8b-9148-e3be6c30e623}">
          <xlrd:rvb i="8294"/>
        </ext>
      </extLst>
    </bk>
    <bk>
      <extLst>
        <ext uri="{3e2802c4-a4d2-4d8b-9148-e3be6c30e623}">
          <xlrd:rvb i="8295"/>
        </ext>
      </extLst>
    </bk>
    <bk>
      <extLst>
        <ext uri="{3e2802c4-a4d2-4d8b-9148-e3be6c30e623}">
          <xlrd:rvb i="8296"/>
        </ext>
      </extLst>
    </bk>
    <bk>
      <extLst>
        <ext uri="{3e2802c4-a4d2-4d8b-9148-e3be6c30e623}">
          <xlrd:rvb i="8297"/>
        </ext>
      </extLst>
    </bk>
    <bk>
      <extLst>
        <ext uri="{3e2802c4-a4d2-4d8b-9148-e3be6c30e623}">
          <xlrd:rvb i="8298"/>
        </ext>
      </extLst>
    </bk>
    <bk>
      <extLst>
        <ext uri="{3e2802c4-a4d2-4d8b-9148-e3be6c30e623}">
          <xlrd:rvb i="8299"/>
        </ext>
      </extLst>
    </bk>
    <bk>
      <extLst>
        <ext uri="{3e2802c4-a4d2-4d8b-9148-e3be6c30e623}">
          <xlrd:rvb i="8300"/>
        </ext>
      </extLst>
    </bk>
    <bk>
      <extLst>
        <ext uri="{3e2802c4-a4d2-4d8b-9148-e3be6c30e623}">
          <xlrd:rvb i="8301"/>
        </ext>
      </extLst>
    </bk>
    <bk>
      <extLst>
        <ext uri="{3e2802c4-a4d2-4d8b-9148-e3be6c30e623}">
          <xlrd:rvb i="8302"/>
        </ext>
      </extLst>
    </bk>
    <bk>
      <extLst>
        <ext uri="{3e2802c4-a4d2-4d8b-9148-e3be6c30e623}">
          <xlrd:rvb i="8303"/>
        </ext>
      </extLst>
    </bk>
    <bk>
      <extLst>
        <ext uri="{3e2802c4-a4d2-4d8b-9148-e3be6c30e623}">
          <xlrd:rvb i="8304"/>
        </ext>
      </extLst>
    </bk>
    <bk>
      <extLst>
        <ext uri="{3e2802c4-a4d2-4d8b-9148-e3be6c30e623}">
          <xlrd:rvb i="8305"/>
        </ext>
      </extLst>
    </bk>
    <bk>
      <extLst>
        <ext uri="{3e2802c4-a4d2-4d8b-9148-e3be6c30e623}">
          <xlrd:rvb i="8306"/>
        </ext>
      </extLst>
    </bk>
    <bk>
      <extLst>
        <ext uri="{3e2802c4-a4d2-4d8b-9148-e3be6c30e623}">
          <xlrd:rvb i="8307"/>
        </ext>
      </extLst>
    </bk>
    <bk>
      <extLst>
        <ext uri="{3e2802c4-a4d2-4d8b-9148-e3be6c30e623}">
          <xlrd:rvb i="8308"/>
        </ext>
      </extLst>
    </bk>
    <bk>
      <extLst>
        <ext uri="{3e2802c4-a4d2-4d8b-9148-e3be6c30e623}">
          <xlrd:rvb i="8309"/>
        </ext>
      </extLst>
    </bk>
    <bk>
      <extLst>
        <ext uri="{3e2802c4-a4d2-4d8b-9148-e3be6c30e623}">
          <xlrd:rvb i="8310"/>
        </ext>
      </extLst>
    </bk>
    <bk>
      <extLst>
        <ext uri="{3e2802c4-a4d2-4d8b-9148-e3be6c30e623}">
          <xlrd:rvb i="8311"/>
        </ext>
      </extLst>
    </bk>
    <bk>
      <extLst>
        <ext uri="{3e2802c4-a4d2-4d8b-9148-e3be6c30e623}">
          <xlrd:rvb i="8312"/>
        </ext>
      </extLst>
    </bk>
    <bk>
      <extLst>
        <ext uri="{3e2802c4-a4d2-4d8b-9148-e3be6c30e623}">
          <xlrd:rvb i="8313"/>
        </ext>
      </extLst>
    </bk>
    <bk>
      <extLst>
        <ext uri="{3e2802c4-a4d2-4d8b-9148-e3be6c30e623}">
          <xlrd:rvb i="8314"/>
        </ext>
      </extLst>
    </bk>
    <bk>
      <extLst>
        <ext uri="{3e2802c4-a4d2-4d8b-9148-e3be6c30e623}">
          <xlrd:rvb i="8315"/>
        </ext>
      </extLst>
    </bk>
    <bk>
      <extLst>
        <ext uri="{3e2802c4-a4d2-4d8b-9148-e3be6c30e623}">
          <xlrd:rvb i="8316"/>
        </ext>
      </extLst>
    </bk>
    <bk>
      <extLst>
        <ext uri="{3e2802c4-a4d2-4d8b-9148-e3be6c30e623}">
          <xlrd:rvb i="8317"/>
        </ext>
      </extLst>
    </bk>
    <bk>
      <extLst>
        <ext uri="{3e2802c4-a4d2-4d8b-9148-e3be6c30e623}">
          <xlrd:rvb i="8318"/>
        </ext>
      </extLst>
    </bk>
    <bk>
      <extLst>
        <ext uri="{3e2802c4-a4d2-4d8b-9148-e3be6c30e623}">
          <xlrd:rvb i="8319"/>
        </ext>
      </extLst>
    </bk>
    <bk>
      <extLst>
        <ext uri="{3e2802c4-a4d2-4d8b-9148-e3be6c30e623}">
          <xlrd:rvb i="8320"/>
        </ext>
      </extLst>
    </bk>
    <bk>
      <extLst>
        <ext uri="{3e2802c4-a4d2-4d8b-9148-e3be6c30e623}">
          <xlrd:rvb i="8321"/>
        </ext>
      </extLst>
    </bk>
    <bk>
      <extLst>
        <ext uri="{3e2802c4-a4d2-4d8b-9148-e3be6c30e623}">
          <xlrd:rvb i="8322"/>
        </ext>
      </extLst>
    </bk>
    <bk>
      <extLst>
        <ext uri="{3e2802c4-a4d2-4d8b-9148-e3be6c30e623}">
          <xlrd:rvb i="8323"/>
        </ext>
      </extLst>
    </bk>
    <bk>
      <extLst>
        <ext uri="{3e2802c4-a4d2-4d8b-9148-e3be6c30e623}">
          <xlrd:rvb i="8324"/>
        </ext>
      </extLst>
    </bk>
    <bk>
      <extLst>
        <ext uri="{3e2802c4-a4d2-4d8b-9148-e3be6c30e623}">
          <xlrd:rvb i="8325"/>
        </ext>
      </extLst>
    </bk>
    <bk>
      <extLst>
        <ext uri="{3e2802c4-a4d2-4d8b-9148-e3be6c30e623}">
          <xlrd:rvb i="8326"/>
        </ext>
      </extLst>
    </bk>
    <bk>
      <extLst>
        <ext uri="{3e2802c4-a4d2-4d8b-9148-e3be6c30e623}">
          <xlrd:rvb i="8327"/>
        </ext>
      </extLst>
    </bk>
    <bk>
      <extLst>
        <ext uri="{3e2802c4-a4d2-4d8b-9148-e3be6c30e623}">
          <xlrd:rvb i="8328"/>
        </ext>
      </extLst>
    </bk>
    <bk>
      <extLst>
        <ext uri="{3e2802c4-a4d2-4d8b-9148-e3be6c30e623}">
          <xlrd:rvb i="8329"/>
        </ext>
      </extLst>
    </bk>
    <bk>
      <extLst>
        <ext uri="{3e2802c4-a4d2-4d8b-9148-e3be6c30e623}">
          <xlrd:rvb i="8330"/>
        </ext>
      </extLst>
    </bk>
    <bk>
      <extLst>
        <ext uri="{3e2802c4-a4d2-4d8b-9148-e3be6c30e623}">
          <xlrd:rvb i="8331"/>
        </ext>
      </extLst>
    </bk>
    <bk>
      <extLst>
        <ext uri="{3e2802c4-a4d2-4d8b-9148-e3be6c30e623}">
          <xlrd:rvb i="8332"/>
        </ext>
      </extLst>
    </bk>
    <bk>
      <extLst>
        <ext uri="{3e2802c4-a4d2-4d8b-9148-e3be6c30e623}">
          <xlrd:rvb i="8333"/>
        </ext>
      </extLst>
    </bk>
    <bk>
      <extLst>
        <ext uri="{3e2802c4-a4d2-4d8b-9148-e3be6c30e623}">
          <xlrd:rvb i="8334"/>
        </ext>
      </extLst>
    </bk>
    <bk>
      <extLst>
        <ext uri="{3e2802c4-a4d2-4d8b-9148-e3be6c30e623}">
          <xlrd:rvb i="8335"/>
        </ext>
      </extLst>
    </bk>
    <bk>
      <extLst>
        <ext uri="{3e2802c4-a4d2-4d8b-9148-e3be6c30e623}">
          <xlrd:rvb i="8336"/>
        </ext>
      </extLst>
    </bk>
    <bk>
      <extLst>
        <ext uri="{3e2802c4-a4d2-4d8b-9148-e3be6c30e623}">
          <xlrd:rvb i="8337"/>
        </ext>
      </extLst>
    </bk>
    <bk>
      <extLst>
        <ext uri="{3e2802c4-a4d2-4d8b-9148-e3be6c30e623}">
          <xlrd:rvb i="8338"/>
        </ext>
      </extLst>
    </bk>
    <bk>
      <extLst>
        <ext uri="{3e2802c4-a4d2-4d8b-9148-e3be6c30e623}">
          <xlrd:rvb i="8339"/>
        </ext>
      </extLst>
    </bk>
    <bk>
      <extLst>
        <ext uri="{3e2802c4-a4d2-4d8b-9148-e3be6c30e623}">
          <xlrd:rvb i="8340"/>
        </ext>
      </extLst>
    </bk>
    <bk>
      <extLst>
        <ext uri="{3e2802c4-a4d2-4d8b-9148-e3be6c30e623}">
          <xlrd:rvb i="8341"/>
        </ext>
      </extLst>
    </bk>
    <bk>
      <extLst>
        <ext uri="{3e2802c4-a4d2-4d8b-9148-e3be6c30e623}">
          <xlrd:rvb i="8342"/>
        </ext>
      </extLst>
    </bk>
    <bk>
      <extLst>
        <ext uri="{3e2802c4-a4d2-4d8b-9148-e3be6c30e623}">
          <xlrd:rvb i="8343"/>
        </ext>
      </extLst>
    </bk>
    <bk>
      <extLst>
        <ext uri="{3e2802c4-a4d2-4d8b-9148-e3be6c30e623}">
          <xlrd:rvb i="8344"/>
        </ext>
      </extLst>
    </bk>
    <bk>
      <extLst>
        <ext uri="{3e2802c4-a4d2-4d8b-9148-e3be6c30e623}">
          <xlrd:rvb i="8345"/>
        </ext>
      </extLst>
    </bk>
    <bk>
      <extLst>
        <ext uri="{3e2802c4-a4d2-4d8b-9148-e3be6c30e623}">
          <xlrd:rvb i="8346"/>
        </ext>
      </extLst>
    </bk>
    <bk>
      <extLst>
        <ext uri="{3e2802c4-a4d2-4d8b-9148-e3be6c30e623}">
          <xlrd:rvb i="8347"/>
        </ext>
      </extLst>
    </bk>
    <bk>
      <extLst>
        <ext uri="{3e2802c4-a4d2-4d8b-9148-e3be6c30e623}">
          <xlrd:rvb i="8348"/>
        </ext>
      </extLst>
    </bk>
    <bk>
      <extLst>
        <ext uri="{3e2802c4-a4d2-4d8b-9148-e3be6c30e623}">
          <xlrd:rvb i="8349"/>
        </ext>
      </extLst>
    </bk>
    <bk>
      <extLst>
        <ext uri="{3e2802c4-a4d2-4d8b-9148-e3be6c30e623}">
          <xlrd:rvb i="8350"/>
        </ext>
      </extLst>
    </bk>
    <bk>
      <extLst>
        <ext uri="{3e2802c4-a4d2-4d8b-9148-e3be6c30e623}">
          <xlrd:rvb i="8351"/>
        </ext>
      </extLst>
    </bk>
    <bk>
      <extLst>
        <ext uri="{3e2802c4-a4d2-4d8b-9148-e3be6c30e623}">
          <xlrd:rvb i="8352"/>
        </ext>
      </extLst>
    </bk>
    <bk>
      <extLst>
        <ext uri="{3e2802c4-a4d2-4d8b-9148-e3be6c30e623}">
          <xlrd:rvb i="8353"/>
        </ext>
      </extLst>
    </bk>
    <bk>
      <extLst>
        <ext uri="{3e2802c4-a4d2-4d8b-9148-e3be6c30e623}">
          <xlrd:rvb i="8354"/>
        </ext>
      </extLst>
    </bk>
    <bk>
      <extLst>
        <ext uri="{3e2802c4-a4d2-4d8b-9148-e3be6c30e623}">
          <xlrd:rvb i="8355"/>
        </ext>
      </extLst>
    </bk>
    <bk>
      <extLst>
        <ext uri="{3e2802c4-a4d2-4d8b-9148-e3be6c30e623}">
          <xlrd:rvb i="8356"/>
        </ext>
      </extLst>
    </bk>
    <bk>
      <extLst>
        <ext uri="{3e2802c4-a4d2-4d8b-9148-e3be6c30e623}">
          <xlrd:rvb i="8357"/>
        </ext>
      </extLst>
    </bk>
    <bk>
      <extLst>
        <ext uri="{3e2802c4-a4d2-4d8b-9148-e3be6c30e623}">
          <xlrd:rvb i="8358"/>
        </ext>
      </extLst>
    </bk>
    <bk>
      <extLst>
        <ext uri="{3e2802c4-a4d2-4d8b-9148-e3be6c30e623}">
          <xlrd:rvb i="8359"/>
        </ext>
      </extLst>
    </bk>
    <bk>
      <extLst>
        <ext uri="{3e2802c4-a4d2-4d8b-9148-e3be6c30e623}">
          <xlrd:rvb i="8360"/>
        </ext>
      </extLst>
    </bk>
    <bk>
      <extLst>
        <ext uri="{3e2802c4-a4d2-4d8b-9148-e3be6c30e623}">
          <xlrd:rvb i="8361"/>
        </ext>
      </extLst>
    </bk>
    <bk>
      <extLst>
        <ext uri="{3e2802c4-a4d2-4d8b-9148-e3be6c30e623}">
          <xlrd:rvb i="8362"/>
        </ext>
      </extLst>
    </bk>
    <bk>
      <extLst>
        <ext uri="{3e2802c4-a4d2-4d8b-9148-e3be6c30e623}">
          <xlrd:rvb i="8363"/>
        </ext>
      </extLst>
    </bk>
    <bk>
      <extLst>
        <ext uri="{3e2802c4-a4d2-4d8b-9148-e3be6c30e623}">
          <xlrd:rvb i="8364"/>
        </ext>
      </extLst>
    </bk>
    <bk>
      <extLst>
        <ext uri="{3e2802c4-a4d2-4d8b-9148-e3be6c30e623}">
          <xlrd:rvb i="8365"/>
        </ext>
      </extLst>
    </bk>
    <bk>
      <extLst>
        <ext uri="{3e2802c4-a4d2-4d8b-9148-e3be6c30e623}">
          <xlrd:rvb i="8366"/>
        </ext>
      </extLst>
    </bk>
    <bk>
      <extLst>
        <ext uri="{3e2802c4-a4d2-4d8b-9148-e3be6c30e623}">
          <xlrd:rvb i="8367"/>
        </ext>
      </extLst>
    </bk>
    <bk>
      <extLst>
        <ext uri="{3e2802c4-a4d2-4d8b-9148-e3be6c30e623}">
          <xlrd:rvb i="8368"/>
        </ext>
      </extLst>
    </bk>
    <bk>
      <extLst>
        <ext uri="{3e2802c4-a4d2-4d8b-9148-e3be6c30e623}">
          <xlrd:rvb i="8369"/>
        </ext>
      </extLst>
    </bk>
    <bk>
      <extLst>
        <ext uri="{3e2802c4-a4d2-4d8b-9148-e3be6c30e623}">
          <xlrd:rvb i="8370"/>
        </ext>
      </extLst>
    </bk>
    <bk>
      <extLst>
        <ext uri="{3e2802c4-a4d2-4d8b-9148-e3be6c30e623}">
          <xlrd:rvb i="8371"/>
        </ext>
      </extLst>
    </bk>
    <bk>
      <extLst>
        <ext uri="{3e2802c4-a4d2-4d8b-9148-e3be6c30e623}">
          <xlrd:rvb i="8372"/>
        </ext>
      </extLst>
    </bk>
    <bk>
      <extLst>
        <ext uri="{3e2802c4-a4d2-4d8b-9148-e3be6c30e623}">
          <xlrd:rvb i="8373"/>
        </ext>
      </extLst>
    </bk>
    <bk>
      <extLst>
        <ext uri="{3e2802c4-a4d2-4d8b-9148-e3be6c30e623}">
          <xlrd:rvb i="8374"/>
        </ext>
      </extLst>
    </bk>
    <bk>
      <extLst>
        <ext uri="{3e2802c4-a4d2-4d8b-9148-e3be6c30e623}">
          <xlrd:rvb i="8375"/>
        </ext>
      </extLst>
    </bk>
    <bk>
      <extLst>
        <ext uri="{3e2802c4-a4d2-4d8b-9148-e3be6c30e623}">
          <xlrd:rvb i="8376"/>
        </ext>
      </extLst>
    </bk>
    <bk>
      <extLst>
        <ext uri="{3e2802c4-a4d2-4d8b-9148-e3be6c30e623}">
          <xlrd:rvb i="8377"/>
        </ext>
      </extLst>
    </bk>
    <bk>
      <extLst>
        <ext uri="{3e2802c4-a4d2-4d8b-9148-e3be6c30e623}">
          <xlrd:rvb i="8378"/>
        </ext>
      </extLst>
    </bk>
    <bk>
      <extLst>
        <ext uri="{3e2802c4-a4d2-4d8b-9148-e3be6c30e623}">
          <xlrd:rvb i="8379"/>
        </ext>
      </extLst>
    </bk>
    <bk>
      <extLst>
        <ext uri="{3e2802c4-a4d2-4d8b-9148-e3be6c30e623}">
          <xlrd:rvb i="8380"/>
        </ext>
      </extLst>
    </bk>
    <bk>
      <extLst>
        <ext uri="{3e2802c4-a4d2-4d8b-9148-e3be6c30e623}">
          <xlrd:rvb i="8381"/>
        </ext>
      </extLst>
    </bk>
    <bk>
      <extLst>
        <ext uri="{3e2802c4-a4d2-4d8b-9148-e3be6c30e623}">
          <xlrd:rvb i="8382"/>
        </ext>
      </extLst>
    </bk>
    <bk>
      <extLst>
        <ext uri="{3e2802c4-a4d2-4d8b-9148-e3be6c30e623}">
          <xlrd:rvb i="8383"/>
        </ext>
      </extLst>
    </bk>
    <bk>
      <extLst>
        <ext uri="{3e2802c4-a4d2-4d8b-9148-e3be6c30e623}">
          <xlrd:rvb i="8384"/>
        </ext>
      </extLst>
    </bk>
    <bk>
      <extLst>
        <ext uri="{3e2802c4-a4d2-4d8b-9148-e3be6c30e623}">
          <xlrd:rvb i="8385"/>
        </ext>
      </extLst>
    </bk>
    <bk>
      <extLst>
        <ext uri="{3e2802c4-a4d2-4d8b-9148-e3be6c30e623}">
          <xlrd:rvb i="8386"/>
        </ext>
      </extLst>
    </bk>
    <bk>
      <extLst>
        <ext uri="{3e2802c4-a4d2-4d8b-9148-e3be6c30e623}">
          <xlrd:rvb i="8387"/>
        </ext>
      </extLst>
    </bk>
    <bk>
      <extLst>
        <ext uri="{3e2802c4-a4d2-4d8b-9148-e3be6c30e623}">
          <xlrd:rvb i="8388"/>
        </ext>
      </extLst>
    </bk>
    <bk>
      <extLst>
        <ext uri="{3e2802c4-a4d2-4d8b-9148-e3be6c30e623}">
          <xlrd:rvb i="8389"/>
        </ext>
      </extLst>
    </bk>
    <bk>
      <extLst>
        <ext uri="{3e2802c4-a4d2-4d8b-9148-e3be6c30e623}">
          <xlrd:rvb i="8390"/>
        </ext>
      </extLst>
    </bk>
    <bk>
      <extLst>
        <ext uri="{3e2802c4-a4d2-4d8b-9148-e3be6c30e623}">
          <xlrd:rvb i="8391"/>
        </ext>
      </extLst>
    </bk>
    <bk>
      <extLst>
        <ext uri="{3e2802c4-a4d2-4d8b-9148-e3be6c30e623}">
          <xlrd:rvb i="8392"/>
        </ext>
      </extLst>
    </bk>
    <bk>
      <extLst>
        <ext uri="{3e2802c4-a4d2-4d8b-9148-e3be6c30e623}">
          <xlrd:rvb i="8393"/>
        </ext>
      </extLst>
    </bk>
    <bk>
      <extLst>
        <ext uri="{3e2802c4-a4d2-4d8b-9148-e3be6c30e623}">
          <xlrd:rvb i="8394"/>
        </ext>
      </extLst>
    </bk>
    <bk>
      <extLst>
        <ext uri="{3e2802c4-a4d2-4d8b-9148-e3be6c30e623}">
          <xlrd:rvb i="8395"/>
        </ext>
      </extLst>
    </bk>
    <bk>
      <extLst>
        <ext uri="{3e2802c4-a4d2-4d8b-9148-e3be6c30e623}">
          <xlrd:rvb i="8396"/>
        </ext>
      </extLst>
    </bk>
    <bk>
      <extLst>
        <ext uri="{3e2802c4-a4d2-4d8b-9148-e3be6c30e623}">
          <xlrd:rvb i="8397"/>
        </ext>
      </extLst>
    </bk>
    <bk>
      <extLst>
        <ext uri="{3e2802c4-a4d2-4d8b-9148-e3be6c30e623}">
          <xlrd:rvb i="8398"/>
        </ext>
      </extLst>
    </bk>
    <bk>
      <extLst>
        <ext uri="{3e2802c4-a4d2-4d8b-9148-e3be6c30e623}">
          <xlrd:rvb i="8399"/>
        </ext>
      </extLst>
    </bk>
    <bk>
      <extLst>
        <ext uri="{3e2802c4-a4d2-4d8b-9148-e3be6c30e623}">
          <xlrd:rvb i="8400"/>
        </ext>
      </extLst>
    </bk>
    <bk>
      <extLst>
        <ext uri="{3e2802c4-a4d2-4d8b-9148-e3be6c30e623}">
          <xlrd:rvb i="8401"/>
        </ext>
      </extLst>
    </bk>
    <bk>
      <extLst>
        <ext uri="{3e2802c4-a4d2-4d8b-9148-e3be6c30e623}">
          <xlrd:rvb i="8402"/>
        </ext>
      </extLst>
    </bk>
    <bk>
      <extLst>
        <ext uri="{3e2802c4-a4d2-4d8b-9148-e3be6c30e623}">
          <xlrd:rvb i="8403"/>
        </ext>
      </extLst>
    </bk>
    <bk>
      <extLst>
        <ext uri="{3e2802c4-a4d2-4d8b-9148-e3be6c30e623}">
          <xlrd:rvb i="8404"/>
        </ext>
      </extLst>
    </bk>
    <bk>
      <extLst>
        <ext uri="{3e2802c4-a4d2-4d8b-9148-e3be6c30e623}">
          <xlrd:rvb i="8405"/>
        </ext>
      </extLst>
    </bk>
    <bk>
      <extLst>
        <ext uri="{3e2802c4-a4d2-4d8b-9148-e3be6c30e623}">
          <xlrd:rvb i="8406"/>
        </ext>
      </extLst>
    </bk>
    <bk>
      <extLst>
        <ext uri="{3e2802c4-a4d2-4d8b-9148-e3be6c30e623}">
          <xlrd:rvb i="8407"/>
        </ext>
      </extLst>
    </bk>
    <bk>
      <extLst>
        <ext uri="{3e2802c4-a4d2-4d8b-9148-e3be6c30e623}">
          <xlrd:rvb i="8408"/>
        </ext>
      </extLst>
    </bk>
    <bk>
      <extLst>
        <ext uri="{3e2802c4-a4d2-4d8b-9148-e3be6c30e623}">
          <xlrd:rvb i="8409"/>
        </ext>
      </extLst>
    </bk>
    <bk>
      <extLst>
        <ext uri="{3e2802c4-a4d2-4d8b-9148-e3be6c30e623}">
          <xlrd:rvb i="8410"/>
        </ext>
      </extLst>
    </bk>
    <bk>
      <extLst>
        <ext uri="{3e2802c4-a4d2-4d8b-9148-e3be6c30e623}">
          <xlrd:rvb i="8411"/>
        </ext>
      </extLst>
    </bk>
    <bk>
      <extLst>
        <ext uri="{3e2802c4-a4d2-4d8b-9148-e3be6c30e623}">
          <xlrd:rvb i="8412"/>
        </ext>
      </extLst>
    </bk>
    <bk>
      <extLst>
        <ext uri="{3e2802c4-a4d2-4d8b-9148-e3be6c30e623}">
          <xlrd:rvb i="8413"/>
        </ext>
      </extLst>
    </bk>
    <bk>
      <extLst>
        <ext uri="{3e2802c4-a4d2-4d8b-9148-e3be6c30e623}">
          <xlrd:rvb i="8414"/>
        </ext>
      </extLst>
    </bk>
    <bk>
      <extLst>
        <ext uri="{3e2802c4-a4d2-4d8b-9148-e3be6c30e623}">
          <xlrd:rvb i="8415"/>
        </ext>
      </extLst>
    </bk>
    <bk>
      <extLst>
        <ext uri="{3e2802c4-a4d2-4d8b-9148-e3be6c30e623}">
          <xlrd:rvb i="8416"/>
        </ext>
      </extLst>
    </bk>
    <bk>
      <extLst>
        <ext uri="{3e2802c4-a4d2-4d8b-9148-e3be6c30e623}">
          <xlrd:rvb i="8417"/>
        </ext>
      </extLst>
    </bk>
    <bk>
      <extLst>
        <ext uri="{3e2802c4-a4d2-4d8b-9148-e3be6c30e623}">
          <xlrd:rvb i="8418"/>
        </ext>
      </extLst>
    </bk>
    <bk>
      <extLst>
        <ext uri="{3e2802c4-a4d2-4d8b-9148-e3be6c30e623}">
          <xlrd:rvb i="8419"/>
        </ext>
      </extLst>
    </bk>
    <bk>
      <extLst>
        <ext uri="{3e2802c4-a4d2-4d8b-9148-e3be6c30e623}">
          <xlrd:rvb i="8420"/>
        </ext>
      </extLst>
    </bk>
    <bk>
      <extLst>
        <ext uri="{3e2802c4-a4d2-4d8b-9148-e3be6c30e623}">
          <xlrd:rvb i="8421"/>
        </ext>
      </extLst>
    </bk>
    <bk>
      <extLst>
        <ext uri="{3e2802c4-a4d2-4d8b-9148-e3be6c30e623}">
          <xlrd:rvb i="8422"/>
        </ext>
      </extLst>
    </bk>
    <bk>
      <extLst>
        <ext uri="{3e2802c4-a4d2-4d8b-9148-e3be6c30e623}">
          <xlrd:rvb i="8423"/>
        </ext>
      </extLst>
    </bk>
    <bk>
      <extLst>
        <ext uri="{3e2802c4-a4d2-4d8b-9148-e3be6c30e623}">
          <xlrd:rvb i="8424"/>
        </ext>
      </extLst>
    </bk>
    <bk>
      <extLst>
        <ext uri="{3e2802c4-a4d2-4d8b-9148-e3be6c30e623}">
          <xlrd:rvb i="8425"/>
        </ext>
      </extLst>
    </bk>
    <bk>
      <extLst>
        <ext uri="{3e2802c4-a4d2-4d8b-9148-e3be6c30e623}">
          <xlrd:rvb i="8426"/>
        </ext>
      </extLst>
    </bk>
    <bk>
      <extLst>
        <ext uri="{3e2802c4-a4d2-4d8b-9148-e3be6c30e623}">
          <xlrd:rvb i="8427"/>
        </ext>
      </extLst>
    </bk>
    <bk>
      <extLst>
        <ext uri="{3e2802c4-a4d2-4d8b-9148-e3be6c30e623}">
          <xlrd:rvb i="8428"/>
        </ext>
      </extLst>
    </bk>
    <bk>
      <extLst>
        <ext uri="{3e2802c4-a4d2-4d8b-9148-e3be6c30e623}">
          <xlrd:rvb i="8429"/>
        </ext>
      </extLst>
    </bk>
    <bk>
      <extLst>
        <ext uri="{3e2802c4-a4d2-4d8b-9148-e3be6c30e623}">
          <xlrd:rvb i="8430"/>
        </ext>
      </extLst>
    </bk>
    <bk>
      <extLst>
        <ext uri="{3e2802c4-a4d2-4d8b-9148-e3be6c30e623}">
          <xlrd:rvb i="8431"/>
        </ext>
      </extLst>
    </bk>
    <bk>
      <extLst>
        <ext uri="{3e2802c4-a4d2-4d8b-9148-e3be6c30e623}">
          <xlrd:rvb i="8432"/>
        </ext>
      </extLst>
    </bk>
    <bk>
      <extLst>
        <ext uri="{3e2802c4-a4d2-4d8b-9148-e3be6c30e623}">
          <xlrd:rvb i="8433"/>
        </ext>
      </extLst>
    </bk>
    <bk>
      <extLst>
        <ext uri="{3e2802c4-a4d2-4d8b-9148-e3be6c30e623}">
          <xlrd:rvb i="8434"/>
        </ext>
      </extLst>
    </bk>
    <bk>
      <extLst>
        <ext uri="{3e2802c4-a4d2-4d8b-9148-e3be6c30e623}">
          <xlrd:rvb i="8435"/>
        </ext>
      </extLst>
    </bk>
    <bk>
      <extLst>
        <ext uri="{3e2802c4-a4d2-4d8b-9148-e3be6c30e623}">
          <xlrd:rvb i="8436"/>
        </ext>
      </extLst>
    </bk>
    <bk>
      <extLst>
        <ext uri="{3e2802c4-a4d2-4d8b-9148-e3be6c30e623}">
          <xlrd:rvb i="8437"/>
        </ext>
      </extLst>
    </bk>
    <bk>
      <extLst>
        <ext uri="{3e2802c4-a4d2-4d8b-9148-e3be6c30e623}">
          <xlrd:rvb i="8438"/>
        </ext>
      </extLst>
    </bk>
    <bk>
      <extLst>
        <ext uri="{3e2802c4-a4d2-4d8b-9148-e3be6c30e623}">
          <xlrd:rvb i="8439"/>
        </ext>
      </extLst>
    </bk>
    <bk>
      <extLst>
        <ext uri="{3e2802c4-a4d2-4d8b-9148-e3be6c30e623}">
          <xlrd:rvb i="8440"/>
        </ext>
      </extLst>
    </bk>
    <bk>
      <extLst>
        <ext uri="{3e2802c4-a4d2-4d8b-9148-e3be6c30e623}">
          <xlrd:rvb i="8441"/>
        </ext>
      </extLst>
    </bk>
    <bk>
      <extLst>
        <ext uri="{3e2802c4-a4d2-4d8b-9148-e3be6c30e623}">
          <xlrd:rvb i="8442"/>
        </ext>
      </extLst>
    </bk>
    <bk>
      <extLst>
        <ext uri="{3e2802c4-a4d2-4d8b-9148-e3be6c30e623}">
          <xlrd:rvb i="8443"/>
        </ext>
      </extLst>
    </bk>
    <bk>
      <extLst>
        <ext uri="{3e2802c4-a4d2-4d8b-9148-e3be6c30e623}">
          <xlrd:rvb i="8444"/>
        </ext>
      </extLst>
    </bk>
    <bk>
      <extLst>
        <ext uri="{3e2802c4-a4d2-4d8b-9148-e3be6c30e623}">
          <xlrd:rvb i="8445"/>
        </ext>
      </extLst>
    </bk>
    <bk>
      <extLst>
        <ext uri="{3e2802c4-a4d2-4d8b-9148-e3be6c30e623}">
          <xlrd:rvb i="8446"/>
        </ext>
      </extLst>
    </bk>
    <bk>
      <extLst>
        <ext uri="{3e2802c4-a4d2-4d8b-9148-e3be6c30e623}">
          <xlrd:rvb i="8447"/>
        </ext>
      </extLst>
    </bk>
    <bk>
      <extLst>
        <ext uri="{3e2802c4-a4d2-4d8b-9148-e3be6c30e623}">
          <xlrd:rvb i="8448"/>
        </ext>
      </extLst>
    </bk>
    <bk>
      <extLst>
        <ext uri="{3e2802c4-a4d2-4d8b-9148-e3be6c30e623}">
          <xlrd:rvb i="8449"/>
        </ext>
      </extLst>
    </bk>
    <bk>
      <extLst>
        <ext uri="{3e2802c4-a4d2-4d8b-9148-e3be6c30e623}">
          <xlrd:rvb i="8450"/>
        </ext>
      </extLst>
    </bk>
    <bk>
      <extLst>
        <ext uri="{3e2802c4-a4d2-4d8b-9148-e3be6c30e623}">
          <xlrd:rvb i="8451"/>
        </ext>
      </extLst>
    </bk>
    <bk>
      <extLst>
        <ext uri="{3e2802c4-a4d2-4d8b-9148-e3be6c30e623}">
          <xlrd:rvb i="8452"/>
        </ext>
      </extLst>
    </bk>
    <bk>
      <extLst>
        <ext uri="{3e2802c4-a4d2-4d8b-9148-e3be6c30e623}">
          <xlrd:rvb i="8453"/>
        </ext>
      </extLst>
    </bk>
    <bk>
      <extLst>
        <ext uri="{3e2802c4-a4d2-4d8b-9148-e3be6c30e623}">
          <xlrd:rvb i="8454"/>
        </ext>
      </extLst>
    </bk>
    <bk>
      <extLst>
        <ext uri="{3e2802c4-a4d2-4d8b-9148-e3be6c30e623}">
          <xlrd:rvb i="8455"/>
        </ext>
      </extLst>
    </bk>
    <bk>
      <extLst>
        <ext uri="{3e2802c4-a4d2-4d8b-9148-e3be6c30e623}">
          <xlrd:rvb i="8456"/>
        </ext>
      </extLst>
    </bk>
    <bk>
      <extLst>
        <ext uri="{3e2802c4-a4d2-4d8b-9148-e3be6c30e623}">
          <xlrd:rvb i="8457"/>
        </ext>
      </extLst>
    </bk>
    <bk>
      <extLst>
        <ext uri="{3e2802c4-a4d2-4d8b-9148-e3be6c30e623}">
          <xlrd:rvb i="8458"/>
        </ext>
      </extLst>
    </bk>
    <bk>
      <extLst>
        <ext uri="{3e2802c4-a4d2-4d8b-9148-e3be6c30e623}">
          <xlrd:rvb i="8459"/>
        </ext>
      </extLst>
    </bk>
    <bk>
      <extLst>
        <ext uri="{3e2802c4-a4d2-4d8b-9148-e3be6c30e623}">
          <xlrd:rvb i="8460"/>
        </ext>
      </extLst>
    </bk>
    <bk>
      <extLst>
        <ext uri="{3e2802c4-a4d2-4d8b-9148-e3be6c30e623}">
          <xlrd:rvb i="8461"/>
        </ext>
      </extLst>
    </bk>
    <bk>
      <extLst>
        <ext uri="{3e2802c4-a4d2-4d8b-9148-e3be6c30e623}">
          <xlrd:rvb i="8462"/>
        </ext>
      </extLst>
    </bk>
    <bk>
      <extLst>
        <ext uri="{3e2802c4-a4d2-4d8b-9148-e3be6c30e623}">
          <xlrd:rvb i="8463"/>
        </ext>
      </extLst>
    </bk>
    <bk>
      <extLst>
        <ext uri="{3e2802c4-a4d2-4d8b-9148-e3be6c30e623}">
          <xlrd:rvb i="8464"/>
        </ext>
      </extLst>
    </bk>
    <bk>
      <extLst>
        <ext uri="{3e2802c4-a4d2-4d8b-9148-e3be6c30e623}">
          <xlrd:rvb i="8465"/>
        </ext>
      </extLst>
    </bk>
    <bk>
      <extLst>
        <ext uri="{3e2802c4-a4d2-4d8b-9148-e3be6c30e623}">
          <xlrd:rvb i="8466"/>
        </ext>
      </extLst>
    </bk>
    <bk>
      <extLst>
        <ext uri="{3e2802c4-a4d2-4d8b-9148-e3be6c30e623}">
          <xlrd:rvb i="8467"/>
        </ext>
      </extLst>
    </bk>
    <bk>
      <extLst>
        <ext uri="{3e2802c4-a4d2-4d8b-9148-e3be6c30e623}">
          <xlrd:rvb i="8468"/>
        </ext>
      </extLst>
    </bk>
    <bk>
      <extLst>
        <ext uri="{3e2802c4-a4d2-4d8b-9148-e3be6c30e623}">
          <xlrd:rvb i="8469"/>
        </ext>
      </extLst>
    </bk>
    <bk>
      <extLst>
        <ext uri="{3e2802c4-a4d2-4d8b-9148-e3be6c30e623}">
          <xlrd:rvb i="8470"/>
        </ext>
      </extLst>
    </bk>
    <bk>
      <extLst>
        <ext uri="{3e2802c4-a4d2-4d8b-9148-e3be6c30e623}">
          <xlrd:rvb i="8471"/>
        </ext>
      </extLst>
    </bk>
    <bk>
      <extLst>
        <ext uri="{3e2802c4-a4d2-4d8b-9148-e3be6c30e623}">
          <xlrd:rvb i="8472"/>
        </ext>
      </extLst>
    </bk>
    <bk>
      <extLst>
        <ext uri="{3e2802c4-a4d2-4d8b-9148-e3be6c30e623}">
          <xlrd:rvb i="8473"/>
        </ext>
      </extLst>
    </bk>
    <bk>
      <extLst>
        <ext uri="{3e2802c4-a4d2-4d8b-9148-e3be6c30e623}">
          <xlrd:rvb i="8474"/>
        </ext>
      </extLst>
    </bk>
    <bk>
      <extLst>
        <ext uri="{3e2802c4-a4d2-4d8b-9148-e3be6c30e623}">
          <xlrd:rvb i="8475"/>
        </ext>
      </extLst>
    </bk>
    <bk>
      <extLst>
        <ext uri="{3e2802c4-a4d2-4d8b-9148-e3be6c30e623}">
          <xlrd:rvb i="8476"/>
        </ext>
      </extLst>
    </bk>
    <bk>
      <extLst>
        <ext uri="{3e2802c4-a4d2-4d8b-9148-e3be6c30e623}">
          <xlrd:rvb i="8477"/>
        </ext>
      </extLst>
    </bk>
    <bk>
      <extLst>
        <ext uri="{3e2802c4-a4d2-4d8b-9148-e3be6c30e623}">
          <xlrd:rvb i="8478"/>
        </ext>
      </extLst>
    </bk>
    <bk>
      <extLst>
        <ext uri="{3e2802c4-a4d2-4d8b-9148-e3be6c30e623}">
          <xlrd:rvb i="8479"/>
        </ext>
      </extLst>
    </bk>
    <bk>
      <extLst>
        <ext uri="{3e2802c4-a4d2-4d8b-9148-e3be6c30e623}">
          <xlrd:rvb i="8480"/>
        </ext>
      </extLst>
    </bk>
    <bk>
      <extLst>
        <ext uri="{3e2802c4-a4d2-4d8b-9148-e3be6c30e623}">
          <xlrd:rvb i="8481"/>
        </ext>
      </extLst>
    </bk>
    <bk>
      <extLst>
        <ext uri="{3e2802c4-a4d2-4d8b-9148-e3be6c30e623}">
          <xlrd:rvb i="8482"/>
        </ext>
      </extLst>
    </bk>
    <bk>
      <extLst>
        <ext uri="{3e2802c4-a4d2-4d8b-9148-e3be6c30e623}">
          <xlrd:rvb i="8483"/>
        </ext>
      </extLst>
    </bk>
    <bk>
      <extLst>
        <ext uri="{3e2802c4-a4d2-4d8b-9148-e3be6c30e623}">
          <xlrd:rvb i="8484"/>
        </ext>
      </extLst>
    </bk>
    <bk>
      <extLst>
        <ext uri="{3e2802c4-a4d2-4d8b-9148-e3be6c30e623}">
          <xlrd:rvb i="8485"/>
        </ext>
      </extLst>
    </bk>
    <bk>
      <extLst>
        <ext uri="{3e2802c4-a4d2-4d8b-9148-e3be6c30e623}">
          <xlrd:rvb i="8486"/>
        </ext>
      </extLst>
    </bk>
    <bk>
      <extLst>
        <ext uri="{3e2802c4-a4d2-4d8b-9148-e3be6c30e623}">
          <xlrd:rvb i="8487"/>
        </ext>
      </extLst>
    </bk>
    <bk>
      <extLst>
        <ext uri="{3e2802c4-a4d2-4d8b-9148-e3be6c30e623}">
          <xlrd:rvb i="8488"/>
        </ext>
      </extLst>
    </bk>
    <bk>
      <extLst>
        <ext uri="{3e2802c4-a4d2-4d8b-9148-e3be6c30e623}">
          <xlrd:rvb i="8489"/>
        </ext>
      </extLst>
    </bk>
    <bk>
      <extLst>
        <ext uri="{3e2802c4-a4d2-4d8b-9148-e3be6c30e623}">
          <xlrd:rvb i="8490"/>
        </ext>
      </extLst>
    </bk>
    <bk>
      <extLst>
        <ext uri="{3e2802c4-a4d2-4d8b-9148-e3be6c30e623}">
          <xlrd:rvb i="8491"/>
        </ext>
      </extLst>
    </bk>
    <bk>
      <extLst>
        <ext uri="{3e2802c4-a4d2-4d8b-9148-e3be6c30e623}">
          <xlrd:rvb i="8492"/>
        </ext>
      </extLst>
    </bk>
    <bk>
      <extLst>
        <ext uri="{3e2802c4-a4d2-4d8b-9148-e3be6c30e623}">
          <xlrd:rvb i="8493"/>
        </ext>
      </extLst>
    </bk>
    <bk>
      <extLst>
        <ext uri="{3e2802c4-a4d2-4d8b-9148-e3be6c30e623}">
          <xlrd:rvb i="8494"/>
        </ext>
      </extLst>
    </bk>
    <bk>
      <extLst>
        <ext uri="{3e2802c4-a4d2-4d8b-9148-e3be6c30e623}">
          <xlrd:rvb i="8495"/>
        </ext>
      </extLst>
    </bk>
    <bk>
      <extLst>
        <ext uri="{3e2802c4-a4d2-4d8b-9148-e3be6c30e623}">
          <xlrd:rvb i="8496"/>
        </ext>
      </extLst>
    </bk>
    <bk>
      <extLst>
        <ext uri="{3e2802c4-a4d2-4d8b-9148-e3be6c30e623}">
          <xlrd:rvb i="8497"/>
        </ext>
      </extLst>
    </bk>
    <bk>
      <extLst>
        <ext uri="{3e2802c4-a4d2-4d8b-9148-e3be6c30e623}">
          <xlrd:rvb i="8498"/>
        </ext>
      </extLst>
    </bk>
    <bk>
      <extLst>
        <ext uri="{3e2802c4-a4d2-4d8b-9148-e3be6c30e623}">
          <xlrd:rvb i="8499"/>
        </ext>
      </extLst>
    </bk>
    <bk>
      <extLst>
        <ext uri="{3e2802c4-a4d2-4d8b-9148-e3be6c30e623}">
          <xlrd:rvb i="8500"/>
        </ext>
      </extLst>
    </bk>
    <bk>
      <extLst>
        <ext uri="{3e2802c4-a4d2-4d8b-9148-e3be6c30e623}">
          <xlrd:rvb i="8501"/>
        </ext>
      </extLst>
    </bk>
    <bk>
      <extLst>
        <ext uri="{3e2802c4-a4d2-4d8b-9148-e3be6c30e623}">
          <xlrd:rvb i="8502"/>
        </ext>
      </extLst>
    </bk>
    <bk>
      <extLst>
        <ext uri="{3e2802c4-a4d2-4d8b-9148-e3be6c30e623}">
          <xlrd:rvb i="8503"/>
        </ext>
      </extLst>
    </bk>
    <bk>
      <extLst>
        <ext uri="{3e2802c4-a4d2-4d8b-9148-e3be6c30e623}">
          <xlrd:rvb i="8504"/>
        </ext>
      </extLst>
    </bk>
    <bk>
      <extLst>
        <ext uri="{3e2802c4-a4d2-4d8b-9148-e3be6c30e623}">
          <xlrd:rvb i="8505"/>
        </ext>
      </extLst>
    </bk>
    <bk>
      <extLst>
        <ext uri="{3e2802c4-a4d2-4d8b-9148-e3be6c30e623}">
          <xlrd:rvb i="8506"/>
        </ext>
      </extLst>
    </bk>
    <bk>
      <extLst>
        <ext uri="{3e2802c4-a4d2-4d8b-9148-e3be6c30e623}">
          <xlrd:rvb i="8507"/>
        </ext>
      </extLst>
    </bk>
    <bk>
      <extLst>
        <ext uri="{3e2802c4-a4d2-4d8b-9148-e3be6c30e623}">
          <xlrd:rvb i="8508"/>
        </ext>
      </extLst>
    </bk>
    <bk>
      <extLst>
        <ext uri="{3e2802c4-a4d2-4d8b-9148-e3be6c30e623}">
          <xlrd:rvb i="8509"/>
        </ext>
      </extLst>
    </bk>
    <bk>
      <extLst>
        <ext uri="{3e2802c4-a4d2-4d8b-9148-e3be6c30e623}">
          <xlrd:rvb i="8510"/>
        </ext>
      </extLst>
    </bk>
    <bk>
      <extLst>
        <ext uri="{3e2802c4-a4d2-4d8b-9148-e3be6c30e623}">
          <xlrd:rvb i="8511"/>
        </ext>
      </extLst>
    </bk>
    <bk>
      <extLst>
        <ext uri="{3e2802c4-a4d2-4d8b-9148-e3be6c30e623}">
          <xlrd:rvb i="8512"/>
        </ext>
      </extLst>
    </bk>
    <bk>
      <extLst>
        <ext uri="{3e2802c4-a4d2-4d8b-9148-e3be6c30e623}">
          <xlrd:rvb i="8513"/>
        </ext>
      </extLst>
    </bk>
    <bk>
      <extLst>
        <ext uri="{3e2802c4-a4d2-4d8b-9148-e3be6c30e623}">
          <xlrd:rvb i="8514"/>
        </ext>
      </extLst>
    </bk>
    <bk>
      <extLst>
        <ext uri="{3e2802c4-a4d2-4d8b-9148-e3be6c30e623}">
          <xlrd:rvb i="8515"/>
        </ext>
      </extLst>
    </bk>
    <bk>
      <extLst>
        <ext uri="{3e2802c4-a4d2-4d8b-9148-e3be6c30e623}">
          <xlrd:rvb i="8516"/>
        </ext>
      </extLst>
    </bk>
    <bk>
      <extLst>
        <ext uri="{3e2802c4-a4d2-4d8b-9148-e3be6c30e623}">
          <xlrd:rvb i="8517"/>
        </ext>
      </extLst>
    </bk>
    <bk>
      <extLst>
        <ext uri="{3e2802c4-a4d2-4d8b-9148-e3be6c30e623}">
          <xlrd:rvb i="8518"/>
        </ext>
      </extLst>
    </bk>
    <bk>
      <extLst>
        <ext uri="{3e2802c4-a4d2-4d8b-9148-e3be6c30e623}">
          <xlrd:rvb i="8519"/>
        </ext>
      </extLst>
    </bk>
    <bk>
      <extLst>
        <ext uri="{3e2802c4-a4d2-4d8b-9148-e3be6c30e623}">
          <xlrd:rvb i="8520"/>
        </ext>
      </extLst>
    </bk>
    <bk>
      <extLst>
        <ext uri="{3e2802c4-a4d2-4d8b-9148-e3be6c30e623}">
          <xlrd:rvb i="8521"/>
        </ext>
      </extLst>
    </bk>
    <bk>
      <extLst>
        <ext uri="{3e2802c4-a4d2-4d8b-9148-e3be6c30e623}">
          <xlrd:rvb i="8522"/>
        </ext>
      </extLst>
    </bk>
    <bk>
      <extLst>
        <ext uri="{3e2802c4-a4d2-4d8b-9148-e3be6c30e623}">
          <xlrd:rvb i="8523"/>
        </ext>
      </extLst>
    </bk>
    <bk>
      <extLst>
        <ext uri="{3e2802c4-a4d2-4d8b-9148-e3be6c30e623}">
          <xlrd:rvb i="8524"/>
        </ext>
      </extLst>
    </bk>
    <bk>
      <extLst>
        <ext uri="{3e2802c4-a4d2-4d8b-9148-e3be6c30e623}">
          <xlrd:rvb i="8525"/>
        </ext>
      </extLst>
    </bk>
    <bk>
      <extLst>
        <ext uri="{3e2802c4-a4d2-4d8b-9148-e3be6c30e623}">
          <xlrd:rvb i="8526"/>
        </ext>
      </extLst>
    </bk>
    <bk>
      <extLst>
        <ext uri="{3e2802c4-a4d2-4d8b-9148-e3be6c30e623}">
          <xlrd:rvb i="8527"/>
        </ext>
      </extLst>
    </bk>
    <bk>
      <extLst>
        <ext uri="{3e2802c4-a4d2-4d8b-9148-e3be6c30e623}">
          <xlrd:rvb i="8528"/>
        </ext>
      </extLst>
    </bk>
    <bk>
      <extLst>
        <ext uri="{3e2802c4-a4d2-4d8b-9148-e3be6c30e623}">
          <xlrd:rvb i="8529"/>
        </ext>
      </extLst>
    </bk>
    <bk>
      <extLst>
        <ext uri="{3e2802c4-a4d2-4d8b-9148-e3be6c30e623}">
          <xlrd:rvb i="8530"/>
        </ext>
      </extLst>
    </bk>
    <bk>
      <extLst>
        <ext uri="{3e2802c4-a4d2-4d8b-9148-e3be6c30e623}">
          <xlrd:rvb i="8531"/>
        </ext>
      </extLst>
    </bk>
    <bk>
      <extLst>
        <ext uri="{3e2802c4-a4d2-4d8b-9148-e3be6c30e623}">
          <xlrd:rvb i="8532"/>
        </ext>
      </extLst>
    </bk>
    <bk>
      <extLst>
        <ext uri="{3e2802c4-a4d2-4d8b-9148-e3be6c30e623}">
          <xlrd:rvb i="8533"/>
        </ext>
      </extLst>
    </bk>
    <bk>
      <extLst>
        <ext uri="{3e2802c4-a4d2-4d8b-9148-e3be6c30e623}">
          <xlrd:rvb i="8534"/>
        </ext>
      </extLst>
    </bk>
    <bk>
      <extLst>
        <ext uri="{3e2802c4-a4d2-4d8b-9148-e3be6c30e623}">
          <xlrd:rvb i="8535"/>
        </ext>
      </extLst>
    </bk>
    <bk>
      <extLst>
        <ext uri="{3e2802c4-a4d2-4d8b-9148-e3be6c30e623}">
          <xlrd:rvb i="8536"/>
        </ext>
      </extLst>
    </bk>
    <bk>
      <extLst>
        <ext uri="{3e2802c4-a4d2-4d8b-9148-e3be6c30e623}">
          <xlrd:rvb i="8537"/>
        </ext>
      </extLst>
    </bk>
    <bk>
      <extLst>
        <ext uri="{3e2802c4-a4d2-4d8b-9148-e3be6c30e623}">
          <xlrd:rvb i="8538"/>
        </ext>
      </extLst>
    </bk>
    <bk>
      <extLst>
        <ext uri="{3e2802c4-a4d2-4d8b-9148-e3be6c30e623}">
          <xlrd:rvb i="8539"/>
        </ext>
      </extLst>
    </bk>
    <bk>
      <extLst>
        <ext uri="{3e2802c4-a4d2-4d8b-9148-e3be6c30e623}">
          <xlrd:rvb i="8540"/>
        </ext>
      </extLst>
    </bk>
    <bk>
      <extLst>
        <ext uri="{3e2802c4-a4d2-4d8b-9148-e3be6c30e623}">
          <xlrd:rvb i="8541"/>
        </ext>
      </extLst>
    </bk>
    <bk>
      <extLst>
        <ext uri="{3e2802c4-a4d2-4d8b-9148-e3be6c30e623}">
          <xlrd:rvb i="8542"/>
        </ext>
      </extLst>
    </bk>
    <bk>
      <extLst>
        <ext uri="{3e2802c4-a4d2-4d8b-9148-e3be6c30e623}">
          <xlrd:rvb i="8543"/>
        </ext>
      </extLst>
    </bk>
    <bk>
      <extLst>
        <ext uri="{3e2802c4-a4d2-4d8b-9148-e3be6c30e623}">
          <xlrd:rvb i="8544"/>
        </ext>
      </extLst>
    </bk>
    <bk>
      <extLst>
        <ext uri="{3e2802c4-a4d2-4d8b-9148-e3be6c30e623}">
          <xlrd:rvb i="8545"/>
        </ext>
      </extLst>
    </bk>
    <bk>
      <extLst>
        <ext uri="{3e2802c4-a4d2-4d8b-9148-e3be6c30e623}">
          <xlrd:rvb i="8546"/>
        </ext>
      </extLst>
    </bk>
    <bk>
      <extLst>
        <ext uri="{3e2802c4-a4d2-4d8b-9148-e3be6c30e623}">
          <xlrd:rvb i="8547"/>
        </ext>
      </extLst>
    </bk>
    <bk>
      <extLst>
        <ext uri="{3e2802c4-a4d2-4d8b-9148-e3be6c30e623}">
          <xlrd:rvb i="8548"/>
        </ext>
      </extLst>
    </bk>
    <bk>
      <extLst>
        <ext uri="{3e2802c4-a4d2-4d8b-9148-e3be6c30e623}">
          <xlrd:rvb i="8549"/>
        </ext>
      </extLst>
    </bk>
    <bk>
      <extLst>
        <ext uri="{3e2802c4-a4d2-4d8b-9148-e3be6c30e623}">
          <xlrd:rvb i="8550"/>
        </ext>
      </extLst>
    </bk>
    <bk>
      <extLst>
        <ext uri="{3e2802c4-a4d2-4d8b-9148-e3be6c30e623}">
          <xlrd:rvb i="8551"/>
        </ext>
      </extLst>
    </bk>
    <bk>
      <extLst>
        <ext uri="{3e2802c4-a4d2-4d8b-9148-e3be6c30e623}">
          <xlrd:rvb i="8552"/>
        </ext>
      </extLst>
    </bk>
    <bk>
      <extLst>
        <ext uri="{3e2802c4-a4d2-4d8b-9148-e3be6c30e623}">
          <xlrd:rvb i="8553"/>
        </ext>
      </extLst>
    </bk>
    <bk>
      <extLst>
        <ext uri="{3e2802c4-a4d2-4d8b-9148-e3be6c30e623}">
          <xlrd:rvb i="8554"/>
        </ext>
      </extLst>
    </bk>
    <bk>
      <extLst>
        <ext uri="{3e2802c4-a4d2-4d8b-9148-e3be6c30e623}">
          <xlrd:rvb i="8555"/>
        </ext>
      </extLst>
    </bk>
    <bk>
      <extLst>
        <ext uri="{3e2802c4-a4d2-4d8b-9148-e3be6c30e623}">
          <xlrd:rvb i="8556"/>
        </ext>
      </extLst>
    </bk>
    <bk>
      <extLst>
        <ext uri="{3e2802c4-a4d2-4d8b-9148-e3be6c30e623}">
          <xlrd:rvb i="8557"/>
        </ext>
      </extLst>
    </bk>
    <bk>
      <extLst>
        <ext uri="{3e2802c4-a4d2-4d8b-9148-e3be6c30e623}">
          <xlrd:rvb i="8558"/>
        </ext>
      </extLst>
    </bk>
    <bk>
      <extLst>
        <ext uri="{3e2802c4-a4d2-4d8b-9148-e3be6c30e623}">
          <xlrd:rvb i="8559"/>
        </ext>
      </extLst>
    </bk>
    <bk>
      <extLst>
        <ext uri="{3e2802c4-a4d2-4d8b-9148-e3be6c30e623}">
          <xlrd:rvb i="8560"/>
        </ext>
      </extLst>
    </bk>
    <bk>
      <extLst>
        <ext uri="{3e2802c4-a4d2-4d8b-9148-e3be6c30e623}">
          <xlrd:rvb i="8561"/>
        </ext>
      </extLst>
    </bk>
    <bk>
      <extLst>
        <ext uri="{3e2802c4-a4d2-4d8b-9148-e3be6c30e623}">
          <xlrd:rvb i="8562"/>
        </ext>
      </extLst>
    </bk>
    <bk>
      <extLst>
        <ext uri="{3e2802c4-a4d2-4d8b-9148-e3be6c30e623}">
          <xlrd:rvb i="8563"/>
        </ext>
      </extLst>
    </bk>
    <bk>
      <extLst>
        <ext uri="{3e2802c4-a4d2-4d8b-9148-e3be6c30e623}">
          <xlrd:rvb i="8564"/>
        </ext>
      </extLst>
    </bk>
    <bk>
      <extLst>
        <ext uri="{3e2802c4-a4d2-4d8b-9148-e3be6c30e623}">
          <xlrd:rvb i="8565"/>
        </ext>
      </extLst>
    </bk>
    <bk>
      <extLst>
        <ext uri="{3e2802c4-a4d2-4d8b-9148-e3be6c30e623}">
          <xlrd:rvb i="8566"/>
        </ext>
      </extLst>
    </bk>
    <bk>
      <extLst>
        <ext uri="{3e2802c4-a4d2-4d8b-9148-e3be6c30e623}">
          <xlrd:rvb i="8567"/>
        </ext>
      </extLst>
    </bk>
    <bk>
      <extLst>
        <ext uri="{3e2802c4-a4d2-4d8b-9148-e3be6c30e623}">
          <xlrd:rvb i="8568"/>
        </ext>
      </extLst>
    </bk>
    <bk>
      <extLst>
        <ext uri="{3e2802c4-a4d2-4d8b-9148-e3be6c30e623}">
          <xlrd:rvb i="8569"/>
        </ext>
      </extLst>
    </bk>
    <bk>
      <extLst>
        <ext uri="{3e2802c4-a4d2-4d8b-9148-e3be6c30e623}">
          <xlrd:rvb i="8570"/>
        </ext>
      </extLst>
    </bk>
    <bk>
      <extLst>
        <ext uri="{3e2802c4-a4d2-4d8b-9148-e3be6c30e623}">
          <xlrd:rvb i="8571"/>
        </ext>
      </extLst>
    </bk>
    <bk>
      <extLst>
        <ext uri="{3e2802c4-a4d2-4d8b-9148-e3be6c30e623}">
          <xlrd:rvb i="8572"/>
        </ext>
      </extLst>
    </bk>
    <bk>
      <extLst>
        <ext uri="{3e2802c4-a4d2-4d8b-9148-e3be6c30e623}">
          <xlrd:rvb i="8573"/>
        </ext>
      </extLst>
    </bk>
    <bk>
      <extLst>
        <ext uri="{3e2802c4-a4d2-4d8b-9148-e3be6c30e623}">
          <xlrd:rvb i="8574"/>
        </ext>
      </extLst>
    </bk>
    <bk>
      <extLst>
        <ext uri="{3e2802c4-a4d2-4d8b-9148-e3be6c30e623}">
          <xlrd:rvb i="8575"/>
        </ext>
      </extLst>
    </bk>
    <bk>
      <extLst>
        <ext uri="{3e2802c4-a4d2-4d8b-9148-e3be6c30e623}">
          <xlrd:rvb i="8576"/>
        </ext>
      </extLst>
    </bk>
    <bk>
      <extLst>
        <ext uri="{3e2802c4-a4d2-4d8b-9148-e3be6c30e623}">
          <xlrd:rvb i="8577"/>
        </ext>
      </extLst>
    </bk>
    <bk>
      <extLst>
        <ext uri="{3e2802c4-a4d2-4d8b-9148-e3be6c30e623}">
          <xlrd:rvb i="8578"/>
        </ext>
      </extLst>
    </bk>
    <bk>
      <extLst>
        <ext uri="{3e2802c4-a4d2-4d8b-9148-e3be6c30e623}">
          <xlrd:rvb i="8579"/>
        </ext>
      </extLst>
    </bk>
    <bk>
      <extLst>
        <ext uri="{3e2802c4-a4d2-4d8b-9148-e3be6c30e623}">
          <xlrd:rvb i="8580"/>
        </ext>
      </extLst>
    </bk>
    <bk>
      <extLst>
        <ext uri="{3e2802c4-a4d2-4d8b-9148-e3be6c30e623}">
          <xlrd:rvb i="8581"/>
        </ext>
      </extLst>
    </bk>
    <bk>
      <extLst>
        <ext uri="{3e2802c4-a4d2-4d8b-9148-e3be6c30e623}">
          <xlrd:rvb i="8582"/>
        </ext>
      </extLst>
    </bk>
    <bk>
      <extLst>
        <ext uri="{3e2802c4-a4d2-4d8b-9148-e3be6c30e623}">
          <xlrd:rvb i="8583"/>
        </ext>
      </extLst>
    </bk>
    <bk>
      <extLst>
        <ext uri="{3e2802c4-a4d2-4d8b-9148-e3be6c30e623}">
          <xlrd:rvb i="8584"/>
        </ext>
      </extLst>
    </bk>
    <bk>
      <extLst>
        <ext uri="{3e2802c4-a4d2-4d8b-9148-e3be6c30e623}">
          <xlrd:rvb i="8585"/>
        </ext>
      </extLst>
    </bk>
    <bk>
      <extLst>
        <ext uri="{3e2802c4-a4d2-4d8b-9148-e3be6c30e623}">
          <xlrd:rvb i="8586"/>
        </ext>
      </extLst>
    </bk>
    <bk>
      <extLst>
        <ext uri="{3e2802c4-a4d2-4d8b-9148-e3be6c30e623}">
          <xlrd:rvb i="8587"/>
        </ext>
      </extLst>
    </bk>
    <bk>
      <extLst>
        <ext uri="{3e2802c4-a4d2-4d8b-9148-e3be6c30e623}">
          <xlrd:rvb i="8588"/>
        </ext>
      </extLst>
    </bk>
    <bk>
      <extLst>
        <ext uri="{3e2802c4-a4d2-4d8b-9148-e3be6c30e623}">
          <xlrd:rvb i="8589"/>
        </ext>
      </extLst>
    </bk>
    <bk>
      <extLst>
        <ext uri="{3e2802c4-a4d2-4d8b-9148-e3be6c30e623}">
          <xlrd:rvb i="8590"/>
        </ext>
      </extLst>
    </bk>
    <bk>
      <extLst>
        <ext uri="{3e2802c4-a4d2-4d8b-9148-e3be6c30e623}">
          <xlrd:rvb i="8591"/>
        </ext>
      </extLst>
    </bk>
    <bk>
      <extLst>
        <ext uri="{3e2802c4-a4d2-4d8b-9148-e3be6c30e623}">
          <xlrd:rvb i="8592"/>
        </ext>
      </extLst>
    </bk>
    <bk>
      <extLst>
        <ext uri="{3e2802c4-a4d2-4d8b-9148-e3be6c30e623}">
          <xlrd:rvb i="8593"/>
        </ext>
      </extLst>
    </bk>
    <bk>
      <extLst>
        <ext uri="{3e2802c4-a4d2-4d8b-9148-e3be6c30e623}">
          <xlrd:rvb i="8594"/>
        </ext>
      </extLst>
    </bk>
    <bk>
      <extLst>
        <ext uri="{3e2802c4-a4d2-4d8b-9148-e3be6c30e623}">
          <xlrd:rvb i="8595"/>
        </ext>
      </extLst>
    </bk>
    <bk>
      <extLst>
        <ext uri="{3e2802c4-a4d2-4d8b-9148-e3be6c30e623}">
          <xlrd:rvb i="8596"/>
        </ext>
      </extLst>
    </bk>
    <bk>
      <extLst>
        <ext uri="{3e2802c4-a4d2-4d8b-9148-e3be6c30e623}">
          <xlrd:rvb i="8597"/>
        </ext>
      </extLst>
    </bk>
    <bk>
      <extLst>
        <ext uri="{3e2802c4-a4d2-4d8b-9148-e3be6c30e623}">
          <xlrd:rvb i="8598"/>
        </ext>
      </extLst>
    </bk>
    <bk>
      <extLst>
        <ext uri="{3e2802c4-a4d2-4d8b-9148-e3be6c30e623}">
          <xlrd:rvb i="8599"/>
        </ext>
      </extLst>
    </bk>
    <bk>
      <extLst>
        <ext uri="{3e2802c4-a4d2-4d8b-9148-e3be6c30e623}">
          <xlrd:rvb i="8600"/>
        </ext>
      </extLst>
    </bk>
    <bk>
      <extLst>
        <ext uri="{3e2802c4-a4d2-4d8b-9148-e3be6c30e623}">
          <xlrd:rvb i="8601"/>
        </ext>
      </extLst>
    </bk>
    <bk>
      <extLst>
        <ext uri="{3e2802c4-a4d2-4d8b-9148-e3be6c30e623}">
          <xlrd:rvb i="8602"/>
        </ext>
      </extLst>
    </bk>
    <bk>
      <extLst>
        <ext uri="{3e2802c4-a4d2-4d8b-9148-e3be6c30e623}">
          <xlrd:rvb i="8603"/>
        </ext>
      </extLst>
    </bk>
    <bk>
      <extLst>
        <ext uri="{3e2802c4-a4d2-4d8b-9148-e3be6c30e623}">
          <xlrd:rvb i="8604"/>
        </ext>
      </extLst>
    </bk>
    <bk>
      <extLst>
        <ext uri="{3e2802c4-a4d2-4d8b-9148-e3be6c30e623}">
          <xlrd:rvb i="8605"/>
        </ext>
      </extLst>
    </bk>
    <bk>
      <extLst>
        <ext uri="{3e2802c4-a4d2-4d8b-9148-e3be6c30e623}">
          <xlrd:rvb i="8606"/>
        </ext>
      </extLst>
    </bk>
    <bk>
      <extLst>
        <ext uri="{3e2802c4-a4d2-4d8b-9148-e3be6c30e623}">
          <xlrd:rvb i="8607"/>
        </ext>
      </extLst>
    </bk>
    <bk>
      <extLst>
        <ext uri="{3e2802c4-a4d2-4d8b-9148-e3be6c30e623}">
          <xlrd:rvb i="8608"/>
        </ext>
      </extLst>
    </bk>
    <bk>
      <extLst>
        <ext uri="{3e2802c4-a4d2-4d8b-9148-e3be6c30e623}">
          <xlrd:rvb i="8609"/>
        </ext>
      </extLst>
    </bk>
    <bk>
      <extLst>
        <ext uri="{3e2802c4-a4d2-4d8b-9148-e3be6c30e623}">
          <xlrd:rvb i="8610"/>
        </ext>
      </extLst>
    </bk>
    <bk>
      <extLst>
        <ext uri="{3e2802c4-a4d2-4d8b-9148-e3be6c30e623}">
          <xlrd:rvb i="8611"/>
        </ext>
      </extLst>
    </bk>
    <bk>
      <extLst>
        <ext uri="{3e2802c4-a4d2-4d8b-9148-e3be6c30e623}">
          <xlrd:rvb i="8612"/>
        </ext>
      </extLst>
    </bk>
    <bk>
      <extLst>
        <ext uri="{3e2802c4-a4d2-4d8b-9148-e3be6c30e623}">
          <xlrd:rvb i="8613"/>
        </ext>
      </extLst>
    </bk>
    <bk>
      <extLst>
        <ext uri="{3e2802c4-a4d2-4d8b-9148-e3be6c30e623}">
          <xlrd:rvb i="8614"/>
        </ext>
      </extLst>
    </bk>
    <bk>
      <extLst>
        <ext uri="{3e2802c4-a4d2-4d8b-9148-e3be6c30e623}">
          <xlrd:rvb i="8615"/>
        </ext>
      </extLst>
    </bk>
    <bk>
      <extLst>
        <ext uri="{3e2802c4-a4d2-4d8b-9148-e3be6c30e623}">
          <xlrd:rvb i="8616"/>
        </ext>
      </extLst>
    </bk>
    <bk>
      <extLst>
        <ext uri="{3e2802c4-a4d2-4d8b-9148-e3be6c30e623}">
          <xlrd:rvb i="8617"/>
        </ext>
      </extLst>
    </bk>
    <bk>
      <extLst>
        <ext uri="{3e2802c4-a4d2-4d8b-9148-e3be6c30e623}">
          <xlrd:rvb i="8618"/>
        </ext>
      </extLst>
    </bk>
    <bk>
      <extLst>
        <ext uri="{3e2802c4-a4d2-4d8b-9148-e3be6c30e623}">
          <xlrd:rvb i="8619"/>
        </ext>
      </extLst>
    </bk>
    <bk>
      <extLst>
        <ext uri="{3e2802c4-a4d2-4d8b-9148-e3be6c30e623}">
          <xlrd:rvb i="8620"/>
        </ext>
      </extLst>
    </bk>
    <bk>
      <extLst>
        <ext uri="{3e2802c4-a4d2-4d8b-9148-e3be6c30e623}">
          <xlrd:rvb i="8621"/>
        </ext>
      </extLst>
    </bk>
    <bk>
      <extLst>
        <ext uri="{3e2802c4-a4d2-4d8b-9148-e3be6c30e623}">
          <xlrd:rvb i="8622"/>
        </ext>
      </extLst>
    </bk>
    <bk>
      <extLst>
        <ext uri="{3e2802c4-a4d2-4d8b-9148-e3be6c30e623}">
          <xlrd:rvb i="8623"/>
        </ext>
      </extLst>
    </bk>
    <bk>
      <extLst>
        <ext uri="{3e2802c4-a4d2-4d8b-9148-e3be6c30e623}">
          <xlrd:rvb i="8624"/>
        </ext>
      </extLst>
    </bk>
    <bk>
      <extLst>
        <ext uri="{3e2802c4-a4d2-4d8b-9148-e3be6c30e623}">
          <xlrd:rvb i="8625"/>
        </ext>
      </extLst>
    </bk>
    <bk>
      <extLst>
        <ext uri="{3e2802c4-a4d2-4d8b-9148-e3be6c30e623}">
          <xlrd:rvb i="8626"/>
        </ext>
      </extLst>
    </bk>
    <bk>
      <extLst>
        <ext uri="{3e2802c4-a4d2-4d8b-9148-e3be6c30e623}">
          <xlrd:rvb i="8627"/>
        </ext>
      </extLst>
    </bk>
    <bk>
      <extLst>
        <ext uri="{3e2802c4-a4d2-4d8b-9148-e3be6c30e623}">
          <xlrd:rvb i="8628"/>
        </ext>
      </extLst>
    </bk>
    <bk>
      <extLst>
        <ext uri="{3e2802c4-a4d2-4d8b-9148-e3be6c30e623}">
          <xlrd:rvb i="8629"/>
        </ext>
      </extLst>
    </bk>
    <bk>
      <extLst>
        <ext uri="{3e2802c4-a4d2-4d8b-9148-e3be6c30e623}">
          <xlrd:rvb i="8630"/>
        </ext>
      </extLst>
    </bk>
    <bk>
      <extLst>
        <ext uri="{3e2802c4-a4d2-4d8b-9148-e3be6c30e623}">
          <xlrd:rvb i="8631"/>
        </ext>
      </extLst>
    </bk>
    <bk>
      <extLst>
        <ext uri="{3e2802c4-a4d2-4d8b-9148-e3be6c30e623}">
          <xlrd:rvb i="8632"/>
        </ext>
      </extLst>
    </bk>
    <bk>
      <extLst>
        <ext uri="{3e2802c4-a4d2-4d8b-9148-e3be6c30e623}">
          <xlrd:rvb i="8633"/>
        </ext>
      </extLst>
    </bk>
    <bk>
      <extLst>
        <ext uri="{3e2802c4-a4d2-4d8b-9148-e3be6c30e623}">
          <xlrd:rvb i="8634"/>
        </ext>
      </extLst>
    </bk>
    <bk>
      <extLst>
        <ext uri="{3e2802c4-a4d2-4d8b-9148-e3be6c30e623}">
          <xlrd:rvb i="8635"/>
        </ext>
      </extLst>
    </bk>
    <bk>
      <extLst>
        <ext uri="{3e2802c4-a4d2-4d8b-9148-e3be6c30e623}">
          <xlrd:rvb i="8636"/>
        </ext>
      </extLst>
    </bk>
    <bk>
      <extLst>
        <ext uri="{3e2802c4-a4d2-4d8b-9148-e3be6c30e623}">
          <xlrd:rvb i="8637"/>
        </ext>
      </extLst>
    </bk>
    <bk>
      <extLst>
        <ext uri="{3e2802c4-a4d2-4d8b-9148-e3be6c30e623}">
          <xlrd:rvb i="8638"/>
        </ext>
      </extLst>
    </bk>
    <bk>
      <extLst>
        <ext uri="{3e2802c4-a4d2-4d8b-9148-e3be6c30e623}">
          <xlrd:rvb i="8639"/>
        </ext>
      </extLst>
    </bk>
    <bk>
      <extLst>
        <ext uri="{3e2802c4-a4d2-4d8b-9148-e3be6c30e623}">
          <xlrd:rvb i="8640"/>
        </ext>
      </extLst>
    </bk>
    <bk>
      <extLst>
        <ext uri="{3e2802c4-a4d2-4d8b-9148-e3be6c30e623}">
          <xlrd:rvb i="8641"/>
        </ext>
      </extLst>
    </bk>
    <bk>
      <extLst>
        <ext uri="{3e2802c4-a4d2-4d8b-9148-e3be6c30e623}">
          <xlrd:rvb i="8642"/>
        </ext>
      </extLst>
    </bk>
    <bk>
      <extLst>
        <ext uri="{3e2802c4-a4d2-4d8b-9148-e3be6c30e623}">
          <xlrd:rvb i="8643"/>
        </ext>
      </extLst>
    </bk>
    <bk>
      <extLst>
        <ext uri="{3e2802c4-a4d2-4d8b-9148-e3be6c30e623}">
          <xlrd:rvb i="8644"/>
        </ext>
      </extLst>
    </bk>
    <bk>
      <extLst>
        <ext uri="{3e2802c4-a4d2-4d8b-9148-e3be6c30e623}">
          <xlrd:rvb i="8645"/>
        </ext>
      </extLst>
    </bk>
    <bk>
      <extLst>
        <ext uri="{3e2802c4-a4d2-4d8b-9148-e3be6c30e623}">
          <xlrd:rvb i="8646"/>
        </ext>
      </extLst>
    </bk>
    <bk>
      <extLst>
        <ext uri="{3e2802c4-a4d2-4d8b-9148-e3be6c30e623}">
          <xlrd:rvb i="8647"/>
        </ext>
      </extLst>
    </bk>
    <bk>
      <extLst>
        <ext uri="{3e2802c4-a4d2-4d8b-9148-e3be6c30e623}">
          <xlrd:rvb i="8648"/>
        </ext>
      </extLst>
    </bk>
    <bk>
      <extLst>
        <ext uri="{3e2802c4-a4d2-4d8b-9148-e3be6c30e623}">
          <xlrd:rvb i="8649"/>
        </ext>
      </extLst>
    </bk>
    <bk>
      <extLst>
        <ext uri="{3e2802c4-a4d2-4d8b-9148-e3be6c30e623}">
          <xlrd:rvb i="8650"/>
        </ext>
      </extLst>
    </bk>
    <bk>
      <extLst>
        <ext uri="{3e2802c4-a4d2-4d8b-9148-e3be6c30e623}">
          <xlrd:rvb i="8651"/>
        </ext>
      </extLst>
    </bk>
    <bk>
      <extLst>
        <ext uri="{3e2802c4-a4d2-4d8b-9148-e3be6c30e623}">
          <xlrd:rvb i="8652"/>
        </ext>
      </extLst>
    </bk>
    <bk>
      <extLst>
        <ext uri="{3e2802c4-a4d2-4d8b-9148-e3be6c30e623}">
          <xlrd:rvb i="8653"/>
        </ext>
      </extLst>
    </bk>
    <bk>
      <extLst>
        <ext uri="{3e2802c4-a4d2-4d8b-9148-e3be6c30e623}">
          <xlrd:rvb i="8654"/>
        </ext>
      </extLst>
    </bk>
    <bk>
      <extLst>
        <ext uri="{3e2802c4-a4d2-4d8b-9148-e3be6c30e623}">
          <xlrd:rvb i="8655"/>
        </ext>
      </extLst>
    </bk>
    <bk>
      <extLst>
        <ext uri="{3e2802c4-a4d2-4d8b-9148-e3be6c30e623}">
          <xlrd:rvb i="8656"/>
        </ext>
      </extLst>
    </bk>
    <bk>
      <extLst>
        <ext uri="{3e2802c4-a4d2-4d8b-9148-e3be6c30e623}">
          <xlrd:rvb i="8657"/>
        </ext>
      </extLst>
    </bk>
    <bk>
      <extLst>
        <ext uri="{3e2802c4-a4d2-4d8b-9148-e3be6c30e623}">
          <xlrd:rvb i="8658"/>
        </ext>
      </extLst>
    </bk>
    <bk>
      <extLst>
        <ext uri="{3e2802c4-a4d2-4d8b-9148-e3be6c30e623}">
          <xlrd:rvb i="8659"/>
        </ext>
      </extLst>
    </bk>
    <bk>
      <extLst>
        <ext uri="{3e2802c4-a4d2-4d8b-9148-e3be6c30e623}">
          <xlrd:rvb i="8660"/>
        </ext>
      </extLst>
    </bk>
    <bk>
      <extLst>
        <ext uri="{3e2802c4-a4d2-4d8b-9148-e3be6c30e623}">
          <xlrd:rvb i="8661"/>
        </ext>
      </extLst>
    </bk>
    <bk>
      <extLst>
        <ext uri="{3e2802c4-a4d2-4d8b-9148-e3be6c30e623}">
          <xlrd:rvb i="8662"/>
        </ext>
      </extLst>
    </bk>
    <bk>
      <extLst>
        <ext uri="{3e2802c4-a4d2-4d8b-9148-e3be6c30e623}">
          <xlrd:rvb i="8663"/>
        </ext>
      </extLst>
    </bk>
    <bk>
      <extLst>
        <ext uri="{3e2802c4-a4d2-4d8b-9148-e3be6c30e623}">
          <xlrd:rvb i="8664"/>
        </ext>
      </extLst>
    </bk>
    <bk>
      <extLst>
        <ext uri="{3e2802c4-a4d2-4d8b-9148-e3be6c30e623}">
          <xlrd:rvb i="8665"/>
        </ext>
      </extLst>
    </bk>
    <bk>
      <extLst>
        <ext uri="{3e2802c4-a4d2-4d8b-9148-e3be6c30e623}">
          <xlrd:rvb i="8666"/>
        </ext>
      </extLst>
    </bk>
    <bk>
      <extLst>
        <ext uri="{3e2802c4-a4d2-4d8b-9148-e3be6c30e623}">
          <xlrd:rvb i="8667"/>
        </ext>
      </extLst>
    </bk>
    <bk>
      <extLst>
        <ext uri="{3e2802c4-a4d2-4d8b-9148-e3be6c30e623}">
          <xlrd:rvb i="8668"/>
        </ext>
      </extLst>
    </bk>
    <bk>
      <extLst>
        <ext uri="{3e2802c4-a4d2-4d8b-9148-e3be6c30e623}">
          <xlrd:rvb i="8669"/>
        </ext>
      </extLst>
    </bk>
    <bk>
      <extLst>
        <ext uri="{3e2802c4-a4d2-4d8b-9148-e3be6c30e623}">
          <xlrd:rvb i="8670"/>
        </ext>
      </extLst>
    </bk>
    <bk>
      <extLst>
        <ext uri="{3e2802c4-a4d2-4d8b-9148-e3be6c30e623}">
          <xlrd:rvb i="8671"/>
        </ext>
      </extLst>
    </bk>
    <bk>
      <extLst>
        <ext uri="{3e2802c4-a4d2-4d8b-9148-e3be6c30e623}">
          <xlrd:rvb i="8672"/>
        </ext>
      </extLst>
    </bk>
    <bk>
      <extLst>
        <ext uri="{3e2802c4-a4d2-4d8b-9148-e3be6c30e623}">
          <xlrd:rvb i="8673"/>
        </ext>
      </extLst>
    </bk>
    <bk>
      <extLst>
        <ext uri="{3e2802c4-a4d2-4d8b-9148-e3be6c30e623}">
          <xlrd:rvb i="8674"/>
        </ext>
      </extLst>
    </bk>
    <bk>
      <extLst>
        <ext uri="{3e2802c4-a4d2-4d8b-9148-e3be6c30e623}">
          <xlrd:rvb i="8675"/>
        </ext>
      </extLst>
    </bk>
    <bk>
      <extLst>
        <ext uri="{3e2802c4-a4d2-4d8b-9148-e3be6c30e623}">
          <xlrd:rvb i="8676"/>
        </ext>
      </extLst>
    </bk>
    <bk>
      <extLst>
        <ext uri="{3e2802c4-a4d2-4d8b-9148-e3be6c30e623}">
          <xlrd:rvb i="8677"/>
        </ext>
      </extLst>
    </bk>
    <bk>
      <extLst>
        <ext uri="{3e2802c4-a4d2-4d8b-9148-e3be6c30e623}">
          <xlrd:rvb i="8678"/>
        </ext>
      </extLst>
    </bk>
    <bk>
      <extLst>
        <ext uri="{3e2802c4-a4d2-4d8b-9148-e3be6c30e623}">
          <xlrd:rvb i="8679"/>
        </ext>
      </extLst>
    </bk>
    <bk>
      <extLst>
        <ext uri="{3e2802c4-a4d2-4d8b-9148-e3be6c30e623}">
          <xlrd:rvb i="8680"/>
        </ext>
      </extLst>
    </bk>
    <bk>
      <extLst>
        <ext uri="{3e2802c4-a4d2-4d8b-9148-e3be6c30e623}">
          <xlrd:rvb i="8681"/>
        </ext>
      </extLst>
    </bk>
    <bk>
      <extLst>
        <ext uri="{3e2802c4-a4d2-4d8b-9148-e3be6c30e623}">
          <xlrd:rvb i="8682"/>
        </ext>
      </extLst>
    </bk>
    <bk>
      <extLst>
        <ext uri="{3e2802c4-a4d2-4d8b-9148-e3be6c30e623}">
          <xlrd:rvb i="8683"/>
        </ext>
      </extLst>
    </bk>
    <bk>
      <extLst>
        <ext uri="{3e2802c4-a4d2-4d8b-9148-e3be6c30e623}">
          <xlrd:rvb i="8684"/>
        </ext>
      </extLst>
    </bk>
    <bk>
      <extLst>
        <ext uri="{3e2802c4-a4d2-4d8b-9148-e3be6c30e623}">
          <xlrd:rvb i="8685"/>
        </ext>
      </extLst>
    </bk>
    <bk>
      <extLst>
        <ext uri="{3e2802c4-a4d2-4d8b-9148-e3be6c30e623}">
          <xlrd:rvb i="8686"/>
        </ext>
      </extLst>
    </bk>
    <bk>
      <extLst>
        <ext uri="{3e2802c4-a4d2-4d8b-9148-e3be6c30e623}">
          <xlrd:rvb i="8687"/>
        </ext>
      </extLst>
    </bk>
    <bk>
      <extLst>
        <ext uri="{3e2802c4-a4d2-4d8b-9148-e3be6c30e623}">
          <xlrd:rvb i="8688"/>
        </ext>
      </extLst>
    </bk>
    <bk>
      <extLst>
        <ext uri="{3e2802c4-a4d2-4d8b-9148-e3be6c30e623}">
          <xlrd:rvb i="8689"/>
        </ext>
      </extLst>
    </bk>
    <bk>
      <extLst>
        <ext uri="{3e2802c4-a4d2-4d8b-9148-e3be6c30e623}">
          <xlrd:rvb i="8690"/>
        </ext>
      </extLst>
    </bk>
    <bk>
      <extLst>
        <ext uri="{3e2802c4-a4d2-4d8b-9148-e3be6c30e623}">
          <xlrd:rvb i="8691"/>
        </ext>
      </extLst>
    </bk>
    <bk>
      <extLst>
        <ext uri="{3e2802c4-a4d2-4d8b-9148-e3be6c30e623}">
          <xlrd:rvb i="8692"/>
        </ext>
      </extLst>
    </bk>
    <bk>
      <extLst>
        <ext uri="{3e2802c4-a4d2-4d8b-9148-e3be6c30e623}">
          <xlrd:rvb i="8693"/>
        </ext>
      </extLst>
    </bk>
    <bk>
      <extLst>
        <ext uri="{3e2802c4-a4d2-4d8b-9148-e3be6c30e623}">
          <xlrd:rvb i="8694"/>
        </ext>
      </extLst>
    </bk>
    <bk>
      <extLst>
        <ext uri="{3e2802c4-a4d2-4d8b-9148-e3be6c30e623}">
          <xlrd:rvb i="8695"/>
        </ext>
      </extLst>
    </bk>
    <bk>
      <extLst>
        <ext uri="{3e2802c4-a4d2-4d8b-9148-e3be6c30e623}">
          <xlrd:rvb i="8696"/>
        </ext>
      </extLst>
    </bk>
    <bk>
      <extLst>
        <ext uri="{3e2802c4-a4d2-4d8b-9148-e3be6c30e623}">
          <xlrd:rvb i="8697"/>
        </ext>
      </extLst>
    </bk>
    <bk>
      <extLst>
        <ext uri="{3e2802c4-a4d2-4d8b-9148-e3be6c30e623}">
          <xlrd:rvb i="8698"/>
        </ext>
      </extLst>
    </bk>
    <bk>
      <extLst>
        <ext uri="{3e2802c4-a4d2-4d8b-9148-e3be6c30e623}">
          <xlrd:rvb i="8699"/>
        </ext>
      </extLst>
    </bk>
    <bk>
      <extLst>
        <ext uri="{3e2802c4-a4d2-4d8b-9148-e3be6c30e623}">
          <xlrd:rvb i="8700"/>
        </ext>
      </extLst>
    </bk>
    <bk>
      <extLst>
        <ext uri="{3e2802c4-a4d2-4d8b-9148-e3be6c30e623}">
          <xlrd:rvb i="8701"/>
        </ext>
      </extLst>
    </bk>
    <bk>
      <extLst>
        <ext uri="{3e2802c4-a4d2-4d8b-9148-e3be6c30e623}">
          <xlrd:rvb i="8702"/>
        </ext>
      </extLst>
    </bk>
    <bk>
      <extLst>
        <ext uri="{3e2802c4-a4d2-4d8b-9148-e3be6c30e623}">
          <xlrd:rvb i="8703"/>
        </ext>
      </extLst>
    </bk>
    <bk>
      <extLst>
        <ext uri="{3e2802c4-a4d2-4d8b-9148-e3be6c30e623}">
          <xlrd:rvb i="8704"/>
        </ext>
      </extLst>
    </bk>
    <bk>
      <extLst>
        <ext uri="{3e2802c4-a4d2-4d8b-9148-e3be6c30e623}">
          <xlrd:rvb i="8705"/>
        </ext>
      </extLst>
    </bk>
    <bk>
      <extLst>
        <ext uri="{3e2802c4-a4d2-4d8b-9148-e3be6c30e623}">
          <xlrd:rvb i="8706"/>
        </ext>
      </extLst>
    </bk>
    <bk>
      <extLst>
        <ext uri="{3e2802c4-a4d2-4d8b-9148-e3be6c30e623}">
          <xlrd:rvb i="8707"/>
        </ext>
      </extLst>
    </bk>
    <bk>
      <extLst>
        <ext uri="{3e2802c4-a4d2-4d8b-9148-e3be6c30e623}">
          <xlrd:rvb i="8708"/>
        </ext>
      </extLst>
    </bk>
    <bk>
      <extLst>
        <ext uri="{3e2802c4-a4d2-4d8b-9148-e3be6c30e623}">
          <xlrd:rvb i="8709"/>
        </ext>
      </extLst>
    </bk>
    <bk>
      <extLst>
        <ext uri="{3e2802c4-a4d2-4d8b-9148-e3be6c30e623}">
          <xlrd:rvb i="8710"/>
        </ext>
      </extLst>
    </bk>
    <bk>
      <extLst>
        <ext uri="{3e2802c4-a4d2-4d8b-9148-e3be6c30e623}">
          <xlrd:rvb i="8711"/>
        </ext>
      </extLst>
    </bk>
    <bk>
      <extLst>
        <ext uri="{3e2802c4-a4d2-4d8b-9148-e3be6c30e623}">
          <xlrd:rvb i="8712"/>
        </ext>
      </extLst>
    </bk>
    <bk>
      <extLst>
        <ext uri="{3e2802c4-a4d2-4d8b-9148-e3be6c30e623}">
          <xlrd:rvb i="8713"/>
        </ext>
      </extLst>
    </bk>
    <bk>
      <extLst>
        <ext uri="{3e2802c4-a4d2-4d8b-9148-e3be6c30e623}">
          <xlrd:rvb i="8714"/>
        </ext>
      </extLst>
    </bk>
    <bk>
      <extLst>
        <ext uri="{3e2802c4-a4d2-4d8b-9148-e3be6c30e623}">
          <xlrd:rvb i="8715"/>
        </ext>
      </extLst>
    </bk>
    <bk>
      <extLst>
        <ext uri="{3e2802c4-a4d2-4d8b-9148-e3be6c30e623}">
          <xlrd:rvb i="8716"/>
        </ext>
      </extLst>
    </bk>
    <bk>
      <extLst>
        <ext uri="{3e2802c4-a4d2-4d8b-9148-e3be6c30e623}">
          <xlrd:rvb i="8717"/>
        </ext>
      </extLst>
    </bk>
    <bk>
      <extLst>
        <ext uri="{3e2802c4-a4d2-4d8b-9148-e3be6c30e623}">
          <xlrd:rvb i="8718"/>
        </ext>
      </extLst>
    </bk>
    <bk>
      <extLst>
        <ext uri="{3e2802c4-a4d2-4d8b-9148-e3be6c30e623}">
          <xlrd:rvb i="8719"/>
        </ext>
      </extLst>
    </bk>
    <bk>
      <extLst>
        <ext uri="{3e2802c4-a4d2-4d8b-9148-e3be6c30e623}">
          <xlrd:rvb i="8720"/>
        </ext>
      </extLst>
    </bk>
    <bk>
      <extLst>
        <ext uri="{3e2802c4-a4d2-4d8b-9148-e3be6c30e623}">
          <xlrd:rvb i="8721"/>
        </ext>
      </extLst>
    </bk>
    <bk>
      <extLst>
        <ext uri="{3e2802c4-a4d2-4d8b-9148-e3be6c30e623}">
          <xlrd:rvb i="8722"/>
        </ext>
      </extLst>
    </bk>
    <bk>
      <extLst>
        <ext uri="{3e2802c4-a4d2-4d8b-9148-e3be6c30e623}">
          <xlrd:rvb i="8723"/>
        </ext>
      </extLst>
    </bk>
    <bk>
      <extLst>
        <ext uri="{3e2802c4-a4d2-4d8b-9148-e3be6c30e623}">
          <xlrd:rvb i="8724"/>
        </ext>
      </extLst>
    </bk>
    <bk>
      <extLst>
        <ext uri="{3e2802c4-a4d2-4d8b-9148-e3be6c30e623}">
          <xlrd:rvb i="8725"/>
        </ext>
      </extLst>
    </bk>
    <bk>
      <extLst>
        <ext uri="{3e2802c4-a4d2-4d8b-9148-e3be6c30e623}">
          <xlrd:rvb i="8726"/>
        </ext>
      </extLst>
    </bk>
    <bk>
      <extLst>
        <ext uri="{3e2802c4-a4d2-4d8b-9148-e3be6c30e623}">
          <xlrd:rvb i="8727"/>
        </ext>
      </extLst>
    </bk>
    <bk>
      <extLst>
        <ext uri="{3e2802c4-a4d2-4d8b-9148-e3be6c30e623}">
          <xlrd:rvb i="8728"/>
        </ext>
      </extLst>
    </bk>
    <bk>
      <extLst>
        <ext uri="{3e2802c4-a4d2-4d8b-9148-e3be6c30e623}">
          <xlrd:rvb i="8729"/>
        </ext>
      </extLst>
    </bk>
    <bk>
      <extLst>
        <ext uri="{3e2802c4-a4d2-4d8b-9148-e3be6c30e623}">
          <xlrd:rvb i="8730"/>
        </ext>
      </extLst>
    </bk>
    <bk>
      <extLst>
        <ext uri="{3e2802c4-a4d2-4d8b-9148-e3be6c30e623}">
          <xlrd:rvb i="8731"/>
        </ext>
      </extLst>
    </bk>
    <bk>
      <extLst>
        <ext uri="{3e2802c4-a4d2-4d8b-9148-e3be6c30e623}">
          <xlrd:rvb i="8732"/>
        </ext>
      </extLst>
    </bk>
    <bk>
      <extLst>
        <ext uri="{3e2802c4-a4d2-4d8b-9148-e3be6c30e623}">
          <xlrd:rvb i="8733"/>
        </ext>
      </extLst>
    </bk>
    <bk>
      <extLst>
        <ext uri="{3e2802c4-a4d2-4d8b-9148-e3be6c30e623}">
          <xlrd:rvb i="8734"/>
        </ext>
      </extLst>
    </bk>
    <bk>
      <extLst>
        <ext uri="{3e2802c4-a4d2-4d8b-9148-e3be6c30e623}">
          <xlrd:rvb i="8735"/>
        </ext>
      </extLst>
    </bk>
    <bk>
      <extLst>
        <ext uri="{3e2802c4-a4d2-4d8b-9148-e3be6c30e623}">
          <xlrd:rvb i="8736"/>
        </ext>
      </extLst>
    </bk>
    <bk>
      <extLst>
        <ext uri="{3e2802c4-a4d2-4d8b-9148-e3be6c30e623}">
          <xlrd:rvb i="8737"/>
        </ext>
      </extLst>
    </bk>
    <bk>
      <extLst>
        <ext uri="{3e2802c4-a4d2-4d8b-9148-e3be6c30e623}">
          <xlrd:rvb i="8738"/>
        </ext>
      </extLst>
    </bk>
    <bk>
      <extLst>
        <ext uri="{3e2802c4-a4d2-4d8b-9148-e3be6c30e623}">
          <xlrd:rvb i="8739"/>
        </ext>
      </extLst>
    </bk>
    <bk>
      <extLst>
        <ext uri="{3e2802c4-a4d2-4d8b-9148-e3be6c30e623}">
          <xlrd:rvb i="8740"/>
        </ext>
      </extLst>
    </bk>
    <bk>
      <extLst>
        <ext uri="{3e2802c4-a4d2-4d8b-9148-e3be6c30e623}">
          <xlrd:rvb i="8741"/>
        </ext>
      </extLst>
    </bk>
    <bk>
      <extLst>
        <ext uri="{3e2802c4-a4d2-4d8b-9148-e3be6c30e623}">
          <xlrd:rvb i="8742"/>
        </ext>
      </extLst>
    </bk>
    <bk>
      <extLst>
        <ext uri="{3e2802c4-a4d2-4d8b-9148-e3be6c30e623}">
          <xlrd:rvb i="8743"/>
        </ext>
      </extLst>
    </bk>
    <bk>
      <extLst>
        <ext uri="{3e2802c4-a4d2-4d8b-9148-e3be6c30e623}">
          <xlrd:rvb i="8744"/>
        </ext>
      </extLst>
    </bk>
    <bk>
      <extLst>
        <ext uri="{3e2802c4-a4d2-4d8b-9148-e3be6c30e623}">
          <xlrd:rvb i="8745"/>
        </ext>
      </extLst>
    </bk>
    <bk>
      <extLst>
        <ext uri="{3e2802c4-a4d2-4d8b-9148-e3be6c30e623}">
          <xlrd:rvb i="8746"/>
        </ext>
      </extLst>
    </bk>
    <bk>
      <extLst>
        <ext uri="{3e2802c4-a4d2-4d8b-9148-e3be6c30e623}">
          <xlrd:rvb i="8747"/>
        </ext>
      </extLst>
    </bk>
    <bk>
      <extLst>
        <ext uri="{3e2802c4-a4d2-4d8b-9148-e3be6c30e623}">
          <xlrd:rvb i="8748"/>
        </ext>
      </extLst>
    </bk>
    <bk>
      <extLst>
        <ext uri="{3e2802c4-a4d2-4d8b-9148-e3be6c30e623}">
          <xlrd:rvb i="8749"/>
        </ext>
      </extLst>
    </bk>
    <bk>
      <extLst>
        <ext uri="{3e2802c4-a4d2-4d8b-9148-e3be6c30e623}">
          <xlrd:rvb i="8750"/>
        </ext>
      </extLst>
    </bk>
    <bk>
      <extLst>
        <ext uri="{3e2802c4-a4d2-4d8b-9148-e3be6c30e623}">
          <xlrd:rvb i="8751"/>
        </ext>
      </extLst>
    </bk>
    <bk>
      <extLst>
        <ext uri="{3e2802c4-a4d2-4d8b-9148-e3be6c30e623}">
          <xlrd:rvb i="8752"/>
        </ext>
      </extLst>
    </bk>
    <bk>
      <extLst>
        <ext uri="{3e2802c4-a4d2-4d8b-9148-e3be6c30e623}">
          <xlrd:rvb i="8753"/>
        </ext>
      </extLst>
    </bk>
    <bk>
      <extLst>
        <ext uri="{3e2802c4-a4d2-4d8b-9148-e3be6c30e623}">
          <xlrd:rvb i="8754"/>
        </ext>
      </extLst>
    </bk>
    <bk>
      <extLst>
        <ext uri="{3e2802c4-a4d2-4d8b-9148-e3be6c30e623}">
          <xlrd:rvb i="8755"/>
        </ext>
      </extLst>
    </bk>
    <bk>
      <extLst>
        <ext uri="{3e2802c4-a4d2-4d8b-9148-e3be6c30e623}">
          <xlrd:rvb i="8756"/>
        </ext>
      </extLst>
    </bk>
    <bk>
      <extLst>
        <ext uri="{3e2802c4-a4d2-4d8b-9148-e3be6c30e623}">
          <xlrd:rvb i="8757"/>
        </ext>
      </extLst>
    </bk>
    <bk>
      <extLst>
        <ext uri="{3e2802c4-a4d2-4d8b-9148-e3be6c30e623}">
          <xlrd:rvb i="8758"/>
        </ext>
      </extLst>
    </bk>
    <bk>
      <extLst>
        <ext uri="{3e2802c4-a4d2-4d8b-9148-e3be6c30e623}">
          <xlrd:rvb i="8759"/>
        </ext>
      </extLst>
    </bk>
    <bk>
      <extLst>
        <ext uri="{3e2802c4-a4d2-4d8b-9148-e3be6c30e623}">
          <xlrd:rvb i="8760"/>
        </ext>
      </extLst>
    </bk>
    <bk>
      <extLst>
        <ext uri="{3e2802c4-a4d2-4d8b-9148-e3be6c30e623}">
          <xlrd:rvb i="8761"/>
        </ext>
      </extLst>
    </bk>
    <bk>
      <extLst>
        <ext uri="{3e2802c4-a4d2-4d8b-9148-e3be6c30e623}">
          <xlrd:rvb i="8762"/>
        </ext>
      </extLst>
    </bk>
    <bk>
      <extLst>
        <ext uri="{3e2802c4-a4d2-4d8b-9148-e3be6c30e623}">
          <xlrd:rvb i="8763"/>
        </ext>
      </extLst>
    </bk>
    <bk>
      <extLst>
        <ext uri="{3e2802c4-a4d2-4d8b-9148-e3be6c30e623}">
          <xlrd:rvb i="8764"/>
        </ext>
      </extLst>
    </bk>
    <bk>
      <extLst>
        <ext uri="{3e2802c4-a4d2-4d8b-9148-e3be6c30e623}">
          <xlrd:rvb i="8765"/>
        </ext>
      </extLst>
    </bk>
    <bk>
      <extLst>
        <ext uri="{3e2802c4-a4d2-4d8b-9148-e3be6c30e623}">
          <xlrd:rvb i="8766"/>
        </ext>
      </extLst>
    </bk>
    <bk>
      <extLst>
        <ext uri="{3e2802c4-a4d2-4d8b-9148-e3be6c30e623}">
          <xlrd:rvb i="8767"/>
        </ext>
      </extLst>
    </bk>
    <bk>
      <extLst>
        <ext uri="{3e2802c4-a4d2-4d8b-9148-e3be6c30e623}">
          <xlrd:rvb i="8768"/>
        </ext>
      </extLst>
    </bk>
    <bk>
      <extLst>
        <ext uri="{3e2802c4-a4d2-4d8b-9148-e3be6c30e623}">
          <xlrd:rvb i="8769"/>
        </ext>
      </extLst>
    </bk>
    <bk>
      <extLst>
        <ext uri="{3e2802c4-a4d2-4d8b-9148-e3be6c30e623}">
          <xlrd:rvb i="8770"/>
        </ext>
      </extLst>
    </bk>
    <bk>
      <extLst>
        <ext uri="{3e2802c4-a4d2-4d8b-9148-e3be6c30e623}">
          <xlrd:rvb i="8771"/>
        </ext>
      </extLst>
    </bk>
    <bk>
      <extLst>
        <ext uri="{3e2802c4-a4d2-4d8b-9148-e3be6c30e623}">
          <xlrd:rvb i="8772"/>
        </ext>
      </extLst>
    </bk>
    <bk>
      <extLst>
        <ext uri="{3e2802c4-a4d2-4d8b-9148-e3be6c30e623}">
          <xlrd:rvb i="8773"/>
        </ext>
      </extLst>
    </bk>
    <bk>
      <extLst>
        <ext uri="{3e2802c4-a4d2-4d8b-9148-e3be6c30e623}">
          <xlrd:rvb i="8774"/>
        </ext>
      </extLst>
    </bk>
    <bk>
      <extLst>
        <ext uri="{3e2802c4-a4d2-4d8b-9148-e3be6c30e623}">
          <xlrd:rvb i="8775"/>
        </ext>
      </extLst>
    </bk>
    <bk>
      <extLst>
        <ext uri="{3e2802c4-a4d2-4d8b-9148-e3be6c30e623}">
          <xlrd:rvb i="8776"/>
        </ext>
      </extLst>
    </bk>
    <bk>
      <extLst>
        <ext uri="{3e2802c4-a4d2-4d8b-9148-e3be6c30e623}">
          <xlrd:rvb i="8777"/>
        </ext>
      </extLst>
    </bk>
    <bk>
      <extLst>
        <ext uri="{3e2802c4-a4d2-4d8b-9148-e3be6c30e623}">
          <xlrd:rvb i="8778"/>
        </ext>
      </extLst>
    </bk>
    <bk>
      <extLst>
        <ext uri="{3e2802c4-a4d2-4d8b-9148-e3be6c30e623}">
          <xlrd:rvb i="8779"/>
        </ext>
      </extLst>
    </bk>
    <bk>
      <extLst>
        <ext uri="{3e2802c4-a4d2-4d8b-9148-e3be6c30e623}">
          <xlrd:rvb i="8780"/>
        </ext>
      </extLst>
    </bk>
    <bk>
      <extLst>
        <ext uri="{3e2802c4-a4d2-4d8b-9148-e3be6c30e623}">
          <xlrd:rvb i="8781"/>
        </ext>
      </extLst>
    </bk>
    <bk>
      <extLst>
        <ext uri="{3e2802c4-a4d2-4d8b-9148-e3be6c30e623}">
          <xlrd:rvb i="8782"/>
        </ext>
      </extLst>
    </bk>
    <bk>
      <extLst>
        <ext uri="{3e2802c4-a4d2-4d8b-9148-e3be6c30e623}">
          <xlrd:rvb i="8783"/>
        </ext>
      </extLst>
    </bk>
    <bk>
      <extLst>
        <ext uri="{3e2802c4-a4d2-4d8b-9148-e3be6c30e623}">
          <xlrd:rvb i="8784"/>
        </ext>
      </extLst>
    </bk>
    <bk>
      <extLst>
        <ext uri="{3e2802c4-a4d2-4d8b-9148-e3be6c30e623}">
          <xlrd:rvb i="8785"/>
        </ext>
      </extLst>
    </bk>
    <bk>
      <extLst>
        <ext uri="{3e2802c4-a4d2-4d8b-9148-e3be6c30e623}">
          <xlrd:rvb i="8786"/>
        </ext>
      </extLst>
    </bk>
    <bk>
      <extLst>
        <ext uri="{3e2802c4-a4d2-4d8b-9148-e3be6c30e623}">
          <xlrd:rvb i="8787"/>
        </ext>
      </extLst>
    </bk>
    <bk>
      <extLst>
        <ext uri="{3e2802c4-a4d2-4d8b-9148-e3be6c30e623}">
          <xlrd:rvb i="8788"/>
        </ext>
      </extLst>
    </bk>
    <bk>
      <extLst>
        <ext uri="{3e2802c4-a4d2-4d8b-9148-e3be6c30e623}">
          <xlrd:rvb i="8789"/>
        </ext>
      </extLst>
    </bk>
    <bk>
      <extLst>
        <ext uri="{3e2802c4-a4d2-4d8b-9148-e3be6c30e623}">
          <xlrd:rvb i="8790"/>
        </ext>
      </extLst>
    </bk>
    <bk>
      <extLst>
        <ext uri="{3e2802c4-a4d2-4d8b-9148-e3be6c30e623}">
          <xlrd:rvb i="8791"/>
        </ext>
      </extLst>
    </bk>
    <bk>
      <extLst>
        <ext uri="{3e2802c4-a4d2-4d8b-9148-e3be6c30e623}">
          <xlrd:rvb i="8792"/>
        </ext>
      </extLst>
    </bk>
    <bk>
      <extLst>
        <ext uri="{3e2802c4-a4d2-4d8b-9148-e3be6c30e623}">
          <xlrd:rvb i="8793"/>
        </ext>
      </extLst>
    </bk>
    <bk>
      <extLst>
        <ext uri="{3e2802c4-a4d2-4d8b-9148-e3be6c30e623}">
          <xlrd:rvb i="8794"/>
        </ext>
      </extLst>
    </bk>
    <bk>
      <extLst>
        <ext uri="{3e2802c4-a4d2-4d8b-9148-e3be6c30e623}">
          <xlrd:rvb i="8795"/>
        </ext>
      </extLst>
    </bk>
    <bk>
      <extLst>
        <ext uri="{3e2802c4-a4d2-4d8b-9148-e3be6c30e623}">
          <xlrd:rvb i="8796"/>
        </ext>
      </extLst>
    </bk>
    <bk>
      <extLst>
        <ext uri="{3e2802c4-a4d2-4d8b-9148-e3be6c30e623}">
          <xlrd:rvb i="8797"/>
        </ext>
      </extLst>
    </bk>
    <bk>
      <extLst>
        <ext uri="{3e2802c4-a4d2-4d8b-9148-e3be6c30e623}">
          <xlrd:rvb i="8798"/>
        </ext>
      </extLst>
    </bk>
    <bk>
      <extLst>
        <ext uri="{3e2802c4-a4d2-4d8b-9148-e3be6c30e623}">
          <xlrd:rvb i="8799"/>
        </ext>
      </extLst>
    </bk>
    <bk>
      <extLst>
        <ext uri="{3e2802c4-a4d2-4d8b-9148-e3be6c30e623}">
          <xlrd:rvb i="8800"/>
        </ext>
      </extLst>
    </bk>
    <bk>
      <extLst>
        <ext uri="{3e2802c4-a4d2-4d8b-9148-e3be6c30e623}">
          <xlrd:rvb i="8801"/>
        </ext>
      </extLst>
    </bk>
    <bk>
      <extLst>
        <ext uri="{3e2802c4-a4d2-4d8b-9148-e3be6c30e623}">
          <xlrd:rvb i="8802"/>
        </ext>
      </extLst>
    </bk>
    <bk>
      <extLst>
        <ext uri="{3e2802c4-a4d2-4d8b-9148-e3be6c30e623}">
          <xlrd:rvb i="8803"/>
        </ext>
      </extLst>
    </bk>
    <bk>
      <extLst>
        <ext uri="{3e2802c4-a4d2-4d8b-9148-e3be6c30e623}">
          <xlrd:rvb i="8804"/>
        </ext>
      </extLst>
    </bk>
    <bk>
      <extLst>
        <ext uri="{3e2802c4-a4d2-4d8b-9148-e3be6c30e623}">
          <xlrd:rvb i="8805"/>
        </ext>
      </extLst>
    </bk>
    <bk>
      <extLst>
        <ext uri="{3e2802c4-a4d2-4d8b-9148-e3be6c30e623}">
          <xlrd:rvb i="8806"/>
        </ext>
      </extLst>
    </bk>
    <bk>
      <extLst>
        <ext uri="{3e2802c4-a4d2-4d8b-9148-e3be6c30e623}">
          <xlrd:rvb i="8807"/>
        </ext>
      </extLst>
    </bk>
    <bk>
      <extLst>
        <ext uri="{3e2802c4-a4d2-4d8b-9148-e3be6c30e623}">
          <xlrd:rvb i="8808"/>
        </ext>
      </extLst>
    </bk>
    <bk>
      <extLst>
        <ext uri="{3e2802c4-a4d2-4d8b-9148-e3be6c30e623}">
          <xlrd:rvb i="8809"/>
        </ext>
      </extLst>
    </bk>
    <bk>
      <extLst>
        <ext uri="{3e2802c4-a4d2-4d8b-9148-e3be6c30e623}">
          <xlrd:rvb i="8810"/>
        </ext>
      </extLst>
    </bk>
    <bk>
      <extLst>
        <ext uri="{3e2802c4-a4d2-4d8b-9148-e3be6c30e623}">
          <xlrd:rvb i="8811"/>
        </ext>
      </extLst>
    </bk>
    <bk>
      <extLst>
        <ext uri="{3e2802c4-a4d2-4d8b-9148-e3be6c30e623}">
          <xlrd:rvb i="8812"/>
        </ext>
      </extLst>
    </bk>
    <bk>
      <extLst>
        <ext uri="{3e2802c4-a4d2-4d8b-9148-e3be6c30e623}">
          <xlrd:rvb i="8813"/>
        </ext>
      </extLst>
    </bk>
    <bk>
      <extLst>
        <ext uri="{3e2802c4-a4d2-4d8b-9148-e3be6c30e623}">
          <xlrd:rvb i="8814"/>
        </ext>
      </extLst>
    </bk>
    <bk>
      <extLst>
        <ext uri="{3e2802c4-a4d2-4d8b-9148-e3be6c30e623}">
          <xlrd:rvb i="8815"/>
        </ext>
      </extLst>
    </bk>
    <bk>
      <extLst>
        <ext uri="{3e2802c4-a4d2-4d8b-9148-e3be6c30e623}">
          <xlrd:rvb i="8816"/>
        </ext>
      </extLst>
    </bk>
    <bk>
      <extLst>
        <ext uri="{3e2802c4-a4d2-4d8b-9148-e3be6c30e623}">
          <xlrd:rvb i="8817"/>
        </ext>
      </extLst>
    </bk>
    <bk>
      <extLst>
        <ext uri="{3e2802c4-a4d2-4d8b-9148-e3be6c30e623}">
          <xlrd:rvb i="8818"/>
        </ext>
      </extLst>
    </bk>
    <bk>
      <extLst>
        <ext uri="{3e2802c4-a4d2-4d8b-9148-e3be6c30e623}">
          <xlrd:rvb i="8819"/>
        </ext>
      </extLst>
    </bk>
    <bk>
      <extLst>
        <ext uri="{3e2802c4-a4d2-4d8b-9148-e3be6c30e623}">
          <xlrd:rvb i="8820"/>
        </ext>
      </extLst>
    </bk>
    <bk>
      <extLst>
        <ext uri="{3e2802c4-a4d2-4d8b-9148-e3be6c30e623}">
          <xlrd:rvb i="8821"/>
        </ext>
      </extLst>
    </bk>
    <bk>
      <extLst>
        <ext uri="{3e2802c4-a4d2-4d8b-9148-e3be6c30e623}">
          <xlrd:rvb i="8822"/>
        </ext>
      </extLst>
    </bk>
    <bk>
      <extLst>
        <ext uri="{3e2802c4-a4d2-4d8b-9148-e3be6c30e623}">
          <xlrd:rvb i="8823"/>
        </ext>
      </extLst>
    </bk>
    <bk>
      <extLst>
        <ext uri="{3e2802c4-a4d2-4d8b-9148-e3be6c30e623}">
          <xlrd:rvb i="8824"/>
        </ext>
      </extLst>
    </bk>
    <bk>
      <extLst>
        <ext uri="{3e2802c4-a4d2-4d8b-9148-e3be6c30e623}">
          <xlrd:rvb i="8825"/>
        </ext>
      </extLst>
    </bk>
    <bk>
      <extLst>
        <ext uri="{3e2802c4-a4d2-4d8b-9148-e3be6c30e623}">
          <xlrd:rvb i="8826"/>
        </ext>
      </extLst>
    </bk>
    <bk>
      <extLst>
        <ext uri="{3e2802c4-a4d2-4d8b-9148-e3be6c30e623}">
          <xlrd:rvb i="8827"/>
        </ext>
      </extLst>
    </bk>
    <bk>
      <extLst>
        <ext uri="{3e2802c4-a4d2-4d8b-9148-e3be6c30e623}">
          <xlrd:rvb i="8828"/>
        </ext>
      </extLst>
    </bk>
    <bk>
      <extLst>
        <ext uri="{3e2802c4-a4d2-4d8b-9148-e3be6c30e623}">
          <xlrd:rvb i="8829"/>
        </ext>
      </extLst>
    </bk>
    <bk>
      <extLst>
        <ext uri="{3e2802c4-a4d2-4d8b-9148-e3be6c30e623}">
          <xlrd:rvb i="8830"/>
        </ext>
      </extLst>
    </bk>
    <bk>
      <extLst>
        <ext uri="{3e2802c4-a4d2-4d8b-9148-e3be6c30e623}">
          <xlrd:rvb i="8831"/>
        </ext>
      </extLst>
    </bk>
    <bk>
      <extLst>
        <ext uri="{3e2802c4-a4d2-4d8b-9148-e3be6c30e623}">
          <xlrd:rvb i="8832"/>
        </ext>
      </extLst>
    </bk>
    <bk>
      <extLst>
        <ext uri="{3e2802c4-a4d2-4d8b-9148-e3be6c30e623}">
          <xlrd:rvb i="8833"/>
        </ext>
      </extLst>
    </bk>
    <bk>
      <extLst>
        <ext uri="{3e2802c4-a4d2-4d8b-9148-e3be6c30e623}">
          <xlrd:rvb i="8834"/>
        </ext>
      </extLst>
    </bk>
    <bk>
      <extLst>
        <ext uri="{3e2802c4-a4d2-4d8b-9148-e3be6c30e623}">
          <xlrd:rvb i="8835"/>
        </ext>
      </extLst>
    </bk>
    <bk>
      <extLst>
        <ext uri="{3e2802c4-a4d2-4d8b-9148-e3be6c30e623}">
          <xlrd:rvb i="8836"/>
        </ext>
      </extLst>
    </bk>
    <bk>
      <extLst>
        <ext uri="{3e2802c4-a4d2-4d8b-9148-e3be6c30e623}">
          <xlrd:rvb i="8837"/>
        </ext>
      </extLst>
    </bk>
    <bk>
      <extLst>
        <ext uri="{3e2802c4-a4d2-4d8b-9148-e3be6c30e623}">
          <xlrd:rvb i="8838"/>
        </ext>
      </extLst>
    </bk>
    <bk>
      <extLst>
        <ext uri="{3e2802c4-a4d2-4d8b-9148-e3be6c30e623}">
          <xlrd:rvb i="8839"/>
        </ext>
      </extLst>
    </bk>
    <bk>
      <extLst>
        <ext uri="{3e2802c4-a4d2-4d8b-9148-e3be6c30e623}">
          <xlrd:rvb i="8840"/>
        </ext>
      </extLst>
    </bk>
    <bk>
      <extLst>
        <ext uri="{3e2802c4-a4d2-4d8b-9148-e3be6c30e623}">
          <xlrd:rvb i="8841"/>
        </ext>
      </extLst>
    </bk>
    <bk>
      <extLst>
        <ext uri="{3e2802c4-a4d2-4d8b-9148-e3be6c30e623}">
          <xlrd:rvb i="8842"/>
        </ext>
      </extLst>
    </bk>
    <bk>
      <extLst>
        <ext uri="{3e2802c4-a4d2-4d8b-9148-e3be6c30e623}">
          <xlrd:rvb i="8843"/>
        </ext>
      </extLst>
    </bk>
    <bk>
      <extLst>
        <ext uri="{3e2802c4-a4d2-4d8b-9148-e3be6c30e623}">
          <xlrd:rvb i="8844"/>
        </ext>
      </extLst>
    </bk>
    <bk>
      <extLst>
        <ext uri="{3e2802c4-a4d2-4d8b-9148-e3be6c30e623}">
          <xlrd:rvb i="8845"/>
        </ext>
      </extLst>
    </bk>
    <bk>
      <extLst>
        <ext uri="{3e2802c4-a4d2-4d8b-9148-e3be6c30e623}">
          <xlrd:rvb i="8846"/>
        </ext>
      </extLst>
    </bk>
    <bk>
      <extLst>
        <ext uri="{3e2802c4-a4d2-4d8b-9148-e3be6c30e623}">
          <xlrd:rvb i="8847"/>
        </ext>
      </extLst>
    </bk>
    <bk>
      <extLst>
        <ext uri="{3e2802c4-a4d2-4d8b-9148-e3be6c30e623}">
          <xlrd:rvb i="8848"/>
        </ext>
      </extLst>
    </bk>
    <bk>
      <extLst>
        <ext uri="{3e2802c4-a4d2-4d8b-9148-e3be6c30e623}">
          <xlrd:rvb i="8849"/>
        </ext>
      </extLst>
    </bk>
    <bk>
      <extLst>
        <ext uri="{3e2802c4-a4d2-4d8b-9148-e3be6c30e623}">
          <xlrd:rvb i="8850"/>
        </ext>
      </extLst>
    </bk>
    <bk>
      <extLst>
        <ext uri="{3e2802c4-a4d2-4d8b-9148-e3be6c30e623}">
          <xlrd:rvb i="8851"/>
        </ext>
      </extLst>
    </bk>
    <bk>
      <extLst>
        <ext uri="{3e2802c4-a4d2-4d8b-9148-e3be6c30e623}">
          <xlrd:rvb i="8852"/>
        </ext>
      </extLst>
    </bk>
    <bk>
      <extLst>
        <ext uri="{3e2802c4-a4d2-4d8b-9148-e3be6c30e623}">
          <xlrd:rvb i="8853"/>
        </ext>
      </extLst>
    </bk>
    <bk>
      <extLst>
        <ext uri="{3e2802c4-a4d2-4d8b-9148-e3be6c30e623}">
          <xlrd:rvb i="8854"/>
        </ext>
      </extLst>
    </bk>
    <bk>
      <extLst>
        <ext uri="{3e2802c4-a4d2-4d8b-9148-e3be6c30e623}">
          <xlrd:rvb i="8855"/>
        </ext>
      </extLst>
    </bk>
    <bk>
      <extLst>
        <ext uri="{3e2802c4-a4d2-4d8b-9148-e3be6c30e623}">
          <xlrd:rvb i="8856"/>
        </ext>
      </extLst>
    </bk>
    <bk>
      <extLst>
        <ext uri="{3e2802c4-a4d2-4d8b-9148-e3be6c30e623}">
          <xlrd:rvb i="8857"/>
        </ext>
      </extLst>
    </bk>
    <bk>
      <extLst>
        <ext uri="{3e2802c4-a4d2-4d8b-9148-e3be6c30e623}">
          <xlrd:rvb i="8858"/>
        </ext>
      </extLst>
    </bk>
    <bk>
      <extLst>
        <ext uri="{3e2802c4-a4d2-4d8b-9148-e3be6c30e623}">
          <xlrd:rvb i="8859"/>
        </ext>
      </extLst>
    </bk>
    <bk>
      <extLst>
        <ext uri="{3e2802c4-a4d2-4d8b-9148-e3be6c30e623}">
          <xlrd:rvb i="8860"/>
        </ext>
      </extLst>
    </bk>
    <bk>
      <extLst>
        <ext uri="{3e2802c4-a4d2-4d8b-9148-e3be6c30e623}">
          <xlrd:rvb i="8861"/>
        </ext>
      </extLst>
    </bk>
    <bk>
      <extLst>
        <ext uri="{3e2802c4-a4d2-4d8b-9148-e3be6c30e623}">
          <xlrd:rvb i="8862"/>
        </ext>
      </extLst>
    </bk>
    <bk>
      <extLst>
        <ext uri="{3e2802c4-a4d2-4d8b-9148-e3be6c30e623}">
          <xlrd:rvb i="8863"/>
        </ext>
      </extLst>
    </bk>
    <bk>
      <extLst>
        <ext uri="{3e2802c4-a4d2-4d8b-9148-e3be6c30e623}">
          <xlrd:rvb i="8864"/>
        </ext>
      </extLst>
    </bk>
    <bk>
      <extLst>
        <ext uri="{3e2802c4-a4d2-4d8b-9148-e3be6c30e623}">
          <xlrd:rvb i="8865"/>
        </ext>
      </extLst>
    </bk>
    <bk>
      <extLst>
        <ext uri="{3e2802c4-a4d2-4d8b-9148-e3be6c30e623}">
          <xlrd:rvb i="8866"/>
        </ext>
      </extLst>
    </bk>
    <bk>
      <extLst>
        <ext uri="{3e2802c4-a4d2-4d8b-9148-e3be6c30e623}">
          <xlrd:rvb i="8867"/>
        </ext>
      </extLst>
    </bk>
    <bk>
      <extLst>
        <ext uri="{3e2802c4-a4d2-4d8b-9148-e3be6c30e623}">
          <xlrd:rvb i="8868"/>
        </ext>
      </extLst>
    </bk>
    <bk>
      <extLst>
        <ext uri="{3e2802c4-a4d2-4d8b-9148-e3be6c30e623}">
          <xlrd:rvb i="8869"/>
        </ext>
      </extLst>
    </bk>
    <bk>
      <extLst>
        <ext uri="{3e2802c4-a4d2-4d8b-9148-e3be6c30e623}">
          <xlrd:rvb i="8870"/>
        </ext>
      </extLst>
    </bk>
    <bk>
      <extLst>
        <ext uri="{3e2802c4-a4d2-4d8b-9148-e3be6c30e623}">
          <xlrd:rvb i="8871"/>
        </ext>
      </extLst>
    </bk>
    <bk>
      <extLst>
        <ext uri="{3e2802c4-a4d2-4d8b-9148-e3be6c30e623}">
          <xlrd:rvb i="8872"/>
        </ext>
      </extLst>
    </bk>
    <bk>
      <extLst>
        <ext uri="{3e2802c4-a4d2-4d8b-9148-e3be6c30e623}">
          <xlrd:rvb i="8873"/>
        </ext>
      </extLst>
    </bk>
    <bk>
      <extLst>
        <ext uri="{3e2802c4-a4d2-4d8b-9148-e3be6c30e623}">
          <xlrd:rvb i="8874"/>
        </ext>
      </extLst>
    </bk>
    <bk>
      <extLst>
        <ext uri="{3e2802c4-a4d2-4d8b-9148-e3be6c30e623}">
          <xlrd:rvb i="8875"/>
        </ext>
      </extLst>
    </bk>
    <bk>
      <extLst>
        <ext uri="{3e2802c4-a4d2-4d8b-9148-e3be6c30e623}">
          <xlrd:rvb i="8876"/>
        </ext>
      </extLst>
    </bk>
    <bk>
      <extLst>
        <ext uri="{3e2802c4-a4d2-4d8b-9148-e3be6c30e623}">
          <xlrd:rvb i="8877"/>
        </ext>
      </extLst>
    </bk>
    <bk>
      <extLst>
        <ext uri="{3e2802c4-a4d2-4d8b-9148-e3be6c30e623}">
          <xlrd:rvb i="8878"/>
        </ext>
      </extLst>
    </bk>
    <bk>
      <extLst>
        <ext uri="{3e2802c4-a4d2-4d8b-9148-e3be6c30e623}">
          <xlrd:rvb i="8879"/>
        </ext>
      </extLst>
    </bk>
    <bk>
      <extLst>
        <ext uri="{3e2802c4-a4d2-4d8b-9148-e3be6c30e623}">
          <xlrd:rvb i="8880"/>
        </ext>
      </extLst>
    </bk>
    <bk>
      <extLst>
        <ext uri="{3e2802c4-a4d2-4d8b-9148-e3be6c30e623}">
          <xlrd:rvb i="8881"/>
        </ext>
      </extLst>
    </bk>
    <bk>
      <extLst>
        <ext uri="{3e2802c4-a4d2-4d8b-9148-e3be6c30e623}">
          <xlrd:rvb i="8882"/>
        </ext>
      </extLst>
    </bk>
    <bk>
      <extLst>
        <ext uri="{3e2802c4-a4d2-4d8b-9148-e3be6c30e623}">
          <xlrd:rvb i="8883"/>
        </ext>
      </extLst>
    </bk>
    <bk>
      <extLst>
        <ext uri="{3e2802c4-a4d2-4d8b-9148-e3be6c30e623}">
          <xlrd:rvb i="8884"/>
        </ext>
      </extLst>
    </bk>
    <bk>
      <extLst>
        <ext uri="{3e2802c4-a4d2-4d8b-9148-e3be6c30e623}">
          <xlrd:rvb i="8885"/>
        </ext>
      </extLst>
    </bk>
    <bk>
      <extLst>
        <ext uri="{3e2802c4-a4d2-4d8b-9148-e3be6c30e623}">
          <xlrd:rvb i="8886"/>
        </ext>
      </extLst>
    </bk>
    <bk>
      <extLst>
        <ext uri="{3e2802c4-a4d2-4d8b-9148-e3be6c30e623}">
          <xlrd:rvb i="8887"/>
        </ext>
      </extLst>
    </bk>
    <bk>
      <extLst>
        <ext uri="{3e2802c4-a4d2-4d8b-9148-e3be6c30e623}">
          <xlrd:rvb i="8888"/>
        </ext>
      </extLst>
    </bk>
    <bk>
      <extLst>
        <ext uri="{3e2802c4-a4d2-4d8b-9148-e3be6c30e623}">
          <xlrd:rvb i="8889"/>
        </ext>
      </extLst>
    </bk>
    <bk>
      <extLst>
        <ext uri="{3e2802c4-a4d2-4d8b-9148-e3be6c30e623}">
          <xlrd:rvb i="8890"/>
        </ext>
      </extLst>
    </bk>
    <bk>
      <extLst>
        <ext uri="{3e2802c4-a4d2-4d8b-9148-e3be6c30e623}">
          <xlrd:rvb i="8891"/>
        </ext>
      </extLst>
    </bk>
    <bk>
      <extLst>
        <ext uri="{3e2802c4-a4d2-4d8b-9148-e3be6c30e623}">
          <xlrd:rvb i="8892"/>
        </ext>
      </extLst>
    </bk>
    <bk>
      <extLst>
        <ext uri="{3e2802c4-a4d2-4d8b-9148-e3be6c30e623}">
          <xlrd:rvb i="8893"/>
        </ext>
      </extLst>
    </bk>
    <bk>
      <extLst>
        <ext uri="{3e2802c4-a4d2-4d8b-9148-e3be6c30e623}">
          <xlrd:rvb i="8894"/>
        </ext>
      </extLst>
    </bk>
    <bk>
      <extLst>
        <ext uri="{3e2802c4-a4d2-4d8b-9148-e3be6c30e623}">
          <xlrd:rvb i="8895"/>
        </ext>
      </extLst>
    </bk>
    <bk>
      <extLst>
        <ext uri="{3e2802c4-a4d2-4d8b-9148-e3be6c30e623}">
          <xlrd:rvb i="8896"/>
        </ext>
      </extLst>
    </bk>
    <bk>
      <extLst>
        <ext uri="{3e2802c4-a4d2-4d8b-9148-e3be6c30e623}">
          <xlrd:rvb i="8897"/>
        </ext>
      </extLst>
    </bk>
    <bk>
      <extLst>
        <ext uri="{3e2802c4-a4d2-4d8b-9148-e3be6c30e623}">
          <xlrd:rvb i="8898"/>
        </ext>
      </extLst>
    </bk>
    <bk>
      <extLst>
        <ext uri="{3e2802c4-a4d2-4d8b-9148-e3be6c30e623}">
          <xlrd:rvb i="8899"/>
        </ext>
      </extLst>
    </bk>
    <bk>
      <extLst>
        <ext uri="{3e2802c4-a4d2-4d8b-9148-e3be6c30e623}">
          <xlrd:rvb i="8900"/>
        </ext>
      </extLst>
    </bk>
    <bk>
      <extLst>
        <ext uri="{3e2802c4-a4d2-4d8b-9148-e3be6c30e623}">
          <xlrd:rvb i="8901"/>
        </ext>
      </extLst>
    </bk>
    <bk>
      <extLst>
        <ext uri="{3e2802c4-a4d2-4d8b-9148-e3be6c30e623}">
          <xlrd:rvb i="8902"/>
        </ext>
      </extLst>
    </bk>
    <bk>
      <extLst>
        <ext uri="{3e2802c4-a4d2-4d8b-9148-e3be6c30e623}">
          <xlrd:rvb i="8903"/>
        </ext>
      </extLst>
    </bk>
    <bk>
      <extLst>
        <ext uri="{3e2802c4-a4d2-4d8b-9148-e3be6c30e623}">
          <xlrd:rvb i="8904"/>
        </ext>
      </extLst>
    </bk>
    <bk>
      <extLst>
        <ext uri="{3e2802c4-a4d2-4d8b-9148-e3be6c30e623}">
          <xlrd:rvb i="8905"/>
        </ext>
      </extLst>
    </bk>
    <bk>
      <extLst>
        <ext uri="{3e2802c4-a4d2-4d8b-9148-e3be6c30e623}">
          <xlrd:rvb i="8906"/>
        </ext>
      </extLst>
    </bk>
    <bk>
      <extLst>
        <ext uri="{3e2802c4-a4d2-4d8b-9148-e3be6c30e623}">
          <xlrd:rvb i="8907"/>
        </ext>
      </extLst>
    </bk>
    <bk>
      <extLst>
        <ext uri="{3e2802c4-a4d2-4d8b-9148-e3be6c30e623}">
          <xlrd:rvb i="8908"/>
        </ext>
      </extLst>
    </bk>
    <bk>
      <extLst>
        <ext uri="{3e2802c4-a4d2-4d8b-9148-e3be6c30e623}">
          <xlrd:rvb i="8909"/>
        </ext>
      </extLst>
    </bk>
    <bk>
      <extLst>
        <ext uri="{3e2802c4-a4d2-4d8b-9148-e3be6c30e623}">
          <xlrd:rvb i="8910"/>
        </ext>
      </extLst>
    </bk>
    <bk>
      <extLst>
        <ext uri="{3e2802c4-a4d2-4d8b-9148-e3be6c30e623}">
          <xlrd:rvb i="8911"/>
        </ext>
      </extLst>
    </bk>
    <bk>
      <extLst>
        <ext uri="{3e2802c4-a4d2-4d8b-9148-e3be6c30e623}">
          <xlrd:rvb i="8912"/>
        </ext>
      </extLst>
    </bk>
    <bk>
      <extLst>
        <ext uri="{3e2802c4-a4d2-4d8b-9148-e3be6c30e623}">
          <xlrd:rvb i="8913"/>
        </ext>
      </extLst>
    </bk>
    <bk>
      <extLst>
        <ext uri="{3e2802c4-a4d2-4d8b-9148-e3be6c30e623}">
          <xlrd:rvb i="8914"/>
        </ext>
      </extLst>
    </bk>
    <bk>
      <extLst>
        <ext uri="{3e2802c4-a4d2-4d8b-9148-e3be6c30e623}">
          <xlrd:rvb i="8915"/>
        </ext>
      </extLst>
    </bk>
    <bk>
      <extLst>
        <ext uri="{3e2802c4-a4d2-4d8b-9148-e3be6c30e623}">
          <xlrd:rvb i="8916"/>
        </ext>
      </extLst>
    </bk>
    <bk>
      <extLst>
        <ext uri="{3e2802c4-a4d2-4d8b-9148-e3be6c30e623}">
          <xlrd:rvb i="8917"/>
        </ext>
      </extLst>
    </bk>
    <bk>
      <extLst>
        <ext uri="{3e2802c4-a4d2-4d8b-9148-e3be6c30e623}">
          <xlrd:rvb i="8918"/>
        </ext>
      </extLst>
    </bk>
    <bk>
      <extLst>
        <ext uri="{3e2802c4-a4d2-4d8b-9148-e3be6c30e623}">
          <xlrd:rvb i="8919"/>
        </ext>
      </extLst>
    </bk>
    <bk>
      <extLst>
        <ext uri="{3e2802c4-a4d2-4d8b-9148-e3be6c30e623}">
          <xlrd:rvb i="8920"/>
        </ext>
      </extLst>
    </bk>
    <bk>
      <extLst>
        <ext uri="{3e2802c4-a4d2-4d8b-9148-e3be6c30e623}">
          <xlrd:rvb i="8921"/>
        </ext>
      </extLst>
    </bk>
    <bk>
      <extLst>
        <ext uri="{3e2802c4-a4d2-4d8b-9148-e3be6c30e623}">
          <xlrd:rvb i="8922"/>
        </ext>
      </extLst>
    </bk>
    <bk>
      <extLst>
        <ext uri="{3e2802c4-a4d2-4d8b-9148-e3be6c30e623}">
          <xlrd:rvb i="8923"/>
        </ext>
      </extLst>
    </bk>
    <bk>
      <extLst>
        <ext uri="{3e2802c4-a4d2-4d8b-9148-e3be6c30e623}">
          <xlrd:rvb i="8924"/>
        </ext>
      </extLst>
    </bk>
    <bk>
      <extLst>
        <ext uri="{3e2802c4-a4d2-4d8b-9148-e3be6c30e623}">
          <xlrd:rvb i="8925"/>
        </ext>
      </extLst>
    </bk>
    <bk>
      <extLst>
        <ext uri="{3e2802c4-a4d2-4d8b-9148-e3be6c30e623}">
          <xlrd:rvb i="8926"/>
        </ext>
      </extLst>
    </bk>
    <bk>
      <extLst>
        <ext uri="{3e2802c4-a4d2-4d8b-9148-e3be6c30e623}">
          <xlrd:rvb i="8927"/>
        </ext>
      </extLst>
    </bk>
    <bk>
      <extLst>
        <ext uri="{3e2802c4-a4d2-4d8b-9148-e3be6c30e623}">
          <xlrd:rvb i="8928"/>
        </ext>
      </extLst>
    </bk>
    <bk>
      <extLst>
        <ext uri="{3e2802c4-a4d2-4d8b-9148-e3be6c30e623}">
          <xlrd:rvb i="8929"/>
        </ext>
      </extLst>
    </bk>
    <bk>
      <extLst>
        <ext uri="{3e2802c4-a4d2-4d8b-9148-e3be6c30e623}">
          <xlrd:rvb i="8930"/>
        </ext>
      </extLst>
    </bk>
    <bk>
      <extLst>
        <ext uri="{3e2802c4-a4d2-4d8b-9148-e3be6c30e623}">
          <xlrd:rvb i="8931"/>
        </ext>
      </extLst>
    </bk>
    <bk>
      <extLst>
        <ext uri="{3e2802c4-a4d2-4d8b-9148-e3be6c30e623}">
          <xlrd:rvb i="8932"/>
        </ext>
      </extLst>
    </bk>
    <bk>
      <extLst>
        <ext uri="{3e2802c4-a4d2-4d8b-9148-e3be6c30e623}">
          <xlrd:rvb i="8933"/>
        </ext>
      </extLst>
    </bk>
    <bk>
      <extLst>
        <ext uri="{3e2802c4-a4d2-4d8b-9148-e3be6c30e623}">
          <xlrd:rvb i="8934"/>
        </ext>
      </extLst>
    </bk>
    <bk>
      <extLst>
        <ext uri="{3e2802c4-a4d2-4d8b-9148-e3be6c30e623}">
          <xlrd:rvb i="8935"/>
        </ext>
      </extLst>
    </bk>
    <bk>
      <extLst>
        <ext uri="{3e2802c4-a4d2-4d8b-9148-e3be6c30e623}">
          <xlrd:rvb i="8936"/>
        </ext>
      </extLst>
    </bk>
    <bk>
      <extLst>
        <ext uri="{3e2802c4-a4d2-4d8b-9148-e3be6c30e623}">
          <xlrd:rvb i="8937"/>
        </ext>
      </extLst>
    </bk>
    <bk>
      <extLst>
        <ext uri="{3e2802c4-a4d2-4d8b-9148-e3be6c30e623}">
          <xlrd:rvb i="8938"/>
        </ext>
      </extLst>
    </bk>
    <bk>
      <extLst>
        <ext uri="{3e2802c4-a4d2-4d8b-9148-e3be6c30e623}">
          <xlrd:rvb i="8939"/>
        </ext>
      </extLst>
    </bk>
    <bk>
      <extLst>
        <ext uri="{3e2802c4-a4d2-4d8b-9148-e3be6c30e623}">
          <xlrd:rvb i="8940"/>
        </ext>
      </extLst>
    </bk>
    <bk>
      <extLst>
        <ext uri="{3e2802c4-a4d2-4d8b-9148-e3be6c30e623}">
          <xlrd:rvb i="8941"/>
        </ext>
      </extLst>
    </bk>
    <bk>
      <extLst>
        <ext uri="{3e2802c4-a4d2-4d8b-9148-e3be6c30e623}">
          <xlrd:rvb i="8942"/>
        </ext>
      </extLst>
    </bk>
    <bk>
      <extLst>
        <ext uri="{3e2802c4-a4d2-4d8b-9148-e3be6c30e623}">
          <xlrd:rvb i="8943"/>
        </ext>
      </extLst>
    </bk>
    <bk>
      <extLst>
        <ext uri="{3e2802c4-a4d2-4d8b-9148-e3be6c30e623}">
          <xlrd:rvb i="8944"/>
        </ext>
      </extLst>
    </bk>
    <bk>
      <extLst>
        <ext uri="{3e2802c4-a4d2-4d8b-9148-e3be6c30e623}">
          <xlrd:rvb i="8945"/>
        </ext>
      </extLst>
    </bk>
    <bk>
      <extLst>
        <ext uri="{3e2802c4-a4d2-4d8b-9148-e3be6c30e623}">
          <xlrd:rvb i="8946"/>
        </ext>
      </extLst>
    </bk>
    <bk>
      <extLst>
        <ext uri="{3e2802c4-a4d2-4d8b-9148-e3be6c30e623}">
          <xlrd:rvb i="8947"/>
        </ext>
      </extLst>
    </bk>
    <bk>
      <extLst>
        <ext uri="{3e2802c4-a4d2-4d8b-9148-e3be6c30e623}">
          <xlrd:rvb i="8948"/>
        </ext>
      </extLst>
    </bk>
    <bk>
      <extLst>
        <ext uri="{3e2802c4-a4d2-4d8b-9148-e3be6c30e623}">
          <xlrd:rvb i="8949"/>
        </ext>
      </extLst>
    </bk>
    <bk>
      <extLst>
        <ext uri="{3e2802c4-a4d2-4d8b-9148-e3be6c30e623}">
          <xlrd:rvb i="8950"/>
        </ext>
      </extLst>
    </bk>
    <bk>
      <extLst>
        <ext uri="{3e2802c4-a4d2-4d8b-9148-e3be6c30e623}">
          <xlrd:rvb i="8951"/>
        </ext>
      </extLst>
    </bk>
    <bk>
      <extLst>
        <ext uri="{3e2802c4-a4d2-4d8b-9148-e3be6c30e623}">
          <xlrd:rvb i="8952"/>
        </ext>
      </extLst>
    </bk>
    <bk>
      <extLst>
        <ext uri="{3e2802c4-a4d2-4d8b-9148-e3be6c30e623}">
          <xlrd:rvb i="8953"/>
        </ext>
      </extLst>
    </bk>
    <bk>
      <extLst>
        <ext uri="{3e2802c4-a4d2-4d8b-9148-e3be6c30e623}">
          <xlrd:rvb i="8954"/>
        </ext>
      </extLst>
    </bk>
    <bk>
      <extLst>
        <ext uri="{3e2802c4-a4d2-4d8b-9148-e3be6c30e623}">
          <xlrd:rvb i="8955"/>
        </ext>
      </extLst>
    </bk>
    <bk>
      <extLst>
        <ext uri="{3e2802c4-a4d2-4d8b-9148-e3be6c30e623}">
          <xlrd:rvb i="8956"/>
        </ext>
      </extLst>
    </bk>
    <bk>
      <extLst>
        <ext uri="{3e2802c4-a4d2-4d8b-9148-e3be6c30e623}">
          <xlrd:rvb i="8957"/>
        </ext>
      </extLst>
    </bk>
    <bk>
      <extLst>
        <ext uri="{3e2802c4-a4d2-4d8b-9148-e3be6c30e623}">
          <xlrd:rvb i="8958"/>
        </ext>
      </extLst>
    </bk>
    <bk>
      <extLst>
        <ext uri="{3e2802c4-a4d2-4d8b-9148-e3be6c30e623}">
          <xlrd:rvb i="8959"/>
        </ext>
      </extLst>
    </bk>
    <bk>
      <extLst>
        <ext uri="{3e2802c4-a4d2-4d8b-9148-e3be6c30e623}">
          <xlrd:rvb i="8960"/>
        </ext>
      </extLst>
    </bk>
    <bk>
      <extLst>
        <ext uri="{3e2802c4-a4d2-4d8b-9148-e3be6c30e623}">
          <xlrd:rvb i="8961"/>
        </ext>
      </extLst>
    </bk>
    <bk>
      <extLst>
        <ext uri="{3e2802c4-a4d2-4d8b-9148-e3be6c30e623}">
          <xlrd:rvb i="8962"/>
        </ext>
      </extLst>
    </bk>
    <bk>
      <extLst>
        <ext uri="{3e2802c4-a4d2-4d8b-9148-e3be6c30e623}">
          <xlrd:rvb i="8963"/>
        </ext>
      </extLst>
    </bk>
    <bk>
      <extLst>
        <ext uri="{3e2802c4-a4d2-4d8b-9148-e3be6c30e623}">
          <xlrd:rvb i="8964"/>
        </ext>
      </extLst>
    </bk>
    <bk>
      <extLst>
        <ext uri="{3e2802c4-a4d2-4d8b-9148-e3be6c30e623}">
          <xlrd:rvb i="8965"/>
        </ext>
      </extLst>
    </bk>
    <bk>
      <extLst>
        <ext uri="{3e2802c4-a4d2-4d8b-9148-e3be6c30e623}">
          <xlrd:rvb i="8966"/>
        </ext>
      </extLst>
    </bk>
    <bk>
      <extLst>
        <ext uri="{3e2802c4-a4d2-4d8b-9148-e3be6c30e623}">
          <xlrd:rvb i="8967"/>
        </ext>
      </extLst>
    </bk>
    <bk>
      <extLst>
        <ext uri="{3e2802c4-a4d2-4d8b-9148-e3be6c30e623}">
          <xlrd:rvb i="8968"/>
        </ext>
      </extLst>
    </bk>
    <bk>
      <extLst>
        <ext uri="{3e2802c4-a4d2-4d8b-9148-e3be6c30e623}">
          <xlrd:rvb i="8969"/>
        </ext>
      </extLst>
    </bk>
    <bk>
      <extLst>
        <ext uri="{3e2802c4-a4d2-4d8b-9148-e3be6c30e623}">
          <xlrd:rvb i="8970"/>
        </ext>
      </extLst>
    </bk>
    <bk>
      <extLst>
        <ext uri="{3e2802c4-a4d2-4d8b-9148-e3be6c30e623}">
          <xlrd:rvb i="8971"/>
        </ext>
      </extLst>
    </bk>
    <bk>
      <extLst>
        <ext uri="{3e2802c4-a4d2-4d8b-9148-e3be6c30e623}">
          <xlrd:rvb i="8972"/>
        </ext>
      </extLst>
    </bk>
    <bk>
      <extLst>
        <ext uri="{3e2802c4-a4d2-4d8b-9148-e3be6c30e623}">
          <xlrd:rvb i="8973"/>
        </ext>
      </extLst>
    </bk>
    <bk>
      <extLst>
        <ext uri="{3e2802c4-a4d2-4d8b-9148-e3be6c30e623}">
          <xlrd:rvb i="8974"/>
        </ext>
      </extLst>
    </bk>
    <bk>
      <extLst>
        <ext uri="{3e2802c4-a4d2-4d8b-9148-e3be6c30e623}">
          <xlrd:rvb i="8975"/>
        </ext>
      </extLst>
    </bk>
    <bk>
      <extLst>
        <ext uri="{3e2802c4-a4d2-4d8b-9148-e3be6c30e623}">
          <xlrd:rvb i="8976"/>
        </ext>
      </extLst>
    </bk>
    <bk>
      <extLst>
        <ext uri="{3e2802c4-a4d2-4d8b-9148-e3be6c30e623}">
          <xlrd:rvb i="8977"/>
        </ext>
      </extLst>
    </bk>
    <bk>
      <extLst>
        <ext uri="{3e2802c4-a4d2-4d8b-9148-e3be6c30e623}">
          <xlrd:rvb i="8978"/>
        </ext>
      </extLst>
    </bk>
    <bk>
      <extLst>
        <ext uri="{3e2802c4-a4d2-4d8b-9148-e3be6c30e623}">
          <xlrd:rvb i="8979"/>
        </ext>
      </extLst>
    </bk>
    <bk>
      <extLst>
        <ext uri="{3e2802c4-a4d2-4d8b-9148-e3be6c30e623}">
          <xlrd:rvb i="8980"/>
        </ext>
      </extLst>
    </bk>
    <bk>
      <extLst>
        <ext uri="{3e2802c4-a4d2-4d8b-9148-e3be6c30e623}">
          <xlrd:rvb i="8981"/>
        </ext>
      </extLst>
    </bk>
    <bk>
      <extLst>
        <ext uri="{3e2802c4-a4d2-4d8b-9148-e3be6c30e623}">
          <xlrd:rvb i="8982"/>
        </ext>
      </extLst>
    </bk>
    <bk>
      <extLst>
        <ext uri="{3e2802c4-a4d2-4d8b-9148-e3be6c30e623}">
          <xlrd:rvb i="8983"/>
        </ext>
      </extLst>
    </bk>
    <bk>
      <extLst>
        <ext uri="{3e2802c4-a4d2-4d8b-9148-e3be6c30e623}">
          <xlrd:rvb i="8984"/>
        </ext>
      </extLst>
    </bk>
    <bk>
      <extLst>
        <ext uri="{3e2802c4-a4d2-4d8b-9148-e3be6c30e623}">
          <xlrd:rvb i="8985"/>
        </ext>
      </extLst>
    </bk>
    <bk>
      <extLst>
        <ext uri="{3e2802c4-a4d2-4d8b-9148-e3be6c30e623}">
          <xlrd:rvb i="8986"/>
        </ext>
      </extLst>
    </bk>
    <bk>
      <extLst>
        <ext uri="{3e2802c4-a4d2-4d8b-9148-e3be6c30e623}">
          <xlrd:rvb i="8987"/>
        </ext>
      </extLst>
    </bk>
    <bk>
      <extLst>
        <ext uri="{3e2802c4-a4d2-4d8b-9148-e3be6c30e623}">
          <xlrd:rvb i="8988"/>
        </ext>
      </extLst>
    </bk>
    <bk>
      <extLst>
        <ext uri="{3e2802c4-a4d2-4d8b-9148-e3be6c30e623}">
          <xlrd:rvb i="8989"/>
        </ext>
      </extLst>
    </bk>
    <bk>
      <extLst>
        <ext uri="{3e2802c4-a4d2-4d8b-9148-e3be6c30e623}">
          <xlrd:rvb i="8990"/>
        </ext>
      </extLst>
    </bk>
    <bk>
      <extLst>
        <ext uri="{3e2802c4-a4d2-4d8b-9148-e3be6c30e623}">
          <xlrd:rvb i="8991"/>
        </ext>
      </extLst>
    </bk>
    <bk>
      <extLst>
        <ext uri="{3e2802c4-a4d2-4d8b-9148-e3be6c30e623}">
          <xlrd:rvb i="8992"/>
        </ext>
      </extLst>
    </bk>
    <bk>
      <extLst>
        <ext uri="{3e2802c4-a4d2-4d8b-9148-e3be6c30e623}">
          <xlrd:rvb i="8993"/>
        </ext>
      </extLst>
    </bk>
    <bk>
      <extLst>
        <ext uri="{3e2802c4-a4d2-4d8b-9148-e3be6c30e623}">
          <xlrd:rvb i="8994"/>
        </ext>
      </extLst>
    </bk>
    <bk>
      <extLst>
        <ext uri="{3e2802c4-a4d2-4d8b-9148-e3be6c30e623}">
          <xlrd:rvb i="8995"/>
        </ext>
      </extLst>
    </bk>
    <bk>
      <extLst>
        <ext uri="{3e2802c4-a4d2-4d8b-9148-e3be6c30e623}">
          <xlrd:rvb i="8996"/>
        </ext>
      </extLst>
    </bk>
    <bk>
      <extLst>
        <ext uri="{3e2802c4-a4d2-4d8b-9148-e3be6c30e623}">
          <xlrd:rvb i="8997"/>
        </ext>
      </extLst>
    </bk>
    <bk>
      <extLst>
        <ext uri="{3e2802c4-a4d2-4d8b-9148-e3be6c30e623}">
          <xlrd:rvb i="8998"/>
        </ext>
      </extLst>
    </bk>
    <bk>
      <extLst>
        <ext uri="{3e2802c4-a4d2-4d8b-9148-e3be6c30e623}">
          <xlrd:rvb i="8999"/>
        </ext>
      </extLst>
    </bk>
    <bk>
      <extLst>
        <ext uri="{3e2802c4-a4d2-4d8b-9148-e3be6c30e623}">
          <xlrd:rvb i="9000"/>
        </ext>
      </extLst>
    </bk>
    <bk>
      <extLst>
        <ext uri="{3e2802c4-a4d2-4d8b-9148-e3be6c30e623}">
          <xlrd:rvb i="9001"/>
        </ext>
      </extLst>
    </bk>
    <bk>
      <extLst>
        <ext uri="{3e2802c4-a4d2-4d8b-9148-e3be6c30e623}">
          <xlrd:rvb i="9002"/>
        </ext>
      </extLst>
    </bk>
    <bk>
      <extLst>
        <ext uri="{3e2802c4-a4d2-4d8b-9148-e3be6c30e623}">
          <xlrd:rvb i="9003"/>
        </ext>
      </extLst>
    </bk>
    <bk>
      <extLst>
        <ext uri="{3e2802c4-a4d2-4d8b-9148-e3be6c30e623}">
          <xlrd:rvb i="9004"/>
        </ext>
      </extLst>
    </bk>
    <bk>
      <extLst>
        <ext uri="{3e2802c4-a4d2-4d8b-9148-e3be6c30e623}">
          <xlrd:rvb i="9005"/>
        </ext>
      </extLst>
    </bk>
    <bk>
      <extLst>
        <ext uri="{3e2802c4-a4d2-4d8b-9148-e3be6c30e623}">
          <xlrd:rvb i="9006"/>
        </ext>
      </extLst>
    </bk>
    <bk>
      <extLst>
        <ext uri="{3e2802c4-a4d2-4d8b-9148-e3be6c30e623}">
          <xlrd:rvb i="9007"/>
        </ext>
      </extLst>
    </bk>
    <bk>
      <extLst>
        <ext uri="{3e2802c4-a4d2-4d8b-9148-e3be6c30e623}">
          <xlrd:rvb i="9008"/>
        </ext>
      </extLst>
    </bk>
    <bk>
      <extLst>
        <ext uri="{3e2802c4-a4d2-4d8b-9148-e3be6c30e623}">
          <xlrd:rvb i="9009"/>
        </ext>
      </extLst>
    </bk>
    <bk>
      <extLst>
        <ext uri="{3e2802c4-a4d2-4d8b-9148-e3be6c30e623}">
          <xlrd:rvb i="9010"/>
        </ext>
      </extLst>
    </bk>
    <bk>
      <extLst>
        <ext uri="{3e2802c4-a4d2-4d8b-9148-e3be6c30e623}">
          <xlrd:rvb i="9011"/>
        </ext>
      </extLst>
    </bk>
    <bk>
      <extLst>
        <ext uri="{3e2802c4-a4d2-4d8b-9148-e3be6c30e623}">
          <xlrd:rvb i="9012"/>
        </ext>
      </extLst>
    </bk>
    <bk>
      <extLst>
        <ext uri="{3e2802c4-a4d2-4d8b-9148-e3be6c30e623}">
          <xlrd:rvb i="9013"/>
        </ext>
      </extLst>
    </bk>
    <bk>
      <extLst>
        <ext uri="{3e2802c4-a4d2-4d8b-9148-e3be6c30e623}">
          <xlrd:rvb i="9014"/>
        </ext>
      </extLst>
    </bk>
    <bk>
      <extLst>
        <ext uri="{3e2802c4-a4d2-4d8b-9148-e3be6c30e623}">
          <xlrd:rvb i="9015"/>
        </ext>
      </extLst>
    </bk>
    <bk>
      <extLst>
        <ext uri="{3e2802c4-a4d2-4d8b-9148-e3be6c30e623}">
          <xlrd:rvb i="9016"/>
        </ext>
      </extLst>
    </bk>
    <bk>
      <extLst>
        <ext uri="{3e2802c4-a4d2-4d8b-9148-e3be6c30e623}">
          <xlrd:rvb i="9017"/>
        </ext>
      </extLst>
    </bk>
    <bk>
      <extLst>
        <ext uri="{3e2802c4-a4d2-4d8b-9148-e3be6c30e623}">
          <xlrd:rvb i="9018"/>
        </ext>
      </extLst>
    </bk>
    <bk>
      <extLst>
        <ext uri="{3e2802c4-a4d2-4d8b-9148-e3be6c30e623}">
          <xlrd:rvb i="9019"/>
        </ext>
      </extLst>
    </bk>
    <bk>
      <extLst>
        <ext uri="{3e2802c4-a4d2-4d8b-9148-e3be6c30e623}">
          <xlrd:rvb i="9020"/>
        </ext>
      </extLst>
    </bk>
    <bk>
      <extLst>
        <ext uri="{3e2802c4-a4d2-4d8b-9148-e3be6c30e623}">
          <xlrd:rvb i="9021"/>
        </ext>
      </extLst>
    </bk>
    <bk>
      <extLst>
        <ext uri="{3e2802c4-a4d2-4d8b-9148-e3be6c30e623}">
          <xlrd:rvb i="9022"/>
        </ext>
      </extLst>
    </bk>
    <bk>
      <extLst>
        <ext uri="{3e2802c4-a4d2-4d8b-9148-e3be6c30e623}">
          <xlrd:rvb i="9023"/>
        </ext>
      </extLst>
    </bk>
    <bk>
      <extLst>
        <ext uri="{3e2802c4-a4d2-4d8b-9148-e3be6c30e623}">
          <xlrd:rvb i="9024"/>
        </ext>
      </extLst>
    </bk>
    <bk>
      <extLst>
        <ext uri="{3e2802c4-a4d2-4d8b-9148-e3be6c30e623}">
          <xlrd:rvb i="9025"/>
        </ext>
      </extLst>
    </bk>
    <bk>
      <extLst>
        <ext uri="{3e2802c4-a4d2-4d8b-9148-e3be6c30e623}">
          <xlrd:rvb i="9026"/>
        </ext>
      </extLst>
    </bk>
    <bk>
      <extLst>
        <ext uri="{3e2802c4-a4d2-4d8b-9148-e3be6c30e623}">
          <xlrd:rvb i="9027"/>
        </ext>
      </extLst>
    </bk>
    <bk>
      <extLst>
        <ext uri="{3e2802c4-a4d2-4d8b-9148-e3be6c30e623}">
          <xlrd:rvb i="9028"/>
        </ext>
      </extLst>
    </bk>
    <bk>
      <extLst>
        <ext uri="{3e2802c4-a4d2-4d8b-9148-e3be6c30e623}">
          <xlrd:rvb i="9029"/>
        </ext>
      </extLst>
    </bk>
    <bk>
      <extLst>
        <ext uri="{3e2802c4-a4d2-4d8b-9148-e3be6c30e623}">
          <xlrd:rvb i="9030"/>
        </ext>
      </extLst>
    </bk>
    <bk>
      <extLst>
        <ext uri="{3e2802c4-a4d2-4d8b-9148-e3be6c30e623}">
          <xlrd:rvb i="9031"/>
        </ext>
      </extLst>
    </bk>
    <bk>
      <extLst>
        <ext uri="{3e2802c4-a4d2-4d8b-9148-e3be6c30e623}">
          <xlrd:rvb i="9032"/>
        </ext>
      </extLst>
    </bk>
    <bk>
      <extLst>
        <ext uri="{3e2802c4-a4d2-4d8b-9148-e3be6c30e623}">
          <xlrd:rvb i="9033"/>
        </ext>
      </extLst>
    </bk>
    <bk>
      <extLst>
        <ext uri="{3e2802c4-a4d2-4d8b-9148-e3be6c30e623}">
          <xlrd:rvb i="9034"/>
        </ext>
      </extLst>
    </bk>
    <bk>
      <extLst>
        <ext uri="{3e2802c4-a4d2-4d8b-9148-e3be6c30e623}">
          <xlrd:rvb i="9035"/>
        </ext>
      </extLst>
    </bk>
    <bk>
      <extLst>
        <ext uri="{3e2802c4-a4d2-4d8b-9148-e3be6c30e623}">
          <xlrd:rvb i="9036"/>
        </ext>
      </extLst>
    </bk>
    <bk>
      <extLst>
        <ext uri="{3e2802c4-a4d2-4d8b-9148-e3be6c30e623}">
          <xlrd:rvb i="9037"/>
        </ext>
      </extLst>
    </bk>
    <bk>
      <extLst>
        <ext uri="{3e2802c4-a4d2-4d8b-9148-e3be6c30e623}">
          <xlrd:rvb i="9038"/>
        </ext>
      </extLst>
    </bk>
    <bk>
      <extLst>
        <ext uri="{3e2802c4-a4d2-4d8b-9148-e3be6c30e623}">
          <xlrd:rvb i="9039"/>
        </ext>
      </extLst>
    </bk>
    <bk>
      <extLst>
        <ext uri="{3e2802c4-a4d2-4d8b-9148-e3be6c30e623}">
          <xlrd:rvb i="9040"/>
        </ext>
      </extLst>
    </bk>
    <bk>
      <extLst>
        <ext uri="{3e2802c4-a4d2-4d8b-9148-e3be6c30e623}">
          <xlrd:rvb i="9041"/>
        </ext>
      </extLst>
    </bk>
    <bk>
      <extLst>
        <ext uri="{3e2802c4-a4d2-4d8b-9148-e3be6c30e623}">
          <xlrd:rvb i="9042"/>
        </ext>
      </extLst>
    </bk>
    <bk>
      <extLst>
        <ext uri="{3e2802c4-a4d2-4d8b-9148-e3be6c30e623}">
          <xlrd:rvb i="9043"/>
        </ext>
      </extLst>
    </bk>
    <bk>
      <extLst>
        <ext uri="{3e2802c4-a4d2-4d8b-9148-e3be6c30e623}">
          <xlrd:rvb i="9044"/>
        </ext>
      </extLst>
    </bk>
    <bk>
      <extLst>
        <ext uri="{3e2802c4-a4d2-4d8b-9148-e3be6c30e623}">
          <xlrd:rvb i="9045"/>
        </ext>
      </extLst>
    </bk>
    <bk>
      <extLst>
        <ext uri="{3e2802c4-a4d2-4d8b-9148-e3be6c30e623}">
          <xlrd:rvb i="9046"/>
        </ext>
      </extLst>
    </bk>
    <bk>
      <extLst>
        <ext uri="{3e2802c4-a4d2-4d8b-9148-e3be6c30e623}">
          <xlrd:rvb i="9047"/>
        </ext>
      </extLst>
    </bk>
    <bk>
      <extLst>
        <ext uri="{3e2802c4-a4d2-4d8b-9148-e3be6c30e623}">
          <xlrd:rvb i="9048"/>
        </ext>
      </extLst>
    </bk>
    <bk>
      <extLst>
        <ext uri="{3e2802c4-a4d2-4d8b-9148-e3be6c30e623}">
          <xlrd:rvb i="9049"/>
        </ext>
      </extLst>
    </bk>
    <bk>
      <extLst>
        <ext uri="{3e2802c4-a4d2-4d8b-9148-e3be6c30e623}">
          <xlrd:rvb i="9050"/>
        </ext>
      </extLst>
    </bk>
    <bk>
      <extLst>
        <ext uri="{3e2802c4-a4d2-4d8b-9148-e3be6c30e623}">
          <xlrd:rvb i="9051"/>
        </ext>
      </extLst>
    </bk>
    <bk>
      <extLst>
        <ext uri="{3e2802c4-a4d2-4d8b-9148-e3be6c30e623}">
          <xlrd:rvb i="9052"/>
        </ext>
      </extLst>
    </bk>
    <bk>
      <extLst>
        <ext uri="{3e2802c4-a4d2-4d8b-9148-e3be6c30e623}">
          <xlrd:rvb i="9053"/>
        </ext>
      </extLst>
    </bk>
    <bk>
      <extLst>
        <ext uri="{3e2802c4-a4d2-4d8b-9148-e3be6c30e623}">
          <xlrd:rvb i="9054"/>
        </ext>
      </extLst>
    </bk>
    <bk>
      <extLst>
        <ext uri="{3e2802c4-a4d2-4d8b-9148-e3be6c30e623}">
          <xlrd:rvb i="9055"/>
        </ext>
      </extLst>
    </bk>
    <bk>
      <extLst>
        <ext uri="{3e2802c4-a4d2-4d8b-9148-e3be6c30e623}">
          <xlrd:rvb i="9056"/>
        </ext>
      </extLst>
    </bk>
    <bk>
      <extLst>
        <ext uri="{3e2802c4-a4d2-4d8b-9148-e3be6c30e623}">
          <xlrd:rvb i="9057"/>
        </ext>
      </extLst>
    </bk>
    <bk>
      <extLst>
        <ext uri="{3e2802c4-a4d2-4d8b-9148-e3be6c30e623}">
          <xlrd:rvb i="9058"/>
        </ext>
      </extLst>
    </bk>
    <bk>
      <extLst>
        <ext uri="{3e2802c4-a4d2-4d8b-9148-e3be6c30e623}">
          <xlrd:rvb i="9059"/>
        </ext>
      </extLst>
    </bk>
    <bk>
      <extLst>
        <ext uri="{3e2802c4-a4d2-4d8b-9148-e3be6c30e623}">
          <xlrd:rvb i="9060"/>
        </ext>
      </extLst>
    </bk>
    <bk>
      <extLst>
        <ext uri="{3e2802c4-a4d2-4d8b-9148-e3be6c30e623}">
          <xlrd:rvb i="9061"/>
        </ext>
      </extLst>
    </bk>
    <bk>
      <extLst>
        <ext uri="{3e2802c4-a4d2-4d8b-9148-e3be6c30e623}">
          <xlrd:rvb i="9062"/>
        </ext>
      </extLst>
    </bk>
    <bk>
      <extLst>
        <ext uri="{3e2802c4-a4d2-4d8b-9148-e3be6c30e623}">
          <xlrd:rvb i="9063"/>
        </ext>
      </extLst>
    </bk>
    <bk>
      <extLst>
        <ext uri="{3e2802c4-a4d2-4d8b-9148-e3be6c30e623}">
          <xlrd:rvb i="9064"/>
        </ext>
      </extLst>
    </bk>
    <bk>
      <extLst>
        <ext uri="{3e2802c4-a4d2-4d8b-9148-e3be6c30e623}">
          <xlrd:rvb i="9065"/>
        </ext>
      </extLst>
    </bk>
    <bk>
      <extLst>
        <ext uri="{3e2802c4-a4d2-4d8b-9148-e3be6c30e623}">
          <xlrd:rvb i="9066"/>
        </ext>
      </extLst>
    </bk>
    <bk>
      <extLst>
        <ext uri="{3e2802c4-a4d2-4d8b-9148-e3be6c30e623}">
          <xlrd:rvb i="9067"/>
        </ext>
      </extLst>
    </bk>
    <bk>
      <extLst>
        <ext uri="{3e2802c4-a4d2-4d8b-9148-e3be6c30e623}">
          <xlrd:rvb i="9068"/>
        </ext>
      </extLst>
    </bk>
    <bk>
      <extLst>
        <ext uri="{3e2802c4-a4d2-4d8b-9148-e3be6c30e623}">
          <xlrd:rvb i="9069"/>
        </ext>
      </extLst>
    </bk>
    <bk>
      <extLst>
        <ext uri="{3e2802c4-a4d2-4d8b-9148-e3be6c30e623}">
          <xlrd:rvb i="9070"/>
        </ext>
      </extLst>
    </bk>
    <bk>
      <extLst>
        <ext uri="{3e2802c4-a4d2-4d8b-9148-e3be6c30e623}">
          <xlrd:rvb i="9071"/>
        </ext>
      </extLst>
    </bk>
    <bk>
      <extLst>
        <ext uri="{3e2802c4-a4d2-4d8b-9148-e3be6c30e623}">
          <xlrd:rvb i="9072"/>
        </ext>
      </extLst>
    </bk>
    <bk>
      <extLst>
        <ext uri="{3e2802c4-a4d2-4d8b-9148-e3be6c30e623}">
          <xlrd:rvb i="9073"/>
        </ext>
      </extLst>
    </bk>
    <bk>
      <extLst>
        <ext uri="{3e2802c4-a4d2-4d8b-9148-e3be6c30e623}">
          <xlrd:rvb i="9074"/>
        </ext>
      </extLst>
    </bk>
    <bk>
      <extLst>
        <ext uri="{3e2802c4-a4d2-4d8b-9148-e3be6c30e623}">
          <xlrd:rvb i="9075"/>
        </ext>
      </extLst>
    </bk>
    <bk>
      <extLst>
        <ext uri="{3e2802c4-a4d2-4d8b-9148-e3be6c30e623}">
          <xlrd:rvb i="9076"/>
        </ext>
      </extLst>
    </bk>
    <bk>
      <extLst>
        <ext uri="{3e2802c4-a4d2-4d8b-9148-e3be6c30e623}">
          <xlrd:rvb i="9077"/>
        </ext>
      </extLst>
    </bk>
    <bk>
      <extLst>
        <ext uri="{3e2802c4-a4d2-4d8b-9148-e3be6c30e623}">
          <xlrd:rvb i="9078"/>
        </ext>
      </extLst>
    </bk>
    <bk>
      <extLst>
        <ext uri="{3e2802c4-a4d2-4d8b-9148-e3be6c30e623}">
          <xlrd:rvb i="9079"/>
        </ext>
      </extLst>
    </bk>
    <bk>
      <extLst>
        <ext uri="{3e2802c4-a4d2-4d8b-9148-e3be6c30e623}">
          <xlrd:rvb i="9080"/>
        </ext>
      </extLst>
    </bk>
    <bk>
      <extLst>
        <ext uri="{3e2802c4-a4d2-4d8b-9148-e3be6c30e623}">
          <xlrd:rvb i="9081"/>
        </ext>
      </extLst>
    </bk>
    <bk>
      <extLst>
        <ext uri="{3e2802c4-a4d2-4d8b-9148-e3be6c30e623}">
          <xlrd:rvb i="9082"/>
        </ext>
      </extLst>
    </bk>
    <bk>
      <extLst>
        <ext uri="{3e2802c4-a4d2-4d8b-9148-e3be6c30e623}">
          <xlrd:rvb i="9083"/>
        </ext>
      </extLst>
    </bk>
    <bk>
      <extLst>
        <ext uri="{3e2802c4-a4d2-4d8b-9148-e3be6c30e623}">
          <xlrd:rvb i="9084"/>
        </ext>
      </extLst>
    </bk>
    <bk>
      <extLst>
        <ext uri="{3e2802c4-a4d2-4d8b-9148-e3be6c30e623}">
          <xlrd:rvb i="9085"/>
        </ext>
      </extLst>
    </bk>
    <bk>
      <extLst>
        <ext uri="{3e2802c4-a4d2-4d8b-9148-e3be6c30e623}">
          <xlrd:rvb i="9086"/>
        </ext>
      </extLst>
    </bk>
    <bk>
      <extLst>
        <ext uri="{3e2802c4-a4d2-4d8b-9148-e3be6c30e623}">
          <xlrd:rvb i="9087"/>
        </ext>
      </extLst>
    </bk>
    <bk>
      <extLst>
        <ext uri="{3e2802c4-a4d2-4d8b-9148-e3be6c30e623}">
          <xlrd:rvb i="9088"/>
        </ext>
      </extLst>
    </bk>
    <bk>
      <extLst>
        <ext uri="{3e2802c4-a4d2-4d8b-9148-e3be6c30e623}">
          <xlrd:rvb i="9089"/>
        </ext>
      </extLst>
    </bk>
    <bk>
      <extLst>
        <ext uri="{3e2802c4-a4d2-4d8b-9148-e3be6c30e623}">
          <xlrd:rvb i="9090"/>
        </ext>
      </extLst>
    </bk>
    <bk>
      <extLst>
        <ext uri="{3e2802c4-a4d2-4d8b-9148-e3be6c30e623}">
          <xlrd:rvb i="9091"/>
        </ext>
      </extLst>
    </bk>
    <bk>
      <extLst>
        <ext uri="{3e2802c4-a4d2-4d8b-9148-e3be6c30e623}">
          <xlrd:rvb i="9092"/>
        </ext>
      </extLst>
    </bk>
    <bk>
      <extLst>
        <ext uri="{3e2802c4-a4d2-4d8b-9148-e3be6c30e623}">
          <xlrd:rvb i="9093"/>
        </ext>
      </extLst>
    </bk>
    <bk>
      <extLst>
        <ext uri="{3e2802c4-a4d2-4d8b-9148-e3be6c30e623}">
          <xlrd:rvb i="9094"/>
        </ext>
      </extLst>
    </bk>
    <bk>
      <extLst>
        <ext uri="{3e2802c4-a4d2-4d8b-9148-e3be6c30e623}">
          <xlrd:rvb i="9095"/>
        </ext>
      </extLst>
    </bk>
    <bk>
      <extLst>
        <ext uri="{3e2802c4-a4d2-4d8b-9148-e3be6c30e623}">
          <xlrd:rvb i="9096"/>
        </ext>
      </extLst>
    </bk>
    <bk>
      <extLst>
        <ext uri="{3e2802c4-a4d2-4d8b-9148-e3be6c30e623}">
          <xlrd:rvb i="9097"/>
        </ext>
      </extLst>
    </bk>
    <bk>
      <extLst>
        <ext uri="{3e2802c4-a4d2-4d8b-9148-e3be6c30e623}">
          <xlrd:rvb i="9098"/>
        </ext>
      </extLst>
    </bk>
    <bk>
      <extLst>
        <ext uri="{3e2802c4-a4d2-4d8b-9148-e3be6c30e623}">
          <xlrd:rvb i="9099"/>
        </ext>
      </extLst>
    </bk>
    <bk>
      <extLst>
        <ext uri="{3e2802c4-a4d2-4d8b-9148-e3be6c30e623}">
          <xlrd:rvb i="9100"/>
        </ext>
      </extLst>
    </bk>
    <bk>
      <extLst>
        <ext uri="{3e2802c4-a4d2-4d8b-9148-e3be6c30e623}">
          <xlrd:rvb i="9101"/>
        </ext>
      </extLst>
    </bk>
    <bk>
      <extLst>
        <ext uri="{3e2802c4-a4d2-4d8b-9148-e3be6c30e623}">
          <xlrd:rvb i="9102"/>
        </ext>
      </extLst>
    </bk>
    <bk>
      <extLst>
        <ext uri="{3e2802c4-a4d2-4d8b-9148-e3be6c30e623}">
          <xlrd:rvb i="9103"/>
        </ext>
      </extLst>
    </bk>
    <bk>
      <extLst>
        <ext uri="{3e2802c4-a4d2-4d8b-9148-e3be6c30e623}">
          <xlrd:rvb i="9104"/>
        </ext>
      </extLst>
    </bk>
    <bk>
      <extLst>
        <ext uri="{3e2802c4-a4d2-4d8b-9148-e3be6c30e623}">
          <xlrd:rvb i="9105"/>
        </ext>
      </extLst>
    </bk>
    <bk>
      <extLst>
        <ext uri="{3e2802c4-a4d2-4d8b-9148-e3be6c30e623}">
          <xlrd:rvb i="9106"/>
        </ext>
      </extLst>
    </bk>
    <bk>
      <extLst>
        <ext uri="{3e2802c4-a4d2-4d8b-9148-e3be6c30e623}">
          <xlrd:rvb i="9107"/>
        </ext>
      </extLst>
    </bk>
    <bk>
      <extLst>
        <ext uri="{3e2802c4-a4d2-4d8b-9148-e3be6c30e623}">
          <xlrd:rvb i="9108"/>
        </ext>
      </extLst>
    </bk>
    <bk>
      <extLst>
        <ext uri="{3e2802c4-a4d2-4d8b-9148-e3be6c30e623}">
          <xlrd:rvb i="9109"/>
        </ext>
      </extLst>
    </bk>
    <bk>
      <extLst>
        <ext uri="{3e2802c4-a4d2-4d8b-9148-e3be6c30e623}">
          <xlrd:rvb i="9110"/>
        </ext>
      </extLst>
    </bk>
    <bk>
      <extLst>
        <ext uri="{3e2802c4-a4d2-4d8b-9148-e3be6c30e623}">
          <xlrd:rvb i="9111"/>
        </ext>
      </extLst>
    </bk>
    <bk>
      <extLst>
        <ext uri="{3e2802c4-a4d2-4d8b-9148-e3be6c30e623}">
          <xlrd:rvb i="9112"/>
        </ext>
      </extLst>
    </bk>
    <bk>
      <extLst>
        <ext uri="{3e2802c4-a4d2-4d8b-9148-e3be6c30e623}">
          <xlrd:rvb i="9113"/>
        </ext>
      </extLst>
    </bk>
    <bk>
      <extLst>
        <ext uri="{3e2802c4-a4d2-4d8b-9148-e3be6c30e623}">
          <xlrd:rvb i="9114"/>
        </ext>
      </extLst>
    </bk>
    <bk>
      <extLst>
        <ext uri="{3e2802c4-a4d2-4d8b-9148-e3be6c30e623}">
          <xlrd:rvb i="9115"/>
        </ext>
      </extLst>
    </bk>
    <bk>
      <extLst>
        <ext uri="{3e2802c4-a4d2-4d8b-9148-e3be6c30e623}">
          <xlrd:rvb i="9116"/>
        </ext>
      </extLst>
    </bk>
    <bk>
      <extLst>
        <ext uri="{3e2802c4-a4d2-4d8b-9148-e3be6c30e623}">
          <xlrd:rvb i="9117"/>
        </ext>
      </extLst>
    </bk>
    <bk>
      <extLst>
        <ext uri="{3e2802c4-a4d2-4d8b-9148-e3be6c30e623}">
          <xlrd:rvb i="9118"/>
        </ext>
      </extLst>
    </bk>
    <bk>
      <extLst>
        <ext uri="{3e2802c4-a4d2-4d8b-9148-e3be6c30e623}">
          <xlrd:rvb i="9119"/>
        </ext>
      </extLst>
    </bk>
    <bk>
      <extLst>
        <ext uri="{3e2802c4-a4d2-4d8b-9148-e3be6c30e623}">
          <xlrd:rvb i="9120"/>
        </ext>
      </extLst>
    </bk>
    <bk>
      <extLst>
        <ext uri="{3e2802c4-a4d2-4d8b-9148-e3be6c30e623}">
          <xlrd:rvb i="9121"/>
        </ext>
      </extLst>
    </bk>
    <bk>
      <extLst>
        <ext uri="{3e2802c4-a4d2-4d8b-9148-e3be6c30e623}">
          <xlrd:rvb i="9122"/>
        </ext>
      </extLst>
    </bk>
    <bk>
      <extLst>
        <ext uri="{3e2802c4-a4d2-4d8b-9148-e3be6c30e623}">
          <xlrd:rvb i="9123"/>
        </ext>
      </extLst>
    </bk>
    <bk>
      <extLst>
        <ext uri="{3e2802c4-a4d2-4d8b-9148-e3be6c30e623}">
          <xlrd:rvb i="9124"/>
        </ext>
      </extLst>
    </bk>
    <bk>
      <extLst>
        <ext uri="{3e2802c4-a4d2-4d8b-9148-e3be6c30e623}">
          <xlrd:rvb i="9125"/>
        </ext>
      </extLst>
    </bk>
    <bk>
      <extLst>
        <ext uri="{3e2802c4-a4d2-4d8b-9148-e3be6c30e623}">
          <xlrd:rvb i="9126"/>
        </ext>
      </extLst>
    </bk>
    <bk>
      <extLst>
        <ext uri="{3e2802c4-a4d2-4d8b-9148-e3be6c30e623}">
          <xlrd:rvb i="9127"/>
        </ext>
      </extLst>
    </bk>
    <bk>
      <extLst>
        <ext uri="{3e2802c4-a4d2-4d8b-9148-e3be6c30e623}">
          <xlrd:rvb i="9128"/>
        </ext>
      </extLst>
    </bk>
    <bk>
      <extLst>
        <ext uri="{3e2802c4-a4d2-4d8b-9148-e3be6c30e623}">
          <xlrd:rvb i="9129"/>
        </ext>
      </extLst>
    </bk>
    <bk>
      <extLst>
        <ext uri="{3e2802c4-a4d2-4d8b-9148-e3be6c30e623}">
          <xlrd:rvb i="9130"/>
        </ext>
      </extLst>
    </bk>
    <bk>
      <extLst>
        <ext uri="{3e2802c4-a4d2-4d8b-9148-e3be6c30e623}">
          <xlrd:rvb i="9131"/>
        </ext>
      </extLst>
    </bk>
    <bk>
      <extLst>
        <ext uri="{3e2802c4-a4d2-4d8b-9148-e3be6c30e623}">
          <xlrd:rvb i="9132"/>
        </ext>
      </extLst>
    </bk>
    <bk>
      <extLst>
        <ext uri="{3e2802c4-a4d2-4d8b-9148-e3be6c30e623}">
          <xlrd:rvb i="9133"/>
        </ext>
      </extLst>
    </bk>
    <bk>
      <extLst>
        <ext uri="{3e2802c4-a4d2-4d8b-9148-e3be6c30e623}">
          <xlrd:rvb i="9134"/>
        </ext>
      </extLst>
    </bk>
    <bk>
      <extLst>
        <ext uri="{3e2802c4-a4d2-4d8b-9148-e3be6c30e623}">
          <xlrd:rvb i="9135"/>
        </ext>
      </extLst>
    </bk>
    <bk>
      <extLst>
        <ext uri="{3e2802c4-a4d2-4d8b-9148-e3be6c30e623}">
          <xlrd:rvb i="9136"/>
        </ext>
      </extLst>
    </bk>
    <bk>
      <extLst>
        <ext uri="{3e2802c4-a4d2-4d8b-9148-e3be6c30e623}">
          <xlrd:rvb i="9137"/>
        </ext>
      </extLst>
    </bk>
    <bk>
      <extLst>
        <ext uri="{3e2802c4-a4d2-4d8b-9148-e3be6c30e623}">
          <xlrd:rvb i="9138"/>
        </ext>
      </extLst>
    </bk>
    <bk>
      <extLst>
        <ext uri="{3e2802c4-a4d2-4d8b-9148-e3be6c30e623}">
          <xlrd:rvb i="9139"/>
        </ext>
      </extLst>
    </bk>
    <bk>
      <extLst>
        <ext uri="{3e2802c4-a4d2-4d8b-9148-e3be6c30e623}">
          <xlrd:rvb i="9140"/>
        </ext>
      </extLst>
    </bk>
    <bk>
      <extLst>
        <ext uri="{3e2802c4-a4d2-4d8b-9148-e3be6c30e623}">
          <xlrd:rvb i="9141"/>
        </ext>
      </extLst>
    </bk>
    <bk>
      <extLst>
        <ext uri="{3e2802c4-a4d2-4d8b-9148-e3be6c30e623}">
          <xlrd:rvb i="9142"/>
        </ext>
      </extLst>
    </bk>
    <bk>
      <extLst>
        <ext uri="{3e2802c4-a4d2-4d8b-9148-e3be6c30e623}">
          <xlrd:rvb i="9143"/>
        </ext>
      </extLst>
    </bk>
    <bk>
      <extLst>
        <ext uri="{3e2802c4-a4d2-4d8b-9148-e3be6c30e623}">
          <xlrd:rvb i="9144"/>
        </ext>
      </extLst>
    </bk>
    <bk>
      <extLst>
        <ext uri="{3e2802c4-a4d2-4d8b-9148-e3be6c30e623}">
          <xlrd:rvb i="9145"/>
        </ext>
      </extLst>
    </bk>
    <bk>
      <extLst>
        <ext uri="{3e2802c4-a4d2-4d8b-9148-e3be6c30e623}">
          <xlrd:rvb i="9146"/>
        </ext>
      </extLst>
    </bk>
    <bk>
      <extLst>
        <ext uri="{3e2802c4-a4d2-4d8b-9148-e3be6c30e623}">
          <xlrd:rvb i="9147"/>
        </ext>
      </extLst>
    </bk>
    <bk>
      <extLst>
        <ext uri="{3e2802c4-a4d2-4d8b-9148-e3be6c30e623}">
          <xlrd:rvb i="9148"/>
        </ext>
      </extLst>
    </bk>
    <bk>
      <extLst>
        <ext uri="{3e2802c4-a4d2-4d8b-9148-e3be6c30e623}">
          <xlrd:rvb i="9149"/>
        </ext>
      </extLst>
    </bk>
    <bk>
      <extLst>
        <ext uri="{3e2802c4-a4d2-4d8b-9148-e3be6c30e623}">
          <xlrd:rvb i="9150"/>
        </ext>
      </extLst>
    </bk>
    <bk>
      <extLst>
        <ext uri="{3e2802c4-a4d2-4d8b-9148-e3be6c30e623}">
          <xlrd:rvb i="9151"/>
        </ext>
      </extLst>
    </bk>
    <bk>
      <extLst>
        <ext uri="{3e2802c4-a4d2-4d8b-9148-e3be6c30e623}">
          <xlrd:rvb i="9152"/>
        </ext>
      </extLst>
    </bk>
    <bk>
      <extLst>
        <ext uri="{3e2802c4-a4d2-4d8b-9148-e3be6c30e623}">
          <xlrd:rvb i="9153"/>
        </ext>
      </extLst>
    </bk>
    <bk>
      <extLst>
        <ext uri="{3e2802c4-a4d2-4d8b-9148-e3be6c30e623}">
          <xlrd:rvb i="9154"/>
        </ext>
      </extLst>
    </bk>
    <bk>
      <extLst>
        <ext uri="{3e2802c4-a4d2-4d8b-9148-e3be6c30e623}">
          <xlrd:rvb i="9155"/>
        </ext>
      </extLst>
    </bk>
    <bk>
      <extLst>
        <ext uri="{3e2802c4-a4d2-4d8b-9148-e3be6c30e623}">
          <xlrd:rvb i="9156"/>
        </ext>
      </extLst>
    </bk>
    <bk>
      <extLst>
        <ext uri="{3e2802c4-a4d2-4d8b-9148-e3be6c30e623}">
          <xlrd:rvb i="9157"/>
        </ext>
      </extLst>
    </bk>
    <bk>
      <extLst>
        <ext uri="{3e2802c4-a4d2-4d8b-9148-e3be6c30e623}">
          <xlrd:rvb i="9158"/>
        </ext>
      </extLst>
    </bk>
    <bk>
      <extLst>
        <ext uri="{3e2802c4-a4d2-4d8b-9148-e3be6c30e623}">
          <xlrd:rvb i="9159"/>
        </ext>
      </extLst>
    </bk>
    <bk>
      <extLst>
        <ext uri="{3e2802c4-a4d2-4d8b-9148-e3be6c30e623}">
          <xlrd:rvb i="9160"/>
        </ext>
      </extLst>
    </bk>
    <bk>
      <extLst>
        <ext uri="{3e2802c4-a4d2-4d8b-9148-e3be6c30e623}">
          <xlrd:rvb i="9161"/>
        </ext>
      </extLst>
    </bk>
    <bk>
      <extLst>
        <ext uri="{3e2802c4-a4d2-4d8b-9148-e3be6c30e623}">
          <xlrd:rvb i="9162"/>
        </ext>
      </extLst>
    </bk>
    <bk>
      <extLst>
        <ext uri="{3e2802c4-a4d2-4d8b-9148-e3be6c30e623}">
          <xlrd:rvb i="9163"/>
        </ext>
      </extLst>
    </bk>
    <bk>
      <extLst>
        <ext uri="{3e2802c4-a4d2-4d8b-9148-e3be6c30e623}">
          <xlrd:rvb i="9164"/>
        </ext>
      </extLst>
    </bk>
    <bk>
      <extLst>
        <ext uri="{3e2802c4-a4d2-4d8b-9148-e3be6c30e623}">
          <xlrd:rvb i="9165"/>
        </ext>
      </extLst>
    </bk>
    <bk>
      <extLst>
        <ext uri="{3e2802c4-a4d2-4d8b-9148-e3be6c30e623}">
          <xlrd:rvb i="9166"/>
        </ext>
      </extLst>
    </bk>
    <bk>
      <extLst>
        <ext uri="{3e2802c4-a4d2-4d8b-9148-e3be6c30e623}">
          <xlrd:rvb i="9167"/>
        </ext>
      </extLst>
    </bk>
    <bk>
      <extLst>
        <ext uri="{3e2802c4-a4d2-4d8b-9148-e3be6c30e623}">
          <xlrd:rvb i="9168"/>
        </ext>
      </extLst>
    </bk>
    <bk>
      <extLst>
        <ext uri="{3e2802c4-a4d2-4d8b-9148-e3be6c30e623}">
          <xlrd:rvb i="9169"/>
        </ext>
      </extLst>
    </bk>
    <bk>
      <extLst>
        <ext uri="{3e2802c4-a4d2-4d8b-9148-e3be6c30e623}">
          <xlrd:rvb i="9170"/>
        </ext>
      </extLst>
    </bk>
    <bk>
      <extLst>
        <ext uri="{3e2802c4-a4d2-4d8b-9148-e3be6c30e623}">
          <xlrd:rvb i="9171"/>
        </ext>
      </extLst>
    </bk>
    <bk>
      <extLst>
        <ext uri="{3e2802c4-a4d2-4d8b-9148-e3be6c30e623}">
          <xlrd:rvb i="9172"/>
        </ext>
      </extLst>
    </bk>
    <bk>
      <extLst>
        <ext uri="{3e2802c4-a4d2-4d8b-9148-e3be6c30e623}">
          <xlrd:rvb i="9173"/>
        </ext>
      </extLst>
    </bk>
    <bk>
      <extLst>
        <ext uri="{3e2802c4-a4d2-4d8b-9148-e3be6c30e623}">
          <xlrd:rvb i="9174"/>
        </ext>
      </extLst>
    </bk>
    <bk>
      <extLst>
        <ext uri="{3e2802c4-a4d2-4d8b-9148-e3be6c30e623}">
          <xlrd:rvb i="9175"/>
        </ext>
      </extLst>
    </bk>
    <bk>
      <extLst>
        <ext uri="{3e2802c4-a4d2-4d8b-9148-e3be6c30e623}">
          <xlrd:rvb i="9176"/>
        </ext>
      </extLst>
    </bk>
    <bk>
      <extLst>
        <ext uri="{3e2802c4-a4d2-4d8b-9148-e3be6c30e623}">
          <xlrd:rvb i="9177"/>
        </ext>
      </extLst>
    </bk>
    <bk>
      <extLst>
        <ext uri="{3e2802c4-a4d2-4d8b-9148-e3be6c30e623}">
          <xlrd:rvb i="9178"/>
        </ext>
      </extLst>
    </bk>
    <bk>
      <extLst>
        <ext uri="{3e2802c4-a4d2-4d8b-9148-e3be6c30e623}">
          <xlrd:rvb i="9179"/>
        </ext>
      </extLst>
    </bk>
    <bk>
      <extLst>
        <ext uri="{3e2802c4-a4d2-4d8b-9148-e3be6c30e623}">
          <xlrd:rvb i="9180"/>
        </ext>
      </extLst>
    </bk>
    <bk>
      <extLst>
        <ext uri="{3e2802c4-a4d2-4d8b-9148-e3be6c30e623}">
          <xlrd:rvb i="9181"/>
        </ext>
      </extLst>
    </bk>
    <bk>
      <extLst>
        <ext uri="{3e2802c4-a4d2-4d8b-9148-e3be6c30e623}">
          <xlrd:rvb i="9182"/>
        </ext>
      </extLst>
    </bk>
    <bk>
      <extLst>
        <ext uri="{3e2802c4-a4d2-4d8b-9148-e3be6c30e623}">
          <xlrd:rvb i="9183"/>
        </ext>
      </extLst>
    </bk>
    <bk>
      <extLst>
        <ext uri="{3e2802c4-a4d2-4d8b-9148-e3be6c30e623}">
          <xlrd:rvb i="9184"/>
        </ext>
      </extLst>
    </bk>
    <bk>
      <extLst>
        <ext uri="{3e2802c4-a4d2-4d8b-9148-e3be6c30e623}">
          <xlrd:rvb i="9185"/>
        </ext>
      </extLst>
    </bk>
    <bk>
      <extLst>
        <ext uri="{3e2802c4-a4d2-4d8b-9148-e3be6c30e623}">
          <xlrd:rvb i="9186"/>
        </ext>
      </extLst>
    </bk>
    <bk>
      <extLst>
        <ext uri="{3e2802c4-a4d2-4d8b-9148-e3be6c30e623}">
          <xlrd:rvb i="9187"/>
        </ext>
      </extLst>
    </bk>
    <bk>
      <extLst>
        <ext uri="{3e2802c4-a4d2-4d8b-9148-e3be6c30e623}">
          <xlrd:rvb i="9188"/>
        </ext>
      </extLst>
    </bk>
    <bk>
      <extLst>
        <ext uri="{3e2802c4-a4d2-4d8b-9148-e3be6c30e623}">
          <xlrd:rvb i="9189"/>
        </ext>
      </extLst>
    </bk>
    <bk>
      <extLst>
        <ext uri="{3e2802c4-a4d2-4d8b-9148-e3be6c30e623}">
          <xlrd:rvb i="9190"/>
        </ext>
      </extLst>
    </bk>
    <bk>
      <extLst>
        <ext uri="{3e2802c4-a4d2-4d8b-9148-e3be6c30e623}">
          <xlrd:rvb i="9191"/>
        </ext>
      </extLst>
    </bk>
    <bk>
      <extLst>
        <ext uri="{3e2802c4-a4d2-4d8b-9148-e3be6c30e623}">
          <xlrd:rvb i="9192"/>
        </ext>
      </extLst>
    </bk>
    <bk>
      <extLst>
        <ext uri="{3e2802c4-a4d2-4d8b-9148-e3be6c30e623}">
          <xlrd:rvb i="9193"/>
        </ext>
      </extLst>
    </bk>
    <bk>
      <extLst>
        <ext uri="{3e2802c4-a4d2-4d8b-9148-e3be6c30e623}">
          <xlrd:rvb i="9194"/>
        </ext>
      </extLst>
    </bk>
    <bk>
      <extLst>
        <ext uri="{3e2802c4-a4d2-4d8b-9148-e3be6c30e623}">
          <xlrd:rvb i="9195"/>
        </ext>
      </extLst>
    </bk>
    <bk>
      <extLst>
        <ext uri="{3e2802c4-a4d2-4d8b-9148-e3be6c30e623}">
          <xlrd:rvb i="9196"/>
        </ext>
      </extLst>
    </bk>
    <bk>
      <extLst>
        <ext uri="{3e2802c4-a4d2-4d8b-9148-e3be6c30e623}">
          <xlrd:rvb i="9197"/>
        </ext>
      </extLst>
    </bk>
    <bk>
      <extLst>
        <ext uri="{3e2802c4-a4d2-4d8b-9148-e3be6c30e623}">
          <xlrd:rvb i="9198"/>
        </ext>
      </extLst>
    </bk>
    <bk>
      <extLst>
        <ext uri="{3e2802c4-a4d2-4d8b-9148-e3be6c30e623}">
          <xlrd:rvb i="9199"/>
        </ext>
      </extLst>
    </bk>
    <bk>
      <extLst>
        <ext uri="{3e2802c4-a4d2-4d8b-9148-e3be6c30e623}">
          <xlrd:rvb i="9200"/>
        </ext>
      </extLst>
    </bk>
    <bk>
      <extLst>
        <ext uri="{3e2802c4-a4d2-4d8b-9148-e3be6c30e623}">
          <xlrd:rvb i="9201"/>
        </ext>
      </extLst>
    </bk>
    <bk>
      <extLst>
        <ext uri="{3e2802c4-a4d2-4d8b-9148-e3be6c30e623}">
          <xlrd:rvb i="9202"/>
        </ext>
      </extLst>
    </bk>
    <bk>
      <extLst>
        <ext uri="{3e2802c4-a4d2-4d8b-9148-e3be6c30e623}">
          <xlrd:rvb i="9203"/>
        </ext>
      </extLst>
    </bk>
    <bk>
      <extLst>
        <ext uri="{3e2802c4-a4d2-4d8b-9148-e3be6c30e623}">
          <xlrd:rvb i="9204"/>
        </ext>
      </extLst>
    </bk>
    <bk>
      <extLst>
        <ext uri="{3e2802c4-a4d2-4d8b-9148-e3be6c30e623}">
          <xlrd:rvb i="9205"/>
        </ext>
      </extLst>
    </bk>
    <bk>
      <extLst>
        <ext uri="{3e2802c4-a4d2-4d8b-9148-e3be6c30e623}">
          <xlrd:rvb i="9206"/>
        </ext>
      </extLst>
    </bk>
    <bk>
      <extLst>
        <ext uri="{3e2802c4-a4d2-4d8b-9148-e3be6c30e623}">
          <xlrd:rvb i="9207"/>
        </ext>
      </extLst>
    </bk>
    <bk>
      <extLst>
        <ext uri="{3e2802c4-a4d2-4d8b-9148-e3be6c30e623}">
          <xlrd:rvb i="9208"/>
        </ext>
      </extLst>
    </bk>
    <bk>
      <extLst>
        <ext uri="{3e2802c4-a4d2-4d8b-9148-e3be6c30e623}">
          <xlrd:rvb i="9209"/>
        </ext>
      </extLst>
    </bk>
    <bk>
      <extLst>
        <ext uri="{3e2802c4-a4d2-4d8b-9148-e3be6c30e623}">
          <xlrd:rvb i="9210"/>
        </ext>
      </extLst>
    </bk>
    <bk>
      <extLst>
        <ext uri="{3e2802c4-a4d2-4d8b-9148-e3be6c30e623}">
          <xlrd:rvb i="9211"/>
        </ext>
      </extLst>
    </bk>
    <bk>
      <extLst>
        <ext uri="{3e2802c4-a4d2-4d8b-9148-e3be6c30e623}">
          <xlrd:rvb i="9212"/>
        </ext>
      </extLst>
    </bk>
    <bk>
      <extLst>
        <ext uri="{3e2802c4-a4d2-4d8b-9148-e3be6c30e623}">
          <xlrd:rvb i="9213"/>
        </ext>
      </extLst>
    </bk>
    <bk>
      <extLst>
        <ext uri="{3e2802c4-a4d2-4d8b-9148-e3be6c30e623}">
          <xlrd:rvb i="9214"/>
        </ext>
      </extLst>
    </bk>
    <bk>
      <extLst>
        <ext uri="{3e2802c4-a4d2-4d8b-9148-e3be6c30e623}">
          <xlrd:rvb i="9215"/>
        </ext>
      </extLst>
    </bk>
    <bk>
      <extLst>
        <ext uri="{3e2802c4-a4d2-4d8b-9148-e3be6c30e623}">
          <xlrd:rvb i="9216"/>
        </ext>
      </extLst>
    </bk>
    <bk>
      <extLst>
        <ext uri="{3e2802c4-a4d2-4d8b-9148-e3be6c30e623}">
          <xlrd:rvb i="9217"/>
        </ext>
      </extLst>
    </bk>
    <bk>
      <extLst>
        <ext uri="{3e2802c4-a4d2-4d8b-9148-e3be6c30e623}">
          <xlrd:rvb i="9218"/>
        </ext>
      </extLst>
    </bk>
    <bk>
      <extLst>
        <ext uri="{3e2802c4-a4d2-4d8b-9148-e3be6c30e623}">
          <xlrd:rvb i="9219"/>
        </ext>
      </extLst>
    </bk>
    <bk>
      <extLst>
        <ext uri="{3e2802c4-a4d2-4d8b-9148-e3be6c30e623}">
          <xlrd:rvb i="9220"/>
        </ext>
      </extLst>
    </bk>
    <bk>
      <extLst>
        <ext uri="{3e2802c4-a4d2-4d8b-9148-e3be6c30e623}">
          <xlrd:rvb i="9221"/>
        </ext>
      </extLst>
    </bk>
    <bk>
      <extLst>
        <ext uri="{3e2802c4-a4d2-4d8b-9148-e3be6c30e623}">
          <xlrd:rvb i="9222"/>
        </ext>
      </extLst>
    </bk>
    <bk>
      <extLst>
        <ext uri="{3e2802c4-a4d2-4d8b-9148-e3be6c30e623}">
          <xlrd:rvb i="9223"/>
        </ext>
      </extLst>
    </bk>
    <bk>
      <extLst>
        <ext uri="{3e2802c4-a4d2-4d8b-9148-e3be6c30e623}">
          <xlrd:rvb i="9224"/>
        </ext>
      </extLst>
    </bk>
    <bk>
      <extLst>
        <ext uri="{3e2802c4-a4d2-4d8b-9148-e3be6c30e623}">
          <xlrd:rvb i="9225"/>
        </ext>
      </extLst>
    </bk>
    <bk>
      <extLst>
        <ext uri="{3e2802c4-a4d2-4d8b-9148-e3be6c30e623}">
          <xlrd:rvb i="9226"/>
        </ext>
      </extLst>
    </bk>
    <bk>
      <extLst>
        <ext uri="{3e2802c4-a4d2-4d8b-9148-e3be6c30e623}">
          <xlrd:rvb i="9227"/>
        </ext>
      </extLst>
    </bk>
    <bk>
      <extLst>
        <ext uri="{3e2802c4-a4d2-4d8b-9148-e3be6c30e623}">
          <xlrd:rvb i="9228"/>
        </ext>
      </extLst>
    </bk>
    <bk>
      <extLst>
        <ext uri="{3e2802c4-a4d2-4d8b-9148-e3be6c30e623}">
          <xlrd:rvb i="9229"/>
        </ext>
      </extLst>
    </bk>
    <bk>
      <extLst>
        <ext uri="{3e2802c4-a4d2-4d8b-9148-e3be6c30e623}">
          <xlrd:rvb i="9230"/>
        </ext>
      </extLst>
    </bk>
    <bk>
      <extLst>
        <ext uri="{3e2802c4-a4d2-4d8b-9148-e3be6c30e623}">
          <xlrd:rvb i="9231"/>
        </ext>
      </extLst>
    </bk>
    <bk>
      <extLst>
        <ext uri="{3e2802c4-a4d2-4d8b-9148-e3be6c30e623}">
          <xlrd:rvb i="9232"/>
        </ext>
      </extLst>
    </bk>
    <bk>
      <extLst>
        <ext uri="{3e2802c4-a4d2-4d8b-9148-e3be6c30e623}">
          <xlrd:rvb i="9233"/>
        </ext>
      </extLst>
    </bk>
    <bk>
      <extLst>
        <ext uri="{3e2802c4-a4d2-4d8b-9148-e3be6c30e623}">
          <xlrd:rvb i="9234"/>
        </ext>
      </extLst>
    </bk>
    <bk>
      <extLst>
        <ext uri="{3e2802c4-a4d2-4d8b-9148-e3be6c30e623}">
          <xlrd:rvb i="9235"/>
        </ext>
      </extLst>
    </bk>
    <bk>
      <extLst>
        <ext uri="{3e2802c4-a4d2-4d8b-9148-e3be6c30e623}">
          <xlrd:rvb i="9236"/>
        </ext>
      </extLst>
    </bk>
    <bk>
      <extLst>
        <ext uri="{3e2802c4-a4d2-4d8b-9148-e3be6c30e623}">
          <xlrd:rvb i="9237"/>
        </ext>
      </extLst>
    </bk>
    <bk>
      <extLst>
        <ext uri="{3e2802c4-a4d2-4d8b-9148-e3be6c30e623}">
          <xlrd:rvb i="9238"/>
        </ext>
      </extLst>
    </bk>
    <bk>
      <extLst>
        <ext uri="{3e2802c4-a4d2-4d8b-9148-e3be6c30e623}">
          <xlrd:rvb i="9239"/>
        </ext>
      </extLst>
    </bk>
    <bk>
      <extLst>
        <ext uri="{3e2802c4-a4d2-4d8b-9148-e3be6c30e623}">
          <xlrd:rvb i="9240"/>
        </ext>
      </extLst>
    </bk>
    <bk>
      <extLst>
        <ext uri="{3e2802c4-a4d2-4d8b-9148-e3be6c30e623}">
          <xlrd:rvb i="9241"/>
        </ext>
      </extLst>
    </bk>
    <bk>
      <extLst>
        <ext uri="{3e2802c4-a4d2-4d8b-9148-e3be6c30e623}">
          <xlrd:rvb i="9242"/>
        </ext>
      </extLst>
    </bk>
    <bk>
      <extLst>
        <ext uri="{3e2802c4-a4d2-4d8b-9148-e3be6c30e623}">
          <xlrd:rvb i="9243"/>
        </ext>
      </extLst>
    </bk>
    <bk>
      <extLst>
        <ext uri="{3e2802c4-a4d2-4d8b-9148-e3be6c30e623}">
          <xlrd:rvb i="9244"/>
        </ext>
      </extLst>
    </bk>
    <bk>
      <extLst>
        <ext uri="{3e2802c4-a4d2-4d8b-9148-e3be6c30e623}">
          <xlrd:rvb i="9245"/>
        </ext>
      </extLst>
    </bk>
    <bk>
      <extLst>
        <ext uri="{3e2802c4-a4d2-4d8b-9148-e3be6c30e623}">
          <xlrd:rvb i="9246"/>
        </ext>
      </extLst>
    </bk>
    <bk>
      <extLst>
        <ext uri="{3e2802c4-a4d2-4d8b-9148-e3be6c30e623}">
          <xlrd:rvb i="9247"/>
        </ext>
      </extLst>
    </bk>
    <bk>
      <extLst>
        <ext uri="{3e2802c4-a4d2-4d8b-9148-e3be6c30e623}">
          <xlrd:rvb i="9248"/>
        </ext>
      </extLst>
    </bk>
    <bk>
      <extLst>
        <ext uri="{3e2802c4-a4d2-4d8b-9148-e3be6c30e623}">
          <xlrd:rvb i="9249"/>
        </ext>
      </extLst>
    </bk>
    <bk>
      <extLst>
        <ext uri="{3e2802c4-a4d2-4d8b-9148-e3be6c30e623}">
          <xlrd:rvb i="9250"/>
        </ext>
      </extLst>
    </bk>
    <bk>
      <extLst>
        <ext uri="{3e2802c4-a4d2-4d8b-9148-e3be6c30e623}">
          <xlrd:rvb i="9251"/>
        </ext>
      </extLst>
    </bk>
    <bk>
      <extLst>
        <ext uri="{3e2802c4-a4d2-4d8b-9148-e3be6c30e623}">
          <xlrd:rvb i="9252"/>
        </ext>
      </extLst>
    </bk>
    <bk>
      <extLst>
        <ext uri="{3e2802c4-a4d2-4d8b-9148-e3be6c30e623}">
          <xlrd:rvb i="9253"/>
        </ext>
      </extLst>
    </bk>
    <bk>
      <extLst>
        <ext uri="{3e2802c4-a4d2-4d8b-9148-e3be6c30e623}">
          <xlrd:rvb i="9254"/>
        </ext>
      </extLst>
    </bk>
    <bk>
      <extLst>
        <ext uri="{3e2802c4-a4d2-4d8b-9148-e3be6c30e623}">
          <xlrd:rvb i="9255"/>
        </ext>
      </extLst>
    </bk>
    <bk>
      <extLst>
        <ext uri="{3e2802c4-a4d2-4d8b-9148-e3be6c30e623}">
          <xlrd:rvb i="9256"/>
        </ext>
      </extLst>
    </bk>
    <bk>
      <extLst>
        <ext uri="{3e2802c4-a4d2-4d8b-9148-e3be6c30e623}">
          <xlrd:rvb i="9257"/>
        </ext>
      </extLst>
    </bk>
    <bk>
      <extLst>
        <ext uri="{3e2802c4-a4d2-4d8b-9148-e3be6c30e623}">
          <xlrd:rvb i="9258"/>
        </ext>
      </extLst>
    </bk>
    <bk>
      <extLst>
        <ext uri="{3e2802c4-a4d2-4d8b-9148-e3be6c30e623}">
          <xlrd:rvb i="9259"/>
        </ext>
      </extLst>
    </bk>
    <bk>
      <extLst>
        <ext uri="{3e2802c4-a4d2-4d8b-9148-e3be6c30e623}">
          <xlrd:rvb i="9260"/>
        </ext>
      </extLst>
    </bk>
    <bk>
      <extLst>
        <ext uri="{3e2802c4-a4d2-4d8b-9148-e3be6c30e623}">
          <xlrd:rvb i="9261"/>
        </ext>
      </extLst>
    </bk>
    <bk>
      <extLst>
        <ext uri="{3e2802c4-a4d2-4d8b-9148-e3be6c30e623}">
          <xlrd:rvb i="9262"/>
        </ext>
      </extLst>
    </bk>
    <bk>
      <extLst>
        <ext uri="{3e2802c4-a4d2-4d8b-9148-e3be6c30e623}">
          <xlrd:rvb i="9263"/>
        </ext>
      </extLst>
    </bk>
    <bk>
      <extLst>
        <ext uri="{3e2802c4-a4d2-4d8b-9148-e3be6c30e623}">
          <xlrd:rvb i="9264"/>
        </ext>
      </extLst>
    </bk>
    <bk>
      <extLst>
        <ext uri="{3e2802c4-a4d2-4d8b-9148-e3be6c30e623}">
          <xlrd:rvb i="9265"/>
        </ext>
      </extLst>
    </bk>
    <bk>
      <extLst>
        <ext uri="{3e2802c4-a4d2-4d8b-9148-e3be6c30e623}">
          <xlrd:rvb i="9266"/>
        </ext>
      </extLst>
    </bk>
    <bk>
      <extLst>
        <ext uri="{3e2802c4-a4d2-4d8b-9148-e3be6c30e623}">
          <xlrd:rvb i="9267"/>
        </ext>
      </extLst>
    </bk>
    <bk>
      <extLst>
        <ext uri="{3e2802c4-a4d2-4d8b-9148-e3be6c30e623}">
          <xlrd:rvb i="9268"/>
        </ext>
      </extLst>
    </bk>
    <bk>
      <extLst>
        <ext uri="{3e2802c4-a4d2-4d8b-9148-e3be6c30e623}">
          <xlrd:rvb i="9269"/>
        </ext>
      </extLst>
    </bk>
    <bk>
      <extLst>
        <ext uri="{3e2802c4-a4d2-4d8b-9148-e3be6c30e623}">
          <xlrd:rvb i="9270"/>
        </ext>
      </extLst>
    </bk>
    <bk>
      <extLst>
        <ext uri="{3e2802c4-a4d2-4d8b-9148-e3be6c30e623}">
          <xlrd:rvb i="9271"/>
        </ext>
      </extLst>
    </bk>
    <bk>
      <extLst>
        <ext uri="{3e2802c4-a4d2-4d8b-9148-e3be6c30e623}">
          <xlrd:rvb i="9272"/>
        </ext>
      </extLst>
    </bk>
    <bk>
      <extLst>
        <ext uri="{3e2802c4-a4d2-4d8b-9148-e3be6c30e623}">
          <xlrd:rvb i="9273"/>
        </ext>
      </extLst>
    </bk>
    <bk>
      <extLst>
        <ext uri="{3e2802c4-a4d2-4d8b-9148-e3be6c30e623}">
          <xlrd:rvb i="9274"/>
        </ext>
      </extLst>
    </bk>
    <bk>
      <extLst>
        <ext uri="{3e2802c4-a4d2-4d8b-9148-e3be6c30e623}">
          <xlrd:rvb i="9275"/>
        </ext>
      </extLst>
    </bk>
    <bk>
      <extLst>
        <ext uri="{3e2802c4-a4d2-4d8b-9148-e3be6c30e623}">
          <xlrd:rvb i="9276"/>
        </ext>
      </extLst>
    </bk>
    <bk>
      <extLst>
        <ext uri="{3e2802c4-a4d2-4d8b-9148-e3be6c30e623}">
          <xlrd:rvb i="9277"/>
        </ext>
      </extLst>
    </bk>
    <bk>
      <extLst>
        <ext uri="{3e2802c4-a4d2-4d8b-9148-e3be6c30e623}">
          <xlrd:rvb i="9278"/>
        </ext>
      </extLst>
    </bk>
    <bk>
      <extLst>
        <ext uri="{3e2802c4-a4d2-4d8b-9148-e3be6c30e623}">
          <xlrd:rvb i="9279"/>
        </ext>
      </extLst>
    </bk>
    <bk>
      <extLst>
        <ext uri="{3e2802c4-a4d2-4d8b-9148-e3be6c30e623}">
          <xlrd:rvb i="9280"/>
        </ext>
      </extLst>
    </bk>
    <bk>
      <extLst>
        <ext uri="{3e2802c4-a4d2-4d8b-9148-e3be6c30e623}">
          <xlrd:rvb i="9281"/>
        </ext>
      </extLst>
    </bk>
    <bk>
      <extLst>
        <ext uri="{3e2802c4-a4d2-4d8b-9148-e3be6c30e623}">
          <xlrd:rvb i="9282"/>
        </ext>
      </extLst>
    </bk>
    <bk>
      <extLst>
        <ext uri="{3e2802c4-a4d2-4d8b-9148-e3be6c30e623}">
          <xlrd:rvb i="9283"/>
        </ext>
      </extLst>
    </bk>
    <bk>
      <extLst>
        <ext uri="{3e2802c4-a4d2-4d8b-9148-e3be6c30e623}">
          <xlrd:rvb i="9284"/>
        </ext>
      </extLst>
    </bk>
    <bk>
      <extLst>
        <ext uri="{3e2802c4-a4d2-4d8b-9148-e3be6c30e623}">
          <xlrd:rvb i="9285"/>
        </ext>
      </extLst>
    </bk>
    <bk>
      <extLst>
        <ext uri="{3e2802c4-a4d2-4d8b-9148-e3be6c30e623}">
          <xlrd:rvb i="9286"/>
        </ext>
      </extLst>
    </bk>
    <bk>
      <extLst>
        <ext uri="{3e2802c4-a4d2-4d8b-9148-e3be6c30e623}">
          <xlrd:rvb i="9287"/>
        </ext>
      </extLst>
    </bk>
    <bk>
      <extLst>
        <ext uri="{3e2802c4-a4d2-4d8b-9148-e3be6c30e623}">
          <xlrd:rvb i="9288"/>
        </ext>
      </extLst>
    </bk>
    <bk>
      <extLst>
        <ext uri="{3e2802c4-a4d2-4d8b-9148-e3be6c30e623}">
          <xlrd:rvb i="9289"/>
        </ext>
      </extLst>
    </bk>
    <bk>
      <extLst>
        <ext uri="{3e2802c4-a4d2-4d8b-9148-e3be6c30e623}">
          <xlrd:rvb i="9290"/>
        </ext>
      </extLst>
    </bk>
    <bk>
      <extLst>
        <ext uri="{3e2802c4-a4d2-4d8b-9148-e3be6c30e623}">
          <xlrd:rvb i="9291"/>
        </ext>
      </extLst>
    </bk>
    <bk>
      <extLst>
        <ext uri="{3e2802c4-a4d2-4d8b-9148-e3be6c30e623}">
          <xlrd:rvb i="9292"/>
        </ext>
      </extLst>
    </bk>
    <bk>
      <extLst>
        <ext uri="{3e2802c4-a4d2-4d8b-9148-e3be6c30e623}">
          <xlrd:rvb i="9293"/>
        </ext>
      </extLst>
    </bk>
    <bk>
      <extLst>
        <ext uri="{3e2802c4-a4d2-4d8b-9148-e3be6c30e623}">
          <xlrd:rvb i="9294"/>
        </ext>
      </extLst>
    </bk>
    <bk>
      <extLst>
        <ext uri="{3e2802c4-a4d2-4d8b-9148-e3be6c30e623}">
          <xlrd:rvb i="9295"/>
        </ext>
      </extLst>
    </bk>
    <bk>
      <extLst>
        <ext uri="{3e2802c4-a4d2-4d8b-9148-e3be6c30e623}">
          <xlrd:rvb i="9296"/>
        </ext>
      </extLst>
    </bk>
    <bk>
      <extLst>
        <ext uri="{3e2802c4-a4d2-4d8b-9148-e3be6c30e623}">
          <xlrd:rvb i="9297"/>
        </ext>
      </extLst>
    </bk>
    <bk>
      <extLst>
        <ext uri="{3e2802c4-a4d2-4d8b-9148-e3be6c30e623}">
          <xlrd:rvb i="9298"/>
        </ext>
      </extLst>
    </bk>
    <bk>
      <extLst>
        <ext uri="{3e2802c4-a4d2-4d8b-9148-e3be6c30e623}">
          <xlrd:rvb i="9299"/>
        </ext>
      </extLst>
    </bk>
    <bk>
      <extLst>
        <ext uri="{3e2802c4-a4d2-4d8b-9148-e3be6c30e623}">
          <xlrd:rvb i="9300"/>
        </ext>
      </extLst>
    </bk>
    <bk>
      <extLst>
        <ext uri="{3e2802c4-a4d2-4d8b-9148-e3be6c30e623}">
          <xlrd:rvb i="9301"/>
        </ext>
      </extLst>
    </bk>
    <bk>
      <extLst>
        <ext uri="{3e2802c4-a4d2-4d8b-9148-e3be6c30e623}">
          <xlrd:rvb i="9302"/>
        </ext>
      </extLst>
    </bk>
    <bk>
      <extLst>
        <ext uri="{3e2802c4-a4d2-4d8b-9148-e3be6c30e623}">
          <xlrd:rvb i="9303"/>
        </ext>
      </extLst>
    </bk>
    <bk>
      <extLst>
        <ext uri="{3e2802c4-a4d2-4d8b-9148-e3be6c30e623}">
          <xlrd:rvb i="9304"/>
        </ext>
      </extLst>
    </bk>
    <bk>
      <extLst>
        <ext uri="{3e2802c4-a4d2-4d8b-9148-e3be6c30e623}">
          <xlrd:rvb i="9305"/>
        </ext>
      </extLst>
    </bk>
    <bk>
      <extLst>
        <ext uri="{3e2802c4-a4d2-4d8b-9148-e3be6c30e623}">
          <xlrd:rvb i="9306"/>
        </ext>
      </extLst>
    </bk>
    <bk>
      <extLst>
        <ext uri="{3e2802c4-a4d2-4d8b-9148-e3be6c30e623}">
          <xlrd:rvb i="9307"/>
        </ext>
      </extLst>
    </bk>
    <bk>
      <extLst>
        <ext uri="{3e2802c4-a4d2-4d8b-9148-e3be6c30e623}">
          <xlrd:rvb i="9308"/>
        </ext>
      </extLst>
    </bk>
    <bk>
      <extLst>
        <ext uri="{3e2802c4-a4d2-4d8b-9148-e3be6c30e623}">
          <xlrd:rvb i="9309"/>
        </ext>
      </extLst>
    </bk>
    <bk>
      <extLst>
        <ext uri="{3e2802c4-a4d2-4d8b-9148-e3be6c30e623}">
          <xlrd:rvb i="9310"/>
        </ext>
      </extLst>
    </bk>
    <bk>
      <extLst>
        <ext uri="{3e2802c4-a4d2-4d8b-9148-e3be6c30e623}">
          <xlrd:rvb i="9311"/>
        </ext>
      </extLst>
    </bk>
    <bk>
      <extLst>
        <ext uri="{3e2802c4-a4d2-4d8b-9148-e3be6c30e623}">
          <xlrd:rvb i="9312"/>
        </ext>
      </extLst>
    </bk>
    <bk>
      <extLst>
        <ext uri="{3e2802c4-a4d2-4d8b-9148-e3be6c30e623}">
          <xlrd:rvb i="9313"/>
        </ext>
      </extLst>
    </bk>
    <bk>
      <extLst>
        <ext uri="{3e2802c4-a4d2-4d8b-9148-e3be6c30e623}">
          <xlrd:rvb i="9314"/>
        </ext>
      </extLst>
    </bk>
    <bk>
      <extLst>
        <ext uri="{3e2802c4-a4d2-4d8b-9148-e3be6c30e623}">
          <xlrd:rvb i="9315"/>
        </ext>
      </extLst>
    </bk>
    <bk>
      <extLst>
        <ext uri="{3e2802c4-a4d2-4d8b-9148-e3be6c30e623}">
          <xlrd:rvb i="9316"/>
        </ext>
      </extLst>
    </bk>
    <bk>
      <extLst>
        <ext uri="{3e2802c4-a4d2-4d8b-9148-e3be6c30e623}">
          <xlrd:rvb i="9317"/>
        </ext>
      </extLst>
    </bk>
    <bk>
      <extLst>
        <ext uri="{3e2802c4-a4d2-4d8b-9148-e3be6c30e623}">
          <xlrd:rvb i="9318"/>
        </ext>
      </extLst>
    </bk>
    <bk>
      <extLst>
        <ext uri="{3e2802c4-a4d2-4d8b-9148-e3be6c30e623}">
          <xlrd:rvb i="9319"/>
        </ext>
      </extLst>
    </bk>
    <bk>
      <extLst>
        <ext uri="{3e2802c4-a4d2-4d8b-9148-e3be6c30e623}">
          <xlrd:rvb i="9320"/>
        </ext>
      </extLst>
    </bk>
    <bk>
      <extLst>
        <ext uri="{3e2802c4-a4d2-4d8b-9148-e3be6c30e623}">
          <xlrd:rvb i="9321"/>
        </ext>
      </extLst>
    </bk>
    <bk>
      <extLst>
        <ext uri="{3e2802c4-a4d2-4d8b-9148-e3be6c30e623}">
          <xlrd:rvb i="9322"/>
        </ext>
      </extLst>
    </bk>
    <bk>
      <extLst>
        <ext uri="{3e2802c4-a4d2-4d8b-9148-e3be6c30e623}">
          <xlrd:rvb i="9323"/>
        </ext>
      </extLst>
    </bk>
    <bk>
      <extLst>
        <ext uri="{3e2802c4-a4d2-4d8b-9148-e3be6c30e623}">
          <xlrd:rvb i="9324"/>
        </ext>
      </extLst>
    </bk>
    <bk>
      <extLst>
        <ext uri="{3e2802c4-a4d2-4d8b-9148-e3be6c30e623}">
          <xlrd:rvb i="9325"/>
        </ext>
      </extLst>
    </bk>
    <bk>
      <extLst>
        <ext uri="{3e2802c4-a4d2-4d8b-9148-e3be6c30e623}">
          <xlrd:rvb i="9326"/>
        </ext>
      </extLst>
    </bk>
    <bk>
      <extLst>
        <ext uri="{3e2802c4-a4d2-4d8b-9148-e3be6c30e623}">
          <xlrd:rvb i="9327"/>
        </ext>
      </extLst>
    </bk>
    <bk>
      <extLst>
        <ext uri="{3e2802c4-a4d2-4d8b-9148-e3be6c30e623}">
          <xlrd:rvb i="9328"/>
        </ext>
      </extLst>
    </bk>
    <bk>
      <extLst>
        <ext uri="{3e2802c4-a4d2-4d8b-9148-e3be6c30e623}">
          <xlrd:rvb i="9329"/>
        </ext>
      </extLst>
    </bk>
    <bk>
      <extLst>
        <ext uri="{3e2802c4-a4d2-4d8b-9148-e3be6c30e623}">
          <xlrd:rvb i="9330"/>
        </ext>
      </extLst>
    </bk>
    <bk>
      <extLst>
        <ext uri="{3e2802c4-a4d2-4d8b-9148-e3be6c30e623}">
          <xlrd:rvb i="9331"/>
        </ext>
      </extLst>
    </bk>
    <bk>
      <extLst>
        <ext uri="{3e2802c4-a4d2-4d8b-9148-e3be6c30e623}">
          <xlrd:rvb i="9332"/>
        </ext>
      </extLst>
    </bk>
    <bk>
      <extLst>
        <ext uri="{3e2802c4-a4d2-4d8b-9148-e3be6c30e623}">
          <xlrd:rvb i="9333"/>
        </ext>
      </extLst>
    </bk>
    <bk>
      <extLst>
        <ext uri="{3e2802c4-a4d2-4d8b-9148-e3be6c30e623}">
          <xlrd:rvb i="9334"/>
        </ext>
      </extLst>
    </bk>
    <bk>
      <extLst>
        <ext uri="{3e2802c4-a4d2-4d8b-9148-e3be6c30e623}">
          <xlrd:rvb i="9335"/>
        </ext>
      </extLst>
    </bk>
    <bk>
      <extLst>
        <ext uri="{3e2802c4-a4d2-4d8b-9148-e3be6c30e623}">
          <xlrd:rvb i="9336"/>
        </ext>
      </extLst>
    </bk>
    <bk>
      <extLst>
        <ext uri="{3e2802c4-a4d2-4d8b-9148-e3be6c30e623}">
          <xlrd:rvb i="9337"/>
        </ext>
      </extLst>
    </bk>
    <bk>
      <extLst>
        <ext uri="{3e2802c4-a4d2-4d8b-9148-e3be6c30e623}">
          <xlrd:rvb i="9338"/>
        </ext>
      </extLst>
    </bk>
    <bk>
      <extLst>
        <ext uri="{3e2802c4-a4d2-4d8b-9148-e3be6c30e623}">
          <xlrd:rvb i="9339"/>
        </ext>
      </extLst>
    </bk>
    <bk>
      <extLst>
        <ext uri="{3e2802c4-a4d2-4d8b-9148-e3be6c30e623}">
          <xlrd:rvb i="9340"/>
        </ext>
      </extLst>
    </bk>
    <bk>
      <extLst>
        <ext uri="{3e2802c4-a4d2-4d8b-9148-e3be6c30e623}">
          <xlrd:rvb i="9341"/>
        </ext>
      </extLst>
    </bk>
    <bk>
      <extLst>
        <ext uri="{3e2802c4-a4d2-4d8b-9148-e3be6c30e623}">
          <xlrd:rvb i="9342"/>
        </ext>
      </extLst>
    </bk>
    <bk>
      <extLst>
        <ext uri="{3e2802c4-a4d2-4d8b-9148-e3be6c30e623}">
          <xlrd:rvb i="9343"/>
        </ext>
      </extLst>
    </bk>
    <bk>
      <extLst>
        <ext uri="{3e2802c4-a4d2-4d8b-9148-e3be6c30e623}">
          <xlrd:rvb i="9344"/>
        </ext>
      </extLst>
    </bk>
    <bk>
      <extLst>
        <ext uri="{3e2802c4-a4d2-4d8b-9148-e3be6c30e623}">
          <xlrd:rvb i="9345"/>
        </ext>
      </extLst>
    </bk>
    <bk>
      <extLst>
        <ext uri="{3e2802c4-a4d2-4d8b-9148-e3be6c30e623}">
          <xlrd:rvb i="9346"/>
        </ext>
      </extLst>
    </bk>
    <bk>
      <extLst>
        <ext uri="{3e2802c4-a4d2-4d8b-9148-e3be6c30e623}">
          <xlrd:rvb i="9347"/>
        </ext>
      </extLst>
    </bk>
    <bk>
      <extLst>
        <ext uri="{3e2802c4-a4d2-4d8b-9148-e3be6c30e623}">
          <xlrd:rvb i="9348"/>
        </ext>
      </extLst>
    </bk>
    <bk>
      <extLst>
        <ext uri="{3e2802c4-a4d2-4d8b-9148-e3be6c30e623}">
          <xlrd:rvb i="9349"/>
        </ext>
      </extLst>
    </bk>
    <bk>
      <extLst>
        <ext uri="{3e2802c4-a4d2-4d8b-9148-e3be6c30e623}">
          <xlrd:rvb i="9350"/>
        </ext>
      </extLst>
    </bk>
    <bk>
      <extLst>
        <ext uri="{3e2802c4-a4d2-4d8b-9148-e3be6c30e623}">
          <xlrd:rvb i="9351"/>
        </ext>
      </extLst>
    </bk>
    <bk>
      <extLst>
        <ext uri="{3e2802c4-a4d2-4d8b-9148-e3be6c30e623}">
          <xlrd:rvb i="9352"/>
        </ext>
      </extLst>
    </bk>
    <bk>
      <extLst>
        <ext uri="{3e2802c4-a4d2-4d8b-9148-e3be6c30e623}">
          <xlrd:rvb i="9353"/>
        </ext>
      </extLst>
    </bk>
    <bk>
      <extLst>
        <ext uri="{3e2802c4-a4d2-4d8b-9148-e3be6c30e623}">
          <xlrd:rvb i="9354"/>
        </ext>
      </extLst>
    </bk>
    <bk>
      <extLst>
        <ext uri="{3e2802c4-a4d2-4d8b-9148-e3be6c30e623}">
          <xlrd:rvb i="9355"/>
        </ext>
      </extLst>
    </bk>
    <bk>
      <extLst>
        <ext uri="{3e2802c4-a4d2-4d8b-9148-e3be6c30e623}">
          <xlrd:rvb i="9356"/>
        </ext>
      </extLst>
    </bk>
    <bk>
      <extLst>
        <ext uri="{3e2802c4-a4d2-4d8b-9148-e3be6c30e623}">
          <xlrd:rvb i="9357"/>
        </ext>
      </extLst>
    </bk>
    <bk>
      <extLst>
        <ext uri="{3e2802c4-a4d2-4d8b-9148-e3be6c30e623}">
          <xlrd:rvb i="9358"/>
        </ext>
      </extLst>
    </bk>
    <bk>
      <extLst>
        <ext uri="{3e2802c4-a4d2-4d8b-9148-e3be6c30e623}">
          <xlrd:rvb i="9359"/>
        </ext>
      </extLst>
    </bk>
    <bk>
      <extLst>
        <ext uri="{3e2802c4-a4d2-4d8b-9148-e3be6c30e623}">
          <xlrd:rvb i="9360"/>
        </ext>
      </extLst>
    </bk>
    <bk>
      <extLst>
        <ext uri="{3e2802c4-a4d2-4d8b-9148-e3be6c30e623}">
          <xlrd:rvb i="9361"/>
        </ext>
      </extLst>
    </bk>
    <bk>
      <extLst>
        <ext uri="{3e2802c4-a4d2-4d8b-9148-e3be6c30e623}">
          <xlrd:rvb i="9362"/>
        </ext>
      </extLst>
    </bk>
    <bk>
      <extLst>
        <ext uri="{3e2802c4-a4d2-4d8b-9148-e3be6c30e623}">
          <xlrd:rvb i="9363"/>
        </ext>
      </extLst>
    </bk>
    <bk>
      <extLst>
        <ext uri="{3e2802c4-a4d2-4d8b-9148-e3be6c30e623}">
          <xlrd:rvb i="9364"/>
        </ext>
      </extLst>
    </bk>
    <bk>
      <extLst>
        <ext uri="{3e2802c4-a4d2-4d8b-9148-e3be6c30e623}">
          <xlrd:rvb i="9365"/>
        </ext>
      </extLst>
    </bk>
    <bk>
      <extLst>
        <ext uri="{3e2802c4-a4d2-4d8b-9148-e3be6c30e623}">
          <xlrd:rvb i="9366"/>
        </ext>
      </extLst>
    </bk>
    <bk>
      <extLst>
        <ext uri="{3e2802c4-a4d2-4d8b-9148-e3be6c30e623}">
          <xlrd:rvb i="9367"/>
        </ext>
      </extLst>
    </bk>
    <bk>
      <extLst>
        <ext uri="{3e2802c4-a4d2-4d8b-9148-e3be6c30e623}">
          <xlrd:rvb i="9368"/>
        </ext>
      </extLst>
    </bk>
    <bk>
      <extLst>
        <ext uri="{3e2802c4-a4d2-4d8b-9148-e3be6c30e623}">
          <xlrd:rvb i="9369"/>
        </ext>
      </extLst>
    </bk>
    <bk>
      <extLst>
        <ext uri="{3e2802c4-a4d2-4d8b-9148-e3be6c30e623}">
          <xlrd:rvb i="9370"/>
        </ext>
      </extLst>
    </bk>
    <bk>
      <extLst>
        <ext uri="{3e2802c4-a4d2-4d8b-9148-e3be6c30e623}">
          <xlrd:rvb i="9371"/>
        </ext>
      </extLst>
    </bk>
    <bk>
      <extLst>
        <ext uri="{3e2802c4-a4d2-4d8b-9148-e3be6c30e623}">
          <xlrd:rvb i="9372"/>
        </ext>
      </extLst>
    </bk>
    <bk>
      <extLst>
        <ext uri="{3e2802c4-a4d2-4d8b-9148-e3be6c30e623}">
          <xlrd:rvb i="9373"/>
        </ext>
      </extLst>
    </bk>
    <bk>
      <extLst>
        <ext uri="{3e2802c4-a4d2-4d8b-9148-e3be6c30e623}">
          <xlrd:rvb i="9374"/>
        </ext>
      </extLst>
    </bk>
    <bk>
      <extLst>
        <ext uri="{3e2802c4-a4d2-4d8b-9148-e3be6c30e623}">
          <xlrd:rvb i="9375"/>
        </ext>
      </extLst>
    </bk>
    <bk>
      <extLst>
        <ext uri="{3e2802c4-a4d2-4d8b-9148-e3be6c30e623}">
          <xlrd:rvb i="9376"/>
        </ext>
      </extLst>
    </bk>
    <bk>
      <extLst>
        <ext uri="{3e2802c4-a4d2-4d8b-9148-e3be6c30e623}">
          <xlrd:rvb i="9377"/>
        </ext>
      </extLst>
    </bk>
    <bk>
      <extLst>
        <ext uri="{3e2802c4-a4d2-4d8b-9148-e3be6c30e623}">
          <xlrd:rvb i="9378"/>
        </ext>
      </extLst>
    </bk>
    <bk>
      <extLst>
        <ext uri="{3e2802c4-a4d2-4d8b-9148-e3be6c30e623}">
          <xlrd:rvb i="9379"/>
        </ext>
      </extLst>
    </bk>
    <bk>
      <extLst>
        <ext uri="{3e2802c4-a4d2-4d8b-9148-e3be6c30e623}">
          <xlrd:rvb i="9380"/>
        </ext>
      </extLst>
    </bk>
    <bk>
      <extLst>
        <ext uri="{3e2802c4-a4d2-4d8b-9148-e3be6c30e623}">
          <xlrd:rvb i="9381"/>
        </ext>
      </extLst>
    </bk>
    <bk>
      <extLst>
        <ext uri="{3e2802c4-a4d2-4d8b-9148-e3be6c30e623}">
          <xlrd:rvb i="9382"/>
        </ext>
      </extLst>
    </bk>
    <bk>
      <extLst>
        <ext uri="{3e2802c4-a4d2-4d8b-9148-e3be6c30e623}">
          <xlrd:rvb i="9383"/>
        </ext>
      </extLst>
    </bk>
    <bk>
      <extLst>
        <ext uri="{3e2802c4-a4d2-4d8b-9148-e3be6c30e623}">
          <xlrd:rvb i="9384"/>
        </ext>
      </extLst>
    </bk>
    <bk>
      <extLst>
        <ext uri="{3e2802c4-a4d2-4d8b-9148-e3be6c30e623}">
          <xlrd:rvb i="9385"/>
        </ext>
      </extLst>
    </bk>
    <bk>
      <extLst>
        <ext uri="{3e2802c4-a4d2-4d8b-9148-e3be6c30e623}">
          <xlrd:rvb i="9386"/>
        </ext>
      </extLst>
    </bk>
    <bk>
      <extLst>
        <ext uri="{3e2802c4-a4d2-4d8b-9148-e3be6c30e623}">
          <xlrd:rvb i="9387"/>
        </ext>
      </extLst>
    </bk>
    <bk>
      <extLst>
        <ext uri="{3e2802c4-a4d2-4d8b-9148-e3be6c30e623}">
          <xlrd:rvb i="9388"/>
        </ext>
      </extLst>
    </bk>
    <bk>
      <extLst>
        <ext uri="{3e2802c4-a4d2-4d8b-9148-e3be6c30e623}">
          <xlrd:rvb i="9389"/>
        </ext>
      </extLst>
    </bk>
    <bk>
      <extLst>
        <ext uri="{3e2802c4-a4d2-4d8b-9148-e3be6c30e623}">
          <xlrd:rvb i="9390"/>
        </ext>
      </extLst>
    </bk>
    <bk>
      <extLst>
        <ext uri="{3e2802c4-a4d2-4d8b-9148-e3be6c30e623}">
          <xlrd:rvb i="9391"/>
        </ext>
      </extLst>
    </bk>
    <bk>
      <extLst>
        <ext uri="{3e2802c4-a4d2-4d8b-9148-e3be6c30e623}">
          <xlrd:rvb i="9392"/>
        </ext>
      </extLst>
    </bk>
    <bk>
      <extLst>
        <ext uri="{3e2802c4-a4d2-4d8b-9148-e3be6c30e623}">
          <xlrd:rvb i="9393"/>
        </ext>
      </extLst>
    </bk>
    <bk>
      <extLst>
        <ext uri="{3e2802c4-a4d2-4d8b-9148-e3be6c30e623}">
          <xlrd:rvb i="9394"/>
        </ext>
      </extLst>
    </bk>
    <bk>
      <extLst>
        <ext uri="{3e2802c4-a4d2-4d8b-9148-e3be6c30e623}">
          <xlrd:rvb i="9395"/>
        </ext>
      </extLst>
    </bk>
    <bk>
      <extLst>
        <ext uri="{3e2802c4-a4d2-4d8b-9148-e3be6c30e623}">
          <xlrd:rvb i="9396"/>
        </ext>
      </extLst>
    </bk>
    <bk>
      <extLst>
        <ext uri="{3e2802c4-a4d2-4d8b-9148-e3be6c30e623}">
          <xlrd:rvb i="9397"/>
        </ext>
      </extLst>
    </bk>
    <bk>
      <extLst>
        <ext uri="{3e2802c4-a4d2-4d8b-9148-e3be6c30e623}">
          <xlrd:rvb i="9398"/>
        </ext>
      </extLst>
    </bk>
    <bk>
      <extLst>
        <ext uri="{3e2802c4-a4d2-4d8b-9148-e3be6c30e623}">
          <xlrd:rvb i="9399"/>
        </ext>
      </extLst>
    </bk>
    <bk>
      <extLst>
        <ext uri="{3e2802c4-a4d2-4d8b-9148-e3be6c30e623}">
          <xlrd:rvb i="9400"/>
        </ext>
      </extLst>
    </bk>
    <bk>
      <extLst>
        <ext uri="{3e2802c4-a4d2-4d8b-9148-e3be6c30e623}">
          <xlrd:rvb i="9401"/>
        </ext>
      </extLst>
    </bk>
    <bk>
      <extLst>
        <ext uri="{3e2802c4-a4d2-4d8b-9148-e3be6c30e623}">
          <xlrd:rvb i="9402"/>
        </ext>
      </extLst>
    </bk>
    <bk>
      <extLst>
        <ext uri="{3e2802c4-a4d2-4d8b-9148-e3be6c30e623}">
          <xlrd:rvb i="9403"/>
        </ext>
      </extLst>
    </bk>
    <bk>
      <extLst>
        <ext uri="{3e2802c4-a4d2-4d8b-9148-e3be6c30e623}">
          <xlrd:rvb i="9404"/>
        </ext>
      </extLst>
    </bk>
    <bk>
      <extLst>
        <ext uri="{3e2802c4-a4d2-4d8b-9148-e3be6c30e623}">
          <xlrd:rvb i="9405"/>
        </ext>
      </extLst>
    </bk>
    <bk>
      <extLst>
        <ext uri="{3e2802c4-a4d2-4d8b-9148-e3be6c30e623}">
          <xlrd:rvb i="9406"/>
        </ext>
      </extLst>
    </bk>
    <bk>
      <extLst>
        <ext uri="{3e2802c4-a4d2-4d8b-9148-e3be6c30e623}">
          <xlrd:rvb i="9407"/>
        </ext>
      </extLst>
    </bk>
    <bk>
      <extLst>
        <ext uri="{3e2802c4-a4d2-4d8b-9148-e3be6c30e623}">
          <xlrd:rvb i="9408"/>
        </ext>
      </extLst>
    </bk>
    <bk>
      <extLst>
        <ext uri="{3e2802c4-a4d2-4d8b-9148-e3be6c30e623}">
          <xlrd:rvb i="9409"/>
        </ext>
      </extLst>
    </bk>
    <bk>
      <extLst>
        <ext uri="{3e2802c4-a4d2-4d8b-9148-e3be6c30e623}">
          <xlrd:rvb i="9410"/>
        </ext>
      </extLst>
    </bk>
    <bk>
      <extLst>
        <ext uri="{3e2802c4-a4d2-4d8b-9148-e3be6c30e623}">
          <xlrd:rvb i="9411"/>
        </ext>
      </extLst>
    </bk>
    <bk>
      <extLst>
        <ext uri="{3e2802c4-a4d2-4d8b-9148-e3be6c30e623}">
          <xlrd:rvb i="9412"/>
        </ext>
      </extLst>
    </bk>
    <bk>
      <extLst>
        <ext uri="{3e2802c4-a4d2-4d8b-9148-e3be6c30e623}">
          <xlrd:rvb i="9413"/>
        </ext>
      </extLst>
    </bk>
    <bk>
      <extLst>
        <ext uri="{3e2802c4-a4d2-4d8b-9148-e3be6c30e623}">
          <xlrd:rvb i="9414"/>
        </ext>
      </extLst>
    </bk>
    <bk>
      <extLst>
        <ext uri="{3e2802c4-a4d2-4d8b-9148-e3be6c30e623}">
          <xlrd:rvb i="9415"/>
        </ext>
      </extLst>
    </bk>
    <bk>
      <extLst>
        <ext uri="{3e2802c4-a4d2-4d8b-9148-e3be6c30e623}">
          <xlrd:rvb i="9416"/>
        </ext>
      </extLst>
    </bk>
    <bk>
      <extLst>
        <ext uri="{3e2802c4-a4d2-4d8b-9148-e3be6c30e623}">
          <xlrd:rvb i="9417"/>
        </ext>
      </extLst>
    </bk>
    <bk>
      <extLst>
        <ext uri="{3e2802c4-a4d2-4d8b-9148-e3be6c30e623}">
          <xlrd:rvb i="9418"/>
        </ext>
      </extLst>
    </bk>
    <bk>
      <extLst>
        <ext uri="{3e2802c4-a4d2-4d8b-9148-e3be6c30e623}">
          <xlrd:rvb i="9419"/>
        </ext>
      </extLst>
    </bk>
    <bk>
      <extLst>
        <ext uri="{3e2802c4-a4d2-4d8b-9148-e3be6c30e623}">
          <xlrd:rvb i="9420"/>
        </ext>
      </extLst>
    </bk>
    <bk>
      <extLst>
        <ext uri="{3e2802c4-a4d2-4d8b-9148-e3be6c30e623}">
          <xlrd:rvb i="9421"/>
        </ext>
      </extLst>
    </bk>
    <bk>
      <extLst>
        <ext uri="{3e2802c4-a4d2-4d8b-9148-e3be6c30e623}">
          <xlrd:rvb i="9422"/>
        </ext>
      </extLst>
    </bk>
    <bk>
      <extLst>
        <ext uri="{3e2802c4-a4d2-4d8b-9148-e3be6c30e623}">
          <xlrd:rvb i="9423"/>
        </ext>
      </extLst>
    </bk>
    <bk>
      <extLst>
        <ext uri="{3e2802c4-a4d2-4d8b-9148-e3be6c30e623}">
          <xlrd:rvb i="9424"/>
        </ext>
      </extLst>
    </bk>
    <bk>
      <extLst>
        <ext uri="{3e2802c4-a4d2-4d8b-9148-e3be6c30e623}">
          <xlrd:rvb i="9425"/>
        </ext>
      </extLst>
    </bk>
    <bk>
      <extLst>
        <ext uri="{3e2802c4-a4d2-4d8b-9148-e3be6c30e623}">
          <xlrd:rvb i="9426"/>
        </ext>
      </extLst>
    </bk>
    <bk>
      <extLst>
        <ext uri="{3e2802c4-a4d2-4d8b-9148-e3be6c30e623}">
          <xlrd:rvb i="9427"/>
        </ext>
      </extLst>
    </bk>
    <bk>
      <extLst>
        <ext uri="{3e2802c4-a4d2-4d8b-9148-e3be6c30e623}">
          <xlrd:rvb i="9428"/>
        </ext>
      </extLst>
    </bk>
    <bk>
      <extLst>
        <ext uri="{3e2802c4-a4d2-4d8b-9148-e3be6c30e623}">
          <xlrd:rvb i="9429"/>
        </ext>
      </extLst>
    </bk>
    <bk>
      <extLst>
        <ext uri="{3e2802c4-a4d2-4d8b-9148-e3be6c30e623}">
          <xlrd:rvb i="9430"/>
        </ext>
      </extLst>
    </bk>
    <bk>
      <extLst>
        <ext uri="{3e2802c4-a4d2-4d8b-9148-e3be6c30e623}">
          <xlrd:rvb i="9431"/>
        </ext>
      </extLst>
    </bk>
    <bk>
      <extLst>
        <ext uri="{3e2802c4-a4d2-4d8b-9148-e3be6c30e623}">
          <xlrd:rvb i="9432"/>
        </ext>
      </extLst>
    </bk>
    <bk>
      <extLst>
        <ext uri="{3e2802c4-a4d2-4d8b-9148-e3be6c30e623}">
          <xlrd:rvb i="9433"/>
        </ext>
      </extLst>
    </bk>
    <bk>
      <extLst>
        <ext uri="{3e2802c4-a4d2-4d8b-9148-e3be6c30e623}">
          <xlrd:rvb i="9434"/>
        </ext>
      </extLst>
    </bk>
    <bk>
      <extLst>
        <ext uri="{3e2802c4-a4d2-4d8b-9148-e3be6c30e623}">
          <xlrd:rvb i="9435"/>
        </ext>
      </extLst>
    </bk>
    <bk>
      <extLst>
        <ext uri="{3e2802c4-a4d2-4d8b-9148-e3be6c30e623}">
          <xlrd:rvb i="9436"/>
        </ext>
      </extLst>
    </bk>
    <bk>
      <extLst>
        <ext uri="{3e2802c4-a4d2-4d8b-9148-e3be6c30e623}">
          <xlrd:rvb i="9437"/>
        </ext>
      </extLst>
    </bk>
    <bk>
      <extLst>
        <ext uri="{3e2802c4-a4d2-4d8b-9148-e3be6c30e623}">
          <xlrd:rvb i="9438"/>
        </ext>
      </extLst>
    </bk>
    <bk>
      <extLst>
        <ext uri="{3e2802c4-a4d2-4d8b-9148-e3be6c30e623}">
          <xlrd:rvb i="9439"/>
        </ext>
      </extLst>
    </bk>
    <bk>
      <extLst>
        <ext uri="{3e2802c4-a4d2-4d8b-9148-e3be6c30e623}">
          <xlrd:rvb i="9440"/>
        </ext>
      </extLst>
    </bk>
    <bk>
      <extLst>
        <ext uri="{3e2802c4-a4d2-4d8b-9148-e3be6c30e623}">
          <xlrd:rvb i="9441"/>
        </ext>
      </extLst>
    </bk>
    <bk>
      <extLst>
        <ext uri="{3e2802c4-a4d2-4d8b-9148-e3be6c30e623}">
          <xlrd:rvb i="9442"/>
        </ext>
      </extLst>
    </bk>
    <bk>
      <extLst>
        <ext uri="{3e2802c4-a4d2-4d8b-9148-e3be6c30e623}">
          <xlrd:rvb i="9443"/>
        </ext>
      </extLst>
    </bk>
    <bk>
      <extLst>
        <ext uri="{3e2802c4-a4d2-4d8b-9148-e3be6c30e623}">
          <xlrd:rvb i="9444"/>
        </ext>
      </extLst>
    </bk>
    <bk>
      <extLst>
        <ext uri="{3e2802c4-a4d2-4d8b-9148-e3be6c30e623}">
          <xlrd:rvb i="9445"/>
        </ext>
      </extLst>
    </bk>
    <bk>
      <extLst>
        <ext uri="{3e2802c4-a4d2-4d8b-9148-e3be6c30e623}">
          <xlrd:rvb i="9446"/>
        </ext>
      </extLst>
    </bk>
    <bk>
      <extLst>
        <ext uri="{3e2802c4-a4d2-4d8b-9148-e3be6c30e623}">
          <xlrd:rvb i="9447"/>
        </ext>
      </extLst>
    </bk>
    <bk>
      <extLst>
        <ext uri="{3e2802c4-a4d2-4d8b-9148-e3be6c30e623}">
          <xlrd:rvb i="9448"/>
        </ext>
      </extLst>
    </bk>
    <bk>
      <extLst>
        <ext uri="{3e2802c4-a4d2-4d8b-9148-e3be6c30e623}">
          <xlrd:rvb i="9449"/>
        </ext>
      </extLst>
    </bk>
    <bk>
      <extLst>
        <ext uri="{3e2802c4-a4d2-4d8b-9148-e3be6c30e623}">
          <xlrd:rvb i="9450"/>
        </ext>
      </extLst>
    </bk>
    <bk>
      <extLst>
        <ext uri="{3e2802c4-a4d2-4d8b-9148-e3be6c30e623}">
          <xlrd:rvb i="9451"/>
        </ext>
      </extLst>
    </bk>
    <bk>
      <extLst>
        <ext uri="{3e2802c4-a4d2-4d8b-9148-e3be6c30e623}">
          <xlrd:rvb i="9452"/>
        </ext>
      </extLst>
    </bk>
    <bk>
      <extLst>
        <ext uri="{3e2802c4-a4d2-4d8b-9148-e3be6c30e623}">
          <xlrd:rvb i="9453"/>
        </ext>
      </extLst>
    </bk>
    <bk>
      <extLst>
        <ext uri="{3e2802c4-a4d2-4d8b-9148-e3be6c30e623}">
          <xlrd:rvb i="9454"/>
        </ext>
      </extLst>
    </bk>
    <bk>
      <extLst>
        <ext uri="{3e2802c4-a4d2-4d8b-9148-e3be6c30e623}">
          <xlrd:rvb i="9455"/>
        </ext>
      </extLst>
    </bk>
    <bk>
      <extLst>
        <ext uri="{3e2802c4-a4d2-4d8b-9148-e3be6c30e623}">
          <xlrd:rvb i="9456"/>
        </ext>
      </extLst>
    </bk>
    <bk>
      <extLst>
        <ext uri="{3e2802c4-a4d2-4d8b-9148-e3be6c30e623}">
          <xlrd:rvb i="9457"/>
        </ext>
      </extLst>
    </bk>
    <bk>
      <extLst>
        <ext uri="{3e2802c4-a4d2-4d8b-9148-e3be6c30e623}">
          <xlrd:rvb i="9458"/>
        </ext>
      </extLst>
    </bk>
    <bk>
      <extLst>
        <ext uri="{3e2802c4-a4d2-4d8b-9148-e3be6c30e623}">
          <xlrd:rvb i="9459"/>
        </ext>
      </extLst>
    </bk>
    <bk>
      <extLst>
        <ext uri="{3e2802c4-a4d2-4d8b-9148-e3be6c30e623}">
          <xlrd:rvb i="9460"/>
        </ext>
      </extLst>
    </bk>
    <bk>
      <extLst>
        <ext uri="{3e2802c4-a4d2-4d8b-9148-e3be6c30e623}">
          <xlrd:rvb i="9461"/>
        </ext>
      </extLst>
    </bk>
    <bk>
      <extLst>
        <ext uri="{3e2802c4-a4d2-4d8b-9148-e3be6c30e623}">
          <xlrd:rvb i="9462"/>
        </ext>
      </extLst>
    </bk>
    <bk>
      <extLst>
        <ext uri="{3e2802c4-a4d2-4d8b-9148-e3be6c30e623}">
          <xlrd:rvb i="9463"/>
        </ext>
      </extLst>
    </bk>
    <bk>
      <extLst>
        <ext uri="{3e2802c4-a4d2-4d8b-9148-e3be6c30e623}">
          <xlrd:rvb i="9464"/>
        </ext>
      </extLst>
    </bk>
    <bk>
      <extLst>
        <ext uri="{3e2802c4-a4d2-4d8b-9148-e3be6c30e623}">
          <xlrd:rvb i="9465"/>
        </ext>
      </extLst>
    </bk>
    <bk>
      <extLst>
        <ext uri="{3e2802c4-a4d2-4d8b-9148-e3be6c30e623}">
          <xlrd:rvb i="9466"/>
        </ext>
      </extLst>
    </bk>
    <bk>
      <extLst>
        <ext uri="{3e2802c4-a4d2-4d8b-9148-e3be6c30e623}">
          <xlrd:rvb i="9467"/>
        </ext>
      </extLst>
    </bk>
    <bk>
      <extLst>
        <ext uri="{3e2802c4-a4d2-4d8b-9148-e3be6c30e623}">
          <xlrd:rvb i="9468"/>
        </ext>
      </extLst>
    </bk>
    <bk>
      <extLst>
        <ext uri="{3e2802c4-a4d2-4d8b-9148-e3be6c30e623}">
          <xlrd:rvb i="9469"/>
        </ext>
      </extLst>
    </bk>
    <bk>
      <extLst>
        <ext uri="{3e2802c4-a4d2-4d8b-9148-e3be6c30e623}">
          <xlrd:rvb i="9470"/>
        </ext>
      </extLst>
    </bk>
    <bk>
      <extLst>
        <ext uri="{3e2802c4-a4d2-4d8b-9148-e3be6c30e623}">
          <xlrd:rvb i="9471"/>
        </ext>
      </extLst>
    </bk>
    <bk>
      <extLst>
        <ext uri="{3e2802c4-a4d2-4d8b-9148-e3be6c30e623}">
          <xlrd:rvb i="9472"/>
        </ext>
      </extLst>
    </bk>
    <bk>
      <extLst>
        <ext uri="{3e2802c4-a4d2-4d8b-9148-e3be6c30e623}">
          <xlrd:rvb i="9473"/>
        </ext>
      </extLst>
    </bk>
    <bk>
      <extLst>
        <ext uri="{3e2802c4-a4d2-4d8b-9148-e3be6c30e623}">
          <xlrd:rvb i="9474"/>
        </ext>
      </extLst>
    </bk>
    <bk>
      <extLst>
        <ext uri="{3e2802c4-a4d2-4d8b-9148-e3be6c30e623}">
          <xlrd:rvb i="9475"/>
        </ext>
      </extLst>
    </bk>
    <bk>
      <extLst>
        <ext uri="{3e2802c4-a4d2-4d8b-9148-e3be6c30e623}">
          <xlrd:rvb i="9476"/>
        </ext>
      </extLst>
    </bk>
    <bk>
      <extLst>
        <ext uri="{3e2802c4-a4d2-4d8b-9148-e3be6c30e623}">
          <xlrd:rvb i="9477"/>
        </ext>
      </extLst>
    </bk>
    <bk>
      <extLst>
        <ext uri="{3e2802c4-a4d2-4d8b-9148-e3be6c30e623}">
          <xlrd:rvb i="9478"/>
        </ext>
      </extLst>
    </bk>
    <bk>
      <extLst>
        <ext uri="{3e2802c4-a4d2-4d8b-9148-e3be6c30e623}">
          <xlrd:rvb i="9479"/>
        </ext>
      </extLst>
    </bk>
    <bk>
      <extLst>
        <ext uri="{3e2802c4-a4d2-4d8b-9148-e3be6c30e623}">
          <xlrd:rvb i="9480"/>
        </ext>
      </extLst>
    </bk>
    <bk>
      <extLst>
        <ext uri="{3e2802c4-a4d2-4d8b-9148-e3be6c30e623}">
          <xlrd:rvb i="9481"/>
        </ext>
      </extLst>
    </bk>
    <bk>
      <extLst>
        <ext uri="{3e2802c4-a4d2-4d8b-9148-e3be6c30e623}">
          <xlrd:rvb i="9482"/>
        </ext>
      </extLst>
    </bk>
    <bk>
      <extLst>
        <ext uri="{3e2802c4-a4d2-4d8b-9148-e3be6c30e623}">
          <xlrd:rvb i="9483"/>
        </ext>
      </extLst>
    </bk>
    <bk>
      <extLst>
        <ext uri="{3e2802c4-a4d2-4d8b-9148-e3be6c30e623}">
          <xlrd:rvb i="9484"/>
        </ext>
      </extLst>
    </bk>
    <bk>
      <extLst>
        <ext uri="{3e2802c4-a4d2-4d8b-9148-e3be6c30e623}">
          <xlrd:rvb i="9485"/>
        </ext>
      </extLst>
    </bk>
    <bk>
      <extLst>
        <ext uri="{3e2802c4-a4d2-4d8b-9148-e3be6c30e623}">
          <xlrd:rvb i="9486"/>
        </ext>
      </extLst>
    </bk>
    <bk>
      <extLst>
        <ext uri="{3e2802c4-a4d2-4d8b-9148-e3be6c30e623}">
          <xlrd:rvb i="9487"/>
        </ext>
      </extLst>
    </bk>
    <bk>
      <extLst>
        <ext uri="{3e2802c4-a4d2-4d8b-9148-e3be6c30e623}">
          <xlrd:rvb i="9488"/>
        </ext>
      </extLst>
    </bk>
    <bk>
      <extLst>
        <ext uri="{3e2802c4-a4d2-4d8b-9148-e3be6c30e623}">
          <xlrd:rvb i="9489"/>
        </ext>
      </extLst>
    </bk>
    <bk>
      <extLst>
        <ext uri="{3e2802c4-a4d2-4d8b-9148-e3be6c30e623}">
          <xlrd:rvb i="9490"/>
        </ext>
      </extLst>
    </bk>
    <bk>
      <extLst>
        <ext uri="{3e2802c4-a4d2-4d8b-9148-e3be6c30e623}">
          <xlrd:rvb i="9491"/>
        </ext>
      </extLst>
    </bk>
    <bk>
      <extLst>
        <ext uri="{3e2802c4-a4d2-4d8b-9148-e3be6c30e623}">
          <xlrd:rvb i="9492"/>
        </ext>
      </extLst>
    </bk>
    <bk>
      <extLst>
        <ext uri="{3e2802c4-a4d2-4d8b-9148-e3be6c30e623}">
          <xlrd:rvb i="9493"/>
        </ext>
      </extLst>
    </bk>
    <bk>
      <extLst>
        <ext uri="{3e2802c4-a4d2-4d8b-9148-e3be6c30e623}">
          <xlrd:rvb i="9494"/>
        </ext>
      </extLst>
    </bk>
    <bk>
      <extLst>
        <ext uri="{3e2802c4-a4d2-4d8b-9148-e3be6c30e623}">
          <xlrd:rvb i="9495"/>
        </ext>
      </extLst>
    </bk>
    <bk>
      <extLst>
        <ext uri="{3e2802c4-a4d2-4d8b-9148-e3be6c30e623}">
          <xlrd:rvb i="9496"/>
        </ext>
      </extLst>
    </bk>
    <bk>
      <extLst>
        <ext uri="{3e2802c4-a4d2-4d8b-9148-e3be6c30e623}">
          <xlrd:rvb i="9497"/>
        </ext>
      </extLst>
    </bk>
    <bk>
      <extLst>
        <ext uri="{3e2802c4-a4d2-4d8b-9148-e3be6c30e623}">
          <xlrd:rvb i="9498"/>
        </ext>
      </extLst>
    </bk>
    <bk>
      <extLst>
        <ext uri="{3e2802c4-a4d2-4d8b-9148-e3be6c30e623}">
          <xlrd:rvb i="9499"/>
        </ext>
      </extLst>
    </bk>
    <bk>
      <extLst>
        <ext uri="{3e2802c4-a4d2-4d8b-9148-e3be6c30e623}">
          <xlrd:rvb i="9500"/>
        </ext>
      </extLst>
    </bk>
    <bk>
      <extLst>
        <ext uri="{3e2802c4-a4d2-4d8b-9148-e3be6c30e623}">
          <xlrd:rvb i="9501"/>
        </ext>
      </extLst>
    </bk>
    <bk>
      <extLst>
        <ext uri="{3e2802c4-a4d2-4d8b-9148-e3be6c30e623}">
          <xlrd:rvb i="9502"/>
        </ext>
      </extLst>
    </bk>
    <bk>
      <extLst>
        <ext uri="{3e2802c4-a4d2-4d8b-9148-e3be6c30e623}">
          <xlrd:rvb i="9503"/>
        </ext>
      </extLst>
    </bk>
    <bk>
      <extLst>
        <ext uri="{3e2802c4-a4d2-4d8b-9148-e3be6c30e623}">
          <xlrd:rvb i="9504"/>
        </ext>
      </extLst>
    </bk>
    <bk>
      <extLst>
        <ext uri="{3e2802c4-a4d2-4d8b-9148-e3be6c30e623}">
          <xlrd:rvb i="9505"/>
        </ext>
      </extLst>
    </bk>
    <bk>
      <extLst>
        <ext uri="{3e2802c4-a4d2-4d8b-9148-e3be6c30e623}">
          <xlrd:rvb i="9506"/>
        </ext>
      </extLst>
    </bk>
    <bk>
      <extLst>
        <ext uri="{3e2802c4-a4d2-4d8b-9148-e3be6c30e623}">
          <xlrd:rvb i="9507"/>
        </ext>
      </extLst>
    </bk>
    <bk>
      <extLst>
        <ext uri="{3e2802c4-a4d2-4d8b-9148-e3be6c30e623}">
          <xlrd:rvb i="9508"/>
        </ext>
      </extLst>
    </bk>
    <bk>
      <extLst>
        <ext uri="{3e2802c4-a4d2-4d8b-9148-e3be6c30e623}">
          <xlrd:rvb i="9509"/>
        </ext>
      </extLst>
    </bk>
    <bk>
      <extLst>
        <ext uri="{3e2802c4-a4d2-4d8b-9148-e3be6c30e623}">
          <xlrd:rvb i="9510"/>
        </ext>
      </extLst>
    </bk>
    <bk>
      <extLst>
        <ext uri="{3e2802c4-a4d2-4d8b-9148-e3be6c30e623}">
          <xlrd:rvb i="9511"/>
        </ext>
      </extLst>
    </bk>
    <bk>
      <extLst>
        <ext uri="{3e2802c4-a4d2-4d8b-9148-e3be6c30e623}">
          <xlrd:rvb i="9512"/>
        </ext>
      </extLst>
    </bk>
    <bk>
      <extLst>
        <ext uri="{3e2802c4-a4d2-4d8b-9148-e3be6c30e623}">
          <xlrd:rvb i="9513"/>
        </ext>
      </extLst>
    </bk>
    <bk>
      <extLst>
        <ext uri="{3e2802c4-a4d2-4d8b-9148-e3be6c30e623}">
          <xlrd:rvb i="9514"/>
        </ext>
      </extLst>
    </bk>
    <bk>
      <extLst>
        <ext uri="{3e2802c4-a4d2-4d8b-9148-e3be6c30e623}">
          <xlrd:rvb i="9515"/>
        </ext>
      </extLst>
    </bk>
    <bk>
      <extLst>
        <ext uri="{3e2802c4-a4d2-4d8b-9148-e3be6c30e623}">
          <xlrd:rvb i="9516"/>
        </ext>
      </extLst>
    </bk>
    <bk>
      <extLst>
        <ext uri="{3e2802c4-a4d2-4d8b-9148-e3be6c30e623}">
          <xlrd:rvb i="9517"/>
        </ext>
      </extLst>
    </bk>
    <bk>
      <extLst>
        <ext uri="{3e2802c4-a4d2-4d8b-9148-e3be6c30e623}">
          <xlrd:rvb i="9518"/>
        </ext>
      </extLst>
    </bk>
    <bk>
      <extLst>
        <ext uri="{3e2802c4-a4d2-4d8b-9148-e3be6c30e623}">
          <xlrd:rvb i="9519"/>
        </ext>
      </extLst>
    </bk>
    <bk>
      <extLst>
        <ext uri="{3e2802c4-a4d2-4d8b-9148-e3be6c30e623}">
          <xlrd:rvb i="9520"/>
        </ext>
      </extLst>
    </bk>
    <bk>
      <extLst>
        <ext uri="{3e2802c4-a4d2-4d8b-9148-e3be6c30e623}">
          <xlrd:rvb i="9521"/>
        </ext>
      </extLst>
    </bk>
    <bk>
      <extLst>
        <ext uri="{3e2802c4-a4d2-4d8b-9148-e3be6c30e623}">
          <xlrd:rvb i="9522"/>
        </ext>
      </extLst>
    </bk>
    <bk>
      <extLst>
        <ext uri="{3e2802c4-a4d2-4d8b-9148-e3be6c30e623}">
          <xlrd:rvb i="9523"/>
        </ext>
      </extLst>
    </bk>
    <bk>
      <extLst>
        <ext uri="{3e2802c4-a4d2-4d8b-9148-e3be6c30e623}">
          <xlrd:rvb i="9524"/>
        </ext>
      </extLst>
    </bk>
    <bk>
      <extLst>
        <ext uri="{3e2802c4-a4d2-4d8b-9148-e3be6c30e623}">
          <xlrd:rvb i="9525"/>
        </ext>
      </extLst>
    </bk>
    <bk>
      <extLst>
        <ext uri="{3e2802c4-a4d2-4d8b-9148-e3be6c30e623}">
          <xlrd:rvb i="9526"/>
        </ext>
      </extLst>
    </bk>
    <bk>
      <extLst>
        <ext uri="{3e2802c4-a4d2-4d8b-9148-e3be6c30e623}">
          <xlrd:rvb i="9527"/>
        </ext>
      </extLst>
    </bk>
    <bk>
      <extLst>
        <ext uri="{3e2802c4-a4d2-4d8b-9148-e3be6c30e623}">
          <xlrd:rvb i="9528"/>
        </ext>
      </extLst>
    </bk>
    <bk>
      <extLst>
        <ext uri="{3e2802c4-a4d2-4d8b-9148-e3be6c30e623}">
          <xlrd:rvb i="9529"/>
        </ext>
      </extLst>
    </bk>
    <bk>
      <extLst>
        <ext uri="{3e2802c4-a4d2-4d8b-9148-e3be6c30e623}">
          <xlrd:rvb i="9530"/>
        </ext>
      </extLst>
    </bk>
    <bk>
      <extLst>
        <ext uri="{3e2802c4-a4d2-4d8b-9148-e3be6c30e623}">
          <xlrd:rvb i="9531"/>
        </ext>
      </extLst>
    </bk>
    <bk>
      <extLst>
        <ext uri="{3e2802c4-a4d2-4d8b-9148-e3be6c30e623}">
          <xlrd:rvb i="9532"/>
        </ext>
      </extLst>
    </bk>
    <bk>
      <extLst>
        <ext uri="{3e2802c4-a4d2-4d8b-9148-e3be6c30e623}">
          <xlrd:rvb i="9533"/>
        </ext>
      </extLst>
    </bk>
    <bk>
      <extLst>
        <ext uri="{3e2802c4-a4d2-4d8b-9148-e3be6c30e623}">
          <xlrd:rvb i="9534"/>
        </ext>
      </extLst>
    </bk>
    <bk>
      <extLst>
        <ext uri="{3e2802c4-a4d2-4d8b-9148-e3be6c30e623}">
          <xlrd:rvb i="9535"/>
        </ext>
      </extLst>
    </bk>
    <bk>
      <extLst>
        <ext uri="{3e2802c4-a4d2-4d8b-9148-e3be6c30e623}">
          <xlrd:rvb i="9536"/>
        </ext>
      </extLst>
    </bk>
    <bk>
      <extLst>
        <ext uri="{3e2802c4-a4d2-4d8b-9148-e3be6c30e623}">
          <xlrd:rvb i="9537"/>
        </ext>
      </extLst>
    </bk>
    <bk>
      <extLst>
        <ext uri="{3e2802c4-a4d2-4d8b-9148-e3be6c30e623}">
          <xlrd:rvb i="9538"/>
        </ext>
      </extLst>
    </bk>
    <bk>
      <extLst>
        <ext uri="{3e2802c4-a4d2-4d8b-9148-e3be6c30e623}">
          <xlrd:rvb i="9539"/>
        </ext>
      </extLst>
    </bk>
    <bk>
      <extLst>
        <ext uri="{3e2802c4-a4d2-4d8b-9148-e3be6c30e623}">
          <xlrd:rvb i="9540"/>
        </ext>
      </extLst>
    </bk>
    <bk>
      <extLst>
        <ext uri="{3e2802c4-a4d2-4d8b-9148-e3be6c30e623}">
          <xlrd:rvb i="9541"/>
        </ext>
      </extLst>
    </bk>
    <bk>
      <extLst>
        <ext uri="{3e2802c4-a4d2-4d8b-9148-e3be6c30e623}">
          <xlrd:rvb i="9542"/>
        </ext>
      </extLst>
    </bk>
    <bk>
      <extLst>
        <ext uri="{3e2802c4-a4d2-4d8b-9148-e3be6c30e623}">
          <xlrd:rvb i="9543"/>
        </ext>
      </extLst>
    </bk>
    <bk>
      <extLst>
        <ext uri="{3e2802c4-a4d2-4d8b-9148-e3be6c30e623}">
          <xlrd:rvb i="9544"/>
        </ext>
      </extLst>
    </bk>
    <bk>
      <extLst>
        <ext uri="{3e2802c4-a4d2-4d8b-9148-e3be6c30e623}">
          <xlrd:rvb i="9545"/>
        </ext>
      </extLst>
    </bk>
    <bk>
      <extLst>
        <ext uri="{3e2802c4-a4d2-4d8b-9148-e3be6c30e623}">
          <xlrd:rvb i="9546"/>
        </ext>
      </extLst>
    </bk>
    <bk>
      <extLst>
        <ext uri="{3e2802c4-a4d2-4d8b-9148-e3be6c30e623}">
          <xlrd:rvb i="9547"/>
        </ext>
      </extLst>
    </bk>
    <bk>
      <extLst>
        <ext uri="{3e2802c4-a4d2-4d8b-9148-e3be6c30e623}">
          <xlrd:rvb i="9548"/>
        </ext>
      </extLst>
    </bk>
    <bk>
      <extLst>
        <ext uri="{3e2802c4-a4d2-4d8b-9148-e3be6c30e623}">
          <xlrd:rvb i="9549"/>
        </ext>
      </extLst>
    </bk>
    <bk>
      <extLst>
        <ext uri="{3e2802c4-a4d2-4d8b-9148-e3be6c30e623}">
          <xlrd:rvb i="9550"/>
        </ext>
      </extLst>
    </bk>
    <bk>
      <extLst>
        <ext uri="{3e2802c4-a4d2-4d8b-9148-e3be6c30e623}">
          <xlrd:rvb i="9551"/>
        </ext>
      </extLst>
    </bk>
    <bk>
      <extLst>
        <ext uri="{3e2802c4-a4d2-4d8b-9148-e3be6c30e623}">
          <xlrd:rvb i="9552"/>
        </ext>
      </extLst>
    </bk>
    <bk>
      <extLst>
        <ext uri="{3e2802c4-a4d2-4d8b-9148-e3be6c30e623}">
          <xlrd:rvb i="9553"/>
        </ext>
      </extLst>
    </bk>
    <bk>
      <extLst>
        <ext uri="{3e2802c4-a4d2-4d8b-9148-e3be6c30e623}">
          <xlrd:rvb i="9554"/>
        </ext>
      </extLst>
    </bk>
    <bk>
      <extLst>
        <ext uri="{3e2802c4-a4d2-4d8b-9148-e3be6c30e623}">
          <xlrd:rvb i="9555"/>
        </ext>
      </extLst>
    </bk>
    <bk>
      <extLst>
        <ext uri="{3e2802c4-a4d2-4d8b-9148-e3be6c30e623}">
          <xlrd:rvb i="9556"/>
        </ext>
      </extLst>
    </bk>
    <bk>
      <extLst>
        <ext uri="{3e2802c4-a4d2-4d8b-9148-e3be6c30e623}">
          <xlrd:rvb i="9557"/>
        </ext>
      </extLst>
    </bk>
    <bk>
      <extLst>
        <ext uri="{3e2802c4-a4d2-4d8b-9148-e3be6c30e623}">
          <xlrd:rvb i="9558"/>
        </ext>
      </extLst>
    </bk>
    <bk>
      <extLst>
        <ext uri="{3e2802c4-a4d2-4d8b-9148-e3be6c30e623}">
          <xlrd:rvb i="9559"/>
        </ext>
      </extLst>
    </bk>
    <bk>
      <extLst>
        <ext uri="{3e2802c4-a4d2-4d8b-9148-e3be6c30e623}">
          <xlrd:rvb i="9560"/>
        </ext>
      </extLst>
    </bk>
    <bk>
      <extLst>
        <ext uri="{3e2802c4-a4d2-4d8b-9148-e3be6c30e623}">
          <xlrd:rvb i="9561"/>
        </ext>
      </extLst>
    </bk>
    <bk>
      <extLst>
        <ext uri="{3e2802c4-a4d2-4d8b-9148-e3be6c30e623}">
          <xlrd:rvb i="9562"/>
        </ext>
      </extLst>
    </bk>
    <bk>
      <extLst>
        <ext uri="{3e2802c4-a4d2-4d8b-9148-e3be6c30e623}">
          <xlrd:rvb i="9563"/>
        </ext>
      </extLst>
    </bk>
    <bk>
      <extLst>
        <ext uri="{3e2802c4-a4d2-4d8b-9148-e3be6c30e623}">
          <xlrd:rvb i="9564"/>
        </ext>
      </extLst>
    </bk>
    <bk>
      <extLst>
        <ext uri="{3e2802c4-a4d2-4d8b-9148-e3be6c30e623}">
          <xlrd:rvb i="9565"/>
        </ext>
      </extLst>
    </bk>
    <bk>
      <extLst>
        <ext uri="{3e2802c4-a4d2-4d8b-9148-e3be6c30e623}">
          <xlrd:rvb i="9566"/>
        </ext>
      </extLst>
    </bk>
    <bk>
      <extLst>
        <ext uri="{3e2802c4-a4d2-4d8b-9148-e3be6c30e623}">
          <xlrd:rvb i="9567"/>
        </ext>
      </extLst>
    </bk>
    <bk>
      <extLst>
        <ext uri="{3e2802c4-a4d2-4d8b-9148-e3be6c30e623}">
          <xlrd:rvb i="9568"/>
        </ext>
      </extLst>
    </bk>
    <bk>
      <extLst>
        <ext uri="{3e2802c4-a4d2-4d8b-9148-e3be6c30e623}">
          <xlrd:rvb i="9569"/>
        </ext>
      </extLst>
    </bk>
    <bk>
      <extLst>
        <ext uri="{3e2802c4-a4d2-4d8b-9148-e3be6c30e623}">
          <xlrd:rvb i="9570"/>
        </ext>
      </extLst>
    </bk>
    <bk>
      <extLst>
        <ext uri="{3e2802c4-a4d2-4d8b-9148-e3be6c30e623}">
          <xlrd:rvb i="9571"/>
        </ext>
      </extLst>
    </bk>
    <bk>
      <extLst>
        <ext uri="{3e2802c4-a4d2-4d8b-9148-e3be6c30e623}">
          <xlrd:rvb i="9572"/>
        </ext>
      </extLst>
    </bk>
    <bk>
      <extLst>
        <ext uri="{3e2802c4-a4d2-4d8b-9148-e3be6c30e623}">
          <xlrd:rvb i="9573"/>
        </ext>
      </extLst>
    </bk>
    <bk>
      <extLst>
        <ext uri="{3e2802c4-a4d2-4d8b-9148-e3be6c30e623}">
          <xlrd:rvb i="9574"/>
        </ext>
      </extLst>
    </bk>
    <bk>
      <extLst>
        <ext uri="{3e2802c4-a4d2-4d8b-9148-e3be6c30e623}">
          <xlrd:rvb i="9575"/>
        </ext>
      </extLst>
    </bk>
    <bk>
      <extLst>
        <ext uri="{3e2802c4-a4d2-4d8b-9148-e3be6c30e623}">
          <xlrd:rvb i="9576"/>
        </ext>
      </extLst>
    </bk>
    <bk>
      <extLst>
        <ext uri="{3e2802c4-a4d2-4d8b-9148-e3be6c30e623}">
          <xlrd:rvb i="9577"/>
        </ext>
      </extLst>
    </bk>
    <bk>
      <extLst>
        <ext uri="{3e2802c4-a4d2-4d8b-9148-e3be6c30e623}">
          <xlrd:rvb i="9578"/>
        </ext>
      </extLst>
    </bk>
    <bk>
      <extLst>
        <ext uri="{3e2802c4-a4d2-4d8b-9148-e3be6c30e623}">
          <xlrd:rvb i="9579"/>
        </ext>
      </extLst>
    </bk>
    <bk>
      <extLst>
        <ext uri="{3e2802c4-a4d2-4d8b-9148-e3be6c30e623}">
          <xlrd:rvb i="9580"/>
        </ext>
      </extLst>
    </bk>
    <bk>
      <extLst>
        <ext uri="{3e2802c4-a4d2-4d8b-9148-e3be6c30e623}">
          <xlrd:rvb i="9581"/>
        </ext>
      </extLst>
    </bk>
    <bk>
      <extLst>
        <ext uri="{3e2802c4-a4d2-4d8b-9148-e3be6c30e623}">
          <xlrd:rvb i="9582"/>
        </ext>
      </extLst>
    </bk>
    <bk>
      <extLst>
        <ext uri="{3e2802c4-a4d2-4d8b-9148-e3be6c30e623}">
          <xlrd:rvb i="9583"/>
        </ext>
      </extLst>
    </bk>
    <bk>
      <extLst>
        <ext uri="{3e2802c4-a4d2-4d8b-9148-e3be6c30e623}">
          <xlrd:rvb i="9584"/>
        </ext>
      </extLst>
    </bk>
    <bk>
      <extLst>
        <ext uri="{3e2802c4-a4d2-4d8b-9148-e3be6c30e623}">
          <xlrd:rvb i="9585"/>
        </ext>
      </extLst>
    </bk>
    <bk>
      <extLst>
        <ext uri="{3e2802c4-a4d2-4d8b-9148-e3be6c30e623}">
          <xlrd:rvb i="9586"/>
        </ext>
      </extLst>
    </bk>
    <bk>
      <extLst>
        <ext uri="{3e2802c4-a4d2-4d8b-9148-e3be6c30e623}">
          <xlrd:rvb i="9587"/>
        </ext>
      </extLst>
    </bk>
    <bk>
      <extLst>
        <ext uri="{3e2802c4-a4d2-4d8b-9148-e3be6c30e623}">
          <xlrd:rvb i="9588"/>
        </ext>
      </extLst>
    </bk>
    <bk>
      <extLst>
        <ext uri="{3e2802c4-a4d2-4d8b-9148-e3be6c30e623}">
          <xlrd:rvb i="9589"/>
        </ext>
      </extLst>
    </bk>
    <bk>
      <extLst>
        <ext uri="{3e2802c4-a4d2-4d8b-9148-e3be6c30e623}">
          <xlrd:rvb i="9590"/>
        </ext>
      </extLst>
    </bk>
    <bk>
      <extLst>
        <ext uri="{3e2802c4-a4d2-4d8b-9148-e3be6c30e623}">
          <xlrd:rvb i="9591"/>
        </ext>
      </extLst>
    </bk>
    <bk>
      <extLst>
        <ext uri="{3e2802c4-a4d2-4d8b-9148-e3be6c30e623}">
          <xlrd:rvb i="9592"/>
        </ext>
      </extLst>
    </bk>
    <bk>
      <extLst>
        <ext uri="{3e2802c4-a4d2-4d8b-9148-e3be6c30e623}">
          <xlrd:rvb i="9593"/>
        </ext>
      </extLst>
    </bk>
    <bk>
      <extLst>
        <ext uri="{3e2802c4-a4d2-4d8b-9148-e3be6c30e623}">
          <xlrd:rvb i="9594"/>
        </ext>
      </extLst>
    </bk>
    <bk>
      <extLst>
        <ext uri="{3e2802c4-a4d2-4d8b-9148-e3be6c30e623}">
          <xlrd:rvb i="9595"/>
        </ext>
      </extLst>
    </bk>
    <bk>
      <extLst>
        <ext uri="{3e2802c4-a4d2-4d8b-9148-e3be6c30e623}">
          <xlrd:rvb i="9596"/>
        </ext>
      </extLst>
    </bk>
    <bk>
      <extLst>
        <ext uri="{3e2802c4-a4d2-4d8b-9148-e3be6c30e623}">
          <xlrd:rvb i="9597"/>
        </ext>
      </extLst>
    </bk>
    <bk>
      <extLst>
        <ext uri="{3e2802c4-a4d2-4d8b-9148-e3be6c30e623}">
          <xlrd:rvb i="9598"/>
        </ext>
      </extLst>
    </bk>
    <bk>
      <extLst>
        <ext uri="{3e2802c4-a4d2-4d8b-9148-e3be6c30e623}">
          <xlrd:rvb i="9599"/>
        </ext>
      </extLst>
    </bk>
    <bk>
      <extLst>
        <ext uri="{3e2802c4-a4d2-4d8b-9148-e3be6c30e623}">
          <xlrd:rvb i="9600"/>
        </ext>
      </extLst>
    </bk>
    <bk>
      <extLst>
        <ext uri="{3e2802c4-a4d2-4d8b-9148-e3be6c30e623}">
          <xlrd:rvb i="9601"/>
        </ext>
      </extLst>
    </bk>
    <bk>
      <extLst>
        <ext uri="{3e2802c4-a4d2-4d8b-9148-e3be6c30e623}">
          <xlrd:rvb i="9602"/>
        </ext>
      </extLst>
    </bk>
    <bk>
      <extLst>
        <ext uri="{3e2802c4-a4d2-4d8b-9148-e3be6c30e623}">
          <xlrd:rvb i="9603"/>
        </ext>
      </extLst>
    </bk>
    <bk>
      <extLst>
        <ext uri="{3e2802c4-a4d2-4d8b-9148-e3be6c30e623}">
          <xlrd:rvb i="9604"/>
        </ext>
      </extLst>
    </bk>
    <bk>
      <extLst>
        <ext uri="{3e2802c4-a4d2-4d8b-9148-e3be6c30e623}">
          <xlrd:rvb i="9605"/>
        </ext>
      </extLst>
    </bk>
    <bk>
      <extLst>
        <ext uri="{3e2802c4-a4d2-4d8b-9148-e3be6c30e623}">
          <xlrd:rvb i="9606"/>
        </ext>
      </extLst>
    </bk>
    <bk>
      <extLst>
        <ext uri="{3e2802c4-a4d2-4d8b-9148-e3be6c30e623}">
          <xlrd:rvb i="9607"/>
        </ext>
      </extLst>
    </bk>
    <bk>
      <extLst>
        <ext uri="{3e2802c4-a4d2-4d8b-9148-e3be6c30e623}">
          <xlrd:rvb i="9608"/>
        </ext>
      </extLst>
    </bk>
    <bk>
      <extLst>
        <ext uri="{3e2802c4-a4d2-4d8b-9148-e3be6c30e623}">
          <xlrd:rvb i="9609"/>
        </ext>
      </extLst>
    </bk>
    <bk>
      <extLst>
        <ext uri="{3e2802c4-a4d2-4d8b-9148-e3be6c30e623}">
          <xlrd:rvb i="9610"/>
        </ext>
      </extLst>
    </bk>
    <bk>
      <extLst>
        <ext uri="{3e2802c4-a4d2-4d8b-9148-e3be6c30e623}">
          <xlrd:rvb i="9611"/>
        </ext>
      </extLst>
    </bk>
    <bk>
      <extLst>
        <ext uri="{3e2802c4-a4d2-4d8b-9148-e3be6c30e623}">
          <xlrd:rvb i="9612"/>
        </ext>
      </extLst>
    </bk>
    <bk>
      <extLst>
        <ext uri="{3e2802c4-a4d2-4d8b-9148-e3be6c30e623}">
          <xlrd:rvb i="9613"/>
        </ext>
      </extLst>
    </bk>
    <bk>
      <extLst>
        <ext uri="{3e2802c4-a4d2-4d8b-9148-e3be6c30e623}">
          <xlrd:rvb i="9614"/>
        </ext>
      </extLst>
    </bk>
    <bk>
      <extLst>
        <ext uri="{3e2802c4-a4d2-4d8b-9148-e3be6c30e623}">
          <xlrd:rvb i="9615"/>
        </ext>
      </extLst>
    </bk>
    <bk>
      <extLst>
        <ext uri="{3e2802c4-a4d2-4d8b-9148-e3be6c30e623}">
          <xlrd:rvb i="9616"/>
        </ext>
      </extLst>
    </bk>
    <bk>
      <extLst>
        <ext uri="{3e2802c4-a4d2-4d8b-9148-e3be6c30e623}">
          <xlrd:rvb i="9617"/>
        </ext>
      </extLst>
    </bk>
    <bk>
      <extLst>
        <ext uri="{3e2802c4-a4d2-4d8b-9148-e3be6c30e623}">
          <xlrd:rvb i="9618"/>
        </ext>
      </extLst>
    </bk>
    <bk>
      <extLst>
        <ext uri="{3e2802c4-a4d2-4d8b-9148-e3be6c30e623}">
          <xlrd:rvb i="9619"/>
        </ext>
      </extLst>
    </bk>
    <bk>
      <extLst>
        <ext uri="{3e2802c4-a4d2-4d8b-9148-e3be6c30e623}">
          <xlrd:rvb i="9620"/>
        </ext>
      </extLst>
    </bk>
    <bk>
      <extLst>
        <ext uri="{3e2802c4-a4d2-4d8b-9148-e3be6c30e623}">
          <xlrd:rvb i="9621"/>
        </ext>
      </extLst>
    </bk>
    <bk>
      <extLst>
        <ext uri="{3e2802c4-a4d2-4d8b-9148-e3be6c30e623}">
          <xlrd:rvb i="9622"/>
        </ext>
      </extLst>
    </bk>
    <bk>
      <extLst>
        <ext uri="{3e2802c4-a4d2-4d8b-9148-e3be6c30e623}">
          <xlrd:rvb i="9623"/>
        </ext>
      </extLst>
    </bk>
    <bk>
      <extLst>
        <ext uri="{3e2802c4-a4d2-4d8b-9148-e3be6c30e623}">
          <xlrd:rvb i="9624"/>
        </ext>
      </extLst>
    </bk>
    <bk>
      <extLst>
        <ext uri="{3e2802c4-a4d2-4d8b-9148-e3be6c30e623}">
          <xlrd:rvb i="9625"/>
        </ext>
      </extLst>
    </bk>
    <bk>
      <extLst>
        <ext uri="{3e2802c4-a4d2-4d8b-9148-e3be6c30e623}">
          <xlrd:rvb i="9626"/>
        </ext>
      </extLst>
    </bk>
    <bk>
      <extLst>
        <ext uri="{3e2802c4-a4d2-4d8b-9148-e3be6c30e623}">
          <xlrd:rvb i="9627"/>
        </ext>
      </extLst>
    </bk>
    <bk>
      <extLst>
        <ext uri="{3e2802c4-a4d2-4d8b-9148-e3be6c30e623}">
          <xlrd:rvb i="9628"/>
        </ext>
      </extLst>
    </bk>
    <bk>
      <extLst>
        <ext uri="{3e2802c4-a4d2-4d8b-9148-e3be6c30e623}">
          <xlrd:rvb i="9629"/>
        </ext>
      </extLst>
    </bk>
    <bk>
      <extLst>
        <ext uri="{3e2802c4-a4d2-4d8b-9148-e3be6c30e623}">
          <xlrd:rvb i="9630"/>
        </ext>
      </extLst>
    </bk>
    <bk>
      <extLst>
        <ext uri="{3e2802c4-a4d2-4d8b-9148-e3be6c30e623}">
          <xlrd:rvb i="9631"/>
        </ext>
      </extLst>
    </bk>
    <bk>
      <extLst>
        <ext uri="{3e2802c4-a4d2-4d8b-9148-e3be6c30e623}">
          <xlrd:rvb i="9632"/>
        </ext>
      </extLst>
    </bk>
    <bk>
      <extLst>
        <ext uri="{3e2802c4-a4d2-4d8b-9148-e3be6c30e623}">
          <xlrd:rvb i="9633"/>
        </ext>
      </extLst>
    </bk>
    <bk>
      <extLst>
        <ext uri="{3e2802c4-a4d2-4d8b-9148-e3be6c30e623}">
          <xlrd:rvb i="9634"/>
        </ext>
      </extLst>
    </bk>
    <bk>
      <extLst>
        <ext uri="{3e2802c4-a4d2-4d8b-9148-e3be6c30e623}">
          <xlrd:rvb i="9635"/>
        </ext>
      </extLst>
    </bk>
    <bk>
      <extLst>
        <ext uri="{3e2802c4-a4d2-4d8b-9148-e3be6c30e623}">
          <xlrd:rvb i="9636"/>
        </ext>
      </extLst>
    </bk>
    <bk>
      <extLst>
        <ext uri="{3e2802c4-a4d2-4d8b-9148-e3be6c30e623}">
          <xlrd:rvb i="9637"/>
        </ext>
      </extLst>
    </bk>
    <bk>
      <extLst>
        <ext uri="{3e2802c4-a4d2-4d8b-9148-e3be6c30e623}">
          <xlrd:rvb i="9638"/>
        </ext>
      </extLst>
    </bk>
    <bk>
      <extLst>
        <ext uri="{3e2802c4-a4d2-4d8b-9148-e3be6c30e623}">
          <xlrd:rvb i="9639"/>
        </ext>
      </extLst>
    </bk>
    <bk>
      <extLst>
        <ext uri="{3e2802c4-a4d2-4d8b-9148-e3be6c30e623}">
          <xlrd:rvb i="9640"/>
        </ext>
      </extLst>
    </bk>
    <bk>
      <extLst>
        <ext uri="{3e2802c4-a4d2-4d8b-9148-e3be6c30e623}">
          <xlrd:rvb i="9641"/>
        </ext>
      </extLst>
    </bk>
    <bk>
      <extLst>
        <ext uri="{3e2802c4-a4d2-4d8b-9148-e3be6c30e623}">
          <xlrd:rvb i="9642"/>
        </ext>
      </extLst>
    </bk>
    <bk>
      <extLst>
        <ext uri="{3e2802c4-a4d2-4d8b-9148-e3be6c30e623}">
          <xlrd:rvb i="9643"/>
        </ext>
      </extLst>
    </bk>
    <bk>
      <extLst>
        <ext uri="{3e2802c4-a4d2-4d8b-9148-e3be6c30e623}">
          <xlrd:rvb i="9644"/>
        </ext>
      </extLst>
    </bk>
    <bk>
      <extLst>
        <ext uri="{3e2802c4-a4d2-4d8b-9148-e3be6c30e623}">
          <xlrd:rvb i="9645"/>
        </ext>
      </extLst>
    </bk>
    <bk>
      <extLst>
        <ext uri="{3e2802c4-a4d2-4d8b-9148-e3be6c30e623}">
          <xlrd:rvb i="9646"/>
        </ext>
      </extLst>
    </bk>
    <bk>
      <extLst>
        <ext uri="{3e2802c4-a4d2-4d8b-9148-e3be6c30e623}">
          <xlrd:rvb i="9647"/>
        </ext>
      </extLst>
    </bk>
    <bk>
      <extLst>
        <ext uri="{3e2802c4-a4d2-4d8b-9148-e3be6c30e623}">
          <xlrd:rvb i="9648"/>
        </ext>
      </extLst>
    </bk>
    <bk>
      <extLst>
        <ext uri="{3e2802c4-a4d2-4d8b-9148-e3be6c30e623}">
          <xlrd:rvb i="9649"/>
        </ext>
      </extLst>
    </bk>
    <bk>
      <extLst>
        <ext uri="{3e2802c4-a4d2-4d8b-9148-e3be6c30e623}">
          <xlrd:rvb i="9650"/>
        </ext>
      </extLst>
    </bk>
    <bk>
      <extLst>
        <ext uri="{3e2802c4-a4d2-4d8b-9148-e3be6c30e623}">
          <xlrd:rvb i="9651"/>
        </ext>
      </extLst>
    </bk>
    <bk>
      <extLst>
        <ext uri="{3e2802c4-a4d2-4d8b-9148-e3be6c30e623}">
          <xlrd:rvb i="9652"/>
        </ext>
      </extLst>
    </bk>
    <bk>
      <extLst>
        <ext uri="{3e2802c4-a4d2-4d8b-9148-e3be6c30e623}">
          <xlrd:rvb i="9653"/>
        </ext>
      </extLst>
    </bk>
    <bk>
      <extLst>
        <ext uri="{3e2802c4-a4d2-4d8b-9148-e3be6c30e623}">
          <xlrd:rvb i="9654"/>
        </ext>
      </extLst>
    </bk>
    <bk>
      <extLst>
        <ext uri="{3e2802c4-a4d2-4d8b-9148-e3be6c30e623}">
          <xlrd:rvb i="9655"/>
        </ext>
      </extLst>
    </bk>
    <bk>
      <extLst>
        <ext uri="{3e2802c4-a4d2-4d8b-9148-e3be6c30e623}">
          <xlrd:rvb i="9656"/>
        </ext>
      </extLst>
    </bk>
    <bk>
      <extLst>
        <ext uri="{3e2802c4-a4d2-4d8b-9148-e3be6c30e623}">
          <xlrd:rvb i="9657"/>
        </ext>
      </extLst>
    </bk>
    <bk>
      <extLst>
        <ext uri="{3e2802c4-a4d2-4d8b-9148-e3be6c30e623}">
          <xlrd:rvb i="9658"/>
        </ext>
      </extLst>
    </bk>
    <bk>
      <extLst>
        <ext uri="{3e2802c4-a4d2-4d8b-9148-e3be6c30e623}">
          <xlrd:rvb i="9659"/>
        </ext>
      </extLst>
    </bk>
    <bk>
      <extLst>
        <ext uri="{3e2802c4-a4d2-4d8b-9148-e3be6c30e623}">
          <xlrd:rvb i="9660"/>
        </ext>
      </extLst>
    </bk>
    <bk>
      <extLst>
        <ext uri="{3e2802c4-a4d2-4d8b-9148-e3be6c30e623}">
          <xlrd:rvb i="9661"/>
        </ext>
      </extLst>
    </bk>
    <bk>
      <extLst>
        <ext uri="{3e2802c4-a4d2-4d8b-9148-e3be6c30e623}">
          <xlrd:rvb i="9662"/>
        </ext>
      </extLst>
    </bk>
    <bk>
      <extLst>
        <ext uri="{3e2802c4-a4d2-4d8b-9148-e3be6c30e623}">
          <xlrd:rvb i="9663"/>
        </ext>
      </extLst>
    </bk>
    <bk>
      <extLst>
        <ext uri="{3e2802c4-a4d2-4d8b-9148-e3be6c30e623}">
          <xlrd:rvb i="9664"/>
        </ext>
      </extLst>
    </bk>
    <bk>
      <extLst>
        <ext uri="{3e2802c4-a4d2-4d8b-9148-e3be6c30e623}">
          <xlrd:rvb i="9665"/>
        </ext>
      </extLst>
    </bk>
    <bk>
      <extLst>
        <ext uri="{3e2802c4-a4d2-4d8b-9148-e3be6c30e623}">
          <xlrd:rvb i="9666"/>
        </ext>
      </extLst>
    </bk>
    <bk>
      <extLst>
        <ext uri="{3e2802c4-a4d2-4d8b-9148-e3be6c30e623}">
          <xlrd:rvb i="9667"/>
        </ext>
      </extLst>
    </bk>
    <bk>
      <extLst>
        <ext uri="{3e2802c4-a4d2-4d8b-9148-e3be6c30e623}">
          <xlrd:rvb i="9668"/>
        </ext>
      </extLst>
    </bk>
    <bk>
      <extLst>
        <ext uri="{3e2802c4-a4d2-4d8b-9148-e3be6c30e623}">
          <xlrd:rvb i="9669"/>
        </ext>
      </extLst>
    </bk>
    <bk>
      <extLst>
        <ext uri="{3e2802c4-a4d2-4d8b-9148-e3be6c30e623}">
          <xlrd:rvb i="9670"/>
        </ext>
      </extLst>
    </bk>
    <bk>
      <extLst>
        <ext uri="{3e2802c4-a4d2-4d8b-9148-e3be6c30e623}">
          <xlrd:rvb i="9671"/>
        </ext>
      </extLst>
    </bk>
    <bk>
      <extLst>
        <ext uri="{3e2802c4-a4d2-4d8b-9148-e3be6c30e623}">
          <xlrd:rvb i="9672"/>
        </ext>
      </extLst>
    </bk>
    <bk>
      <extLst>
        <ext uri="{3e2802c4-a4d2-4d8b-9148-e3be6c30e623}">
          <xlrd:rvb i="9673"/>
        </ext>
      </extLst>
    </bk>
    <bk>
      <extLst>
        <ext uri="{3e2802c4-a4d2-4d8b-9148-e3be6c30e623}">
          <xlrd:rvb i="9674"/>
        </ext>
      </extLst>
    </bk>
    <bk>
      <extLst>
        <ext uri="{3e2802c4-a4d2-4d8b-9148-e3be6c30e623}">
          <xlrd:rvb i="9675"/>
        </ext>
      </extLst>
    </bk>
    <bk>
      <extLst>
        <ext uri="{3e2802c4-a4d2-4d8b-9148-e3be6c30e623}">
          <xlrd:rvb i="9676"/>
        </ext>
      </extLst>
    </bk>
    <bk>
      <extLst>
        <ext uri="{3e2802c4-a4d2-4d8b-9148-e3be6c30e623}">
          <xlrd:rvb i="9677"/>
        </ext>
      </extLst>
    </bk>
    <bk>
      <extLst>
        <ext uri="{3e2802c4-a4d2-4d8b-9148-e3be6c30e623}">
          <xlrd:rvb i="9678"/>
        </ext>
      </extLst>
    </bk>
    <bk>
      <extLst>
        <ext uri="{3e2802c4-a4d2-4d8b-9148-e3be6c30e623}">
          <xlrd:rvb i="9679"/>
        </ext>
      </extLst>
    </bk>
    <bk>
      <extLst>
        <ext uri="{3e2802c4-a4d2-4d8b-9148-e3be6c30e623}">
          <xlrd:rvb i="9680"/>
        </ext>
      </extLst>
    </bk>
    <bk>
      <extLst>
        <ext uri="{3e2802c4-a4d2-4d8b-9148-e3be6c30e623}">
          <xlrd:rvb i="9681"/>
        </ext>
      </extLst>
    </bk>
    <bk>
      <extLst>
        <ext uri="{3e2802c4-a4d2-4d8b-9148-e3be6c30e623}">
          <xlrd:rvb i="9682"/>
        </ext>
      </extLst>
    </bk>
    <bk>
      <extLst>
        <ext uri="{3e2802c4-a4d2-4d8b-9148-e3be6c30e623}">
          <xlrd:rvb i="9683"/>
        </ext>
      </extLst>
    </bk>
    <bk>
      <extLst>
        <ext uri="{3e2802c4-a4d2-4d8b-9148-e3be6c30e623}">
          <xlrd:rvb i="9684"/>
        </ext>
      </extLst>
    </bk>
    <bk>
      <extLst>
        <ext uri="{3e2802c4-a4d2-4d8b-9148-e3be6c30e623}">
          <xlrd:rvb i="9685"/>
        </ext>
      </extLst>
    </bk>
    <bk>
      <extLst>
        <ext uri="{3e2802c4-a4d2-4d8b-9148-e3be6c30e623}">
          <xlrd:rvb i="9686"/>
        </ext>
      </extLst>
    </bk>
    <bk>
      <extLst>
        <ext uri="{3e2802c4-a4d2-4d8b-9148-e3be6c30e623}">
          <xlrd:rvb i="9687"/>
        </ext>
      </extLst>
    </bk>
    <bk>
      <extLst>
        <ext uri="{3e2802c4-a4d2-4d8b-9148-e3be6c30e623}">
          <xlrd:rvb i="9688"/>
        </ext>
      </extLst>
    </bk>
    <bk>
      <extLst>
        <ext uri="{3e2802c4-a4d2-4d8b-9148-e3be6c30e623}">
          <xlrd:rvb i="9689"/>
        </ext>
      </extLst>
    </bk>
    <bk>
      <extLst>
        <ext uri="{3e2802c4-a4d2-4d8b-9148-e3be6c30e623}">
          <xlrd:rvb i="9690"/>
        </ext>
      </extLst>
    </bk>
    <bk>
      <extLst>
        <ext uri="{3e2802c4-a4d2-4d8b-9148-e3be6c30e623}">
          <xlrd:rvb i="9691"/>
        </ext>
      </extLst>
    </bk>
    <bk>
      <extLst>
        <ext uri="{3e2802c4-a4d2-4d8b-9148-e3be6c30e623}">
          <xlrd:rvb i="9692"/>
        </ext>
      </extLst>
    </bk>
    <bk>
      <extLst>
        <ext uri="{3e2802c4-a4d2-4d8b-9148-e3be6c30e623}">
          <xlrd:rvb i="9693"/>
        </ext>
      </extLst>
    </bk>
    <bk>
      <extLst>
        <ext uri="{3e2802c4-a4d2-4d8b-9148-e3be6c30e623}">
          <xlrd:rvb i="9694"/>
        </ext>
      </extLst>
    </bk>
    <bk>
      <extLst>
        <ext uri="{3e2802c4-a4d2-4d8b-9148-e3be6c30e623}">
          <xlrd:rvb i="9695"/>
        </ext>
      </extLst>
    </bk>
    <bk>
      <extLst>
        <ext uri="{3e2802c4-a4d2-4d8b-9148-e3be6c30e623}">
          <xlrd:rvb i="9696"/>
        </ext>
      </extLst>
    </bk>
    <bk>
      <extLst>
        <ext uri="{3e2802c4-a4d2-4d8b-9148-e3be6c30e623}">
          <xlrd:rvb i="9697"/>
        </ext>
      </extLst>
    </bk>
    <bk>
      <extLst>
        <ext uri="{3e2802c4-a4d2-4d8b-9148-e3be6c30e623}">
          <xlrd:rvb i="9698"/>
        </ext>
      </extLst>
    </bk>
    <bk>
      <extLst>
        <ext uri="{3e2802c4-a4d2-4d8b-9148-e3be6c30e623}">
          <xlrd:rvb i="9699"/>
        </ext>
      </extLst>
    </bk>
    <bk>
      <extLst>
        <ext uri="{3e2802c4-a4d2-4d8b-9148-e3be6c30e623}">
          <xlrd:rvb i="9700"/>
        </ext>
      </extLst>
    </bk>
    <bk>
      <extLst>
        <ext uri="{3e2802c4-a4d2-4d8b-9148-e3be6c30e623}">
          <xlrd:rvb i="9701"/>
        </ext>
      </extLst>
    </bk>
    <bk>
      <extLst>
        <ext uri="{3e2802c4-a4d2-4d8b-9148-e3be6c30e623}">
          <xlrd:rvb i="9702"/>
        </ext>
      </extLst>
    </bk>
    <bk>
      <extLst>
        <ext uri="{3e2802c4-a4d2-4d8b-9148-e3be6c30e623}">
          <xlrd:rvb i="9703"/>
        </ext>
      </extLst>
    </bk>
    <bk>
      <extLst>
        <ext uri="{3e2802c4-a4d2-4d8b-9148-e3be6c30e623}">
          <xlrd:rvb i="9704"/>
        </ext>
      </extLst>
    </bk>
    <bk>
      <extLst>
        <ext uri="{3e2802c4-a4d2-4d8b-9148-e3be6c30e623}">
          <xlrd:rvb i="9705"/>
        </ext>
      </extLst>
    </bk>
    <bk>
      <extLst>
        <ext uri="{3e2802c4-a4d2-4d8b-9148-e3be6c30e623}">
          <xlrd:rvb i="9706"/>
        </ext>
      </extLst>
    </bk>
    <bk>
      <extLst>
        <ext uri="{3e2802c4-a4d2-4d8b-9148-e3be6c30e623}">
          <xlrd:rvb i="9707"/>
        </ext>
      </extLst>
    </bk>
    <bk>
      <extLst>
        <ext uri="{3e2802c4-a4d2-4d8b-9148-e3be6c30e623}">
          <xlrd:rvb i="9708"/>
        </ext>
      </extLst>
    </bk>
    <bk>
      <extLst>
        <ext uri="{3e2802c4-a4d2-4d8b-9148-e3be6c30e623}">
          <xlrd:rvb i="9709"/>
        </ext>
      </extLst>
    </bk>
    <bk>
      <extLst>
        <ext uri="{3e2802c4-a4d2-4d8b-9148-e3be6c30e623}">
          <xlrd:rvb i="9710"/>
        </ext>
      </extLst>
    </bk>
    <bk>
      <extLst>
        <ext uri="{3e2802c4-a4d2-4d8b-9148-e3be6c30e623}">
          <xlrd:rvb i="9711"/>
        </ext>
      </extLst>
    </bk>
    <bk>
      <extLst>
        <ext uri="{3e2802c4-a4d2-4d8b-9148-e3be6c30e623}">
          <xlrd:rvb i="9712"/>
        </ext>
      </extLst>
    </bk>
    <bk>
      <extLst>
        <ext uri="{3e2802c4-a4d2-4d8b-9148-e3be6c30e623}">
          <xlrd:rvb i="9713"/>
        </ext>
      </extLst>
    </bk>
    <bk>
      <extLst>
        <ext uri="{3e2802c4-a4d2-4d8b-9148-e3be6c30e623}">
          <xlrd:rvb i="9714"/>
        </ext>
      </extLst>
    </bk>
    <bk>
      <extLst>
        <ext uri="{3e2802c4-a4d2-4d8b-9148-e3be6c30e623}">
          <xlrd:rvb i="9715"/>
        </ext>
      </extLst>
    </bk>
    <bk>
      <extLst>
        <ext uri="{3e2802c4-a4d2-4d8b-9148-e3be6c30e623}">
          <xlrd:rvb i="9716"/>
        </ext>
      </extLst>
    </bk>
    <bk>
      <extLst>
        <ext uri="{3e2802c4-a4d2-4d8b-9148-e3be6c30e623}">
          <xlrd:rvb i="9717"/>
        </ext>
      </extLst>
    </bk>
    <bk>
      <extLst>
        <ext uri="{3e2802c4-a4d2-4d8b-9148-e3be6c30e623}">
          <xlrd:rvb i="9718"/>
        </ext>
      </extLst>
    </bk>
    <bk>
      <extLst>
        <ext uri="{3e2802c4-a4d2-4d8b-9148-e3be6c30e623}">
          <xlrd:rvb i="9719"/>
        </ext>
      </extLst>
    </bk>
    <bk>
      <extLst>
        <ext uri="{3e2802c4-a4d2-4d8b-9148-e3be6c30e623}">
          <xlrd:rvb i="9720"/>
        </ext>
      </extLst>
    </bk>
    <bk>
      <extLst>
        <ext uri="{3e2802c4-a4d2-4d8b-9148-e3be6c30e623}">
          <xlrd:rvb i="9721"/>
        </ext>
      </extLst>
    </bk>
    <bk>
      <extLst>
        <ext uri="{3e2802c4-a4d2-4d8b-9148-e3be6c30e623}">
          <xlrd:rvb i="9722"/>
        </ext>
      </extLst>
    </bk>
    <bk>
      <extLst>
        <ext uri="{3e2802c4-a4d2-4d8b-9148-e3be6c30e623}">
          <xlrd:rvb i="9723"/>
        </ext>
      </extLst>
    </bk>
    <bk>
      <extLst>
        <ext uri="{3e2802c4-a4d2-4d8b-9148-e3be6c30e623}">
          <xlrd:rvb i="9724"/>
        </ext>
      </extLst>
    </bk>
    <bk>
      <extLst>
        <ext uri="{3e2802c4-a4d2-4d8b-9148-e3be6c30e623}">
          <xlrd:rvb i="9725"/>
        </ext>
      </extLst>
    </bk>
    <bk>
      <extLst>
        <ext uri="{3e2802c4-a4d2-4d8b-9148-e3be6c30e623}">
          <xlrd:rvb i="9726"/>
        </ext>
      </extLst>
    </bk>
    <bk>
      <extLst>
        <ext uri="{3e2802c4-a4d2-4d8b-9148-e3be6c30e623}">
          <xlrd:rvb i="9727"/>
        </ext>
      </extLst>
    </bk>
    <bk>
      <extLst>
        <ext uri="{3e2802c4-a4d2-4d8b-9148-e3be6c30e623}">
          <xlrd:rvb i="9728"/>
        </ext>
      </extLst>
    </bk>
    <bk>
      <extLst>
        <ext uri="{3e2802c4-a4d2-4d8b-9148-e3be6c30e623}">
          <xlrd:rvb i="9729"/>
        </ext>
      </extLst>
    </bk>
    <bk>
      <extLst>
        <ext uri="{3e2802c4-a4d2-4d8b-9148-e3be6c30e623}">
          <xlrd:rvb i="9730"/>
        </ext>
      </extLst>
    </bk>
    <bk>
      <extLst>
        <ext uri="{3e2802c4-a4d2-4d8b-9148-e3be6c30e623}">
          <xlrd:rvb i="9731"/>
        </ext>
      </extLst>
    </bk>
    <bk>
      <extLst>
        <ext uri="{3e2802c4-a4d2-4d8b-9148-e3be6c30e623}">
          <xlrd:rvb i="9732"/>
        </ext>
      </extLst>
    </bk>
    <bk>
      <extLst>
        <ext uri="{3e2802c4-a4d2-4d8b-9148-e3be6c30e623}">
          <xlrd:rvb i="9733"/>
        </ext>
      </extLst>
    </bk>
    <bk>
      <extLst>
        <ext uri="{3e2802c4-a4d2-4d8b-9148-e3be6c30e623}">
          <xlrd:rvb i="9734"/>
        </ext>
      </extLst>
    </bk>
    <bk>
      <extLst>
        <ext uri="{3e2802c4-a4d2-4d8b-9148-e3be6c30e623}">
          <xlrd:rvb i="9735"/>
        </ext>
      </extLst>
    </bk>
    <bk>
      <extLst>
        <ext uri="{3e2802c4-a4d2-4d8b-9148-e3be6c30e623}">
          <xlrd:rvb i="9736"/>
        </ext>
      </extLst>
    </bk>
    <bk>
      <extLst>
        <ext uri="{3e2802c4-a4d2-4d8b-9148-e3be6c30e623}">
          <xlrd:rvb i="9737"/>
        </ext>
      </extLst>
    </bk>
    <bk>
      <extLst>
        <ext uri="{3e2802c4-a4d2-4d8b-9148-e3be6c30e623}">
          <xlrd:rvb i="9738"/>
        </ext>
      </extLst>
    </bk>
    <bk>
      <extLst>
        <ext uri="{3e2802c4-a4d2-4d8b-9148-e3be6c30e623}">
          <xlrd:rvb i="9739"/>
        </ext>
      </extLst>
    </bk>
    <bk>
      <extLst>
        <ext uri="{3e2802c4-a4d2-4d8b-9148-e3be6c30e623}">
          <xlrd:rvb i="9740"/>
        </ext>
      </extLst>
    </bk>
    <bk>
      <extLst>
        <ext uri="{3e2802c4-a4d2-4d8b-9148-e3be6c30e623}">
          <xlrd:rvb i="9741"/>
        </ext>
      </extLst>
    </bk>
    <bk>
      <extLst>
        <ext uri="{3e2802c4-a4d2-4d8b-9148-e3be6c30e623}">
          <xlrd:rvb i="9742"/>
        </ext>
      </extLst>
    </bk>
    <bk>
      <extLst>
        <ext uri="{3e2802c4-a4d2-4d8b-9148-e3be6c30e623}">
          <xlrd:rvb i="9743"/>
        </ext>
      </extLst>
    </bk>
    <bk>
      <extLst>
        <ext uri="{3e2802c4-a4d2-4d8b-9148-e3be6c30e623}">
          <xlrd:rvb i="9744"/>
        </ext>
      </extLst>
    </bk>
    <bk>
      <extLst>
        <ext uri="{3e2802c4-a4d2-4d8b-9148-e3be6c30e623}">
          <xlrd:rvb i="9745"/>
        </ext>
      </extLst>
    </bk>
    <bk>
      <extLst>
        <ext uri="{3e2802c4-a4d2-4d8b-9148-e3be6c30e623}">
          <xlrd:rvb i="9746"/>
        </ext>
      </extLst>
    </bk>
    <bk>
      <extLst>
        <ext uri="{3e2802c4-a4d2-4d8b-9148-e3be6c30e623}">
          <xlrd:rvb i="9747"/>
        </ext>
      </extLst>
    </bk>
    <bk>
      <extLst>
        <ext uri="{3e2802c4-a4d2-4d8b-9148-e3be6c30e623}">
          <xlrd:rvb i="9748"/>
        </ext>
      </extLst>
    </bk>
    <bk>
      <extLst>
        <ext uri="{3e2802c4-a4d2-4d8b-9148-e3be6c30e623}">
          <xlrd:rvb i="9749"/>
        </ext>
      </extLst>
    </bk>
    <bk>
      <extLst>
        <ext uri="{3e2802c4-a4d2-4d8b-9148-e3be6c30e623}">
          <xlrd:rvb i="9750"/>
        </ext>
      </extLst>
    </bk>
    <bk>
      <extLst>
        <ext uri="{3e2802c4-a4d2-4d8b-9148-e3be6c30e623}">
          <xlrd:rvb i="9751"/>
        </ext>
      </extLst>
    </bk>
    <bk>
      <extLst>
        <ext uri="{3e2802c4-a4d2-4d8b-9148-e3be6c30e623}">
          <xlrd:rvb i="9752"/>
        </ext>
      </extLst>
    </bk>
    <bk>
      <extLst>
        <ext uri="{3e2802c4-a4d2-4d8b-9148-e3be6c30e623}">
          <xlrd:rvb i="9753"/>
        </ext>
      </extLst>
    </bk>
    <bk>
      <extLst>
        <ext uri="{3e2802c4-a4d2-4d8b-9148-e3be6c30e623}">
          <xlrd:rvb i="9754"/>
        </ext>
      </extLst>
    </bk>
    <bk>
      <extLst>
        <ext uri="{3e2802c4-a4d2-4d8b-9148-e3be6c30e623}">
          <xlrd:rvb i="9755"/>
        </ext>
      </extLst>
    </bk>
    <bk>
      <extLst>
        <ext uri="{3e2802c4-a4d2-4d8b-9148-e3be6c30e623}">
          <xlrd:rvb i="9756"/>
        </ext>
      </extLst>
    </bk>
    <bk>
      <extLst>
        <ext uri="{3e2802c4-a4d2-4d8b-9148-e3be6c30e623}">
          <xlrd:rvb i="9757"/>
        </ext>
      </extLst>
    </bk>
    <bk>
      <extLst>
        <ext uri="{3e2802c4-a4d2-4d8b-9148-e3be6c30e623}">
          <xlrd:rvb i="9758"/>
        </ext>
      </extLst>
    </bk>
    <bk>
      <extLst>
        <ext uri="{3e2802c4-a4d2-4d8b-9148-e3be6c30e623}">
          <xlrd:rvb i="9759"/>
        </ext>
      </extLst>
    </bk>
    <bk>
      <extLst>
        <ext uri="{3e2802c4-a4d2-4d8b-9148-e3be6c30e623}">
          <xlrd:rvb i="9760"/>
        </ext>
      </extLst>
    </bk>
    <bk>
      <extLst>
        <ext uri="{3e2802c4-a4d2-4d8b-9148-e3be6c30e623}">
          <xlrd:rvb i="9761"/>
        </ext>
      </extLst>
    </bk>
    <bk>
      <extLst>
        <ext uri="{3e2802c4-a4d2-4d8b-9148-e3be6c30e623}">
          <xlrd:rvb i="9762"/>
        </ext>
      </extLst>
    </bk>
    <bk>
      <extLst>
        <ext uri="{3e2802c4-a4d2-4d8b-9148-e3be6c30e623}">
          <xlrd:rvb i="9763"/>
        </ext>
      </extLst>
    </bk>
    <bk>
      <extLst>
        <ext uri="{3e2802c4-a4d2-4d8b-9148-e3be6c30e623}">
          <xlrd:rvb i="9764"/>
        </ext>
      </extLst>
    </bk>
    <bk>
      <extLst>
        <ext uri="{3e2802c4-a4d2-4d8b-9148-e3be6c30e623}">
          <xlrd:rvb i="9765"/>
        </ext>
      </extLst>
    </bk>
    <bk>
      <extLst>
        <ext uri="{3e2802c4-a4d2-4d8b-9148-e3be6c30e623}">
          <xlrd:rvb i="9766"/>
        </ext>
      </extLst>
    </bk>
    <bk>
      <extLst>
        <ext uri="{3e2802c4-a4d2-4d8b-9148-e3be6c30e623}">
          <xlrd:rvb i="9767"/>
        </ext>
      </extLst>
    </bk>
    <bk>
      <extLst>
        <ext uri="{3e2802c4-a4d2-4d8b-9148-e3be6c30e623}">
          <xlrd:rvb i="9768"/>
        </ext>
      </extLst>
    </bk>
    <bk>
      <extLst>
        <ext uri="{3e2802c4-a4d2-4d8b-9148-e3be6c30e623}">
          <xlrd:rvb i="9769"/>
        </ext>
      </extLst>
    </bk>
    <bk>
      <extLst>
        <ext uri="{3e2802c4-a4d2-4d8b-9148-e3be6c30e623}">
          <xlrd:rvb i="9770"/>
        </ext>
      </extLst>
    </bk>
    <bk>
      <extLst>
        <ext uri="{3e2802c4-a4d2-4d8b-9148-e3be6c30e623}">
          <xlrd:rvb i="9771"/>
        </ext>
      </extLst>
    </bk>
    <bk>
      <extLst>
        <ext uri="{3e2802c4-a4d2-4d8b-9148-e3be6c30e623}">
          <xlrd:rvb i="9772"/>
        </ext>
      </extLst>
    </bk>
    <bk>
      <extLst>
        <ext uri="{3e2802c4-a4d2-4d8b-9148-e3be6c30e623}">
          <xlrd:rvb i="9773"/>
        </ext>
      </extLst>
    </bk>
    <bk>
      <extLst>
        <ext uri="{3e2802c4-a4d2-4d8b-9148-e3be6c30e623}">
          <xlrd:rvb i="9774"/>
        </ext>
      </extLst>
    </bk>
    <bk>
      <extLst>
        <ext uri="{3e2802c4-a4d2-4d8b-9148-e3be6c30e623}">
          <xlrd:rvb i="9775"/>
        </ext>
      </extLst>
    </bk>
    <bk>
      <extLst>
        <ext uri="{3e2802c4-a4d2-4d8b-9148-e3be6c30e623}">
          <xlrd:rvb i="9776"/>
        </ext>
      </extLst>
    </bk>
    <bk>
      <extLst>
        <ext uri="{3e2802c4-a4d2-4d8b-9148-e3be6c30e623}">
          <xlrd:rvb i="9777"/>
        </ext>
      </extLst>
    </bk>
    <bk>
      <extLst>
        <ext uri="{3e2802c4-a4d2-4d8b-9148-e3be6c30e623}">
          <xlrd:rvb i="9778"/>
        </ext>
      </extLst>
    </bk>
    <bk>
      <extLst>
        <ext uri="{3e2802c4-a4d2-4d8b-9148-e3be6c30e623}">
          <xlrd:rvb i="9779"/>
        </ext>
      </extLst>
    </bk>
    <bk>
      <extLst>
        <ext uri="{3e2802c4-a4d2-4d8b-9148-e3be6c30e623}">
          <xlrd:rvb i="9780"/>
        </ext>
      </extLst>
    </bk>
    <bk>
      <extLst>
        <ext uri="{3e2802c4-a4d2-4d8b-9148-e3be6c30e623}">
          <xlrd:rvb i="9781"/>
        </ext>
      </extLst>
    </bk>
    <bk>
      <extLst>
        <ext uri="{3e2802c4-a4d2-4d8b-9148-e3be6c30e623}">
          <xlrd:rvb i="9782"/>
        </ext>
      </extLst>
    </bk>
    <bk>
      <extLst>
        <ext uri="{3e2802c4-a4d2-4d8b-9148-e3be6c30e623}">
          <xlrd:rvb i="9783"/>
        </ext>
      </extLst>
    </bk>
    <bk>
      <extLst>
        <ext uri="{3e2802c4-a4d2-4d8b-9148-e3be6c30e623}">
          <xlrd:rvb i="9784"/>
        </ext>
      </extLst>
    </bk>
    <bk>
      <extLst>
        <ext uri="{3e2802c4-a4d2-4d8b-9148-e3be6c30e623}">
          <xlrd:rvb i="9785"/>
        </ext>
      </extLst>
    </bk>
    <bk>
      <extLst>
        <ext uri="{3e2802c4-a4d2-4d8b-9148-e3be6c30e623}">
          <xlrd:rvb i="9786"/>
        </ext>
      </extLst>
    </bk>
    <bk>
      <extLst>
        <ext uri="{3e2802c4-a4d2-4d8b-9148-e3be6c30e623}">
          <xlrd:rvb i="9787"/>
        </ext>
      </extLst>
    </bk>
    <bk>
      <extLst>
        <ext uri="{3e2802c4-a4d2-4d8b-9148-e3be6c30e623}">
          <xlrd:rvb i="9788"/>
        </ext>
      </extLst>
    </bk>
    <bk>
      <extLst>
        <ext uri="{3e2802c4-a4d2-4d8b-9148-e3be6c30e623}">
          <xlrd:rvb i="9789"/>
        </ext>
      </extLst>
    </bk>
    <bk>
      <extLst>
        <ext uri="{3e2802c4-a4d2-4d8b-9148-e3be6c30e623}">
          <xlrd:rvb i="9790"/>
        </ext>
      </extLst>
    </bk>
    <bk>
      <extLst>
        <ext uri="{3e2802c4-a4d2-4d8b-9148-e3be6c30e623}">
          <xlrd:rvb i="9791"/>
        </ext>
      </extLst>
    </bk>
    <bk>
      <extLst>
        <ext uri="{3e2802c4-a4d2-4d8b-9148-e3be6c30e623}">
          <xlrd:rvb i="9792"/>
        </ext>
      </extLst>
    </bk>
    <bk>
      <extLst>
        <ext uri="{3e2802c4-a4d2-4d8b-9148-e3be6c30e623}">
          <xlrd:rvb i="9793"/>
        </ext>
      </extLst>
    </bk>
    <bk>
      <extLst>
        <ext uri="{3e2802c4-a4d2-4d8b-9148-e3be6c30e623}">
          <xlrd:rvb i="9794"/>
        </ext>
      </extLst>
    </bk>
    <bk>
      <extLst>
        <ext uri="{3e2802c4-a4d2-4d8b-9148-e3be6c30e623}">
          <xlrd:rvb i="9795"/>
        </ext>
      </extLst>
    </bk>
    <bk>
      <extLst>
        <ext uri="{3e2802c4-a4d2-4d8b-9148-e3be6c30e623}">
          <xlrd:rvb i="9796"/>
        </ext>
      </extLst>
    </bk>
    <bk>
      <extLst>
        <ext uri="{3e2802c4-a4d2-4d8b-9148-e3be6c30e623}">
          <xlrd:rvb i="9797"/>
        </ext>
      </extLst>
    </bk>
    <bk>
      <extLst>
        <ext uri="{3e2802c4-a4d2-4d8b-9148-e3be6c30e623}">
          <xlrd:rvb i="9798"/>
        </ext>
      </extLst>
    </bk>
    <bk>
      <extLst>
        <ext uri="{3e2802c4-a4d2-4d8b-9148-e3be6c30e623}">
          <xlrd:rvb i="9799"/>
        </ext>
      </extLst>
    </bk>
    <bk>
      <extLst>
        <ext uri="{3e2802c4-a4d2-4d8b-9148-e3be6c30e623}">
          <xlrd:rvb i="9800"/>
        </ext>
      </extLst>
    </bk>
    <bk>
      <extLst>
        <ext uri="{3e2802c4-a4d2-4d8b-9148-e3be6c30e623}">
          <xlrd:rvb i="9801"/>
        </ext>
      </extLst>
    </bk>
    <bk>
      <extLst>
        <ext uri="{3e2802c4-a4d2-4d8b-9148-e3be6c30e623}">
          <xlrd:rvb i="9802"/>
        </ext>
      </extLst>
    </bk>
    <bk>
      <extLst>
        <ext uri="{3e2802c4-a4d2-4d8b-9148-e3be6c30e623}">
          <xlrd:rvb i="9803"/>
        </ext>
      </extLst>
    </bk>
    <bk>
      <extLst>
        <ext uri="{3e2802c4-a4d2-4d8b-9148-e3be6c30e623}">
          <xlrd:rvb i="9804"/>
        </ext>
      </extLst>
    </bk>
    <bk>
      <extLst>
        <ext uri="{3e2802c4-a4d2-4d8b-9148-e3be6c30e623}">
          <xlrd:rvb i="9805"/>
        </ext>
      </extLst>
    </bk>
    <bk>
      <extLst>
        <ext uri="{3e2802c4-a4d2-4d8b-9148-e3be6c30e623}">
          <xlrd:rvb i="9806"/>
        </ext>
      </extLst>
    </bk>
    <bk>
      <extLst>
        <ext uri="{3e2802c4-a4d2-4d8b-9148-e3be6c30e623}">
          <xlrd:rvb i="9807"/>
        </ext>
      </extLst>
    </bk>
    <bk>
      <extLst>
        <ext uri="{3e2802c4-a4d2-4d8b-9148-e3be6c30e623}">
          <xlrd:rvb i="9808"/>
        </ext>
      </extLst>
    </bk>
    <bk>
      <extLst>
        <ext uri="{3e2802c4-a4d2-4d8b-9148-e3be6c30e623}">
          <xlrd:rvb i="9809"/>
        </ext>
      </extLst>
    </bk>
    <bk>
      <extLst>
        <ext uri="{3e2802c4-a4d2-4d8b-9148-e3be6c30e623}">
          <xlrd:rvb i="9810"/>
        </ext>
      </extLst>
    </bk>
    <bk>
      <extLst>
        <ext uri="{3e2802c4-a4d2-4d8b-9148-e3be6c30e623}">
          <xlrd:rvb i="9811"/>
        </ext>
      </extLst>
    </bk>
    <bk>
      <extLst>
        <ext uri="{3e2802c4-a4d2-4d8b-9148-e3be6c30e623}">
          <xlrd:rvb i="9812"/>
        </ext>
      </extLst>
    </bk>
    <bk>
      <extLst>
        <ext uri="{3e2802c4-a4d2-4d8b-9148-e3be6c30e623}">
          <xlrd:rvb i="9813"/>
        </ext>
      </extLst>
    </bk>
    <bk>
      <extLst>
        <ext uri="{3e2802c4-a4d2-4d8b-9148-e3be6c30e623}">
          <xlrd:rvb i="9814"/>
        </ext>
      </extLst>
    </bk>
    <bk>
      <extLst>
        <ext uri="{3e2802c4-a4d2-4d8b-9148-e3be6c30e623}">
          <xlrd:rvb i="9815"/>
        </ext>
      </extLst>
    </bk>
    <bk>
      <extLst>
        <ext uri="{3e2802c4-a4d2-4d8b-9148-e3be6c30e623}">
          <xlrd:rvb i="9816"/>
        </ext>
      </extLst>
    </bk>
    <bk>
      <extLst>
        <ext uri="{3e2802c4-a4d2-4d8b-9148-e3be6c30e623}">
          <xlrd:rvb i="9817"/>
        </ext>
      </extLst>
    </bk>
    <bk>
      <extLst>
        <ext uri="{3e2802c4-a4d2-4d8b-9148-e3be6c30e623}">
          <xlrd:rvb i="9818"/>
        </ext>
      </extLst>
    </bk>
    <bk>
      <extLst>
        <ext uri="{3e2802c4-a4d2-4d8b-9148-e3be6c30e623}">
          <xlrd:rvb i="9819"/>
        </ext>
      </extLst>
    </bk>
    <bk>
      <extLst>
        <ext uri="{3e2802c4-a4d2-4d8b-9148-e3be6c30e623}">
          <xlrd:rvb i="9820"/>
        </ext>
      </extLst>
    </bk>
    <bk>
      <extLst>
        <ext uri="{3e2802c4-a4d2-4d8b-9148-e3be6c30e623}">
          <xlrd:rvb i="9821"/>
        </ext>
      </extLst>
    </bk>
    <bk>
      <extLst>
        <ext uri="{3e2802c4-a4d2-4d8b-9148-e3be6c30e623}">
          <xlrd:rvb i="9822"/>
        </ext>
      </extLst>
    </bk>
    <bk>
      <extLst>
        <ext uri="{3e2802c4-a4d2-4d8b-9148-e3be6c30e623}">
          <xlrd:rvb i="9823"/>
        </ext>
      </extLst>
    </bk>
    <bk>
      <extLst>
        <ext uri="{3e2802c4-a4d2-4d8b-9148-e3be6c30e623}">
          <xlrd:rvb i="9824"/>
        </ext>
      </extLst>
    </bk>
    <bk>
      <extLst>
        <ext uri="{3e2802c4-a4d2-4d8b-9148-e3be6c30e623}">
          <xlrd:rvb i="9825"/>
        </ext>
      </extLst>
    </bk>
    <bk>
      <extLst>
        <ext uri="{3e2802c4-a4d2-4d8b-9148-e3be6c30e623}">
          <xlrd:rvb i="9826"/>
        </ext>
      </extLst>
    </bk>
    <bk>
      <extLst>
        <ext uri="{3e2802c4-a4d2-4d8b-9148-e3be6c30e623}">
          <xlrd:rvb i="9827"/>
        </ext>
      </extLst>
    </bk>
    <bk>
      <extLst>
        <ext uri="{3e2802c4-a4d2-4d8b-9148-e3be6c30e623}">
          <xlrd:rvb i="9828"/>
        </ext>
      </extLst>
    </bk>
    <bk>
      <extLst>
        <ext uri="{3e2802c4-a4d2-4d8b-9148-e3be6c30e623}">
          <xlrd:rvb i="9829"/>
        </ext>
      </extLst>
    </bk>
    <bk>
      <extLst>
        <ext uri="{3e2802c4-a4d2-4d8b-9148-e3be6c30e623}">
          <xlrd:rvb i="9830"/>
        </ext>
      </extLst>
    </bk>
    <bk>
      <extLst>
        <ext uri="{3e2802c4-a4d2-4d8b-9148-e3be6c30e623}">
          <xlrd:rvb i="9831"/>
        </ext>
      </extLst>
    </bk>
    <bk>
      <extLst>
        <ext uri="{3e2802c4-a4d2-4d8b-9148-e3be6c30e623}">
          <xlrd:rvb i="9832"/>
        </ext>
      </extLst>
    </bk>
    <bk>
      <extLst>
        <ext uri="{3e2802c4-a4d2-4d8b-9148-e3be6c30e623}">
          <xlrd:rvb i="9833"/>
        </ext>
      </extLst>
    </bk>
    <bk>
      <extLst>
        <ext uri="{3e2802c4-a4d2-4d8b-9148-e3be6c30e623}">
          <xlrd:rvb i="9834"/>
        </ext>
      </extLst>
    </bk>
    <bk>
      <extLst>
        <ext uri="{3e2802c4-a4d2-4d8b-9148-e3be6c30e623}">
          <xlrd:rvb i="9835"/>
        </ext>
      </extLst>
    </bk>
    <bk>
      <extLst>
        <ext uri="{3e2802c4-a4d2-4d8b-9148-e3be6c30e623}">
          <xlrd:rvb i="9836"/>
        </ext>
      </extLst>
    </bk>
    <bk>
      <extLst>
        <ext uri="{3e2802c4-a4d2-4d8b-9148-e3be6c30e623}">
          <xlrd:rvb i="9837"/>
        </ext>
      </extLst>
    </bk>
    <bk>
      <extLst>
        <ext uri="{3e2802c4-a4d2-4d8b-9148-e3be6c30e623}">
          <xlrd:rvb i="9838"/>
        </ext>
      </extLst>
    </bk>
    <bk>
      <extLst>
        <ext uri="{3e2802c4-a4d2-4d8b-9148-e3be6c30e623}">
          <xlrd:rvb i="9839"/>
        </ext>
      </extLst>
    </bk>
    <bk>
      <extLst>
        <ext uri="{3e2802c4-a4d2-4d8b-9148-e3be6c30e623}">
          <xlrd:rvb i="9840"/>
        </ext>
      </extLst>
    </bk>
    <bk>
      <extLst>
        <ext uri="{3e2802c4-a4d2-4d8b-9148-e3be6c30e623}">
          <xlrd:rvb i="9841"/>
        </ext>
      </extLst>
    </bk>
    <bk>
      <extLst>
        <ext uri="{3e2802c4-a4d2-4d8b-9148-e3be6c30e623}">
          <xlrd:rvb i="9842"/>
        </ext>
      </extLst>
    </bk>
    <bk>
      <extLst>
        <ext uri="{3e2802c4-a4d2-4d8b-9148-e3be6c30e623}">
          <xlrd:rvb i="9843"/>
        </ext>
      </extLst>
    </bk>
    <bk>
      <extLst>
        <ext uri="{3e2802c4-a4d2-4d8b-9148-e3be6c30e623}">
          <xlrd:rvb i="9844"/>
        </ext>
      </extLst>
    </bk>
    <bk>
      <extLst>
        <ext uri="{3e2802c4-a4d2-4d8b-9148-e3be6c30e623}">
          <xlrd:rvb i="9845"/>
        </ext>
      </extLst>
    </bk>
    <bk>
      <extLst>
        <ext uri="{3e2802c4-a4d2-4d8b-9148-e3be6c30e623}">
          <xlrd:rvb i="9846"/>
        </ext>
      </extLst>
    </bk>
    <bk>
      <extLst>
        <ext uri="{3e2802c4-a4d2-4d8b-9148-e3be6c30e623}">
          <xlrd:rvb i="9847"/>
        </ext>
      </extLst>
    </bk>
    <bk>
      <extLst>
        <ext uri="{3e2802c4-a4d2-4d8b-9148-e3be6c30e623}">
          <xlrd:rvb i="9848"/>
        </ext>
      </extLst>
    </bk>
    <bk>
      <extLst>
        <ext uri="{3e2802c4-a4d2-4d8b-9148-e3be6c30e623}">
          <xlrd:rvb i="9849"/>
        </ext>
      </extLst>
    </bk>
    <bk>
      <extLst>
        <ext uri="{3e2802c4-a4d2-4d8b-9148-e3be6c30e623}">
          <xlrd:rvb i="9850"/>
        </ext>
      </extLst>
    </bk>
    <bk>
      <extLst>
        <ext uri="{3e2802c4-a4d2-4d8b-9148-e3be6c30e623}">
          <xlrd:rvb i="9851"/>
        </ext>
      </extLst>
    </bk>
    <bk>
      <extLst>
        <ext uri="{3e2802c4-a4d2-4d8b-9148-e3be6c30e623}">
          <xlrd:rvb i="9852"/>
        </ext>
      </extLst>
    </bk>
    <bk>
      <extLst>
        <ext uri="{3e2802c4-a4d2-4d8b-9148-e3be6c30e623}">
          <xlrd:rvb i="9853"/>
        </ext>
      </extLst>
    </bk>
    <bk>
      <extLst>
        <ext uri="{3e2802c4-a4d2-4d8b-9148-e3be6c30e623}">
          <xlrd:rvb i="9854"/>
        </ext>
      </extLst>
    </bk>
    <bk>
      <extLst>
        <ext uri="{3e2802c4-a4d2-4d8b-9148-e3be6c30e623}">
          <xlrd:rvb i="9855"/>
        </ext>
      </extLst>
    </bk>
    <bk>
      <extLst>
        <ext uri="{3e2802c4-a4d2-4d8b-9148-e3be6c30e623}">
          <xlrd:rvb i="9856"/>
        </ext>
      </extLst>
    </bk>
    <bk>
      <extLst>
        <ext uri="{3e2802c4-a4d2-4d8b-9148-e3be6c30e623}">
          <xlrd:rvb i="9857"/>
        </ext>
      </extLst>
    </bk>
    <bk>
      <extLst>
        <ext uri="{3e2802c4-a4d2-4d8b-9148-e3be6c30e623}">
          <xlrd:rvb i="9858"/>
        </ext>
      </extLst>
    </bk>
    <bk>
      <extLst>
        <ext uri="{3e2802c4-a4d2-4d8b-9148-e3be6c30e623}">
          <xlrd:rvb i="9859"/>
        </ext>
      </extLst>
    </bk>
    <bk>
      <extLst>
        <ext uri="{3e2802c4-a4d2-4d8b-9148-e3be6c30e623}">
          <xlrd:rvb i="9860"/>
        </ext>
      </extLst>
    </bk>
    <bk>
      <extLst>
        <ext uri="{3e2802c4-a4d2-4d8b-9148-e3be6c30e623}">
          <xlrd:rvb i="9861"/>
        </ext>
      </extLst>
    </bk>
    <bk>
      <extLst>
        <ext uri="{3e2802c4-a4d2-4d8b-9148-e3be6c30e623}">
          <xlrd:rvb i="9862"/>
        </ext>
      </extLst>
    </bk>
    <bk>
      <extLst>
        <ext uri="{3e2802c4-a4d2-4d8b-9148-e3be6c30e623}">
          <xlrd:rvb i="9863"/>
        </ext>
      </extLst>
    </bk>
    <bk>
      <extLst>
        <ext uri="{3e2802c4-a4d2-4d8b-9148-e3be6c30e623}">
          <xlrd:rvb i="9864"/>
        </ext>
      </extLst>
    </bk>
    <bk>
      <extLst>
        <ext uri="{3e2802c4-a4d2-4d8b-9148-e3be6c30e623}">
          <xlrd:rvb i="9865"/>
        </ext>
      </extLst>
    </bk>
    <bk>
      <extLst>
        <ext uri="{3e2802c4-a4d2-4d8b-9148-e3be6c30e623}">
          <xlrd:rvb i="9866"/>
        </ext>
      </extLst>
    </bk>
    <bk>
      <extLst>
        <ext uri="{3e2802c4-a4d2-4d8b-9148-e3be6c30e623}">
          <xlrd:rvb i="9867"/>
        </ext>
      </extLst>
    </bk>
    <bk>
      <extLst>
        <ext uri="{3e2802c4-a4d2-4d8b-9148-e3be6c30e623}">
          <xlrd:rvb i="9868"/>
        </ext>
      </extLst>
    </bk>
    <bk>
      <extLst>
        <ext uri="{3e2802c4-a4d2-4d8b-9148-e3be6c30e623}">
          <xlrd:rvb i="9869"/>
        </ext>
      </extLst>
    </bk>
    <bk>
      <extLst>
        <ext uri="{3e2802c4-a4d2-4d8b-9148-e3be6c30e623}">
          <xlrd:rvb i="9870"/>
        </ext>
      </extLst>
    </bk>
    <bk>
      <extLst>
        <ext uri="{3e2802c4-a4d2-4d8b-9148-e3be6c30e623}">
          <xlrd:rvb i="9871"/>
        </ext>
      </extLst>
    </bk>
    <bk>
      <extLst>
        <ext uri="{3e2802c4-a4d2-4d8b-9148-e3be6c30e623}">
          <xlrd:rvb i="9872"/>
        </ext>
      </extLst>
    </bk>
    <bk>
      <extLst>
        <ext uri="{3e2802c4-a4d2-4d8b-9148-e3be6c30e623}">
          <xlrd:rvb i="9873"/>
        </ext>
      </extLst>
    </bk>
    <bk>
      <extLst>
        <ext uri="{3e2802c4-a4d2-4d8b-9148-e3be6c30e623}">
          <xlrd:rvb i="9874"/>
        </ext>
      </extLst>
    </bk>
    <bk>
      <extLst>
        <ext uri="{3e2802c4-a4d2-4d8b-9148-e3be6c30e623}">
          <xlrd:rvb i="9875"/>
        </ext>
      </extLst>
    </bk>
    <bk>
      <extLst>
        <ext uri="{3e2802c4-a4d2-4d8b-9148-e3be6c30e623}">
          <xlrd:rvb i="9876"/>
        </ext>
      </extLst>
    </bk>
    <bk>
      <extLst>
        <ext uri="{3e2802c4-a4d2-4d8b-9148-e3be6c30e623}">
          <xlrd:rvb i="9877"/>
        </ext>
      </extLst>
    </bk>
    <bk>
      <extLst>
        <ext uri="{3e2802c4-a4d2-4d8b-9148-e3be6c30e623}">
          <xlrd:rvb i="9878"/>
        </ext>
      </extLst>
    </bk>
    <bk>
      <extLst>
        <ext uri="{3e2802c4-a4d2-4d8b-9148-e3be6c30e623}">
          <xlrd:rvb i="9879"/>
        </ext>
      </extLst>
    </bk>
    <bk>
      <extLst>
        <ext uri="{3e2802c4-a4d2-4d8b-9148-e3be6c30e623}">
          <xlrd:rvb i="9880"/>
        </ext>
      </extLst>
    </bk>
    <bk>
      <extLst>
        <ext uri="{3e2802c4-a4d2-4d8b-9148-e3be6c30e623}">
          <xlrd:rvb i="9881"/>
        </ext>
      </extLst>
    </bk>
    <bk>
      <extLst>
        <ext uri="{3e2802c4-a4d2-4d8b-9148-e3be6c30e623}">
          <xlrd:rvb i="9882"/>
        </ext>
      </extLst>
    </bk>
    <bk>
      <extLst>
        <ext uri="{3e2802c4-a4d2-4d8b-9148-e3be6c30e623}">
          <xlrd:rvb i="9883"/>
        </ext>
      </extLst>
    </bk>
    <bk>
      <extLst>
        <ext uri="{3e2802c4-a4d2-4d8b-9148-e3be6c30e623}">
          <xlrd:rvb i="9884"/>
        </ext>
      </extLst>
    </bk>
    <bk>
      <extLst>
        <ext uri="{3e2802c4-a4d2-4d8b-9148-e3be6c30e623}">
          <xlrd:rvb i="9885"/>
        </ext>
      </extLst>
    </bk>
    <bk>
      <extLst>
        <ext uri="{3e2802c4-a4d2-4d8b-9148-e3be6c30e623}">
          <xlrd:rvb i="9886"/>
        </ext>
      </extLst>
    </bk>
    <bk>
      <extLst>
        <ext uri="{3e2802c4-a4d2-4d8b-9148-e3be6c30e623}">
          <xlrd:rvb i="9887"/>
        </ext>
      </extLst>
    </bk>
    <bk>
      <extLst>
        <ext uri="{3e2802c4-a4d2-4d8b-9148-e3be6c30e623}">
          <xlrd:rvb i="9888"/>
        </ext>
      </extLst>
    </bk>
    <bk>
      <extLst>
        <ext uri="{3e2802c4-a4d2-4d8b-9148-e3be6c30e623}">
          <xlrd:rvb i="9889"/>
        </ext>
      </extLst>
    </bk>
    <bk>
      <extLst>
        <ext uri="{3e2802c4-a4d2-4d8b-9148-e3be6c30e623}">
          <xlrd:rvb i="9890"/>
        </ext>
      </extLst>
    </bk>
    <bk>
      <extLst>
        <ext uri="{3e2802c4-a4d2-4d8b-9148-e3be6c30e623}">
          <xlrd:rvb i="9891"/>
        </ext>
      </extLst>
    </bk>
    <bk>
      <extLst>
        <ext uri="{3e2802c4-a4d2-4d8b-9148-e3be6c30e623}">
          <xlrd:rvb i="9892"/>
        </ext>
      </extLst>
    </bk>
    <bk>
      <extLst>
        <ext uri="{3e2802c4-a4d2-4d8b-9148-e3be6c30e623}">
          <xlrd:rvb i="9893"/>
        </ext>
      </extLst>
    </bk>
    <bk>
      <extLst>
        <ext uri="{3e2802c4-a4d2-4d8b-9148-e3be6c30e623}">
          <xlrd:rvb i="9894"/>
        </ext>
      </extLst>
    </bk>
    <bk>
      <extLst>
        <ext uri="{3e2802c4-a4d2-4d8b-9148-e3be6c30e623}">
          <xlrd:rvb i="9895"/>
        </ext>
      </extLst>
    </bk>
    <bk>
      <extLst>
        <ext uri="{3e2802c4-a4d2-4d8b-9148-e3be6c30e623}">
          <xlrd:rvb i="9896"/>
        </ext>
      </extLst>
    </bk>
    <bk>
      <extLst>
        <ext uri="{3e2802c4-a4d2-4d8b-9148-e3be6c30e623}">
          <xlrd:rvb i="9897"/>
        </ext>
      </extLst>
    </bk>
    <bk>
      <extLst>
        <ext uri="{3e2802c4-a4d2-4d8b-9148-e3be6c30e623}">
          <xlrd:rvb i="9898"/>
        </ext>
      </extLst>
    </bk>
    <bk>
      <extLst>
        <ext uri="{3e2802c4-a4d2-4d8b-9148-e3be6c30e623}">
          <xlrd:rvb i="9899"/>
        </ext>
      </extLst>
    </bk>
    <bk>
      <extLst>
        <ext uri="{3e2802c4-a4d2-4d8b-9148-e3be6c30e623}">
          <xlrd:rvb i="9900"/>
        </ext>
      </extLst>
    </bk>
    <bk>
      <extLst>
        <ext uri="{3e2802c4-a4d2-4d8b-9148-e3be6c30e623}">
          <xlrd:rvb i="9901"/>
        </ext>
      </extLst>
    </bk>
    <bk>
      <extLst>
        <ext uri="{3e2802c4-a4d2-4d8b-9148-e3be6c30e623}">
          <xlrd:rvb i="9902"/>
        </ext>
      </extLst>
    </bk>
    <bk>
      <extLst>
        <ext uri="{3e2802c4-a4d2-4d8b-9148-e3be6c30e623}">
          <xlrd:rvb i="9903"/>
        </ext>
      </extLst>
    </bk>
    <bk>
      <extLst>
        <ext uri="{3e2802c4-a4d2-4d8b-9148-e3be6c30e623}">
          <xlrd:rvb i="9904"/>
        </ext>
      </extLst>
    </bk>
    <bk>
      <extLst>
        <ext uri="{3e2802c4-a4d2-4d8b-9148-e3be6c30e623}">
          <xlrd:rvb i="9905"/>
        </ext>
      </extLst>
    </bk>
    <bk>
      <extLst>
        <ext uri="{3e2802c4-a4d2-4d8b-9148-e3be6c30e623}">
          <xlrd:rvb i="9906"/>
        </ext>
      </extLst>
    </bk>
    <bk>
      <extLst>
        <ext uri="{3e2802c4-a4d2-4d8b-9148-e3be6c30e623}">
          <xlrd:rvb i="9907"/>
        </ext>
      </extLst>
    </bk>
    <bk>
      <extLst>
        <ext uri="{3e2802c4-a4d2-4d8b-9148-e3be6c30e623}">
          <xlrd:rvb i="9908"/>
        </ext>
      </extLst>
    </bk>
    <bk>
      <extLst>
        <ext uri="{3e2802c4-a4d2-4d8b-9148-e3be6c30e623}">
          <xlrd:rvb i="9909"/>
        </ext>
      </extLst>
    </bk>
    <bk>
      <extLst>
        <ext uri="{3e2802c4-a4d2-4d8b-9148-e3be6c30e623}">
          <xlrd:rvb i="9910"/>
        </ext>
      </extLst>
    </bk>
    <bk>
      <extLst>
        <ext uri="{3e2802c4-a4d2-4d8b-9148-e3be6c30e623}">
          <xlrd:rvb i="9911"/>
        </ext>
      </extLst>
    </bk>
    <bk>
      <extLst>
        <ext uri="{3e2802c4-a4d2-4d8b-9148-e3be6c30e623}">
          <xlrd:rvb i="9912"/>
        </ext>
      </extLst>
    </bk>
    <bk>
      <extLst>
        <ext uri="{3e2802c4-a4d2-4d8b-9148-e3be6c30e623}">
          <xlrd:rvb i="9913"/>
        </ext>
      </extLst>
    </bk>
    <bk>
      <extLst>
        <ext uri="{3e2802c4-a4d2-4d8b-9148-e3be6c30e623}">
          <xlrd:rvb i="9914"/>
        </ext>
      </extLst>
    </bk>
    <bk>
      <extLst>
        <ext uri="{3e2802c4-a4d2-4d8b-9148-e3be6c30e623}">
          <xlrd:rvb i="9915"/>
        </ext>
      </extLst>
    </bk>
    <bk>
      <extLst>
        <ext uri="{3e2802c4-a4d2-4d8b-9148-e3be6c30e623}">
          <xlrd:rvb i="9916"/>
        </ext>
      </extLst>
    </bk>
    <bk>
      <extLst>
        <ext uri="{3e2802c4-a4d2-4d8b-9148-e3be6c30e623}">
          <xlrd:rvb i="9917"/>
        </ext>
      </extLst>
    </bk>
    <bk>
      <extLst>
        <ext uri="{3e2802c4-a4d2-4d8b-9148-e3be6c30e623}">
          <xlrd:rvb i="9918"/>
        </ext>
      </extLst>
    </bk>
    <bk>
      <extLst>
        <ext uri="{3e2802c4-a4d2-4d8b-9148-e3be6c30e623}">
          <xlrd:rvb i="9919"/>
        </ext>
      </extLst>
    </bk>
    <bk>
      <extLst>
        <ext uri="{3e2802c4-a4d2-4d8b-9148-e3be6c30e623}">
          <xlrd:rvb i="9920"/>
        </ext>
      </extLst>
    </bk>
    <bk>
      <extLst>
        <ext uri="{3e2802c4-a4d2-4d8b-9148-e3be6c30e623}">
          <xlrd:rvb i="9921"/>
        </ext>
      </extLst>
    </bk>
    <bk>
      <extLst>
        <ext uri="{3e2802c4-a4d2-4d8b-9148-e3be6c30e623}">
          <xlrd:rvb i="9922"/>
        </ext>
      </extLst>
    </bk>
    <bk>
      <extLst>
        <ext uri="{3e2802c4-a4d2-4d8b-9148-e3be6c30e623}">
          <xlrd:rvb i="9923"/>
        </ext>
      </extLst>
    </bk>
    <bk>
      <extLst>
        <ext uri="{3e2802c4-a4d2-4d8b-9148-e3be6c30e623}">
          <xlrd:rvb i="9924"/>
        </ext>
      </extLst>
    </bk>
    <bk>
      <extLst>
        <ext uri="{3e2802c4-a4d2-4d8b-9148-e3be6c30e623}">
          <xlrd:rvb i="9925"/>
        </ext>
      </extLst>
    </bk>
    <bk>
      <extLst>
        <ext uri="{3e2802c4-a4d2-4d8b-9148-e3be6c30e623}">
          <xlrd:rvb i="9926"/>
        </ext>
      </extLst>
    </bk>
    <bk>
      <extLst>
        <ext uri="{3e2802c4-a4d2-4d8b-9148-e3be6c30e623}">
          <xlrd:rvb i="9927"/>
        </ext>
      </extLst>
    </bk>
    <bk>
      <extLst>
        <ext uri="{3e2802c4-a4d2-4d8b-9148-e3be6c30e623}">
          <xlrd:rvb i="9928"/>
        </ext>
      </extLst>
    </bk>
    <bk>
      <extLst>
        <ext uri="{3e2802c4-a4d2-4d8b-9148-e3be6c30e623}">
          <xlrd:rvb i="9929"/>
        </ext>
      </extLst>
    </bk>
    <bk>
      <extLst>
        <ext uri="{3e2802c4-a4d2-4d8b-9148-e3be6c30e623}">
          <xlrd:rvb i="9930"/>
        </ext>
      </extLst>
    </bk>
    <bk>
      <extLst>
        <ext uri="{3e2802c4-a4d2-4d8b-9148-e3be6c30e623}">
          <xlrd:rvb i="9931"/>
        </ext>
      </extLst>
    </bk>
    <bk>
      <extLst>
        <ext uri="{3e2802c4-a4d2-4d8b-9148-e3be6c30e623}">
          <xlrd:rvb i="9932"/>
        </ext>
      </extLst>
    </bk>
    <bk>
      <extLst>
        <ext uri="{3e2802c4-a4d2-4d8b-9148-e3be6c30e623}">
          <xlrd:rvb i="9933"/>
        </ext>
      </extLst>
    </bk>
    <bk>
      <extLst>
        <ext uri="{3e2802c4-a4d2-4d8b-9148-e3be6c30e623}">
          <xlrd:rvb i="9934"/>
        </ext>
      </extLst>
    </bk>
    <bk>
      <extLst>
        <ext uri="{3e2802c4-a4d2-4d8b-9148-e3be6c30e623}">
          <xlrd:rvb i="9935"/>
        </ext>
      </extLst>
    </bk>
    <bk>
      <extLst>
        <ext uri="{3e2802c4-a4d2-4d8b-9148-e3be6c30e623}">
          <xlrd:rvb i="9936"/>
        </ext>
      </extLst>
    </bk>
    <bk>
      <extLst>
        <ext uri="{3e2802c4-a4d2-4d8b-9148-e3be6c30e623}">
          <xlrd:rvb i="9937"/>
        </ext>
      </extLst>
    </bk>
    <bk>
      <extLst>
        <ext uri="{3e2802c4-a4d2-4d8b-9148-e3be6c30e623}">
          <xlrd:rvb i="9938"/>
        </ext>
      </extLst>
    </bk>
    <bk>
      <extLst>
        <ext uri="{3e2802c4-a4d2-4d8b-9148-e3be6c30e623}">
          <xlrd:rvb i="9939"/>
        </ext>
      </extLst>
    </bk>
    <bk>
      <extLst>
        <ext uri="{3e2802c4-a4d2-4d8b-9148-e3be6c30e623}">
          <xlrd:rvb i="9940"/>
        </ext>
      </extLst>
    </bk>
    <bk>
      <extLst>
        <ext uri="{3e2802c4-a4d2-4d8b-9148-e3be6c30e623}">
          <xlrd:rvb i="9941"/>
        </ext>
      </extLst>
    </bk>
    <bk>
      <extLst>
        <ext uri="{3e2802c4-a4d2-4d8b-9148-e3be6c30e623}">
          <xlrd:rvb i="9942"/>
        </ext>
      </extLst>
    </bk>
    <bk>
      <extLst>
        <ext uri="{3e2802c4-a4d2-4d8b-9148-e3be6c30e623}">
          <xlrd:rvb i="9943"/>
        </ext>
      </extLst>
    </bk>
    <bk>
      <extLst>
        <ext uri="{3e2802c4-a4d2-4d8b-9148-e3be6c30e623}">
          <xlrd:rvb i="9944"/>
        </ext>
      </extLst>
    </bk>
    <bk>
      <extLst>
        <ext uri="{3e2802c4-a4d2-4d8b-9148-e3be6c30e623}">
          <xlrd:rvb i="9945"/>
        </ext>
      </extLst>
    </bk>
    <bk>
      <extLst>
        <ext uri="{3e2802c4-a4d2-4d8b-9148-e3be6c30e623}">
          <xlrd:rvb i="9946"/>
        </ext>
      </extLst>
    </bk>
    <bk>
      <extLst>
        <ext uri="{3e2802c4-a4d2-4d8b-9148-e3be6c30e623}">
          <xlrd:rvb i="9947"/>
        </ext>
      </extLst>
    </bk>
    <bk>
      <extLst>
        <ext uri="{3e2802c4-a4d2-4d8b-9148-e3be6c30e623}">
          <xlrd:rvb i="9948"/>
        </ext>
      </extLst>
    </bk>
    <bk>
      <extLst>
        <ext uri="{3e2802c4-a4d2-4d8b-9148-e3be6c30e623}">
          <xlrd:rvb i="9949"/>
        </ext>
      </extLst>
    </bk>
    <bk>
      <extLst>
        <ext uri="{3e2802c4-a4d2-4d8b-9148-e3be6c30e623}">
          <xlrd:rvb i="9950"/>
        </ext>
      </extLst>
    </bk>
    <bk>
      <extLst>
        <ext uri="{3e2802c4-a4d2-4d8b-9148-e3be6c30e623}">
          <xlrd:rvb i="9951"/>
        </ext>
      </extLst>
    </bk>
    <bk>
      <extLst>
        <ext uri="{3e2802c4-a4d2-4d8b-9148-e3be6c30e623}">
          <xlrd:rvb i="9952"/>
        </ext>
      </extLst>
    </bk>
    <bk>
      <extLst>
        <ext uri="{3e2802c4-a4d2-4d8b-9148-e3be6c30e623}">
          <xlrd:rvb i="9953"/>
        </ext>
      </extLst>
    </bk>
    <bk>
      <extLst>
        <ext uri="{3e2802c4-a4d2-4d8b-9148-e3be6c30e623}">
          <xlrd:rvb i="9954"/>
        </ext>
      </extLst>
    </bk>
    <bk>
      <extLst>
        <ext uri="{3e2802c4-a4d2-4d8b-9148-e3be6c30e623}">
          <xlrd:rvb i="9955"/>
        </ext>
      </extLst>
    </bk>
    <bk>
      <extLst>
        <ext uri="{3e2802c4-a4d2-4d8b-9148-e3be6c30e623}">
          <xlrd:rvb i="9956"/>
        </ext>
      </extLst>
    </bk>
    <bk>
      <extLst>
        <ext uri="{3e2802c4-a4d2-4d8b-9148-e3be6c30e623}">
          <xlrd:rvb i="9957"/>
        </ext>
      </extLst>
    </bk>
    <bk>
      <extLst>
        <ext uri="{3e2802c4-a4d2-4d8b-9148-e3be6c30e623}">
          <xlrd:rvb i="9958"/>
        </ext>
      </extLst>
    </bk>
    <bk>
      <extLst>
        <ext uri="{3e2802c4-a4d2-4d8b-9148-e3be6c30e623}">
          <xlrd:rvb i="9959"/>
        </ext>
      </extLst>
    </bk>
    <bk>
      <extLst>
        <ext uri="{3e2802c4-a4d2-4d8b-9148-e3be6c30e623}">
          <xlrd:rvb i="9960"/>
        </ext>
      </extLst>
    </bk>
    <bk>
      <extLst>
        <ext uri="{3e2802c4-a4d2-4d8b-9148-e3be6c30e623}">
          <xlrd:rvb i="9961"/>
        </ext>
      </extLst>
    </bk>
    <bk>
      <extLst>
        <ext uri="{3e2802c4-a4d2-4d8b-9148-e3be6c30e623}">
          <xlrd:rvb i="9962"/>
        </ext>
      </extLst>
    </bk>
    <bk>
      <extLst>
        <ext uri="{3e2802c4-a4d2-4d8b-9148-e3be6c30e623}">
          <xlrd:rvb i="9963"/>
        </ext>
      </extLst>
    </bk>
    <bk>
      <extLst>
        <ext uri="{3e2802c4-a4d2-4d8b-9148-e3be6c30e623}">
          <xlrd:rvb i="9964"/>
        </ext>
      </extLst>
    </bk>
    <bk>
      <extLst>
        <ext uri="{3e2802c4-a4d2-4d8b-9148-e3be6c30e623}">
          <xlrd:rvb i="9965"/>
        </ext>
      </extLst>
    </bk>
    <bk>
      <extLst>
        <ext uri="{3e2802c4-a4d2-4d8b-9148-e3be6c30e623}">
          <xlrd:rvb i="9966"/>
        </ext>
      </extLst>
    </bk>
    <bk>
      <extLst>
        <ext uri="{3e2802c4-a4d2-4d8b-9148-e3be6c30e623}">
          <xlrd:rvb i="9967"/>
        </ext>
      </extLst>
    </bk>
    <bk>
      <extLst>
        <ext uri="{3e2802c4-a4d2-4d8b-9148-e3be6c30e623}">
          <xlrd:rvb i="9968"/>
        </ext>
      </extLst>
    </bk>
    <bk>
      <extLst>
        <ext uri="{3e2802c4-a4d2-4d8b-9148-e3be6c30e623}">
          <xlrd:rvb i="9969"/>
        </ext>
      </extLst>
    </bk>
    <bk>
      <extLst>
        <ext uri="{3e2802c4-a4d2-4d8b-9148-e3be6c30e623}">
          <xlrd:rvb i="9970"/>
        </ext>
      </extLst>
    </bk>
    <bk>
      <extLst>
        <ext uri="{3e2802c4-a4d2-4d8b-9148-e3be6c30e623}">
          <xlrd:rvb i="9971"/>
        </ext>
      </extLst>
    </bk>
    <bk>
      <extLst>
        <ext uri="{3e2802c4-a4d2-4d8b-9148-e3be6c30e623}">
          <xlrd:rvb i="9972"/>
        </ext>
      </extLst>
    </bk>
    <bk>
      <extLst>
        <ext uri="{3e2802c4-a4d2-4d8b-9148-e3be6c30e623}">
          <xlrd:rvb i="9973"/>
        </ext>
      </extLst>
    </bk>
    <bk>
      <extLst>
        <ext uri="{3e2802c4-a4d2-4d8b-9148-e3be6c30e623}">
          <xlrd:rvb i="9974"/>
        </ext>
      </extLst>
    </bk>
    <bk>
      <extLst>
        <ext uri="{3e2802c4-a4d2-4d8b-9148-e3be6c30e623}">
          <xlrd:rvb i="9975"/>
        </ext>
      </extLst>
    </bk>
    <bk>
      <extLst>
        <ext uri="{3e2802c4-a4d2-4d8b-9148-e3be6c30e623}">
          <xlrd:rvb i="9976"/>
        </ext>
      </extLst>
    </bk>
    <bk>
      <extLst>
        <ext uri="{3e2802c4-a4d2-4d8b-9148-e3be6c30e623}">
          <xlrd:rvb i="9977"/>
        </ext>
      </extLst>
    </bk>
    <bk>
      <extLst>
        <ext uri="{3e2802c4-a4d2-4d8b-9148-e3be6c30e623}">
          <xlrd:rvb i="9978"/>
        </ext>
      </extLst>
    </bk>
    <bk>
      <extLst>
        <ext uri="{3e2802c4-a4d2-4d8b-9148-e3be6c30e623}">
          <xlrd:rvb i="9979"/>
        </ext>
      </extLst>
    </bk>
    <bk>
      <extLst>
        <ext uri="{3e2802c4-a4d2-4d8b-9148-e3be6c30e623}">
          <xlrd:rvb i="9980"/>
        </ext>
      </extLst>
    </bk>
    <bk>
      <extLst>
        <ext uri="{3e2802c4-a4d2-4d8b-9148-e3be6c30e623}">
          <xlrd:rvb i="9981"/>
        </ext>
      </extLst>
    </bk>
    <bk>
      <extLst>
        <ext uri="{3e2802c4-a4d2-4d8b-9148-e3be6c30e623}">
          <xlrd:rvb i="9982"/>
        </ext>
      </extLst>
    </bk>
    <bk>
      <extLst>
        <ext uri="{3e2802c4-a4d2-4d8b-9148-e3be6c30e623}">
          <xlrd:rvb i="9983"/>
        </ext>
      </extLst>
    </bk>
    <bk>
      <extLst>
        <ext uri="{3e2802c4-a4d2-4d8b-9148-e3be6c30e623}">
          <xlrd:rvb i="9984"/>
        </ext>
      </extLst>
    </bk>
    <bk>
      <extLst>
        <ext uri="{3e2802c4-a4d2-4d8b-9148-e3be6c30e623}">
          <xlrd:rvb i="9985"/>
        </ext>
      </extLst>
    </bk>
    <bk>
      <extLst>
        <ext uri="{3e2802c4-a4d2-4d8b-9148-e3be6c30e623}">
          <xlrd:rvb i="9986"/>
        </ext>
      </extLst>
    </bk>
    <bk>
      <extLst>
        <ext uri="{3e2802c4-a4d2-4d8b-9148-e3be6c30e623}">
          <xlrd:rvb i="9987"/>
        </ext>
      </extLst>
    </bk>
    <bk>
      <extLst>
        <ext uri="{3e2802c4-a4d2-4d8b-9148-e3be6c30e623}">
          <xlrd:rvb i="9988"/>
        </ext>
      </extLst>
    </bk>
    <bk>
      <extLst>
        <ext uri="{3e2802c4-a4d2-4d8b-9148-e3be6c30e623}">
          <xlrd:rvb i="9989"/>
        </ext>
      </extLst>
    </bk>
    <bk>
      <extLst>
        <ext uri="{3e2802c4-a4d2-4d8b-9148-e3be6c30e623}">
          <xlrd:rvb i="9990"/>
        </ext>
      </extLst>
    </bk>
    <bk>
      <extLst>
        <ext uri="{3e2802c4-a4d2-4d8b-9148-e3be6c30e623}">
          <xlrd:rvb i="9991"/>
        </ext>
      </extLst>
    </bk>
    <bk>
      <extLst>
        <ext uri="{3e2802c4-a4d2-4d8b-9148-e3be6c30e623}">
          <xlrd:rvb i="9992"/>
        </ext>
      </extLst>
    </bk>
    <bk>
      <extLst>
        <ext uri="{3e2802c4-a4d2-4d8b-9148-e3be6c30e623}">
          <xlrd:rvb i="9993"/>
        </ext>
      </extLst>
    </bk>
    <bk>
      <extLst>
        <ext uri="{3e2802c4-a4d2-4d8b-9148-e3be6c30e623}">
          <xlrd:rvb i="9994"/>
        </ext>
      </extLst>
    </bk>
    <bk>
      <extLst>
        <ext uri="{3e2802c4-a4d2-4d8b-9148-e3be6c30e623}">
          <xlrd:rvb i="9995"/>
        </ext>
      </extLst>
    </bk>
    <bk>
      <extLst>
        <ext uri="{3e2802c4-a4d2-4d8b-9148-e3be6c30e623}">
          <xlrd:rvb i="9996"/>
        </ext>
      </extLst>
    </bk>
    <bk>
      <extLst>
        <ext uri="{3e2802c4-a4d2-4d8b-9148-e3be6c30e623}">
          <xlrd:rvb i="9997"/>
        </ext>
      </extLst>
    </bk>
    <bk>
      <extLst>
        <ext uri="{3e2802c4-a4d2-4d8b-9148-e3be6c30e623}">
          <xlrd:rvb i="9998"/>
        </ext>
      </extLst>
    </bk>
    <bk>
      <extLst>
        <ext uri="{3e2802c4-a4d2-4d8b-9148-e3be6c30e623}">
          <xlrd:rvb i="9999"/>
        </ext>
      </extLst>
    </bk>
    <bk>
      <extLst>
        <ext uri="{3e2802c4-a4d2-4d8b-9148-e3be6c30e623}">
          <xlrd:rvb i="10000"/>
        </ext>
      </extLst>
    </bk>
    <bk>
      <extLst>
        <ext uri="{3e2802c4-a4d2-4d8b-9148-e3be6c30e623}">
          <xlrd:rvb i="10001"/>
        </ext>
      </extLst>
    </bk>
    <bk>
      <extLst>
        <ext uri="{3e2802c4-a4d2-4d8b-9148-e3be6c30e623}">
          <xlrd:rvb i="10002"/>
        </ext>
      </extLst>
    </bk>
    <bk>
      <extLst>
        <ext uri="{3e2802c4-a4d2-4d8b-9148-e3be6c30e623}">
          <xlrd:rvb i="10003"/>
        </ext>
      </extLst>
    </bk>
    <bk>
      <extLst>
        <ext uri="{3e2802c4-a4d2-4d8b-9148-e3be6c30e623}">
          <xlrd:rvb i="10004"/>
        </ext>
      </extLst>
    </bk>
    <bk>
      <extLst>
        <ext uri="{3e2802c4-a4d2-4d8b-9148-e3be6c30e623}">
          <xlrd:rvb i="10005"/>
        </ext>
      </extLst>
    </bk>
    <bk>
      <extLst>
        <ext uri="{3e2802c4-a4d2-4d8b-9148-e3be6c30e623}">
          <xlrd:rvb i="10006"/>
        </ext>
      </extLst>
    </bk>
    <bk>
      <extLst>
        <ext uri="{3e2802c4-a4d2-4d8b-9148-e3be6c30e623}">
          <xlrd:rvb i="10007"/>
        </ext>
      </extLst>
    </bk>
    <bk>
      <extLst>
        <ext uri="{3e2802c4-a4d2-4d8b-9148-e3be6c30e623}">
          <xlrd:rvb i="10008"/>
        </ext>
      </extLst>
    </bk>
    <bk>
      <extLst>
        <ext uri="{3e2802c4-a4d2-4d8b-9148-e3be6c30e623}">
          <xlrd:rvb i="10009"/>
        </ext>
      </extLst>
    </bk>
    <bk>
      <extLst>
        <ext uri="{3e2802c4-a4d2-4d8b-9148-e3be6c30e623}">
          <xlrd:rvb i="10010"/>
        </ext>
      </extLst>
    </bk>
    <bk>
      <extLst>
        <ext uri="{3e2802c4-a4d2-4d8b-9148-e3be6c30e623}">
          <xlrd:rvb i="10011"/>
        </ext>
      </extLst>
    </bk>
    <bk>
      <extLst>
        <ext uri="{3e2802c4-a4d2-4d8b-9148-e3be6c30e623}">
          <xlrd:rvb i="10012"/>
        </ext>
      </extLst>
    </bk>
    <bk>
      <extLst>
        <ext uri="{3e2802c4-a4d2-4d8b-9148-e3be6c30e623}">
          <xlrd:rvb i="10013"/>
        </ext>
      </extLst>
    </bk>
    <bk>
      <extLst>
        <ext uri="{3e2802c4-a4d2-4d8b-9148-e3be6c30e623}">
          <xlrd:rvb i="10014"/>
        </ext>
      </extLst>
    </bk>
    <bk>
      <extLst>
        <ext uri="{3e2802c4-a4d2-4d8b-9148-e3be6c30e623}">
          <xlrd:rvb i="10015"/>
        </ext>
      </extLst>
    </bk>
    <bk>
      <extLst>
        <ext uri="{3e2802c4-a4d2-4d8b-9148-e3be6c30e623}">
          <xlrd:rvb i="10016"/>
        </ext>
      </extLst>
    </bk>
    <bk>
      <extLst>
        <ext uri="{3e2802c4-a4d2-4d8b-9148-e3be6c30e623}">
          <xlrd:rvb i="10017"/>
        </ext>
      </extLst>
    </bk>
    <bk>
      <extLst>
        <ext uri="{3e2802c4-a4d2-4d8b-9148-e3be6c30e623}">
          <xlrd:rvb i="10018"/>
        </ext>
      </extLst>
    </bk>
    <bk>
      <extLst>
        <ext uri="{3e2802c4-a4d2-4d8b-9148-e3be6c30e623}">
          <xlrd:rvb i="10019"/>
        </ext>
      </extLst>
    </bk>
    <bk>
      <extLst>
        <ext uri="{3e2802c4-a4d2-4d8b-9148-e3be6c30e623}">
          <xlrd:rvb i="10020"/>
        </ext>
      </extLst>
    </bk>
    <bk>
      <extLst>
        <ext uri="{3e2802c4-a4d2-4d8b-9148-e3be6c30e623}">
          <xlrd:rvb i="10021"/>
        </ext>
      </extLst>
    </bk>
    <bk>
      <extLst>
        <ext uri="{3e2802c4-a4d2-4d8b-9148-e3be6c30e623}">
          <xlrd:rvb i="10022"/>
        </ext>
      </extLst>
    </bk>
    <bk>
      <extLst>
        <ext uri="{3e2802c4-a4d2-4d8b-9148-e3be6c30e623}">
          <xlrd:rvb i="10023"/>
        </ext>
      </extLst>
    </bk>
    <bk>
      <extLst>
        <ext uri="{3e2802c4-a4d2-4d8b-9148-e3be6c30e623}">
          <xlrd:rvb i="10024"/>
        </ext>
      </extLst>
    </bk>
    <bk>
      <extLst>
        <ext uri="{3e2802c4-a4d2-4d8b-9148-e3be6c30e623}">
          <xlrd:rvb i="10025"/>
        </ext>
      </extLst>
    </bk>
    <bk>
      <extLst>
        <ext uri="{3e2802c4-a4d2-4d8b-9148-e3be6c30e623}">
          <xlrd:rvb i="10026"/>
        </ext>
      </extLst>
    </bk>
    <bk>
      <extLst>
        <ext uri="{3e2802c4-a4d2-4d8b-9148-e3be6c30e623}">
          <xlrd:rvb i="10027"/>
        </ext>
      </extLst>
    </bk>
    <bk>
      <extLst>
        <ext uri="{3e2802c4-a4d2-4d8b-9148-e3be6c30e623}">
          <xlrd:rvb i="10028"/>
        </ext>
      </extLst>
    </bk>
    <bk>
      <extLst>
        <ext uri="{3e2802c4-a4d2-4d8b-9148-e3be6c30e623}">
          <xlrd:rvb i="10029"/>
        </ext>
      </extLst>
    </bk>
    <bk>
      <extLst>
        <ext uri="{3e2802c4-a4d2-4d8b-9148-e3be6c30e623}">
          <xlrd:rvb i="10030"/>
        </ext>
      </extLst>
    </bk>
    <bk>
      <extLst>
        <ext uri="{3e2802c4-a4d2-4d8b-9148-e3be6c30e623}">
          <xlrd:rvb i="10031"/>
        </ext>
      </extLst>
    </bk>
    <bk>
      <extLst>
        <ext uri="{3e2802c4-a4d2-4d8b-9148-e3be6c30e623}">
          <xlrd:rvb i="10032"/>
        </ext>
      </extLst>
    </bk>
    <bk>
      <extLst>
        <ext uri="{3e2802c4-a4d2-4d8b-9148-e3be6c30e623}">
          <xlrd:rvb i="10033"/>
        </ext>
      </extLst>
    </bk>
    <bk>
      <extLst>
        <ext uri="{3e2802c4-a4d2-4d8b-9148-e3be6c30e623}">
          <xlrd:rvb i="10034"/>
        </ext>
      </extLst>
    </bk>
    <bk>
      <extLst>
        <ext uri="{3e2802c4-a4d2-4d8b-9148-e3be6c30e623}">
          <xlrd:rvb i="10035"/>
        </ext>
      </extLst>
    </bk>
    <bk>
      <extLst>
        <ext uri="{3e2802c4-a4d2-4d8b-9148-e3be6c30e623}">
          <xlrd:rvb i="10036"/>
        </ext>
      </extLst>
    </bk>
    <bk>
      <extLst>
        <ext uri="{3e2802c4-a4d2-4d8b-9148-e3be6c30e623}">
          <xlrd:rvb i="10037"/>
        </ext>
      </extLst>
    </bk>
    <bk>
      <extLst>
        <ext uri="{3e2802c4-a4d2-4d8b-9148-e3be6c30e623}">
          <xlrd:rvb i="10038"/>
        </ext>
      </extLst>
    </bk>
    <bk>
      <extLst>
        <ext uri="{3e2802c4-a4d2-4d8b-9148-e3be6c30e623}">
          <xlrd:rvb i="10039"/>
        </ext>
      </extLst>
    </bk>
    <bk>
      <extLst>
        <ext uri="{3e2802c4-a4d2-4d8b-9148-e3be6c30e623}">
          <xlrd:rvb i="10040"/>
        </ext>
      </extLst>
    </bk>
    <bk>
      <extLst>
        <ext uri="{3e2802c4-a4d2-4d8b-9148-e3be6c30e623}">
          <xlrd:rvb i="10041"/>
        </ext>
      </extLst>
    </bk>
    <bk>
      <extLst>
        <ext uri="{3e2802c4-a4d2-4d8b-9148-e3be6c30e623}">
          <xlrd:rvb i="10042"/>
        </ext>
      </extLst>
    </bk>
    <bk>
      <extLst>
        <ext uri="{3e2802c4-a4d2-4d8b-9148-e3be6c30e623}">
          <xlrd:rvb i="10043"/>
        </ext>
      </extLst>
    </bk>
    <bk>
      <extLst>
        <ext uri="{3e2802c4-a4d2-4d8b-9148-e3be6c30e623}">
          <xlrd:rvb i="10044"/>
        </ext>
      </extLst>
    </bk>
    <bk>
      <extLst>
        <ext uri="{3e2802c4-a4d2-4d8b-9148-e3be6c30e623}">
          <xlrd:rvb i="10045"/>
        </ext>
      </extLst>
    </bk>
    <bk>
      <extLst>
        <ext uri="{3e2802c4-a4d2-4d8b-9148-e3be6c30e623}">
          <xlrd:rvb i="10046"/>
        </ext>
      </extLst>
    </bk>
    <bk>
      <extLst>
        <ext uri="{3e2802c4-a4d2-4d8b-9148-e3be6c30e623}">
          <xlrd:rvb i="10047"/>
        </ext>
      </extLst>
    </bk>
    <bk>
      <extLst>
        <ext uri="{3e2802c4-a4d2-4d8b-9148-e3be6c30e623}">
          <xlrd:rvb i="10048"/>
        </ext>
      </extLst>
    </bk>
    <bk>
      <extLst>
        <ext uri="{3e2802c4-a4d2-4d8b-9148-e3be6c30e623}">
          <xlrd:rvb i="10049"/>
        </ext>
      </extLst>
    </bk>
    <bk>
      <extLst>
        <ext uri="{3e2802c4-a4d2-4d8b-9148-e3be6c30e623}">
          <xlrd:rvb i="10050"/>
        </ext>
      </extLst>
    </bk>
    <bk>
      <extLst>
        <ext uri="{3e2802c4-a4d2-4d8b-9148-e3be6c30e623}">
          <xlrd:rvb i="10051"/>
        </ext>
      </extLst>
    </bk>
    <bk>
      <extLst>
        <ext uri="{3e2802c4-a4d2-4d8b-9148-e3be6c30e623}">
          <xlrd:rvb i="10052"/>
        </ext>
      </extLst>
    </bk>
    <bk>
      <extLst>
        <ext uri="{3e2802c4-a4d2-4d8b-9148-e3be6c30e623}">
          <xlrd:rvb i="10053"/>
        </ext>
      </extLst>
    </bk>
    <bk>
      <extLst>
        <ext uri="{3e2802c4-a4d2-4d8b-9148-e3be6c30e623}">
          <xlrd:rvb i="10054"/>
        </ext>
      </extLst>
    </bk>
    <bk>
      <extLst>
        <ext uri="{3e2802c4-a4d2-4d8b-9148-e3be6c30e623}">
          <xlrd:rvb i="10055"/>
        </ext>
      </extLst>
    </bk>
    <bk>
      <extLst>
        <ext uri="{3e2802c4-a4d2-4d8b-9148-e3be6c30e623}">
          <xlrd:rvb i="10056"/>
        </ext>
      </extLst>
    </bk>
    <bk>
      <extLst>
        <ext uri="{3e2802c4-a4d2-4d8b-9148-e3be6c30e623}">
          <xlrd:rvb i="10057"/>
        </ext>
      </extLst>
    </bk>
    <bk>
      <extLst>
        <ext uri="{3e2802c4-a4d2-4d8b-9148-e3be6c30e623}">
          <xlrd:rvb i="10058"/>
        </ext>
      </extLst>
    </bk>
    <bk>
      <extLst>
        <ext uri="{3e2802c4-a4d2-4d8b-9148-e3be6c30e623}">
          <xlrd:rvb i="10059"/>
        </ext>
      </extLst>
    </bk>
    <bk>
      <extLst>
        <ext uri="{3e2802c4-a4d2-4d8b-9148-e3be6c30e623}">
          <xlrd:rvb i="10060"/>
        </ext>
      </extLst>
    </bk>
    <bk>
      <extLst>
        <ext uri="{3e2802c4-a4d2-4d8b-9148-e3be6c30e623}">
          <xlrd:rvb i="10061"/>
        </ext>
      </extLst>
    </bk>
    <bk>
      <extLst>
        <ext uri="{3e2802c4-a4d2-4d8b-9148-e3be6c30e623}">
          <xlrd:rvb i="10062"/>
        </ext>
      </extLst>
    </bk>
    <bk>
      <extLst>
        <ext uri="{3e2802c4-a4d2-4d8b-9148-e3be6c30e623}">
          <xlrd:rvb i="10063"/>
        </ext>
      </extLst>
    </bk>
    <bk>
      <extLst>
        <ext uri="{3e2802c4-a4d2-4d8b-9148-e3be6c30e623}">
          <xlrd:rvb i="10064"/>
        </ext>
      </extLst>
    </bk>
    <bk>
      <extLst>
        <ext uri="{3e2802c4-a4d2-4d8b-9148-e3be6c30e623}">
          <xlrd:rvb i="10065"/>
        </ext>
      </extLst>
    </bk>
    <bk>
      <extLst>
        <ext uri="{3e2802c4-a4d2-4d8b-9148-e3be6c30e623}">
          <xlrd:rvb i="10066"/>
        </ext>
      </extLst>
    </bk>
    <bk>
      <extLst>
        <ext uri="{3e2802c4-a4d2-4d8b-9148-e3be6c30e623}">
          <xlrd:rvb i="10067"/>
        </ext>
      </extLst>
    </bk>
    <bk>
      <extLst>
        <ext uri="{3e2802c4-a4d2-4d8b-9148-e3be6c30e623}">
          <xlrd:rvb i="10068"/>
        </ext>
      </extLst>
    </bk>
    <bk>
      <extLst>
        <ext uri="{3e2802c4-a4d2-4d8b-9148-e3be6c30e623}">
          <xlrd:rvb i="10069"/>
        </ext>
      </extLst>
    </bk>
    <bk>
      <extLst>
        <ext uri="{3e2802c4-a4d2-4d8b-9148-e3be6c30e623}">
          <xlrd:rvb i="10070"/>
        </ext>
      </extLst>
    </bk>
    <bk>
      <extLst>
        <ext uri="{3e2802c4-a4d2-4d8b-9148-e3be6c30e623}">
          <xlrd:rvb i="10071"/>
        </ext>
      </extLst>
    </bk>
    <bk>
      <extLst>
        <ext uri="{3e2802c4-a4d2-4d8b-9148-e3be6c30e623}">
          <xlrd:rvb i="10072"/>
        </ext>
      </extLst>
    </bk>
    <bk>
      <extLst>
        <ext uri="{3e2802c4-a4d2-4d8b-9148-e3be6c30e623}">
          <xlrd:rvb i="10073"/>
        </ext>
      </extLst>
    </bk>
    <bk>
      <extLst>
        <ext uri="{3e2802c4-a4d2-4d8b-9148-e3be6c30e623}">
          <xlrd:rvb i="10074"/>
        </ext>
      </extLst>
    </bk>
    <bk>
      <extLst>
        <ext uri="{3e2802c4-a4d2-4d8b-9148-e3be6c30e623}">
          <xlrd:rvb i="10075"/>
        </ext>
      </extLst>
    </bk>
    <bk>
      <extLst>
        <ext uri="{3e2802c4-a4d2-4d8b-9148-e3be6c30e623}">
          <xlrd:rvb i="10076"/>
        </ext>
      </extLst>
    </bk>
    <bk>
      <extLst>
        <ext uri="{3e2802c4-a4d2-4d8b-9148-e3be6c30e623}">
          <xlrd:rvb i="10077"/>
        </ext>
      </extLst>
    </bk>
    <bk>
      <extLst>
        <ext uri="{3e2802c4-a4d2-4d8b-9148-e3be6c30e623}">
          <xlrd:rvb i="10078"/>
        </ext>
      </extLst>
    </bk>
    <bk>
      <extLst>
        <ext uri="{3e2802c4-a4d2-4d8b-9148-e3be6c30e623}">
          <xlrd:rvb i="10079"/>
        </ext>
      </extLst>
    </bk>
    <bk>
      <extLst>
        <ext uri="{3e2802c4-a4d2-4d8b-9148-e3be6c30e623}">
          <xlrd:rvb i="10080"/>
        </ext>
      </extLst>
    </bk>
    <bk>
      <extLst>
        <ext uri="{3e2802c4-a4d2-4d8b-9148-e3be6c30e623}">
          <xlrd:rvb i="10081"/>
        </ext>
      </extLst>
    </bk>
    <bk>
      <extLst>
        <ext uri="{3e2802c4-a4d2-4d8b-9148-e3be6c30e623}">
          <xlrd:rvb i="10082"/>
        </ext>
      </extLst>
    </bk>
    <bk>
      <extLst>
        <ext uri="{3e2802c4-a4d2-4d8b-9148-e3be6c30e623}">
          <xlrd:rvb i="10083"/>
        </ext>
      </extLst>
    </bk>
    <bk>
      <extLst>
        <ext uri="{3e2802c4-a4d2-4d8b-9148-e3be6c30e623}">
          <xlrd:rvb i="10084"/>
        </ext>
      </extLst>
    </bk>
    <bk>
      <extLst>
        <ext uri="{3e2802c4-a4d2-4d8b-9148-e3be6c30e623}">
          <xlrd:rvb i="10085"/>
        </ext>
      </extLst>
    </bk>
    <bk>
      <extLst>
        <ext uri="{3e2802c4-a4d2-4d8b-9148-e3be6c30e623}">
          <xlrd:rvb i="10086"/>
        </ext>
      </extLst>
    </bk>
    <bk>
      <extLst>
        <ext uri="{3e2802c4-a4d2-4d8b-9148-e3be6c30e623}">
          <xlrd:rvb i="10087"/>
        </ext>
      </extLst>
    </bk>
    <bk>
      <extLst>
        <ext uri="{3e2802c4-a4d2-4d8b-9148-e3be6c30e623}">
          <xlrd:rvb i="10088"/>
        </ext>
      </extLst>
    </bk>
    <bk>
      <extLst>
        <ext uri="{3e2802c4-a4d2-4d8b-9148-e3be6c30e623}">
          <xlrd:rvb i="10089"/>
        </ext>
      </extLst>
    </bk>
    <bk>
      <extLst>
        <ext uri="{3e2802c4-a4d2-4d8b-9148-e3be6c30e623}">
          <xlrd:rvb i="10090"/>
        </ext>
      </extLst>
    </bk>
    <bk>
      <extLst>
        <ext uri="{3e2802c4-a4d2-4d8b-9148-e3be6c30e623}">
          <xlrd:rvb i="10091"/>
        </ext>
      </extLst>
    </bk>
    <bk>
      <extLst>
        <ext uri="{3e2802c4-a4d2-4d8b-9148-e3be6c30e623}">
          <xlrd:rvb i="10092"/>
        </ext>
      </extLst>
    </bk>
    <bk>
      <extLst>
        <ext uri="{3e2802c4-a4d2-4d8b-9148-e3be6c30e623}">
          <xlrd:rvb i="10093"/>
        </ext>
      </extLst>
    </bk>
    <bk>
      <extLst>
        <ext uri="{3e2802c4-a4d2-4d8b-9148-e3be6c30e623}">
          <xlrd:rvb i="10094"/>
        </ext>
      </extLst>
    </bk>
    <bk>
      <extLst>
        <ext uri="{3e2802c4-a4d2-4d8b-9148-e3be6c30e623}">
          <xlrd:rvb i="10095"/>
        </ext>
      </extLst>
    </bk>
    <bk>
      <extLst>
        <ext uri="{3e2802c4-a4d2-4d8b-9148-e3be6c30e623}">
          <xlrd:rvb i="10096"/>
        </ext>
      </extLst>
    </bk>
    <bk>
      <extLst>
        <ext uri="{3e2802c4-a4d2-4d8b-9148-e3be6c30e623}">
          <xlrd:rvb i="10097"/>
        </ext>
      </extLst>
    </bk>
    <bk>
      <extLst>
        <ext uri="{3e2802c4-a4d2-4d8b-9148-e3be6c30e623}">
          <xlrd:rvb i="10098"/>
        </ext>
      </extLst>
    </bk>
    <bk>
      <extLst>
        <ext uri="{3e2802c4-a4d2-4d8b-9148-e3be6c30e623}">
          <xlrd:rvb i="10099"/>
        </ext>
      </extLst>
    </bk>
    <bk>
      <extLst>
        <ext uri="{3e2802c4-a4d2-4d8b-9148-e3be6c30e623}">
          <xlrd:rvb i="10100"/>
        </ext>
      </extLst>
    </bk>
    <bk>
      <extLst>
        <ext uri="{3e2802c4-a4d2-4d8b-9148-e3be6c30e623}">
          <xlrd:rvb i="10101"/>
        </ext>
      </extLst>
    </bk>
    <bk>
      <extLst>
        <ext uri="{3e2802c4-a4d2-4d8b-9148-e3be6c30e623}">
          <xlrd:rvb i="10102"/>
        </ext>
      </extLst>
    </bk>
    <bk>
      <extLst>
        <ext uri="{3e2802c4-a4d2-4d8b-9148-e3be6c30e623}">
          <xlrd:rvb i="10103"/>
        </ext>
      </extLst>
    </bk>
    <bk>
      <extLst>
        <ext uri="{3e2802c4-a4d2-4d8b-9148-e3be6c30e623}">
          <xlrd:rvb i="10104"/>
        </ext>
      </extLst>
    </bk>
    <bk>
      <extLst>
        <ext uri="{3e2802c4-a4d2-4d8b-9148-e3be6c30e623}">
          <xlrd:rvb i="10105"/>
        </ext>
      </extLst>
    </bk>
    <bk>
      <extLst>
        <ext uri="{3e2802c4-a4d2-4d8b-9148-e3be6c30e623}">
          <xlrd:rvb i="10106"/>
        </ext>
      </extLst>
    </bk>
    <bk>
      <extLst>
        <ext uri="{3e2802c4-a4d2-4d8b-9148-e3be6c30e623}">
          <xlrd:rvb i="10107"/>
        </ext>
      </extLst>
    </bk>
    <bk>
      <extLst>
        <ext uri="{3e2802c4-a4d2-4d8b-9148-e3be6c30e623}">
          <xlrd:rvb i="10108"/>
        </ext>
      </extLst>
    </bk>
    <bk>
      <extLst>
        <ext uri="{3e2802c4-a4d2-4d8b-9148-e3be6c30e623}">
          <xlrd:rvb i="10109"/>
        </ext>
      </extLst>
    </bk>
    <bk>
      <extLst>
        <ext uri="{3e2802c4-a4d2-4d8b-9148-e3be6c30e623}">
          <xlrd:rvb i="10110"/>
        </ext>
      </extLst>
    </bk>
    <bk>
      <extLst>
        <ext uri="{3e2802c4-a4d2-4d8b-9148-e3be6c30e623}">
          <xlrd:rvb i="10111"/>
        </ext>
      </extLst>
    </bk>
    <bk>
      <extLst>
        <ext uri="{3e2802c4-a4d2-4d8b-9148-e3be6c30e623}">
          <xlrd:rvb i="10112"/>
        </ext>
      </extLst>
    </bk>
    <bk>
      <extLst>
        <ext uri="{3e2802c4-a4d2-4d8b-9148-e3be6c30e623}">
          <xlrd:rvb i="10113"/>
        </ext>
      </extLst>
    </bk>
    <bk>
      <extLst>
        <ext uri="{3e2802c4-a4d2-4d8b-9148-e3be6c30e623}">
          <xlrd:rvb i="10114"/>
        </ext>
      </extLst>
    </bk>
    <bk>
      <extLst>
        <ext uri="{3e2802c4-a4d2-4d8b-9148-e3be6c30e623}">
          <xlrd:rvb i="10115"/>
        </ext>
      </extLst>
    </bk>
    <bk>
      <extLst>
        <ext uri="{3e2802c4-a4d2-4d8b-9148-e3be6c30e623}">
          <xlrd:rvb i="10116"/>
        </ext>
      </extLst>
    </bk>
    <bk>
      <extLst>
        <ext uri="{3e2802c4-a4d2-4d8b-9148-e3be6c30e623}">
          <xlrd:rvb i="10117"/>
        </ext>
      </extLst>
    </bk>
    <bk>
      <extLst>
        <ext uri="{3e2802c4-a4d2-4d8b-9148-e3be6c30e623}">
          <xlrd:rvb i="10118"/>
        </ext>
      </extLst>
    </bk>
    <bk>
      <extLst>
        <ext uri="{3e2802c4-a4d2-4d8b-9148-e3be6c30e623}">
          <xlrd:rvb i="10119"/>
        </ext>
      </extLst>
    </bk>
    <bk>
      <extLst>
        <ext uri="{3e2802c4-a4d2-4d8b-9148-e3be6c30e623}">
          <xlrd:rvb i="10120"/>
        </ext>
      </extLst>
    </bk>
    <bk>
      <extLst>
        <ext uri="{3e2802c4-a4d2-4d8b-9148-e3be6c30e623}">
          <xlrd:rvb i="10121"/>
        </ext>
      </extLst>
    </bk>
    <bk>
      <extLst>
        <ext uri="{3e2802c4-a4d2-4d8b-9148-e3be6c30e623}">
          <xlrd:rvb i="10122"/>
        </ext>
      </extLst>
    </bk>
    <bk>
      <extLst>
        <ext uri="{3e2802c4-a4d2-4d8b-9148-e3be6c30e623}">
          <xlrd:rvb i="10123"/>
        </ext>
      </extLst>
    </bk>
    <bk>
      <extLst>
        <ext uri="{3e2802c4-a4d2-4d8b-9148-e3be6c30e623}">
          <xlrd:rvb i="10124"/>
        </ext>
      </extLst>
    </bk>
    <bk>
      <extLst>
        <ext uri="{3e2802c4-a4d2-4d8b-9148-e3be6c30e623}">
          <xlrd:rvb i="10125"/>
        </ext>
      </extLst>
    </bk>
    <bk>
      <extLst>
        <ext uri="{3e2802c4-a4d2-4d8b-9148-e3be6c30e623}">
          <xlrd:rvb i="10126"/>
        </ext>
      </extLst>
    </bk>
    <bk>
      <extLst>
        <ext uri="{3e2802c4-a4d2-4d8b-9148-e3be6c30e623}">
          <xlrd:rvb i="10127"/>
        </ext>
      </extLst>
    </bk>
    <bk>
      <extLst>
        <ext uri="{3e2802c4-a4d2-4d8b-9148-e3be6c30e623}">
          <xlrd:rvb i="10128"/>
        </ext>
      </extLst>
    </bk>
    <bk>
      <extLst>
        <ext uri="{3e2802c4-a4d2-4d8b-9148-e3be6c30e623}">
          <xlrd:rvb i="10129"/>
        </ext>
      </extLst>
    </bk>
    <bk>
      <extLst>
        <ext uri="{3e2802c4-a4d2-4d8b-9148-e3be6c30e623}">
          <xlrd:rvb i="10130"/>
        </ext>
      </extLst>
    </bk>
    <bk>
      <extLst>
        <ext uri="{3e2802c4-a4d2-4d8b-9148-e3be6c30e623}">
          <xlrd:rvb i="10131"/>
        </ext>
      </extLst>
    </bk>
    <bk>
      <extLst>
        <ext uri="{3e2802c4-a4d2-4d8b-9148-e3be6c30e623}">
          <xlrd:rvb i="10132"/>
        </ext>
      </extLst>
    </bk>
    <bk>
      <extLst>
        <ext uri="{3e2802c4-a4d2-4d8b-9148-e3be6c30e623}">
          <xlrd:rvb i="10133"/>
        </ext>
      </extLst>
    </bk>
    <bk>
      <extLst>
        <ext uri="{3e2802c4-a4d2-4d8b-9148-e3be6c30e623}">
          <xlrd:rvb i="10134"/>
        </ext>
      </extLst>
    </bk>
    <bk>
      <extLst>
        <ext uri="{3e2802c4-a4d2-4d8b-9148-e3be6c30e623}">
          <xlrd:rvb i="10135"/>
        </ext>
      </extLst>
    </bk>
    <bk>
      <extLst>
        <ext uri="{3e2802c4-a4d2-4d8b-9148-e3be6c30e623}">
          <xlrd:rvb i="10136"/>
        </ext>
      </extLst>
    </bk>
    <bk>
      <extLst>
        <ext uri="{3e2802c4-a4d2-4d8b-9148-e3be6c30e623}">
          <xlrd:rvb i="10137"/>
        </ext>
      </extLst>
    </bk>
    <bk>
      <extLst>
        <ext uri="{3e2802c4-a4d2-4d8b-9148-e3be6c30e623}">
          <xlrd:rvb i="10138"/>
        </ext>
      </extLst>
    </bk>
    <bk>
      <extLst>
        <ext uri="{3e2802c4-a4d2-4d8b-9148-e3be6c30e623}">
          <xlrd:rvb i="10139"/>
        </ext>
      </extLst>
    </bk>
    <bk>
      <extLst>
        <ext uri="{3e2802c4-a4d2-4d8b-9148-e3be6c30e623}">
          <xlrd:rvb i="10140"/>
        </ext>
      </extLst>
    </bk>
    <bk>
      <extLst>
        <ext uri="{3e2802c4-a4d2-4d8b-9148-e3be6c30e623}">
          <xlrd:rvb i="10141"/>
        </ext>
      </extLst>
    </bk>
    <bk>
      <extLst>
        <ext uri="{3e2802c4-a4d2-4d8b-9148-e3be6c30e623}">
          <xlrd:rvb i="10142"/>
        </ext>
      </extLst>
    </bk>
    <bk>
      <extLst>
        <ext uri="{3e2802c4-a4d2-4d8b-9148-e3be6c30e623}">
          <xlrd:rvb i="10143"/>
        </ext>
      </extLst>
    </bk>
    <bk>
      <extLst>
        <ext uri="{3e2802c4-a4d2-4d8b-9148-e3be6c30e623}">
          <xlrd:rvb i="10144"/>
        </ext>
      </extLst>
    </bk>
    <bk>
      <extLst>
        <ext uri="{3e2802c4-a4d2-4d8b-9148-e3be6c30e623}">
          <xlrd:rvb i="10145"/>
        </ext>
      </extLst>
    </bk>
    <bk>
      <extLst>
        <ext uri="{3e2802c4-a4d2-4d8b-9148-e3be6c30e623}">
          <xlrd:rvb i="10146"/>
        </ext>
      </extLst>
    </bk>
    <bk>
      <extLst>
        <ext uri="{3e2802c4-a4d2-4d8b-9148-e3be6c30e623}">
          <xlrd:rvb i="10147"/>
        </ext>
      </extLst>
    </bk>
    <bk>
      <extLst>
        <ext uri="{3e2802c4-a4d2-4d8b-9148-e3be6c30e623}">
          <xlrd:rvb i="10148"/>
        </ext>
      </extLst>
    </bk>
    <bk>
      <extLst>
        <ext uri="{3e2802c4-a4d2-4d8b-9148-e3be6c30e623}">
          <xlrd:rvb i="10149"/>
        </ext>
      </extLst>
    </bk>
    <bk>
      <extLst>
        <ext uri="{3e2802c4-a4d2-4d8b-9148-e3be6c30e623}">
          <xlrd:rvb i="10150"/>
        </ext>
      </extLst>
    </bk>
    <bk>
      <extLst>
        <ext uri="{3e2802c4-a4d2-4d8b-9148-e3be6c30e623}">
          <xlrd:rvb i="10151"/>
        </ext>
      </extLst>
    </bk>
    <bk>
      <extLst>
        <ext uri="{3e2802c4-a4d2-4d8b-9148-e3be6c30e623}">
          <xlrd:rvb i="10152"/>
        </ext>
      </extLst>
    </bk>
    <bk>
      <extLst>
        <ext uri="{3e2802c4-a4d2-4d8b-9148-e3be6c30e623}">
          <xlrd:rvb i="10153"/>
        </ext>
      </extLst>
    </bk>
    <bk>
      <extLst>
        <ext uri="{3e2802c4-a4d2-4d8b-9148-e3be6c30e623}">
          <xlrd:rvb i="10154"/>
        </ext>
      </extLst>
    </bk>
    <bk>
      <extLst>
        <ext uri="{3e2802c4-a4d2-4d8b-9148-e3be6c30e623}">
          <xlrd:rvb i="10155"/>
        </ext>
      </extLst>
    </bk>
    <bk>
      <extLst>
        <ext uri="{3e2802c4-a4d2-4d8b-9148-e3be6c30e623}">
          <xlrd:rvb i="10156"/>
        </ext>
      </extLst>
    </bk>
    <bk>
      <extLst>
        <ext uri="{3e2802c4-a4d2-4d8b-9148-e3be6c30e623}">
          <xlrd:rvb i="10157"/>
        </ext>
      </extLst>
    </bk>
    <bk>
      <extLst>
        <ext uri="{3e2802c4-a4d2-4d8b-9148-e3be6c30e623}">
          <xlrd:rvb i="10158"/>
        </ext>
      </extLst>
    </bk>
    <bk>
      <extLst>
        <ext uri="{3e2802c4-a4d2-4d8b-9148-e3be6c30e623}">
          <xlrd:rvb i="10159"/>
        </ext>
      </extLst>
    </bk>
    <bk>
      <extLst>
        <ext uri="{3e2802c4-a4d2-4d8b-9148-e3be6c30e623}">
          <xlrd:rvb i="10160"/>
        </ext>
      </extLst>
    </bk>
    <bk>
      <extLst>
        <ext uri="{3e2802c4-a4d2-4d8b-9148-e3be6c30e623}">
          <xlrd:rvb i="10161"/>
        </ext>
      </extLst>
    </bk>
    <bk>
      <extLst>
        <ext uri="{3e2802c4-a4d2-4d8b-9148-e3be6c30e623}">
          <xlrd:rvb i="10162"/>
        </ext>
      </extLst>
    </bk>
    <bk>
      <extLst>
        <ext uri="{3e2802c4-a4d2-4d8b-9148-e3be6c30e623}">
          <xlrd:rvb i="10163"/>
        </ext>
      </extLst>
    </bk>
    <bk>
      <extLst>
        <ext uri="{3e2802c4-a4d2-4d8b-9148-e3be6c30e623}">
          <xlrd:rvb i="10164"/>
        </ext>
      </extLst>
    </bk>
    <bk>
      <extLst>
        <ext uri="{3e2802c4-a4d2-4d8b-9148-e3be6c30e623}">
          <xlrd:rvb i="10165"/>
        </ext>
      </extLst>
    </bk>
    <bk>
      <extLst>
        <ext uri="{3e2802c4-a4d2-4d8b-9148-e3be6c30e623}">
          <xlrd:rvb i="10166"/>
        </ext>
      </extLst>
    </bk>
    <bk>
      <extLst>
        <ext uri="{3e2802c4-a4d2-4d8b-9148-e3be6c30e623}">
          <xlrd:rvb i="10167"/>
        </ext>
      </extLst>
    </bk>
    <bk>
      <extLst>
        <ext uri="{3e2802c4-a4d2-4d8b-9148-e3be6c30e623}">
          <xlrd:rvb i="10168"/>
        </ext>
      </extLst>
    </bk>
    <bk>
      <extLst>
        <ext uri="{3e2802c4-a4d2-4d8b-9148-e3be6c30e623}">
          <xlrd:rvb i="10169"/>
        </ext>
      </extLst>
    </bk>
    <bk>
      <extLst>
        <ext uri="{3e2802c4-a4d2-4d8b-9148-e3be6c30e623}">
          <xlrd:rvb i="10170"/>
        </ext>
      </extLst>
    </bk>
    <bk>
      <extLst>
        <ext uri="{3e2802c4-a4d2-4d8b-9148-e3be6c30e623}">
          <xlrd:rvb i="10171"/>
        </ext>
      </extLst>
    </bk>
    <bk>
      <extLst>
        <ext uri="{3e2802c4-a4d2-4d8b-9148-e3be6c30e623}">
          <xlrd:rvb i="10172"/>
        </ext>
      </extLst>
    </bk>
    <bk>
      <extLst>
        <ext uri="{3e2802c4-a4d2-4d8b-9148-e3be6c30e623}">
          <xlrd:rvb i="10173"/>
        </ext>
      </extLst>
    </bk>
    <bk>
      <extLst>
        <ext uri="{3e2802c4-a4d2-4d8b-9148-e3be6c30e623}">
          <xlrd:rvb i="10174"/>
        </ext>
      </extLst>
    </bk>
    <bk>
      <extLst>
        <ext uri="{3e2802c4-a4d2-4d8b-9148-e3be6c30e623}">
          <xlrd:rvb i="10175"/>
        </ext>
      </extLst>
    </bk>
    <bk>
      <extLst>
        <ext uri="{3e2802c4-a4d2-4d8b-9148-e3be6c30e623}">
          <xlrd:rvb i="10176"/>
        </ext>
      </extLst>
    </bk>
    <bk>
      <extLst>
        <ext uri="{3e2802c4-a4d2-4d8b-9148-e3be6c30e623}">
          <xlrd:rvb i="10177"/>
        </ext>
      </extLst>
    </bk>
    <bk>
      <extLst>
        <ext uri="{3e2802c4-a4d2-4d8b-9148-e3be6c30e623}">
          <xlrd:rvb i="10178"/>
        </ext>
      </extLst>
    </bk>
    <bk>
      <extLst>
        <ext uri="{3e2802c4-a4d2-4d8b-9148-e3be6c30e623}">
          <xlrd:rvb i="10179"/>
        </ext>
      </extLst>
    </bk>
    <bk>
      <extLst>
        <ext uri="{3e2802c4-a4d2-4d8b-9148-e3be6c30e623}">
          <xlrd:rvb i="10180"/>
        </ext>
      </extLst>
    </bk>
    <bk>
      <extLst>
        <ext uri="{3e2802c4-a4d2-4d8b-9148-e3be6c30e623}">
          <xlrd:rvb i="10181"/>
        </ext>
      </extLst>
    </bk>
    <bk>
      <extLst>
        <ext uri="{3e2802c4-a4d2-4d8b-9148-e3be6c30e623}">
          <xlrd:rvb i="10182"/>
        </ext>
      </extLst>
    </bk>
    <bk>
      <extLst>
        <ext uri="{3e2802c4-a4d2-4d8b-9148-e3be6c30e623}">
          <xlrd:rvb i="10183"/>
        </ext>
      </extLst>
    </bk>
    <bk>
      <extLst>
        <ext uri="{3e2802c4-a4d2-4d8b-9148-e3be6c30e623}">
          <xlrd:rvb i="10184"/>
        </ext>
      </extLst>
    </bk>
    <bk>
      <extLst>
        <ext uri="{3e2802c4-a4d2-4d8b-9148-e3be6c30e623}">
          <xlrd:rvb i="10185"/>
        </ext>
      </extLst>
    </bk>
    <bk>
      <extLst>
        <ext uri="{3e2802c4-a4d2-4d8b-9148-e3be6c30e623}">
          <xlrd:rvb i="10186"/>
        </ext>
      </extLst>
    </bk>
    <bk>
      <extLst>
        <ext uri="{3e2802c4-a4d2-4d8b-9148-e3be6c30e623}">
          <xlrd:rvb i="10187"/>
        </ext>
      </extLst>
    </bk>
    <bk>
      <extLst>
        <ext uri="{3e2802c4-a4d2-4d8b-9148-e3be6c30e623}">
          <xlrd:rvb i="10188"/>
        </ext>
      </extLst>
    </bk>
    <bk>
      <extLst>
        <ext uri="{3e2802c4-a4d2-4d8b-9148-e3be6c30e623}">
          <xlrd:rvb i="10189"/>
        </ext>
      </extLst>
    </bk>
    <bk>
      <extLst>
        <ext uri="{3e2802c4-a4d2-4d8b-9148-e3be6c30e623}">
          <xlrd:rvb i="10190"/>
        </ext>
      </extLst>
    </bk>
    <bk>
      <extLst>
        <ext uri="{3e2802c4-a4d2-4d8b-9148-e3be6c30e623}">
          <xlrd:rvb i="10191"/>
        </ext>
      </extLst>
    </bk>
    <bk>
      <extLst>
        <ext uri="{3e2802c4-a4d2-4d8b-9148-e3be6c30e623}">
          <xlrd:rvb i="10192"/>
        </ext>
      </extLst>
    </bk>
    <bk>
      <extLst>
        <ext uri="{3e2802c4-a4d2-4d8b-9148-e3be6c30e623}">
          <xlrd:rvb i="10193"/>
        </ext>
      </extLst>
    </bk>
    <bk>
      <extLst>
        <ext uri="{3e2802c4-a4d2-4d8b-9148-e3be6c30e623}">
          <xlrd:rvb i="10194"/>
        </ext>
      </extLst>
    </bk>
    <bk>
      <extLst>
        <ext uri="{3e2802c4-a4d2-4d8b-9148-e3be6c30e623}">
          <xlrd:rvb i="10195"/>
        </ext>
      </extLst>
    </bk>
    <bk>
      <extLst>
        <ext uri="{3e2802c4-a4d2-4d8b-9148-e3be6c30e623}">
          <xlrd:rvb i="10196"/>
        </ext>
      </extLst>
    </bk>
    <bk>
      <extLst>
        <ext uri="{3e2802c4-a4d2-4d8b-9148-e3be6c30e623}">
          <xlrd:rvb i="10197"/>
        </ext>
      </extLst>
    </bk>
    <bk>
      <extLst>
        <ext uri="{3e2802c4-a4d2-4d8b-9148-e3be6c30e623}">
          <xlrd:rvb i="10198"/>
        </ext>
      </extLst>
    </bk>
    <bk>
      <extLst>
        <ext uri="{3e2802c4-a4d2-4d8b-9148-e3be6c30e623}">
          <xlrd:rvb i="10199"/>
        </ext>
      </extLst>
    </bk>
    <bk>
      <extLst>
        <ext uri="{3e2802c4-a4d2-4d8b-9148-e3be6c30e623}">
          <xlrd:rvb i="10200"/>
        </ext>
      </extLst>
    </bk>
    <bk>
      <extLst>
        <ext uri="{3e2802c4-a4d2-4d8b-9148-e3be6c30e623}">
          <xlrd:rvb i="10201"/>
        </ext>
      </extLst>
    </bk>
    <bk>
      <extLst>
        <ext uri="{3e2802c4-a4d2-4d8b-9148-e3be6c30e623}">
          <xlrd:rvb i="10202"/>
        </ext>
      </extLst>
    </bk>
    <bk>
      <extLst>
        <ext uri="{3e2802c4-a4d2-4d8b-9148-e3be6c30e623}">
          <xlrd:rvb i="10203"/>
        </ext>
      </extLst>
    </bk>
    <bk>
      <extLst>
        <ext uri="{3e2802c4-a4d2-4d8b-9148-e3be6c30e623}">
          <xlrd:rvb i="10204"/>
        </ext>
      </extLst>
    </bk>
    <bk>
      <extLst>
        <ext uri="{3e2802c4-a4d2-4d8b-9148-e3be6c30e623}">
          <xlrd:rvb i="10205"/>
        </ext>
      </extLst>
    </bk>
    <bk>
      <extLst>
        <ext uri="{3e2802c4-a4d2-4d8b-9148-e3be6c30e623}">
          <xlrd:rvb i="10206"/>
        </ext>
      </extLst>
    </bk>
    <bk>
      <extLst>
        <ext uri="{3e2802c4-a4d2-4d8b-9148-e3be6c30e623}">
          <xlrd:rvb i="10207"/>
        </ext>
      </extLst>
    </bk>
    <bk>
      <extLst>
        <ext uri="{3e2802c4-a4d2-4d8b-9148-e3be6c30e623}">
          <xlrd:rvb i="10208"/>
        </ext>
      </extLst>
    </bk>
    <bk>
      <extLst>
        <ext uri="{3e2802c4-a4d2-4d8b-9148-e3be6c30e623}">
          <xlrd:rvb i="10209"/>
        </ext>
      </extLst>
    </bk>
    <bk>
      <extLst>
        <ext uri="{3e2802c4-a4d2-4d8b-9148-e3be6c30e623}">
          <xlrd:rvb i="10210"/>
        </ext>
      </extLst>
    </bk>
    <bk>
      <extLst>
        <ext uri="{3e2802c4-a4d2-4d8b-9148-e3be6c30e623}">
          <xlrd:rvb i="10211"/>
        </ext>
      </extLst>
    </bk>
    <bk>
      <extLst>
        <ext uri="{3e2802c4-a4d2-4d8b-9148-e3be6c30e623}">
          <xlrd:rvb i="10212"/>
        </ext>
      </extLst>
    </bk>
    <bk>
      <extLst>
        <ext uri="{3e2802c4-a4d2-4d8b-9148-e3be6c30e623}">
          <xlrd:rvb i="10213"/>
        </ext>
      </extLst>
    </bk>
    <bk>
      <extLst>
        <ext uri="{3e2802c4-a4d2-4d8b-9148-e3be6c30e623}">
          <xlrd:rvb i="10214"/>
        </ext>
      </extLst>
    </bk>
    <bk>
      <extLst>
        <ext uri="{3e2802c4-a4d2-4d8b-9148-e3be6c30e623}">
          <xlrd:rvb i="10215"/>
        </ext>
      </extLst>
    </bk>
    <bk>
      <extLst>
        <ext uri="{3e2802c4-a4d2-4d8b-9148-e3be6c30e623}">
          <xlrd:rvb i="10216"/>
        </ext>
      </extLst>
    </bk>
    <bk>
      <extLst>
        <ext uri="{3e2802c4-a4d2-4d8b-9148-e3be6c30e623}">
          <xlrd:rvb i="10217"/>
        </ext>
      </extLst>
    </bk>
    <bk>
      <extLst>
        <ext uri="{3e2802c4-a4d2-4d8b-9148-e3be6c30e623}">
          <xlrd:rvb i="10218"/>
        </ext>
      </extLst>
    </bk>
    <bk>
      <extLst>
        <ext uri="{3e2802c4-a4d2-4d8b-9148-e3be6c30e623}">
          <xlrd:rvb i="10219"/>
        </ext>
      </extLst>
    </bk>
    <bk>
      <extLst>
        <ext uri="{3e2802c4-a4d2-4d8b-9148-e3be6c30e623}">
          <xlrd:rvb i="10220"/>
        </ext>
      </extLst>
    </bk>
    <bk>
      <extLst>
        <ext uri="{3e2802c4-a4d2-4d8b-9148-e3be6c30e623}">
          <xlrd:rvb i="10221"/>
        </ext>
      </extLst>
    </bk>
    <bk>
      <extLst>
        <ext uri="{3e2802c4-a4d2-4d8b-9148-e3be6c30e623}">
          <xlrd:rvb i="10222"/>
        </ext>
      </extLst>
    </bk>
    <bk>
      <extLst>
        <ext uri="{3e2802c4-a4d2-4d8b-9148-e3be6c30e623}">
          <xlrd:rvb i="10223"/>
        </ext>
      </extLst>
    </bk>
    <bk>
      <extLst>
        <ext uri="{3e2802c4-a4d2-4d8b-9148-e3be6c30e623}">
          <xlrd:rvb i="10224"/>
        </ext>
      </extLst>
    </bk>
    <bk>
      <extLst>
        <ext uri="{3e2802c4-a4d2-4d8b-9148-e3be6c30e623}">
          <xlrd:rvb i="10225"/>
        </ext>
      </extLst>
    </bk>
    <bk>
      <extLst>
        <ext uri="{3e2802c4-a4d2-4d8b-9148-e3be6c30e623}">
          <xlrd:rvb i="10226"/>
        </ext>
      </extLst>
    </bk>
    <bk>
      <extLst>
        <ext uri="{3e2802c4-a4d2-4d8b-9148-e3be6c30e623}">
          <xlrd:rvb i="10227"/>
        </ext>
      </extLst>
    </bk>
    <bk>
      <extLst>
        <ext uri="{3e2802c4-a4d2-4d8b-9148-e3be6c30e623}">
          <xlrd:rvb i="10228"/>
        </ext>
      </extLst>
    </bk>
    <bk>
      <extLst>
        <ext uri="{3e2802c4-a4d2-4d8b-9148-e3be6c30e623}">
          <xlrd:rvb i="10229"/>
        </ext>
      </extLst>
    </bk>
    <bk>
      <extLst>
        <ext uri="{3e2802c4-a4d2-4d8b-9148-e3be6c30e623}">
          <xlrd:rvb i="10230"/>
        </ext>
      </extLst>
    </bk>
    <bk>
      <extLst>
        <ext uri="{3e2802c4-a4d2-4d8b-9148-e3be6c30e623}">
          <xlrd:rvb i="10231"/>
        </ext>
      </extLst>
    </bk>
    <bk>
      <extLst>
        <ext uri="{3e2802c4-a4d2-4d8b-9148-e3be6c30e623}">
          <xlrd:rvb i="10232"/>
        </ext>
      </extLst>
    </bk>
    <bk>
      <extLst>
        <ext uri="{3e2802c4-a4d2-4d8b-9148-e3be6c30e623}">
          <xlrd:rvb i="10233"/>
        </ext>
      </extLst>
    </bk>
    <bk>
      <extLst>
        <ext uri="{3e2802c4-a4d2-4d8b-9148-e3be6c30e623}">
          <xlrd:rvb i="10234"/>
        </ext>
      </extLst>
    </bk>
    <bk>
      <extLst>
        <ext uri="{3e2802c4-a4d2-4d8b-9148-e3be6c30e623}">
          <xlrd:rvb i="10235"/>
        </ext>
      </extLst>
    </bk>
    <bk>
      <extLst>
        <ext uri="{3e2802c4-a4d2-4d8b-9148-e3be6c30e623}">
          <xlrd:rvb i="10236"/>
        </ext>
      </extLst>
    </bk>
    <bk>
      <extLst>
        <ext uri="{3e2802c4-a4d2-4d8b-9148-e3be6c30e623}">
          <xlrd:rvb i="10237"/>
        </ext>
      </extLst>
    </bk>
    <bk>
      <extLst>
        <ext uri="{3e2802c4-a4d2-4d8b-9148-e3be6c30e623}">
          <xlrd:rvb i="10238"/>
        </ext>
      </extLst>
    </bk>
    <bk>
      <extLst>
        <ext uri="{3e2802c4-a4d2-4d8b-9148-e3be6c30e623}">
          <xlrd:rvb i="10239"/>
        </ext>
      </extLst>
    </bk>
    <bk>
      <extLst>
        <ext uri="{3e2802c4-a4d2-4d8b-9148-e3be6c30e623}">
          <xlrd:rvb i="10240"/>
        </ext>
      </extLst>
    </bk>
    <bk>
      <extLst>
        <ext uri="{3e2802c4-a4d2-4d8b-9148-e3be6c30e623}">
          <xlrd:rvb i="10241"/>
        </ext>
      </extLst>
    </bk>
    <bk>
      <extLst>
        <ext uri="{3e2802c4-a4d2-4d8b-9148-e3be6c30e623}">
          <xlrd:rvb i="10242"/>
        </ext>
      </extLst>
    </bk>
    <bk>
      <extLst>
        <ext uri="{3e2802c4-a4d2-4d8b-9148-e3be6c30e623}">
          <xlrd:rvb i="10243"/>
        </ext>
      </extLst>
    </bk>
    <bk>
      <extLst>
        <ext uri="{3e2802c4-a4d2-4d8b-9148-e3be6c30e623}">
          <xlrd:rvb i="10244"/>
        </ext>
      </extLst>
    </bk>
    <bk>
      <extLst>
        <ext uri="{3e2802c4-a4d2-4d8b-9148-e3be6c30e623}">
          <xlrd:rvb i="10245"/>
        </ext>
      </extLst>
    </bk>
    <bk>
      <extLst>
        <ext uri="{3e2802c4-a4d2-4d8b-9148-e3be6c30e623}">
          <xlrd:rvb i="10246"/>
        </ext>
      </extLst>
    </bk>
    <bk>
      <extLst>
        <ext uri="{3e2802c4-a4d2-4d8b-9148-e3be6c30e623}">
          <xlrd:rvb i="10247"/>
        </ext>
      </extLst>
    </bk>
    <bk>
      <extLst>
        <ext uri="{3e2802c4-a4d2-4d8b-9148-e3be6c30e623}">
          <xlrd:rvb i="10248"/>
        </ext>
      </extLst>
    </bk>
    <bk>
      <extLst>
        <ext uri="{3e2802c4-a4d2-4d8b-9148-e3be6c30e623}">
          <xlrd:rvb i="10249"/>
        </ext>
      </extLst>
    </bk>
    <bk>
      <extLst>
        <ext uri="{3e2802c4-a4d2-4d8b-9148-e3be6c30e623}">
          <xlrd:rvb i="10250"/>
        </ext>
      </extLst>
    </bk>
    <bk>
      <extLst>
        <ext uri="{3e2802c4-a4d2-4d8b-9148-e3be6c30e623}">
          <xlrd:rvb i="10251"/>
        </ext>
      </extLst>
    </bk>
    <bk>
      <extLst>
        <ext uri="{3e2802c4-a4d2-4d8b-9148-e3be6c30e623}">
          <xlrd:rvb i="10252"/>
        </ext>
      </extLst>
    </bk>
    <bk>
      <extLst>
        <ext uri="{3e2802c4-a4d2-4d8b-9148-e3be6c30e623}">
          <xlrd:rvb i="10253"/>
        </ext>
      </extLst>
    </bk>
    <bk>
      <extLst>
        <ext uri="{3e2802c4-a4d2-4d8b-9148-e3be6c30e623}">
          <xlrd:rvb i="10254"/>
        </ext>
      </extLst>
    </bk>
    <bk>
      <extLst>
        <ext uri="{3e2802c4-a4d2-4d8b-9148-e3be6c30e623}">
          <xlrd:rvb i="10255"/>
        </ext>
      </extLst>
    </bk>
    <bk>
      <extLst>
        <ext uri="{3e2802c4-a4d2-4d8b-9148-e3be6c30e623}">
          <xlrd:rvb i="10256"/>
        </ext>
      </extLst>
    </bk>
    <bk>
      <extLst>
        <ext uri="{3e2802c4-a4d2-4d8b-9148-e3be6c30e623}">
          <xlrd:rvb i="10257"/>
        </ext>
      </extLst>
    </bk>
    <bk>
      <extLst>
        <ext uri="{3e2802c4-a4d2-4d8b-9148-e3be6c30e623}">
          <xlrd:rvb i="10258"/>
        </ext>
      </extLst>
    </bk>
    <bk>
      <extLst>
        <ext uri="{3e2802c4-a4d2-4d8b-9148-e3be6c30e623}">
          <xlrd:rvb i="10259"/>
        </ext>
      </extLst>
    </bk>
    <bk>
      <extLst>
        <ext uri="{3e2802c4-a4d2-4d8b-9148-e3be6c30e623}">
          <xlrd:rvb i="10260"/>
        </ext>
      </extLst>
    </bk>
    <bk>
      <extLst>
        <ext uri="{3e2802c4-a4d2-4d8b-9148-e3be6c30e623}">
          <xlrd:rvb i="10261"/>
        </ext>
      </extLst>
    </bk>
    <bk>
      <extLst>
        <ext uri="{3e2802c4-a4d2-4d8b-9148-e3be6c30e623}">
          <xlrd:rvb i="10262"/>
        </ext>
      </extLst>
    </bk>
    <bk>
      <extLst>
        <ext uri="{3e2802c4-a4d2-4d8b-9148-e3be6c30e623}">
          <xlrd:rvb i="10263"/>
        </ext>
      </extLst>
    </bk>
    <bk>
      <extLst>
        <ext uri="{3e2802c4-a4d2-4d8b-9148-e3be6c30e623}">
          <xlrd:rvb i="10264"/>
        </ext>
      </extLst>
    </bk>
    <bk>
      <extLst>
        <ext uri="{3e2802c4-a4d2-4d8b-9148-e3be6c30e623}">
          <xlrd:rvb i="10265"/>
        </ext>
      </extLst>
    </bk>
    <bk>
      <extLst>
        <ext uri="{3e2802c4-a4d2-4d8b-9148-e3be6c30e623}">
          <xlrd:rvb i="10266"/>
        </ext>
      </extLst>
    </bk>
    <bk>
      <extLst>
        <ext uri="{3e2802c4-a4d2-4d8b-9148-e3be6c30e623}">
          <xlrd:rvb i="10267"/>
        </ext>
      </extLst>
    </bk>
    <bk>
      <extLst>
        <ext uri="{3e2802c4-a4d2-4d8b-9148-e3be6c30e623}">
          <xlrd:rvb i="10268"/>
        </ext>
      </extLst>
    </bk>
    <bk>
      <extLst>
        <ext uri="{3e2802c4-a4d2-4d8b-9148-e3be6c30e623}">
          <xlrd:rvb i="10269"/>
        </ext>
      </extLst>
    </bk>
    <bk>
      <extLst>
        <ext uri="{3e2802c4-a4d2-4d8b-9148-e3be6c30e623}">
          <xlrd:rvb i="10270"/>
        </ext>
      </extLst>
    </bk>
    <bk>
      <extLst>
        <ext uri="{3e2802c4-a4d2-4d8b-9148-e3be6c30e623}">
          <xlrd:rvb i="10271"/>
        </ext>
      </extLst>
    </bk>
    <bk>
      <extLst>
        <ext uri="{3e2802c4-a4d2-4d8b-9148-e3be6c30e623}">
          <xlrd:rvb i="10272"/>
        </ext>
      </extLst>
    </bk>
    <bk>
      <extLst>
        <ext uri="{3e2802c4-a4d2-4d8b-9148-e3be6c30e623}">
          <xlrd:rvb i="10273"/>
        </ext>
      </extLst>
    </bk>
    <bk>
      <extLst>
        <ext uri="{3e2802c4-a4d2-4d8b-9148-e3be6c30e623}">
          <xlrd:rvb i="10274"/>
        </ext>
      </extLst>
    </bk>
    <bk>
      <extLst>
        <ext uri="{3e2802c4-a4d2-4d8b-9148-e3be6c30e623}">
          <xlrd:rvb i="10275"/>
        </ext>
      </extLst>
    </bk>
    <bk>
      <extLst>
        <ext uri="{3e2802c4-a4d2-4d8b-9148-e3be6c30e623}">
          <xlrd:rvb i="10276"/>
        </ext>
      </extLst>
    </bk>
    <bk>
      <extLst>
        <ext uri="{3e2802c4-a4d2-4d8b-9148-e3be6c30e623}">
          <xlrd:rvb i="10277"/>
        </ext>
      </extLst>
    </bk>
    <bk>
      <extLst>
        <ext uri="{3e2802c4-a4d2-4d8b-9148-e3be6c30e623}">
          <xlrd:rvb i="10278"/>
        </ext>
      </extLst>
    </bk>
    <bk>
      <extLst>
        <ext uri="{3e2802c4-a4d2-4d8b-9148-e3be6c30e623}">
          <xlrd:rvb i="10279"/>
        </ext>
      </extLst>
    </bk>
    <bk>
      <extLst>
        <ext uri="{3e2802c4-a4d2-4d8b-9148-e3be6c30e623}">
          <xlrd:rvb i="10280"/>
        </ext>
      </extLst>
    </bk>
    <bk>
      <extLst>
        <ext uri="{3e2802c4-a4d2-4d8b-9148-e3be6c30e623}">
          <xlrd:rvb i="10281"/>
        </ext>
      </extLst>
    </bk>
    <bk>
      <extLst>
        <ext uri="{3e2802c4-a4d2-4d8b-9148-e3be6c30e623}">
          <xlrd:rvb i="10282"/>
        </ext>
      </extLst>
    </bk>
    <bk>
      <extLst>
        <ext uri="{3e2802c4-a4d2-4d8b-9148-e3be6c30e623}">
          <xlrd:rvb i="10283"/>
        </ext>
      </extLst>
    </bk>
    <bk>
      <extLst>
        <ext uri="{3e2802c4-a4d2-4d8b-9148-e3be6c30e623}">
          <xlrd:rvb i="10284"/>
        </ext>
      </extLst>
    </bk>
    <bk>
      <extLst>
        <ext uri="{3e2802c4-a4d2-4d8b-9148-e3be6c30e623}">
          <xlrd:rvb i="10285"/>
        </ext>
      </extLst>
    </bk>
    <bk>
      <extLst>
        <ext uri="{3e2802c4-a4d2-4d8b-9148-e3be6c30e623}">
          <xlrd:rvb i="10286"/>
        </ext>
      </extLst>
    </bk>
    <bk>
      <extLst>
        <ext uri="{3e2802c4-a4d2-4d8b-9148-e3be6c30e623}">
          <xlrd:rvb i="10287"/>
        </ext>
      </extLst>
    </bk>
    <bk>
      <extLst>
        <ext uri="{3e2802c4-a4d2-4d8b-9148-e3be6c30e623}">
          <xlrd:rvb i="10288"/>
        </ext>
      </extLst>
    </bk>
    <bk>
      <extLst>
        <ext uri="{3e2802c4-a4d2-4d8b-9148-e3be6c30e623}">
          <xlrd:rvb i="10289"/>
        </ext>
      </extLst>
    </bk>
    <bk>
      <extLst>
        <ext uri="{3e2802c4-a4d2-4d8b-9148-e3be6c30e623}">
          <xlrd:rvb i="10290"/>
        </ext>
      </extLst>
    </bk>
    <bk>
      <extLst>
        <ext uri="{3e2802c4-a4d2-4d8b-9148-e3be6c30e623}">
          <xlrd:rvb i="10291"/>
        </ext>
      </extLst>
    </bk>
    <bk>
      <extLst>
        <ext uri="{3e2802c4-a4d2-4d8b-9148-e3be6c30e623}">
          <xlrd:rvb i="10292"/>
        </ext>
      </extLst>
    </bk>
    <bk>
      <extLst>
        <ext uri="{3e2802c4-a4d2-4d8b-9148-e3be6c30e623}">
          <xlrd:rvb i="10293"/>
        </ext>
      </extLst>
    </bk>
    <bk>
      <extLst>
        <ext uri="{3e2802c4-a4d2-4d8b-9148-e3be6c30e623}">
          <xlrd:rvb i="10294"/>
        </ext>
      </extLst>
    </bk>
    <bk>
      <extLst>
        <ext uri="{3e2802c4-a4d2-4d8b-9148-e3be6c30e623}">
          <xlrd:rvb i="10295"/>
        </ext>
      </extLst>
    </bk>
    <bk>
      <extLst>
        <ext uri="{3e2802c4-a4d2-4d8b-9148-e3be6c30e623}">
          <xlrd:rvb i="10296"/>
        </ext>
      </extLst>
    </bk>
    <bk>
      <extLst>
        <ext uri="{3e2802c4-a4d2-4d8b-9148-e3be6c30e623}">
          <xlrd:rvb i="10297"/>
        </ext>
      </extLst>
    </bk>
    <bk>
      <extLst>
        <ext uri="{3e2802c4-a4d2-4d8b-9148-e3be6c30e623}">
          <xlrd:rvb i="10298"/>
        </ext>
      </extLst>
    </bk>
    <bk>
      <extLst>
        <ext uri="{3e2802c4-a4d2-4d8b-9148-e3be6c30e623}">
          <xlrd:rvb i="10299"/>
        </ext>
      </extLst>
    </bk>
    <bk>
      <extLst>
        <ext uri="{3e2802c4-a4d2-4d8b-9148-e3be6c30e623}">
          <xlrd:rvb i="10300"/>
        </ext>
      </extLst>
    </bk>
    <bk>
      <extLst>
        <ext uri="{3e2802c4-a4d2-4d8b-9148-e3be6c30e623}">
          <xlrd:rvb i="10301"/>
        </ext>
      </extLst>
    </bk>
    <bk>
      <extLst>
        <ext uri="{3e2802c4-a4d2-4d8b-9148-e3be6c30e623}">
          <xlrd:rvb i="10302"/>
        </ext>
      </extLst>
    </bk>
    <bk>
      <extLst>
        <ext uri="{3e2802c4-a4d2-4d8b-9148-e3be6c30e623}">
          <xlrd:rvb i="10303"/>
        </ext>
      </extLst>
    </bk>
    <bk>
      <extLst>
        <ext uri="{3e2802c4-a4d2-4d8b-9148-e3be6c30e623}">
          <xlrd:rvb i="10304"/>
        </ext>
      </extLst>
    </bk>
    <bk>
      <extLst>
        <ext uri="{3e2802c4-a4d2-4d8b-9148-e3be6c30e623}">
          <xlrd:rvb i="10305"/>
        </ext>
      </extLst>
    </bk>
    <bk>
      <extLst>
        <ext uri="{3e2802c4-a4d2-4d8b-9148-e3be6c30e623}">
          <xlrd:rvb i="10306"/>
        </ext>
      </extLst>
    </bk>
    <bk>
      <extLst>
        <ext uri="{3e2802c4-a4d2-4d8b-9148-e3be6c30e623}">
          <xlrd:rvb i="10307"/>
        </ext>
      </extLst>
    </bk>
    <bk>
      <extLst>
        <ext uri="{3e2802c4-a4d2-4d8b-9148-e3be6c30e623}">
          <xlrd:rvb i="10308"/>
        </ext>
      </extLst>
    </bk>
    <bk>
      <extLst>
        <ext uri="{3e2802c4-a4d2-4d8b-9148-e3be6c30e623}">
          <xlrd:rvb i="10309"/>
        </ext>
      </extLst>
    </bk>
    <bk>
      <extLst>
        <ext uri="{3e2802c4-a4d2-4d8b-9148-e3be6c30e623}">
          <xlrd:rvb i="10310"/>
        </ext>
      </extLst>
    </bk>
    <bk>
      <extLst>
        <ext uri="{3e2802c4-a4d2-4d8b-9148-e3be6c30e623}">
          <xlrd:rvb i="10311"/>
        </ext>
      </extLst>
    </bk>
    <bk>
      <extLst>
        <ext uri="{3e2802c4-a4d2-4d8b-9148-e3be6c30e623}">
          <xlrd:rvb i="10312"/>
        </ext>
      </extLst>
    </bk>
    <bk>
      <extLst>
        <ext uri="{3e2802c4-a4d2-4d8b-9148-e3be6c30e623}">
          <xlrd:rvb i="10313"/>
        </ext>
      </extLst>
    </bk>
    <bk>
      <extLst>
        <ext uri="{3e2802c4-a4d2-4d8b-9148-e3be6c30e623}">
          <xlrd:rvb i="10314"/>
        </ext>
      </extLst>
    </bk>
    <bk>
      <extLst>
        <ext uri="{3e2802c4-a4d2-4d8b-9148-e3be6c30e623}">
          <xlrd:rvb i="10315"/>
        </ext>
      </extLst>
    </bk>
    <bk>
      <extLst>
        <ext uri="{3e2802c4-a4d2-4d8b-9148-e3be6c30e623}">
          <xlrd:rvb i="10316"/>
        </ext>
      </extLst>
    </bk>
    <bk>
      <extLst>
        <ext uri="{3e2802c4-a4d2-4d8b-9148-e3be6c30e623}">
          <xlrd:rvb i="10317"/>
        </ext>
      </extLst>
    </bk>
    <bk>
      <extLst>
        <ext uri="{3e2802c4-a4d2-4d8b-9148-e3be6c30e623}">
          <xlrd:rvb i="10318"/>
        </ext>
      </extLst>
    </bk>
    <bk>
      <extLst>
        <ext uri="{3e2802c4-a4d2-4d8b-9148-e3be6c30e623}">
          <xlrd:rvb i="10319"/>
        </ext>
      </extLst>
    </bk>
    <bk>
      <extLst>
        <ext uri="{3e2802c4-a4d2-4d8b-9148-e3be6c30e623}">
          <xlrd:rvb i="10320"/>
        </ext>
      </extLst>
    </bk>
    <bk>
      <extLst>
        <ext uri="{3e2802c4-a4d2-4d8b-9148-e3be6c30e623}">
          <xlrd:rvb i="10321"/>
        </ext>
      </extLst>
    </bk>
    <bk>
      <extLst>
        <ext uri="{3e2802c4-a4d2-4d8b-9148-e3be6c30e623}">
          <xlrd:rvb i="10322"/>
        </ext>
      </extLst>
    </bk>
    <bk>
      <extLst>
        <ext uri="{3e2802c4-a4d2-4d8b-9148-e3be6c30e623}">
          <xlrd:rvb i="10323"/>
        </ext>
      </extLst>
    </bk>
    <bk>
      <extLst>
        <ext uri="{3e2802c4-a4d2-4d8b-9148-e3be6c30e623}">
          <xlrd:rvb i="10324"/>
        </ext>
      </extLst>
    </bk>
    <bk>
      <extLst>
        <ext uri="{3e2802c4-a4d2-4d8b-9148-e3be6c30e623}">
          <xlrd:rvb i="10325"/>
        </ext>
      </extLst>
    </bk>
    <bk>
      <extLst>
        <ext uri="{3e2802c4-a4d2-4d8b-9148-e3be6c30e623}">
          <xlrd:rvb i="10326"/>
        </ext>
      </extLst>
    </bk>
    <bk>
      <extLst>
        <ext uri="{3e2802c4-a4d2-4d8b-9148-e3be6c30e623}">
          <xlrd:rvb i="10327"/>
        </ext>
      </extLst>
    </bk>
    <bk>
      <extLst>
        <ext uri="{3e2802c4-a4d2-4d8b-9148-e3be6c30e623}">
          <xlrd:rvb i="10328"/>
        </ext>
      </extLst>
    </bk>
    <bk>
      <extLst>
        <ext uri="{3e2802c4-a4d2-4d8b-9148-e3be6c30e623}">
          <xlrd:rvb i="10329"/>
        </ext>
      </extLst>
    </bk>
    <bk>
      <extLst>
        <ext uri="{3e2802c4-a4d2-4d8b-9148-e3be6c30e623}">
          <xlrd:rvb i="10330"/>
        </ext>
      </extLst>
    </bk>
    <bk>
      <extLst>
        <ext uri="{3e2802c4-a4d2-4d8b-9148-e3be6c30e623}">
          <xlrd:rvb i="10331"/>
        </ext>
      </extLst>
    </bk>
    <bk>
      <extLst>
        <ext uri="{3e2802c4-a4d2-4d8b-9148-e3be6c30e623}">
          <xlrd:rvb i="10332"/>
        </ext>
      </extLst>
    </bk>
    <bk>
      <extLst>
        <ext uri="{3e2802c4-a4d2-4d8b-9148-e3be6c30e623}">
          <xlrd:rvb i="10333"/>
        </ext>
      </extLst>
    </bk>
    <bk>
      <extLst>
        <ext uri="{3e2802c4-a4d2-4d8b-9148-e3be6c30e623}">
          <xlrd:rvb i="10334"/>
        </ext>
      </extLst>
    </bk>
    <bk>
      <extLst>
        <ext uri="{3e2802c4-a4d2-4d8b-9148-e3be6c30e623}">
          <xlrd:rvb i="10335"/>
        </ext>
      </extLst>
    </bk>
    <bk>
      <extLst>
        <ext uri="{3e2802c4-a4d2-4d8b-9148-e3be6c30e623}">
          <xlrd:rvb i="10336"/>
        </ext>
      </extLst>
    </bk>
    <bk>
      <extLst>
        <ext uri="{3e2802c4-a4d2-4d8b-9148-e3be6c30e623}">
          <xlrd:rvb i="10337"/>
        </ext>
      </extLst>
    </bk>
    <bk>
      <extLst>
        <ext uri="{3e2802c4-a4d2-4d8b-9148-e3be6c30e623}">
          <xlrd:rvb i="10338"/>
        </ext>
      </extLst>
    </bk>
    <bk>
      <extLst>
        <ext uri="{3e2802c4-a4d2-4d8b-9148-e3be6c30e623}">
          <xlrd:rvb i="10339"/>
        </ext>
      </extLst>
    </bk>
    <bk>
      <extLst>
        <ext uri="{3e2802c4-a4d2-4d8b-9148-e3be6c30e623}">
          <xlrd:rvb i="10340"/>
        </ext>
      </extLst>
    </bk>
    <bk>
      <extLst>
        <ext uri="{3e2802c4-a4d2-4d8b-9148-e3be6c30e623}">
          <xlrd:rvb i="10341"/>
        </ext>
      </extLst>
    </bk>
    <bk>
      <extLst>
        <ext uri="{3e2802c4-a4d2-4d8b-9148-e3be6c30e623}">
          <xlrd:rvb i="10342"/>
        </ext>
      </extLst>
    </bk>
    <bk>
      <extLst>
        <ext uri="{3e2802c4-a4d2-4d8b-9148-e3be6c30e623}">
          <xlrd:rvb i="10343"/>
        </ext>
      </extLst>
    </bk>
    <bk>
      <extLst>
        <ext uri="{3e2802c4-a4d2-4d8b-9148-e3be6c30e623}">
          <xlrd:rvb i="10344"/>
        </ext>
      </extLst>
    </bk>
    <bk>
      <extLst>
        <ext uri="{3e2802c4-a4d2-4d8b-9148-e3be6c30e623}">
          <xlrd:rvb i="10345"/>
        </ext>
      </extLst>
    </bk>
    <bk>
      <extLst>
        <ext uri="{3e2802c4-a4d2-4d8b-9148-e3be6c30e623}">
          <xlrd:rvb i="10346"/>
        </ext>
      </extLst>
    </bk>
    <bk>
      <extLst>
        <ext uri="{3e2802c4-a4d2-4d8b-9148-e3be6c30e623}">
          <xlrd:rvb i="10347"/>
        </ext>
      </extLst>
    </bk>
    <bk>
      <extLst>
        <ext uri="{3e2802c4-a4d2-4d8b-9148-e3be6c30e623}">
          <xlrd:rvb i="10348"/>
        </ext>
      </extLst>
    </bk>
    <bk>
      <extLst>
        <ext uri="{3e2802c4-a4d2-4d8b-9148-e3be6c30e623}">
          <xlrd:rvb i="10349"/>
        </ext>
      </extLst>
    </bk>
    <bk>
      <extLst>
        <ext uri="{3e2802c4-a4d2-4d8b-9148-e3be6c30e623}">
          <xlrd:rvb i="10350"/>
        </ext>
      </extLst>
    </bk>
    <bk>
      <extLst>
        <ext uri="{3e2802c4-a4d2-4d8b-9148-e3be6c30e623}">
          <xlrd:rvb i="10351"/>
        </ext>
      </extLst>
    </bk>
    <bk>
      <extLst>
        <ext uri="{3e2802c4-a4d2-4d8b-9148-e3be6c30e623}">
          <xlrd:rvb i="10352"/>
        </ext>
      </extLst>
    </bk>
    <bk>
      <extLst>
        <ext uri="{3e2802c4-a4d2-4d8b-9148-e3be6c30e623}">
          <xlrd:rvb i="10353"/>
        </ext>
      </extLst>
    </bk>
    <bk>
      <extLst>
        <ext uri="{3e2802c4-a4d2-4d8b-9148-e3be6c30e623}">
          <xlrd:rvb i="10354"/>
        </ext>
      </extLst>
    </bk>
    <bk>
      <extLst>
        <ext uri="{3e2802c4-a4d2-4d8b-9148-e3be6c30e623}">
          <xlrd:rvb i="10355"/>
        </ext>
      </extLst>
    </bk>
    <bk>
      <extLst>
        <ext uri="{3e2802c4-a4d2-4d8b-9148-e3be6c30e623}">
          <xlrd:rvb i="10356"/>
        </ext>
      </extLst>
    </bk>
    <bk>
      <extLst>
        <ext uri="{3e2802c4-a4d2-4d8b-9148-e3be6c30e623}">
          <xlrd:rvb i="10357"/>
        </ext>
      </extLst>
    </bk>
    <bk>
      <extLst>
        <ext uri="{3e2802c4-a4d2-4d8b-9148-e3be6c30e623}">
          <xlrd:rvb i="10358"/>
        </ext>
      </extLst>
    </bk>
    <bk>
      <extLst>
        <ext uri="{3e2802c4-a4d2-4d8b-9148-e3be6c30e623}">
          <xlrd:rvb i="10359"/>
        </ext>
      </extLst>
    </bk>
    <bk>
      <extLst>
        <ext uri="{3e2802c4-a4d2-4d8b-9148-e3be6c30e623}">
          <xlrd:rvb i="10360"/>
        </ext>
      </extLst>
    </bk>
    <bk>
      <extLst>
        <ext uri="{3e2802c4-a4d2-4d8b-9148-e3be6c30e623}">
          <xlrd:rvb i="10361"/>
        </ext>
      </extLst>
    </bk>
    <bk>
      <extLst>
        <ext uri="{3e2802c4-a4d2-4d8b-9148-e3be6c30e623}">
          <xlrd:rvb i="10362"/>
        </ext>
      </extLst>
    </bk>
    <bk>
      <extLst>
        <ext uri="{3e2802c4-a4d2-4d8b-9148-e3be6c30e623}">
          <xlrd:rvb i="10363"/>
        </ext>
      </extLst>
    </bk>
    <bk>
      <extLst>
        <ext uri="{3e2802c4-a4d2-4d8b-9148-e3be6c30e623}">
          <xlrd:rvb i="10364"/>
        </ext>
      </extLst>
    </bk>
    <bk>
      <extLst>
        <ext uri="{3e2802c4-a4d2-4d8b-9148-e3be6c30e623}">
          <xlrd:rvb i="10365"/>
        </ext>
      </extLst>
    </bk>
    <bk>
      <extLst>
        <ext uri="{3e2802c4-a4d2-4d8b-9148-e3be6c30e623}">
          <xlrd:rvb i="10366"/>
        </ext>
      </extLst>
    </bk>
    <bk>
      <extLst>
        <ext uri="{3e2802c4-a4d2-4d8b-9148-e3be6c30e623}">
          <xlrd:rvb i="10367"/>
        </ext>
      </extLst>
    </bk>
    <bk>
      <extLst>
        <ext uri="{3e2802c4-a4d2-4d8b-9148-e3be6c30e623}">
          <xlrd:rvb i="10368"/>
        </ext>
      </extLst>
    </bk>
    <bk>
      <extLst>
        <ext uri="{3e2802c4-a4d2-4d8b-9148-e3be6c30e623}">
          <xlrd:rvb i="10369"/>
        </ext>
      </extLst>
    </bk>
    <bk>
      <extLst>
        <ext uri="{3e2802c4-a4d2-4d8b-9148-e3be6c30e623}">
          <xlrd:rvb i="10370"/>
        </ext>
      </extLst>
    </bk>
    <bk>
      <extLst>
        <ext uri="{3e2802c4-a4d2-4d8b-9148-e3be6c30e623}">
          <xlrd:rvb i="10371"/>
        </ext>
      </extLst>
    </bk>
    <bk>
      <extLst>
        <ext uri="{3e2802c4-a4d2-4d8b-9148-e3be6c30e623}">
          <xlrd:rvb i="10372"/>
        </ext>
      </extLst>
    </bk>
    <bk>
      <extLst>
        <ext uri="{3e2802c4-a4d2-4d8b-9148-e3be6c30e623}">
          <xlrd:rvb i="10373"/>
        </ext>
      </extLst>
    </bk>
    <bk>
      <extLst>
        <ext uri="{3e2802c4-a4d2-4d8b-9148-e3be6c30e623}">
          <xlrd:rvb i="10374"/>
        </ext>
      </extLst>
    </bk>
    <bk>
      <extLst>
        <ext uri="{3e2802c4-a4d2-4d8b-9148-e3be6c30e623}">
          <xlrd:rvb i="10375"/>
        </ext>
      </extLst>
    </bk>
    <bk>
      <extLst>
        <ext uri="{3e2802c4-a4d2-4d8b-9148-e3be6c30e623}">
          <xlrd:rvb i="10376"/>
        </ext>
      </extLst>
    </bk>
    <bk>
      <extLst>
        <ext uri="{3e2802c4-a4d2-4d8b-9148-e3be6c30e623}">
          <xlrd:rvb i="10377"/>
        </ext>
      </extLst>
    </bk>
    <bk>
      <extLst>
        <ext uri="{3e2802c4-a4d2-4d8b-9148-e3be6c30e623}">
          <xlrd:rvb i="10378"/>
        </ext>
      </extLst>
    </bk>
    <bk>
      <extLst>
        <ext uri="{3e2802c4-a4d2-4d8b-9148-e3be6c30e623}">
          <xlrd:rvb i="10379"/>
        </ext>
      </extLst>
    </bk>
    <bk>
      <extLst>
        <ext uri="{3e2802c4-a4d2-4d8b-9148-e3be6c30e623}">
          <xlrd:rvb i="10380"/>
        </ext>
      </extLst>
    </bk>
    <bk>
      <extLst>
        <ext uri="{3e2802c4-a4d2-4d8b-9148-e3be6c30e623}">
          <xlrd:rvb i="10381"/>
        </ext>
      </extLst>
    </bk>
    <bk>
      <extLst>
        <ext uri="{3e2802c4-a4d2-4d8b-9148-e3be6c30e623}">
          <xlrd:rvb i="10382"/>
        </ext>
      </extLst>
    </bk>
    <bk>
      <extLst>
        <ext uri="{3e2802c4-a4d2-4d8b-9148-e3be6c30e623}">
          <xlrd:rvb i="10383"/>
        </ext>
      </extLst>
    </bk>
    <bk>
      <extLst>
        <ext uri="{3e2802c4-a4d2-4d8b-9148-e3be6c30e623}">
          <xlrd:rvb i="10384"/>
        </ext>
      </extLst>
    </bk>
    <bk>
      <extLst>
        <ext uri="{3e2802c4-a4d2-4d8b-9148-e3be6c30e623}">
          <xlrd:rvb i="10385"/>
        </ext>
      </extLst>
    </bk>
    <bk>
      <extLst>
        <ext uri="{3e2802c4-a4d2-4d8b-9148-e3be6c30e623}">
          <xlrd:rvb i="10386"/>
        </ext>
      </extLst>
    </bk>
    <bk>
      <extLst>
        <ext uri="{3e2802c4-a4d2-4d8b-9148-e3be6c30e623}">
          <xlrd:rvb i="10387"/>
        </ext>
      </extLst>
    </bk>
    <bk>
      <extLst>
        <ext uri="{3e2802c4-a4d2-4d8b-9148-e3be6c30e623}">
          <xlrd:rvb i="10388"/>
        </ext>
      </extLst>
    </bk>
    <bk>
      <extLst>
        <ext uri="{3e2802c4-a4d2-4d8b-9148-e3be6c30e623}">
          <xlrd:rvb i="10389"/>
        </ext>
      </extLst>
    </bk>
    <bk>
      <extLst>
        <ext uri="{3e2802c4-a4d2-4d8b-9148-e3be6c30e623}">
          <xlrd:rvb i="10390"/>
        </ext>
      </extLst>
    </bk>
    <bk>
      <extLst>
        <ext uri="{3e2802c4-a4d2-4d8b-9148-e3be6c30e623}">
          <xlrd:rvb i="10391"/>
        </ext>
      </extLst>
    </bk>
    <bk>
      <extLst>
        <ext uri="{3e2802c4-a4d2-4d8b-9148-e3be6c30e623}">
          <xlrd:rvb i="10392"/>
        </ext>
      </extLst>
    </bk>
    <bk>
      <extLst>
        <ext uri="{3e2802c4-a4d2-4d8b-9148-e3be6c30e623}">
          <xlrd:rvb i="10393"/>
        </ext>
      </extLst>
    </bk>
    <bk>
      <extLst>
        <ext uri="{3e2802c4-a4d2-4d8b-9148-e3be6c30e623}">
          <xlrd:rvb i="10394"/>
        </ext>
      </extLst>
    </bk>
    <bk>
      <extLst>
        <ext uri="{3e2802c4-a4d2-4d8b-9148-e3be6c30e623}">
          <xlrd:rvb i="10395"/>
        </ext>
      </extLst>
    </bk>
    <bk>
      <extLst>
        <ext uri="{3e2802c4-a4d2-4d8b-9148-e3be6c30e623}">
          <xlrd:rvb i="10396"/>
        </ext>
      </extLst>
    </bk>
    <bk>
      <extLst>
        <ext uri="{3e2802c4-a4d2-4d8b-9148-e3be6c30e623}">
          <xlrd:rvb i="10397"/>
        </ext>
      </extLst>
    </bk>
    <bk>
      <extLst>
        <ext uri="{3e2802c4-a4d2-4d8b-9148-e3be6c30e623}">
          <xlrd:rvb i="10398"/>
        </ext>
      </extLst>
    </bk>
    <bk>
      <extLst>
        <ext uri="{3e2802c4-a4d2-4d8b-9148-e3be6c30e623}">
          <xlrd:rvb i="10399"/>
        </ext>
      </extLst>
    </bk>
    <bk>
      <extLst>
        <ext uri="{3e2802c4-a4d2-4d8b-9148-e3be6c30e623}">
          <xlrd:rvb i="10400"/>
        </ext>
      </extLst>
    </bk>
    <bk>
      <extLst>
        <ext uri="{3e2802c4-a4d2-4d8b-9148-e3be6c30e623}">
          <xlrd:rvb i="10401"/>
        </ext>
      </extLst>
    </bk>
    <bk>
      <extLst>
        <ext uri="{3e2802c4-a4d2-4d8b-9148-e3be6c30e623}">
          <xlrd:rvb i="10402"/>
        </ext>
      </extLst>
    </bk>
    <bk>
      <extLst>
        <ext uri="{3e2802c4-a4d2-4d8b-9148-e3be6c30e623}">
          <xlrd:rvb i="10403"/>
        </ext>
      </extLst>
    </bk>
    <bk>
      <extLst>
        <ext uri="{3e2802c4-a4d2-4d8b-9148-e3be6c30e623}">
          <xlrd:rvb i="10404"/>
        </ext>
      </extLst>
    </bk>
    <bk>
      <extLst>
        <ext uri="{3e2802c4-a4d2-4d8b-9148-e3be6c30e623}">
          <xlrd:rvb i="10405"/>
        </ext>
      </extLst>
    </bk>
    <bk>
      <extLst>
        <ext uri="{3e2802c4-a4d2-4d8b-9148-e3be6c30e623}">
          <xlrd:rvb i="10406"/>
        </ext>
      </extLst>
    </bk>
    <bk>
      <extLst>
        <ext uri="{3e2802c4-a4d2-4d8b-9148-e3be6c30e623}">
          <xlrd:rvb i="10407"/>
        </ext>
      </extLst>
    </bk>
    <bk>
      <extLst>
        <ext uri="{3e2802c4-a4d2-4d8b-9148-e3be6c30e623}">
          <xlrd:rvb i="10408"/>
        </ext>
      </extLst>
    </bk>
    <bk>
      <extLst>
        <ext uri="{3e2802c4-a4d2-4d8b-9148-e3be6c30e623}">
          <xlrd:rvb i="10409"/>
        </ext>
      </extLst>
    </bk>
    <bk>
      <extLst>
        <ext uri="{3e2802c4-a4d2-4d8b-9148-e3be6c30e623}">
          <xlrd:rvb i="10410"/>
        </ext>
      </extLst>
    </bk>
    <bk>
      <extLst>
        <ext uri="{3e2802c4-a4d2-4d8b-9148-e3be6c30e623}">
          <xlrd:rvb i="10411"/>
        </ext>
      </extLst>
    </bk>
    <bk>
      <extLst>
        <ext uri="{3e2802c4-a4d2-4d8b-9148-e3be6c30e623}">
          <xlrd:rvb i="10412"/>
        </ext>
      </extLst>
    </bk>
    <bk>
      <extLst>
        <ext uri="{3e2802c4-a4d2-4d8b-9148-e3be6c30e623}">
          <xlrd:rvb i="10413"/>
        </ext>
      </extLst>
    </bk>
    <bk>
      <extLst>
        <ext uri="{3e2802c4-a4d2-4d8b-9148-e3be6c30e623}">
          <xlrd:rvb i="10414"/>
        </ext>
      </extLst>
    </bk>
    <bk>
      <extLst>
        <ext uri="{3e2802c4-a4d2-4d8b-9148-e3be6c30e623}">
          <xlrd:rvb i="10415"/>
        </ext>
      </extLst>
    </bk>
    <bk>
      <extLst>
        <ext uri="{3e2802c4-a4d2-4d8b-9148-e3be6c30e623}">
          <xlrd:rvb i="10416"/>
        </ext>
      </extLst>
    </bk>
    <bk>
      <extLst>
        <ext uri="{3e2802c4-a4d2-4d8b-9148-e3be6c30e623}">
          <xlrd:rvb i="10417"/>
        </ext>
      </extLst>
    </bk>
    <bk>
      <extLst>
        <ext uri="{3e2802c4-a4d2-4d8b-9148-e3be6c30e623}">
          <xlrd:rvb i="10418"/>
        </ext>
      </extLst>
    </bk>
    <bk>
      <extLst>
        <ext uri="{3e2802c4-a4d2-4d8b-9148-e3be6c30e623}">
          <xlrd:rvb i="10419"/>
        </ext>
      </extLst>
    </bk>
    <bk>
      <extLst>
        <ext uri="{3e2802c4-a4d2-4d8b-9148-e3be6c30e623}">
          <xlrd:rvb i="10420"/>
        </ext>
      </extLst>
    </bk>
    <bk>
      <extLst>
        <ext uri="{3e2802c4-a4d2-4d8b-9148-e3be6c30e623}">
          <xlrd:rvb i="10421"/>
        </ext>
      </extLst>
    </bk>
    <bk>
      <extLst>
        <ext uri="{3e2802c4-a4d2-4d8b-9148-e3be6c30e623}">
          <xlrd:rvb i="10422"/>
        </ext>
      </extLst>
    </bk>
    <bk>
      <extLst>
        <ext uri="{3e2802c4-a4d2-4d8b-9148-e3be6c30e623}">
          <xlrd:rvb i="10423"/>
        </ext>
      </extLst>
    </bk>
    <bk>
      <extLst>
        <ext uri="{3e2802c4-a4d2-4d8b-9148-e3be6c30e623}">
          <xlrd:rvb i="10424"/>
        </ext>
      </extLst>
    </bk>
    <bk>
      <extLst>
        <ext uri="{3e2802c4-a4d2-4d8b-9148-e3be6c30e623}">
          <xlrd:rvb i="10425"/>
        </ext>
      </extLst>
    </bk>
    <bk>
      <extLst>
        <ext uri="{3e2802c4-a4d2-4d8b-9148-e3be6c30e623}">
          <xlrd:rvb i="10426"/>
        </ext>
      </extLst>
    </bk>
    <bk>
      <extLst>
        <ext uri="{3e2802c4-a4d2-4d8b-9148-e3be6c30e623}">
          <xlrd:rvb i="10427"/>
        </ext>
      </extLst>
    </bk>
    <bk>
      <extLst>
        <ext uri="{3e2802c4-a4d2-4d8b-9148-e3be6c30e623}">
          <xlrd:rvb i="10428"/>
        </ext>
      </extLst>
    </bk>
    <bk>
      <extLst>
        <ext uri="{3e2802c4-a4d2-4d8b-9148-e3be6c30e623}">
          <xlrd:rvb i="10429"/>
        </ext>
      </extLst>
    </bk>
    <bk>
      <extLst>
        <ext uri="{3e2802c4-a4d2-4d8b-9148-e3be6c30e623}">
          <xlrd:rvb i="10430"/>
        </ext>
      </extLst>
    </bk>
    <bk>
      <extLst>
        <ext uri="{3e2802c4-a4d2-4d8b-9148-e3be6c30e623}">
          <xlrd:rvb i="10431"/>
        </ext>
      </extLst>
    </bk>
    <bk>
      <extLst>
        <ext uri="{3e2802c4-a4d2-4d8b-9148-e3be6c30e623}">
          <xlrd:rvb i="10432"/>
        </ext>
      </extLst>
    </bk>
    <bk>
      <extLst>
        <ext uri="{3e2802c4-a4d2-4d8b-9148-e3be6c30e623}">
          <xlrd:rvb i="10433"/>
        </ext>
      </extLst>
    </bk>
    <bk>
      <extLst>
        <ext uri="{3e2802c4-a4d2-4d8b-9148-e3be6c30e623}">
          <xlrd:rvb i="10434"/>
        </ext>
      </extLst>
    </bk>
    <bk>
      <extLst>
        <ext uri="{3e2802c4-a4d2-4d8b-9148-e3be6c30e623}">
          <xlrd:rvb i="10435"/>
        </ext>
      </extLst>
    </bk>
    <bk>
      <extLst>
        <ext uri="{3e2802c4-a4d2-4d8b-9148-e3be6c30e623}">
          <xlrd:rvb i="10436"/>
        </ext>
      </extLst>
    </bk>
    <bk>
      <extLst>
        <ext uri="{3e2802c4-a4d2-4d8b-9148-e3be6c30e623}">
          <xlrd:rvb i="10437"/>
        </ext>
      </extLst>
    </bk>
    <bk>
      <extLst>
        <ext uri="{3e2802c4-a4d2-4d8b-9148-e3be6c30e623}">
          <xlrd:rvb i="10438"/>
        </ext>
      </extLst>
    </bk>
    <bk>
      <extLst>
        <ext uri="{3e2802c4-a4d2-4d8b-9148-e3be6c30e623}">
          <xlrd:rvb i="10439"/>
        </ext>
      </extLst>
    </bk>
    <bk>
      <extLst>
        <ext uri="{3e2802c4-a4d2-4d8b-9148-e3be6c30e623}">
          <xlrd:rvb i="10440"/>
        </ext>
      </extLst>
    </bk>
    <bk>
      <extLst>
        <ext uri="{3e2802c4-a4d2-4d8b-9148-e3be6c30e623}">
          <xlrd:rvb i="10441"/>
        </ext>
      </extLst>
    </bk>
    <bk>
      <extLst>
        <ext uri="{3e2802c4-a4d2-4d8b-9148-e3be6c30e623}">
          <xlrd:rvb i="10442"/>
        </ext>
      </extLst>
    </bk>
    <bk>
      <extLst>
        <ext uri="{3e2802c4-a4d2-4d8b-9148-e3be6c30e623}">
          <xlrd:rvb i="10443"/>
        </ext>
      </extLst>
    </bk>
    <bk>
      <extLst>
        <ext uri="{3e2802c4-a4d2-4d8b-9148-e3be6c30e623}">
          <xlrd:rvb i="10444"/>
        </ext>
      </extLst>
    </bk>
    <bk>
      <extLst>
        <ext uri="{3e2802c4-a4d2-4d8b-9148-e3be6c30e623}">
          <xlrd:rvb i="10445"/>
        </ext>
      </extLst>
    </bk>
    <bk>
      <extLst>
        <ext uri="{3e2802c4-a4d2-4d8b-9148-e3be6c30e623}">
          <xlrd:rvb i="10446"/>
        </ext>
      </extLst>
    </bk>
    <bk>
      <extLst>
        <ext uri="{3e2802c4-a4d2-4d8b-9148-e3be6c30e623}">
          <xlrd:rvb i="10447"/>
        </ext>
      </extLst>
    </bk>
    <bk>
      <extLst>
        <ext uri="{3e2802c4-a4d2-4d8b-9148-e3be6c30e623}">
          <xlrd:rvb i="10448"/>
        </ext>
      </extLst>
    </bk>
    <bk>
      <extLst>
        <ext uri="{3e2802c4-a4d2-4d8b-9148-e3be6c30e623}">
          <xlrd:rvb i="10449"/>
        </ext>
      </extLst>
    </bk>
    <bk>
      <extLst>
        <ext uri="{3e2802c4-a4d2-4d8b-9148-e3be6c30e623}">
          <xlrd:rvb i="10450"/>
        </ext>
      </extLst>
    </bk>
    <bk>
      <extLst>
        <ext uri="{3e2802c4-a4d2-4d8b-9148-e3be6c30e623}">
          <xlrd:rvb i="10451"/>
        </ext>
      </extLst>
    </bk>
    <bk>
      <extLst>
        <ext uri="{3e2802c4-a4d2-4d8b-9148-e3be6c30e623}">
          <xlrd:rvb i="10452"/>
        </ext>
      </extLst>
    </bk>
    <bk>
      <extLst>
        <ext uri="{3e2802c4-a4d2-4d8b-9148-e3be6c30e623}">
          <xlrd:rvb i="10453"/>
        </ext>
      </extLst>
    </bk>
    <bk>
      <extLst>
        <ext uri="{3e2802c4-a4d2-4d8b-9148-e3be6c30e623}">
          <xlrd:rvb i="10454"/>
        </ext>
      </extLst>
    </bk>
    <bk>
      <extLst>
        <ext uri="{3e2802c4-a4d2-4d8b-9148-e3be6c30e623}">
          <xlrd:rvb i="10455"/>
        </ext>
      </extLst>
    </bk>
    <bk>
      <extLst>
        <ext uri="{3e2802c4-a4d2-4d8b-9148-e3be6c30e623}">
          <xlrd:rvb i="10456"/>
        </ext>
      </extLst>
    </bk>
    <bk>
      <extLst>
        <ext uri="{3e2802c4-a4d2-4d8b-9148-e3be6c30e623}">
          <xlrd:rvb i="10457"/>
        </ext>
      </extLst>
    </bk>
    <bk>
      <extLst>
        <ext uri="{3e2802c4-a4d2-4d8b-9148-e3be6c30e623}">
          <xlrd:rvb i="10458"/>
        </ext>
      </extLst>
    </bk>
    <bk>
      <extLst>
        <ext uri="{3e2802c4-a4d2-4d8b-9148-e3be6c30e623}">
          <xlrd:rvb i="10459"/>
        </ext>
      </extLst>
    </bk>
    <bk>
      <extLst>
        <ext uri="{3e2802c4-a4d2-4d8b-9148-e3be6c30e623}">
          <xlrd:rvb i="10460"/>
        </ext>
      </extLst>
    </bk>
    <bk>
      <extLst>
        <ext uri="{3e2802c4-a4d2-4d8b-9148-e3be6c30e623}">
          <xlrd:rvb i="10461"/>
        </ext>
      </extLst>
    </bk>
    <bk>
      <extLst>
        <ext uri="{3e2802c4-a4d2-4d8b-9148-e3be6c30e623}">
          <xlrd:rvb i="10462"/>
        </ext>
      </extLst>
    </bk>
    <bk>
      <extLst>
        <ext uri="{3e2802c4-a4d2-4d8b-9148-e3be6c30e623}">
          <xlrd:rvb i="10463"/>
        </ext>
      </extLst>
    </bk>
    <bk>
      <extLst>
        <ext uri="{3e2802c4-a4d2-4d8b-9148-e3be6c30e623}">
          <xlrd:rvb i="10464"/>
        </ext>
      </extLst>
    </bk>
    <bk>
      <extLst>
        <ext uri="{3e2802c4-a4d2-4d8b-9148-e3be6c30e623}">
          <xlrd:rvb i="10465"/>
        </ext>
      </extLst>
    </bk>
    <bk>
      <extLst>
        <ext uri="{3e2802c4-a4d2-4d8b-9148-e3be6c30e623}">
          <xlrd:rvb i="10466"/>
        </ext>
      </extLst>
    </bk>
    <bk>
      <extLst>
        <ext uri="{3e2802c4-a4d2-4d8b-9148-e3be6c30e623}">
          <xlrd:rvb i="10467"/>
        </ext>
      </extLst>
    </bk>
    <bk>
      <extLst>
        <ext uri="{3e2802c4-a4d2-4d8b-9148-e3be6c30e623}">
          <xlrd:rvb i="10468"/>
        </ext>
      </extLst>
    </bk>
    <bk>
      <extLst>
        <ext uri="{3e2802c4-a4d2-4d8b-9148-e3be6c30e623}">
          <xlrd:rvb i="10469"/>
        </ext>
      </extLst>
    </bk>
    <bk>
      <extLst>
        <ext uri="{3e2802c4-a4d2-4d8b-9148-e3be6c30e623}">
          <xlrd:rvb i="10470"/>
        </ext>
      </extLst>
    </bk>
    <bk>
      <extLst>
        <ext uri="{3e2802c4-a4d2-4d8b-9148-e3be6c30e623}">
          <xlrd:rvb i="10471"/>
        </ext>
      </extLst>
    </bk>
    <bk>
      <extLst>
        <ext uri="{3e2802c4-a4d2-4d8b-9148-e3be6c30e623}">
          <xlrd:rvb i="10472"/>
        </ext>
      </extLst>
    </bk>
    <bk>
      <extLst>
        <ext uri="{3e2802c4-a4d2-4d8b-9148-e3be6c30e623}">
          <xlrd:rvb i="10473"/>
        </ext>
      </extLst>
    </bk>
    <bk>
      <extLst>
        <ext uri="{3e2802c4-a4d2-4d8b-9148-e3be6c30e623}">
          <xlrd:rvb i="10474"/>
        </ext>
      </extLst>
    </bk>
    <bk>
      <extLst>
        <ext uri="{3e2802c4-a4d2-4d8b-9148-e3be6c30e623}">
          <xlrd:rvb i="10475"/>
        </ext>
      </extLst>
    </bk>
    <bk>
      <extLst>
        <ext uri="{3e2802c4-a4d2-4d8b-9148-e3be6c30e623}">
          <xlrd:rvb i="10476"/>
        </ext>
      </extLst>
    </bk>
    <bk>
      <extLst>
        <ext uri="{3e2802c4-a4d2-4d8b-9148-e3be6c30e623}">
          <xlrd:rvb i="10477"/>
        </ext>
      </extLst>
    </bk>
    <bk>
      <extLst>
        <ext uri="{3e2802c4-a4d2-4d8b-9148-e3be6c30e623}">
          <xlrd:rvb i="10478"/>
        </ext>
      </extLst>
    </bk>
    <bk>
      <extLst>
        <ext uri="{3e2802c4-a4d2-4d8b-9148-e3be6c30e623}">
          <xlrd:rvb i="10479"/>
        </ext>
      </extLst>
    </bk>
    <bk>
      <extLst>
        <ext uri="{3e2802c4-a4d2-4d8b-9148-e3be6c30e623}">
          <xlrd:rvb i="10480"/>
        </ext>
      </extLst>
    </bk>
    <bk>
      <extLst>
        <ext uri="{3e2802c4-a4d2-4d8b-9148-e3be6c30e623}">
          <xlrd:rvb i="10481"/>
        </ext>
      </extLst>
    </bk>
    <bk>
      <extLst>
        <ext uri="{3e2802c4-a4d2-4d8b-9148-e3be6c30e623}">
          <xlrd:rvb i="10482"/>
        </ext>
      </extLst>
    </bk>
    <bk>
      <extLst>
        <ext uri="{3e2802c4-a4d2-4d8b-9148-e3be6c30e623}">
          <xlrd:rvb i="10483"/>
        </ext>
      </extLst>
    </bk>
    <bk>
      <extLst>
        <ext uri="{3e2802c4-a4d2-4d8b-9148-e3be6c30e623}">
          <xlrd:rvb i="10484"/>
        </ext>
      </extLst>
    </bk>
    <bk>
      <extLst>
        <ext uri="{3e2802c4-a4d2-4d8b-9148-e3be6c30e623}">
          <xlrd:rvb i="10485"/>
        </ext>
      </extLst>
    </bk>
    <bk>
      <extLst>
        <ext uri="{3e2802c4-a4d2-4d8b-9148-e3be6c30e623}">
          <xlrd:rvb i="10486"/>
        </ext>
      </extLst>
    </bk>
    <bk>
      <extLst>
        <ext uri="{3e2802c4-a4d2-4d8b-9148-e3be6c30e623}">
          <xlrd:rvb i="10487"/>
        </ext>
      </extLst>
    </bk>
    <bk>
      <extLst>
        <ext uri="{3e2802c4-a4d2-4d8b-9148-e3be6c30e623}">
          <xlrd:rvb i="10488"/>
        </ext>
      </extLst>
    </bk>
    <bk>
      <extLst>
        <ext uri="{3e2802c4-a4d2-4d8b-9148-e3be6c30e623}">
          <xlrd:rvb i="10489"/>
        </ext>
      </extLst>
    </bk>
    <bk>
      <extLst>
        <ext uri="{3e2802c4-a4d2-4d8b-9148-e3be6c30e623}">
          <xlrd:rvb i="10490"/>
        </ext>
      </extLst>
    </bk>
    <bk>
      <extLst>
        <ext uri="{3e2802c4-a4d2-4d8b-9148-e3be6c30e623}">
          <xlrd:rvb i="10491"/>
        </ext>
      </extLst>
    </bk>
    <bk>
      <extLst>
        <ext uri="{3e2802c4-a4d2-4d8b-9148-e3be6c30e623}">
          <xlrd:rvb i="10492"/>
        </ext>
      </extLst>
    </bk>
    <bk>
      <extLst>
        <ext uri="{3e2802c4-a4d2-4d8b-9148-e3be6c30e623}">
          <xlrd:rvb i="10493"/>
        </ext>
      </extLst>
    </bk>
    <bk>
      <extLst>
        <ext uri="{3e2802c4-a4d2-4d8b-9148-e3be6c30e623}">
          <xlrd:rvb i="10494"/>
        </ext>
      </extLst>
    </bk>
    <bk>
      <extLst>
        <ext uri="{3e2802c4-a4d2-4d8b-9148-e3be6c30e623}">
          <xlrd:rvb i="10495"/>
        </ext>
      </extLst>
    </bk>
    <bk>
      <extLst>
        <ext uri="{3e2802c4-a4d2-4d8b-9148-e3be6c30e623}">
          <xlrd:rvb i="10496"/>
        </ext>
      </extLst>
    </bk>
    <bk>
      <extLst>
        <ext uri="{3e2802c4-a4d2-4d8b-9148-e3be6c30e623}">
          <xlrd:rvb i="10497"/>
        </ext>
      </extLst>
    </bk>
    <bk>
      <extLst>
        <ext uri="{3e2802c4-a4d2-4d8b-9148-e3be6c30e623}">
          <xlrd:rvb i="10498"/>
        </ext>
      </extLst>
    </bk>
    <bk>
      <extLst>
        <ext uri="{3e2802c4-a4d2-4d8b-9148-e3be6c30e623}">
          <xlrd:rvb i="10499"/>
        </ext>
      </extLst>
    </bk>
    <bk>
      <extLst>
        <ext uri="{3e2802c4-a4d2-4d8b-9148-e3be6c30e623}">
          <xlrd:rvb i="10500"/>
        </ext>
      </extLst>
    </bk>
    <bk>
      <extLst>
        <ext uri="{3e2802c4-a4d2-4d8b-9148-e3be6c30e623}">
          <xlrd:rvb i="10501"/>
        </ext>
      </extLst>
    </bk>
    <bk>
      <extLst>
        <ext uri="{3e2802c4-a4d2-4d8b-9148-e3be6c30e623}">
          <xlrd:rvb i="10502"/>
        </ext>
      </extLst>
    </bk>
    <bk>
      <extLst>
        <ext uri="{3e2802c4-a4d2-4d8b-9148-e3be6c30e623}">
          <xlrd:rvb i="10503"/>
        </ext>
      </extLst>
    </bk>
    <bk>
      <extLst>
        <ext uri="{3e2802c4-a4d2-4d8b-9148-e3be6c30e623}">
          <xlrd:rvb i="10504"/>
        </ext>
      </extLst>
    </bk>
    <bk>
      <extLst>
        <ext uri="{3e2802c4-a4d2-4d8b-9148-e3be6c30e623}">
          <xlrd:rvb i="10505"/>
        </ext>
      </extLst>
    </bk>
    <bk>
      <extLst>
        <ext uri="{3e2802c4-a4d2-4d8b-9148-e3be6c30e623}">
          <xlrd:rvb i="10506"/>
        </ext>
      </extLst>
    </bk>
    <bk>
      <extLst>
        <ext uri="{3e2802c4-a4d2-4d8b-9148-e3be6c30e623}">
          <xlrd:rvb i="10507"/>
        </ext>
      </extLst>
    </bk>
    <bk>
      <extLst>
        <ext uri="{3e2802c4-a4d2-4d8b-9148-e3be6c30e623}">
          <xlrd:rvb i="10508"/>
        </ext>
      </extLst>
    </bk>
    <bk>
      <extLst>
        <ext uri="{3e2802c4-a4d2-4d8b-9148-e3be6c30e623}">
          <xlrd:rvb i="10509"/>
        </ext>
      </extLst>
    </bk>
    <bk>
      <extLst>
        <ext uri="{3e2802c4-a4d2-4d8b-9148-e3be6c30e623}">
          <xlrd:rvb i="10510"/>
        </ext>
      </extLst>
    </bk>
    <bk>
      <extLst>
        <ext uri="{3e2802c4-a4d2-4d8b-9148-e3be6c30e623}">
          <xlrd:rvb i="10511"/>
        </ext>
      </extLst>
    </bk>
    <bk>
      <extLst>
        <ext uri="{3e2802c4-a4d2-4d8b-9148-e3be6c30e623}">
          <xlrd:rvb i="10512"/>
        </ext>
      </extLst>
    </bk>
    <bk>
      <extLst>
        <ext uri="{3e2802c4-a4d2-4d8b-9148-e3be6c30e623}">
          <xlrd:rvb i="10513"/>
        </ext>
      </extLst>
    </bk>
    <bk>
      <extLst>
        <ext uri="{3e2802c4-a4d2-4d8b-9148-e3be6c30e623}">
          <xlrd:rvb i="10514"/>
        </ext>
      </extLst>
    </bk>
    <bk>
      <extLst>
        <ext uri="{3e2802c4-a4d2-4d8b-9148-e3be6c30e623}">
          <xlrd:rvb i="10515"/>
        </ext>
      </extLst>
    </bk>
    <bk>
      <extLst>
        <ext uri="{3e2802c4-a4d2-4d8b-9148-e3be6c30e623}">
          <xlrd:rvb i="10516"/>
        </ext>
      </extLst>
    </bk>
    <bk>
      <extLst>
        <ext uri="{3e2802c4-a4d2-4d8b-9148-e3be6c30e623}">
          <xlrd:rvb i="10517"/>
        </ext>
      </extLst>
    </bk>
    <bk>
      <extLst>
        <ext uri="{3e2802c4-a4d2-4d8b-9148-e3be6c30e623}">
          <xlrd:rvb i="10518"/>
        </ext>
      </extLst>
    </bk>
    <bk>
      <extLst>
        <ext uri="{3e2802c4-a4d2-4d8b-9148-e3be6c30e623}">
          <xlrd:rvb i="10519"/>
        </ext>
      </extLst>
    </bk>
    <bk>
      <extLst>
        <ext uri="{3e2802c4-a4d2-4d8b-9148-e3be6c30e623}">
          <xlrd:rvb i="10520"/>
        </ext>
      </extLst>
    </bk>
    <bk>
      <extLst>
        <ext uri="{3e2802c4-a4d2-4d8b-9148-e3be6c30e623}">
          <xlrd:rvb i="10521"/>
        </ext>
      </extLst>
    </bk>
    <bk>
      <extLst>
        <ext uri="{3e2802c4-a4d2-4d8b-9148-e3be6c30e623}">
          <xlrd:rvb i="10522"/>
        </ext>
      </extLst>
    </bk>
    <bk>
      <extLst>
        <ext uri="{3e2802c4-a4d2-4d8b-9148-e3be6c30e623}">
          <xlrd:rvb i="10523"/>
        </ext>
      </extLst>
    </bk>
    <bk>
      <extLst>
        <ext uri="{3e2802c4-a4d2-4d8b-9148-e3be6c30e623}">
          <xlrd:rvb i="10524"/>
        </ext>
      </extLst>
    </bk>
    <bk>
      <extLst>
        <ext uri="{3e2802c4-a4d2-4d8b-9148-e3be6c30e623}">
          <xlrd:rvb i="10525"/>
        </ext>
      </extLst>
    </bk>
    <bk>
      <extLst>
        <ext uri="{3e2802c4-a4d2-4d8b-9148-e3be6c30e623}">
          <xlrd:rvb i="10526"/>
        </ext>
      </extLst>
    </bk>
    <bk>
      <extLst>
        <ext uri="{3e2802c4-a4d2-4d8b-9148-e3be6c30e623}">
          <xlrd:rvb i="10527"/>
        </ext>
      </extLst>
    </bk>
    <bk>
      <extLst>
        <ext uri="{3e2802c4-a4d2-4d8b-9148-e3be6c30e623}">
          <xlrd:rvb i="10528"/>
        </ext>
      </extLst>
    </bk>
    <bk>
      <extLst>
        <ext uri="{3e2802c4-a4d2-4d8b-9148-e3be6c30e623}">
          <xlrd:rvb i="10529"/>
        </ext>
      </extLst>
    </bk>
    <bk>
      <extLst>
        <ext uri="{3e2802c4-a4d2-4d8b-9148-e3be6c30e623}">
          <xlrd:rvb i="10530"/>
        </ext>
      </extLst>
    </bk>
    <bk>
      <extLst>
        <ext uri="{3e2802c4-a4d2-4d8b-9148-e3be6c30e623}">
          <xlrd:rvb i="10531"/>
        </ext>
      </extLst>
    </bk>
    <bk>
      <extLst>
        <ext uri="{3e2802c4-a4d2-4d8b-9148-e3be6c30e623}">
          <xlrd:rvb i="10532"/>
        </ext>
      </extLst>
    </bk>
    <bk>
      <extLst>
        <ext uri="{3e2802c4-a4d2-4d8b-9148-e3be6c30e623}">
          <xlrd:rvb i="10533"/>
        </ext>
      </extLst>
    </bk>
    <bk>
      <extLst>
        <ext uri="{3e2802c4-a4d2-4d8b-9148-e3be6c30e623}">
          <xlrd:rvb i="10534"/>
        </ext>
      </extLst>
    </bk>
    <bk>
      <extLst>
        <ext uri="{3e2802c4-a4d2-4d8b-9148-e3be6c30e623}">
          <xlrd:rvb i="10535"/>
        </ext>
      </extLst>
    </bk>
    <bk>
      <extLst>
        <ext uri="{3e2802c4-a4d2-4d8b-9148-e3be6c30e623}">
          <xlrd:rvb i="10536"/>
        </ext>
      </extLst>
    </bk>
    <bk>
      <extLst>
        <ext uri="{3e2802c4-a4d2-4d8b-9148-e3be6c30e623}">
          <xlrd:rvb i="10537"/>
        </ext>
      </extLst>
    </bk>
    <bk>
      <extLst>
        <ext uri="{3e2802c4-a4d2-4d8b-9148-e3be6c30e623}">
          <xlrd:rvb i="10538"/>
        </ext>
      </extLst>
    </bk>
    <bk>
      <extLst>
        <ext uri="{3e2802c4-a4d2-4d8b-9148-e3be6c30e623}">
          <xlrd:rvb i="10539"/>
        </ext>
      </extLst>
    </bk>
    <bk>
      <extLst>
        <ext uri="{3e2802c4-a4d2-4d8b-9148-e3be6c30e623}">
          <xlrd:rvb i="10540"/>
        </ext>
      </extLst>
    </bk>
    <bk>
      <extLst>
        <ext uri="{3e2802c4-a4d2-4d8b-9148-e3be6c30e623}">
          <xlrd:rvb i="10541"/>
        </ext>
      </extLst>
    </bk>
    <bk>
      <extLst>
        <ext uri="{3e2802c4-a4d2-4d8b-9148-e3be6c30e623}">
          <xlrd:rvb i="10542"/>
        </ext>
      </extLst>
    </bk>
    <bk>
      <extLst>
        <ext uri="{3e2802c4-a4d2-4d8b-9148-e3be6c30e623}">
          <xlrd:rvb i="10543"/>
        </ext>
      </extLst>
    </bk>
    <bk>
      <extLst>
        <ext uri="{3e2802c4-a4d2-4d8b-9148-e3be6c30e623}">
          <xlrd:rvb i="10544"/>
        </ext>
      </extLst>
    </bk>
    <bk>
      <extLst>
        <ext uri="{3e2802c4-a4d2-4d8b-9148-e3be6c30e623}">
          <xlrd:rvb i="10545"/>
        </ext>
      </extLst>
    </bk>
    <bk>
      <extLst>
        <ext uri="{3e2802c4-a4d2-4d8b-9148-e3be6c30e623}">
          <xlrd:rvb i="10546"/>
        </ext>
      </extLst>
    </bk>
    <bk>
      <extLst>
        <ext uri="{3e2802c4-a4d2-4d8b-9148-e3be6c30e623}">
          <xlrd:rvb i="10547"/>
        </ext>
      </extLst>
    </bk>
    <bk>
      <extLst>
        <ext uri="{3e2802c4-a4d2-4d8b-9148-e3be6c30e623}">
          <xlrd:rvb i="10548"/>
        </ext>
      </extLst>
    </bk>
    <bk>
      <extLst>
        <ext uri="{3e2802c4-a4d2-4d8b-9148-e3be6c30e623}">
          <xlrd:rvb i="10549"/>
        </ext>
      </extLst>
    </bk>
    <bk>
      <extLst>
        <ext uri="{3e2802c4-a4d2-4d8b-9148-e3be6c30e623}">
          <xlrd:rvb i="10550"/>
        </ext>
      </extLst>
    </bk>
    <bk>
      <extLst>
        <ext uri="{3e2802c4-a4d2-4d8b-9148-e3be6c30e623}">
          <xlrd:rvb i="10551"/>
        </ext>
      </extLst>
    </bk>
    <bk>
      <extLst>
        <ext uri="{3e2802c4-a4d2-4d8b-9148-e3be6c30e623}">
          <xlrd:rvb i="10552"/>
        </ext>
      </extLst>
    </bk>
    <bk>
      <extLst>
        <ext uri="{3e2802c4-a4d2-4d8b-9148-e3be6c30e623}">
          <xlrd:rvb i="10553"/>
        </ext>
      </extLst>
    </bk>
    <bk>
      <extLst>
        <ext uri="{3e2802c4-a4d2-4d8b-9148-e3be6c30e623}">
          <xlrd:rvb i="10554"/>
        </ext>
      </extLst>
    </bk>
    <bk>
      <extLst>
        <ext uri="{3e2802c4-a4d2-4d8b-9148-e3be6c30e623}">
          <xlrd:rvb i="10555"/>
        </ext>
      </extLst>
    </bk>
    <bk>
      <extLst>
        <ext uri="{3e2802c4-a4d2-4d8b-9148-e3be6c30e623}">
          <xlrd:rvb i="10556"/>
        </ext>
      </extLst>
    </bk>
    <bk>
      <extLst>
        <ext uri="{3e2802c4-a4d2-4d8b-9148-e3be6c30e623}">
          <xlrd:rvb i="10557"/>
        </ext>
      </extLst>
    </bk>
    <bk>
      <extLst>
        <ext uri="{3e2802c4-a4d2-4d8b-9148-e3be6c30e623}">
          <xlrd:rvb i="10558"/>
        </ext>
      </extLst>
    </bk>
    <bk>
      <extLst>
        <ext uri="{3e2802c4-a4d2-4d8b-9148-e3be6c30e623}">
          <xlrd:rvb i="10559"/>
        </ext>
      </extLst>
    </bk>
    <bk>
      <extLst>
        <ext uri="{3e2802c4-a4d2-4d8b-9148-e3be6c30e623}">
          <xlrd:rvb i="10560"/>
        </ext>
      </extLst>
    </bk>
    <bk>
      <extLst>
        <ext uri="{3e2802c4-a4d2-4d8b-9148-e3be6c30e623}">
          <xlrd:rvb i="10561"/>
        </ext>
      </extLst>
    </bk>
    <bk>
      <extLst>
        <ext uri="{3e2802c4-a4d2-4d8b-9148-e3be6c30e623}">
          <xlrd:rvb i="10562"/>
        </ext>
      </extLst>
    </bk>
    <bk>
      <extLst>
        <ext uri="{3e2802c4-a4d2-4d8b-9148-e3be6c30e623}">
          <xlrd:rvb i="10563"/>
        </ext>
      </extLst>
    </bk>
    <bk>
      <extLst>
        <ext uri="{3e2802c4-a4d2-4d8b-9148-e3be6c30e623}">
          <xlrd:rvb i="10564"/>
        </ext>
      </extLst>
    </bk>
    <bk>
      <extLst>
        <ext uri="{3e2802c4-a4d2-4d8b-9148-e3be6c30e623}">
          <xlrd:rvb i="10565"/>
        </ext>
      </extLst>
    </bk>
    <bk>
      <extLst>
        <ext uri="{3e2802c4-a4d2-4d8b-9148-e3be6c30e623}">
          <xlrd:rvb i="10566"/>
        </ext>
      </extLst>
    </bk>
    <bk>
      <extLst>
        <ext uri="{3e2802c4-a4d2-4d8b-9148-e3be6c30e623}">
          <xlrd:rvb i="10567"/>
        </ext>
      </extLst>
    </bk>
    <bk>
      <extLst>
        <ext uri="{3e2802c4-a4d2-4d8b-9148-e3be6c30e623}">
          <xlrd:rvb i="10568"/>
        </ext>
      </extLst>
    </bk>
    <bk>
      <extLst>
        <ext uri="{3e2802c4-a4d2-4d8b-9148-e3be6c30e623}">
          <xlrd:rvb i="10569"/>
        </ext>
      </extLst>
    </bk>
    <bk>
      <extLst>
        <ext uri="{3e2802c4-a4d2-4d8b-9148-e3be6c30e623}">
          <xlrd:rvb i="10570"/>
        </ext>
      </extLst>
    </bk>
    <bk>
      <extLst>
        <ext uri="{3e2802c4-a4d2-4d8b-9148-e3be6c30e623}">
          <xlrd:rvb i="10571"/>
        </ext>
      </extLst>
    </bk>
    <bk>
      <extLst>
        <ext uri="{3e2802c4-a4d2-4d8b-9148-e3be6c30e623}">
          <xlrd:rvb i="10572"/>
        </ext>
      </extLst>
    </bk>
    <bk>
      <extLst>
        <ext uri="{3e2802c4-a4d2-4d8b-9148-e3be6c30e623}">
          <xlrd:rvb i="10573"/>
        </ext>
      </extLst>
    </bk>
    <bk>
      <extLst>
        <ext uri="{3e2802c4-a4d2-4d8b-9148-e3be6c30e623}">
          <xlrd:rvb i="10574"/>
        </ext>
      </extLst>
    </bk>
    <bk>
      <extLst>
        <ext uri="{3e2802c4-a4d2-4d8b-9148-e3be6c30e623}">
          <xlrd:rvb i="10575"/>
        </ext>
      </extLst>
    </bk>
    <bk>
      <extLst>
        <ext uri="{3e2802c4-a4d2-4d8b-9148-e3be6c30e623}">
          <xlrd:rvb i="10576"/>
        </ext>
      </extLst>
    </bk>
    <bk>
      <extLst>
        <ext uri="{3e2802c4-a4d2-4d8b-9148-e3be6c30e623}">
          <xlrd:rvb i="10577"/>
        </ext>
      </extLst>
    </bk>
    <bk>
      <extLst>
        <ext uri="{3e2802c4-a4d2-4d8b-9148-e3be6c30e623}">
          <xlrd:rvb i="10578"/>
        </ext>
      </extLst>
    </bk>
    <bk>
      <extLst>
        <ext uri="{3e2802c4-a4d2-4d8b-9148-e3be6c30e623}">
          <xlrd:rvb i="10579"/>
        </ext>
      </extLst>
    </bk>
    <bk>
      <extLst>
        <ext uri="{3e2802c4-a4d2-4d8b-9148-e3be6c30e623}">
          <xlrd:rvb i="10580"/>
        </ext>
      </extLst>
    </bk>
    <bk>
      <extLst>
        <ext uri="{3e2802c4-a4d2-4d8b-9148-e3be6c30e623}">
          <xlrd:rvb i="10581"/>
        </ext>
      </extLst>
    </bk>
    <bk>
      <extLst>
        <ext uri="{3e2802c4-a4d2-4d8b-9148-e3be6c30e623}">
          <xlrd:rvb i="10582"/>
        </ext>
      </extLst>
    </bk>
    <bk>
      <extLst>
        <ext uri="{3e2802c4-a4d2-4d8b-9148-e3be6c30e623}">
          <xlrd:rvb i="10583"/>
        </ext>
      </extLst>
    </bk>
    <bk>
      <extLst>
        <ext uri="{3e2802c4-a4d2-4d8b-9148-e3be6c30e623}">
          <xlrd:rvb i="10584"/>
        </ext>
      </extLst>
    </bk>
    <bk>
      <extLst>
        <ext uri="{3e2802c4-a4d2-4d8b-9148-e3be6c30e623}">
          <xlrd:rvb i="10585"/>
        </ext>
      </extLst>
    </bk>
    <bk>
      <extLst>
        <ext uri="{3e2802c4-a4d2-4d8b-9148-e3be6c30e623}">
          <xlrd:rvb i="10586"/>
        </ext>
      </extLst>
    </bk>
    <bk>
      <extLst>
        <ext uri="{3e2802c4-a4d2-4d8b-9148-e3be6c30e623}">
          <xlrd:rvb i="10587"/>
        </ext>
      </extLst>
    </bk>
    <bk>
      <extLst>
        <ext uri="{3e2802c4-a4d2-4d8b-9148-e3be6c30e623}">
          <xlrd:rvb i="10588"/>
        </ext>
      </extLst>
    </bk>
    <bk>
      <extLst>
        <ext uri="{3e2802c4-a4d2-4d8b-9148-e3be6c30e623}">
          <xlrd:rvb i="10589"/>
        </ext>
      </extLst>
    </bk>
    <bk>
      <extLst>
        <ext uri="{3e2802c4-a4d2-4d8b-9148-e3be6c30e623}">
          <xlrd:rvb i="10590"/>
        </ext>
      </extLst>
    </bk>
    <bk>
      <extLst>
        <ext uri="{3e2802c4-a4d2-4d8b-9148-e3be6c30e623}">
          <xlrd:rvb i="10591"/>
        </ext>
      </extLst>
    </bk>
    <bk>
      <extLst>
        <ext uri="{3e2802c4-a4d2-4d8b-9148-e3be6c30e623}">
          <xlrd:rvb i="10592"/>
        </ext>
      </extLst>
    </bk>
    <bk>
      <extLst>
        <ext uri="{3e2802c4-a4d2-4d8b-9148-e3be6c30e623}">
          <xlrd:rvb i="10593"/>
        </ext>
      </extLst>
    </bk>
    <bk>
      <extLst>
        <ext uri="{3e2802c4-a4d2-4d8b-9148-e3be6c30e623}">
          <xlrd:rvb i="10594"/>
        </ext>
      </extLst>
    </bk>
    <bk>
      <extLst>
        <ext uri="{3e2802c4-a4d2-4d8b-9148-e3be6c30e623}">
          <xlrd:rvb i="10595"/>
        </ext>
      </extLst>
    </bk>
    <bk>
      <extLst>
        <ext uri="{3e2802c4-a4d2-4d8b-9148-e3be6c30e623}">
          <xlrd:rvb i="10596"/>
        </ext>
      </extLst>
    </bk>
    <bk>
      <extLst>
        <ext uri="{3e2802c4-a4d2-4d8b-9148-e3be6c30e623}">
          <xlrd:rvb i="10597"/>
        </ext>
      </extLst>
    </bk>
    <bk>
      <extLst>
        <ext uri="{3e2802c4-a4d2-4d8b-9148-e3be6c30e623}">
          <xlrd:rvb i="10598"/>
        </ext>
      </extLst>
    </bk>
    <bk>
      <extLst>
        <ext uri="{3e2802c4-a4d2-4d8b-9148-e3be6c30e623}">
          <xlrd:rvb i="10599"/>
        </ext>
      </extLst>
    </bk>
    <bk>
      <extLst>
        <ext uri="{3e2802c4-a4d2-4d8b-9148-e3be6c30e623}">
          <xlrd:rvb i="10600"/>
        </ext>
      </extLst>
    </bk>
    <bk>
      <extLst>
        <ext uri="{3e2802c4-a4d2-4d8b-9148-e3be6c30e623}">
          <xlrd:rvb i="10601"/>
        </ext>
      </extLst>
    </bk>
    <bk>
      <extLst>
        <ext uri="{3e2802c4-a4d2-4d8b-9148-e3be6c30e623}">
          <xlrd:rvb i="10602"/>
        </ext>
      </extLst>
    </bk>
    <bk>
      <extLst>
        <ext uri="{3e2802c4-a4d2-4d8b-9148-e3be6c30e623}">
          <xlrd:rvb i="10603"/>
        </ext>
      </extLst>
    </bk>
    <bk>
      <extLst>
        <ext uri="{3e2802c4-a4d2-4d8b-9148-e3be6c30e623}">
          <xlrd:rvb i="10604"/>
        </ext>
      </extLst>
    </bk>
    <bk>
      <extLst>
        <ext uri="{3e2802c4-a4d2-4d8b-9148-e3be6c30e623}">
          <xlrd:rvb i="10605"/>
        </ext>
      </extLst>
    </bk>
    <bk>
      <extLst>
        <ext uri="{3e2802c4-a4d2-4d8b-9148-e3be6c30e623}">
          <xlrd:rvb i="10606"/>
        </ext>
      </extLst>
    </bk>
    <bk>
      <extLst>
        <ext uri="{3e2802c4-a4d2-4d8b-9148-e3be6c30e623}">
          <xlrd:rvb i="10607"/>
        </ext>
      </extLst>
    </bk>
    <bk>
      <extLst>
        <ext uri="{3e2802c4-a4d2-4d8b-9148-e3be6c30e623}">
          <xlrd:rvb i="10608"/>
        </ext>
      </extLst>
    </bk>
    <bk>
      <extLst>
        <ext uri="{3e2802c4-a4d2-4d8b-9148-e3be6c30e623}">
          <xlrd:rvb i="10609"/>
        </ext>
      </extLst>
    </bk>
    <bk>
      <extLst>
        <ext uri="{3e2802c4-a4d2-4d8b-9148-e3be6c30e623}">
          <xlrd:rvb i="10610"/>
        </ext>
      </extLst>
    </bk>
    <bk>
      <extLst>
        <ext uri="{3e2802c4-a4d2-4d8b-9148-e3be6c30e623}">
          <xlrd:rvb i="10611"/>
        </ext>
      </extLst>
    </bk>
    <bk>
      <extLst>
        <ext uri="{3e2802c4-a4d2-4d8b-9148-e3be6c30e623}">
          <xlrd:rvb i="10612"/>
        </ext>
      </extLst>
    </bk>
    <bk>
      <extLst>
        <ext uri="{3e2802c4-a4d2-4d8b-9148-e3be6c30e623}">
          <xlrd:rvb i="10613"/>
        </ext>
      </extLst>
    </bk>
    <bk>
      <extLst>
        <ext uri="{3e2802c4-a4d2-4d8b-9148-e3be6c30e623}">
          <xlrd:rvb i="10614"/>
        </ext>
      </extLst>
    </bk>
    <bk>
      <extLst>
        <ext uri="{3e2802c4-a4d2-4d8b-9148-e3be6c30e623}">
          <xlrd:rvb i="10615"/>
        </ext>
      </extLst>
    </bk>
    <bk>
      <extLst>
        <ext uri="{3e2802c4-a4d2-4d8b-9148-e3be6c30e623}">
          <xlrd:rvb i="10616"/>
        </ext>
      </extLst>
    </bk>
    <bk>
      <extLst>
        <ext uri="{3e2802c4-a4d2-4d8b-9148-e3be6c30e623}">
          <xlrd:rvb i="10617"/>
        </ext>
      </extLst>
    </bk>
    <bk>
      <extLst>
        <ext uri="{3e2802c4-a4d2-4d8b-9148-e3be6c30e623}">
          <xlrd:rvb i="10618"/>
        </ext>
      </extLst>
    </bk>
    <bk>
      <extLst>
        <ext uri="{3e2802c4-a4d2-4d8b-9148-e3be6c30e623}">
          <xlrd:rvb i="10619"/>
        </ext>
      </extLst>
    </bk>
    <bk>
      <extLst>
        <ext uri="{3e2802c4-a4d2-4d8b-9148-e3be6c30e623}">
          <xlrd:rvb i="10620"/>
        </ext>
      </extLst>
    </bk>
    <bk>
      <extLst>
        <ext uri="{3e2802c4-a4d2-4d8b-9148-e3be6c30e623}">
          <xlrd:rvb i="10621"/>
        </ext>
      </extLst>
    </bk>
    <bk>
      <extLst>
        <ext uri="{3e2802c4-a4d2-4d8b-9148-e3be6c30e623}">
          <xlrd:rvb i="10622"/>
        </ext>
      </extLst>
    </bk>
    <bk>
      <extLst>
        <ext uri="{3e2802c4-a4d2-4d8b-9148-e3be6c30e623}">
          <xlrd:rvb i="10623"/>
        </ext>
      </extLst>
    </bk>
    <bk>
      <extLst>
        <ext uri="{3e2802c4-a4d2-4d8b-9148-e3be6c30e623}">
          <xlrd:rvb i="10624"/>
        </ext>
      </extLst>
    </bk>
    <bk>
      <extLst>
        <ext uri="{3e2802c4-a4d2-4d8b-9148-e3be6c30e623}">
          <xlrd:rvb i="10625"/>
        </ext>
      </extLst>
    </bk>
    <bk>
      <extLst>
        <ext uri="{3e2802c4-a4d2-4d8b-9148-e3be6c30e623}">
          <xlrd:rvb i="10626"/>
        </ext>
      </extLst>
    </bk>
    <bk>
      <extLst>
        <ext uri="{3e2802c4-a4d2-4d8b-9148-e3be6c30e623}">
          <xlrd:rvb i="10627"/>
        </ext>
      </extLst>
    </bk>
    <bk>
      <extLst>
        <ext uri="{3e2802c4-a4d2-4d8b-9148-e3be6c30e623}">
          <xlrd:rvb i="10628"/>
        </ext>
      </extLst>
    </bk>
    <bk>
      <extLst>
        <ext uri="{3e2802c4-a4d2-4d8b-9148-e3be6c30e623}">
          <xlrd:rvb i="10629"/>
        </ext>
      </extLst>
    </bk>
    <bk>
      <extLst>
        <ext uri="{3e2802c4-a4d2-4d8b-9148-e3be6c30e623}">
          <xlrd:rvb i="10630"/>
        </ext>
      </extLst>
    </bk>
    <bk>
      <extLst>
        <ext uri="{3e2802c4-a4d2-4d8b-9148-e3be6c30e623}">
          <xlrd:rvb i="10631"/>
        </ext>
      </extLst>
    </bk>
    <bk>
      <extLst>
        <ext uri="{3e2802c4-a4d2-4d8b-9148-e3be6c30e623}">
          <xlrd:rvb i="10632"/>
        </ext>
      </extLst>
    </bk>
    <bk>
      <extLst>
        <ext uri="{3e2802c4-a4d2-4d8b-9148-e3be6c30e623}">
          <xlrd:rvb i="10633"/>
        </ext>
      </extLst>
    </bk>
    <bk>
      <extLst>
        <ext uri="{3e2802c4-a4d2-4d8b-9148-e3be6c30e623}">
          <xlrd:rvb i="10634"/>
        </ext>
      </extLst>
    </bk>
    <bk>
      <extLst>
        <ext uri="{3e2802c4-a4d2-4d8b-9148-e3be6c30e623}">
          <xlrd:rvb i="10635"/>
        </ext>
      </extLst>
    </bk>
    <bk>
      <extLst>
        <ext uri="{3e2802c4-a4d2-4d8b-9148-e3be6c30e623}">
          <xlrd:rvb i="10636"/>
        </ext>
      </extLst>
    </bk>
    <bk>
      <extLst>
        <ext uri="{3e2802c4-a4d2-4d8b-9148-e3be6c30e623}">
          <xlrd:rvb i="10637"/>
        </ext>
      </extLst>
    </bk>
    <bk>
      <extLst>
        <ext uri="{3e2802c4-a4d2-4d8b-9148-e3be6c30e623}">
          <xlrd:rvb i="10638"/>
        </ext>
      </extLst>
    </bk>
    <bk>
      <extLst>
        <ext uri="{3e2802c4-a4d2-4d8b-9148-e3be6c30e623}">
          <xlrd:rvb i="10639"/>
        </ext>
      </extLst>
    </bk>
    <bk>
      <extLst>
        <ext uri="{3e2802c4-a4d2-4d8b-9148-e3be6c30e623}">
          <xlrd:rvb i="10640"/>
        </ext>
      </extLst>
    </bk>
    <bk>
      <extLst>
        <ext uri="{3e2802c4-a4d2-4d8b-9148-e3be6c30e623}">
          <xlrd:rvb i="10641"/>
        </ext>
      </extLst>
    </bk>
    <bk>
      <extLst>
        <ext uri="{3e2802c4-a4d2-4d8b-9148-e3be6c30e623}">
          <xlrd:rvb i="10642"/>
        </ext>
      </extLst>
    </bk>
    <bk>
      <extLst>
        <ext uri="{3e2802c4-a4d2-4d8b-9148-e3be6c30e623}">
          <xlrd:rvb i="10643"/>
        </ext>
      </extLst>
    </bk>
    <bk>
      <extLst>
        <ext uri="{3e2802c4-a4d2-4d8b-9148-e3be6c30e623}">
          <xlrd:rvb i="10644"/>
        </ext>
      </extLst>
    </bk>
    <bk>
      <extLst>
        <ext uri="{3e2802c4-a4d2-4d8b-9148-e3be6c30e623}">
          <xlrd:rvb i="10645"/>
        </ext>
      </extLst>
    </bk>
    <bk>
      <extLst>
        <ext uri="{3e2802c4-a4d2-4d8b-9148-e3be6c30e623}">
          <xlrd:rvb i="10646"/>
        </ext>
      </extLst>
    </bk>
    <bk>
      <extLst>
        <ext uri="{3e2802c4-a4d2-4d8b-9148-e3be6c30e623}">
          <xlrd:rvb i="10647"/>
        </ext>
      </extLst>
    </bk>
    <bk>
      <extLst>
        <ext uri="{3e2802c4-a4d2-4d8b-9148-e3be6c30e623}">
          <xlrd:rvb i="10648"/>
        </ext>
      </extLst>
    </bk>
    <bk>
      <extLst>
        <ext uri="{3e2802c4-a4d2-4d8b-9148-e3be6c30e623}">
          <xlrd:rvb i="10649"/>
        </ext>
      </extLst>
    </bk>
    <bk>
      <extLst>
        <ext uri="{3e2802c4-a4d2-4d8b-9148-e3be6c30e623}">
          <xlrd:rvb i="10650"/>
        </ext>
      </extLst>
    </bk>
    <bk>
      <extLst>
        <ext uri="{3e2802c4-a4d2-4d8b-9148-e3be6c30e623}">
          <xlrd:rvb i="10651"/>
        </ext>
      </extLst>
    </bk>
    <bk>
      <extLst>
        <ext uri="{3e2802c4-a4d2-4d8b-9148-e3be6c30e623}">
          <xlrd:rvb i="10652"/>
        </ext>
      </extLst>
    </bk>
    <bk>
      <extLst>
        <ext uri="{3e2802c4-a4d2-4d8b-9148-e3be6c30e623}">
          <xlrd:rvb i="10653"/>
        </ext>
      </extLst>
    </bk>
    <bk>
      <extLst>
        <ext uri="{3e2802c4-a4d2-4d8b-9148-e3be6c30e623}">
          <xlrd:rvb i="10654"/>
        </ext>
      </extLst>
    </bk>
    <bk>
      <extLst>
        <ext uri="{3e2802c4-a4d2-4d8b-9148-e3be6c30e623}">
          <xlrd:rvb i="10655"/>
        </ext>
      </extLst>
    </bk>
    <bk>
      <extLst>
        <ext uri="{3e2802c4-a4d2-4d8b-9148-e3be6c30e623}">
          <xlrd:rvb i="10656"/>
        </ext>
      </extLst>
    </bk>
    <bk>
      <extLst>
        <ext uri="{3e2802c4-a4d2-4d8b-9148-e3be6c30e623}">
          <xlrd:rvb i="10657"/>
        </ext>
      </extLst>
    </bk>
    <bk>
      <extLst>
        <ext uri="{3e2802c4-a4d2-4d8b-9148-e3be6c30e623}">
          <xlrd:rvb i="10658"/>
        </ext>
      </extLst>
    </bk>
    <bk>
      <extLst>
        <ext uri="{3e2802c4-a4d2-4d8b-9148-e3be6c30e623}">
          <xlrd:rvb i="10659"/>
        </ext>
      </extLst>
    </bk>
    <bk>
      <extLst>
        <ext uri="{3e2802c4-a4d2-4d8b-9148-e3be6c30e623}">
          <xlrd:rvb i="10660"/>
        </ext>
      </extLst>
    </bk>
    <bk>
      <extLst>
        <ext uri="{3e2802c4-a4d2-4d8b-9148-e3be6c30e623}">
          <xlrd:rvb i="10661"/>
        </ext>
      </extLst>
    </bk>
    <bk>
      <extLst>
        <ext uri="{3e2802c4-a4d2-4d8b-9148-e3be6c30e623}">
          <xlrd:rvb i="10662"/>
        </ext>
      </extLst>
    </bk>
    <bk>
      <extLst>
        <ext uri="{3e2802c4-a4d2-4d8b-9148-e3be6c30e623}">
          <xlrd:rvb i="10663"/>
        </ext>
      </extLst>
    </bk>
    <bk>
      <extLst>
        <ext uri="{3e2802c4-a4d2-4d8b-9148-e3be6c30e623}">
          <xlrd:rvb i="10664"/>
        </ext>
      </extLst>
    </bk>
    <bk>
      <extLst>
        <ext uri="{3e2802c4-a4d2-4d8b-9148-e3be6c30e623}">
          <xlrd:rvb i="10665"/>
        </ext>
      </extLst>
    </bk>
    <bk>
      <extLst>
        <ext uri="{3e2802c4-a4d2-4d8b-9148-e3be6c30e623}">
          <xlrd:rvb i="10666"/>
        </ext>
      </extLst>
    </bk>
    <bk>
      <extLst>
        <ext uri="{3e2802c4-a4d2-4d8b-9148-e3be6c30e623}">
          <xlrd:rvb i="10667"/>
        </ext>
      </extLst>
    </bk>
    <bk>
      <extLst>
        <ext uri="{3e2802c4-a4d2-4d8b-9148-e3be6c30e623}">
          <xlrd:rvb i="10668"/>
        </ext>
      </extLst>
    </bk>
    <bk>
      <extLst>
        <ext uri="{3e2802c4-a4d2-4d8b-9148-e3be6c30e623}">
          <xlrd:rvb i="10669"/>
        </ext>
      </extLst>
    </bk>
    <bk>
      <extLst>
        <ext uri="{3e2802c4-a4d2-4d8b-9148-e3be6c30e623}">
          <xlrd:rvb i="10670"/>
        </ext>
      </extLst>
    </bk>
    <bk>
      <extLst>
        <ext uri="{3e2802c4-a4d2-4d8b-9148-e3be6c30e623}">
          <xlrd:rvb i="10671"/>
        </ext>
      </extLst>
    </bk>
    <bk>
      <extLst>
        <ext uri="{3e2802c4-a4d2-4d8b-9148-e3be6c30e623}">
          <xlrd:rvb i="10672"/>
        </ext>
      </extLst>
    </bk>
    <bk>
      <extLst>
        <ext uri="{3e2802c4-a4d2-4d8b-9148-e3be6c30e623}">
          <xlrd:rvb i="10673"/>
        </ext>
      </extLst>
    </bk>
    <bk>
      <extLst>
        <ext uri="{3e2802c4-a4d2-4d8b-9148-e3be6c30e623}">
          <xlrd:rvb i="10674"/>
        </ext>
      </extLst>
    </bk>
    <bk>
      <extLst>
        <ext uri="{3e2802c4-a4d2-4d8b-9148-e3be6c30e623}">
          <xlrd:rvb i="10675"/>
        </ext>
      </extLst>
    </bk>
    <bk>
      <extLst>
        <ext uri="{3e2802c4-a4d2-4d8b-9148-e3be6c30e623}">
          <xlrd:rvb i="10676"/>
        </ext>
      </extLst>
    </bk>
    <bk>
      <extLst>
        <ext uri="{3e2802c4-a4d2-4d8b-9148-e3be6c30e623}">
          <xlrd:rvb i="10677"/>
        </ext>
      </extLst>
    </bk>
    <bk>
      <extLst>
        <ext uri="{3e2802c4-a4d2-4d8b-9148-e3be6c30e623}">
          <xlrd:rvb i="10678"/>
        </ext>
      </extLst>
    </bk>
    <bk>
      <extLst>
        <ext uri="{3e2802c4-a4d2-4d8b-9148-e3be6c30e623}">
          <xlrd:rvb i="10679"/>
        </ext>
      </extLst>
    </bk>
    <bk>
      <extLst>
        <ext uri="{3e2802c4-a4d2-4d8b-9148-e3be6c30e623}">
          <xlrd:rvb i="10680"/>
        </ext>
      </extLst>
    </bk>
    <bk>
      <extLst>
        <ext uri="{3e2802c4-a4d2-4d8b-9148-e3be6c30e623}">
          <xlrd:rvb i="10681"/>
        </ext>
      </extLst>
    </bk>
    <bk>
      <extLst>
        <ext uri="{3e2802c4-a4d2-4d8b-9148-e3be6c30e623}">
          <xlrd:rvb i="10682"/>
        </ext>
      </extLst>
    </bk>
    <bk>
      <extLst>
        <ext uri="{3e2802c4-a4d2-4d8b-9148-e3be6c30e623}">
          <xlrd:rvb i="10683"/>
        </ext>
      </extLst>
    </bk>
    <bk>
      <extLst>
        <ext uri="{3e2802c4-a4d2-4d8b-9148-e3be6c30e623}">
          <xlrd:rvb i="10684"/>
        </ext>
      </extLst>
    </bk>
    <bk>
      <extLst>
        <ext uri="{3e2802c4-a4d2-4d8b-9148-e3be6c30e623}">
          <xlrd:rvb i="10685"/>
        </ext>
      </extLst>
    </bk>
    <bk>
      <extLst>
        <ext uri="{3e2802c4-a4d2-4d8b-9148-e3be6c30e623}">
          <xlrd:rvb i="10686"/>
        </ext>
      </extLst>
    </bk>
    <bk>
      <extLst>
        <ext uri="{3e2802c4-a4d2-4d8b-9148-e3be6c30e623}">
          <xlrd:rvb i="10687"/>
        </ext>
      </extLst>
    </bk>
    <bk>
      <extLst>
        <ext uri="{3e2802c4-a4d2-4d8b-9148-e3be6c30e623}">
          <xlrd:rvb i="10688"/>
        </ext>
      </extLst>
    </bk>
    <bk>
      <extLst>
        <ext uri="{3e2802c4-a4d2-4d8b-9148-e3be6c30e623}">
          <xlrd:rvb i="10689"/>
        </ext>
      </extLst>
    </bk>
    <bk>
      <extLst>
        <ext uri="{3e2802c4-a4d2-4d8b-9148-e3be6c30e623}">
          <xlrd:rvb i="10690"/>
        </ext>
      </extLst>
    </bk>
    <bk>
      <extLst>
        <ext uri="{3e2802c4-a4d2-4d8b-9148-e3be6c30e623}">
          <xlrd:rvb i="10691"/>
        </ext>
      </extLst>
    </bk>
    <bk>
      <extLst>
        <ext uri="{3e2802c4-a4d2-4d8b-9148-e3be6c30e623}">
          <xlrd:rvb i="10692"/>
        </ext>
      </extLst>
    </bk>
    <bk>
      <extLst>
        <ext uri="{3e2802c4-a4d2-4d8b-9148-e3be6c30e623}">
          <xlrd:rvb i="10693"/>
        </ext>
      </extLst>
    </bk>
    <bk>
      <extLst>
        <ext uri="{3e2802c4-a4d2-4d8b-9148-e3be6c30e623}">
          <xlrd:rvb i="10694"/>
        </ext>
      </extLst>
    </bk>
    <bk>
      <extLst>
        <ext uri="{3e2802c4-a4d2-4d8b-9148-e3be6c30e623}">
          <xlrd:rvb i="10695"/>
        </ext>
      </extLst>
    </bk>
    <bk>
      <extLst>
        <ext uri="{3e2802c4-a4d2-4d8b-9148-e3be6c30e623}">
          <xlrd:rvb i="10696"/>
        </ext>
      </extLst>
    </bk>
    <bk>
      <extLst>
        <ext uri="{3e2802c4-a4d2-4d8b-9148-e3be6c30e623}">
          <xlrd:rvb i="10697"/>
        </ext>
      </extLst>
    </bk>
    <bk>
      <extLst>
        <ext uri="{3e2802c4-a4d2-4d8b-9148-e3be6c30e623}">
          <xlrd:rvb i="10698"/>
        </ext>
      </extLst>
    </bk>
    <bk>
      <extLst>
        <ext uri="{3e2802c4-a4d2-4d8b-9148-e3be6c30e623}">
          <xlrd:rvb i="10699"/>
        </ext>
      </extLst>
    </bk>
    <bk>
      <extLst>
        <ext uri="{3e2802c4-a4d2-4d8b-9148-e3be6c30e623}">
          <xlrd:rvb i="10700"/>
        </ext>
      </extLst>
    </bk>
    <bk>
      <extLst>
        <ext uri="{3e2802c4-a4d2-4d8b-9148-e3be6c30e623}">
          <xlrd:rvb i="10701"/>
        </ext>
      </extLst>
    </bk>
    <bk>
      <extLst>
        <ext uri="{3e2802c4-a4d2-4d8b-9148-e3be6c30e623}">
          <xlrd:rvb i="10702"/>
        </ext>
      </extLst>
    </bk>
    <bk>
      <extLst>
        <ext uri="{3e2802c4-a4d2-4d8b-9148-e3be6c30e623}">
          <xlrd:rvb i="10703"/>
        </ext>
      </extLst>
    </bk>
    <bk>
      <extLst>
        <ext uri="{3e2802c4-a4d2-4d8b-9148-e3be6c30e623}">
          <xlrd:rvb i="10704"/>
        </ext>
      </extLst>
    </bk>
    <bk>
      <extLst>
        <ext uri="{3e2802c4-a4d2-4d8b-9148-e3be6c30e623}">
          <xlrd:rvb i="10705"/>
        </ext>
      </extLst>
    </bk>
    <bk>
      <extLst>
        <ext uri="{3e2802c4-a4d2-4d8b-9148-e3be6c30e623}">
          <xlrd:rvb i="10706"/>
        </ext>
      </extLst>
    </bk>
    <bk>
      <extLst>
        <ext uri="{3e2802c4-a4d2-4d8b-9148-e3be6c30e623}">
          <xlrd:rvb i="10707"/>
        </ext>
      </extLst>
    </bk>
    <bk>
      <extLst>
        <ext uri="{3e2802c4-a4d2-4d8b-9148-e3be6c30e623}">
          <xlrd:rvb i="10708"/>
        </ext>
      </extLst>
    </bk>
    <bk>
      <extLst>
        <ext uri="{3e2802c4-a4d2-4d8b-9148-e3be6c30e623}">
          <xlrd:rvb i="10709"/>
        </ext>
      </extLst>
    </bk>
    <bk>
      <extLst>
        <ext uri="{3e2802c4-a4d2-4d8b-9148-e3be6c30e623}">
          <xlrd:rvb i="10710"/>
        </ext>
      </extLst>
    </bk>
    <bk>
      <extLst>
        <ext uri="{3e2802c4-a4d2-4d8b-9148-e3be6c30e623}">
          <xlrd:rvb i="10711"/>
        </ext>
      </extLst>
    </bk>
    <bk>
      <extLst>
        <ext uri="{3e2802c4-a4d2-4d8b-9148-e3be6c30e623}">
          <xlrd:rvb i="10712"/>
        </ext>
      </extLst>
    </bk>
    <bk>
      <extLst>
        <ext uri="{3e2802c4-a4d2-4d8b-9148-e3be6c30e623}">
          <xlrd:rvb i="10713"/>
        </ext>
      </extLst>
    </bk>
    <bk>
      <extLst>
        <ext uri="{3e2802c4-a4d2-4d8b-9148-e3be6c30e623}">
          <xlrd:rvb i="10714"/>
        </ext>
      </extLst>
    </bk>
    <bk>
      <extLst>
        <ext uri="{3e2802c4-a4d2-4d8b-9148-e3be6c30e623}">
          <xlrd:rvb i="10715"/>
        </ext>
      </extLst>
    </bk>
    <bk>
      <extLst>
        <ext uri="{3e2802c4-a4d2-4d8b-9148-e3be6c30e623}">
          <xlrd:rvb i="10716"/>
        </ext>
      </extLst>
    </bk>
    <bk>
      <extLst>
        <ext uri="{3e2802c4-a4d2-4d8b-9148-e3be6c30e623}">
          <xlrd:rvb i="10717"/>
        </ext>
      </extLst>
    </bk>
    <bk>
      <extLst>
        <ext uri="{3e2802c4-a4d2-4d8b-9148-e3be6c30e623}">
          <xlrd:rvb i="10718"/>
        </ext>
      </extLst>
    </bk>
    <bk>
      <extLst>
        <ext uri="{3e2802c4-a4d2-4d8b-9148-e3be6c30e623}">
          <xlrd:rvb i="10719"/>
        </ext>
      </extLst>
    </bk>
    <bk>
      <extLst>
        <ext uri="{3e2802c4-a4d2-4d8b-9148-e3be6c30e623}">
          <xlrd:rvb i="10720"/>
        </ext>
      </extLst>
    </bk>
    <bk>
      <extLst>
        <ext uri="{3e2802c4-a4d2-4d8b-9148-e3be6c30e623}">
          <xlrd:rvb i="10721"/>
        </ext>
      </extLst>
    </bk>
    <bk>
      <extLst>
        <ext uri="{3e2802c4-a4d2-4d8b-9148-e3be6c30e623}">
          <xlrd:rvb i="10722"/>
        </ext>
      </extLst>
    </bk>
    <bk>
      <extLst>
        <ext uri="{3e2802c4-a4d2-4d8b-9148-e3be6c30e623}">
          <xlrd:rvb i="10723"/>
        </ext>
      </extLst>
    </bk>
    <bk>
      <extLst>
        <ext uri="{3e2802c4-a4d2-4d8b-9148-e3be6c30e623}">
          <xlrd:rvb i="10724"/>
        </ext>
      </extLst>
    </bk>
    <bk>
      <extLst>
        <ext uri="{3e2802c4-a4d2-4d8b-9148-e3be6c30e623}">
          <xlrd:rvb i="10725"/>
        </ext>
      </extLst>
    </bk>
    <bk>
      <extLst>
        <ext uri="{3e2802c4-a4d2-4d8b-9148-e3be6c30e623}">
          <xlrd:rvb i="10726"/>
        </ext>
      </extLst>
    </bk>
    <bk>
      <extLst>
        <ext uri="{3e2802c4-a4d2-4d8b-9148-e3be6c30e623}">
          <xlrd:rvb i="10727"/>
        </ext>
      </extLst>
    </bk>
    <bk>
      <extLst>
        <ext uri="{3e2802c4-a4d2-4d8b-9148-e3be6c30e623}">
          <xlrd:rvb i="10728"/>
        </ext>
      </extLst>
    </bk>
    <bk>
      <extLst>
        <ext uri="{3e2802c4-a4d2-4d8b-9148-e3be6c30e623}">
          <xlrd:rvb i="10729"/>
        </ext>
      </extLst>
    </bk>
    <bk>
      <extLst>
        <ext uri="{3e2802c4-a4d2-4d8b-9148-e3be6c30e623}">
          <xlrd:rvb i="10730"/>
        </ext>
      </extLst>
    </bk>
    <bk>
      <extLst>
        <ext uri="{3e2802c4-a4d2-4d8b-9148-e3be6c30e623}">
          <xlrd:rvb i="10731"/>
        </ext>
      </extLst>
    </bk>
    <bk>
      <extLst>
        <ext uri="{3e2802c4-a4d2-4d8b-9148-e3be6c30e623}">
          <xlrd:rvb i="10732"/>
        </ext>
      </extLst>
    </bk>
    <bk>
      <extLst>
        <ext uri="{3e2802c4-a4d2-4d8b-9148-e3be6c30e623}">
          <xlrd:rvb i="10733"/>
        </ext>
      </extLst>
    </bk>
    <bk>
      <extLst>
        <ext uri="{3e2802c4-a4d2-4d8b-9148-e3be6c30e623}">
          <xlrd:rvb i="10734"/>
        </ext>
      </extLst>
    </bk>
    <bk>
      <extLst>
        <ext uri="{3e2802c4-a4d2-4d8b-9148-e3be6c30e623}">
          <xlrd:rvb i="10735"/>
        </ext>
      </extLst>
    </bk>
    <bk>
      <extLst>
        <ext uri="{3e2802c4-a4d2-4d8b-9148-e3be6c30e623}">
          <xlrd:rvb i="10736"/>
        </ext>
      </extLst>
    </bk>
    <bk>
      <extLst>
        <ext uri="{3e2802c4-a4d2-4d8b-9148-e3be6c30e623}">
          <xlrd:rvb i="10737"/>
        </ext>
      </extLst>
    </bk>
    <bk>
      <extLst>
        <ext uri="{3e2802c4-a4d2-4d8b-9148-e3be6c30e623}">
          <xlrd:rvb i="10738"/>
        </ext>
      </extLst>
    </bk>
    <bk>
      <extLst>
        <ext uri="{3e2802c4-a4d2-4d8b-9148-e3be6c30e623}">
          <xlrd:rvb i="10739"/>
        </ext>
      </extLst>
    </bk>
    <bk>
      <extLst>
        <ext uri="{3e2802c4-a4d2-4d8b-9148-e3be6c30e623}">
          <xlrd:rvb i="10740"/>
        </ext>
      </extLst>
    </bk>
    <bk>
      <extLst>
        <ext uri="{3e2802c4-a4d2-4d8b-9148-e3be6c30e623}">
          <xlrd:rvb i="10741"/>
        </ext>
      </extLst>
    </bk>
    <bk>
      <extLst>
        <ext uri="{3e2802c4-a4d2-4d8b-9148-e3be6c30e623}">
          <xlrd:rvb i="10742"/>
        </ext>
      </extLst>
    </bk>
    <bk>
      <extLst>
        <ext uri="{3e2802c4-a4d2-4d8b-9148-e3be6c30e623}">
          <xlrd:rvb i="10743"/>
        </ext>
      </extLst>
    </bk>
    <bk>
      <extLst>
        <ext uri="{3e2802c4-a4d2-4d8b-9148-e3be6c30e623}">
          <xlrd:rvb i="10744"/>
        </ext>
      </extLst>
    </bk>
    <bk>
      <extLst>
        <ext uri="{3e2802c4-a4d2-4d8b-9148-e3be6c30e623}">
          <xlrd:rvb i="10745"/>
        </ext>
      </extLst>
    </bk>
    <bk>
      <extLst>
        <ext uri="{3e2802c4-a4d2-4d8b-9148-e3be6c30e623}">
          <xlrd:rvb i="10746"/>
        </ext>
      </extLst>
    </bk>
    <bk>
      <extLst>
        <ext uri="{3e2802c4-a4d2-4d8b-9148-e3be6c30e623}">
          <xlrd:rvb i="10747"/>
        </ext>
      </extLst>
    </bk>
    <bk>
      <extLst>
        <ext uri="{3e2802c4-a4d2-4d8b-9148-e3be6c30e623}">
          <xlrd:rvb i="10748"/>
        </ext>
      </extLst>
    </bk>
    <bk>
      <extLst>
        <ext uri="{3e2802c4-a4d2-4d8b-9148-e3be6c30e623}">
          <xlrd:rvb i="10749"/>
        </ext>
      </extLst>
    </bk>
    <bk>
      <extLst>
        <ext uri="{3e2802c4-a4d2-4d8b-9148-e3be6c30e623}">
          <xlrd:rvb i="10750"/>
        </ext>
      </extLst>
    </bk>
    <bk>
      <extLst>
        <ext uri="{3e2802c4-a4d2-4d8b-9148-e3be6c30e623}">
          <xlrd:rvb i="10751"/>
        </ext>
      </extLst>
    </bk>
    <bk>
      <extLst>
        <ext uri="{3e2802c4-a4d2-4d8b-9148-e3be6c30e623}">
          <xlrd:rvb i="10752"/>
        </ext>
      </extLst>
    </bk>
    <bk>
      <extLst>
        <ext uri="{3e2802c4-a4d2-4d8b-9148-e3be6c30e623}">
          <xlrd:rvb i="10753"/>
        </ext>
      </extLst>
    </bk>
    <bk>
      <extLst>
        <ext uri="{3e2802c4-a4d2-4d8b-9148-e3be6c30e623}">
          <xlrd:rvb i="10754"/>
        </ext>
      </extLst>
    </bk>
    <bk>
      <extLst>
        <ext uri="{3e2802c4-a4d2-4d8b-9148-e3be6c30e623}">
          <xlrd:rvb i="10755"/>
        </ext>
      </extLst>
    </bk>
    <bk>
      <extLst>
        <ext uri="{3e2802c4-a4d2-4d8b-9148-e3be6c30e623}">
          <xlrd:rvb i="10756"/>
        </ext>
      </extLst>
    </bk>
    <bk>
      <extLst>
        <ext uri="{3e2802c4-a4d2-4d8b-9148-e3be6c30e623}">
          <xlrd:rvb i="10757"/>
        </ext>
      </extLst>
    </bk>
    <bk>
      <extLst>
        <ext uri="{3e2802c4-a4d2-4d8b-9148-e3be6c30e623}">
          <xlrd:rvb i="10758"/>
        </ext>
      </extLst>
    </bk>
    <bk>
      <extLst>
        <ext uri="{3e2802c4-a4d2-4d8b-9148-e3be6c30e623}">
          <xlrd:rvb i="10759"/>
        </ext>
      </extLst>
    </bk>
    <bk>
      <extLst>
        <ext uri="{3e2802c4-a4d2-4d8b-9148-e3be6c30e623}">
          <xlrd:rvb i="10760"/>
        </ext>
      </extLst>
    </bk>
    <bk>
      <extLst>
        <ext uri="{3e2802c4-a4d2-4d8b-9148-e3be6c30e623}">
          <xlrd:rvb i="10761"/>
        </ext>
      </extLst>
    </bk>
    <bk>
      <extLst>
        <ext uri="{3e2802c4-a4d2-4d8b-9148-e3be6c30e623}">
          <xlrd:rvb i="10762"/>
        </ext>
      </extLst>
    </bk>
    <bk>
      <extLst>
        <ext uri="{3e2802c4-a4d2-4d8b-9148-e3be6c30e623}">
          <xlrd:rvb i="10763"/>
        </ext>
      </extLst>
    </bk>
    <bk>
      <extLst>
        <ext uri="{3e2802c4-a4d2-4d8b-9148-e3be6c30e623}">
          <xlrd:rvb i="10764"/>
        </ext>
      </extLst>
    </bk>
    <bk>
      <extLst>
        <ext uri="{3e2802c4-a4d2-4d8b-9148-e3be6c30e623}">
          <xlrd:rvb i="10765"/>
        </ext>
      </extLst>
    </bk>
    <bk>
      <extLst>
        <ext uri="{3e2802c4-a4d2-4d8b-9148-e3be6c30e623}">
          <xlrd:rvb i="10766"/>
        </ext>
      </extLst>
    </bk>
    <bk>
      <extLst>
        <ext uri="{3e2802c4-a4d2-4d8b-9148-e3be6c30e623}">
          <xlrd:rvb i="10767"/>
        </ext>
      </extLst>
    </bk>
    <bk>
      <extLst>
        <ext uri="{3e2802c4-a4d2-4d8b-9148-e3be6c30e623}">
          <xlrd:rvb i="10768"/>
        </ext>
      </extLst>
    </bk>
    <bk>
      <extLst>
        <ext uri="{3e2802c4-a4d2-4d8b-9148-e3be6c30e623}">
          <xlrd:rvb i="10769"/>
        </ext>
      </extLst>
    </bk>
    <bk>
      <extLst>
        <ext uri="{3e2802c4-a4d2-4d8b-9148-e3be6c30e623}">
          <xlrd:rvb i="10770"/>
        </ext>
      </extLst>
    </bk>
    <bk>
      <extLst>
        <ext uri="{3e2802c4-a4d2-4d8b-9148-e3be6c30e623}">
          <xlrd:rvb i="10771"/>
        </ext>
      </extLst>
    </bk>
    <bk>
      <extLst>
        <ext uri="{3e2802c4-a4d2-4d8b-9148-e3be6c30e623}">
          <xlrd:rvb i="10772"/>
        </ext>
      </extLst>
    </bk>
    <bk>
      <extLst>
        <ext uri="{3e2802c4-a4d2-4d8b-9148-e3be6c30e623}">
          <xlrd:rvb i="10773"/>
        </ext>
      </extLst>
    </bk>
    <bk>
      <extLst>
        <ext uri="{3e2802c4-a4d2-4d8b-9148-e3be6c30e623}">
          <xlrd:rvb i="10774"/>
        </ext>
      </extLst>
    </bk>
    <bk>
      <extLst>
        <ext uri="{3e2802c4-a4d2-4d8b-9148-e3be6c30e623}">
          <xlrd:rvb i="10775"/>
        </ext>
      </extLst>
    </bk>
    <bk>
      <extLst>
        <ext uri="{3e2802c4-a4d2-4d8b-9148-e3be6c30e623}">
          <xlrd:rvb i="10776"/>
        </ext>
      </extLst>
    </bk>
    <bk>
      <extLst>
        <ext uri="{3e2802c4-a4d2-4d8b-9148-e3be6c30e623}">
          <xlrd:rvb i="10777"/>
        </ext>
      </extLst>
    </bk>
    <bk>
      <extLst>
        <ext uri="{3e2802c4-a4d2-4d8b-9148-e3be6c30e623}">
          <xlrd:rvb i="10778"/>
        </ext>
      </extLst>
    </bk>
    <bk>
      <extLst>
        <ext uri="{3e2802c4-a4d2-4d8b-9148-e3be6c30e623}">
          <xlrd:rvb i="10779"/>
        </ext>
      </extLst>
    </bk>
    <bk>
      <extLst>
        <ext uri="{3e2802c4-a4d2-4d8b-9148-e3be6c30e623}">
          <xlrd:rvb i="10780"/>
        </ext>
      </extLst>
    </bk>
    <bk>
      <extLst>
        <ext uri="{3e2802c4-a4d2-4d8b-9148-e3be6c30e623}">
          <xlrd:rvb i="10781"/>
        </ext>
      </extLst>
    </bk>
    <bk>
      <extLst>
        <ext uri="{3e2802c4-a4d2-4d8b-9148-e3be6c30e623}">
          <xlrd:rvb i="10782"/>
        </ext>
      </extLst>
    </bk>
    <bk>
      <extLst>
        <ext uri="{3e2802c4-a4d2-4d8b-9148-e3be6c30e623}">
          <xlrd:rvb i="10783"/>
        </ext>
      </extLst>
    </bk>
    <bk>
      <extLst>
        <ext uri="{3e2802c4-a4d2-4d8b-9148-e3be6c30e623}">
          <xlrd:rvb i="10784"/>
        </ext>
      </extLst>
    </bk>
    <bk>
      <extLst>
        <ext uri="{3e2802c4-a4d2-4d8b-9148-e3be6c30e623}">
          <xlrd:rvb i="10785"/>
        </ext>
      </extLst>
    </bk>
    <bk>
      <extLst>
        <ext uri="{3e2802c4-a4d2-4d8b-9148-e3be6c30e623}">
          <xlrd:rvb i="10786"/>
        </ext>
      </extLst>
    </bk>
    <bk>
      <extLst>
        <ext uri="{3e2802c4-a4d2-4d8b-9148-e3be6c30e623}">
          <xlrd:rvb i="10787"/>
        </ext>
      </extLst>
    </bk>
    <bk>
      <extLst>
        <ext uri="{3e2802c4-a4d2-4d8b-9148-e3be6c30e623}">
          <xlrd:rvb i="10788"/>
        </ext>
      </extLst>
    </bk>
    <bk>
      <extLst>
        <ext uri="{3e2802c4-a4d2-4d8b-9148-e3be6c30e623}">
          <xlrd:rvb i="10789"/>
        </ext>
      </extLst>
    </bk>
    <bk>
      <extLst>
        <ext uri="{3e2802c4-a4d2-4d8b-9148-e3be6c30e623}">
          <xlrd:rvb i="10790"/>
        </ext>
      </extLst>
    </bk>
    <bk>
      <extLst>
        <ext uri="{3e2802c4-a4d2-4d8b-9148-e3be6c30e623}">
          <xlrd:rvb i="10791"/>
        </ext>
      </extLst>
    </bk>
    <bk>
      <extLst>
        <ext uri="{3e2802c4-a4d2-4d8b-9148-e3be6c30e623}">
          <xlrd:rvb i="10792"/>
        </ext>
      </extLst>
    </bk>
    <bk>
      <extLst>
        <ext uri="{3e2802c4-a4d2-4d8b-9148-e3be6c30e623}">
          <xlrd:rvb i="10793"/>
        </ext>
      </extLst>
    </bk>
    <bk>
      <extLst>
        <ext uri="{3e2802c4-a4d2-4d8b-9148-e3be6c30e623}">
          <xlrd:rvb i="10794"/>
        </ext>
      </extLst>
    </bk>
    <bk>
      <extLst>
        <ext uri="{3e2802c4-a4d2-4d8b-9148-e3be6c30e623}">
          <xlrd:rvb i="10795"/>
        </ext>
      </extLst>
    </bk>
    <bk>
      <extLst>
        <ext uri="{3e2802c4-a4d2-4d8b-9148-e3be6c30e623}">
          <xlrd:rvb i="10796"/>
        </ext>
      </extLst>
    </bk>
    <bk>
      <extLst>
        <ext uri="{3e2802c4-a4d2-4d8b-9148-e3be6c30e623}">
          <xlrd:rvb i="10797"/>
        </ext>
      </extLst>
    </bk>
    <bk>
      <extLst>
        <ext uri="{3e2802c4-a4d2-4d8b-9148-e3be6c30e623}">
          <xlrd:rvb i="10798"/>
        </ext>
      </extLst>
    </bk>
    <bk>
      <extLst>
        <ext uri="{3e2802c4-a4d2-4d8b-9148-e3be6c30e623}">
          <xlrd:rvb i="10799"/>
        </ext>
      </extLst>
    </bk>
    <bk>
      <extLst>
        <ext uri="{3e2802c4-a4d2-4d8b-9148-e3be6c30e623}">
          <xlrd:rvb i="10800"/>
        </ext>
      </extLst>
    </bk>
    <bk>
      <extLst>
        <ext uri="{3e2802c4-a4d2-4d8b-9148-e3be6c30e623}">
          <xlrd:rvb i="10801"/>
        </ext>
      </extLst>
    </bk>
    <bk>
      <extLst>
        <ext uri="{3e2802c4-a4d2-4d8b-9148-e3be6c30e623}">
          <xlrd:rvb i="10802"/>
        </ext>
      </extLst>
    </bk>
    <bk>
      <extLst>
        <ext uri="{3e2802c4-a4d2-4d8b-9148-e3be6c30e623}">
          <xlrd:rvb i="10803"/>
        </ext>
      </extLst>
    </bk>
    <bk>
      <extLst>
        <ext uri="{3e2802c4-a4d2-4d8b-9148-e3be6c30e623}">
          <xlrd:rvb i="10804"/>
        </ext>
      </extLst>
    </bk>
    <bk>
      <extLst>
        <ext uri="{3e2802c4-a4d2-4d8b-9148-e3be6c30e623}">
          <xlrd:rvb i="10805"/>
        </ext>
      </extLst>
    </bk>
    <bk>
      <extLst>
        <ext uri="{3e2802c4-a4d2-4d8b-9148-e3be6c30e623}">
          <xlrd:rvb i="10806"/>
        </ext>
      </extLst>
    </bk>
    <bk>
      <extLst>
        <ext uri="{3e2802c4-a4d2-4d8b-9148-e3be6c30e623}">
          <xlrd:rvb i="10807"/>
        </ext>
      </extLst>
    </bk>
    <bk>
      <extLst>
        <ext uri="{3e2802c4-a4d2-4d8b-9148-e3be6c30e623}">
          <xlrd:rvb i="10808"/>
        </ext>
      </extLst>
    </bk>
    <bk>
      <extLst>
        <ext uri="{3e2802c4-a4d2-4d8b-9148-e3be6c30e623}">
          <xlrd:rvb i="10809"/>
        </ext>
      </extLst>
    </bk>
    <bk>
      <extLst>
        <ext uri="{3e2802c4-a4d2-4d8b-9148-e3be6c30e623}">
          <xlrd:rvb i="10810"/>
        </ext>
      </extLst>
    </bk>
    <bk>
      <extLst>
        <ext uri="{3e2802c4-a4d2-4d8b-9148-e3be6c30e623}">
          <xlrd:rvb i="10811"/>
        </ext>
      </extLst>
    </bk>
    <bk>
      <extLst>
        <ext uri="{3e2802c4-a4d2-4d8b-9148-e3be6c30e623}">
          <xlrd:rvb i="10812"/>
        </ext>
      </extLst>
    </bk>
    <bk>
      <extLst>
        <ext uri="{3e2802c4-a4d2-4d8b-9148-e3be6c30e623}">
          <xlrd:rvb i="10813"/>
        </ext>
      </extLst>
    </bk>
    <bk>
      <extLst>
        <ext uri="{3e2802c4-a4d2-4d8b-9148-e3be6c30e623}">
          <xlrd:rvb i="10814"/>
        </ext>
      </extLst>
    </bk>
    <bk>
      <extLst>
        <ext uri="{3e2802c4-a4d2-4d8b-9148-e3be6c30e623}">
          <xlrd:rvb i="10815"/>
        </ext>
      </extLst>
    </bk>
    <bk>
      <extLst>
        <ext uri="{3e2802c4-a4d2-4d8b-9148-e3be6c30e623}">
          <xlrd:rvb i="10816"/>
        </ext>
      </extLst>
    </bk>
    <bk>
      <extLst>
        <ext uri="{3e2802c4-a4d2-4d8b-9148-e3be6c30e623}">
          <xlrd:rvb i="10817"/>
        </ext>
      </extLst>
    </bk>
    <bk>
      <extLst>
        <ext uri="{3e2802c4-a4d2-4d8b-9148-e3be6c30e623}">
          <xlrd:rvb i="10818"/>
        </ext>
      </extLst>
    </bk>
    <bk>
      <extLst>
        <ext uri="{3e2802c4-a4d2-4d8b-9148-e3be6c30e623}">
          <xlrd:rvb i="10819"/>
        </ext>
      </extLst>
    </bk>
    <bk>
      <extLst>
        <ext uri="{3e2802c4-a4d2-4d8b-9148-e3be6c30e623}">
          <xlrd:rvb i="10820"/>
        </ext>
      </extLst>
    </bk>
    <bk>
      <extLst>
        <ext uri="{3e2802c4-a4d2-4d8b-9148-e3be6c30e623}">
          <xlrd:rvb i="10821"/>
        </ext>
      </extLst>
    </bk>
    <bk>
      <extLst>
        <ext uri="{3e2802c4-a4d2-4d8b-9148-e3be6c30e623}">
          <xlrd:rvb i="10822"/>
        </ext>
      </extLst>
    </bk>
    <bk>
      <extLst>
        <ext uri="{3e2802c4-a4d2-4d8b-9148-e3be6c30e623}">
          <xlrd:rvb i="10823"/>
        </ext>
      </extLst>
    </bk>
    <bk>
      <extLst>
        <ext uri="{3e2802c4-a4d2-4d8b-9148-e3be6c30e623}">
          <xlrd:rvb i="10824"/>
        </ext>
      </extLst>
    </bk>
    <bk>
      <extLst>
        <ext uri="{3e2802c4-a4d2-4d8b-9148-e3be6c30e623}">
          <xlrd:rvb i="10825"/>
        </ext>
      </extLst>
    </bk>
    <bk>
      <extLst>
        <ext uri="{3e2802c4-a4d2-4d8b-9148-e3be6c30e623}">
          <xlrd:rvb i="10826"/>
        </ext>
      </extLst>
    </bk>
    <bk>
      <extLst>
        <ext uri="{3e2802c4-a4d2-4d8b-9148-e3be6c30e623}">
          <xlrd:rvb i="10827"/>
        </ext>
      </extLst>
    </bk>
    <bk>
      <extLst>
        <ext uri="{3e2802c4-a4d2-4d8b-9148-e3be6c30e623}">
          <xlrd:rvb i="10828"/>
        </ext>
      </extLst>
    </bk>
    <bk>
      <extLst>
        <ext uri="{3e2802c4-a4d2-4d8b-9148-e3be6c30e623}">
          <xlrd:rvb i="10829"/>
        </ext>
      </extLst>
    </bk>
    <bk>
      <extLst>
        <ext uri="{3e2802c4-a4d2-4d8b-9148-e3be6c30e623}">
          <xlrd:rvb i="10830"/>
        </ext>
      </extLst>
    </bk>
    <bk>
      <extLst>
        <ext uri="{3e2802c4-a4d2-4d8b-9148-e3be6c30e623}">
          <xlrd:rvb i="10831"/>
        </ext>
      </extLst>
    </bk>
    <bk>
      <extLst>
        <ext uri="{3e2802c4-a4d2-4d8b-9148-e3be6c30e623}">
          <xlrd:rvb i="10832"/>
        </ext>
      </extLst>
    </bk>
    <bk>
      <extLst>
        <ext uri="{3e2802c4-a4d2-4d8b-9148-e3be6c30e623}">
          <xlrd:rvb i="10833"/>
        </ext>
      </extLst>
    </bk>
    <bk>
      <extLst>
        <ext uri="{3e2802c4-a4d2-4d8b-9148-e3be6c30e623}">
          <xlrd:rvb i="10834"/>
        </ext>
      </extLst>
    </bk>
    <bk>
      <extLst>
        <ext uri="{3e2802c4-a4d2-4d8b-9148-e3be6c30e623}">
          <xlrd:rvb i="10835"/>
        </ext>
      </extLst>
    </bk>
    <bk>
      <extLst>
        <ext uri="{3e2802c4-a4d2-4d8b-9148-e3be6c30e623}">
          <xlrd:rvb i="10836"/>
        </ext>
      </extLst>
    </bk>
    <bk>
      <extLst>
        <ext uri="{3e2802c4-a4d2-4d8b-9148-e3be6c30e623}">
          <xlrd:rvb i="10837"/>
        </ext>
      </extLst>
    </bk>
    <bk>
      <extLst>
        <ext uri="{3e2802c4-a4d2-4d8b-9148-e3be6c30e623}">
          <xlrd:rvb i="10838"/>
        </ext>
      </extLst>
    </bk>
    <bk>
      <extLst>
        <ext uri="{3e2802c4-a4d2-4d8b-9148-e3be6c30e623}">
          <xlrd:rvb i="10839"/>
        </ext>
      </extLst>
    </bk>
    <bk>
      <extLst>
        <ext uri="{3e2802c4-a4d2-4d8b-9148-e3be6c30e623}">
          <xlrd:rvb i="10840"/>
        </ext>
      </extLst>
    </bk>
    <bk>
      <extLst>
        <ext uri="{3e2802c4-a4d2-4d8b-9148-e3be6c30e623}">
          <xlrd:rvb i="10841"/>
        </ext>
      </extLst>
    </bk>
    <bk>
      <extLst>
        <ext uri="{3e2802c4-a4d2-4d8b-9148-e3be6c30e623}">
          <xlrd:rvb i="10842"/>
        </ext>
      </extLst>
    </bk>
    <bk>
      <extLst>
        <ext uri="{3e2802c4-a4d2-4d8b-9148-e3be6c30e623}">
          <xlrd:rvb i="10843"/>
        </ext>
      </extLst>
    </bk>
    <bk>
      <extLst>
        <ext uri="{3e2802c4-a4d2-4d8b-9148-e3be6c30e623}">
          <xlrd:rvb i="10844"/>
        </ext>
      </extLst>
    </bk>
    <bk>
      <extLst>
        <ext uri="{3e2802c4-a4d2-4d8b-9148-e3be6c30e623}">
          <xlrd:rvb i="10845"/>
        </ext>
      </extLst>
    </bk>
    <bk>
      <extLst>
        <ext uri="{3e2802c4-a4d2-4d8b-9148-e3be6c30e623}">
          <xlrd:rvb i="10846"/>
        </ext>
      </extLst>
    </bk>
    <bk>
      <extLst>
        <ext uri="{3e2802c4-a4d2-4d8b-9148-e3be6c30e623}">
          <xlrd:rvb i="10847"/>
        </ext>
      </extLst>
    </bk>
    <bk>
      <extLst>
        <ext uri="{3e2802c4-a4d2-4d8b-9148-e3be6c30e623}">
          <xlrd:rvb i="10848"/>
        </ext>
      </extLst>
    </bk>
    <bk>
      <extLst>
        <ext uri="{3e2802c4-a4d2-4d8b-9148-e3be6c30e623}">
          <xlrd:rvb i="10849"/>
        </ext>
      </extLst>
    </bk>
    <bk>
      <extLst>
        <ext uri="{3e2802c4-a4d2-4d8b-9148-e3be6c30e623}">
          <xlrd:rvb i="10850"/>
        </ext>
      </extLst>
    </bk>
    <bk>
      <extLst>
        <ext uri="{3e2802c4-a4d2-4d8b-9148-e3be6c30e623}">
          <xlrd:rvb i="10851"/>
        </ext>
      </extLst>
    </bk>
    <bk>
      <extLst>
        <ext uri="{3e2802c4-a4d2-4d8b-9148-e3be6c30e623}">
          <xlrd:rvb i="10852"/>
        </ext>
      </extLst>
    </bk>
    <bk>
      <extLst>
        <ext uri="{3e2802c4-a4d2-4d8b-9148-e3be6c30e623}">
          <xlrd:rvb i="10853"/>
        </ext>
      </extLst>
    </bk>
    <bk>
      <extLst>
        <ext uri="{3e2802c4-a4d2-4d8b-9148-e3be6c30e623}">
          <xlrd:rvb i="10854"/>
        </ext>
      </extLst>
    </bk>
    <bk>
      <extLst>
        <ext uri="{3e2802c4-a4d2-4d8b-9148-e3be6c30e623}">
          <xlrd:rvb i="10855"/>
        </ext>
      </extLst>
    </bk>
    <bk>
      <extLst>
        <ext uri="{3e2802c4-a4d2-4d8b-9148-e3be6c30e623}">
          <xlrd:rvb i="10856"/>
        </ext>
      </extLst>
    </bk>
    <bk>
      <extLst>
        <ext uri="{3e2802c4-a4d2-4d8b-9148-e3be6c30e623}">
          <xlrd:rvb i="10857"/>
        </ext>
      </extLst>
    </bk>
    <bk>
      <extLst>
        <ext uri="{3e2802c4-a4d2-4d8b-9148-e3be6c30e623}">
          <xlrd:rvb i="10858"/>
        </ext>
      </extLst>
    </bk>
    <bk>
      <extLst>
        <ext uri="{3e2802c4-a4d2-4d8b-9148-e3be6c30e623}">
          <xlrd:rvb i="10859"/>
        </ext>
      </extLst>
    </bk>
    <bk>
      <extLst>
        <ext uri="{3e2802c4-a4d2-4d8b-9148-e3be6c30e623}">
          <xlrd:rvb i="10860"/>
        </ext>
      </extLst>
    </bk>
    <bk>
      <extLst>
        <ext uri="{3e2802c4-a4d2-4d8b-9148-e3be6c30e623}">
          <xlrd:rvb i="10861"/>
        </ext>
      </extLst>
    </bk>
    <bk>
      <extLst>
        <ext uri="{3e2802c4-a4d2-4d8b-9148-e3be6c30e623}">
          <xlrd:rvb i="10862"/>
        </ext>
      </extLst>
    </bk>
    <bk>
      <extLst>
        <ext uri="{3e2802c4-a4d2-4d8b-9148-e3be6c30e623}">
          <xlrd:rvb i="10863"/>
        </ext>
      </extLst>
    </bk>
    <bk>
      <extLst>
        <ext uri="{3e2802c4-a4d2-4d8b-9148-e3be6c30e623}">
          <xlrd:rvb i="10864"/>
        </ext>
      </extLst>
    </bk>
    <bk>
      <extLst>
        <ext uri="{3e2802c4-a4d2-4d8b-9148-e3be6c30e623}">
          <xlrd:rvb i="10865"/>
        </ext>
      </extLst>
    </bk>
    <bk>
      <extLst>
        <ext uri="{3e2802c4-a4d2-4d8b-9148-e3be6c30e623}">
          <xlrd:rvb i="10866"/>
        </ext>
      </extLst>
    </bk>
    <bk>
      <extLst>
        <ext uri="{3e2802c4-a4d2-4d8b-9148-e3be6c30e623}">
          <xlrd:rvb i="10867"/>
        </ext>
      </extLst>
    </bk>
    <bk>
      <extLst>
        <ext uri="{3e2802c4-a4d2-4d8b-9148-e3be6c30e623}">
          <xlrd:rvb i="10868"/>
        </ext>
      </extLst>
    </bk>
    <bk>
      <extLst>
        <ext uri="{3e2802c4-a4d2-4d8b-9148-e3be6c30e623}">
          <xlrd:rvb i="10869"/>
        </ext>
      </extLst>
    </bk>
    <bk>
      <extLst>
        <ext uri="{3e2802c4-a4d2-4d8b-9148-e3be6c30e623}">
          <xlrd:rvb i="10870"/>
        </ext>
      </extLst>
    </bk>
    <bk>
      <extLst>
        <ext uri="{3e2802c4-a4d2-4d8b-9148-e3be6c30e623}">
          <xlrd:rvb i="10871"/>
        </ext>
      </extLst>
    </bk>
    <bk>
      <extLst>
        <ext uri="{3e2802c4-a4d2-4d8b-9148-e3be6c30e623}">
          <xlrd:rvb i="10872"/>
        </ext>
      </extLst>
    </bk>
    <bk>
      <extLst>
        <ext uri="{3e2802c4-a4d2-4d8b-9148-e3be6c30e623}">
          <xlrd:rvb i="10873"/>
        </ext>
      </extLst>
    </bk>
    <bk>
      <extLst>
        <ext uri="{3e2802c4-a4d2-4d8b-9148-e3be6c30e623}">
          <xlrd:rvb i="10874"/>
        </ext>
      </extLst>
    </bk>
    <bk>
      <extLst>
        <ext uri="{3e2802c4-a4d2-4d8b-9148-e3be6c30e623}">
          <xlrd:rvb i="10875"/>
        </ext>
      </extLst>
    </bk>
    <bk>
      <extLst>
        <ext uri="{3e2802c4-a4d2-4d8b-9148-e3be6c30e623}">
          <xlrd:rvb i="10876"/>
        </ext>
      </extLst>
    </bk>
    <bk>
      <extLst>
        <ext uri="{3e2802c4-a4d2-4d8b-9148-e3be6c30e623}">
          <xlrd:rvb i="10877"/>
        </ext>
      </extLst>
    </bk>
    <bk>
      <extLst>
        <ext uri="{3e2802c4-a4d2-4d8b-9148-e3be6c30e623}">
          <xlrd:rvb i="10878"/>
        </ext>
      </extLst>
    </bk>
    <bk>
      <extLst>
        <ext uri="{3e2802c4-a4d2-4d8b-9148-e3be6c30e623}">
          <xlrd:rvb i="10879"/>
        </ext>
      </extLst>
    </bk>
    <bk>
      <extLst>
        <ext uri="{3e2802c4-a4d2-4d8b-9148-e3be6c30e623}">
          <xlrd:rvb i="10880"/>
        </ext>
      </extLst>
    </bk>
    <bk>
      <extLst>
        <ext uri="{3e2802c4-a4d2-4d8b-9148-e3be6c30e623}">
          <xlrd:rvb i="10881"/>
        </ext>
      </extLst>
    </bk>
    <bk>
      <extLst>
        <ext uri="{3e2802c4-a4d2-4d8b-9148-e3be6c30e623}">
          <xlrd:rvb i="10882"/>
        </ext>
      </extLst>
    </bk>
    <bk>
      <extLst>
        <ext uri="{3e2802c4-a4d2-4d8b-9148-e3be6c30e623}">
          <xlrd:rvb i="10883"/>
        </ext>
      </extLst>
    </bk>
    <bk>
      <extLst>
        <ext uri="{3e2802c4-a4d2-4d8b-9148-e3be6c30e623}">
          <xlrd:rvb i="10884"/>
        </ext>
      </extLst>
    </bk>
    <bk>
      <extLst>
        <ext uri="{3e2802c4-a4d2-4d8b-9148-e3be6c30e623}">
          <xlrd:rvb i="10885"/>
        </ext>
      </extLst>
    </bk>
    <bk>
      <extLst>
        <ext uri="{3e2802c4-a4d2-4d8b-9148-e3be6c30e623}">
          <xlrd:rvb i="10886"/>
        </ext>
      </extLst>
    </bk>
    <bk>
      <extLst>
        <ext uri="{3e2802c4-a4d2-4d8b-9148-e3be6c30e623}">
          <xlrd:rvb i="10887"/>
        </ext>
      </extLst>
    </bk>
    <bk>
      <extLst>
        <ext uri="{3e2802c4-a4d2-4d8b-9148-e3be6c30e623}">
          <xlrd:rvb i="10888"/>
        </ext>
      </extLst>
    </bk>
    <bk>
      <extLst>
        <ext uri="{3e2802c4-a4d2-4d8b-9148-e3be6c30e623}">
          <xlrd:rvb i="10889"/>
        </ext>
      </extLst>
    </bk>
    <bk>
      <extLst>
        <ext uri="{3e2802c4-a4d2-4d8b-9148-e3be6c30e623}">
          <xlrd:rvb i="10890"/>
        </ext>
      </extLst>
    </bk>
    <bk>
      <extLst>
        <ext uri="{3e2802c4-a4d2-4d8b-9148-e3be6c30e623}">
          <xlrd:rvb i="10891"/>
        </ext>
      </extLst>
    </bk>
    <bk>
      <extLst>
        <ext uri="{3e2802c4-a4d2-4d8b-9148-e3be6c30e623}">
          <xlrd:rvb i="10892"/>
        </ext>
      </extLst>
    </bk>
    <bk>
      <extLst>
        <ext uri="{3e2802c4-a4d2-4d8b-9148-e3be6c30e623}">
          <xlrd:rvb i="10893"/>
        </ext>
      </extLst>
    </bk>
    <bk>
      <extLst>
        <ext uri="{3e2802c4-a4d2-4d8b-9148-e3be6c30e623}">
          <xlrd:rvb i="10894"/>
        </ext>
      </extLst>
    </bk>
    <bk>
      <extLst>
        <ext uri="{3e2802c4-a4d2-4d8b-9148-e3be6c30e623}">
          <xlrd:rvb i="10895"/>
        </ext>
      </extLst>
    </bk>
    <bk>
      <extLst>
        <ext uri="{3e2802c4-a4d2-4d8b-9148-e3be6c30e623}">
          <xlrd:rvb i="10896"/>
        </ext>
      </extLst>
    </bk>
    <bk>
      <extLst>
        <ext uri="{3e2802c4-a4d2-4d8b-9148-e3be6c30e623}">
          <xlrd:rvb i="10897"/>
        </ext>
      </extLst>
    </bk>
    <bk>
      <extLst>
        <ext uri="{3e2802c4-a4d2-4d8b-9148-e3be6c30e623}">
          <xlrd:rvb i="10898"/>
        </ext>
      </extLst>
    </bk>
    <bk>
      <extLst>
        <ext uri="{3e2802c4-a4d2-4d8b-9148-e3be6c30e623}">
          <xlrd:rvb i="10899"/>
        </ext>
      </extLst>
    </bk>
    <bk>
      <extLst>
        <ext uri="{3e2802c4-a4d2-4d8b-9148-e3be6c30e623}">
          <xlrd:rvb i="10900"/>
        </ext>
      </extLst>
    </bk>
    <bk>
      <extLst>
        <ext uri="{3e2802c4-a4d2-4d8b-9148-e3be6c30e623}">
          <xlrd:rvb i="10901"/>
        </ext>
      </extLst>
    </bk>
    <bk>
      <extLst>
        <ext uri="{3e2802c4-a4d2-4d8b-9148-e3be6c30e623}">
          <xlrd:rvb i="10902"/>
        </ext>
      </extLst>
    </bk>
    <bk>
      <extLst>
        <ext uri="{3e2802c4-a4d2-4d8b-9148-e3be6c30e623}">
          <xlrd:rvb i="10903"/>
        </ext>
      </extLst>
    </bk>
    <bk>
      <extLst>
        <ext uri="{3e2802c4-a4d2-4d8b-9148-e3be6c30e623}">
          <xlrd:rvb i="10904"/>
        </ext>
      </extLst>
    </bk>
    <bk>
      <extLst>
        <ext uri="{3e2802c4-a4d2-4d8b-9148-e3be6c30e623}">
          <xlrd:rvb i="10905"/>
        </ext>
      </extLst>
    </bk>
    <bk>
      <extLst>
        <ext uri="{3e2802c4-a4d2-4d8b-9148-e3be6c30e623}">
          <xlrd:rvb i="10906"/>
        </ext>
      </extLst>
    </bk>
    <bk>
      <extLst>
        <ext uri="{3e2802c4-a4d2-4d8b-9148-e3be6c30e623}">
          <xlrd:rvb i="10907"/>
        </ext>
      </extLst>
    </bk>
    <bk>
      <extLst>
        <ext uri="{3e2802c4-a4d2-4d8b-9148-e3be6c30e623}">
          <xlrd:rvb i="10908"/>
        </ext>
      </extLst>
    </bk>
    <bk>
      <extLst>
        <ext uri="{3e2802c4-a4d2-4d8b-9148-e3be6c30e623}">
          <xlrd:rvb i="10909"/>
        </ext>
      </extLst>
    </bk>
    <bk>
      <extLst>
        <ext uri="{3e2802c4-a4d2-4d8b-9148-e3be6c30e623}">
          <xlrd:rvb i="10910"/>
        </ext>
      </extLst>
    </bk>
    <bk>
      <extLst>
        <ext uri="{3e2802c4-a4d2-4d8b-9148-e3be6c30e623}">
          <xlrd:rvb i="10911"/>
        </ext>
      </extLst>
    </bk>
    <bk>
      <extLst>
        <ext uri="{3e2802c4-a4d2-4d8b-9148-e3be6c30e623}">
          <xlrd:rvb i="10912"/>
        </ext>
      </extLst>
    </bk>
    <bk>
      <extLst>
        <ext uri="{3e2802c4-a4d2-4d8b-9148-e3be6c30e623}">
          <xlrd:rvb i="10913"/>
        </ext>
      </extLst>
    </bk>
    <bk>
      <extLst>
        <ext uri="{3e2802c4-a4d2-4d8b-9148-e3be6c30e623}">
          <xlrd:rvb i="10914"/>
        </ext>
      </extLst>
    </bk>
    <bk>
      <extLst>
        <ext uri="{3e2802c4-a4d2-4d8b-9148-e3be6c30e623}">
          <xlrd:rvb i="10915"/>
        </ext>
      </extLst>
    </bk>
    <bk>
      <extLst>
        <ext uri="{3e2802c4-a4d2-4d8b-9148-e3be6c30e623}">
          <xlrd:rvb i="10916"/>
        </ext>
      </extLst>
    </bk>
    <bk>
      <extLst>
        <ext uri="{3e2802c4-a4d2-4d8b-9148-e3be6c30e623}">
          <xlrd:rvb i="10917"/>
        </ext>
      </extLst>
    </bk>
    <bk>
      <extLst>
        <ext uri="{3e2802c4-a4d2-4d8b-9148-e3be6c30e623}">
          <xlrd:rvb i="10918"/>
        </ext>
      </extLst>
    </bk>
    <bk>
      <extLst>
        <ext uri="{3e2802c4-a4d2-4d8b-9148-e3be6c30e623}">
          <xlrd:rvb i="10919"/>
        </ext>
      </extLst>
    </bk>
    <bk>
      <extLst>
        <ext uri="{3e2802c4-a4d2-4d8b-9148-e3be6c30e623}">
          <xlrd:rvb i="10920"/>
        </ext>
      </extLst>
    </bk>
    <bk>
      <extLst>
        <ext uri="{3e2802c4-a4d2-4d8b-9148-e3be6c30e623}">
          <xlrd:rvb i="10921"/>
        </ext>
      </extLst>
    </bk>
    <bk>
      <extLst>
        <ext uri="{3e2802c4-a4d2-4d8b-9148-e3be6c30e623}">
          <xlrd:rvb i="10922"/>
        </ext>
      </extLst>
    </bk>
    <bk>
      <extLst>
        <ext uri="{3e2802c4-a4d2-4d8b-9148-e3be6c30e623}">
          <xlrd:rvb i="10923"/>
        </ext>
      </extLst>
    </bk>
    <bk>
      <extLst>
        <ext uri="{3e2802c4-a4d2-4d8b-9148-e3be6c30e623}">
          <xlrd:rvb i="10924"/>
        </ext>
      </extLst>
    </bk>
    <bk>
      <extLst>
        <ext uri="{3e2802c4-a4d2-4d8b-9148-e3be6c30e623}">
          <xlrd:rvb i="10925"/>
        </ext>
      </extLst>
    </bk>
    <bk>
      <extLst>
        <ext uri="{3e2802c4-a4d2-4d8b-9148-e3be6c30e623}">
          <xlrd:rvb i="10926"/>
        </ext>
      </extLst>
    </bk>
    <bk>
      <extLst>
        <ext uri="{3e2802c4-a4d2-4d8b-9148-e3be6c30e623}">
          <xlrd:rvb i="10927"/>
        </ext>
      </extLst>
    </bk>
    <bk>
      <extLst>
        <ext uri="{3e2802c4-a4d2-4d8b-9148-e3be6c30e623}">
          <xlrd:rvb i="10928"/>
        </ext>
      </extLst>
    </bk>
    <bk>
      <extLst>
        <ext uri="{3e2802c4-a4d2-4d8b-9148-e3be6c30e623}">
          <xlrd:rvb i="10929"/>
        </ext>
      </extLst>
    </bk>
    <bk>
      <extLst>
        <ext uri="{3e2802c4-a4d2-4d8b-9148-e3be6c30e623}">
          <xlrd:rvb i="10930"/>
        </ext>
      </extLst>
    </bk>
    <bk>
      <extLst>
        <ext uri="{3e2802c4-a4d2-4d8b-9148-e3be6c30e623}">
          <xlrd:rvb i="10931"/>
        </ext>
      </extLst>
    </bk>
    <bk>
      <extLst>
        <ext uri="{3e2802c4-a4d2-4d8b-9148-e3be6c30e623}">
          <xlrd:rvb i="10932"/>
        </ext>
      </extLst>
    </bk>
    <bk>
      <extLst>
        <ext uri="{3e2802c4-a4d2-4d8b-9148-e3be6c30e623}">
          <xlrd:rvb i="10933"/>
        </ext>
      </extLst>
    </bk>
    <bk>
      <extLst>
        <ext uri="{3e2802c4-a4d2-4d8b-9148-e3be6c30e623}">
          <xlrd:rvb i="10934"/>
        </ext>
      </extLst>
    </bk>
    <bk>
      <extLst>
        <ext uri="{3e2802c4-a4d2-4d8b-9148-e3be6c30e623}">
          <xlrd:rvb i="10935"/>
        </ext>
      </extLst>
    </bk>
    <bk>
      <extLst>
        <ext uri="{3e2802c4-a4d2-4d8b-9148-e3be6c30e623}">
          <xlrd:rvb i="10936"/>
        </ext>
      </extLst>
    </bk>
    <bk>
      <extLst>
        <ext uri="{3e2802c4-a4d2-4d8b-9148-e3be6c30e623}">
          <xlrd:rvb i="10937"/>
        </ext>
      </extLst>
    </bk>
    <bk>
      <extLst>
        <ext uri="{3e2802c4-a4d2-4d8b-9148-e3be6c30e623}">
          <xlrd:rvb i="10938"/>
        </ext>
      </extLst>
    </bk>
    <bk>
      <extLst>
        <ext uri="{3e2802c4-a4d2-4d8b-9148-e3be6c30e623}">
          <xlrd:rvb i="10939"/>
        </ext>
      </extLst>
    </bk>
    <bk>
      <extLst>
        <ext uri="{3e2802c4-a4d2-4d8b-9148-e3be6c30e623}">
          <xlrd:rvb i="10940"/>
        </ext>
      </extLst>
    </bk>
    <bk>
      <extLst>
        <ext uri="{3e2802c4-a4d2-4d8b-9148-e3be6c30e623}">
          <xlrd:rvb i="10941"/>
        </ext>
      </extLst>
    </bk>
    <bk>
      <extLst>
        <ext uri="{3e2802c4-a4d2-4d8b-9148-e3be6c30e623}">
          <xlrd:rvb i="10942"/>
        </ext>
      </extLst>
    </bk>
    <bk>
      <extLst>
        <ext uri="{3e2802c4-a4d2-4d8b-9148-e3be6c30e623}">
          <xlrd:rvb i="10943"/>
        </ext>
      </extLst>
    </bk>
    <bk>
      <extLst>
        <ext uri="{3e2802c4-a4d2-4d8b-9148-e3be6c30e623}">
          <xlrd:rvb i="10944"/>
        </ext>
      </extLst>
    </bk>
    <bk>
      <extLst>
        <ext uri="{3e2802c4-a4d2-4d8b-9148-e3be6c30e623}">
          <xlrd:rvb i="10945"/>
        </ext>
      </extLst>
    </bk>
    <bk>
      <extLst>
        <ext uri="{3e2802c4-a4d2-4d8b-9148-e3be6c30e623}">
          <xlrd:rvb i="10946"/>
        </ext>
      </extLst>
    </bk>
    <bk>
      <extLst>
        <ext uri="{3e2802c4-a4d2-4d8b-9148-e3be6c30e623}">
          <xlrd:rvb i="10947"/>
        </ext>
      </extLst>
    </bk>
    <bk>
      <extLst>
        <ext uri="{3e2802c4-a4d2-4d8b-9148-e3be6c30e623}">
          <xlrd:rvb i="10948"/>
        </ext>
      </extLst>
    </bk>
    <bk>
      <extLst>
        <ext uri="{3e2802c4-a4d2-4d8b-9148-e3be6c30e623}">
          <xlrd:rvb i="10949"/>
        </ext>
      </extLst>
    </bk>
    <bk>
      <extLst>
        <ext uri="{3e2802c4-a4d2-4d8b-9148-e3be6c30e623}">
          <xlrd:rvb i="10950"/>
        </ext>
      </extLst>
    </bk>
    <bk>
      <extLst>
        <ext uri="{3e2802c4-a4d2-4d8b-9148-e3be6c30e623}">
          <xlrd:rvb i="10951"/>
        </ext>
      </extLst>
    </bk>
    <bk>
      <extLst>
        <ext uri="{3e2802c4-a4d2-4d8b-9148-e3be6c30e623}">
          <xlrd:rvb i="10952"/>
        </ext>
      </extLst>
    </bk>
    <bk>
      <extLst>
        <ext uri="{3e2802c4-a4d2-4d8b-9148-e3be6c30e623}">
          <xlrd:rvb i="10953"/>
        </ext>
      </extLst>
    </bk>
    <bk>
      <extLst>
        <ext uri="{3e2802c4-a4d2-4d8b-9148-e3be6c30e623}">
          <xlrd:rvb i="10954"/>
        </ext>
      </extLst>
    </bk>
    <bk>
      <extLst>
        <ext uri="{3e2802c4-a4d2-4d8b-9148-e3be6c30e623}">
          <xlrd:rvb i="10955"/>
        </ext>
      </extLst>
    </bk>
    <bk>
      <extLst>
        <ext uri="{3e2802c4-a4d2-4d8b-9148-e3be6c30e623}">
          <xlrd:rvb i="10956"/>
        </ext>
      </extLst>
    </bk>
    <bk>
      <extLst>
        <ext uri="{3e2802c4-a4d2-4d8b-9148-e3be6c30e623}">
          <xlrd:rvb i="10957"/>
        </ext>
      </extLst>
    </bk>
    <bk>
      <extLst>
        <ext uri="{3e2802c4-a4d2-4d8b-9148-e3be6c30e623}">
          <xlrd:rvb i="10958"/>
        </ext>
      </extLst>
    </bk>
    <bk>
      <extLst>
        <ext uri="{3e2802c4-a4d2-4d8b-9148-e3be6c30e623}">
          <xlrd:rvb i="10959"/>
        </ext>
      </extLst>
    </bk>
    <bk>
      <extLst>
        <ext uri="{3e2802c4-a4d2-4d8b-9148-e3be6c30e623}">
          <xlrd:rvb i="10960"/>
        </ext>
      </extLst>
    </bk>
    <bk>
      <extLst>
        <ext uri="{3e2802c4-a4d2-4d8b-9148-e3be6c30e623}">
          <xlrd:rvb i="10961"/>
        </ext>
      </extLst>
    </bk>
    <bk>
      <extLst>
        <ext uri="{3e2802c4-a4d2-4d8b-9148-e3be6c30e623}">
          <xlrd:rvb i="10962"/>
        </ext>
      </extLst>
    </bk>
    <bk>
      <extLst>
        <ext uri="{3e2802c4-a4d2-4d8b-9148-e3be6c30e623}">
          <xlrd:rvb i="10963"/>
        </ext>
      </extLst>
    </bk>
    <bk>
      <extLst>
        <ext uri="{3e2802c4-a4d2-4d8b-9148-e3be6c30e623}">
          <xlrd:rvb i="10964"/>
        </ext>
      </extLst>
    </bk>
    <bk>
      <extLst>
        <ext uri="{3e2802c4-a4d2-4d8b-9148-e3be6c30e623}">
          <xlrd:rvb i="10965"/>
        </ext>
      </extLst>
    </bk>
    <bk>
      <extLst>
        <ext uri="{3e2802c4-a4d2-4d8b-9148-e3be6c30e623}">
          <xlrd:rvb i="10966"/>
        </ext>
      </extLst>
    </bk>
    <bk>
      <extLst>
        <ext uri="{3e2802c4-a4d2-4d8b-9148-e3be6c30e623}">
          <xlrd:rvb i="10967"/>
        </ext>
      </extLst>
    </bk>
    <bk>
      <extLst>
        <ext uri="{3e2802c4-a4d2-4d8b-9148-e3be6c30e623}">
          <xlrd:rvb i="10968"/>
        </ext>
      </extLst>
    </bk>
    <bk>
      <extLst>
        <ext uri="{3e2802c4-a4d2-4d8b-9148-e3be6c30e623}">
          <xlrd:rvb i="10969"/>
        </ext>
      </extLst>
    </bk>
    <bk>
      <extLst>
        <ext uri="{3e2802c4-a4d2-4d8b-9148-e3be6c30e623}">
          <xlrd:rvb i="10970"/>
        </ext>
      </extLst>
    </bk>
    <bk>
      <extLst>
        <ext uri="{3e2802c4-a4d2-4d8b-9148-e3be6c30e623}">
          <xlrd:rvb i="10971"/>
        </ext>
      </extLst>
    </bk>
    <bk>
      <extLst>
        <ext uri="{3e2802c4-a4d2-4d8b-9148-e3be6c30e623}">
          <xlrd:rvb i="10972"/>
        </ext>
      </extLst>
    </bk>
    <bk>
      <extLst>
        <ext uri="{3e2802c4-a4d2-4d8b-9148-e3be6c30e623}">
          <xlrd:rvb i="10973"/>
        </ext>
      </extLst>
    </bk>
    <bk>
      <extLst>
        <ext uri="{3e2802c4-a4d2-4d8b-9148-e3be6c30e623}">
          <xlrd:rvb i="10974"/>
        </ext>
      </extLst>
    </bk>
    <bk>
      <extLst>
        <ext uri="{3e2802c4-a4d2-4d8b-9148-e3be6c30e623}">
          <xlrd:rvb i="10975"/>
        </ext>
      </extLst>
    </bk>
    <bk>
      <extLst>
        <ext uri="{3e2802c4-a4d2-4d8b-9148-e3be6c30e623}">
          <xlrd:rvb i="10976"/>
        </ext>
      </extLst>
    </bk>
    <bk>
      <extLst>
        <ext uri="{3e2802c4-a4d2-4d8b-9148-e3be6c30e623}">
          <xlrd:rvb i="10977"/>
        </ext>
      </extLst>
    </bk>
    <bk>
      <extLst>
        <ext uri="{3e2802c4-a4d2-4d8b-9148-e3be6c30e623}">
          <xlrd:rvb i="10978"/>
        </ext>
      </extLst>
    </bk>
    <bk>
      <extLst>
        <ext uri="{3e2802c4-a4d2-4d8b-9148-e3be6c30e623}">
          <xlrd:rvb i="10979"/>
        </ext>
      </extLst>
    </bk>
    <bk>
      <extLst>
        <ext uri="{3e2802c4-a4d2-4d8b-9148-e3be6c30e623}">
          <xlrd:rvb i="10980"/>
        </ext>
      </extLst>
    </bk>
    <bk>
      <extLst>
        <ext uri="{3e2802c4-a4d2-4d8b-9148-e3be6c30e623}">
          <xlrd:rvb i="10981"/>
        </ext>
      </extLst>
    </bk>
    <bk>
      <extLst>
        <ext uri="{3e2802c4-a4d2-4d8b-9148-e3be6c30e623}">
          <xlrd:rvb i="10982"/>
        </ext>
      </extLst>
    </bk>
    <bk>
      <extLst>
        <ext uri="{3e2802c4-a4d2-4d8b-9148-e3be6c30e623}">
          <xlrd:rvb i="10983"/>
        </ext>
      </extLst>
    </bk>
    <bk>
      <extLst>
        <ext uri="{3e2802c4-a4d2-4d8b-9148-e3be6c30e623}">
          <xlrd:rvb i="10984"/>
        </ext>
      </extLst>
    </bk>
    <bk>
      <extLst>
        <ext uri="{3e2802c4-a4d2-4d8b-9148-e3be6c30e623}">
          <xlrd:rvb i="10985"/>
        </ext>
      </extLst>
    </bk>
    <bk>
      <extLst>
        <ext uri="{3e2802c4-a4d2-4d8b-9148-e3be6c30e623}">
          <xlrd:rvb i="10986"/>
        </ext>
      </extLst>
    </bk>
    <bk>
      <extLst>
        <ext uri="{3e2802c4-a4d2-4d8b-9148-e3be6c30e623}">
          <xlrd:rvb i="10987"/>
        </ext>
      </extLst>
    </bk>
    <bk>
      <extLst>
        <ext uri="{3e2802c4-a4d2-4d8b-9148-e3be6c30e623}">
          <xlrd:rvb i="10988"/>
        </ext>
      </extLst>
    </bk>
    <bk>
      <extLst>
        <ext uri="{3e2802c4-a4d2-4d8b-9148-e3be6c30e623}">
          <xlrd:rvb i="10989"/>
        </ext>
      </extLst>
    </bk>
    <bk>
      <extLst>
        <ext uri="{3e2802c4-a4d2-4d8b-9148-e3be6c30e623}">
          <xlrd:rvb i="10990"/>
        </ext>
      </extLst>
    </bk>
    <bk>
      <extLst>
        <ext uri="{3e2802c4-a4d2-4d8b-9148-e3be6c30e623}">
          <xlrd:rvb i="10991"/>
        </ext>
      </extLst>
    </bk>
    <bk>
      <extLst>
        <ext uri="{3e2802c4-a4d2-4d8b-9148-e3be6c30e623}">
          <xlrd:rvb i="10992"/>
        </ext>
      </extLst>
    </bk>
    <bk>
      <extLst>
        <ext uri="{3e2802c4-a4d2-4d8b-9148-e3be6c30e623}">
          <xlrd:rvb i="10993"/>
        </ext>
      </extLst>
    </bk>
    <bk>
      <extLst>
        <ext uri="{3e2802c4-a4d2-4d8b-9148-e3be6c30e623}">
          <xlrd:rvb i="10994"/>
        </ext>
      </extLst>
    </bk>
    <bk>
      <extLst>
        <ext uri="{3e2802c4-a4d2-4d8b-9148-e3be6c30e623}">
          <xlrd:rvb i="10995"/>
        </ext>
      </extLst>
    </bk>
    <bk>
      <extLst>
        <ext uri="{3e2802c4-a4d2-4d8b-9148-e3be6c30e623}">
          <xlrd:rvb i="10996"/>
        </ext>
      </extLst>
    </bk>
    <bk>
      <extLst>
        <ext uri="{3e2802c4-a4d2-4d8b-9148-e3be6c30e623}">
          <xlrd:rvb i="10997"/>
        </ext>
      </extLst>
    </bk>
    <bk>
      <extLst>
        <ext uri="{3e2802c4-a4d2-4d8b-9148-e3be6c30e623}">
          <xlrd:rvb i="10998"/>
        </ext>
      </extLst>
    </bk>
    <bk>
      <extLst>
        <ext uri="{3e2802c4-a4d2-4d8b-9148-e3be6c30e623}">
          <xlrd:rvb i="10999"/>
        </ext>
      </extLst>
    </bk>
    <bk>
      <extLst>
        <ext uri="{3e2802c4-a4d2-4d8b-9148-e3be6c30e623}">
          <xlrd:rvb i="11000"/>
        </ext>
      </extLst>
    </bk>
    <bk>
      <extLst>
        <ext uri="{3e2802c4-a4d2-4d8b-9148-e3be6c30e623}">
          <xlrd:rvb i="11001"/>
        </ext>
      </extLst>
    </bk>
    <bk>
      <extLst>
        <ext uri="{3e2802c4-a4d2-4d8b-9148-e3be6c30e623}">
          <xlrd:rvb i="11002"/>
        </ext>
      </extLst>
    </bk>
    <bk>
      <extLst>
        <ext uri="{3e2802c4-a4d2-4d8b-9148-e3be6c30e623}">
          <xlrd:rvb i="11003"/>
        </ext>
      </extLst>
    </bk>
    <bk>
      <extLst>
        <ext uri="{3e2802c4-a4d2-4d8b-9148-e3be6c30e623}">
          <xlrd:rvb i="11004"/>
        </ext>
      </extLst>
    </bk>
    <bk>
      <extLst>
        <ext uri="{3e2802c4-a4d2-4d8b-9148-e3be6c30e623}">
          <xlrd:rvb i="11005"/>
        </ext>
      </extLst>
    </bk>
    <bk>
      <extLst>
        <ext uri="{3e2802c4-a4d2-4d8b-9148-e3be6c30e623}">
          <xlrd:rvb i="11006"/>
        </ext>
      </extLst>
    </bk>
    <bk>
      <extLst>
        <ext uri="{3e2802c4-a4d2-4d8b-9148-e3be6c30e623}">
          <xlrd:rvb i="11007"/>
        </ext>
      </extLst>
    </bk>
    <bk>
      <extLst>
        <ext uri="{3e2802c4-a4d2-4d8b-9148-e3be6c30e623}">
          <xlrd:rvb i="11008"/>
        </ext>
      </extLst>
    </bk>
    <bk>
      <extLst>
        <ext uri="{3e2802c4-a4d2-4d8b-9148-e3be6c30e623}">
          <xlrd:rvb i="11009"/>
        </ext>
      </extLst>
    </bk>
    <bk>
      <extLst>
        <ext uri="{3e2802c4-a4d2-4d8b-9148-e3be6c30e623}">
          <xlrd:rvb i="11010"/>
        </ext>
      </extLst>
    </bk>
    <bk>
      <extLst>
        <ext uri="{3e2802c4-a4d2-4d8b-9148-e3be6c30e623}">
          <xlrd:rvb i="11011"/>
        </ext>
      </extLst>
    </bk>
    <bk>
      <extLst>
        <ext uri="{3e2802c4-a4d2-4d8b-9148-e3be6c30e623}">
          <xlrd:rvb i="11012"/>
        </ext>
      </extLst>
    </bk>
    <bk>
      <extLst>
        <ext uri="{3e2802c4-a4d2-4d8b-9148-e3be6c30e623}">
          <xlrd:rvb i="11013"/>
        </ext>
      </extLst>
    </bk>
    <bk>
      <extLst>
        <ext uri="{3e2802c4-a4d2-4d8b-9148-e3be6c30e623}">
          <xlrd:rvb i="11014"/>
        </ext>
      </extLst>
    </bk>
    <bk>
      <extLst>
        <ext uri="{3e2802c4-a4d2-4d8b-9148-e3be6c30e623}">
          <xlrd:rvb i="11015"/>
        </ext>
      </extLst>
    </bk>
    <bk>
      <extLst>
        <ext uri="{3e2802c4-a4d2-4d8b-9148-e3be6c30e623}">
          <xlrd:rvb i="11016"/>
        </ext>
      </extLst>
    </bk>
    <bk>
      <extLst>
        <ext uri="{3e2802c4-a4d2-4d8b-9148-e3be6c30e623}">
          <xlrd:rvb i="11017"/>
        </ext>
      </extLst>
    </bk>
    <bk>
      <extLst>
        <ext uri="{3e2802c4-a4d2-4d8b-9148-e3be6c30e623}">
          <xlrd:rvb i="11018"/>
        </ext>
      </extLst>
    </bk>
    <bk>
      <extLst>
        <ext uri="{3e2802c4-a4d2-4d8b-9148-e3be6c30e623}">
          <xlrd:rvb i="11019"/>
        </ext>
      </extLst>
    </bk>
    <bk>
      <extLst>
        <ext uri="{3e2802c4-a4d2-4d8b-9148-e3be6c30e623}">
          <xlrd:rvb i="11020"/>
        </ext>
      </extLst>
    </bk>
    <bk>
      <extLst>
        <ext uri="{3e2802c4-a4d2-4d8b-9148-e3be6c30e623}">
          <xlrd:rvb i="11021"/>
        </ext>
      </extLst>
    </bk>
    <bk>
      <extLst>
        <ext uri="{3e2802c4-a4d2-4d8b-9148-e3be6c30e623}">
          <xlrd:rvb i="11022"/>
        </ext>
      </extLst>
    </bk>
    <bk>
      <extLst>
        <ext uri="{3e2802c4-a4d2-4d8b-9148-e3be6c30e623}">
          <xlrd:rvb i="11023"/>
        </ext>
      </extLst>
    </bk>
    <bk>
      <extLst>
        <ext uri="{3e2802c4-a4d2-4d8b-9148-e3be6c30e623}">
          <xlrd:rvb i="11024"/>
        </ext>
      </extLst>
    </bk>
    <bk>
      <extLst>
        <ext uri="{3e2802c4-a4d2-4d8b-9148-e3be6c30e623}">
          <xlrd:rvb i="11025"/>
        </ext>
      </extLst>
    </bk>
    <bk>
      <extLst>
        <ext uri="{3e2802c4-a4d2-4d8b-9148-e3be6c30e623}">
          <xlrd:rvb i="11026"/>
        </ext>
      </extLst>
    </bk>
    <bk>
      <extLst>
        <ext uri="{3e2802c4-a4d2-4d8b-9148-e3be6c30e623}">
          <xlrd:rvb i="11027"/>
        </ext>
      </extLst>
    </bk>
    <bk>
      <extLst>
        <ext uri="{3e2802c4-a4d2-4d8b-9148-e3be6c30e623}">
          <xlrd:rvb i="11028"/>
        </ext>
      </extLst>
    </bk>
    <bk>
      <extLst>
        <ext uri="{3e2802c4-a4d2-4d8b-9148-e3be6c30e623}">
          <xlrd:rvb i="11029"/>
        </ext>
      </extLst>
    </bk>
    <bk>
      <extLst>
        <ext uri="{3e2802c4-a4d2-4d8b-9148-e3be6c30e623}">
          <xlrd:rvb i="11030"/>
        </ext>
      </extLst>
    </bk>
    <bk>
      <extLst>
        <ext uri="{3e2802c4-a4d2-4d8b-9148-e3be6c30e623}">
          <xlrd:rvb i="11031"/>
        </ext>
      </extLst>
    </bk>
    <bk>
      <extLst>
        <ext uri="{3e2802c4-a4d2-4d8b-9148-e3be6c30e623}">
          <xlrd:rvb i="11032"/>
        </ext>
      </extLst>
    </bk>
    <bk>
      <extLst>
        <ext uri="{3e2802c4-a4d2-4d8b-9148-e3be6c30e623}">
          <xlrd:rvb i="11033"/>
        </ext>
      </extLst>
    </bk>
    <bk>
      <extLst>
        <ext uri="{3e2802c4-a4d2-4d8b-9148-e3be6c30e623}">
          <xlrd:rvb i="11034"/>
        </ext>
      </extLst>
    </bk>
    <bk>
      <extLst>
        <ext uri="{3e2802c4-a4d2-4d8b-9148-e3be6c30e623}">
          <xlrd:rvb i="11035"/>
        </ext>
      </extLst>
    </bk>
    <bk>
      <extLst>
        <ext uri="{3e2802c4-a4d2-4d8b-9148-e3be6c30e623}">
          <xlrd:rvb i="11036"/>
        </ext>
      </extLst>
    </bk>
    <bk>
      <extLst>
        <ext uri="{3e2802c4-a4d2-4d8b-9148-e3be6c30e623}">
          <xlrd:rvb i="11037"/>
        </ext>
      </extLst>
    </bk>
    <bk>
      <extLst>
        <ext uri="{3e2802c4-a4d2-4d8b-9148-e3be6c30e623}">
          <xlrd:rvb i="11038"/>
        </ext>
      </extLst>
    </bk>
    <bk>
      <extLst>
        <ext uri="{3e2802c4-a4d2-4d8b-9148-e3be6c30e623}">
          <xlrd:rvb i="11039"/>
        </ext>
      </extLst>
    </bk>
    <bk>
      <extLst>
        <ext uri="{3e2802c4-a4d2-4d8b-9148-e3be6c30e623}">
          <xlrd:rvb i="11040"/>
        </ext>
      </extLst>
    </bk>
    <bk>
      <extLst>
        <ext uri="{3e2802c4-a4d2-4d8b-9148-e3be6c30e623}">
          <xlrd:rvb i="11041"/>
        </ext>
      </extLst>
    </bk>
    <bk>
      <extLst>
        <ext uri="{3e2802c4-a4d2-4d8b-9148-e3be6c30e623}">
          <xlrd:rvb i="11042"/>
        </ext>
      </extLst>
    </bk>
    <bk>
      <extLst>
        <ext uri="{3e2802c4-a4d2-4d8b-9148-e3be6c30e623}">
          <xlrd:rvb i="11043"/>
        </ext>
      </extLst>
    </bk>
    <bk>
      <extLst>
        <ext uri="{3e2802c4-a4d2-4d8b-9148-e3be6c30e623}">
          <xlrd:rvb i="11044"/>
        </ext>
      </extLst>
    </bk>
    <bk>
      <extLst>
        <ext uri="{3e2802c4-a4d2-4d8b-9148-e3be6c30e623}">
          <xlrd:rvb i="11045"/>
        </ext>
      </extLst>
    </bk>
    <bk>
      <extLst>
        <ext uri="{3e2802c4-a4d2-4d8b-9148-e3be6c30e623}">
          <xlrd:rvb i="11046"/>
        </ext>
      </extLst>
    </bk>
    <bk>
      <extLst>
        <ext uri="{3e2802c4-a4d2-4d8b-9148-e3be6c30e623}">
          <xlrd:rvb i="11047"/>
        </ext>
      </extLst>
    </bk>
    <bk>
      <extLst>
        <ext uri="{3e2802c4-a4d2-4d8b-9148-e3be6c30e623}">
          <xlrd:rvb i="11048"/>
        </ext>
      </extLst>
    </bk>
    <bk>
      <extLst>
        <ext uri="{3e2802c4-a4d2-4d8b-9148-e3be6c30e623}">
          <xlrd:rvb i="11049"/>
        </ext>
      </extLst>
    </bk>
    <bk>
      <extLst>
        <ext uri="{3e2802c4-a4d2-4d8b-9148-e3be6c30e623}">
          <xlrd:rvb i="11050"/>
        </ext>
      </extLst>
    </bk>
    <bk>
      <extLst>
        <ext uri="{3e2802c4-a4d2-4d8b-9148-e3be6c30e623}">
          <xlrd:rvb i="11051"/>
        </ext>
      </extLst>
    </bk>
    <bk>
      <extLst>
        <ext uri="{3e2802c4-a4d2-4d8b-9148-e3be6c30e623}">
          <xlrd:rvb i="11052"/>
        </ext>
      </extLst>
    </bk>
    <bk>
      <extLst>
        <ext uri="{3e2802c4-a4d2-4d8b-9148-e3be6c30e623}">
          <xlrd:rvb i="11053"/>
        </ext>
      </extLst>
    </bk>
    <bk>
      <extLst>
        <ext uri="{3e2802c4-a4d2-4d8b-9148-e3be6c30e623}">
          <xlrd:rvb i="11054"/>
        </ext>
      </extLst>
    </bk>
    <bk>
      <extLst>
        <ext uri="{3e2802c4-a4d2-4d8b-9148-e3be6c30e623}">
          <xlrd:rvb i="11055"/>
        </ext>
      </extLst>
    </bk>
    <bk>
      <extLst>
        <ext uri="{3e2802c4-a4d2-4d8b-9148-e3be6c30e623}">
          <xlrd:rvb i="11056"/>
        </ext>
      </extLst>
    </bk>
    <bk>
      <extLst>
        <ext uri="{3e2802c4-a4d2-4d8b-9148-e3be6c30e623}">
          <xlrd:rvb i="11057"/>
        </ext>
      </extLst>
    </bk>
    <bk>
      <extLst>
        <ext uri="{3e2802c4-a4d2-4d8b-9148-e3be6c30e623}">
          <xlrd:rvb i="11058"/>
        </ext>
      </extLst>
    </bk>
    <bk>
      <extLst>
        <ext uri="{3e2802c4-a4d2-4d8b-9148-e3be6c30e623}">
          <xlrd:rvb i="11059"/>
        </ext>
      </extLst>
    </bk>
    <bk>
      <extLst>
        <ext uri="{3e2802c4-a4d2-4d8b-9148-e3be6c30e623}">
          <xlrd:rvb i="11060"/>
        </ext>
      </extLst>
    </bk>
    <bk>
      <extLst>
        <ext uri="{3e2802c4-a4d2-4d8b-9148-e3be6c30e623}">
          <xlrd:rvb i="11061"/>
        </ext>
      </extLst>
    </bk>
    <bk>
      <extLst>
        <ext uri="{3e2802c4-a4d2-4d8b-9148-e3be6c30e623}">
          <xlrd:rvb i="11062"/>
        </ext>
      </extLst>
    </bk>
    <bk>
      <extLst>
        <ext uri="{3e2802c4-a4d2-4d8b-9148-e3be6c30e623}">
          <xlrd:rvb i="11063"/>
        </ext>
      </extLst>
    </bk>
    <bk>
      <extLst>
        <ext uri="{3e2802c4-a4d2-4d8b-9148-e3be6c30e623}">
          <xlrd:rvb i="11064"/>
        </ext>
      </extLst>
    </bk>
    <bk>
      <extLst>
        <ext uri="{3e2802c4-a4d2-4d8b-9148-e3be6c30e623}">
          <xlrd:rvb i="11065"/>
        </ext>
      </extLst>
    </bk>
    <bk>
      <extLst>
        <ext uri="{3e2802c4-a4d2-4d8b-9148-e3be6c30e623}">
          <xlrd:rvb i="11066"/>
        </ext>
      </extLst>
    </bk>
    <bk>
      <extLst>
        <ext uri="{3e2802c4-a4d2-4d8b-9148-e3be6c30e623}">
          <xlrd:rvb i="11067"/>
        </ext>
      </extLst>
    </bk>
    <bk>
      <extLst>
        <ext uri="{3e2802c4-a4d2-4d8b-9148-e3be6c30e623}">
          <xlrd:rvb i="11068"/>
        </ext>
      </extLst>
    </bk>
    <bk>
      <extLst>
        <ext uri="{3e2802c4-a4d2-4d8b-9148-e3be6c30e623}">
          <xlrd:rvb i="11069"/>
        </ext>
      </extLst>
    </bk>
    <bk>
      <extLst>
        <ext uri="{3e2802c4-a4d2-4d8b-9148-e3be6c30e623}">
          <xlrd:rvb i="11070"/>
        </ext>
      </extLst>
    </bk>
    <bk>
      <extLst>
        <ext uri="{3e2802c4-a4d2-4d8b-9148-e3be6c30e623}">
          <xlrd:rvb i="11071"/>
        </ext>
      </extLst>
    </bk>
    <bk>
      <extLst>
        <ext uri="{3e2802c4-a4d2-4d8b-9148-e3be6c30e623}">
          <xlrd:rvb i="11072"/>
        </ext>
      </extLst>
    </bk>
    <bk>
      <extLst>
        <ext uri="{3e2802c4-a4d2-4d8b-9148-e3be6c30e623}">
          <xlrd:rvb i="11073"/>
        </ext>
      </extLst>
    </bk>
    <bk>
      <extLst>
        <ext uri="{3e2802c4-a4d2-4d8b-9148-e3be6c30e623}">
          <xlrd:rvb i="11074"/>
        </ext>
      </extLst>
    </bk>
    <bk>
      <extLst>
        <ext uri="{3e2802c4-a4d2-4d8b-9148-e3be6c30e623}">
          <xlrd:rvb i="11075"/>
        </ext>
      </extLst>
    </bk>
    <bk>
      <extLst>
        <ext uri="{3e2802c4-a4d2-4d8b-9148-e3be6c30e623}">
          <xlrd:rvb i="11076"/>
        </ext>
      </extLst>
    </bk>
    <bk>
      <extLst>
        <ext uri="{3e2802c4-a4d2-4d8b-9148-e3be6c30e623}">
          <xlrd:rvb i="11077"/>
        </ext>
      </extLst>
    </bk>
    <bk>
      <extLst>
        <ext uri="{3e2802c4-a4d2-4d8b-9148-e3be6c30e623}">
          <xlrd:rvb i="11078"/>
        </ext>
      </extLst>
    </bk>
    <bk>
      <extLst>
        <ext uri="{3e2802c4-a4d2-4d8b-9148-e3be6c30e623}">
          <xlrd:rvb i="11079"/>
        </ext>
      </extLst>
    </bk>
    <bk>
      <extLst>
        <ext uri="{3e2802c4-a4d2-4d8b-9148-e3be6c30e623}">
          <xlrd:rvb i="11080"/>
        </ext>
      </extLst>
    </bk>
    <bk>
      <extLst>
        <ext uri="{3e2802c4-a4d2-4d8b-9148-e3be6c30e623}">
          <xlrd:rvb i="11081"/>
        </ext>
      </extLst>
    </bk>
    <bk>
      <extLst>
        <ext uri="{3e2802c4-a4d2-4d8b-9148-e3be6c30e623}">
          <xlrd:rvb i="11082"/>
        </ext>
      </extLst>
    </bk>
    <bk>
      <extLst>
        <ext uri="{3e2802c4-a4d2-4d8b-9148-e3be6c30e623}">
          <xlrd:rvb i="11083"/>
        </ext>
      </extLst>
    </bk>
    <bk>
      <extLst>
        <ext uri="{3e2802c4-a4d2-4d8b-9148-e3be6c30e623}">
          <xlrd:rvb i="11084"/>
        </ext>
      </extLst>
    </bk>
    <bk>
      <extLst>
        <ext uri="{3e2802c4-a4d2-4d8b-9148-e3be6c30e623}">
          <xlrd:rvb i="11085"/>
        </ext>
      </extLst>
    </bk>
    <bk>
      <extLst>
        <ext uri="{3e2802c4-a4d2-4d8b-9148-e3be6c30e623}">
          <xlrd:rvb i="11086"/>
        </ext>
      </extLst>
    </bk>
    <bk>
      <extLst>
        <ext uri="{3e2802c4-a4d2-4d8b-9148-e3be6c30e623}">
          <xlrd:rvb i="11087"/>
        </ext>
      </extLst>
    </bk>
    <bk>
      <extLst>
        <ext uri="{3e2802c4-a4d2-4d8b-9148-e3be6c30e623}">
          <xlrd:rvb i="11088"/>
        </ext>
      </extLst>
    </bk>
    <bk>
      <extLst>
        <ext uri="{3e2802c4-a4d2-4d8b-9148-e3be6c30e623}">
          <xlrd:rvb i="11089"/>
        </ext>
      </extLst>
    </bk>
    <bk>
      <extLst>
        <ext uri="{3e2802c4-a4d2-4d8b-9148-e3be6c30e623}">
          <xlrd:rvb i="11090"/>
        </ext>
      </extLst>
    </bk>
    <bk>
      <extLst>
        <ext uri="{3e2802c4-a4d2-4d8b-9148-e3be6c30e623}">
          <xlrd:rvb i="11091"/>
        </ext>
      </extLst>
    </bk>
    <bk>
      <extLst>
        <ext uri="{3e2802c4-a4d2-4d8b-9148-e3be6c30e623}">
          <xlrd:rvb i="11092"/>
        </ext>
      </extLst>
    </bk>
    <bk>
      <extLst>
        <ext uri="{3e2802c4-a4d2-4d8b-9148-e3be6c30e623}">
          <xlrd:rvb i="11093"/>
        </ext>
      </extLst>
    </bk>
    <bk>
      <extLst>
        <ext uri="{3e2802c4-a4d2-4d8b-9148-e3be6c30e623}">
          <xlrd:rvb i="11094"/>
        </ext>
      </extLst>
    </bk>
    <bk>
      <extLst>
        <ext uri="{3e2802c4-a4d2-4d8b-9148-e3be6c30e623}">
          <xlrd:rvb i="11095"/>
        </ext>
      </extLst>
    </bk>
    <bk>
      <extLst>
        <ext uri="{3e2802c4-a4d2-4d8b-9148-e3be6c30e623}">
          <xlrd:rvb i="11096"/>
        </ext>
      </extLst>
    </bk>
    <bk>
      <extLst>
        <ext uri="{3e2802c4-a4d2-4d8b-9148-e3be6c30e623}">
          <xlrd:rvb i="11097"/>
        </ext>
      </extLst>
    </bk>
    <bk>
      <extLst>
        <ext uri="{3e2802c4-a4d2-4d8b-9148-e3be6c30e623}">
          <xlrd:rvb i="11098"/>
        </ext>
      </extLst>
    </bk>
    <bk>
      <extLst>
        <ext uri="{3e2802c4-a4d2-4d8b-9148-e3be6c30e623}">
          <xlrd:rvb i="11099"/>
        </ext>
      </extLst>
    </bk>
    <bk>
      <extLst>
        <ext uri="{3e2802c4-a4d2-4d8b-9148-e3be6c30e623}">
          <xlrd:rvb i="11100"/>
        </ext>
      </extLst>
    </bk>
    <bk>
      <extLst>
        <ext uri="{3e2802c4-a4d2-4d8b-9148-e3be6c30e623}">
          <xlrd:rvb i="11101"/>
        </ext>
      </extLst>
    </bk>
    <bk>
      <extLst>
        <ext uri="{3e2802c4-a4d2-4d8b-9148-e3be6c30e623}">
          <xlrd:rvb i="11102"/>
        </ext>
      </extLst>
    </bk>
    <bk>
      <extLst>
        <ext uri="{3e2802c4-a4d2-4d8b-9148-e3be6c30e623}">
          <xlrd:rvb i="11103"/>
        </ext>
      </extLst>
    </bk>
    <bk>
      <extLst>
        <ext uri="{3e2802c4-a4d2-4d8b-9148-e3be6c30e623}">
          <xlrd:rvb i="11104"/>
        </ext>
      </extLst>
    </bk>
    <bk>
      <extLst>
        <ext uri="{3e2802c4-a4d2-4d8b-9148-e3be6c30e623}">
          <xlrd:rvb i="11105"/>
        </ext>
      </extLst>
    </bk>
    <bk>
      <extLst>
        <ext uri="{3e2802c4-a4d2-4d8b-9148-e3be6c30e623}">
          <xlrd:rvb i="11106"/>
        </ext>
      </extLst>
    </bk>
    <bk>
      <extLst>
        <ext uri="{3e2802c4-a4d2-4d8b-9148-e3be6c30e623}">
          <xlrd:rvb i="11107"/>
        </ext>
      </extLst>
    </bk>
    <bk>
      <extLst>
        <ext uri="{3e2802c4-a4d2-4d8b-9148-e3be6c30e623}">
          <xlrd:rvb i="11108"/>
        </ext>
      </extLst>
    </bk>
    <bk>
      <extLst>
        <ext uri="{3e2802c4-a4d2-4d8b-9148-e3be6c30e623}">
          <xlrd:rvb i="11109"/>
        </ext>
      </extLst>
    </bk>
    <bk>
      <extLst>
        <ext uri="{3e2802c4-a4d2-4d8b-9148-e3be6c30e623}">
          <xlrd:rvb i="11110"/>
        </ext>
      </extLst>
    </bk>
    <bk>
      <extLst>
        <ext uri="{3e2802c4-a4d2-4d8b-9148-e3be6c30e623}">
          <xlrd:rvb i="11111"/>
        </ext>
      </extLst>
    </bk>
    <bk>
      <extLst>
        <ext uri="{3e2802c4-a4d2-4d8b-9148-e3be6c30e623}">
          <xlrd:rvb i="11112"/>
        </ext>
      </extLst>
    </bk>
    <bk>
      <extLst>
        <ext uri="{3e2802c4-a4d2-4d8b-9148-e3be6c30e623}">
          <xlrd:rvb i="11113"/>
        </ext>
      </extLst>
    </bk>
    <bk>
      <extLst>
        <ext uri="{3e2802c4-a4d2-4d8b-9148-e3be6c30e623}">
          <xlrd:rvb i="11114"/>
        </ext>
      </extLst>
    </bk>
    <bk>
      <extLst>
        <ext uri="{3e2802c4-a4d2-4d8b-9148-e3be6c30e623}">
          <xlrd:rvb i="11115"/>
        </ext>
      </extLst>
    </bk>
    <bk>
      <extLst>
        <ext uri="{3e2802c4-a4d2-4d8b-9148-e3be6c30e623}">
          <xlrd:rvb i="11116"/>
        </ext>
      </extLst>
    </bk>
    <bk>
      <extLst>
        <ext uri="{3e2802c4-a4d2-4d8b-9148-e3be6c30e623}">
          <xlrd:rvb i="11117"/>
        </ext>
      </extLst>
    </bk>
    <bk>
      <extLst>
        <ext uri="{3e2802c4-a4d2-4d8b-9148-e3be6c30e623}">
          <xlrd:rvb i="11118"/>
        </ext>
      </extLst>
    </bk>
    <bk>
      <extLst>
        <ext uri="{3e2802c4-a4d2-4d8b-9148-e3be6c30e623}">
          <xlrd:rvb i="11119"/>
        </ext>
      </extLst>
    </bk>
    <bk>
      <extLst>
        <ext uri="{3e2802c4-a4d2-4d8b-9148-e3be6c30e623}">
          <xlrd:rvb i="11120"/>
        </ext>
      </extLst>
    </bk>
    <bk>
      <extLst>
        <ext uri="{3e2802c4-a4d2-4d8b-9148-e3be6c30e623}">
          <xlrd:rvb i="11121"/>
        </ext>
      </extLst>
    </bk>
    <bk>
      <extLst>
        <ext uri="{3e2802c4-a4d2-4d8b-9148-e3be6c30e623}">
          <xlrd:rvb i="11122"/>
        </ext>
      </extLst>
    </bk>
    <bk>
      <extLst>
        <ext uri="{3e2802c4-a4d2-4d8b-9148-e3be6c30e623}">
          <xlrd:rvb i="11123"/>
        </ext>
      </extLst>
    </bk>
    <bk>
      <extLst>
        <ext uri="{3e2802c4-a4d2-4d8b-9148-e3be6c30e623}">
          <xlrd:rvb i="11124"/>
        </ext>
      </extLst>
    </bk>
    <bk>
      <extLst>
        <ext uri="{3e2802c4-a4d2-4d8b-9148-e3be6c30e623}">
          <xlrd:rvb i="11125"/>
        </ext>
      </extLst>
    </bk>
    <bk>
      <extLst>
        <ext uri="{3e2802c4-a4d2-4d8b-9148-e3be6c30e623}">
          <xlrd:rvb i="11126"/>
        </ext>
      </extLst>
    </bk>
    <bk>
      <extLst>
        <ext uri="{3e2802c4-a4d2-4d8b-9148-e3be6c30e623}">
          <xlrd:rvb i="11127"/>
        </ext>
      </extLst>
    </bk>
    <bk>
      <extLst>
        <ext uri="{3e2802c4-a4d2-4d8b-9148-e3be6c30e623}">
          <xlrd:rvb i="11128"/>
        </ext>
      </extLst>
    </bk>
    <bk>
      <extLst>
        <ext uri="{3e2802c4-a4d2-4d8b-9148-e3be6c30e623}">
          <xlrd:rvb i="11129"/>
        </ext>
      </extLst>
    </bk>
    <bk>
      <extLst>
        <ext uri="{3e2802c4-a4d2-4d8b-9148-e3be6c30e623}">
          <xlrd:rvb i="11130"/>
        </ext>
      </extLst>
    </bk>
    <bk>
      <extLst>
        <ext uri="{3e2802c4-a4d2-4d8b-9148-e3be6c30e623}">
          <xlrd:rvb i="11131"/>
        </ext>
      </extLst>
    </bk>
    <bk>
      <extLst>
        <ext uri="{3e2802c4-a4d2-4d8b-9148-e3be6c30e623}">
          <xlrd:rvb i="11132"/>
        </ext>
      </extLst>
    </bk>
    <bk>
      <extLst>
        <ext uri="{3e2802c4-a4d2-4d8b-9148-e3be6c30e623}">
          <xlrd:rvb i="11133"/>
        </ext>
      </extLst>
    </bk>
    <bk>
      <extLst>
        <ext uri="{3e2802c4-a4d2-4d8b-9148-e3be6c30e623}">
          <xlrd:rvb i="11134"/>
        </ext>
      </extLst>
    </bk>
    <bk>
      <extLst>
        <ext uri="{3e2802c4-a4d2-4d8b-9148-e3be6c30e623}">
          <xlrd:rvb i="11135"/>
        </ext>
      </extLst>
    </bk>
    <bk>
      <extLst>
        <ext uri="{3e2802c4-a4d2-4d8b-9148-e3be6c30e623}">
          <xlrd:rvb i="11136"/>
        </ext>
      </extLst>
    </bk>
    <bk>
      <extLst>
        <ext uri="{3e2802c4-a4d2-4d8b-9148-e3be6c30e623}">
          <xlrd:rvb i="11137"/>
        </ext>
      </extLst>
    </bk>
    <bk>
      <extLst>
        <ext uri="{3e2802c4-a4d2-4d8b-9148-e3be6c30e623}">
          <xlrd:rvb i="11138"/>
        </ext>
      </extLst>
    </bk>
    <bk>
      <extLst>
        <ext uri="{3e2802c4-a4d2-4d8b-9148-e3be6c30e623}">
          <xlrd:rvb i="11139"/>
        </ext>
      </extLst>
    </bk>
    <bk>
      <extLst>
        <ext uri="{3e2802c4-a4d2-4d8b-9148-e3be6c30e623}">
          <xlrd:rvb i="11140"/>
        </ext>
      </extLst>
    </bk>
    <bk>
      <extLst>
        <ext uri="{3e2802c4-a4d2-4d8b-9148-e3be6c30e623}">
          <xlrd:rvb i="11141"/>
        </ext>
      </extLst>
    </bk>
    <bk>
      <extLst>
        <ext uri="{3e2802c4-a4d2-4d8b-9148-e3be6c30e623}">
          <xlrd:rvb i="11142"/>
        </ext>
      </extLst>
    </bk>
    <bk>
      <extLst>
        <ext uri="{3e2802c4-a4d2-4d8b-9148-e3be6c30e623}">
          <xlrd:rvb i="11143"/>
        </ext>
      </extLst>
    </bk>
    <bk>
      <extLst>
        <ext uri="{3e2802c4-a4d2-4d8b-9148-e3be6c30e623}">
          <xlrd:rvb i="11144"/>
        </ext>
      </extLst>
    </bk>
    <bk>
      <extLst>
        <ext uri="{3e2802c4-a4d2-4d8b-9148-e3be6c30e623}">
          <xlrd:rvb i="11145"/>
        </ext>
      </extLst>
    </bk>
    <bk>
      <extLst>
        <ext uri="{3e2802c4-a4d2-4d8b-9148-e3be6c30e623}">
          <xlrd:rvb i="11146"/>
        </ext>
      </extLst>
    </bk>
    <bk>
      <extLst>
        <ext uri="{3e2802c4-a4d2-4d8b-9148-e3be6c30e623}">
          <xlrd:rvb i="11147"/>
        </ext>
      </extLst>
    </bk>
    <bk>
      <extLst>
        <ext uri="{3e2802c4-a4d2-4d8b-9148-e3be6c30e623}">
          <xlrd:rvb i="11148"/>
        </ext>
      </extLst>
    </bk>
    <bk>
      <extLst>
        <ext uri="{3e2802c4-a4d2-4d8b-9148-e3be6c30e623}">
          <xlrd:rvb i="11149"/>
        </ext>
      </extLst>
    </bk>
    <bk>
      <extLst>
        <ext uri="{3e2802c4-a4d2-4d8b-9148-e3be6c30e623}">
          <xlrd:rvb i="11150"/>
        </ext>
      </extLst>
    </bk>
    <bk>
      <extLst>
        <ext uri="{3e2802c4-a4d2-4d8b-9148-e3be6c30e623}">
          <xlrd:rvb i="11151"/>
        </ext>
      </extLst>
    </bk>
    <bk>
      <extLst>
        <ext uri="{3e2802c4-a4d2-4d8b-9148-e3be6c30e623}">
          <xlrd:rvb i="11152"/>
        </ext>
      </extLst>
    </bk>
    <bk>
      <extLst>
        <ext uri="{3e2802c4-a4d2-4d8b-9148-e3be6c30e623}">
          <xlrd:rvb i="11153"/>
        </ext>
      </extLst>
    </bk>
    <bk>
      <extLst>
        <ext uri="{3e2802c4-a4d2-4d8b-9148-e3be6c30e623}">
          <xlrd:rvb i="11154"/>
        </ext>
      </extLst>
    </bk>
    <bk>
      <extLst>
        <ext uri="{3e2802c4-a4d2-4d8b-9148-e3be6c30e623}">
          <xlrd:rvb i="11155"/>
        </ext>
      </extLst>
    </bk>
    <bk>
      <extLst>
        <ext uri="{3e2802c4-a4d2-4d8b-9148-e3be6c30e623}">
          <xlrd:rvb i="11156"/>
        </ext>
      </extLst>
    </bk>
    <bk>
      <extLst>
        <ext uri="{3e2802c4-a4d2-4d8b-9148-e3be6c30e623}">
          <xlrd:rvb i="11157"/>
        </ext>
      </extLst>
    </bk>
    <bk>
      <extLst>
        <ext uri="{3e2802c4-a4d2-4d8b-9148-e3be6c30e623}">
          <xlrd:rvb i="11158"/>
        </ext>
      </extLst>
    </bk>
    <bk>
      <extLst>
        <ext uri="{3e2802c4-a4d2-4d8b-9148-e3be6c30e623}">
          <xlrd:rvb i="11159"/>
        </ext>
      </extLst>
    </bk>
    <bk>
      <extLst>
        <ext uri="{3e2802c4-a4d2-4d8b-9148-e3be6c30e623}">
          <xlrd:rvb i="11160"/>
        </ext>
      </extLst>
    </bk>
    <bk>
      <extLst>
        <ext uri="{3e2802c4-a4d2-4d8b-9148-e3be6c30e623}">
          <xlrd:rvb i="11161"/>
        </ext>
      </extLst>
    </bk>
    <bk>
      <extLst>
        <ext uri="{3e2802c4-a4d2-4d8b-9148-e3be6c30e623}">
          <xlrd:rvb i="11162"/>
        </ext>
      </extLst>
    </bk>
    <bk>
      <extLst>
        <ext uri="{3e2802c4-a4d2-4d8b-9148-e3be6c30e623}">
          <xlrd:rvb i="11163"/>
        </ext>
      </extLst>
    </bk>
    <bk>
      <extLst>
        <ext uri="{3e2802c4-a4d2-4d8b-9148-e3be6c30e623}">
          <xlrd:rvb i="11164"/>
        </ext>
      </extLst>
    </bk>
    <bk>
      <extLst>
        <ext uri="{3e2802c4-a4d2-4d8b-9148-e3be6c30e623}">
          <xlrd:rvb i="11165"/>
        </ext>
      </extLst>
    </bk>
    <bk>
      <extLst>
        <ext uri="{3e2802c4-a4d2-4d8b-9148-e3be6c30e623}">
          <xlrd:rvb i="11166"/>
        </ext>
      </extLst>
    </bk>
    <bk>
      <extLst>
        <ext uri="{3e2802c4-a4d2-4d8b-9148-e3be6c30e623}">
          <xlrd:rvb i="11167"/>
        </ext>
      </extLst>
    </bk>
    <bk>
      <extLst>
        <ext uri="{3e2802c4-a4d2-4d8b-9148-e3be6c30e623}">
          <xlrd:rvb i="11168"/>
        </ext>
      </extLst>
    </bk>
    <bk>
      <extLst>
        <ext uri="{3e2802c4-a4d2-4d8b-9148-e3be6c30e623}">
          <xlrd:rvb i="11169"/>
        </ext>
      </extLst>
    </bk>
    <bk>
      <extLst>
        <ext uri="{3e2802c4-a4d2-4d8b-9148-e3be6c30e623}">
          <xlrd:rvb i="11170"/>
        </ext>
      </extLst>
    </bk>
    <bk>
      <extLst>
        <ext uri="{3e2802c4-a4d2-4d8b-9148-e3be6c30e623}">
          <xlrd:rvb i="11171"/>
        </ext>
      </extLst>
    </bk>
    <bk>
      <extLst>
        <ext uri="{3e2802c4-a4d2-4d8b-9148-e3be6c30e623}">
          <xlrd:rvb i="11172"/>
        </ext>
      </extLst>
    </bk>
    <bk>
      <extLst>
        <ext uri="{3e2802c4-a4d2-4d8b-9148-e3be6c30e623}">
          <xlrd:rvb i="11173"/>
        </ext>
      </extLst>
    </bk>
    <bk>
      <extLst>
        <ext uri="{3e2802c4-a4d2-4d8b-9148-e3be6c30e623}">
          <xlrd:rvb i="11174"/>
        </ext>
      </extLst>
    </bk>
    <bk>
      <extLst>
        <ext uri="{3e2802c4-a4d2-4d8b-9148-e3be6c30e623}">
          <xlrd:rvb i="11175"/>
        </ext>
      </extLst>
    </bk>
    <bk>
      <extLst>
        <ext uri="{3e2802c4-a4d2-4d8b-9148-e3be6c30e623}">
          <xlrd:rvb i="11176"/>
        </ext>
      </extLst>
    </bk>
    <bk>
      <extLst>
        <ext uri="{3e2802c4-a4d2-4d8b-9148-e3be6c30e623}">
          <xlrd:rvb i="11177"/>
        </ext>
      </extLst>
    </bk>
    <bk>
      <extLst>
        <ext uri="{3e2802c4-a4d2-4d8b-9148-e3be6c30e623}">
          <xlrd:rvb i="11178"/>
        </ext>
      </extLst>
    </bk>
    <bk>
      <extLst>
        <ext uri="{3e2802c4-a4d2-4d8b-9148-e3be6c30e623}">
          <xlrd:rvb i="11179"/>
        </ext>
      </extLst>
    </bk>
    <bk>
      <extLst>
        <ext uri="{3e2802c4-a4d2-4d8b-9148-e3be6c30e623}">
          <xlrd:rvb i="11180"/>
        </ext>
      </extLst>
    </bk>
    <bk>
      <extLst>
        <ext uri="{3e2802c4-a4d2-4d8b-9148-e3be6c30e623}">
          <xlrd:rvb i="11181"/>
        </ext>
      </extLst>
    </bk>
    <bk>
      <extLst>
        <ext uri="{3e2802c4-a4d2-4d8b-9148-e3be6c30e623}">
          <xlrd:rvb i="11182"/>
        </ext>
      </extLst>
    </bk>
    <bk>
      <extLst>
        <ext uri="{3e2802c4-a4d2-4d8b-9148-e3be6c30e623}">
          <xlrd:rvb i="11183"/>
        </ext>
      </extLst>
    </bk>
    <bk>
      <extLst>
        <ext uri="{3e2802c4-a4d2-4d8b-9148-e3be6c30e623}">
          <xlrd:rvb i="11184"/>
        </ext>
      </extLst>
    </bk>
    <bk>
      <extLst>
        <ext uri="{3e2802c4-a4d2-4d8b-9148-e3be6c30e623}">
          <xlrd:rvb i="11185"/>
        </ext>
      </extLst>
    </bk>
    <bk>
      <extLst>
        <ext uri="{3e2802c4-a4d2-4d8b-9148-e3be6c30e623}">
          <xlrd:rvb i="11186"/>
        </ext>
      </extLst>
    </bk>
    <bk>
      <extLst>
        <ext uri="{3e2802c4-a4d2-4d8b-9148-e3be6c30e623}">
          <xlrd:rvb i="11187"/>
        </ext>
      </extLst>
    </bk>
    <bk>
      <extLst>
        <ext uri="{3e2802c4-a4d2-4d8b-9148-e3be6c30e623}">
          <xlrd:rvb i="11188"/>
        </ext>
      </extLst>
    </bk>
    <bk>
      <extLst>
        <ext uri="{3e2802c4-a4d2-4d8b-9148-e3be6c30e623}">
          <xlrd:rvb i="11189"/>
        </ext>
      </extLst>
    </bk>
    <bk>
      <extLst>
        <ext uri="{3e2802c4-a4d2-4d8b-9148-e3be6c30e623}">
          <xlrd:rvb i="11190"/>
        </ext>
      </extLst>
    </bk>
    <bk>
      <extLst>
        <ext uri="{3e2802c4-a4d2-4d8b-9148-e3be6c30e623}">
          <xlrd:rvb i="11191"/>
        </ext>
      </extLst>
    </bk>
    <bk>
      <extLst>
        <ext uri="{3e2802c4-a4d2-4d8b-9148-e3be6c30e623}">
          <xlrd:rvb i="11192"/>
        </ext>
      </extLst>
    </bk>
    <bk>
      <extLst>
        <ext uri="{3e2802c4-a4d2-4d8b-9148-e3be6c30e623}">
          <xlrd:rvb i="11193"/>
        </ext>
      </extLst>
    </bk>
    <bk>
      <extLst>
        <ext uri="{3e2802c4-a4d2-4d8b-9148-e3be6c30e623}">
          <xlrd:rvb i="11194"/>
        </ext>
      </extLst>
    </bk>
    <bk>
      <extLst>
        <ext uri="{3e2802c4-a4d2-4d8b-9148-e3be6c30e623}">
          <xlrd:rvb i="11195"/>
        </ext>
      </extLst>
    </bk>
    <bk>
      <extLst>
        <ext uri="{3e2802c4-a4d2-4d8b-9148-e3be6c30e623}">
          <xlrd:rvb i="11196"/>
        </ext>
      </extLst>
    </bk>
    <bk>
      <extLst>
        <ext uri="{3e2802c4-a4d2-4d8b-9148-e3be6c30e623}">
          <xlrd:rvb i="11197"/>
        </ext>
      </extLst>
    </bk>
    <bk>
      <extLst>
        <ext uri="{3e2802c4-a4d2-4d8b-9148-e3be6c30e623}">
          <xlrd:rvb i="11198"/>
        </ext>
      </extLst>
    </bk>
    <bk>
      <extLst>
        <ext uri="{3e2802c4-a4d2-4d8b-9148-e3be6c30e623}">
          <xlrd:rvb i="11199"/>
        </ext>
      </extLst>
    </bk>
    <bk>
      <extLst>
        <ext uri="{3e2802c4-a4d2-4d8b-9148-e3be6c30e623}">
          <xlrd:rvb i="11200"/>
        </ext>
      </extLst>
    </bk>
    <bk>
      <extLst>
        <ext uri="{3e2802c4-a4d2-4d8b-9148-e3be6c30e623}">
          <xlrd:rvb i="11201"/>
        </ext>
      </extLst>
    </bk>
    <bk>
      <extLst>
        <ext uri="{3e2802c4-a4d2-4d8b-9148-e3be6c30e623}">
          <xlrd:rvb i="11202"/>
        </ext>
      </extLst>
    </bk>
    <bk>
      <extLst>
        <ext uri="{3e2802c4-a4d2-4d8b-9148-e3be6c30e623}">
          <xlrd:rvb i="11203"/>
        </ext>
      </extLst>
    </bk>
    <bk>
      <extLst>
        <ext uri="{3e2802c4-a4d2-4d8b-9148-e3be6c30e623}">
          <xlrd:rvb i="11204"/>
        </ext>
      </extLst>
    </bk>
    <bk>
      <extLst>
        <ext uri="{3e2802c4-a4d2-4d8b-9148-e3be6c30e623}">
          <xlrd:rvb i="11205"/>
        </ext>
      </extLst>
    </bk>
    <bk>
      <extLst>
        <ext uri="{3e2802c4-a4d2-4d8b-9148-e3be6c30e623}">
          <xlrd:rvb i="11206"/>
        </ext>
      </extLst>
    </bk>
    <bk>
      <extLst>
        <ext uri="{3e2802c4-a4d2-4d8b-9148-e3be6c30e623}">
          <xlrd:rvb i="11207"/>
        </ext>
      </extLst>
    </bk>
    <bk>
      <extLst>
        <ext uri="{3e2802c4-a4d2-4d8b-9148-e3be6c30e623}">
          <xlrd:rvb i="11208"/>
        </ext>
      </extLst>
    </bk>
    <bk>
      <extLst>
        <ext uri="{3e2802c4-a4d2-4d8b-9148-e3be6c30e623}">
          <xlrd:rvb i="11209"/>
        </ext>
      </extLst>
    </bk>
    <bk>
      <extLst>
        <ext uri="{3e2802c4-a4d2-4d8b-9148-e3be6c30e623}">
          <xlrd:rvb i="11210"/>
        </ext>
      </extLst>
    </bk>
    <bk>
      <extLst>
        <ext uri="{3e2802c4-a4d2-4d8b-9148-e3be6c30e623}">
          <xlrd:rvb i="11211"/>
        </ext>
      </extLst>
    </bk>
    <bk>
      <extLst>
        <ext uri="{3e2802c4-a4d2-4d8b-9148-e3be6c30e623}">
          <xlrd:rvb i="11212"/>
        </ext>
      </extLst>
    </bk>
    <bk>
      <extLst>
        <ext uri="{3e2802c4-a4d2-4d8b-9148-e3be6c30e623}">
          <xlrd:rvb i="11213"/>
        </ext>
      </extLst>
    </bk>
    <bk>
      <extLst>
        <ext uri="{3e2802c4-a4d2-4d8b-9148-e3be6c30e623}">
          <xlrd:rvb i="11214"/>
        </ext>
      </extLst>
    </bk>
    <bk>
      <extLst>
        <ext uri="{3e2802c4-a4d2-4d8b-9148-e3be6c30e623}">
          <xlrd:rvb i="11215"/>
        </ext>
      </extLst>
    </bk>
    <bk>
      <extLst>
        <ext uri="{3e2802c4-a4d2-4d8b-9148-e3be6c30e623}">
          <xlrd:rvb i="11216"/>
        </ext>
      </extLst>
    </bk>
    <bk>
      <extLst>
        <ext uri="{3e2802c4-a4d2-4d8b-9148-e3be6c30e623}">
          <xlrd:rvb i="11217"/>
        </ext>
      </extLst>
    </bk>
    <bk>
      <extLst>
        <ext uri="{3e2802c4-a4d2-4d8b-9148-e3be6c30e623}">
          <xlrd:rvb i="11218"/>
        </ext>
      </extLst>
    </bk>
    <bk>
      <extLst>
        <ext uri="{3e2802c4-a4d2-4d8b-9148-e3be6c30e623}">
          <xlrd:rvb i="11219"/>
        </ext>
      </extLst>
    </bk>
    <bk>
      <extLst>
        <ext uri="{3e2802c4-a4d2-4d8b-9148-e3be6c30e623}">
          <xlrd:rvb i="11220"/>
        </ext>
      </extLst>
    </bk>
    <bk>
      <extLst>
        <ext uri="{3e2802c4-a4d2-4d8b-9148-e3be6c30e623}">
          <xlrd:rvb i="11221"/>
        </ext>
      </extLst>
    </bk>
    <bk>
      <extLst>
        <ext uri="{3e2802c4-a4d2-4d8b-9148-e3be6c30e623}">
          <xlrd:rvb i="11222"/>
        </ext>
      </extLst>
    </bk>
    <bk>
      <extLst>
        <ext uri="{3e2802c4-a4d2-4d8b-9148-e3be6c30e623}">
          <xlrd:rvb i="11223"/>
        </ext>
      </extLst>
    </bk>
    <bk>
      <extLst>
        <ext uri="{3e2802c4-a4d2-4d8b-9148-e3be6c30e623}">
          <xlrd:rvb i="11224"/>
        </ext>
      </extLst>
    </bk>
    <bk>
      <extLst>
        <ext uri="{3e2802c4-a4d2-4d8b-9148-e3be6c30e623}">
          <xlrd:rvb i="11225"/>
        </ext>
      </extLst>
    </bk>
    <bk>
      <extLst>
        <ext uri="{3e2802c4-a4d2-4d8b-9148-e3be6c30e623}">
          <xlrd:rvb i="11226"/>
        </ext>
      </extLst>
    </bk>
    <bk>
      <extLst>
        <ext uri="{3e2802c4-a4d2-4d8b-9148-e3be6c30e623}">
          <xlrd:rvb i="11227"/>
        </ext>
      </extLst>
    </bk>
    <bk>
      <extLst>
        <ext uri="{3e2802c4-a4d2-4d8b-9148-e3be6c30e623}">
          <xlrd:rvb i="11228"/>
        </ext>
      </extLst>
    </bk>
    <bk>
      <extLst>
        <ext uri="{3e2802c4-a4d2-4d8b-9148-e3be6c30e623}">
          <xlrd:rvb i="11229"/>
        </ext>
      </extLst>
    </bk>
    <bk>
      <extLst>
        <ext uri="{3e2802c4-a4d2-4d8b-9148-e3be6c30e623}">
          <xlrd:rvb i="11230"/>
        </ext>
      </extLst>
    </bk>
    <bk>
      <extLst>
        <ext uri="{3e2802c4-a4d2-4d8b-9148-e3be6c30e623}">
          <xlrd:rvb i="11231"/>
        </ext>
      </extLst>
    </bk>
    <bk>
      <extLst>
        <ext uri="{3e2802c4-a4d2-4d8b-9148-e3be6c30e623}">
          <xlrd:rvb i="11232"/>
        </ext>
      </extLst>
    </bk>
    <bk>
      <extLst>
        <ext uri="{3e2802c4-a4d2-4d8b-9148-e3be6c30e623}">
          <xlrd:rvb i="11233"/>
        </ext>
      </extLst>
    </bk>
    <bk>
      <extLst>
        <ext uri="{3e2802c4-a4d2-4d8b-9148-e3be6c30e623}">
          <xlrd:rvb i="11234"/>
        </ext>
      </extLst>
    </bk>
    <bk>
      <extLst>
        <ext uri="{3e2802c4-a4d2-4d8b-9148-e3be6c30e623}">
          <xlrd:rvb i="11235"/>
        </ext>
      </extLst>
    </bk>
    <bk>
      <extLst>
        <ext uri="{3e2802c4-a4d2-4d8b-9148-e3be6c30e623}">
          <xlrd:rvb i="11236"/>
        </ext>
      </extLst>
    </bk>
    <bk>
      <extLst>
        <ext uri="{3e2802c4-a4d2-4d8b-9148-e3be6c30e623}">
          <xlrd:rvb i="11237"/>
        </ext>
      </extLst>
    </bk>
    <bk>
      <extLst>
        <ext uri="{3e2802c4-a4d2-4d8b-9148-e3be6c30e623}">
          <xlrd:rvb i="11238"/>
        </ext>
      </extLst>
    </bk>
    <bk>
      <extLst>
        <ext uri="{3e2802c4-a4d2-4d8b-9148-e3be6c30e623}">
          <xlrd:rvb i="11239"/>
        </ext>
      </extLst>
    </bk>
    <bk>
      <extLst>
        <ext uri="{3e2802c4-a4d2-4d8b-9148-e3be6c30e623}">
          <xlrd:rvb i="11240"/>
        </ext>
      </extLst>
    </bk>
    <bk>
      <extLst>
        <ext uri="{3e2802c4-a4d2-4d8b-9148-e3be6c30e623}">
          <xlrd:rvb i="11241"/>
        </ext>
      </extLst>
    </bk>
    <bk>
      <extLst>
        <ext uri="{3e2802c4-a4d2-4d8b-9148-e3be6c30e623}">
          <xlrd:rvb i="11242"/>
        </ext>
      </extLst>
    </bk>
    <bk>
      <extLst>
        <ext uri="{3e2802c4-a4d2-4d8b-9148-e3be6c30e623}">
          <xlrd:rvb i="11243"/>
        </ext>
      </extLst>
    </bk>
    <bk>
      <extLst>
        <ext uri="{3e2802c4-a4d2-4d8b-9148-e3be6c30e623}">
          <xlrd:rvb i="11244"/>
        </ext>
      </extLst>
    </bk>
    <bk>
      <extLst>
        <ext uri="{3e2802c4-a4d2-4d8b-9148-e3be6c30e623}">
          <xlrd:rvb i="11245"/>
        </ext>
      </extLst>
    </bk>
    <bk>
      <extLst>
        <ext uri="{3e2802c4-a4d2-4d8b-9148-e3be6c30e623}">
          <xlrd:rvb i="11246"/>
        </ext>
      </extLst>
    </bk>
    <bk>
      <extLst>
        <ext uri="{3e2802c4-a4d2-4d8b-9148-e3be6c30e623}">
          <xlrd:rvb i="11247"/>
        </ext>
      </extLst>
    </bk>
    <bk>
      <extLst>
        <ext uri="{3e2802c4-a4d2-4d8b-9148-e3be6c30e623}">
          <xlrd:rvb i="11248"/>
        </ext>
      </extLst>
    </bk>
    <bk>
      <extLst>
        <ext uri="{3e2802c4-a4d2-4d8b-9148-e3be6c30e623}">
          <xlrd:rvb i="11249"/>
        </ext>
      </extLst>
    </bk>
    <bk>
      <extLst>
        <ext uri="{3e2802c4-a4d2-4d8b-9148-e3be6c30e623}">
          <xlrd:rvb i="11250"/>
        </ext>
      </extLst>
    </bk>
    <bk>
      <extLst>
        <ext uri="{3e2802c4-a4d2-4d8b-9148-e3be6c30e623}">
          <xlrd:rvb i="11251"/>
        </ext>
      </extLst>
    </bk>
    <bk>
      <extLst>
        <ext uri="{3e2802c4-a4d2-4d8b-9148-e3be6c30e623}">
          <xlrd:rvb i="11252"/>
        </ext>
      </extLst>
    </bk>
    <bk>
      <extLst>
        <ext uri="{3e2802c4-a4d2-4d8b-9148-e3be6c30e623}">
          <xlrd:rvb i="11253"/>
        </ext>
      </extLst>
    </bk>
    <bk>
      <extLst>
        <ext uri="{3e2802c4-a4d2-4d8b-9148-e3be6c30e623}">
          <xlrd:rvb i="11254"/>
        </ext>
      </extLst>
    </bk>
    <bk>
      <extLst>
        <ext uri="{3e2802c4-a4d2-4d8b-9148-e3be6c30e623}">
          <xlrd:rvb i="11255"/>
        </ext>
      </extLst>
    </bk>
    <bk>
      <extLst>
        <ext uri="{3e2802c4-a4d2-4d8b-9148-e3be6c30e623}">
          <xlrd:rvb i="11256"/>
        </ext>
      </extLst>
    </bk>
    <bk>
      <extLst>
        <ext uri="{3e2802c4-a4d2-4d8b-9148-e3be6c30e623}">
          <xlrd:rvb i="11257"/>
        </ext>
      </extLst>
    </bk>
    <bk>
      <extLst>
        <ext uri="{3e2802c4-a4d2-4d8b-9148-e3be6c30e623}">
          <xlrd:rvb i="11258"/>
        </ext>
      </extLst>
    </bk>
    <bk>
      <extLst>
        <ext uri="{3e2802c4-a4d2-4d8b-9148-e3be6c30e623}">
          <xlrd:rvb i="11259"/>
        </ext>
      </extLst>
    </bk>
    <bk>
      <extLst>
        <ext uri="{3e2802c4-a4d2-4d8b-9148-e3be6c30e623}">
          <xlrd:rvb i="11260"/>
        </ext>
      </extLst>
    </bk>
    <bk>
      <extLst>
        <ext uri="{3e2802c4-a4d2-4d8b-9148-e3be6c30e623}">
          <xlrd:rvb i="11261"/>
        </ext>
      </extLst>
    </bk>
    <bk>
      <extLst>
        <ext uri="{3e2802c4-a4d2-4d8b-9148-e3be6c30e623}">
          <xlrd:rvb i="11262"/>
        </ext>
      </extLst>
    </bk>
    <bk>
      <extLst>
        <ext uri="{3e2802c4-a4d2-4d8b-9148-e3be6c30e623}">
          <xlrd:rvb i="11263"/>
        </ext>
      </extLst>
    </bk>
    <bk>
      <extLst>
        <ext uri="{3e2802c4-a4d2-4d8b-9148-e3be6c30e623}">
          <xlrd:rvb i="11264"/>
        </ext>
      </extLst>
    </bk>
    <bk>
      <extLst>
        <ext uri="{3e2802c4-a4d2-4d8b-9148-e3be6c30e623}">
          <xlrd:rvb i="11265"/>
        </ext>
      </extLst>
    </bk>
    <bk>
      <extLst>
        <ext uri="{3e2802c4-a4d2-4d8b-9148-e3be6c30e623}">
          <xlrd:rvb i="11266"/>
        </ext>
      </extLst>
    </bk>
    <bk>
      <extLst>
        <ext uri="{3e2802c4-a4d2-4d8b-9148-e3be6c30e623}">
          <xlrd:rvb i="11267"/>
        </ext>
      </extLst>
    </bk>
    <bk>
      <extLst>
        <ext uri="{3e2802c4-a4d2-4d8b-9148-e3be6c30e623}">
          <xlrd:rvb i="11268"/>
        </ext>
      </extLst>
    </bk>
    <bk>
      <extLst>
        <ext uri="{3e2802c4-a4d2-4d8b-9148-e3be6c30e623}">
          <xlrd:rvb i="11269"/>
        </ext>
      </extLst>
    </bk>
    <bk>
      <extLst>
        <ext uri="{3e2802c4-a4d2-4d8b-9148-e3be6c30e623}">
          <xlrd:rvb i="11270"/>
        </ext>
      </extLst>
    </bk>
    <bk>
      <extLst>
        <ext uri="{3e2802c4-a4d2-4d8b-9148-e3be6c30e623}">
          <xlrd:rvb i="11271"/>
        </ext>
      </extLst>
    </bk>
    <bk>
      <extLst>
        <ext uri="{3e2802c4-a4d2-4d8b-9148-e3be6c30e623}">
          <xlrd:rvb i="11272"/>
        </ext>
      </extLst>
    </bk>
    <bk>
      <extLst>
        <ext uri="{3e2802c4-a4d2-4d8b-9148-e3be6c30e623}">
          <xlrd:rvb i="11273"/>
        </ext>
      </extLst>
    </bk>
    <bk>
      <extLst>
        <ext uri="{3e2802c4-a4d2-4d8b-9148-e3be6c30e623}">
          <xlrd:rvb i="11274"/>
        </ext>
      </extLst>
    </bk>
    <bk>
      <extLst>
        <ext uri="{3e2802c4-a4d2-4d8b-9148-e3be6c30e623}">
          <xlrd:rvb i="11275"/>
        </ext>
      </extLst>
    </bk>
    <bk>
      <extLst>
        <ext uri="{3e2802c4-a4d2-4d8b-9148-e3be6c30e623}">
          <xlrd:rvb i="11276"/>
        </ext>
      </extLst>
    </bk>
    <bk>
      <extLst>
        <ext uri="{3e2802c4-a4d2-4d8b-9148-e3be6c30e623}">
          <xlrd:rvb i="11277"/>
        </ext>
      </extLst>
    </bk>
    <bk>
      <extLst>
        <ext uri="{3e2802c4-a4d2-4d8b-9148-e3be6c30e623}">
          <xlrd:rvb i="11278"/>
        </ext>
      </extLst>
    </bk>
    <bk>
      <extLst>
        <ext uri="{3e2802c4-a4d2-4d8b-9148-e3be6c30e623}">
          <xlrd:rvb i="11279"/>
        </ext>
      </extLst>
    </bk>
    <bk>
      <extLst>
        <ext uri="{3e2802c4-a4d2-4d8b-9148-e3be6c30e623}">
          <xlrd:rvb i="11280"/>
        </ext>
      </extLst>
    </bk>
    <bk>
      <extLst>
        <ext uri="{3e2802c4-a4d2-4d8b-9148-e3be6c30e623}">
          <xlrd:rvb i="11281"/>
        </ext>
      </extLst>
    </bk>
    <bk>
      <extLst>
        <ext uri="{3e2802c4-a4d2-4d8b-9148-e3be6c30e623}">
          <xlrd:rvb i="11282"/>
        </ext>
      </extLst>
    </bk>
    <bk>
      <extLst>
        <ext uri="{3e2802c4-a4d2-4d8b-9148-e3be6c30e623}">
          <xlrd:rvb i="11283"/>
        </ext>
      </extLst>
    </bk>
    <bk>
      <extLst>
        <ext uri="{3e2802c4-a4d2-4d8b-9148-e3be6c30e623}">
          <xlrd:rvb i="11284"/>
        </ext>
      </extLst>
    </bk>
    <bk>
      <extLst>
        <ext uri="{3e2802c4-a4d2-4d8b-9148-e3be6c30e623}">
          <xlrd:rvb i="11285"/>
        </ext>
      </extLst>
    </bk>
    <bk>
      <extLst>
        <ext uri="{3e2802c4-a4d2-4d8b-9148-e3be6c30e623}">
          <xlrd:rvb i="11286"/>
        </ext>
      </extLst>
    </bk>
    <bk>
      <extLst>
        <ext uri="{3e2802c4-a4d2-4d8b-9148-e3be6c30e623}">
          <xlrd:rvb i="11287"/>
        </ext>
      </extLst>
    </bk>
    <bk>
      <extLst>
        <ext uri="{3e2802c4-a4d2-4d8b-9148-e3be6c30e623}">
          <xlrd:rvb i="11288"/>
        </ext>
      </extLst>
    </bk>
    <bk>
      <extLst>
        <ext uri="{3e2802c4-a4d2-4d8b-9148-e3be6c30e623}">
          <xlrd:rvb i="11289"/>
        </ext>
      </extLst>
    </bk>
    <bk>
      <extLst>
        <ext uri="{3e2802c4-a4d2-4d8b-9148-e3be6c30e623}">
          <xlrd:rvb i="11290"/>
        </ext>
      </extLst>
    </bk>
    <bk>
      <extLst>
        <ext uri="{3e2802c4-a4d2-4d8b-9148-e3be6c30e623}">
          <xlrd:rvb i="11291"/>
        </ext>
      </extLst>
    </bk>
    <bk>
      <extLst>
        <ext uri="{3e2802c4-a4d2-4d8b-9148-e3be6c30e623}">
          <xlrd:rvb i="11292"/>
        </ext>
      </extLst>
    </bk>
    <bk>
      <extLst>
        <ext uri="{3e2802c4-a4d2-4d8b-9148-e3be6c30e623}">
          <xlrd:rvb i="11293"/>
        </ext>
      </extLst>
    </bk>
    <bk>
      <extLst>
        <ext uri="{3e2802c4-a4d2-4d8b-9148-e3be6c30e623}">
          <xlrd:rvb i="11294"/>
        </ext>
      </extLst>
    </bk>
    <bk>
      <extLst>
        <ext uri="{3e2802c4-a4d2-4d8b-9148-e3be6c30e623}">
          <xlrd:rvb i="11295"/>
        </ext>
      </extLst>
    </bk>
    <bk>
      <extLst>
        <ext uri="{3e2802c4-a4d2-4d8b-9148-e3be6c30e623}">
          <xlrd:rvb i="11296"/>
        </ext>
      </extLst>
    </bk>
    <bk>
      <extLst>
        <ext uri="{3e2802c4-a4d2-4d8b-9148-e3be6c30e623}">
          <xlrd:rvb i="11297"/>
        </ext>
      </extLst>
    </bk>
    <bk>
      <extLst>
        <ext uri="{3e2802c4-a4d2-4d8b-9148-e3be6c30e623}">
          <xlrd:rvb i="11298"/>
        </ext>
      </extLst>
    </bk>
    <bk>
      <extLst>
        <ext uri="{3e2802c4-a4d2-4d8b-9148-e3be6c30e623}">
          <xlrd:rvb i="11299"/>
        </ext>
      </extLst>
    </bk>
    <bk>
      <extLst>
        <ext uri="{3e2802c4-a4d2-4d8b-9148-e3be6c30e623}">
          <xlrd:rvb i="11300"/>
        </ext>
      </extLst>
    </bk>
    <bk>
      <extLst>
        <ext uri="{3e2802c4-a4d2-4d8b-9148-e3be6c30e623}">
          <xlrd:rvb i="11301"/>
        </ext>
      </extLst>
    </bk>
    <bk>
      <extLst>
        <ext uri="{3e2802c4-a4d2-4d8b-9148-e3be6c30e623}">
          <xlrd:rvb i="11302"/>
        </ext>
      </extLst>
    </bk>
    <bk>
      <extLst>
        <ext uri="{3e2802c4-a4d2-4d8b-9148-e3be6c30e623}">
          <xlrd:rvb i="11303"/>
        </ext>
      </extLst>
    </bk>
    <bk>
      <extLst>
        <ext uri="{3e2802c4-a4d2-4d8b-9148-e3be6c30e623}">
          <xlrd:rvb i="11304"/>
        </ext>
      </extLst>
    </bk>
    <bk>
      <extLst>
        <ext uri="{3e2802c4-a4d2-4d8b-9148-e3be6c30e623}">
          <xlrd:rvb i="11305"/>
        </ext>
      </extLst>
    </bk>
    <bk>
      <extLst>
        <ext uri="{3e2802c4-a4d2-4d8b-9148-e3be6c30e623}">
          <xlrd:rvb i="11306"/>
        </ext>
      </extLst>
    </bk>
    <bk>
      <extLst>
        <ext uri="{3e2802c4-a4d2-4d8b-9148-e3be6c30e623}">
          <xlrd:rvb i="11307"/>
        </ext>
      </extLst>
    </bk>
    <bk>
      <extLst>
        <ext uri="{3e2802c4-a4d2-4d8b-9148-e3be6c30e623}">
          <xlrd:rvb i="11308"/>
        </ext>
      </extLst>
    </bk>
    <bk>
      <extLst>
        <ext uri="{3e2802c4-a4d2-4d8b-9148-e3be6c30e623}">
          <xlrd:rvb i="11309"/>
        </ext>
      </extLst>
    </bk>
    <bk>
      <extLst>
        <ext uri="{3e2802c4-a4d2-4d8b-9148-e3be6c30e623}">
          <xlrd:rvb i="11310"/>
        </ext>
      </extLst>
    </bk>
    <bk>
      <extLst>
        <ext uri="{3e2802c4-a4d2-4d8b-9148-e3be6c30e623}">
          <xlrd:rvb i="11311"/>
        </ext>
      </extLst>
    </bk>
    <bk>
      <extLst>
        <ext uri="{3e2802c4-a4d2-4d8b-9148-e3be6c30e623}">
          <xlrd:rvb i="11312"/>
        </ext>
      </extLst>
    </bk>
    <bk>
      <extLst>
        <ext uri="{3e2802c4-a4d2-4d8b-9148-e3be6c30e623}">
          <xlrd:rvb i="11313"/>
        </ext>
      </extLst>
    </bk>
    <bk>
      <extLst>
        <ext uri="{3e2802c4-a4d2-4d8b-9148-e3be6c30e623}">
          <xlrd:rvb i="11314"/>
        </ext>
      </extLst>
    </bk>
    <bk>
      <extLst>
        <ext uri="{3e2802c4-a4d2-4d8b-9148-e3be6c30e623}">
          <xlrd:rvb i="11315"/>
        </ext>
      </extLst>
    </bk>
    <bk>
      <extLst>
        <ext uri="{3e2802c4-a4d2-4d8b-9148-e3be6c30e623}">
          <xlrd:rvb i="11316"/>
        </ext>
      </extLst>
    </bk>
    <bk>
      <extLst>
        <ext uri="{3e2802c4-a4d2-4d8b-9148-e3be6c30e623}">
          <xlrd:rvb i="11317"/>
        </ext>
      </extLst>
    </bk>
    <bk>
      <extLst>
        <ext uri="{3e2802c4-a4d2-4d8b-9148-e3be6c30e623}">
          <xlrd:rvb i="11318"/>
        </ext>
      </extLst>
    </bk>
    <bk>
      <extLst>
        <ext uri="{3e2802c4-a4d2-4d8b-9148-e3be6c30e623}">
          <xlrd:rvb i="11319"/>
        </ext>
      </extLst>
    </bk>
    <bk>
      <extLst>
        <ext uri="{3e2802c4-a4d2-4d8b-9148-e3be6c30e623}">
          <xlrd:rvb i="11320"/>
        </ext>
      </extLst>
    </bk>
    <bk>
      <extLst>
        <ext uri="{3e2802c4-a4d2-4d8b-9148-e3be6c30e623}">
          <xlrd:rvb i="11321"/>
        </ext>
      </extLst>
    </bk>
    <bk>
      <extLst>
        <ext uri="{3e2802c4-a4d2-4d8b-9148-e3be6c30e623}">
          <xlrd:rvb i="11322"/>
        </ext>
      </extLst>
    </bk>
    <bk>
      <extLst>
        <ext uri="{3e2802c4-a4d2-4d8b-9148-e3be6c30e623}">
          <xlrd:rvb i="11323"/>
        </ext>
      </extLst>
    </bk>
    <bk>
      <extLst>
        <ext uri="{3e2802c4-a4d2-4d8b-9148-e3be6c30e623}">
          <xlrd:rvb i="11324"/>
        </ext>
      </extLst>
    </bk>
    <bk>
      <extLst>
        <ext uri="{3e2802c4-a4d2-4d8b-9148-e3be6c30e623}">
          <xlrd:rvb i="11325"/>
        </ext>
      </extLst>
    </bk>
    <bk>
      <extLst>
        <ext uri="{3e2802c4-a4d2-4d8b-9148-e3be6c30e623}">
          <xlrd:rvb i="11326"/>
        </ext>
      </extLst>
    </bk>
    <bk>
      <extLst>
        <ext uri="{3e2802c4-a4d2-4d8b-9148-e3be6c30e623}">
          <xlrd:rvb i="11327"/>
        </ext>
      </extLst>
    </bk>
    <bk>
      <extLst>
        <ext uri="{3e2802c4-a4d2-4d8b-9148-e3be6c30e623}">
          <xlrd:rvb i="11328"/>
        </ext>
      </extLst>
    </bk>
    <bk>
      <extLst>
        <ext uri="{3e2802c4-a4d2-4d8b-9148-e3be6c30e623}">
          <xlrd:rvb i="11329"/>
        </ext>
      </extLst>
    </bk>
    <bk>
      <extLst>
        <ext uri="{3e2802c4-a4d2-4d8b-9148-e3be6c30e623}">
          <xlrd:rvb i="11330"/>
        </ext>
      </extLst>
    </bk>
    <bk>
      <extLst>
        <ext uri="{3e2802c4-a4d2-4d8b-9148-e3be6c30e623}">
          <xlrd:rvb i="11331"/>
        </ext>
      </extLst>
    </bk>
    <bk>
      <extLst>
        <ext uri="{3e2802c4-a4d2-4d8b-9148-e3be6c30e623}">
          <xlrd:rvb i="11332"/>
        </ext>
      </extLst>
    </bk>
    <bk>
      <extLst>
        <ext uri="{3e2802c4-a4d2-4d8b-9148-e3be6c30e623}">
          <xlrd:rvb i="11333"/>
        </ext>
      </extLst>
    </bk>
    <bk>
      <extLst>
        <ext uri="{3e2802c4-a4d2-4d8b-9148-e3be6c30e623}">
          <xlrd:rvb i="11334"/>
        </ext>
      </extLst>
    </bk>
    <bk>
      <extLst>
        <ext uri="{3e2802c4-a4d2-4d8b-9148-e3be6c30e623}">
          <xlrd:rvb i="11335"/>
        </ext>
      </extLst>
    </bk>
    <bk>
      <extLst>
        <ext uri="{3e2802c4-a4d2-4d8b-9148-e3be6c30e623}">
          <xlrd:rvb i="11336"/>
        </ext>
      </extLst>
    </bk>
    <bk>
      <extLst>
        <ext uri="{3e2802c4-a4d2-4d8b-9148-e3be6c30e623}">
          <xlrd:rvb i="11337"/>
        </ext>
      </extLst>
    </bk>
    <bk>
      <extLst>
        <ext uri="{3e2802c4-a4d2-4d8b-9148-e3be6c30e623}">
          <xlrd:rvb i="11338"/>
        </ext>
      </extLst>
    </bk>
    <bk>
      <extLst>
        <ext uri="{3e2802c4-a4d2-4d8b-9148-e3be6c30e623}">
          <xlrd:rvb i="11339"/>
        </ext>
      </extLst>
    </bk>
    <bk>
      <extLst>
        <ext uri="{3e2802c4-a4d2-4d8b-9148-e3be6c30e623}">
          <xlrd:rvb i="11340"/>
        </ext>
      </extLst>
    </bk>
    <bk>
      <extLst>
        <ext uri="{3e2802c4-a4d2-4d8b-9148-e3be6c30e623}">
          <xlrd:rvb i="11341"/>
        </ext>
      </extLst>
    </bk>
    <bk>
      <extLst>
        <ext uri="{3e2802c4-a4d2-4d8b-9148-e3be6c30e623}">
          <xlrd:rvb i="11342"/>
        </ext>
      </extLst>
    </bk>
    <bk>
      <extLst>
        <ext uri="{3e2802c4-a4d2-4d8b-9148-e3be6c30e623}">
          <xlrd:rvb i="11343"/>
        </ext>
      </extLst>
    </bk>
    <bk>
      <extLst>
        <ext uri="{3e2802c4-a4d2-4d8b-9148-e3be6c30e623}">
          <xlrd:rvb i="11344"/>
        </ext>
      </extLst>
    </bk>
    <bk>
      <extLst>
        <ext uri="{3e2802c4-a4d2-4d8b-9148-e3be6c30e623}">
          <xlrd:rvb i="11345"/>
        </ext>
      </extLst>
    </bk>
    <bk>
      <extLst>
        <ext uri="{3e2802c4-a4d2-4d8b-9148-e3be6c30e623}">
          <xlrd:rvb i="11346"/>
        </ext>
      </extLst>
    </bk>
    <bk>
      <extLst>
        <ext uri="{3e2802c4-a4d2-4d8b-9148-e3be6c30e623}">
          <xlrd:rvb i="11347"/>
        </ext>
      </extLst>
    </bk>
    <bk>
      <extLst>
        <ext uri="{3e2802c4-a4d2-4d8b-9148-e3be6c30e623}">
          <xlrd:rvb i="11348"/>
        </ext>
      </extLst>
    </bk>
    <bk>
      <extLst>
        <ext uri="{3e2802c4-a4d2-4d8b-9148-e3be6c30e623}">
          <xlrd:rvb i="11349"/>
        </ext>
      </extLst>
    </bk>
    <bk>
      <extLst>
        <ext uri="{3e2802c4-a4d2-4d8b-9148-e3be6c30e623}">
          <xlrd:rvb i="11350"/>
        </ext>
      </extLst>
    </bk>
    <bk>
      <extLst>
        <ext uri="{3e2802c4-a4d2-4d8b-9148-e3be6c30e623}">
          <xlrd:rvb i="11351"/>
        </ext>
      </extLst>
    </bk>
    <bk>
      <extLst>
        <ext uri="{3e2802c4-a4d2-4d8b-9148-e3be6c30e623}">
          <xlrd:rvb i="11352"/>
        </ext>
      </extLst>
    </bk>
    <bk>
      <extLst>
        <ext uri="{3e2802c4-a4d2-4d8b-9148-e3be6c30e623}">
          <xlrd:rvb i="11353"/>
        </ext>
      </extLst>
    </bk>
    <bk>
      <extLst>
        <ext uri="{3e2802c4-a4d2-4d8b-9148-e3be6c30e623}">
          <xlrd:rvb i="11354"/>
        </ext>
      </extLst>
    </bk>
    <bk>
      <extLst>
        <ext uri="{3e2802c4-a4d2-4d8b-9148-e3be6c30e623}">
          <xlrd:rvb i="11355"/>
        </ext>
      </extLst>
    </bk>
    <bk>
      <extLst>
        <ext uri="{3e2802c4-a4d2-4d8b-9148-e3be6c30e623}">
          <xlrd:rvb i="11356"/>
        </ext>
      </extLst>
    </bk>
    <bk>
      <extLst>
        <ext uri="{3e2802c4-a4d2-4d8b-9148-e3be6c30e623}">
          <xlrd:rvb i="11357"/>
        </ext>
      </extLst>
    </bk>
    <bk>
      <extLst>
        <ext uri="{3e2802c4-a4d2-4d8b-9148-e3be6c30e623}">
          <xlrd:rvb i="11358"/>
        </ext>
      </extLst>
    </bk>
    <bk>
      <extLst>
        <ext uri="{3e2802c4-a4d2-4d8b-9148-e3be6c30e623}">
          <xlrd:rvb i="11359"/>
        </ext>
      </extLst>
    </bk>
    <bk>
      <extLst>
        <ext uri="{3e2802c4-a4d2-4d8b-9148-e3be6c30e623}">
          <xlrd:rvb i="11360"/>
        </ext>
      </extLst>
    </bk>
    <bk>
      <extLst>
        <ext uri="{3e2802c4-a4d2-4d8b-9148-e3be6c30e623}">
          <xlrd:rvb i="11361"/>
        </ext>
      </extLst>
    </bk>
    <bk>
      <extLst>
        <ext uri="{3e2802c4-a4d2-4d8b-9148-e3be6c30e623}">
          <xlrd:rvb i="11362"/>
        </ext>
      </extLst>
    </bk>
    <bk>
      <extLst>
        <ext uri="{3e2802c4-a4d2-4d8b-9148-e3be6c30e623}">
          <xlrd:rvb i="11363"/>
        </ext>
      </extLst>
    </bk>
    <bk>
      <extLst>
        <ext uri="{3e2802c4-a4d2-4d8b-9148-e3be6c30e623}">
          <xlrd:rvb i="11364"/>
        </ext>
      </extLst>
    </bk>
    <bk>
      <extLst>
        <ext uri="{3e2802c4-a4d2-4d8b-9148-e3be6c30e623}">
          <xlrd:rvb i="11365"/>
        </ext>
      </extLst>
    </bk>
    <bk>
      <extLst>
        <ext uri="{3e2802c4-a4d2-4d8b-9148-e3be6c30e623}">
          <xlrd:rvb i="11366"/>
        </ext>
      </extLst>
    </bk>
    <bk>
      <extLst>
        <ext uri="{3e2802c4-a4d2-4d8b-9148-e3be6c30e623}">
          <xlrd:rvb i="11367"/>
        </ext>
      </extLst>
    </bk>
    <bk>
      <extLst>
        <ext uri="{3e2802c4-a4d2-4d8b-9148-e3be6c30e623}">
          <xlrd:rvb i="11368"/>
        </ext>
      </extLst>
    </bk>
    <bk>
      <extLst>
        <ext uri="{3e2802c4-a4d2-4d8b-9148-e3be6c30e623}">
          <xlrd:rvb i="11369"/>
        </ext>
      </extLst>
    </bk>
    <bk>
      <extLst>
        <ext uri="{3e2802c4-a4d2-4d8b-9148-e3be6c30e623}">
          <xlrd:rvb i="11370"/>
        </ext>
      </extLst>
    </bk>
    <bk>
      <extLst>
        <ext uri="{3e2802c4-a4d2-4d8b-9148-e3be6c30e623}">
          <xlrd:rvb i="11371"/>
        </ext>
      </extLst>
    </bk>
    <bk>
      <extLst>
        <ext uri="{3e2802c4-a4d2-4d8b-9148-e3be6c30e623}">
          <xlrd:rvb i="11372"/>
        </ext>
      </extLst>
    </bk>
    <bk>
      <extLst>
        <ext uri="{3e2802c4-a4d2-4d8b-9148-e3be6c30e623}">
          <xlrd:rvb i="11373"/>
        </ext>
      </extLst>
    </bk>
    <bk>
      <extLst>
        <ext uri="{3e2802c4-a4d2-4d8b-9148-e3be6c30e623}">
          <xlrd:rvb i="11374"/>
        </ext>
      </extLst>
    </bk>
    <bk>
      <extLst>
        <ext uri="{3e2802c4-a4d2-4d8b-9148-e3be6c30e623}">
          <xlrd:rvb i="11375"/>
        </ext>
      </extLst>
    </bk>
    <bk>
      <extLst>
        <ext uri="{3e2802c4-a4d2-4d8b-9148-e3be6c30e623}">
          <xlrd:rvb i="11376"/>
        </ext>
      </extLst>
    </bk>
    <bk>
      <extLst>
        <ext uri="{3e2802c4-a4d2-4d8b-9148-e3be6c30e623}">
          <xlrd:rvb i="11377"/>
        </ext>
      </extLst>
    </bk>
    <bk>
      <extLst>
        <ext uri="{3e2802c4-a4d2-4d8b-9148-e3be6c30e623}">
          <xlrd:rvb i="11378"/>
        </ext>
      </extLst>
    </bk>
    <bk>
      <extLst>
        <ext uri="{3e2802c4-a4d2-4d8b-9148-e3be6c30e623}">
          <xlrd:rvb i="11379"/>
        </ext>
      </extLst>
    </bk>
    <bk>
      <extLst>
        <ext uri="{3e2802c4-a4d2-4d8b-9148-e3be6c30e623}">
          <xlrd:rvb i="11380"/>
        </ext>
      </extLst>
    </bk>
    <bk>
      <extLst>
        <ext uri="{3e2802c4-a4d2-4d8b-9148-e3be6c30e623}">
          <xlrd:rvb i="11381"/>
        </ext>
      </extLst>
    </bk>
    <bk>
      <extLst>
        <ext uri="{3e2802c4-a4d2-4d8b-9148-e3be6c30e623}">
          <xlrd:rvb i="11382"/>
        </ext>
      </extLst>
    </bk>
    <bk>
      <extLst>
        <ext uri="{3e2802c4-a4d2-4d8b-9148-e3be6c30e623}">
          <xlrd:rvb i="11383"/>
        </ext>
      </extLst>
    </bk>
    <bk>
      <extLst>
        <ext uri="{3e2802c4-a4d2-4d8b-9148-e3be6c30e623}">
          <xlrd:rvb i="11384"/>
        </ext>
      </extLst>
    </bk>
    <bk>
      <extLst>
        <ext uri="{3e2802c4-a4d2-4d8b-9148-e3be6c30e623}">
          <xlrd:rvb i="11385"/>
        </ext>
      </extLst>
    </bk>
    <bk>
      <extLst>
        <ext uri="{3e2802c4-a4d2-4d8b-9148-e3be6c30e623}">
          <xlrd:rvb i="11386"/>
        </ext>
      </extLst>
    </bk>
    <bk>
      <extLst>
        <ext uri="{3e2802c4-a4d2-4d8b-9148-e3be6c30e623}">
          <xlrd:rvb i="11387"/>
        </ext>
      </extLst>
    </bk>
    <bk>
      <extLst>
        <ext uri="{3e2802c4-a4d2-4d8b-9148-e3be6c30e623}">
          <xlrd:rvb i="11388"/>
        </ext>
      </extLst>
    </bk>
    <bk>
      <extLst>
        <ext uri="{3e2802c4-a4d2-4d8b-9148-e3be6c30e623}">
          <xlrd:rvb i="11389"/>
        </ext>
      </extLst>
    </bk>
    <bk>
      <extLst>
        <ext uri="{3e2802c4-a4d2-4d8b-9148-e3be6c30e623}">
          <xlrd:rvb i="11390"/>
        </ext>
      </extLst>
    </bk>
    <bk>
      <extLst>
        <ext uri="{3e2802c4-a4d2-4d8b-9148-e3be6c30e623}">
          <xlrd:rvb i="11391"/>
        </ext>
      </extLst>
    </bk>
    <bk>
      <extLst>
        <ext uri="{3e2802c4-a4d2-4d8b-9148-e3be6c30e623}">
          <xlrd:rvb i="11392"/>
        </ext>
      </extLst>
    </bk>
    <bk>
      <extLst>
        <ext uri="{3e2802c4-a4d2-4d8b-9148-e3be6c30e623}">
          <xlrd:rvb i="11393"/>
        </ext>
      </extLst>
    </bk>
    <bk>
      <extLst>
        <ext uri="{3e2802c4-a4d2-4d8b-9148-e3be6c30e623}">
          <xlrd:rvb i="11394"/>
        </ext>
      </extLst>
    </bk>
    <bk>
      <extLst>
        <ext uri="{3e2802c4-a4d2-4d8b-9148-e3be6c30e623}">
          <xlrd:rvb i="11395"/>
        </ext>
      </extLst>
    </bk>
    <bk>
      <extLst>
        <ext uri="{3e2802c4-a4d2-4d8b-9148-e3be6c30e623}">
          <xlrd:rvb i="11396"/>
        </ext>
      </extLst>
    </bk>
    <bk>
      <extLst>
        <ext uri="{3e2802c4-a4d2-4d8b-9148-e3be6c30e623}">
          <xlrd:rvb i="11397"/>
        </ext>
      </extLst>
    </bk>
    <bk>
      <extLst>
        <ext uri="{3e2802c4-a4d2-4d8b-9148-e3be6c30e623}">
          <xlrd:rvb i="11398"/>
        </ext>
      </extLst>
    </bk>
    <bk>
      <extLst>
        <ext uri="{3e2802c4-a4d2-4d8b-9148-e3be6c30e623}">
          <xlrd:rvb i="11399"/>
        </ext>
      </extLst>
    </bk>
    <bk>
      <extLst>
        <ext uri="{3e2802c4-a4d2-4d8b-9148-e3be6c30e623}">
          <xlrd:rvb i="11400"/>
        </ext>
      </extLst>
    </bk>
    <bk>
      <extLst>
        <ext uri="{3e2802c4-a4d2-4d8b-9148-e3be6c30e623}">
          <xlrd:rvb i="11401"/>
        </ext>
      </extLst>
    </bk>
    <bk>
      <extLst>
        <ext uri="{3e2802c4-a4d2-4d8b-9148-e3be6c30e623}">
          <xlrd:rvb i="11402"/>
        </ext>
      </extLst>
    </bk>
    <bk>
      <extLst>
        <ext uri="{3e2802c4-a4d2-4d8b-9148-e3be6c30e623}">
          <xlrd:rvb i="11403"/>
        </ext>
      </extLst>
    </bk>
    <bk>
      <extLst>
        <ext uri="{3e2802c4-a4d2-4d8b-9148-e3be6c30e623}">
          <xlrd:rvb i="11404"/>
        </ext>
      </extLst>
    </bk>
    <bk>
      <extLst>
        <ext uri="{3e2802c4-a4d2-4d8b-9148-e3be6c30e623}">
          <xlrd:rvb i="11405"/>
        </ext>
      </extLst>
    </bk>
    <bk>
      <extLst>
        <ext uri="{3e2802c4-a4d2-4d8b-9148-e3be6c30e623}">
          <xlrd:rvb i="11406"/>
        </ext>
      </extLst>
    </bk>
    <bk>
      <extLst>
        <ext uri="{3e2802c4-a4d2-4d8b-9148-e3be6c30e623}">
          <xlrd:rvb i="11407"/>
        </ext>
      </extLst>
    </bk>
    <bk>
      <extLst>
        <ext uri="{3e2802c4-a4d2-4d8b-9148-e3be6c30e623}">
          <xlrd:rvb i="11408"/>
        </ext>
      </extLst>
    </bk>
    <bk>
      <extLst>
        <ext uri="{3e2802c4-a4d2-4d8b-9148-e3be6c30e623}">
          <xlrd:rvb i="11409"/>
        </ext>
      </extLst>
    </bk>
    <bk>
      <extLst>
        <ext uri="{3e2802c4-a4d2-4d8b-9148-e3be6c30e623}">
          <xlrd:rvb i="11410"/>
        </ext>
      </extLst>
    </bk>
    <bk>
      <extLst>
        <ext uri="{3e2802c4-a4d2-4d8b-9148-e3be6c30e623}">
          <xlrd:rvb i="11411"/>
        </ext>
      </extLst>
    </bk>
    <bk>
      <extLst>
        <ext uri="{3e2802c4-a4d2-4d8b-9148-e3be6c30e623}">
          <xlrd:rvb i="11412"/>
        </ext>
      </extLst>
    </bk>
    <bk>
      <extLst>
        <ext uri="{3e2802c4-a4d2-4d8b-9148-e3be6c30e623}">
          <xlrd:rvb i="11413"/>
        </ext>
      </extLst>
    </bk>
    <bk>
      <extLst>
        <ext uri="{3e2802c4-a4d2-4d8b-9148-e3be6c30e623}">
          <xlrd:rvb i="11414"/>
        </ext>
      </extLst>
    </bk>
    <bk>
      <extLst>
        <ext uri="{3e2802c4-a4d2-4d8b-9148-e3be6c30e623}">
          <xlrd:rvb i="11415"/>
        </ext>
      </extLst>
    </bk>
    <bk>
      <extLst>
        <ext uri="{3e2802c4-a4d2-4d8b-9148-e3be6c30e623}">
          <xlrd:rvb i="11416"/>
        </ext>
      </extLst>
    </bk>
    <bk>
      <extLst>
        <ext uri="{3e2802c4-a4d2-4d8b-9148-e3be6c30e623}">
          <xlrd:rvb i="11417"/>
        </ext>
      </extLst>
    </bk>
    <bk>
      <extLst>
        <ext uri="{3e2802c4-a4d2-4d8b-9148-e3be6c30e623}">
          <xlrd:rvb i="11418"/>
        </ext>
      </extLst>
    </bk>
    <bk>
      <extLst>
        <ext uri="{3e2802c4-a4d2-4d8b-9148-e3be6c30e623}">
          <xlrd:rvb i="11419"/>
        </ext>
      </extLst>
    </bk>
    <bk>
      <extLst>
        <ext uri="{3e2802c4-a4d2-4d8b-9148-e3be6c30e623}">
          <xlrd:rvb i="11420"/>
        </ext>
      </extLst>
    </bk>
    <bk>
      <extLst>
        <ext uri="{3e2802c4-a4d2-4d8b-9148-e3be6c30e623}">
          <xlrd:rvb i="11421"/>
        </ext>
      </extLst>
    </bk>
    <bk>
      <extLst>
        <ext uri="{3e2802c4-a4d2-4d8b-9148-e3be6c30e623}">
          <xlrd:rvb i="11422"/>
        </ext>
      </extLst>
    </bk>
    <bk>
      <extLst>
        <ext uri="{3e2802c4-a4d2-4d8b-9148-e3be6c30e623}">
          <xlrd:rvb i="11423"/>
        </ext>
      </extLst>
    </bk>
    <bk>
      <extLst>
        <ext uri="{3e2802c4-a4d2-4d8b-9148-e3be6c30e623}">
          <xlrd:rvb i="11424"/>
        </ext>
      </extLst>
    </bk>
    <bk>
      <extLst>
        <ext uri="{3e2802c4-a4d2-4d8b-9148-e3be6c30e623}">
          <xlrd:rvb i="11425"/>
        </ext>
      </extLst>
    </bk>
    <bk>
      <extLst>
        <ext uri="{3e2802c4-a4d2-4d8b-9148-e3be6c30e623}">
          <xlrd:rvb i="11426"/>
        </ext>
      </extLst>
    </bk>
    <bk>
      <extLst>
        <ext uri="{3e2802c4-a4d2-4d8b-9148-e3be6c30e623}">
          <xlrd:rvb i="11427"/>
        </ext>
      </extLst>
    </bk>
    <bk>
      <extLst>
        <ext uri="{3e2802c4-a4d2-4d8b-9148-e3be6c30e623}">
          <xlrd:rvb i="11428"/>
        </ext>
      </extLst>
    </bk>
    <bk>
      <extLst>
        <ext uri="{3e2802c4-a4d2-4d8b-9148-e3be6c30e623}">
          <xlrd:rvb i="11429"/>
        </ext>
      </extLst>
    </bk>
    <bk>
      <extLst>
        <ext uri="{3e2802c4-a4d2-4d8b-9148-e3be6c30e623}">
          <xlrd:rvb i="11430"/>
        </ext>
      </extLst>
    </bk>
    <bk>
      <extLst>
        <ext uri="{3e2802c4-a4d2-4d8b-9148-e3be6c30e623}">
          <xlrd:rvb i="11431"/>
        </ext>
      </extLst>
    </bk>
    <bk>
      <extLst>
        <ext uri="{3e2802c4-a4d2-4d8b-9148-e3be6c30e623}">
          <xlrd:rvb i="11432"/>
        </ext>
      </extLst>
    </bk>
    <bk>
      <extLst>
        <ext uri="{3e2802c4-a4d2-4d8b-9148-e3be6c30e623}">
          <xlrd:rvb i="11433"/>
        </ext>
      </extLst>
    </bk>
    <bk>
      <extLst>
        <ext uri="{3e2802c4-a4d2-4d8b-9148-e3be6c30e623}">
          <xlrd:rvb i="11434"/>
        </ext>
      </extLst>
    </bk>
    <bk>
      <extLst>
        <ext uri="{3e2802c4-a4d2-4d8b-9148-e3be6c30e623}">
          <xlrd:rvb i="11435"/>
        </ext>
      </extLst>
    </bk>
    <bk>
      <extLst>
        <ext uri="{3e2802c4-a4d2-4d8b-9148-e3be6c30e623}">
          <xlrd:rvb i="11436"/>
        </ext>
      </extLst>
    </bk>
    <bk>
      <extLst>
        <ext uri="{3e2802c4-a4d2-4d8b-9148-e3be6c30e623}">
          <xlrd:rvb i="11437"/>
        </ext>
      </extLst>
    </bk>
    <bk>
      <extLst>
        <ext uri="{3e2802c4-a4d2-4d8b-9148-e3be6c30e623}">
          <xlrd:rvb i="11438"/>
        </ext>
      </extLst>
    </bk>
    <bk>
      <extLst>
        <ext uri="{3e2802c4-a4d2-4d8b-9148-e3be6c30e623}">
          <xlrd:rvb i="11439"/>
        </ext>
      </extLst>
    </bk>
    <bk>
      <extLst>
        <ext uri="{3e2802c4-a4d2-4d8b-9148-e3be6c30e623}">
          <xlrd:rvb i="11440"/>
        </ext>
      </extLst>
    </bk>
    <bk>
      <extLst>
        <ext uri="{3e2802c4-a4d2-4d8b-9148-e3be6c30e623}">
          <xlrd:rvb i="11441"/>
        </ext>
      </extLst>
    </bk>
    <bk>
      <extLst>
        <ext uri="{3e2802c4-a4d2-4d8b-9148-e3be6c30e623}">
          <xlrd:rvb i="11442"/>
        </ext>
      </extLst>
    </bk>
    <bk>
      <extLst>
        <ext uri="{3e2802c4-a4d2-4d8b-9148-e3be6c30e623}">
          <xlrd:rvb i="11443"/>
        </ext>
      </extLst>
    </bk>
    <bk>
      <extLst>
        <ext uri="{3e2802c4-a4d2-4d8b-9148-e3be6c30e623}">
          <xlrd:rvb i="11444"/>
        </ext>
      </extLst>
    </bk>
    <bk>
      <extLst>
        <ext uri="{3e2802c4-a4d2-4d8b-9148-e3be6c30e623}">
          <xlrd:rvb i="11445"/>
        </ext>
      </extLst>
    </bk>
    <bk>
      <extLst>
        <ext uri="{3e2802c4-a4d2-4d8b-9148-e3be6c30e623}">
          <xlrd:rvb i="11446"/>
        </ext>
      </extLst>
    </bk>
    <bk>
      <extLst>
        <ext uri="{3e2802c4-a4d2-4d8b-9148-e3be6c30e623}">
          <xlrd:rvb i="11447"/>
        </ext>
      </extLst>
    </bk>
    <bk>
      <extLst>
        <ext uri="{3e2802c4-a4d2-4d8b-9148-e3be6c30e623}">
          <xlrd:rvb i="11448"/>
        </ext>
      </extLst>
    </bk>
    <bk>
      <extLst>
        <ext uri="{3e2802c4-a4d2-4d8b-9148-e3be6c30e623}">
          <xlrd:rvb i="11449"/>
        </ext>
      </extLst>
    </bk>
    <bk>
      <extLst>
        <ext uri="{3e2802c4-a4d2-4d8b-9148-e3be6c30e623}">
          <xlrd:rvb i="11450"/>
        </ext>
      </extLst>
    </bk>
    <bk>
      <extLst>
        <ext uri="{3e2802c4-a4d2-4d8b-9148-e3be6c30e623}">
          <xlrd:rvb i="11451"/>
        </ext>
      </extLst>
    </bk>
    <bk>
      <extLst>
        <ext uri="{3e2802c4-a4d2-4d8b-9148-e3be6c30e623}">
          <xlrd:rvb i="11452"/>
        </ext>
      </extLst>
    </bk>
    <bk>
      <extLst>
        <ext uri="{3e2802c4-a4d2-4d8b-9148-e3be6c30e623}">
          <xlrd:rvb i="11453"/>
        </ext>
      </extLst>
    </bk>
    <bk>
      <extLst>
        <ext uri="{3e2802c4-a4d2-4d8b-9148-e3be6c30e623}">
          <xlrd:rvb i="11454"/>
        </ext>
      </extLst>
    </bk>
    <bk>
      <extLst>
        <ext uri="{3e2802c4-a4d2-4d8b-9148-e3be6c30e623}">
          <xlrd:rvb i="11455"/>
        </ext>
      </extLst>
    </bk>
    <bk>
      <extLst>
        <ext uri="{3e2802c4-a4d2-4d8b-9148-e3be6c30e623}">
          <xlrd:rvb i="11456"/>
        </ext>
      </extLst>
    </bk>
    <bk>
      <extLst>
        <ext uri="{3e2802c4-a4d2-4d8b-9148-e3be6c30e623}">
          <xlrd:rvb i="11457"/>
        </ext>
      </extLst>
    </bk>
    <bk>
      <extLst>
        <ext uri="{3e2802c4-a4d2-4d8b-9148-e3be6c30e623}">
          <xlrd:rvb i="11458"/>
        </ext>
      </extLst>
    </bk>
    <bk>
      <extLst>
        <ext uri="{3e2802c4-a4d2-4d8b-9148-e3be6c30e623}">
          <xlrd:rvb i="11459"/>
        </ext>
      </extLst>
    </bk>
    <bk>
      <extLst>
        <ext uri="{3e2802c4-a4d2-4d8b-9148-e3be6c30e623}">
          <xlrd:rvb i="11460"/>
        </ext>
      </extLst>
    </bk>
    <bk>
      <extLst>
        <ext uri="{3e2802c4-a4d2-4d8b-9148-e3be6c30e623}">
          <xlrd:rvb i="11461"/>
        </ext>
      </extLst>
    </bk>
    <bk>
      <extLst>
        <ext uri="{3e2802c4-a4d2-4d8b-9148-e3be6c30e623}">
          <xlrd:rvb i="11462"/>
        </ext>
      </extLst>
    </bk>
    <bk>
      <extLst>
        <ext uri="{3e2802c4-a4d2-4d8b-9148-e3be6c30e623}">
          <xlrd:rvb i="11463"/>
        </ext>
      </extLst>
    </bk>
    <bk>
      <extLst>
        <ext uri="{3e2802c4-a4d2-4d8b-9148-e3be6c30e623}">
          <xlrd:rvb i="11464"/>
        </ext>
      </extLst>
    </bk>
    <bk>
      <extLst>
        <ext uri="{3e2802c4-a4d2-4d8b-9148-e3be6c30e623}">
          <xlrd:rvb i="11465"/>
        </ext>
      </extLst>
    </bk>
    <bk>
      <extLst>
        <ext uri="{3e2802c4-a4d2-4d8b-9148-e3be6c30e623}">
          <xlrd:rvb i="11466"/>
        </ext>
      </extLst>
    </bk>
    <bk>
      <extLst>
        <ext uri="{3e2802c4-a4d2-4d8b-9148-e3be6c30e623}">
          <xlrd:rvb i="11467"/>
        </ext>
      </extLst>
    </bk>
    <bk>
      <extLst>
        <ext uri="{3e2802c4-a4d2-4d8b-9148-e3be6c30e623}">
          <xlrd:rvb i="11468"/>
        </ext>
      </extLst>
    </bk>
    <bk>
      <extLst>
        <ext uri="{3e2802c4-a4d2-4d8b-9148-e3be6c30e623}">
          <xlrd:rvb i="11469"/>
        </ext>
      </extLst>
    </bk>
    <bk>
      <extLst>
        <ext uri="{3e2802c4-a4d2-4d8b-9148-e3be6c30e623}">
          <xlrd:rvb i="11470"/>
        </ext>
      </extLst>
    </bk>
    <bk>
      <extLst>
        <ext uri="{3e2802c4-a4d2-4d8b-9148-e3be6c30e623}">
          <xlrd:rvb i="11471"/>
        </ext>
      </extLst>
    </bk>
    <bk>
      <extLst>
        <ext uri="{3e2802c4-a4d2-4d8b-9148-e3be6c30e623}">
          <xlrd:rvb i="11472"/>
        </ext>
      </extLst>
    </bk>
    <bk>
      <extLst>
        <ext uri="{3e2802c4-a4d2-4d8b-9148-e3be6c30e623}">
          <xlrd:rvb i="11473"/>
        </ext>
      </extLst>
    </bk>
    <bk>
      <extLst>
        <ext uri="{3e2802c4-a4d2-4d8b-9148-e3be6c30e623}">
          <xlrd:rvb i="11474"/>
        </ext>
      </extLst>
    </bk>
    <bk>
      <extLst>
        <ext uri="{3e2802c4-a4d2-4d8b-9148-e3be6c30e623}">
          <xlrd:rvb i="11475"/>
        </ext>
      </extLst>
    </bk>
    <bk>
      <extLst>
        <ext uri="{3e2802c4-a4d2-4d8b-9148-e3be6c30e623}">
          <xlrd:rvb i="11476"/>
        </ext>
      </extLst>
    </bk>
    <bk>
      <extLst>
        <ext uri="{3e2802c4-a4d2-4d8b-9148-e3be6c30e623}">
          <xlrd:rvb i="11477"/>
        </ext>
      </extLst>
    </bk>
    <bk>
      <extLst>
        <ext uri="{3e2802c4-a4d2-4d8b-9148-e3be6c30e623}">
          <xlrd:rvb i="11478"/>
        </ext>
      </extLst>
    </bk>
    <bk>
      <extLst>
        <ext uri="{3e2802c4-a4d2-4d8b-9148-e3be6c30e623}">
          <xlrd:rvb i="11479"/>
        </ext>
      </extLst>
    </bk>
    <bk>
      <extLst>
        <ext uri="{3e2802c4-a4d2-4d8b-9148-e3be6c30e623}">
          <xlrd:rvb i="11480"/>
        </ext>
      </extLst>
    </bk>
    <bk>
      <extLst>
        <ext uri="{3e2802c4-a4d2-4d8b-9148-e3be6c30e623}">
          <xlrd:rvb i="11481"/>
        </ext>
      </extLst>
    </bk>
    <bk>
      <extLst>
        <ext uri="{3e2802c4-a4d2-4d8b-9148-e3be6c30e623}">
          <xlrd:rvb i="11482"/>
        </ext>
      </extLst>
    </bk>
    <bk>
      <extLst>
        <ext uri="{3e2802c4-a4d2-4d8b-9148-e3be6c30e623}">
          <xlrd:rvb i="11483"/>
        </ext>
      </extLst>
    </bk>
    <bk>
      <extLst>
        <ext uri="{3e2802c4-a4d2-4d8b-9148-e3be6c30e623}">
          <xlrd:rvb i="11484"/>
        </ext>
      </extLst>
    </bk>
    <bk>
      <extLst>
        <ext uri="{3e2802c4-a4d2-4d8b-9148-e3be6c30e623}">
          <xlrd:rvb i="11485"/>
        </ext>
      </extLst>
    </bk>
    <bk>
      <extLst>
        <ext uri="{3e2802c4-a4d2-4d8b-9148-e3be6c30e623}">
          <xlrd:rvb i="11486"/>
        </ext>
      </extLst>
    </bk>
    <bk>
      <extLst>
        <ext uri="{3e2802c4-a4d2-4d8b-9148-e3be6c30e623}">
          <xlrd:rvb i="11487"/>
        </ext>
      </extLst>
    </bk>
    <bk>
      <extLst>
        <ext uri="{3e2802c4-a4d2-4d8b-9148-e3be6c30e623}">
          <xlrd:rvb i="11488"/>
        </ext>
      </extLst>
    </bk>
    <bk>
      <extLst>
        <ext uri="{3e2802c4-a4d2-4d8b-9148-e3be6c30e623}">
          <xlrd:rvb i="11489"/>
        </ext>
      </extLst>
    </bk>
    <bk>
      <extLst>
        <ext uri="{3e2802c4-a4d2-4d8b-9148-e3be6c30e623}">
          <xlrd:rvb i="11490"/>
        </ext>
      </extLst>
    </bk>
    <bk>
      <extLst>
        <ext uri="{3e2802c4-a4d2-4d8b-9148-e3be6c30e623}">
          <xlrd:rvb i="11491"/>
        </ext>
      </extLst>
    </bk>
    <bk>
      <extLst>
        <ext uri="{3e2802c4-a4d2-4d8b-9148-e3be6c30e623}">
          <xlrd:rvb i="11492"/>
        </ext>
      </extLst>
    </bk>
    <bk>
      <extLst>
        <ext uri="{3e2802c4-a4d2-4d8b-9148-e3be6c30e623}">
          <xlrd:rvb i="11493"/>
        </ext>
      </extLst>
    </bk>
    <bk>
      <extLst>
        <ext uri="{3e2802c4-a4d2-4d8b-9148-e3be6c30e623}">
          <xlrd:rvb i="11494"/>
        </ext>
      </extLst>
    </bk>
    <bk>
      <extLst>
        <ext uri="{3e2802c4-a4d2-4d8b-9148-e3be6c30e623}">
          <xlrd:rvb i="11495"/>
        </ext>
      </extLst>
    </bk>
    <bk>
      <extLst>
        <ext uri="{3e2802c4-a4d2-4d8b-9148-e3be6c30e623}">
          <xlrd:rvb i="11496"/>
        </ext>
      </extLst>
    </bk>
    <bk>
      <extLst>
        <ext uri="{3e2802c4-a4d2-4d8b-9148-e3be6c30e623}">
          <xlrd:rvb i="11497"/>
        </ext>
      </extLst>
    </bk>
    <bk>
      <extLst>
        <ext uri="{3e2802c4-a4d2-4d8b-9148-e3be6c30e623}">
          <xlrd:rvb i="11498"/>
        </ext>
      </extLst>
    </bk>
    <bk>
      <extLst>
        <ext uri="{3e2802c4-a4d2-4d8b-9148-e3be6c30e623}">
          <xlrd:rvb i="11499"/>
        </ext>
      </extLst>
    </bk>
    <bk>
      <extLst>
        <ext uri="{3e2802c4-a4d2-4d8b-9148-e3be6c30e623}">
          <xlrd:rvb i="11500"/>
        </ext>
      </extLst>
    </bk>
    <bk>
      <extLst>
        <ext uri="{3e2802c4-a4d2-4d8b-9148-e3be6c30e623}">
          <xlrd:rvb i="11501"/>
        </ext>
      </extLst>
    </bk>
    <bk>
      <extLst>
        <ext uri="{3e2802c4-a4d2-4d8b-9148-e3be6c30e623}">
          <xlrd:rvb i="11502"/>
        </ext>
      </extLst>
    </bk>
    <bk>
      <extLst>
        <ext uri="{3e2802c4-a4d2-4d8b-9148-e3be6c30e623}">
          <xlrd:rvb i="11503"/>
        </ext>
      </extLst>
    </bk>
    <bk>
      <extLst>
        <ext uri="{3e2802c4-a4d2-4d8b-9148-e3be6c30e623}">
          <xlrd:rvb i="11504"/>
        </ext>
      </extLst>
    </bk>
    <bk>
      <extLst>
        <ext uri="{3e2802c4-a4d2-4d8b-9148-e3be6c30e623}">
          <xlrd:rvb i="11505"/>
        </ext>
      </extLst>
    </bk>
    <bk>
      <extLst>
        <ext uri="{3e2802c4-a4d2-4d8b-9148-e3be6c30e623}">
          <xlrd:rvb i="11506"/>
        </ext>
      </extLst>
    </bk>
    <bk>
      <extLst>
        <ext uri="{3e2802c4-a4d2-4d8b-9148-e3be6c30e623}">
          <xlrd:rvb i="11507"/>
        </ext>
      </extLst>
    </bk>
    <bk>
      <extLst>
        <ext uri="{3e2802c4-a4d2-4d8b-9148-e3be6c30e623}">
          <xlrd:rvb i="11508"/>
        </ext>
      </extLst>
    </bk>
    <bk>
      <extLst>
        <ext uri="{3e2802c4-a4d2-4d8b-9148-e3be6c30e623}">
          <xlrd:rvb i="11509"/>
        </ext>
      </extLst>
    </bk>
    <bk>
      <extLst>
        <ext uri="{3e2802c4-a4d2-4d8b-9148-e3be6c30e623}">
          <xlrd:rvb i="11510"/>
        </ext>
      </extLst>
    </bk>
    <bk>
      <extLst>
        <ext uri="{3e2802c4-a4d2-4d8b-9148-e3be6c30e623}">
          <xlrd:rvb i="11511"/>
        </ext>
      </extLst>
    </bk>
    <bk>
      <extLst>
        <ext uri="{3e2802c4-a4d2-4d8b-9148-e3be6c30e623}">
          <xlrd:rvb i="11512"/>
        </ext>
      </extLst>
    </bk>
    <bk>
      <extLst>
        <ext uri="{3e2802c4-a4d2-4d8b-9148-e3be6c30e623}">
          <xlrd:rvb i="11513"/>
        </ext>
      </extLst>
    </bk>
    <bk>
      <extLst>
        <ext uri="{3e2802c4-a4d2-4d8b-9148-e3be6c30e623}">
          <xlrd:rvb i="11514"/>
        </ext>
      </extLst>
    </bk>
    <bk>
      <extLst>
        <ext uri="{3e2802c4-a4d2-4d8b-9148-e3be6c30e623}">
          <xlrd:rvb i="11515"/>
        </ext>
      </extLst>
    </bk>
    <bk>
      <extLst>
        <ext uri="{3e2802c4-a4d2-4d8b-9148-e3be6c30e623}">
          <xlrd:rvb i="11516"/>
        </ext>
      </extLst>
    </bk>
    <bk>
      <extLst>
        <ext uri="{3e2802c4-a4d2-4d8b-9148-e3be6c30e623}">
          <xlrd:rvb i="11517"/>
        </ext>
      </extLst>
    </bk>
    <bk>
      <extLst>
        <ext uri="{3e2802c4-a4d2-4d8b-9148-e3be6c30e623}">
          <xlrd:rvb i="11518"/>
        </ext>
      </extLst>
    </bk>
    <bk>
      <extLst>
        <ext uri="{3e2802c4-a4d2-4d8b-9148-e3be6c30e623}">
          <xlrd:rvb i="11519"/>
        </ext>
      </extLst>
    </bk>
    <bk>
      <extLst>
        <ext uri="{3e2802c4-a4d2-4d8b-9148-e3be6c30e623}">
          <xlrd:rvb i="11520"/>
        </ext>
      </extLst>
    </bk>
    <bk>
      <extLst>
        <ext uri="{3e2802c4-a4d2-4d8b-9148-e3be6c30e623}">
          <xlrd:rvb i="11521"/>
        </ext>
      </extLst>
    </bk>
    <bk>
      <extLst>
        <ext uri="{3e2802c4-a4d2-4d8b-9148-e3be6c30e623}">
          <xlrd:rvb i="11522"/>
        </ext>
      </extLst>
    </bk>
    <bk>
      <extLst>
        <ext uri="{3e2802c4-a4d2-4d8b-9148-e3be6c30e623}">
          <xlrd:rvb i="11523"/>
        </ext>
      </extLst>
    </bk>
    <bk>
      <extLst>
        <ext uri="{3e2802c4-a4d2-4d8b-9148-e3be6c30e623}">
          <xlrd:rvb i="11524"/>
        </ext>
      </extLst>
    </bk>
    <bk>
      <extLst>
        <ext uri="{3e2802c4-a4d2-4d8b-9148-e3be6c30e623}">
          <xlrd:rvb i="11525"/>
        </ext>
      </extLst>
    </bk>
    <bk>
      <extLst>
        <ext uri="{3e2802c4-a4d2-4d8b-9148-e3be6c30e623}">
          <xlrd:rvb i="11526"/>
        </ext>
      </extLst>
    </bk>
    <bk>
      <extLst>
        <ext uri="{3e2802c4-a4d2-4d8b-9148-e3be6c30e623}">
          <xlrd:rvb i="11527"/>
        </ext>
      </extLst>
    </bk>
    <bk>
      <extLst>
        <ext uri="{3e2802c4-a4d2-4d8b-9148-e3be6c30e623}">
          <xlrd:rvb i="11528"/>
        </ext>
      </extLst>
    </bk>
    <bk>
      <extLst>
        <ext uri="{3e2802c4-a4d2-4d8b-9148-e3be6c30e623}">
          <xlrd:rvb i="11529"/>
        </ext>
      </extLst>
    </bk>
    <bk>
      <extLst>
        <ext uri="{3e2802c4-a4d2-4d8b-9148-e3be6c30e623}">
          <xlrd:rvb i="11530"/>
        </ext>
      </extLst>
    </bk>
    <bk>
      <extLst>
        <ext uri="{3e2802c4-a4d2-4d8b-9148-e3be6c30e623}">
          <xlrd:rvb i="11531"/>
        </ext>
      </extLst>
    </bk>
    <bk>
      <extLst>
        <ext uri="{3e2802c4-a4d2-4d8b-9148-e3be6c30e623}">
          <xlrd:rvb i="11532"/>
        </ext>
      </extLst>
    </bk>
    <bk>
      <extLst>
        <ext uri="{3e2802c4-a4d2-4d8b-9148-e3be6c30e623}">
          <xlrd:rvb i="11533"/>
        </ext>
      </extLst>
    </bk>
    <bk>
      <extLst>
        <ext uri="{3e2802c4-a4d2-4d8b-9148-e3be6c30e623}">
          <xlrd:rvb i="11534"/>
        </ext>
      </extLst>
    </bk>
    <bk>
      <extLst>
        <ext uri="{3e2802c4-a4d2-4d8b-9148-e3be6c30e623}">
          <xlrd:rvb i="11535"/>
        </ext>
      </extLst>
    </bk>
    <bk>
      <extLst>
        <ext uri="{3e2802c4-a4d2-4d8b-9148-e3be6c30e623}">
          <xlrd:rvb i="11536"/>
        </ext>
      </extLst>
    </bk>
    <bk>
      <extLst>
        <ext uri="{3e2802c4-a4d2-4d8b-9148-e3be6c30e623}">
          <xlrd:rvb i="11537"/>
        </ext>
      </extLst>
    </bk>
    <bk>
      <extLst>
        <ext uri="{3e2802c4-a4d2-4d8b-9148-e3be6c30e623}">
          <xlrd:rvb i="11538"/>
        </ext>
      </extLst>
    </bk>
    <bk>
      <extLst>
        <ext uri="{3e2802c4-a4d2-4d8b-9148-e3be6c30e623}">
          <xlrd:rvb i="11539"/>
        </ext>
      </extLst>
    </bk>
    <bk>
      <extLst>
        <ext uri="{3e2802c4-a4d2-4d8b-9148-e3be6c30e623}">
          <xlrd:rvb i="11540"/>
        </ext>
      </extLst>
    </bk>
    <bk>
      <extLst>
        <ext uri="{3e2802c4-a4d2-4d8b-9148-e3be6c30e623}">
          <xlrd:rvb i="11541"/>
        </ext>
      </extLst>
    </bk>
    <bk>
      <extLst>
        <ext uri="{3e2802c4-a4d2-4d8b-9148-e3be6c30e623}">
          <xlrd:rvb i="11542"/>
        </ext>
      </extLst>
    </bk>
    <bk>
      <extLst>
        <ext uri="{3e2802c4-a4d2-4d8b-9148-e3be6c30e623}">
          <xlrd:rvb i="11543"/>
        </ext>
      </extLst>
    </bk>
    <bk>
      <extLst>
        <ext uri="{3e2802c4-a4d2-4d8b-9148-e3be6c30e623}">
          <xlrd:rvb i="11544"/>
        </ext>
      </extLst>
    </bk>
    <bk>
      <extLst>
        <ext uri="{3e2802c4-a4d2-4d8b-9148-e3be6c30e623}">
          <xlrd:rvb i="11545"/>
        </ext>
      </extLst>
    </bk>
    <bk>
      <extLst>
        <ext uri="{3e2802c4-a4d2-4d8b-9148-e3be6c30e623}">
          <xlrd:rvb i="11546"/>
        </ext>
      </extLst>
    </bk>
    <bk>
      <extLst>
        <ext uri="{3e2802c4-a4d2-4d8b-9148-e3be6c30e623}">
          <xlrd:rvb i="11547"/>
        </ext>
      </extLst>
    </bk>
    <bk>
      <extLst>
        <ext uri="{3e2802c4-a4d2-4d8b-9148-e3be6c30e623}">
          <xlrd:rvb i="11548"/>
        </ext>
      </extLst>
    </bk>
    <bk>
      <extLst>
        <ext uri="{3e2802c4-a4d2-4d8b-9148-e3be6c30e623}">
          <xlrd:rvb i="11549"/>
        </ext>
      </extLst>
    </bk>
    <bk>
      <extLst>
        <ext uri="{3e2802c4-a4d2-4d8b-9148-e3be6c30e623}">
          <xlrd:rvb i="11550"/>
        </ext>
      </extLst>
    </bk>
    <bk>
      <extLst>
        <ext uri="{3e2802c4-a4d2-4d8b-9148-e3be6c30e623}">
          <xlrd:rvb i="11551"/>
        </ext>
      </extLst>
    </bk>
    <bk>
      <extLst>
        <ext uri="{3e2802c4-a4d2-4d8b-9148-e3be6c30e623}">
          <xlrd:rvb i="11552"/>
        </ext>
      </extLst>
    </bk>
    <bk>
      <extLst>
        <ext uri="{3e2802c4-a4d2-4d8b-9148-e3be6c30e623}">
          <xlrd:rvb i="11553"/>
        </ext>
      </extLst>
    </bk>
    <bk>
      <extLst>
        <ext uri="{3e2802c4-a4d2-4d8b-9148-e3be6c30e623}">
          <xlrd:rvb i="11554"/>
        </ext>
      </extLst>
    </bk>
    <bk>
      <extLst>
        <ext uri="{3e2802c4-a4d2-4d8b-9148-e3be6c30e623}">
          <xlrd:rvb i="11555"/>
        </ext>
      </extLst>
    </bk>
    <bk>
      <extLst>
        <ext uri="{3e2802c4-a4d2-4d8b-9148-e3be6c30e623}">
          <xlrd:rvb i="11556"/>
        </ext>
      </extLst>
    </bk>
    <bk>
      <extLst>
        <ext uri="{3e2802c4-a4d2-4d8b-9148-e3be6c30e623}">
          <xlrd:rvb i="11557"/>
        </ext>
      </extLst>
    </bk>
    <bk>
      <extLst>
        <ext uri="{3e2802c4-a4d2-4d8b-9148-e3be6c30e623}">
          <xlrd:rvb i="11558"/>
        </ext>
      </extLst>
    </bk>
    <bk>
      <extLst>
        <ext uri="{3e2802c4-a4d2-4d8b-9148-e3be6c30e623}">
          <xlrd:rvb i="11559"/>
        </ext>
      </extLst>
    </bk>
    <bk>
      <extLst>
        <ext uri="{3e2802c4-a4d2-4d8b-9148-e3be6c30e623}">
          <xlrd:rvb i="11560"/>
        </ext>
      </extLst>
    </bk>
    <bk>
      <extLst>
        <ext uri="{3e2802c4-a4d2-4d8b-9148-e3be6c30e623}">
          <xlrd:rvb i="11561"/>
        </ext>
      </extLst>
    </bk>
    <bk>
      <extLst>
        <ext uri="{3e2802c4-a4d2-4d8b-9148-e3be6c30e623}">
          <xlrd:rvb i="11562"/>
        </ext>
      </extLst>
    </bk>
    <bk>
      <extLst>
        <ext uri="{3e2802c4-a4d2-4d8b-9148-e3be6c30e623}">
          <xlrd:rvb i="11563"/>
        </ext>
      </extLst>
    </bk>
    <bk>
      <extLst>
        <ext uri="{3e2802c4-a4d2-4d8b-9148-e3be6c30e623}">
          <xlrd:rvb i="11564"/>
        </ext>
      </extLst>
    </bk>
    <bk>
      <extLst>
        <ext uri="{3e2802c4-a4d2-4d8b-9148-e3be6c30e623}">
          <xlrd:rvb i="11565"/>
        </ext>
      </extLst>
    </bk>
    <bk>
      <extLst>
        <ext uri="{3e2802c4-a4d2-4d8b-9148-e3be6c30e623}">
          <xlrd:rvb i="11566"/>
        </ext>
      </extLst>
    </bk>
    <bk>
      <extLst>
        <ext uri="{3e2802c4-a4d2-4d8b-9148-e3be6c30e623}">
          <xlrd:rvb i="11567"/>
        </ext>
      </extLst>
    </bk>
    <bk>
      <extLst>
        <ext uri="{3e2802c4-a4d2-4d8b-9148-e3be6c30e623}">
          <xlrd:rvb i="11568"/>
        </ext>
      </extLst>
    </bk>
    <bk>
      <extLst>
        <ext uri="{3e2802c4-a4d2-4d8b-9148-e3be6c30e623}">
          <xlrd:rvb i="11569"/>
        </ext>
      </extLst>
    </bk>
    <bk>
      <extLst>
        <ext uri="{3e2802c4-a4d2-4d8b-9148-e3be6c30e623}">
          <xlrd:rvb i="11570"/>
        </ext>
      </extLst>
    </bk>
    <bk>
      <extLst>
        <ext uri="{3e2802c4-a4d2-4d8b-9148-e3be6c30e623}">
          <xlrd:rvb i="11571"/>
        </ext>
      </extLst>
    </bk>
    <bk>
      <extLst>
        <ext uri="{3e2802c4-a4d2-4d8b-9148-e3be6c30e623}">
          <xlrd:rvb i="11572"/>
        </ext>
      </extLst>
    </bk>
    <bk>
      <extLst>
        <ext uri="{3e2802c4-a4d2-4d8b-9148-e3be6c30e623}">
          <xlrd:rvb i="11573"/>
        </ext>
      </extLst>
    </bk>
    <bk>
      <extLst>
        <ext uri="{3e2802c4-a4d2-4d8b-9148-e3be6c30e623}">
          <xlrd:rvb i="11574"/>
        </ext>
      </extLst>
    </bk>
    <bk>
      <extLst>
        <ext uri="{3e2802c4-a4d2-4d8b-9148-e3be6c30e623}">
          <xlrd:rvb i="11575"/>
        </ext>
      </extLst>
    </bk>
    <bk>
      <extLst>
        <ext uri="{3e2802c4-a4d2-4d8b-9148-e3be6c30e623}">
          <xlrd:rvb i="11576"/>
        </ext>
      </extLst>
    </bk>
    <bk>
      <extLst>
        <ext uri="{3e2802c4-a4d2-4d8b-9148-e3be6c30e623}">
          <xlrd:rvb i="11577"/>
        </ext>
      </extLst>
    </bk>
    <bk>
      <extLst>
        <ext uri="{3e2802c4-a4d2-4d8b-9148-e3be6c30e623}">
          <xlrd:rvb i="11578"/>
        </ext>
      </extLst>
    </bk>
    <bk>
      <extLst>
        <ext uri="{3e2802c4-a4d2-4d8b-9148-e3be6c30e623}">
          <xlrd:rvb i="11579"/>
        </ext>
      </extLst>
    </bk>
    <bk>
      <extLst>
        <ext uri="{3e2802c4-a4d2-4d8b-9148-e3be6c30e623}">
          <xlrd:rvb i="11580"/>
        </ext>
      </extLst>
    </bk>
    <bk>
      <extLst>
        <ext uri="{3e2802c4-a4d2-4d8b-9148-e3be6c30e623}">
          <xlrd:rvb i="11581"/>
        </ext>
      </extLst>
    </bk>
    <bk>
      <extLst>
        <ext uri="{3e2802c4-a4d2-4d8b-9148-e3be6c30e623}">
          <xlrd:rvb i="11582"/>
        </ext>
      </extLst>
    </bk>
    <bk>
      <extLst>
        <ext uri="{3e2802c4-a4d2-4d8b-9148-e3be6c30e623}">
          <xlrd:rvb i="11583"/>
        </ext>
      </extLst>
    </bk>
    <bk>
      <extLst>
        <ext uri="{3e2802c4-a4d2-4d8b-9148-e3be6c30e623}">
          <xlrd:rvb i="11584"/>
        </ext>
      </extLst>
    </bk>
    <bk>
      <extLst>
        <ext uri="{3e2802c4-a4d2-4d8b-9148-e3be6c30e623}">
          <xlrd:rvb i="11585"/>
        </ext>
      </extLst>
    </bk>
    <bk>
      <extLst>
        <ext uri="{3e2802c4-a4d2-4d8b-9148-e3be6c30e623}">
          <xlrd:rvb i="11586"/>
        </ext>
      </extLst>
    </bk>
    <bk>
      <extLst>
        <ext uri="{3e2802c4-a4d2-4d8b-9148-e3be6c30e623}">
          <xlrd:rvb i="11587"/>
        </ext>
      </extLst>
    </bk>
    <bk>
      <extLst>
        <ext uri="{3e2802c4-a4d2-4d8b-9148-e3be6c30e623}">
          <xlrd:rvb i="11588"/>
        </ext>
      </extLst>
    </bk>
    <bk>
      <extLst>
        <ext uri="{3e2802c4-a4d2-4d8b-9148-e3be6c30e623}">
          <xlrd:rvb i="11589"/>
        </ext>
      </extLst>
    </bk>
    <bk>
      <extLst>
        <ext uri="{3e2802c4-a4d2-4d8b-9148-e3be6c30e623}">
          <xlrd:rvb i="11590"/>
        </ext>
      </extLst>
    </bk>
    <bk>
      <extLst>
        <ext uri="{3e2802c4-a4d2-4d8b-9148-e3be6c30e623}">
          <xlrd:rvb i="11591"/>
        </ext>
      </extLst>
    </bk>
    <bk>
      <extLst>
        <ext uri="{3e2802c4-a4d2-4d8b-9148-e3be6c30e623}">
          <xlrd:rvb i="11592"/>
        </ext>
      </extLst>
    </bk>
    <bk>
      <extLst>
        <ext uri="{3e2802c4-a4d2-4d8b-9148-e3be6c30e623}">
          <xlrd:rvb i="11593"/>
        </ext>
      </extLst>
    </bk>
    <bk>
      <extLst>
        <ext uri="{3e2802c4-a4d2-4d8b-9148-e3be6c30e623}">
          <xlrd:rvb i="11594"/>
        </ext>
      </extLst>
    </bk>
    <bk>
      <extLst>
        <ext uri="{3e2802c4-a4d2-4d8b-9148-e3be6c30e623}">
          <xlrd:rvb i="11595"/>
        </ext>
      </extLst>
    </bk>
    <bk>
      <extLst>
        <ext uri="{3e2802c4-a4d2-4d8b-9148-e3be6c30e623}">
          <xlrd:rvb i="11596"/>
        </ext>
      </extLst>
    </bk>
    <bk>
      <extLst>
        <ext uri="{3e2802c4-a4d2-4d8b-9148-e3be6c30e623}">
          <xlrd:rvb i="11597"/>
        </ext>
      </extLst>
    </bk>
    <bk>
      <extLst>
        <ext uri="{3e2802c4-a4d2-4d8b-9148-e3be6c30e623}">
          <xlrd:rvb i="11598"/>
        </ext>
      </extLst>
    </bk>
    <bk>
      <extLst>
        <ext uri="{3e2802c4-a4d2-4d8b-9148-e3be6c30e623}">
          <xlrd:rvb i="11599"/>
        </ext>
      </extLst>
    </bk>
    <bk>
      <extLst>
        <ext uri="{3e2802c4-a4d2-4d8b-9148-e3be6c30e623}">
          <xlrd:rvb i="11600"/>
        </ext>
      </extLst>
    </bk>
    <bk>
      <extLst>
        <ext uri="{3e2802c4-a4d2-4d8b-9148-e3be6c30e623}">
          <xlrd:rvb i="11601"/>
        </ext>
      </extLst>
    </bk>
    <bk>
      <extLst>
        <ext uri="{3e2802c4-a4d2-4d8b-9148-e3be6c30e623}">
          <xlrd:rvb i="11602"/>
        </ext>
      </extLst>
    </bk>
    <bk>
      <extLst>
        <ext uri="{3e2802c4-a4d2-4d8b-9148-e3be6c30e623}">
          <xlrd:rvb i="11603"/>
        </ext>
      </extLst>
    </bk>
    <bk>
      <extLst>
        <ext uri="{3e2802c4-a4d2-4d8b-9148-e3be6c30e623}">
          <xlrd:rvb i="11604"/>
        </ext>
      </extLst>
    </bk>
    <bk>
      <extLst>
        <ext uri="{3e2802c4-a4d2-4d8b-9148-e3be6c30e623}">
          <xlrd:rvb i="11605"/>
        </ext>
      </extLst>
    </bk>
    <bk>
      <extLst>
        <ext uri="{3e2802c4-a4d2-4d8b-9148-e3be6c30e623}">
          <xlrd:rvb i="11606"/>
        </ext>
      </extLst>
    </bk>
    <bk>
      <extLst>
        <ext uri="{3e2802c4-a4d2-4d8b-9148-e3be6c30e623}">
          <xlrd:rvb i="11607"/>
        </ext>
      </extLst>
    </bk>
    <bk>
      <extLst>
        <ext uri="{3e2802c4-a4d2-4d8b-9148-e3be6c30e623}">
          <xlrd:rvb i="11608"/>
        </ext>
      </extLst>
    </bk>
    <bk>
      <extLst>
        <ext uri="{3e2802c4-a4d2-4d8b-9148-e3be6c30e623}">
          <xlrd:rvb i="11609"/>
        </ext>
      </extLst>
    </bk>
    <bk>
      <extLst>
        <ext uri="{3e2802c4-a4d2-4d8b-9148-e3be6c30e623}">
          <xlrd:rvb i="11610"/>
        </ext>
      </extLst>
    </bk>
    <bk>
      <extLst>
        <ext uri="{3e2802c4-a4d2-4d8b-9148-e3be6c30e623}">
          <xlrd:rvb i="11611"/>
        </ext>
      </extLst>
    </bk>
    <bk>
      <extLst>
        <ext uri="{3e2802c4-a4d2-4d8b-9148-e3be6c30e623}">
          <xlrd:rvb i="11612"/>
        </ext>
      </extLst>
    </bk>
    <bk>
      <extLst>
        <ext uri="{3e2802c4-a4d2-4d8b-9148-e3be6c30e623}">
          <xlrd:rvb i="11613"/>
        </ext>
      </extLst>
    </bk>
    <bk>
      <extLst>
        <ext uri="{3e2802c4-a4d2-4d8b-9148-e3be6c30e623}">
          <xlrd:rvb i="11614"/>
        </ext>
      </extLst>
    </bk>
    <bk>
      <extLst>
        <ext uri="{3e2802c4-a4d2-4d8b-9148-e3be6c30e623}">
          <xlrd:rvb i="11615"/>
        </ext>
      </extLst>
    </bk>
    <bk>
      <extLst>
        <ext uri="{3e2802c4-a4d2-4d8b-9148-e3be6c30e623}">
          <xlrd:rvb i="11616"/>
        </ext>
      </extLst>
    </bk>
    <bk>
      <extLst>
        <ext uri="{3e2802c4-a4d2-4d8b-9148-e3be6c30e623}">
          <xlrd:rvb i="11617"/>
        </ext>
      </extLst>
    </bk>
    <bk>
      <extLst>
        <ext uri="{3e2802c4-a4d2-4d8b-9148-e3be6c30e623}">
          <xlrd:rvb i="11618"/>
        </ext>
      </extLst>
    </bk>
    <bk>
      <extLst>
        <ext uri="{3e2802c4-a4d2-4d8b-9148-e3be6c30e623}">
          <xlrd:rvb i="11619"/>
        </ext>
      </extLst>
    </bk>
    <bk>
      <extLst>
        <ext uri="{3e2802c4-a4d2-4d8b-9148-e3be6c30e623}">
          <xlrd:rvb i="11620"/>
        </ext>
      </extLst>
    </bk>
    <bk>
      <extLst>
        <ext uri="{3e2802c4-a4d2-4d8b-9148-e3be6c30e623}">
          <xlrd:rvb i="11621"/>
        </ext>
      </extLst>
    </bk>
    <bk>
      <extLst>
        <ext uri="{3e2802c4-a4d2-4d8b-9148-e3be6c30e623}">
          <xlrd:rvb i="11622"/>
        </ext>
      </extLst>
    </bk>
    <bk>
      <extLst>
        <ext uri="{3e2802c4-a4d2-4d8b-9148-e3be6c30e623}">
          <xlrd:rvb i="11623"/>
        </ext>
      </extLst>
    </bk>
    <bk>
      <extLst>
        <ext uri="{3e2802c4-a4d2-4d8b-9148-e3be6c30e623}">
          <xlrd:rvb i="11624"/>
        </ext>
      </extLst>
    </bk>
    <bk>
      <extLst>
        <ext uri="{3e2802c4-a4d2-4d8b-9148-e3be6c30e623}">
          <xlrd:rvb i="11625"/>
        </ext>
      </extLst>
    </bk>
    <bk>
      <extLst>
        <ext uri="{3e2802c4-a4d2-4d8b-9148-e3be6c30e623}">
          <xlrd:rvb i="11626"/>
        </ext>
      </extLst>
    </bk>
    <bk>
      <extLst>
        <ext uri="{3e2802c4-a4d2-4d8b-9148-e3be6c30e623}">
          <xlrd:rvb i="11627"/>
        </ext>
      </extLst>
    </bk>
    <bk>
      <extLst>
        <ext uri="{3e2802c4-a4d2-4d8b-9148-e3be6c30e623}">
          <xlrd:rvb i="11628"/>
        </ext>
      </extLst>
    </bk>
    <bk>
      <extLst>
        <ext uri="{3e2802c4-a4d2-4d8b-9148-e3be6c30e623}">
          <xlrd:rvb i="11629"/>
        </ext>
      </extLst>
    </bk>
    <bk>
      <extLst>
        <ext uri="{3e2802c4-a4d2-4d8b-9148-e3be6c30e623}">
          <xlrd:rvb i="11630"/>
        </ext>
      </extLst>
    </bk>
    <bk>
      <extLst>
        <ext uri="{3e2802c4-a4d2-4d8b-9148-e3be6c30e623}">
          <xlrd:rvb i="11631"/>
        </ext>
      </extLst>
    </bk>
    <bk>
      <extLst>
        <ext uri="{3e2802c4-a4d2-4d8b-9148-e3be6c30e623}">
          <xlrd:rvb i="11632"/>
        </ext>
      </extLst>
    </bk>
    <bk>
      <extLst>
        <ext uri="{3e2802c4-a4d2-4d8b-9148-e3be6c30e623}">
          <xlrd:rvb i="11633"/>
        </ext>
      </extLst>
    </bk>
    <bk>
      <extLst>
        <ext uri="{3e2802c4-a4d2-4d8b-9148-e3be6c30e623}">
          <xlrd:rvb i="11634"/>
        </ext>
      </extLst>
    </bk>
    <bk>
      <extLst>
        <ext uri="{3e2802c4-a4d2-4d8b-9148-e3be6c30e623}">
          <xlrd:rvb i="11635"/>
        </ext>
      </extLst>
    </bk>
    <bk>
      <extLst>
        <ext uri="{3e2802c4-a4d2-4d8b-9148-e3be6c30e623}">
          <xlrd:rvb i="11636"/>
        </ext>
      </extLst>
    </bk>
    <bk>
      <extLst>
        <ext uri="{3e2802c4-a4d2-4d8b-9148-e3be6c30e623}">
          <xlrd:rvb i="11637"/>
        </ext>
      </extLst>
    </bk>
    <bk>
      <extLst>
        <ext uri="{3e2802c4-a4d2-4d8b-9148-e3be6c30e623}">
          <xlrd:rvb i="11638"/>
        </ext>
      </extLst>
    </bk>
    <bk>
      <extLst>
        <ext uri="{3e2802c4-a4d2-4d8b-9148-e3be6c30e623}">
          <xlrd:rvb i="11639"/>
        </ext>
      </extLst>
    </bk>
    <bk>
      <extLst>
        <ext uri="{3e2802c4-a4d2-4d8b-9148-e3be6c30e623}">
          <xlrd:rvb i="11640"/>
        </ext>
      </extLst>
    </bk>
    <bk>
      <extLst>
        <ext uri="{3e2802c4-a4d2-4d8b-9148-e3be6c30e623}">
          <xlrd:rvb i="11641"/>
        </ext>
      </extLst>
    </bk>
    <bk>
      <extLst>
        <ext uri="{3e2802c4-a4d2-4d8b-9148-e3be6c30e623}">
          <xlrd:rvb i="11642"/>
        </ext>
      </extLst>
    </bk>
    <bk>
      <extLst>
        <ext uri="{3e2802c4-a4d2-4d8b-9148-e3be6c30e623}">
          <xlrd:rvb i="11643"/>
        </ext>
      </extLst>
    </bk>
    <bk>
      <extLst>
        <ext uri="{3e2802c4-a4d2-4d8b-9148-e3be6c30e623}">
          <xlrd:rvb i="11644"/>
        </ext>
      </extLst>
    </bk>
    <bk>
      <extLst>
        <ext uri="{3e2802c4-a4d2-4d8b-9148-e3be6c30e623}">
          <xlrd:rvb i="11645"/>
        </ext>
      </extLst>
    </bk>
    <bk>
      <extLst>
        <ext uri="{3e2802c4-a4d2-4d8b-9148-e3be6c30e623}">
          <xlrd:rvb i="11646"/>
        </ext>
      </extLst>
    </bk>
    <bk>
      <extLst>
        <ext uri="{3e2802c4-a4d2-4d8b-9148-e3be6c30e623}">
          <xlrd:rvb i="11647"/>
        </ext>
      </extLst>
    </bk>
    <bk>
      <extLst>
        <ext uri="{3e2802c4-a4d2-4d8b-9148-e3be6c30e623}">
          <xlrd:rvb i="11648"/>
        </ext>
      </extLst>
    </bk>
    <bk>
      <extLst>
        <ext uri="{3e2802c4-a4d2-4d8b-9148-e3be6c30e623}">
          <xlrd:rvb i="11649"/>
        </ext>
      </extLst>
    </bk>
    <bk>
      <extLst>
        <ext uri="{3e2802c4-a4d2-4d8b-9148-e3be6c30e623}">
          <xlrd:rvb i="11650"/>
        </ext>
      </extLst>
    </bk>
    <bk>
      <extLst>
        <ext uri="{3e2802c4-a4d2-4d8b-9148-e3be6c30e623}">
          <xlrd:rvb i="11651"/>
        </ext>
      </extLst>
    </bk>
    <bk>
      <extLst>
        <ext uri="{3e2802c4-a4d2-4d8b-9148-e3be6c30e623}">
          <xlrd:rvb i="11652"/>
        </ext>
      </extLst>
    </bk>
    <bk>
      <extLst>
        <ext uri="{3e2802c4-a4d2-4d8b-9148-e3be6c30e623}">
          <xlrd:rvb i="11653"/>
        </ext>
      </extLst>
    </bk>
    <bk>
      <extLst>
        <ext uri="{3e2802c4-a4d2-4d8b-9148-e3be6c30e623}">
          <xlrd:rvb i="11654"/>
        </ext>
      </extLst>
    </bk>
    <bk>
      <extLst>
        <ext uri="{3e2802c4-a4d2-4d8b-9148-e3be6c30e623}">
          <xlrd:rvb i="11655"/>
        </ext>
      </extLst>
    </bk>
    <bk>
      <extLst>
        <ext uri="{3e2802c4-a4d2-4d8b-9148-e3be6c30e623}">
          <xlrd:rvb i="11656"/>
        </ext>
      </extLst>
    </bk>
    <bk>
      <extLst>
        <ext uri="{3e2802c4-a4d2-4d8b-9148-e3be6c30e623}">
          <xlrd:rvb i="11657"/>
        </ext>
      </extLst>
    </bk>
    <bk>
      <extLst>
        <ext uri="{3e2802c4-a4d2-4d8b-9148-e3be6c30e623}">
          <xlrd:rvb i="11658"/>
        </ext>
      </extLst>
    </bk>
    <bk>
      <extLst>
        <ext uri="{3e2802c4-a4d2-4d8b-9148-e3be6c30e623}">
          <xlrd:rvb i="11659"/>
        </ext>
      </extLst>
    </bk>
    <bk>
      <extLst>
        <ext uri="{3e2802c4-a4d2-4d8b-9148-e3be6c30e623}">
          <xlrd:rvb i="11660"/>
        </ext>
      </extLst>
    </bk>
    <bk>
      <extLst>
        <ext uri="{3e2802c4-a4d2-4d8b-9148-e3be6c30e623}">
          <xlrd:rvb i="11661"/>
        </ext>
      </extLst>
    </bk>
    <bk>
      <extLst>
        <ext uri="{3e2802c4-a4d2-4d8b-9148-e3be6c30e623}">
          <xlrd:rvb i="11662"/>
        </ext>
      </extLst>
    </bk>
    <bk>
      <extLst>
        <ext uri="{3e2802c4-a4d2-4d8b-9148-e3be6c30e623}">
          <xlrd:rvb i="11663"/>
        </ext>
      </extLst>
    </bk>
    <bk>
      <extLst>
        <ext uri="{3e2802c4-a4d2-4d8b-9148-e3be6c30e623}">
          <xlrd:rvb i="11664"/>
        </ext>
      </extLst>
    </bk>
    <bk>
      <extLst>
        <ext uri="{3e2802c4-a4d2-4d8b-9148-e3be6c30e623}">
          <xlrd:rvb i="11665"/>
        </ext>
      </extLst>
    </bk>
    <bk>
      <extLst>
        <ext uri="{3e2802c4-a4d2-4d8b-9148-e3be6c30e623}">
          <xlrd:rvb i="11666"/>
        </ext>
      </extLst>
    </bk>
    <bk>
      <extLst>
        <ext uri="{3e2802c4-a4d2-4d8b-9148-e3be6c30e623}">
          <xlrd:rvb i="11667"/>
        </ext>
      </extLst>
    </bk>
    <bk>
      <extLst>
        <ext uri="{3e2802c4-a4d2-4d8b-9148-e3be6c30e623}">
          <xlrd:rvb i="11668"/>
        </ext>
      </extLst>
    </bk>
    <bk>
      <extLst>
        <ext uri="{3e2802c4-a4d2-4d8b-9148-e3be6c30e623}">
          <xlrd:rvb i="11669"/>
        </ext>
      </extLst>
    </bk>
    <bk>
      <extLst>
        <ext uri="{3e2802c4-a4d2-4d8b-9148-e3be6c30e623}">
          <xlrd:rvb i="11670"/>
        </ext>
      </extLst>
    </bk>
    <bk>
      <extLst>
        <ext uri="{3e2802c4-a4d2-4d8b-9148-e3be6c30e623}">
          <xlrd:rvb i="11671"/>
        </ext>
      </extLst>
    </bk>
    <bk>
      <extLst>
        <ext uri="{3e2802c4-a4d2-4d8b-9148-e3be6c30e623}">
          <xlrd:rvb i="11672"/>
        </ext>
      </extLst>
    </bk>
    <bk>
      <extLst>
        <ext uri="{3e2802c4-a4d2-4d8b-9148-e3be6c30e623}">
          <xlrd:rvb i="11673"/>
        </ext>
      </extLst>
    </bk>
    <bk>
      <extLst>
        <ext uri="{3e2802c4-a4d2-4d8b-9148-e3be6c30e623}">
          <xlrd:rvb i="11674"/>
        </ext>
      </extLst>
    </bk>
    <bk>
      <extLst>
        <ext uri="{3e2802c4-a4d2-4d8b-9148-e3be6c30e623}">
          <xlrd:rvb i="11675"/>
        </ext>
      </extLst>
    </bk>
    <bk>
      <extLst>
        <ext uri="{3e2802c4-a4d2-4d8b-9148-e3be6c30e623}">
          <xlrd:rvb i="11676"/>
        </ext>
      </extLst>
    </bk>
    <bk>
      <extLst>
        <ext uri="{3e2802c4-a4d2-4d8b-9148-e3be6c30e623}">
          <xlrd:rvb i="11677"/>
        </ext>
      </extLst>
    </bk>
    <bk>
      <extLst>
        <ext uri="{3e2802c4-a4d2-4d8b-9148-e3be6c30e623}">
          <xlrd:rvb i="11678"/>
        </ext>
      </extLst>
    </bk>
    <bk>
      <extLst>
        <ext uri="{3e2802c4-a4d2-4d8b-9148-e3be6c30e623}">
          <xlrd:rvb i="11679"/>
        </ext>
      </extLst>
    </bk>
    <bk>
      <extLst>
        <ext uri="{3e2802c4-a4d2-4d8b-9148-e3be6c30e623}">
          <xlrd:rvb i="11680"/>
        </ext>
      </extLst>
    </bk>
    <bk>
      <extLst>
        <ext uri="{3e2802c4-a4d2-4d8b-9148-e3be6c30e623}">
          <xlrd:rvb i="11681"/>
        </ext>
      </extLst>
    </bk>
    <bk>
      <extLst>
        <ext uri="{3e2802c4-a4d2-4d8b-9148-e3be6c30e623}">
          <xlrd:rvb i="11682"/>
        </ext>
      </extLst>
    </bk>
    <bk>
      <extLst>
        <ext uri="{3e2802c4-a4d2-4d8b-9148-e3be6c30e623}">
          <xlrd:rvb i="11683"/>
        </ext>
      </extLst>
    </bk>
    <bk>
      <extLst>
        <ext uri="{3e2802c4-a4d2-4d8b-9148-e3be6c30e623}">
          <xlrd:rvb i="11684"/>
        </ext>
      </extLst>
    </bk>
    <bk>
      <extLst>
        <ext uri="{3e2802c4-a4d2-4d8b-9148-e3be6c30e623}">
          <xlrd:rvb i="11685"/>
        </ext>
      </extLst>
    </bk>
    <bk>
      <extLst>
        <ext uri="{3e2802c4-a4d2-4d8b-9148-e3be6c30e623}">
          <xlrd:rvb i="11686"/>
        </ext>
      </extLst>
    </bk>
    <bk>
      <extLst>
        <ext uri="{3e2802c4-a4d2-4d8b-9148-e3be6c30e623}">
          <xlrd:rvb i="11687"/>
        </ext>
      </extLst>
    </bk>
    <bk>
      <extLst>
        <ext uri="{3e2802c4-a4d2-4d8b-9148-e3be6c30e623}">
          <xlrd:rvb i="11688"/>
        </ext>
      </extLst>
    </bk>
    <bk>
      <extLst>
        <ext uri="{3e2802c4-a4d2-4d8b-9148-e3be6c30e623}">
          <xlrd:rvb i="11689"/>
        </ext>
      </extLst>
    </bk>
    <bk>
      <extLst>
        <ext uri="{3e2802c4-a4d2-4d8b-9148-e3be6c30e623}">
          <xlrd:rvb i="11690"/>
        </ext>
      </extLst>
    </bk>
    <bk>
      <extLst>
        <ext uri="{3e2802c4-a4d2-4d8b-9148-e3be6c30e623}">
          <xlrd:rvb i="11691"/>
        </ext>
      </extLst>
    </bk>
    <bk>
      <extLst>
        <ext uri="{3e2802c4-a4d2-4d8b-9148-e3be6c30e623}">
          <xlrd:rvb i="11692"/>
        </ext>
      </extLst>
    </bk>
    <bk>
      <extLst>
        <ext uri="{3e2802c4-a4d2-4d8b-9148-e3be6c30e623}">
          <xlrd:rvb i="11693"/>
        </ext>
      </extLst>
    </bk>
    <bk>
      <extLst>
        <ext uri="{3e2802c4-a4d2-4d8b-9148-e3be6c30e623}">
          <xlrd:rvb i="11694"/>
        </ext>
      </extLst>
    </bk>
    <bk>
      <extLst>
        <ext uri="{3e2802c4-a4d2-4d8b-9148-e3be6c30e623}">
          <xlrd:rvb i="11695"/>
        </ext>
      </extLst>
    </bk>
    <bk>
      <extLst>
        <ext uri="{3e2802c4-a4d2-4d8b-9148-e3be6c30e623}">
          <xlrd:rvb i="11696"/>
        </ext>
      </extLst>
    </bk>
    <bk>
      <extLst>
        <ext uri="{3e2802c4-a4d2-4d8b-9148-e3be6c30e623}">
          <xlrd:rvb i="11697"/>
        </ext>
      </extLst>
    </bk>
    <bk>
      <extLst>
        <ext uri="{3e2802c4-a4d2-4d8b-9148-e3be6c30e623}">
          <xlrd:rvb i="11698"/>
        </ext>
      </extLst>
    </bk>
    <bk>
      <extLst>
        <ext uri="{3e2802c4-a4d2-4d8b-9148-e3be6c30e623}">
          <xlrd:rvb i="11699"/>
        </ext>
      </extLst>
    </bk>
    <bk>
      <extLst>
        <ext uri="{3e2802c4-a4d2-4d8b-9148-e3be6c30e623}">
          <xlrd:rvb i="11700"/>
        </ext>
      </extLst>
    </bk>
    <bk>
      <extLst>
        <ext uri="{3e2802c4-a4d2-4d8b-9148-e3be6c30e623}">
          <xlrd:rvb i="11701"/>
        </ext>
      </extLst>
    </bk>
    <bk>
      <extLst>
        <ext uri="{3e2802c4-a4d2-4d8b-9148-e3be6c30e623}">
          <xlrd:rvb i="11702"/>
        </ext>
      </extLst>
    </bk>
    <bk>
      <extLst>
        <ext uri="{3e2802c4-a4d2-4d8b-9148-e3be6c30e623}">
          <xlrd:rvb i="11703"/>
        </ext>
      </extLst>
    </bk>
    <bk>
      <extLst>
        <ext uri="{3e2802c4-a4d2-4d8b-9148-e3be6c30e623}">
          <xlrd:rvb i="11704"/>
        </ext>
      </extLst>
    </bk>
    <bk>
      <extLst>
        <ext uri="{3e2802c4-a4d2-4d8b-9148-e3be6c30e623}">
          <xlrd:rvb i="11705"/>
        </ext>
      </extLst>
    </bk>
    <bk>
      <extLst>
        <ext uri="{3e2802c4-a4d2-4d8b-9148-e3be6c30e623}">
          <xlrd:rvb i="11706"/>
        </ext>
      </extLst>
    </bk>
    <bk>
      <extLst>
        <ext uri="{3e2802c4-a4d2-4d8b-9148-e3be6c30e623}">
          <xlrd:rvb i="11707"/>
        </ext>
      </extLst>
    </bk>
    <bk>
      <extLst>
        <ext uri="{3e2802c4-a4d2-4d8b-9148-e3be6c30e623}">
          <xlrd:rvb i="11708"/>
        </ext>
      </extLst>
    </bk>
    <bk>
      <extLst>
        <ext uri="{3e2802c4-a4d2-4d8b-9148-e3be6c30e623}">
          <xlrd:rvb i="11709"/>
        </ext>
      </extLst>
    </bk>
    <bk>
      <extLst>
        <ext uri="{3e2802c4-a4d2-4d8b-9148-e3be6c30e623}">
          <xlrd:rvb i="11710"/>
        </ext>
      </extLst>
    </bk>
    <bk>
      <extLst>
        <ext uri="{3e2802c4-a4d2-4d8b-9148-e3be6c30e623}">
          <xlrd:rvb i="11711"/>
        </ext>
      </extLst>
    </bk>
    <bk>
      <extLst>
        <ext uri="{3e2802c4-a4d2-4d8b-9148-e3be6c30e623}">
          <xlrd:rvb i="11712"/>
        </ext>
      </extLst>
    </bk>
    <bk>
      <extLst>
        <ext uri="{3e2802c4-a4d2-4d8b-9148-e3be6c30e623}">
          <xlrd:rvb i="11713"/>
        </ext>
      </extLst>
    </bk>
    <bk>
      <extLst>
        <ext uri="{3e2802c4-a4d2-4d8b-9148-e3be6c30e623}">
          <xlrd:rvb i="11714"/>
        </ext>
      </extLst>
    </bk>
    <bk>
      <extLst>
        <ext uri="{3e2802c4-a4d2-4d8b-9148-e3be6c30e623}">
          <xlrd:rvb i="11715"/>
        </ext>
      </extLst>
    </bk>
    <bk>
      <extLst>
        <ext uri="{3e2802c4-a4d2-4d8b-9148-e3be6c30e623}">
          <xlrd:rvb i="11716"/>
        </ext>
      </extLst>
    </bk>
    <bk>
      <extLst>
        <ext uri="{3e2802c4-a4d2-4d8b-9148-e3be6c30e623}">
          <xlrd:rvb i="11717"/>
        </ext>
      </extLst>
    </bk>
    <bk>
      <extLst>
        <ext uri="{3e2802c4-a4d2-4d8b-9148-e3be6c30e623}">
          <xlrd:rvb i="11718"/>
        </ext>
      </extLst>
    </bk>
    <bk>
      <extLst>
        <ext uri="{3e2802c4-a4d2-4d8b-9148-e3be6c30e623}">
          <xlrd:rvb i="11719"/>
        </ext>
      </extLst>
    </bk>
    <bk>
      <extLst>
        <ext uri="{3e2802c4-a4d2-4d8b-9148-e3be6c30e623}">
          <xlrd:rvb i="11720"/>
        </ext>
      </extLst>
    </bk>
    <bk>
      <extLst>
        <ext uri="{3e2802c4-a4d2-4d8b-9148-e3be6c30e623}">
          <xlrd:rvb i="11721"/>
        </ext>
      </extLst>
    </bk>
    <bk>
      <extLst>
        <ext uri="{3e2802c4-a4d2-4d8b-9148-e3be6c30e623}">
          <xlrd:rvb i="11722"/>
        </ext>
      </extLst>
    </bk>
    <bk>
      <extLst>
        <ext uri="{3e2802c4-a4d2-4d8b-9148-e3be6c30e623}">
          <xlrd:rvb i="11723"/>
        </ext>
      </extLst>
    </bk>
    <bk>
      <extLst>
        <ext uri="{3e2802c4-a4d2-4d8b-9148-e3be6c30e623}">
          <xlrd:rvb i="11724"/>
        </ext>
      </extLst>
    </bk>
    <bk>
      <extLst>
        <ext uri="{3e2802c4-a4d2-4d8b-9148-e3be6c30e623}">
          <xlrd:rvb i="11725"/>
        </ext>
      </extLst>
    </bk>
    <bk>
      <extLst>
        <ext uri="{3e2802c4-a4d2-4d8b-9148-e3be6c30e623}">
          <xlrd:rvb i="11726"/>
        </ext>
      </extLst>
    </bk>
    <bk>
      <extLst>
        <ext uri="{3e2802c4-a4d2-4d8b-9148-e3be6c30e623}">
          <xlrd:rvb i="11727"/>
        </ext>
      </extLst>
    </bk>
    <bk>
      <extLst>
        <ext uri="{3e2802c4-a4d2-4d8b-9148-e3be6c30e623}">
          <xlrd:rvb i="11728"/>
        </ext>
      </extLst>
    </bk>
    <bk>
      <extLst>
        <ext uri="{3e2802c4-a4d2-4d8b-9148-e3be6c30e623}">
          <xlrd:rvb i="11729"/>
        </ext>
      </extLst>
    </bk>
    <bk>
      <extLst>
        <ext uri="{3e2802c4-a4d2-4d8b-9148-e3be6c30e623}">
          <xlrd:rvb i="11730"/>
        </ext>
      </extLst>
    </bk>
    <bk>
      <extLst>
        <ext uri="{3e2802c4-a4d2-4d8b-9148-e3be6c30e623}">
          <xlrd:rvb i="11731"/>
        </ext>
      </extLst>
    </bk>
    <bk>
      <extLst>
        <ext uri="{3e2802c4-a4d2-4d8b-9148-e3be6c30e623}">
          <xlrd:rvb i="11732"/>
        </ext>
      </extLst>
    </bk>
    <bk>
      <extLst>
        <ext uri="{3e2802c4-a4d2-4d8b-9148-e3be6c30e623}">
          <xlrd:rvb i="11733"/>
        </ext>
      </extLst>
    </bk>
    <bk>
      <extLst>
        <ext uri="{3e2802c4-a4d2-4d8b-9148-e3be6c30e623}">
          <xlrd:rvb i="11734"/>
        </ext>
      </extLst>
    </bk>
    <bk>
      <extLst>
        <ext uri="{3e2802c4-a4d2-4d8b-9148-e3be6c30e623}">
          <xlrd:rvb i="11735"/>
        </ext>
      </extLst>
    </bk>
    <bk>
      <extLst>
        <ext uri="{3e2802c4-a4d2-4d8b-9148-e3be6c30e623}">
          <xlrd:rvb i="11736"/>
        </ext>
      </extLst>
    </bk>
    <bk>
      <extLst>
        <ext uri="{3e2802c4-a4d2-4d8b-9148-e3be6c30e623}">
          <xlrd:rvb i="11737"/>
        </ext>
      </extLst>
    </bk>
    <bk>
      <extLst>
        <ext uri="{3e2802c4-a4d2-4d8b-9148-e3be6c30e623}">
          <xlrd:rvb i="11738"/>
        </ext>
      </extLst>
    </bk>
    <bk>
      <extLst>
        <ext uri="{3e2802c4-a4d2-4d8b-9148-e3be6c30e623}">
          <xlrd:rvb i="11739"/>
        </ext>
      </extLst>
    </bk>
    <bk>
      <extLst>
        <ext uri="{3e2802c4-a4d2-4d8b-9148-e3be6c30e623}">
          <xlrd:rvb i="11740"/>
        </ext>
      </extLst>
    </bk>
    <bk>
      <extLst>
        <ext uri="{3e2802c4-a4d2-4d8b-9148-e3be6c30e623}">
          <xlrd:rvb i="11741"/>
        </ext>
      </extLst>
    </bk>
    <bk>
      <extLst>
        <ext uri="{3e2802c4-a4d2-4d8b-9148-e3be6c30e623}">
          <xlrd:rvb i="11742"/>
        </ext>
      </extLst>
    </bk>
    <bk>
      <extLst>
        <ext uri="{3e2802c4-a4d2-4d8b-9148-e3be6c30e623}">
          <xlrd:rvb i="11743"/>
        </ext>
      </extLst>
    </bk>
    <bk>
      <extLst>
        <ext uri="{3e2802c4-a4d2-4d8b-9148-e3be6c30e623}">
          <xlrd:rvb i="11744"/>
        </ext>
      </extLst>
    </bk>
    <bk>
      <extLst>
        <ext uri="{3e2802c4-a4d2-4d8b-9148-e3be6c30e623}">
          <xlrd:rvb i="11745"/>
        </ext>
      </extLst>
    </bk>
    <bk>
      <extLst>
        <ext uri="{3e2802c4-a4d2-4d8b-9148-e3be6c30e623}">
          <xlrd:rvb i="11746"/>
        </ext>
      </extLst>
    </bk>
    <bk>
      <extLst>
        <ext uri="{3e2802c4-a4d2-4d8b-9148-e3be6c30e623}">
          <xlrd:rvb i="11747"/>
        </ext>
      </extLst>
    </bk>
    <bk>
      <extLst>
        <ext uri="{3e2802c4-a4d2-4d8b-9148-e3be6c30e623}">
          <xlrd:rvb i="11748"/>
        </ext>
      </extLst>
    </bk>
    <bk>
      <extLst>
        <ext uri="{3e2802c4-a4d2-4d8b-9148-e3be6c30e623}">
          <xlrd:rvb i="11749"/>
        </ext>
      </extLst>
    </bk>
    <bk>
      <extLst>
        <ext uri="{3e2802c4-a4d2-4d8b-9148-e3be6c30e623}">
          <xlrd:rvb i="11750"/>
        </ext>
      </extLst>
    </bk>
    <bk>
      <extLst>
        <ext uri="{3e2802c4-a4d2-4d8b-9148-e3be6c30e623}">
          <xlrd:rvb i="11751"/>
        </ext>
      </extLst>
    </bk>
    <bk>
      <extLst>
        <ext uri="{3e2802c4-a4d2-4d8b-9148-e3be6c30e623}">
          <xlrd:rvb i="11752"/>
        </ext>
      </extLst>
    </bk>
    <bk>
      <extLst>
        <ext uri="{3e2802c4-a4d2-4d8b-9148-e3be6c30e623}">
          <xlrd:rvb i="11753"/>
        </ext>
      </extLst>
    </bk>
    <bk>
      <extLst>
        <ext uri="{3e2802c4-a4d2-4d8b-9148-e3be6c30e623}">
          <xlrd:rvb i="11754"/>
        </ext>
      </extLst>
    </bk>
    <bk>
      <extLst>
        <ext uri="{3e2802c4-a4d2-4d8b-9148-e3be6c30e623}">
          <xlrd:rvb i="11755"/>
        </ext>
      </extLst>
    </bk>
    <bk>
      <extLst>
        <ext uri="{3e2802c4-a4d2-4d8b-9148-e3be6c30e623}">
          <xlrd:rvb i="11756"/>
        </ext>
      </extLst>
    </bk>
    <bk>
      <extLst>
        <ext uri="{3e2802c4-a4d2-4d8b-9148-e3be6c30e623}">
          <xlrd:rvb i="11757"/>
        </ext>
      </extLst>
    </bk>
    <bk>
      <extLst>
        <ext uri="{3e2802c4-a4d2-4d8b-9148-e3be6c30e623}">
          <xlrd:rvb i="11758"/>
        </ext>
      </extLst>
    </bk>
    <bk>
      <extLst>
        <ext uri="{3e2802c4-a4d2-4d8b-9148-e3be6c30e623}">
          <xlrd:rvb i="11759"/>
        </ext>
      </extLst>
    </bk>
    <bk>
      <extLst>
        <ext uri="{3e2802c4-a4d2-4d8b-9148-e3be6c30e623}">
          <xlrd:rvb i="11760"/>
        </ext>
      </extLst>
    </bk>
    <bk>
      <extLst>
        <ext uri="{3e2802c4-a4d2-4d8b-9148-e3be6c30e623}">
          <xlrd:rvb i="11761"/>
        </ext>
      </extLst>
    </bk>
    <bk>
      <extLst>
        <ext uri="{3e2802c4-a4d2-4d8b-9148-e3be6c30e623}">
          <xlrd:rvb i="11762"/>
        </ext>
      </extLst>
    </bk>
    <bk>
      <extLst>
        <ext uri="{3e2802c4-a4d2-4d8b-9148-e3be6c30e623}">
          <xlrd:rvb i="11763"/>
        </ext>
      </extLst>
    </bk>
    <bk>
      <extLst>
        <ext uri="{3e2802c4-a4d2-4d8b-9148-e3be6c30e623}">
          <xlrd:rvb i="11764"/>
        </ext>
      </extLst>
    </bk>
    <bk>
      <extLst>
        <ext uri="{3e2802c4-a4d2-4d8b-9148-e3be6c30e623}">
          <xlrd:rvb i="11765"/>
        </ext>
      </extLst>
    </bk>
    <bk>
      <extLst>
        <ext uri="{3e2802c4-a4d2-4d8b-9148-e3be6c30e623}">
          <xlrd:rvb i="11766"/>
        </ext>
      </extLst>
    </bk>
    <bk>
      <extLst>
        <ext uri="{3e2802c4-a4d2-4d8b-9148-e3be6c30e623}">
          <xlrd:rvb i="11767"/>
        </ext>
      </extLst>
    </bk>
    <bk>
      <extLst>
        <ext uri="{3e2802c4-a4d2-4d8b-9148-e3be6c30e623}">
          <xlrd:rvb i="11768"/>
        </ext>
      </extLst>
    </bk>
    <bk>
      <extLst>
        <ext uri="{3e2802c4-a4d2-4d8b-9148-e3be6c30e623}">
          <xlrd:rvb i="11769"/>
        </ext>
      </extLst>
    </bk>
    <bk>
      <extLst>
        <ext uri="{3e2802c4-a4d2-4d8b-9148-e3be6c30e623}">
          <xlrd:rvb i="11770"/>
        </ext>
      </extLst>
    </bk>
    <bk>
      <extLst>
        <ext uri="{3e2802c4-a4d2-4d8b-9148-e3be6c30e623}">
          <xlrd:rvb i="11771"/>
        </ext>
      </extLst>
    </bk>
    <bk>
      <extLst>
        <ext uri="{3e2802c4-a4d2-4d8b-9148-e3be6c30e623}">
          <xlrd:rvb i="11772"/>
        </ext>
      </extLst>
    </bk>
    <bk>
      <extLst>
        <ext uri="{3e2802c4-a4d2-4d8b-9148-e3be6c30e623}">
          <xlrd:rvb i="11773"/>
        </ext>
      </extLst>
    </bk>
    <bk>
      <extLst>
        <ext uri="{3e2802c4-a4d2-4d8b-9148-e3be6c30e623}">
          <xlrd:rvb i="11774"/>
        </ext>
      </extLst>
    </bk>
    <bk>
      <extLst>
        <ext uri="{3e2802c4-a4d2-4d8b-9148-e3be6c30e623}">
          <xlrd:rvb i="11775"/>
        </ext>
      </extLst>
    </bk>
    <bk>
      <extLst>
        <ext uri="{3e2802c4-a4d2-4d8b-9148-e3be6c30e623}">
          <xlrd:rvb i="11776"/>
        </ext>
      </extLst>
    </bk>
    <bk>
      <extLst>
        <ext uri="{3e2802c4-a4d2-4d8b-9148-e3be6c30e623}">
          <xlrd:rvb i="11777"/>
        </ext>
      </extLst>
    </bk>
    <bk>
      <extLst>
        <ext uri="{3e2802c4-a4d2-4d8b-9148-e3be6c30e623}">
          <xlrd:rvb i="11778"/>
        </ext>
      </extLst>
    </bk>
    <bk>
      <extLst>
        <ext uri="{3e2802c4-a4d2-4d8b-9148-e3be6c30e623}">
          <xlrd:rvb i="11779"/>
        </ext>
      </extLst>
    </bk>
    <bk>
      <extLst>
        <ext uri="{3e2802c4-a4d2-4d8b-9148-e3be6c30e623}">
          <xlrd:rvb i="11780"/>
        </ext>
      </extLst>
    </bk>
    <bk>
      <extLst>
        <ext uri="{3e2802c4-a4d2-4d8b-9148-e3be6c30e623}">
          <xlrd:rvb i="11781"/>
        </ext>
      </extLst>
    </bk>
    <bk>
      <extLst>
        <ext uri="{3e2802c4-a4d2-4d8b-9148-e3be6c30e623}">
          <xlrd:rvb i="11782"/>
        </ext>
      </extLst>
    </bk>
    <bk>
      <extLst>
        <ext uri="{3e2802c4-a4d2-4d8b-9148-e3be6c30e623}">
          <xlrd:rvb i="11783"/>
        </ext>
      </extLst>
    </bk>
    <bk>
      <extLst>
        <ext uri="{3e2802c4-a4d2-4d8b-9148-e3be6c30e623}">
          <xlrd:rvb i="11784"/>
        </ext>
      </extLst>
    </bk>
    <bk>
      <extLst>
        <ext uri="{3e2802c4-a4d2-4d8b-9148-e3be6c30e623}">
          <xlrd:rvb i="11785"/>
        </ext>
      </extLst>
    </bk>
    <bk>
      <extLst>
        <ext uri="{3e2802c4-a4d2-4d8b-9148-e3be6c30e623}">
          <xlrd:rvb i="11786"/>
        </ext>
      </extLst>
    </bk>
    <bk>
      <extLst>
        <ext uri="{3e2802c4-a4d2-4d8b-9148-e3be6c30e623}">
          <xlrd:rvb i="11787"/>
        </ext>
      </extLst>
    </bk>
    <bk>
      <extLst>
        <ext uri="{3e2802c4-a4d2-4d8b-9148-e3be6c30e623}">
          <xlrd:rvb i="11788"/>
        </ext>
      </extLst>
    </bk>
    <bk>
      <extLst>
        <ext uri="{3e2802c4-a4d2-4d8b-9148-e3be6c30e623}">
          <xlrd:rvb i="11789"/>
        </ext>
      </extLst>
    </bk>
    <bk>
      <extLst>
        <ext uri="{3e2802c4-a4d2-4d8b-9148-e3be6c30e623}">
          <xlrd:rvb i="11790"/>
        </ext>
      </extLst>
    </bk>
    <bk>
      <extLst>
        <ext uri="{3e2802c4-a4d2-4d8b-9148-e3be6c30e623}">
          <xlrd:rvb i="11791"/>
        </ext>
      </extLst>
    </bk>
    <bk>
      <extLst>
        <ext uri="{3e2802c4-a4d2-4d8b-9148-e3be6c30e623}">
          <xlrd:rvb i="11792"/>
        </ext>
      </extLst>
    </bk>
    <bk>
      <extLst>
        <ext uri="{3e2802c4-a4d2-4d8b-9148-e3be6c30e623}">
          <xlrd:rvb i="11793"/>
        </ext>
      </extLst>
    </bk>
    <bk>
      <extLst>
        <ext uri="{3e2802c4-a4d2-4d8b-9148-e3be6c30e623}">
          <xlrd:rvb i="11794"/>
        </ext>
      </extLst>
    </bk>
    <bk>
      <extLst>
        <ext uri="{3e2802c4-a4d2-4d8b-9148-e3be6c30e623}">
          <xlrd:rvb i="11795"/>
        </ext>
      </extLst>
    </bk>
    <bk>
      <extLst>
        <ext uri="{3e2802c4-a4d2-4d8b-9148-e3be6c30e623}">
          <xlrd:rvb i="11796"/>
        </ext>
      </extLst>
    </bk>
    <bk>
      <extLst>
        <ext uri="{3e2802c4-a4d2-4d8b-9148-e3be6c30e623}">
          <xlrd:rvb i="11797"/>
        </ext>
      </extLst>
    </bk>
    <bk>
      <extLst>
        <ext uri="{3e2802c4-a4d2-4d8b-9148-e3be6c30e623}">
          <xlrd:rvb i="11798"/>
        </ext>
      </extLst>
    </bk>
    <bk>
      <extLst>
        <ext uri="{3e2802c4-a4d2-4d8b-9148-e3be6c30e623}">
          <xlrd:rvb i="11799"/>
        </ext>
      </extLst>
    </bk>
    <bk>
      <extLst>
        <ext uri="{3e2802c4-a4d2-4d8b-9148-e3be6c30e623}">
          <xlrd:rvb i="11800"/>
        </ext>
      </extLst>
    </bk>
    <bk>
      <extLst>
        <ext uri="{3e2802c4-a4d2-4d8b-9148-e3be6c30e623}">
          <xlrd:rvb i="11801"/>
        </ext>
      </extLst>
    </bk>
    <bk>
      <extLst>
        <ext uri="{3e2802c4-a4d2-4d8b-9148-e3be6c30e623}">
          <xlrd:rvb i="11802"/>
        </ext>
      </extLst>
    </bk>
    <bk>
      <extLst>
        <ext uri="{3e2802c4-a4d2-4d8b-9148-e3be6c30e623}">
          <xlrd:rvb i="11803"/>
        </ext>
      </extLst>
    </bk>
    <bk>
      <extLst>
        <ext uri="{3e2802c4-a4d2-4d8b-9148-e3be6c30e623}">
          <xlrd:rvb i="11804"/>
        </ext>
      </extLst>
    </bk>
    <bk>
      <extLst>
        <ext uri="{3e2802c4-a4d2-4d8b-9148-e3be6c30e623}">
          <xlrd:rvb i="11805"/>
        </ext>
      </extLst>
    </bk>
    <bk>
      <extLst>
        <ext uri="{3e2802c4-a4d2-4d8b-9148-e3be6c30e623}">
          <xlrd:rvb i="11806"/>
        </ext>
      </extLst>
    </bk>
    <bk>
      <extLst>
        <ext uri="{3e2802c4-a4d2-4d8b-9148-e3be6c30e623}">
          <xlrd:rvb i="11807"/>
        </ext>
      </extLst>
    </bk>
    <bk>
      <extLst>
        <ext uri="{3e2802c4-a4d2-4d8b-9148-e3be6c30e623}">
          <xlrd:rvb i="11808"/>
        </ext>
      </extLst>
    </bk>
    <bk>
      <extLst>
        <ext uri="{3e2802c4-a4d2-4d8b-9148-e3be6c30e623}">
          <xlrd:rvb i="11809"/>
        </ext>
      </extLst>
    </bk>
    <bk>
      <extLst>
        <ext uri="{3e2802c4-a4d2-4d8b-9148-e3be6c30e623}">
          <xlrd:rvb i="11810"/>
        </ext>
      </extLst>
    </bk>
    <bk>
      <extLst>
        <ext uri="{3e2802c4-a4d2-4d8b-9148-e3be6c30e623}">
          <xlrd:rvb i="11811"/>
        </ext>
      </extLst>
    </bk>
    <bk>
      <extLst>
        <ext uri="{3e2802c4-a4d2-4d8b-9148-e3be6c30e623}">
          <xlrd:rvb i="11812"/>
        </ext>
      </extLst>
    </bk>
    <bk>
      <extLst>
        <ext uri="{3e2802c4-a4d2-4d8b-9148-e3be6c30e623}">
          <xlrd:rvb i="11813"/>
        </ext>
      </extLst>
    </bk>
    <bk>
      <extLst>
        <ext uri="{3e2802c4-a4d2-4d8b-9148-e3be6c30e623}">
          <xlrd:rvb i="11814"/>
        </ext>
      </extLst>
    </bk>
    <bk>
      <extLst>
        <ext uri="{3e2802c4-a4d2-4d8b-9148-e3be6c30e623}">
          <xlrd:rvb i="11815"/>
        </ext>
      </extLst>
    </bk>
    <bk>
      <extLst>
        <ext uri="{3e2802c4-a4d2-4d8b-9148-e3be6c30e623}">
          <xlrd:rvb i="11816"/>
        </ext>
      </extLst>
    </bk>
    <bk>
      <extLst>
        <ext uri="{3e2802c4-a4d2-4d8b-9148-e3be6c30e623}">
          <xlrd:rvb i="11817"/>
        </ext>
      </extLst>
    </bk>
    <bk>
      <extLst>
        <ext uri="{3e2802c4-a4d2-4d8b-9148-e3be6c30e623}">
          <xlrd:rvb i="11818"/>
        </ext>
      </extLst>
    </bk>
    <bk>
      <extLst>
        <ext uri="{3e2802c4-a4d2-4d8b-9148-e3be6c30e623}">
          <xlrd:rvb i="11819"/>
        </ext>
      </extLst>
    </bk>
    <bk>
      <extLst>
        <ext uri="{3e2802c4-a4d2-4d8b-9148-e3be6c30e623}">
          <xlrd:rvb i="11820"/>
        </ext>
      </extLst>
    </bk>
    <bk>
      <extLst>
        <ext uri="{3e2802c4-a4d2-4d8b-9148-e3be6c30e623}">
          <xlrd:rvb i="11821"/>
        </ext>
      </extLst>
    </bk>
    <bk>
      <extLst>
        <ext uri="{3e2802c4-a4d2-4d8b-9148-e3be6c30e623}">
          <xlrd:rvb i="11822"/>
        </ext>
      </extLst>
    </bk>
    <bk>
      <extLst>
        <ext uri="{3e2802c4-a4d2-4d8b-9148-e3be6c30e623}">
          <xlrd:rvb i="11823"/>
        </ext>
      </extLst>
    </bk>
    <bk>
      <extLst>
        <ext uri="{3e2802c4-a4d2-4d8b-9148-e3be6c30e623}">
          <xlrd:rvb i="11824"/>
        </ext>
      </extLst>
    </bk>
    <bk>
      <extLst>
        <ext uri="{3e2802c4-a4d2-4d8b-9148-e3be6c30e623}">
          <xlrd:rvb i="11825"/>
        </ext>
      </extLst>
    </bk>
    <bk>
      <extLst>
        <ext uri="{3e2802c4-a4d2-4d8b-9148-e3be6c30e623}">
          <xlrd:rvb i="11826"/>
        </ext>
      </extLst>
    </bk>
    <bk>
      <extLst>
        <ext uri="{3e2802c4-a4d2-4d8b-9148-e3be6c30e623}">
          <xlrd:rvb i="11827"/>
        </ext>
      </extLst>
    </bk>
    <bk>
      <extLst>
        <ext uri="{3e2802c4-a4d2-4d8b-9148-e3be6c30e623}">
          <xlrd:rvb i="11828"/>
        </ext>
      </extLst>
    </bk>
    <bk>
      <extLst>
        <ext uri="{3e2802c4-a4d2-4d8b-9148-e3be6c30e623}">
          <xlrd:rvb i="11829"/>
        </ext>
      </extLst>
    </bk>
    <bk>
      <extLst>
        <ext uri="{3e2802c4-a4d2-4d8b-9148-e3be6c30e623}">
          <xlrd:rvb i="11830"/>
        </ext>
      </extLst>
    </bk>
    <bk>
      <extLst>
        <ext uri="{3e2802c4-a4d2-4d8b-9148-e3be6c30e623}">
          <xlrd:rvb i="11831"/>
        </ext>
      </extLst>
    </bk>
    <bk>
      <extLst>
        <ext uri="{3e2802c4-a4d2-4d8b-9148-e3be6c30e623}">
          <xlrd:rvb i="11832"/>
        </ext>
      </extLst>
    </bk>
    <bk>
      <extLst>
        <ext uri="{3e2802c4-a4d2-4d8b-9148-e3be6c30e623}">
          <xlrd:rvb i="11833"/>
        </ext>
      </extLst>
    </bk>
    <bk>
      <extLst>
        <ext uri="{3e2802c4-a4d2-4d8b-9148-e3be6c30e623}">
          <xlrd:rvb i="11834"/>
        </ext>
      </extLst>
    </bk>
    <bk>
      <extLst>
        <ext uri="{3e2802c4-a4d2-4d8b-9148-e3be6c30e623}">
          <xlrd:rvb i="11835"/>
        </ext>
      </extLst>
    </bk>
    <bk>
      <extLst>
        <ext uri="{3e2802c4-a4d2-4d8b-9148-e3be6c30e623}">
          <xlrd:rvb i="11836"/>
        </ext>
      </extLst>
    </bk>
    <bk>
      <extLst>
        <ext uri="{3e2802c4-a4d2-4d8b-9148-e3be6c30e623}">
          <xlrd:rvb i="11837"/>
        </ext>
      </extLst>
    </bk>
    <bk>
      <extLst>
        <ext uri="{3e2802c4-a4d2-4d8b-9148-e3be6c30e623}">
          <xlrd:rvb i="11838"/>
        </ext>
      </extLst>
    </bk>
    <bk>
      <extLst>
        <ext uri="{3e2802c4-a4d2-4d8b-9148-e3be6c30e623}">
          <xlrd:rvb i="11839"/>
        </ext>
      </extLst>
    </bk>
    <bk>
      <extLst>
        <ext uri="{3e2802c4-a4d2-4d8b-9148-e3be6c30e623}">
          <xlrd:rvb i="11840"/>
        </ext>
      </extLst>
    </bk>
    <bk>
      <extLst>
        <ext uri="{3e2802c4-a4d2-4d8b-9148-e3be6c30e623}">
          <xlrd:rvb i="11841"/>
        </ext>
      </extLst>
    </bk>
    <bk>
      <extLst>
        <ext uri="{3e2802c4-a4d2-4d8b-9148-e3be6c30e623}">
          <xlrd:rvb i="11842"/>
        </ext>
      </extLst>
    </bk>
    <bk>
      <extLst>
        <ext uri="{3e2802c4-a4d2-4d8b-9148-e3be6c30e623}">
          <xlrd:rvb i="11843"/>
        </ext>
      </extLst>
    </bk>
    <bk>
      <extLst>
        <ext uri="{3e2802c4-a4d2-4d8b-9148-e3be6c30e623}">
          <xlrd:rvb i="11844"/>
        </ext>
      </extLst>
    </bk>
    <bk>
      <extLst>
        <ext uri="{3e2802c4-a4d2-4d8b-9148-e3be6c30e623}">
          <xlrd:rvb i="11845"/>
        </ext>
      </extLst>
    </bk>
    <bk>
      <extLst>
        <ext uri="{3e2802c4-a4d2-4d8b-9148-e3be6c30e623}">
          <xlrd:rvb i="11846"/>
        </ext>
      </extLst>
    </bk>
    <bk>
      <extLst>
        <ext uri="{3e2802c4-a4d2-4d8b-9148-e3be6c30e623}">
          <xlrd:rvb i="11847"/>
        </ext>
      </extLst>
    </bk>
    <bk>
      <extLst>
        <ext uri="{3e2802c4-a4d2-4d8b-9148-e3be6c30e623}">
          <xlrd:rvb i="11848"/>
        </ext>
      </extLst>
    </bk>
    <bk>
      <extLst>
        <ext uri="{3e2802c4-a4d2-4d8b-9148-e3be6c30e623}">
          <xlrd:rvb i="11849"/>
        </ext>
      </extLst>
    </bk>
    <bk>
      <extLst>
        <ext uri="{3e2802c4-a4d2-4d8b-9148-e3be6c30e623}">
          <xlrd:rvb i="11850"/>
        </ext>
      </extLst>
    </bk>
    <bk>
      <extLst>
        <ext uri="{3e2802c4-a4d2-4d8b-9148-e3be6c30e623}">
          <xlrd:rvb i="11851"/>
        </ext>
      </extLst>
    </bk>
    <bk>
      <extLst>
        <ext uri="{3e2802c4-a4d2-4d8b-9148-e3be6c30e623}">
          <xlrd:rvb i="11852"/>
        </ext>
      </extLst>
    </bk>
    <bk>
      <extLst>
        <ext uri="{3e2802c4-a4d2-4d8b-9148-e3be6c30e623}">
          <xlrd:rvb i="11853"/>
        </ext>
      </extLst>
    </bk>
    <bk>
      <extLst>
        <ext uri="{3e2802c4-a4d2-4d8b-9148-e3be6c30e623}">
          <xlrd:rvb i="11854"/>
        </ext>
      </extLst>
    </bk>
    <bk>
      <extLst>
        <ext uri="{3e2802c4-a4d2-4d8b-9148-e3be6c30e623}">
          <xlrd:rvb i="11855"/>
        </ext>
      </extLst>
    </bk>
    <bk>
      <extLst>
        <ext uri="{3e2802c4-a4d2-4d8b-9148-e3be6c30e623}">
          <xlrd:rvb i="11856"/>
        </ext>
      </extLst>
    </bk>
    <bk>
      <extLst>
        <ext uri="{3e2802c4-a4d2-4d8b-9148-e3be6c30e623}">
          <xlrd:rvb i="11857"/>
        </ext>
      </extLst>
    </bk>
    <bk>
      <extLst>
        <ext uri="{3e2802c4-a4d2-4d8b-9148-e3be6c30e623}">
          <xlrd:rvb i="11858"/>
        </ext>
      </extLst>
    </bk>
    <bk>
      <extLst>
        <ext uri="{3e2802c4-a4d2-4d8b-9148-e3be6c30e623}">
          <xlrd:rvb i="11859"/>
        </ext>
      </extLst>
    </bk>
    <bk>
      <extLst>
        <ext uri="{3e2802c4-a4d2-4d8b-9148-e3be6c30e623}">
          <xlrd:rvb i="11860"/>
        </ext>
      </extLst>
    </bk>
    <bk>
      <extLst>
        <ext uri="{3e2802c4-a4d2-4d8b-9148-e3be6c30e623}">
          <xlrd:rvb i="11861"/>
        </ext>
      </extLst>
    </bk>
    <bk>
      <extLst>
        <ext uri="{3e2802c4-a4d2-4d8b-9148-e3be6c30e623}">
          <xlrd:rvb i="11862"/>
        </ext>
      </extLst>
    </bk>
    <bk>
      <extLst>
        <ext uri="{3e2802c4-a4d2-4d8b-9148-e3be6c30e623}">
          <xlrd:rvb i="11863"/>
        </ext>
      </extLst>
    </bk>
    <bk>
      <extLst>
        <ext uri="{3e2802c4-a4d2-4d8b-9148-e3be6c30e623}">
          <xlrd:rvb i="11864"/>
        </ext>
      </extLst>
    </bk>
    <bk>
      <extLst>
        <ext uri="{3e2802c4-a4d2-4d8b-9148-e3be6c30e623}">
          <xlrd:rvb i="11865"/>
        </ext>
      </extLst>
    </bk>
    <bk>
      <extLst>
        <ext uri="{3e2802c4-a4d2-4d8b-9148-e3be6c30e623}">
          <xlrd:rvb i="11866"/>
        </ext>
      </extLst>
    </bk>
    <bk>
      <extLst>
        <ext uri="{3e2802c4-a4d2-4d8b-9148-e3be6c30e623}">
          <xlrd:rvb i="11867"/>
        </ext>
      </extLst>
    </bk>
    <bk>
      <extLst>
        <ext uri="{3e2802c4-a4d2-4d8b-9148-e3be6c30e623}">
          <xlrd:rvb i="11868"/>
        </ext>
      </extLst>
    </bk>
    <bk>
      <extLst>
        <ext uri="{3e2802c4-a4d2-4d8b-9148-e3be6c30e623}">
          <xlrd:rvb i="11869"/>
        </ext>
      </extLst>
    </bk>
    <bk>
      <extLst>
        <ext uri="{3e2802c4-a4d2-4d8b-9148-e3be6c30e623}">
          <xlrd:rvb i="11870"/>
        </ext>
      </extLst>
    </bk>
    <bk>
      <extLst>
        <ext uri="{3e2802c4-a4d2-4d8b-9148-e3be6c30e623}">
          <xlrd:rvb i="11871"/>
        </ext>
      </extLst>
    </bk>
    <bk>
      <extLst>
        <ext uri="{3e2802c4-a4d2-4d8b-9148-e3be6c30e623}">
          <xlrd:rvb i="11872"/>
        </ext>
      </extLst>
    </bk>
    <bk>
      <extLst>
        <ext uri="{3e2802c4-a4d2-4d8b-9148-e3be6c30e623}">
          <xlrd:rvb i="11873"/>
        </ext>
      </extLst>
    </bk>
    <bk>
      <extLst>
        <ext uri="{3e2802c4-a4d2-4d8b-9148-e3be6c30e623}">
          <xlrd:rvb i="11874"/>
        </ext>
      </extLst>
    </bk>
    <bk>
      <extLst>
        <ext uri="{3e2802c4-a4d2-4d8b-9148-e3be6c30e623}">
          <xlrd:rvb i="11875"/>
        </ext>
      </extLst>
    </bk>
    <bk>
      <extLst>
        <ext uri="{3e2802c4-a4d2-4d8b-9148-e3be6c30e623}">
          <xlrd:rvb i="11876"/>
        </ext>
      </extLst>
    </bk>
    <bk>
      <extLst>
        <ext uri="{3e2802c4-a4d2-4d8b-9148-e3be6c30e623}">
          <xlrd:rvb i="11877"/>
        </ext>
      </extLst>
    </bk>
    <bk>
      <extLst>
        <ext uri="{3e2802c4-a4d2-4d8b-9148-e3be6c30e623}">
          <xlrd:rvb i="11878"/>
        </ext>
      </extLst>
    </bk>
    <bk>
      <extLst>
        <ext uri="{3e2802c4-a4d2-4d8b-9148-e3be6c30e623}">
          <xlrd:rvb i="11879"/>
        </ext>
      </extLst>
    </bk>
    <bk>
      <extLst>
        <ext uri="{3e2802c4-a4d2-4d8b-9148-e3be6c30e623}">
          <xlrd:rvb i="11880"/>
        </ext>
      </extLst>
    </bk>
    <bk>
      <extLst>
        <ext uri="{3e2802c4-a4d2-4d8b-9148-e3be6c30e623}">
          <xlrd:rvb i="11881"/>
        </ext>
      </extLst>
    </bk>
    <bk>
      <extLst>
        <ext uri="{3e2802c4-a4d2-4d8b-9148-e3be6c30e623}">
          <xlrd:rvb i="11882"/>
        </ext>
      </extLst>
    </bk>
    <bk>
      <extLst>
        <ext uri="{3e2802c4-a4d2-4d8b-9148-e3be6c30e623}">
          <xlrd:rvb i="11883"/>
        </ext>
      </extLst>
    </bk>
    <bk>
      <extLst>
        <ext uri="{3e2802c4-a4d2-4d8b-9148-e3be6c30e623}">
          <xlrd:rvb i="11884"/>
        </ext>
      </extLst>
    </bk>
    <bk>
      <extLst>
        <ext uri="{3e2802c4-a4d2-4d8b-9148-e3be6c30e623}">
          <xlrd:rvb i="11885"/>
        </ext>
      </extLst>
    </bk>
    <bk>
      <extLst>
        <ext uri="{3e2802c4-a4d2-4d8b-9148-e3be6c30e623}">
          <xlrd:rvb i="11886"/>
        </ext>
      </extLst>
    </bk>
    <bk>
      <extLst>
        <ext uri="{3e2802c4-a4d2-4d8b-9148-e3be6c30e623}">
          <xlrd:rvb i="11887"/>
        </ext>
      </extLst>
    </bk>
    <bk>
      <extLst>
        <ext uri="{3e2802c4-a4d2-4d8b-9148-e3be6c30e623}">
          <xlrd:rvb i="11888"/>
        </ext>
      </extLst>
    </bk>
    <bk>
      <extLst>
        <ext uri="{3e2802c4-a4d2-4d8b-9148-e3be6c30e623}">
          <xlrd:rvb i="11889"/>
        </ext>
      </extLst>
    </bk>
    <bk>
      <extLst>
        <ext uri="{3e2802c4-a4d2-4d8b-9148-e3be6c30e623}">
          <xlrd:rvb i="11890"/>
        </ext>
      </extLst>
    </bk>
    <bk>
      <extLst>
        <ext uri="{3e2802c4-a4d2-4d8b-9148-e3be6c30e623}">
          <xlrd:rvb i="11891"/>
        </ext>
      </extLst>
    </bk>
    <bk>
      <extLst>
        <ext uri="{3e2802c4-a4d2-4d8b-9148-e3be6c30e623}">
          <xlrd:rvb i="11892"/>
        </ext>
      </extLst>
    </bk>
    <bk>
      <extLst>
        <ext uri="{3e2802c4-a4d2-4d8b-9148-e3be6c30e623}">
          <xlrd:rvb i="11893"/>
        </ext>
      </extLst>
    </bk>
    <bk>
      <extLst>
        <ext uri="{3e2802c4-a4d2-4d8b-9148-e3be6c30e623}">
          <xlrd:rvb i="11894"/>
        </ext>
      </extLst>
    </bk>
    <bk>
      <extLst>
        <ext uri="{3e2802c4-a4d2-4d8b-9148-e3be6c30e623}">
          <xlrd:rvb i="11895"/>
        </ext>
      </extLst>
    </bk>
    <bk>
      <extLst>
        <ext uri="{3e2802c4-a4d2-4d8b-9148-e3be6c30e623}">
          <xlrd:rvb i="11896"/>
        </ext>
      </extLst>
    </bk>
    <bk>
      <extLst>
        <ext uri="{3e2802c4-a4d2-4d8b-9148-e3be6c30e623}">
          <xlrd:rvb i="11897"/>
        </ext>
      </extLst>
    </bk>
    <bk>
      <extLst>
        <ext uri="{3e2802c4-a4d2-4d8b-9148-e3be6c30e623}">
          <xlrd:rvb i="11898"/>
        </ext>
      </extLst>
    </bk>
    <bk>
      <extLst>
        <ext uri="{3e2802c4-a4d2-4d8b-9148-e3be6c30e623}">
          <xlrd:rvb i="11899"/>
        </ext>
      </extLst>
    </bk>
    <bk>
      <extLst>
        <ext uri="{3e2802c4-a4d2-4d8b-9148-e3be6c30e623}">
          <xlrd:rvb i="11900"/>
        </ext>
      </extLst>
    </bk>
    <bk>
      <extLst>
        <ext uri="{3e2802c4-a4d2-4d8b-9148-e3be6c30e623}">
          <xlrd:rvb i="11901"/>
        </ext>
      </extLst>
    </bk>
    <bk>
      <extLst>
        <ext uri="{3e2802c4-a4d2-4d8b-9148-e3be6c30e623}">
          <xlrd:rvb i="11902"/>
        </ext>
      </extLst>
    </bk>
    <bk>
      <extLst>
        <ext uri="{3e2802c4-a4d2-4d8b-9148-e3be6c30e623}">
          <xlrd:rvb i="11903"/>
        </ext>
      </extLst>
    </bk>
    <bk>
      <extLst>
        <ext uri="{3e2802c4-a4d2-4d8b-9148-e3be6c30e623}">
          <xlrd:rvb i="11904"/>
        </ext>
      </extLst>
    </bk>
    <bk>
      <extLst>
        <ext uri="{3e2802c4-a4d2-4d8b-9148-e3be6c30e623}">
          <xlrd:rvb i="11905"/>
        </ext>
      </extLst>
    </bk>
    <bk>
      <extLst>
        <ext uri="{3e2802c4-a4d2-4d8b-9148-e3be6c30e623}">
          <xlrd:rvb i="11906"/>
        </ext>
      </extLst>
    </bk>
    <bk>
      <extLst>
        <ext uri="{3e2802c4-a4d2-4d8b-9148-e3be6c30e623}">
          <xlrd:rvb i="11907"/>
        </ext>
      </extLst>
    </bk>
    <bk>
      <extLst>
        <ext uri="{3e2802c4-a4d2-4d8b-9148-e3be6c30e623}">
          <xlrd:rvb i="11908"/>
        </ext>
      </extLst>
    </bk>
    <bk>
      <extLst>
        <ext uri="{3e2802c4-a4d2-4d8b-9148-e3be6c30e623}">
          <xlrd:rvb i="11909"/>
        </ext>
      </extLst>
    </bk>
    <bk>
      <extLst>
        <ext uri="{3e2802c4-a4d2-4d8b-9148-e3be6c30e623}">
          <xlrd:rvb i="11910"/>
        </ext>
      </extLst>
    </bk>
    <bk>
      <extLst>
        <ext uri="{3e2802c4-a4d2-4d8b-9148-e3be6c30e623}">
          <xlrd:rvb i="11911"/>
        </ext>
      </extLst>
    </bk>
    <bk>
      <extLst>
        <ext uri="{3e2802c4-a4d2-4d8b-9148-e3be6c30e623}">
          <xlrd:rvb i="11912"/>
        </ext>
      </extLst>
    </bk>
    <bk>
      <extLst>
        <ext uri="{3e2802c4-a4d2-4d8b-9148-e3be6c30e623}">
          <xlrd:rvb i="11913"/>
        </ext>
      </extLst>
    </bk>
    <bk>
      <extLst>
        <ext uri="{3e2802c4-a4d2-4d8b-9148-e3be6c30e623}">
          <xlrd:rvb i="11914"/>
        </ext>
      </extLst>
    </bk>
    <bk>
      <extLst>
        <ext uri="{3e2802c4-a4d2-4d8b-9148-e3be6c30e623}">
          <xlrd:rvb i="11915"/>
        </ext>
      </extLst>
    </bk>
    <bk>
      <extLst>
        <ext uri="{3e2802c4-a4d2-4d8b-9148-e3be6c30e623}">
          <xlrd:rvb i="11916"/>
        </ext>
      </extLst>
    </bk>
    <bk>
      <extLst>
        <ext uri="{3e2802c4-a4d2-4d8b-9148-e3be6c30e623}">
          <xlrd:rvb i="11917"/>
        </ext>
      </extLst>
    </bk>
    <bk>
      <extLst>
        <ext uri="{3e2802c4-a4d2-4d8b-9148-e3be6c30e623}">
          <xlrd:rvb i="11918"/>
        </ext>
      </extLst>
    </bk>
    <bk>
      <extLst>
        <ext uri="{3e2802c4-a4d2-4d8b-9148-e3be6c30e623}">
          <xlrd:rvb i="11919"/>
        </ext>
      </extLst>
    </bk>
    <bk>
      <extLst>
        <ext uri="{3e2802c4-a4d2-4d8b-9148-e3be6c30e623}">
          <xlrd:rvb i="11920"/>
        </ext>
      </extLst>
    </bk>
    <bk>
      <extLst>
        <ext uri="{3e2802c4-a4d2-4d8b-9148-e3be6c30e623}">
          <xlrd:rvb i="11921"/>
        </ext>
      </extLst>
    </bk>
    <bk>
      <extLst>
        <ext uri="{3e2802c4-a4d2-4d8b-9148-e3be6c30e623}">
          <xlrd:rvb i="11922"/>
        </ext>
      </extLst>
    </bk>
    <bk>
      <extLst>
        <ext uri="{3e2802c4-a4d2-4d8b-9148-e3be6c30e623}">
          <xlrd:rvb i="11923"/>
        </ext>
      </extLst>
    </bk>
    <bk>
      <extLst>
        <ext uri="{3e2802c4-a4d2-4d8b-9148-e3be6c30e623}">
          <xlrd:rvb i="11924"/>
        </ext>
      </extLst>
    </bk>
    <bk>
      <extLst>
        <ext uri="{3e2802c4-a4d2-4d8b-9148-e3be6c30e623}">
          <xlrd:rvb i="11925"/>
        </ext>
      </extLst>
    </bk>
    <bk>
      <extLst>
        <ext uri="{3e2802c4-a4d2-4d8b-9148-e3be6c30e623}">
          <xlrd:rvb i="11926"/>
        </ext>
      </extLst>
    </bk>
    <bk>
      <extLst>
        <ext uri="{3e2802c4-a4d2-4d8b-9148-e3be6c30e623}">
          <xlrd:rvb i="11927"/>
        </ext>
      </extLst>
    </bk>
    <bk>
      <extLst>
        <ext uri="{3e2802c4-a4d2-4d8b-9148-e3be6c30e623}">
          <xlrd:rvb i="11928"/>
        </ext>
      </extLst>
    </bk>
    <bk>
      <extLst>
        <ext uri="{3e2802c4-a4d2-4d8b-9148-e3be6c30e623}">
          <xlrd:rvb i="11929"/>
        </ext>
      </extLst>
    </bk>
    <bk>
      <extLst>
        <ext uri="{3e2802c4-a4d2-4d8b-9148-e3be6c30e623}">
          <xlrd:rvb i="11930"/>
        </ext>
      </extLst>
    </bk>
    <bk>
      <extLst>
        <ext uri="{3e2802c4-a4d2-4d8b-9148-e3be6c30e623}">
          <xlrd:rvb i="11931"/>
        </ext>
      </extLst>
    </bk>
    <bk>
      <extLst>
        <ext uri="{3e2802c4-a4d2-4d8b-9148-e3be6c30e623}">
          <xlrd:rvb i="11932"/>
        </ext>
      </extLst>
    </bk>
    <bk>
      <extLst>
        <ext uri="{3e2802c4-a4d2-4d8b-9148-e3be6c30e623}">
          <xlrd:rvb i="11933"/>
        </ext>
      </extLst>
    </bk>
    <bk>
      <extLst>
        <ext uri="{3e2802c4-a4d2-4d8b-9148-e3be6c30e623}">
          <xlrd:rvb i="11934"/>
        </ext>
      </extLst>
    </bk>
    <bk>
      <extLst>
        <ext uri="{3e2802c4-a4d2-4d8b-9148-e3be6c30e623}">
          <xlrd:rvb i="11935"/>
        </ext>
      </extLst>
    </bk>
    <bk>
      <extLst>
        <ext uri="{3e2802c4-a4d2-4d8b-9148-e3be6c30e623}">
          <xlrd:rvb i="11936"/>
        </ext>
      </extLst>
    </bk>
    <bk>
      <extLst>
        <ext uri="{3e2802c4-a4d2-4d8b-9148-e3be6c30e623}">
          <xlrd:rvb i="11937"/>
        </ext>
      </extLst>
    </bk>
    <bk>
      <extLst>
        <ext uri="{3e2802c4-a4d2-4d8b-9148-e3be6c30e623}">
          <xlrd:rvb i="11938"/>
        </ext>
      </extLst>
    </bk>
    <bk>
      <extLst>
        <ext uri="{3e2802c4-a4d2-4d8b-9148-e3be6c30e623}">
          <xlrd:rvb i="11939"/>
        </ext>
      </extLst>
    </bk>
    <bk>
      <extLst>
        <ext uri="{3e2802c4-a4d2-4d8b-9148-e3be6c30e623}">
          <xlrd:rvb i="11940"/>
        </ext>
      </extLst>
    </bk>
    <bk>
      <extLst>
        <ext uri="{3e2802c4-a4d2-4d8b-9148-e3be6c30e623}">
          <xlrd:rvb i="11941"/>
        </ext>
      </extLst>
    </bk>
    <bk>
      <extLst>
        <ext uri="{3e2802c4-a4d2-4d8b-9148-e3be6c30e623}">
          <xlrd:rvb i="11942"/>
        </ext>
      </extLst>
    </bk>
    <bk>
      <extLst>
        <ext uri="{3e2802c4-a4d2-4d8b-9148-e3be6c30e623}">
          <xlrd:rvb i="11943"/>
        </ext>
      </extLst>
    </bk>
    <bk>
      <extLst>
        <ext uri="{3e2802c4-a4d2-4d8b-9148-e3be6c30e623}">
          <xlrd:rvb i="11944"/>
        </ext>
      </extLst>
    </bk>
    <bk>
      <extLst>
        <ext uri="{3e2802c4-a4d2-4d8b-9148-e3be6c30e623}">
          <xlrd:rvb i="11945"/>
        </ext>
      </extLst>
    </bk>
    <bk>
      <extLst>
        <ext uri="{3e2802c4-a4d2-4d8b-9148-e3be6c30e623}">
          <xlrd:rvb i="11946"/>
        </ext>
      </extLst>
    </bk>
    <bk>
      <extLst>
        <ext uri="{3e2802c4-a4d2-4d8b-9148-e3be6c30e623}">
          <xlrd:rvb i="11947"/>
        </ext>
      </extLst>
    </bk>
    <bk>
      <extLst>
        <ext uri="{3e2802c4-a4d2-4d8b-9148-e3be6c30e623}">
          <xlrd:rvb i="11948"/>
        </ext>
      </extLst>
    </bk>
    <bk>
      <extLst>
        <ext uri="{3e2802c4-a4d2-4d8b-9148-e3be6c30e623}">
          <xlrd:rvb i="11949"/>
        </ext>
      </extLst>
    </bk>
    <bk>
      <extLst>
        <ext uri="{3e2802c4-a4d2-4d8b-9148-e3be6c30e623}">
          <xlrd:rvb i="11950"/>
        </ext>
      </extLst>
    </bk>
    <bk>
      <extLst>
        <ext uri="{3e2802c4-a4d2-4d8b-9148-e3be6c30e623}">
          <xlrd:rvb i="11951"/>
        </ext>
      </extLst>
    </bk>
    <bk>
      <extLst>
        <ext uri="{3e2802c4-a4d2-4d8b-9148-e3be6c30e623}">
          <xlrd:rvb i="11952"/>
        </ext>
      </extLst>
    </bk>
    <bk>
      <extLst>
        <ext uri="{3e2802c4-a4d2-4d8b-9148-e3be6c30e623}">
          <xlrd:rvb i="11953"/>
        </ext>
      </extLst>
    </bk>
    <bk>
      <extLst>
        <ext uri="{3e2802c4-a4d2-4d8b-9148-e3be6c30e623}">
          <xlrd:rvb i="11954"/>
        </ext>
      </extLst>
    </bk>
    <bk>
      <extLst>
        <ext uri="{3e2802c4-a4d2-4d8b-9148-e3be6c30e623}">
          <xlrd:rvb i="11955"/>
        </ext>
      </extLst>
    </bk>
    <bk>
      <extLst>
        <ext uri="{3e2802c4-a4d2-4d8b-9148-e3be6c30e623}">
          <xlrd:rvb i="11956"/>
        </ext>
      </extLst>
    </bk>
    <bk>
      <extLst>
        <ext uri="{3e2802c4-a4d2-4d8b-9148-e3be6c30e623}">
          <xlrd:rvb i="11957"/>
        </ext>
      </extLst>
    </bk>
    <bk>
      <extLst>
        <ext uri="{3e2802c4-a4d2-4d8b-9148-e3be6c30e623}">
          <xlrd:rvb i="11958"/>
        </ext>
      </extLst>
    </bk>
    <bk>
      <extLst>
        <ext uri="{3e2802c4-a4d2-4d8b-9148-e3be6c30e623}">
          <xlrd:rvb i="11959"/>
        </ext>
      </extLst>
    </bk>
    <bk>
      <extLst>
        <ext uri="{3e2802c4-a4d2-4d8b-9148-e3be6c30e623}">
          <xlrd:rvb i="11960"/>
        </ext>
      </extLst>
    </bk>
    <bk>
      <extLst>
        <ext uri="{3e2802c4-a4d2-4d8b-9148-e3be6c30e623}">
          <xlrd:rvb i="11961"/>
        </ext>
      </extLst>
    </bk>
    <bk>
      <extLst>
        <ext uri="{3e2802c4-a4d2-4d8b-9148-e3be6c30e623}">
          <xlrd:rvb i="11962"/>
        </ext>
      </extLst>
    </bk>
    <bk>
      <extLst>
        <ext uri="{3e2802c4-a4d2-4d8b-9148-e3be6c30e623}">
          <xlrd:rvb i="11963"/>
        </ext>
      </extLst>
    </bk>
    <bk>
      <extLst>
        <ext uri="{3e2802c4-a4d2-4d8b-9148-e3be6c30e623}">
          <xlrd:rvb i="11964"/>
        </ext>
      </extLst>
    </bk>
    <bk>
      <extLst>
        <ext uri="{3e2802c4-a4d2-4d8b-9148-e3be6c30e623}">
          <xlrd:rvb i="11965"/>
        </ext>
      </extLst>
    </bk>
    <bk>
      <extLst>
        <ext uri="{3e2802c4-a4d2-4d8b-9148-e3be6c30e623}">
          <xlrd:rvb i="11966"/>
        </ext>
      </extLst>
    </bk>
    <bk>
      <extLst>
        <ext uri="{3e2802c4-a4d2-4d8b-9148-e3be6c30e623}">
          <xlrd:rvb i="11967"/>
        </ext>
      </extLst>
    </bk>
    <bk>
      <extLst>
        <ext uri="{3e2802c4-a4d2-4d8b-9148-e3be6c30e623}">
          <xlrd:rvb i="11968"/>
        </ext>
      </extLst>
    </bk>
    <bk>
      <extLst>
        <ext uri="{3e2802c4-a4d2-4d8b-9148-e3be6c30e623}">
          <xlrd:rvb i="11969"/>
        </ext>
      </extLst>
    </bk>
    <bk>
      <extLst>
        <ext uri="{3e2802c4-a4d2-4d8b-9148-e3be6c30e623}">
          <xlrd:rvb i="11970"/>
        </ext>
      </extLst>
    </bk>
    <bk>
      <extLst>
        <ext uri="{3e2802c4-a4d2-4d8b-9148-e3be6c30e623}">
          <xlrd:rvb i="11971"/>
        </ext>
      </extLst>
    </bk>
    <bk>
      <extLst>
        <ext uri="{3e2802c4-a4d2-4d8b-9148-e3be6c30e623}">
          <xlrd:rvb i="11972"/>
        </ext>
      </extLst>
    </bk>
    <bk>
      <extLst>
        <ext uri="{3e2802c4-a4d2-4d8b-9148-e3be6c30e623}">
          <xlrd:rvb i="11973"/>
        </ext>
      </extLst>
    </bk>
    <bk>
      <extLst>
        <ext uri="{3e2802c4-a4d2-4d8b-9148-e3be6c30e623}">
          <xlrd:rvb i="11974"/>
        </ext>
      </extLst>
    </bk>
    <bk>
      <extLst>
        <ext uri="{3e2802c4-a4d2-4d8b-9148-e3be6c30e623}">
          <xlrd:rvb i="11975"/>
        </ext>
      </extLst>
    </bk>
    <bk>
      <extLst>
        <ext uri="{3e2802c4-a4d2-4d8b-9148-e3be6c30e623}">
          <xlrd:rvb i="11976"/>
        </ext>
      </extLst>
    </bk>
    <bk>
      <extLst>
        <ext uri="{3e2802c4-a4d2-4d8b-9148-e3be6c30e623}">
          <xlrd:rvb i="11977"/>
        </ext>
      </extLst>
    </bk>
    <bk>
      <extLst>
        <ext uri="{3e2802c4-a4d2-4d8b-9148-e3be6c30e623}">
          <xlrd:rvb i="11978"/>
        </ext>
      </extLst>
    </bk>
    <bk>
      <extLst>
        <ext uri="{3e2802c4-a4d2-4d8b-9148-e3be6c30e623}">
          <xlrd:rvb i="11979"/>
        </ext>
      </extLst>
    </bk>
    <bk>
      <extLst>
        <ext uri="{3e2802c4-a4d2-4d8b-9148-e3be6c30e623}">
          <xlrd:rvb i="11980"/>
        </ext>
      </extLst>
    </bk>
    <bk>
      <extLst>
        <ext uri="{3e2802c4-a4d2-4d8b-9148-e3be6c30e623}">
          <xlrd:rvb i="11981"/>
        </ext>
      </extLst>
    </bk>
    <bk>
      <extLst>
        <ext uri="{3e2802c4-a4d2-4d8b-9148-e3be6c30e623}">
          <xlrd:rvb i="11982"/>
        </ext>
      </extLst>
    </bk>
    <bk>
      <extLst>
        <ext uri="{3e2802c4-a4d2-4d8b-9148-e3be6c30e623}">
          <xlrd:rvb i="11983"/>
        </ext>
      </extLst>
    </bk>
    <bk>
      <extLst>
        <ext uri="{3e2802c4-a4d2-4d8b-9148-e3be6c30e623}">
          <xlrd:rvb i="11984"/>
        </ext>
      </extLst>
    </bk>
    <bk>
      <extLst>
        <ext uri="{3e2802c4-a4d2-4d8b-9148-e3be6c30e623}">
          <xlrd:rvb i="11985"/>
        </ext>
      </extLst>
    </bk>
    <bk>
      <extLst>
        <ext uri="{3e2802c4-a4d2-4d8b-9148-e3be6c30e623}">
          <xlrd:rvb i="11986"/>
        </ext>
      </extLst>
    </bk>
    <bk>
      <extLst>
        <ext uri="{3e2802c4-a4d2-4d8b-9148-e3be6c30e623}">
          <xlrd:rvb i="11987"/>
        </ext>
      </extLst>
    </bk>
    <bk>
      <extLst>
        <ext uri="{3e2802c4-a4d2-4d8b-9148-e3be6c30e623}">
          <xlrd:rvb i="11988"/>
        </ext>
      </extLst>
    </bk>
    <bk>
      <extLst>
        <ext uri="{3e2802c4-a4d2-4d8b-9148-e3be6c30e623}">
          <xlrd:rvb i="11989"/>
        </ext>
      </extLst>
    </bk>
    <bk>
      <extLst>
        <ext uri="{3e2802c4-a4d2-4d8b-9148-e3be6c30e623}">
          <xlrd:rvb i="11990"/>
        </ext>
      </extLst>
    </bk>
    <bk>
      <extLst>
        <ext uri="{3e2802c4-a4d2-4d8b-9148-e3be6c30e623}">
          <xlrd:rvb i="11991"/>
        </ext>
      </extLst>
    </bk>
    <bk>
      <extLst>
        <ext uri="{3e2802c4-a4d2-4d8b-9148-e3be6c30e623}">
          <xlrd:rvb i="11992"/>
        </ext>
      </extLst>
    </bk>
    <bk>
      <extLst>
        <ext uri="{3e2802c4-a4d2-4d8b-9148-e3be6c30e623}">
          <xlrd:rvb i="11993"/>
        </ext>
      </extLst>
    </bk>
    <bk>
      <extLst>
        <ext uri="{3e2802c4-a4d2-4d8b-9148-e3be6c30e623}">
          <xlrd:rvb i="11994"/>
        </ext>
      </extLst>
    </bk>
    <bk>
      <extLst>
        <ext uri="{3e2802c4-a4d2-4d8b-9148-e3be6c30e623}">
          <xlrd:rvb i="11995"/>
        </ext>
      </extLst>
    </bk>
    <bk>
      <extLst>
        <ext uri="{3e2802c4-a4d2-4d8b-9148-e3be6c30e623}">
          <xlrd:rvb i="11996"/>
        </ext>
      </extLst>
    </bk>
    <bk>
      <extLst>
        <ext uri="{3e2802c4-a4d2-4d8b-9148-e3be6c30e623}">
          <xlrd:rvb i="11997"/>
        </ext>
      </extLst>
    </bk>
    <bk>
      <extLst>
        <ext uri="{3e2802c4-a4d2-4d8b-9148-e3be6c30e623}">
          <xlrd:rvb i="11998"/>
        </ext>
      </extLst>
    </bk>
    <bk>
      <extLst>
        <ext uri="{3e2802c4-a4d2-4d8b-9148-e3be6c30e623}">
          <xlrd:rvb i="11999"/>
        </ext>
      </extLst>
    </bk>
    <bk>
      <extLst>
        <ext uri="{3e2802c4-a4d2-4d8b-9148-e3be6c30e623}">
          <xlrd:rvb i="12000"/>
        </ext>
      </extLst>
    </bk>
    <bk>
      <extLst>
        <ext uri="{3e2802c4-a4d2-4d8b-9148-e3be6c30e623}">
          <xlrd:rvb i="12001"/>
        </ext>
      </extLst>
    </bk>
    <bk>
      <extLst>
        <ext uri="{3e2802c4-a4d2-4d8b-9148-e3be6c30e623}">
          <xlrd:rvb i="12002"/>
        </ext>
      </extLst>
    </bk>
    <bk>
      <extLst>
        <ext uri="{3e2802c4-a4d2-4d8b-9148-e3be6c30e623}">
          <xlrd:rvb i="12003"/>
        </ext>
      </extLst>
    </bk>
    <bk>
      <extLst>
        <ext uri="{3e2802c4-a4d2-4d8b-9148-e3be6c30e623}">
          <xlrd:rvb i="12004"/>
        </ext>
      </extLst>
    </bk>
    <bk>
      <extLst>
        <ext uri="{3e2802c4-a4d2-4d8b-9148-e3be6c30e623}">
          <xlrd:rvb i="12005"/>
        </ext>
      </extLst>
    </bk>
    <bk>
      <extLst>
        <ext uri="{3e2802c4-a4d2-4d8b-9148-e3be6c30e623}">
          <xlrd:rvb i="12006"/>
        </ext>
      </extLst>
    </bk>
    <bk>
      <extLst>
        <ext uri="{3e2802c4-a4d2-4d8b-9148-e3be6c30e623}">
          <xlrd:rvb i="12007"/>
        </ext>
      </extLst>
    </bk>
    <bk>
      <extLst>
        <ext uri="{3e2802c4-a4d2-4d8b-9148-e3be6c30e623}">
          <xlrd:rvb i="12008"/>
        </ext>
      </extLst>
    </bk>
    <bk>
      <extLst>
        <ext uri="{3e2802c4-a4d2-4d8b-9148-e3be6c30e623}">
          <xlrd:rvb i="12009"/>
        </ext>
      </extLst>
    </bk>
    <bk>
      <extLst>
        <ext uri="{3e2802c4-a4d2-4d8b-9148-e3be6c30e623}">
          <xlrd:rvb i="12010"/>
        </ext>
      </extLst>
    </bk>
    <bk>
      <extLst>
        <ext uri="{3e2802c4-a4d2-4d8b-9148-e3be6c30e623}">
          <xlrd:rvb i="12011"/>
        </ext>
      </extLst>
    </bk>
    <bk>
      <extLst>
        <ext uri="{3e2802c4-a4d2-4d8b-9148-e3be6c30e623}">
          <xlrd:rvb i="12012"/>
        </ext>
      </extLst>
    </bk>
    <bk>
      <extLst>
        <ext uri="{3e2802c4-a4d2-4d8b-9148-e3be6c30e623}">
          <xlrd:rvb i="12013"/>
        </ext>
      </extLst>
    </bk>
    <bk>
      <extLst>
        <ext uri="{3e2802c4-a4d2-4d8b-9148-e3be6c30e623}">
          <xlrd:rvb i="12014"/>
        </ext>
      </extLst>
    </bk>
    <bk>
      <extLst>
        <ext uri="{3e2802c4-a4d2-4d8b-9148-e3be6c30e623}">
          <xlrd:rvb i="12015"/>
        </ext>
      </extLst>
    </bk>
    <bk>
      <extLst>
        <ext uri="{3e2802c4-a4d2-4d8b-9148-e3be6c30e623}">
          <xlrd:rvb i="12016"/>
        </ext>
      </extLst>
    </bk>
    <bk>
      <extLst>
        <ext uri="{3e2802c4-a4d2-4d8b-9148-e3be6c30e623}">
          <xlrd:rvb i="12017"/>
        </ext>
      </extLst>
    </bk>
    <bk>
      <extLst>
        <ext uri="{3e2802c4-a4d2-4d8b-9148-e3be6c30e623}">
          <xlrd:rvb i="12018"/>
        </ext>
      </extLst>
    </bk>
    <bk>
      <extLst>
        <ext uri="{3e2802c4-a4d2-4d8b-9148-e3be6c30e623}">
          <xlrd:rvb i="12019"/>
        </ext>
      </extLst>
    </bk>
    <bk>
      <extLst>
        <ext uri="{3e2802c4-a4d2-4d8b-9148-e3be6c30e623}">
          <xlrd:rvb i="12020"/>
        </ext>
      </extLst>
    </bk>
    <bk>
      <extLst>
        <ext uri="{3e2802c4-a4d2-4d8b-9148-e3be6c30e623}">
          <xlrd:rvb i="12021"/>
        </ext>
      </extLst>
    </bk>
    <bk>
      <extLst>
        <ext uri="{3e2802c4-a4d2-4d8b-9148-e3be6c30e623}">
          <xlrd:rvb i="12022"/>
        </ext>
      </extLst>
    </bk>
    <bk>
      <extLst>
        <ext uri="{3e2802c4-a4d2-4d8b-9148-e3be6c30e623}">
          <xlrd:rvb i="12023"/>
        </ext>
      </extLst>
    </bk>
    <bk>
      <extLst>
        <ext uri="{3e2802c4-a4d2-4d8b-9148-e3be6c30e623}">
          <xlrd:rvb i="12024"/>
        </ext>
      </extLst>
    </bk>
    <bk>
      <extLst>
        <ext uri="{3e2802c4-a4d2-4d8b-9148-e3be6c30e623}">
          <xlrd:rvb i="12025"/>
        </ext>
      </extLst>
    </bk>
    <bk>
      <extLst>
        <ext uri="{3e2802c4-a4d2-4d8b-9148-e3be6c30e623}">
          <xlrd:rvb i="12026"/>
        </ext>
      </extLst>
    </bk>
    <bk>
      <extLst>
        <ext uri="{3e2802c4-a4d2-4d8b-9148-e3be6c30e623}">
          <xlrd:rvb i="12027"/>
        </ext>
      </extLst>
    </bk>
    <bk>
      <extLst>
        <ext uri="{3e2802c4-a4d2-4d8b-9148-e3be6c30e623}">
          <xlrd:rvb i="12028"/>
        </ext>
      </extLst>
    </bk>
    <bk>
      <extLst>
        <ext uri="{3e2802c4-a4d2-4d8b-9148-e3be6c30e623}">
          <xlrd:rvb i="12029"/>
        </ext>
      </extLst>
    </bk>
    <bk>
      <extLst>
        <ext uri="{3e2802c4-a4d2-4d8b-9148-e3be6c30e623}">
          <xlrd:rvb i="12030"/>
        </ext>
      </extLst>
    </bk>
    <bk>
      <extLst>
        <ext uri="{3e2802c4-a4d2-4d8b-9148-e3be6c30e623}">
          <xlrd:rvb i="12031"/>
        </ext>
      </extLst>
    </bk>
    <bk>
      <extLst>
        <ext uri="{3e2802c4-a4d2-4d8b-9148-e3be6c30e623}">
          <xlrd:rvb i="12032"/>
        </ext>
      </extLst>
    </bk>
    <bk>
      <extLst>
        <ext uri="{3e2802c4-a4d2-4d8b-9148-e3be6c30e623}">
          <xlrd:rvb i="12033"/>
        </ext>
      </extLst>
    </bk>
    <bk>
      <extLst>
        <ext uri="{3e2802c4-a4d2-4d8b-9148-e3be6c30e623}">
          <xlrd:rvb i="12034"/>
        </ext>
      </extLst>
    </bk>
    <bk>
      <extLst>
        <ext uri="{3e2802c4-a4d2-4d8b-9148-e3be6c30e623}">
          <xlrd:rvb i="12035"/>
        </ext>
      </extLst>
    </bk>
    <bk>
      <extLst>
        <ext uri="{3e2802c4-a4d2-4d8b-9148-e3be6c30e623}">
          <xlrd:rvb i="12036"/>
        </ext>
      </extLst>
    </bk>
    <bk>
      <extLst>
        <ext uri="{3e2802c4-a4d2-4d8b-9148-e3be6c30e623}">
          <xlrd:rvb i="12037"/>
        </ext>
      </extLst>
    </bk>
    <bk>
      <extLst>
        <ext uri="{3e2802c4-a4d2-4d8b-9148-e3be6c30e623}">
          <xlrd:rvb i="12038"/>
        </ext>
      </extLst>
    </bk>
    <bk>
      <extLst>
        <ext uri="{3e2802c4-a4d2-4d8b-9148-e3be6c30e623}">
          <xlrd:rvb i="12039"/>
        </ext>
      </extLst>
    </bk>
    <bk>
      <extLst>
        <ext uri="{3e2802c4-a4d2-4d8b-9148-e3be6c30e623}">
          <xlrd:rvb i="12040"/>
        </ext>
      </extLst>
    </bk>
    <bk>
      <extLst>
        <ext uri="{3e2802c4-a4d2-4d8b-9148-e3be6c30e623}">
          <xlrd:rvb i="12041"/>
        </ext>
      </extLst>
    </bk>
    <bk>
      <extLst>
        <ext uri="{3e2802c4-a4d2-4d8b-9148-e3be6c30e623}">
          <xlrd:rvb i="12042"/>
        </ext>
      </extLst>
    </bk>
    <bk>
      <extLst>
        <ext uri="{3e2802c4-a4d2-4d8b-9148-e3be6c30e623}">
          <xlrd:rvb i="12043"/>
        </ext>
      </extLst>
    </bk>
    <bk>
      <extLst>
        <ext uri="{3e2802c4-a4d2-4d8b-9148-e3be6c30e623}">
          <xlrd:rvb i="12044"/>
        </ext>
      </extLst>
    </bk>
    <bk>
      <extLst>
        <ext uri="{3e2802c4-a4d2-4d8b-9148-e3be6c30e623}">
          <xlrd:rvb i="12045"/>
        </ext>
      </extLst>
    </bk>
    <bk>
      <extLst>
        <ext uri="{3e2802c4-a4d2-4d8b-9148-e3be6c30e623}">
          <xlrd:rvb i="12046"/>
        </ext>
      </extLst>
    </bk>
    <bk>
      <extLst>
        <ext uri="{3e2802c4-a4d2-4d8b-9148-e3be6c30e623}">
          <xlrd:rvb i="12047"/>
        </ext>
      </extLst>
    </bk>
    <bk>
      <extLst>
        <ext uri="{3e2802c4-a4d2-4d8b-9148-e3be6c30e623}">
          <xlrd:rvb i="12048"/>
        </ext>
      </extLst>
    </bk>
    <bk>
      <extLst>
        <ext uri="{3e2802c4-a4d2-4d8b-9148-e3be6c30e623}">
          <xlrd:rvb i="12049"/>
        </ext>
      </extLst>
    </bk>
    <bk>
      <extLst>
        <ext uri="{3e2802c4-a4d2-4d8b-9148-e3be6c30e623}">
          <xlrd:rvb i="12050"/>
        </ext>
      </extLst>
    </bk>
    <bk>
      <extLst>
        <ext uri="{3e2802c4-a4d2-4d8b-9148-e3be6c30e623}">
          <xlrd:rvb i="12051"/>
        </ext>
      </extLst>
    </bk>
    <bk>
      <extLst>
        <ext uri="{3e2802c4-a4d2-4d8b-9148-e3be6c30e623}">
          <xlrd:rvb i="12052"/>
        </ext>
      </extLst>
    </bk>
    <bk>
      <extLst>
        <ext uri="{3e2802c4-a4d2-4d8b-9148-e3be6c30e623}">
          <xlrd:rvb i="12053"/>
        </ext>
      </extLst>
    </bk>
    <bk>
      <extLst>
        <ext uri="{3e2802c4-a4d2-4d8b-9148-e3be6c30e623}">
          <xlrd:rvb i="12054"/>
        </ext>
      </extLst>
    </bk>
    <bk>
      <extLst>
        <ext uri="{3e2802c4-a4d2-4d8b-9148-e3be6c30e623}">
          <xlrd:rvb i="12055"/>
        </ext>
      </extLst>
    </bk>
    <bk>
      <extLst>
        <ext uri="{3e2802c4-a4d2-4d8b-9148-e3be6c30e623}">
          <xlrd:rvb i="12056"/>
        </ext>
      </extLst>
    </bk>
    <bk>
      <extLst>
        <ext uri="{3e2802c4-a4d2-4d8b-9148-e3be6c30e623}">
          <xlrd:rvb i="12057"/>
        </ext>
      </extLst>
    </bk>
    <bk>
      <extLst>
        <ext uri="{3e2802c4-a4d2-4d8b-9148-e3be6c30e623}">
          <xlrd:rvb i="12058"/>
        </ext>
      </extLst>
    </bk>
    <bk>
      <extLst>
        <ext uri="{3e2802c4-a4d2-4d8b-9148-e3be6c30e623}">
          <xlrd:rvb i="12059"/>
        </ext>
      </extLst>
    </bk>
    <bk>
      <extLst>
        <ext uri="{3e2802c4-a4d2-4d8b-9148-e3be6c30e623}">
          <xlrd:rvb i="12060"/>
        </ext>
      </extLst>
    </bk>
    <bk>
      <extLst>
        <ext uri="{3e2802c4-a4d2-4d8b-9148-e3be6c30e623}">
          <xlrd:rvb i="12061"/>
        </ext>
      </extLst>
    </bk>
    <bk>
      <extLst>
        <ext uri="{3e2802c4-a4d2-4d8b-9148-e3be6c30e623}">
          <xlrd:rvb i="12062"/>
        </ext>
      </extLst>
    </bk>
    <bk>
      <extLst>
        <ext uri="{3e2802c4-a4d2-4d8b-9148-e3be6c30e623}">
          <xlrd:rvb i="12063"/>
        </ext>
      </extLst>
    </bk>
    <bk>
      <extLst>
        <ext uri="{3e2802c4-a4d2-4d8b-9148-e3be6c30e623}">
          <xlrd:rvb i="12064"/>
        </ext>
      </extLst>
    </bk>
    <bk>
      <extLst>
        <ext uri="{3e2802c4-a4d2-4d8b-9148-e3be6c30e623}">
          <xlrd:rvb i="12065"/>
        </ext>
      </extLst>
    </bk>
    <bk>
      <extLst>
        <ext uri="{3e2802c4-a4d2-4d8b-9148-e3be6c30e623}">
          <xlrd:rvb i="12066"/>
        </ext>
      </extLst>
    </bk>
    <bk>
      <extLst>
        <ext uri="{3e2802c4-a4d2-4d8b-9148-e3be6c30e623}">
          <xlrd:rvb i="12067"/>
        </ext>
      </extLst>
    </bk>
    <bk>
      <extLst>
        <ext uri="{3e2802c4-a4d2-4d8b-9148-e3be6c30e623}">
          <xlrd:rvb i="12068"/>
        </ext>
      </extLst>
    </bk>
    <bk>
      <extLst>
        <ext uri="{3e2802c4-a4d2-4d8b-9148-e3be6c30e623}">
          <xlrd:rvb i="12069"/>
        </ext>
      </extLst>
    </bk>
    <bk>
      <extLst>
        <ext uri="{3e2802c4-a4d2-4d8b-9148-e3be6c30e623}">
          <xlrd:rvb i="12070"/>
        </ext>
      </extLst>
    </bk>
    <bk>
      <extLst>
        <ext uri="{3e2802c4-a4d2-4d8b-9148-e3be6c30e623}">
          <xlrd:rvb i="12071"/>
        </ext>
      </extLst>
    </bk>
    <bk>
      <extLst>
        <ext uri="{3e2802c4-a4d2-4d8b-9148-e3be6c30e623}">
          <xlrd:rvb i="12072"/>
        </ext>
      </extLst>
    </bk>
    <bk>
      <extLst>
        <ext uri="{3e2802c4-a4d2-4d8b-9148-e3be6c30e623}">
          <xlrd:rvb i="12073"/>
        </ext>
      </extLst>
    </bk>
    <bk>
      <extLst>
        <ext uri="{3e2802c4-a4d2-4d8b-9148-e3be6c30e623}">
          <xlrd:rvb i="12074"/>
        </ext>
      </extLst>
    </bk>
    <bk>
      <extLst>
        <ext uri="{3e2802c4-a4d2-4d8b-9148-e3be6c30e623}">
          <xlrd:rvb i="12075"/>
        </ext>
      </extLst>
    </bk>
    <bk>
      <extLst>
        <ext uri="{3e2802c4-a4d2-4d8b-9148-e3be6c30e623}">
          <xlrd:rvb i="12076"/>
        </ext>
      </extLst>
    </bk>
    <bk>
      <extLst>
        <ext uri="{3e2802c4-a4d2-4d8b-9148-e3be6c30e623}">
          <xlrd:rvb i="12077"/>
        </ext>
      </extLst>
    </bk>
    <bk>
      <extLst>
        <ext uri="{3e2802c4-a4d2-4d8b-9148-e3be6c30e623}">
          <xlrd:rvb i="12078"/>
        </ext>
      </extLst>
    </bk>
    <bk>
      <extLst>
        <ext uri="{3e2802c4-a4d2-4d8b-9148-e3be6c30e623}">
          <xlrd:rvb i="12079"/>
        </ext>
      </extLst>
    </bk>
    <bk>
      <extLst>
        <ext uri="{3e2802c4-a4d2-4d8b-9148-e3be6c30e623}">
          <xlrd:rvb i="12080"/>
        </ext>
      </extLst>
    </bk>
    <bk>
      <extLst>
        <ext uri="{3e2802c4-a4d2-4d8b-9148-e3be6c30e623}">
          <xlrd:rvb i="12081"/>
        </ext>
      </extLst>
    </bk>
    <bk>
      <extLst>
        <ext uri="{3e2802c4-a4d2-4d8b-9148-e3be6c30e623}">
          <xlrd:rvb i="12082"/>
        </ext>
      </extLst>
    </bk>
    <bk>
      <extLst>
        <ext uri="{3e2802c4-a4d2-4d8b-9148-e3be6c30e623}">
          <xlrd:rvb i="12083"/>
        </ext>
      </extLst>
    </bk>
    <bk>
      <extLst>
        <ext uri="{3e2802c4-a4d2-4d8b-9148-e3be6c30e623}">
          <xlrd:rvb i="12084"/>
        </ext>
      </extLst>
    </bk>
    <bk>
      <extLst>
        <ext uri="{3e2802c4-a4d2-4d8b-9148-e3be6c30e623}">
          <xlrd:rvb i="12085"/>
        </ext>
      </extLst>
    </bk>
    <bk>
      <extLst>
        <ext uri="{3e2802c4-a4d2-4d8b-9148-e3be6c30e623}">
          <xlrd:rvb i="12086"/>
        </ext>
      </extLst>
    </bk>
    <bk>
      <extLst>
        <ext uri="{3e2802c4-a4d2-4d8b-9148-e3be6c30e623}">
          <xlrd:rvb i="12087"/>
        </ext>
      </extLst>
    </bk>
    <bk>
      <extLst>
        <ext uri="{3e2802c4-a4d2-4d8b-9148-e3be6c30e623}">
          <xlrd:rvb i="12088"/>
        </ext>
      </extLst>
    </bk>
    <bk>
      <extLst>
        <ext uri="{3e2802c4-a4d2-4d8b-9148-e3be6c30e623}">
          <xlrd:rvb i="12089"/>
        </ext>
      </extLst>
    </bk>
    <bk>
      <extLst>
        <ext uri="{3e2802c4-a4d2-4d8b-9148-e3be6c30e623}">
          <xlrd:rvb i="12090"/>
        </ext>
      </extLst>
    </bk>
    <bk>
      <extLst>
        <ext uri="{3e2802c4-a4d2-4d8b-9148-e3be6c30e623}">
          <xlrd:rvb i="12091"/>
        </ext>
      </extLst>
    </bk>
    <bk>
      <extLst>
        <ext uri="{3e2802c4-a4d2-4d8b-9148-e3be6c30e623}">
          <xlrd:rvb i="12092"/>
        </ext>
      </extLst>
    </bk>
    <bk>
      <extLst>
        <ext uri="{3e2802c4-a4d2-4d8b-9148-e3be6c30e623}">
          <xlrd:rvb i="12093"/>
        </ext>
      </extLst>
    </bk>
    <bk>
      <extLst>
        <ext uri="{3e2802c4-a4d2-4d8b-9148-e3be6c30e623}">
          <xlrd:rvb i="12094"/>
        </ext>
      </extLst>
    </bk>
    <bk>
      <extLst>
        <ext uri="{3e2802c4-a4d2-4d8b-9148-e3be6c30e623}">
          <xlrd:rvb i="12095"/>
        </ext>
      </extLst>
    </bk>
    <bk>
      <extLst>
        <ext uri="{3e2802c4-a4d2-4d8b-9148-e3be6c30e623}">
          <xlrd:rvb i="12096"/>
        </ext>
      </extLst>
    </bk>
    <bk>
      <extLst>
        <ext uri="{3e2802c4-a4d2-4d8b-9148-e3be6c30e623}">
          <xlrd:rvb i="12097"/>
        </ext>
      </extLst>
    </bk>
    <bk>
      <extLst>
        <ext uri="{3e2802c4-a4d2-4d8b-9148-e3be6c30e623}">
          <xlrd:rvb i="12098"/>
        </ext>
      </extLst>
    </bk>
    <bk>
      <extLst>
        <ext uri="{3e2802c4-a4d2-4d8b-9148-e3be6c30e623}">
          <xlrd:rvb i="12099"/>
        </ext>
      </extLst>
    </bk>
    <bk>
      <extLst>
        <ext uri="{3e2802c4-a4d2-4d8b-9148-e3be6c30e623}">
          <xlrd:rvb i="12100"/>
        </ext>
      </extLst>
    </bk>
    <bk>
      <extLst>
        <ext uri="{3e2802c4-a4d2-4d8b-9148-e3be6c30e623}">
          <xlrd:rvb i="12101"/>
        </ext>
      </extLst>
    </bk>
    <bk>
      <extLst>
        <ext uri="{3e2802c4-a4d2-4d8b-9148-e3be6c30e623}">
          <xlrd:rvb i="12102"/>
        </ext>
      </extLst>
    </bk>
    <bk>
      <extLst>
        <ext uri="{3e2802c4-a4d2-4d8b-9148-e3be6c30e623}">
          <xlrd:rvb i="12103"/>
        </ext>
      </extLst>
    </bk>
    <bk>
      <extLst>
        <ext uri="{3e2802c4-a4d2-4d8b-9148-e3be6c30e623}">
          <xlrd:rvb i="12104"/>
        </ext>
      </extLst>
    </bk>
    <bk>
      <extLst>
        <ext uri="{3e2802c4-a4d2-4d8b-9148-e3be6c30e623}">
          <xlrd:rvb i="12105"/>
        </ext>
      </extLst>
    </bk>
    <bk>
      <extLst>
        <ext uri="{3e2802c4-a4d2-4d8b-9148-e3be6c30e623}">
          <xlrd:rvb i="12106"/>
        </ext>
      </extLst>
    </bk>
    <bk>
      <extLst>
        <ext uri="{3e2802c4-a4d2-4d8b-9148-e3be6c30e623}">
          <xlrd:rvb i="12107"/>
        </ext>
      </extLst>
    </bk>
    <bk>
      <extLst>
        <ext uri="{3e2802c4-a4d2-4d8b-9148-e3be6c30e623}">
          <xlrd:rvb i="12108"/>
        </ext>
      </extLst>
    </bk>
    <bk>
      <extLst>
        <ext uri="{3e2802c4-a4d2-4d8b-9148-e3be6c30e623}">
          <xlrd:rvb i="12109"/>
        </ext>
      </extLst>
    </bk>
    <bk>
      <extLst>
        <ext uri="{3e2802c4-a4d2-4d8b-9148-e3be6c30e623}">
          <xlrd:rvb i="12110"/>
        </ext>
      </extLst>
    </bk>
    <bk>
      <extLst>
        <ext uri="{3e2802c4-a4d2-4d8b-9148-e3be6c30e623}">
          <xlrd:rvb i="12111"/>
        </ext>
      </extLst>
    </bk>
    <bk>
      <extLst>
        <ext uri="{3e2802c4-a4d2-4d8b-9148-e3be6c30e623}">
          <xlrd:rvb i="12112"/>
        </ext>
      </extLst>
    </bk>
    <bk>
      <extLst>
        <ext uri="{3e2802c4-a4d2-4d8b-9148-e3be6c30e623}">
          <xlrd:rvb i="12113"/>
        </ext>
      </extLst>
    </bk>
    <bk>
      <extLst>
        <ext uri="{3e2802c4-a4d2-4d8b-9148-e3be6c30e623}">
          <xlrd:rvb i="12114"/>
        </ext>
      </extLst>
    </bk>
    <bk>
      <extLst>
        <ext uri="{3e2802c4-a4d2-4d8b-9148-e3be6c30e623}">
          <xlrd:rvb i="12115"/>
        </ext>
      </extLst>
    </bk>
    <bk>
      <extLst>
        <ext uri="{3e2802c4-a4d2-4d8b-9148-e3be6c30e623}">
          <xlrd:rvb i="12116"/>
        </ext>
      </extLst>
    </bk>
    <bk>
      <extLst>
        <ext uri="{3e2802c4-a4d2-4d8b-9148-e3be6c30e623}">
          <xlrd:rvb i="12117"/>
        </ext>
      </extLst>
    </bk>
    <bk>
      <extLst>
        <ext uri="{3e2802c4-a4d2-4d8b-9148-e3be6c30e623}">
          <xlrd:rvb i="12118"/>
        </ext>
      </extLst>
    </bk>
    <bk>
      <extLst>
        <ext uri="{3e2802c4-a4d2-4d8b-9148-e3be6c30e623}">
          <xlrd:rvb i="12119"/>
        </ext>
      </extLst>
    </bk>
    <bk>
      <extLst>
        <ext uri="{3e2802c4-a4d2-4d8b-9148-e3be6c30e623}">
          <xlrd:rvb i="12120"/>
        </ext>
      </extLst>
    </bk>
    <bk>
      <extLst>
        <ext uri="{3e2802c4-a4d2-4d8b-9148-e3be6c30e623}">
          <xlrd:rvb i="12121"/>
        </ext>
      </extLst>
    </bk>
    <bk>
      <extLst>
        <ext uri="{3e2802c4-a4d2-4d8b-9148-e3be6c30e623}">
          <xlrd:rvb i="12122"/>
        </ext>
      </extLst>
    </bk>
    <bk>
      <extLst>
        <ext uri="{3e2802c4-a4d2-4d8b-9148-e3be6c30e623}">
          <xlrd:rvb i="12123"/>
        </ext>
      </extLst>
    </bk>
    <bk>
      <extLst>
        <ext uri="{3e2802c4-a4d2-4d8b-9148-e3be6c30e623}">
          <xlrd:rvb i="12124"/>
        </ext>
      </extLst>
    </bk>
    <bk>
      <extLst>
        <ext uri="{3e2802c4-a4d2-4d8b-9148-e3be6c30e623}">
          <xlrd:rvb i="12125"/>
        </ext>
      </extLst>
    </bk>
    <bk>
      <extLst>
        <ext uri="{3e2802c4-a4d2-4d8b-9148-e3be6c30e623}">
          <xlrd:rvb i="12126"/>
        </ext>
      </extLst>
    </bk>
    <bk>
      <extLst>
        <ext uri="{3e2802c4-a4d2-4d8b-9148-e3be6c30e623}">
          <xlrd:rvb i="12127"/>
        </ext>
      </extLst>
    </bk>
    <bk>
      <extLst>
        <ext uri="{3e2802c4-a4d2-4d8b-9148-e3be6c30e623}">
          <xlrd:rvb i="12128"/>
        </ext>
      </extLst>
    </bk>
    <bk>
      <extLst>
        <ext uri="{3e2802c4-a4d2-4d8b-9148-e3be6c30e623}">
          <xlrd:rvb i="12129"/>
        </ext>
      </extLst>
    </bk>
    <bk>
      <extLst>
        <ext uri="{3e2802c4-a4d2-4d8b-9148-e3be6c30e623}">
          <xlrd:rvb i="12130"/>
        </ext>
      </extLst>
    </bk>
    <bk>
      <extLst>
        <ext uri="{3e2802c4-a4d2-4d8b-9148-e3be6c30e623}">
          <xlrd:rvb i="12131"/>
        </ext>
      </extLst>
    </bk>
    <bk>
      <extLst>
        <ext uri="{3e2802c4-a4d2-4d8b-9148-e3be6c30e623}">
          <xlrd:rvb i="12132"/>
        </ext>
      </extLst>
    </bk>
    <bk>
      <extLst>
        <ext uri="{3e2802c4-a4d2-4d8b-9148-e3be6c30e623}">
          <xlrd:rvb i="12133"/>
        </ext>
      </extLst>
    </bk>
    <bk>
      <extLst>
        <ext uri="{3e2802c4-a4d2-4d8b-9148-e3be6c30e623}">
          <xlrd:rvb i="12134"/>
        </ext>
      </extLst>
    </bk>
    <bk>
      <extLst>
        <ext uri="{3e2802c4-a4d2-4d8b-9148-e3be6c30e623}">
          <xlrd:rvb i="12135"/>
        </ext>
      </extLst>
    </bk>
    <bk>
      <extLst>
        <ext uri="{3e2802c4-a4d2-4d8b-9148-e3be6c30e623}">
          <xlrd:rvb i="12136"/>
        </ext>
      </extLst>
    </bk>
    <bk>
      <extLst>
        <ext uri="{3e2802c4-a4d2-4d8b-9148-e3be6c30e623}">
          <xlrd:rvb i="12137"/>
        </ext>
      </extLst>
    </bk>
    <bk>
      <extLst>
        <ext uri="{3e2802c4-a4d2-4d8b-9148-e3be6c30e623}">
          <xlrd:rvb i="12138"/>
        </ext>
      </extLst>
    </bk>
    <bk>
      <extLst>
        <ext uri="{3e2802c4-a4d2-4d8b-9148-e3be6c30e623}">
          <xlrd:rvb i="12139"/>
        </ext>
      </extLst>
    </bk>
    <bk>
      <extLst>
        <ext uri="{3e2802c4-a4d2-4d8b-9148-e3be6c30e623}">
          <xlrd:rvb i="12140"/>
        </ext>
      </extLst>
    </bk>
    <bk>
      <extLst>
        <ext uri="{3e2802c4-a4d2-4d8b-9148-e3be6c30e623}">
          <xlrd:rvb i="12141"/>
        </ext>
      </extLst>
    </bk>
    <bk>
      <extLst>
        <ext uri="{3e2802c4-a4d2-4d8b-9148-e3be6c30e623}">
          <xlrd:rvb i="12142"/>
        </ext>
      </extLst>
    </bk>
    <bk>
      <extLst>
        <ext uri="{3e2802c4-a4d2-4d8b-9148-e3be6c30e623}">
          <xlrd:rvb i="12143"/>
        </ext>
      </extLst>
    </bk>
    <bk>
      <extLst>
        <ext uri="{3e2802c4-a4d2-4d8b-9148-e3be6c30e623}">
          <xlrd:rvb i="12144"/>
        </ext>
      </extLst>
    </bk>
    <bk>
      <extLst>
        <ext uri="{3e2802c4-a4d2-4d8b-9148-e3be6c30e623}">
          <xlrd:rvb i="12145"/>
        </ext>
      </extLst>
    </bk>
    <bk>
      <extLst>
        <ext uri="{3e2802c4-a4d2-4d8b-9148-e3be6c30e623}">
          <xlrd:rvb i="12146"/>
        </ext>
      </extLst>
    </bk>
    <bk>
      <extLst>
        <ext uri="{3e2802c4-a4d2-4d8b-9148-e3be6c30e623}">
          <xlrd:rvb i="12147"/>
        </ext>
      </extLst>
    </bk>
    <bk>
      <extLst>
        <ext uri="{3e2802c4-a4d2-4d8b-9148-e3be6c30e623}">
          <xlrd:rvb i="12148"/>
        </ext>
      </extLst>
    </bk>
    <bk>
      <extLst>
        <ext uri="{3e2802c4-a4d2-4d8b-9148-e3be6c30e623}">
          <xlrd:rvb i="12149"/>
        </ext>
      </extLst>
    </bk>
    <bk>
      <extLst>
        <ext uri="{3e2802c4-a4d2-4d8b-9148-e3be6c30e623}">
          <xlrd:rvb i="12150"/>
        </ext>
      </extLst>
    </bk>
    <bk>
      <extLst>
        <ext uri="{3e2802c4-a4d2-4d8b-9148-e3be6c30e623}">
          <xlrd:rvb i="12151"/>
        </ext>
      </extLst>
    </bk>
    <bk>
      <extLst>
        <ext uri="{3e2802c4-a4d2-4d8b-9148-e3be6c30e623}">
          <xlrd:rvb i="12152"/>
        </ext>
      </extLst>
    </bk>
    <bk>
      <extLst>
        <ext uri="{3e2802c4-a4d2-4d8b-9148-e3be6c30e623}">
          <xlrd:rvb i="12153"/>
        </ext>
      </extLst>
    </bk>
    <bk>
      <extLst>
        <ext uri="{3e2802c4-a4d2-4d8b-9148-e3be6c30e623}">
          <xlrd:rvb i="12154"/>
        </ext>
      </extLst>
    </bk>
    <bk>
      <extLst>
        <ext uri="{3e2802c4-a4d2-4d8b-9148-e3be6c30e623}">
          <xlrd:rvb i="12155"/>
        </ext>
      </extLst>
    </bk>
    <bk>
      <extLst>
        <ext uri="{3e2802c4-a4d2-4d8b-9148-e3be6c30e623}">
          <xlrd:rvb i="12156"/>
        </ext>
      </extLst>
    </bk>
    <bk>
      <extLst>
        <ext uri="{3e2802c4-a4d2-4d8b-9148-e3be6c30e623}">
          <xlrd:rvb i="12157"/>
        </ext>
      </extLst>
    </bk>
    <bk>
      <extLst>
        <ext uri="{3e2802c4-a4d2-4d8b-9148-e3be6c30e623}">
          <xlrd:rvb i="12158"/>
        </ext>
      </extLst>
    </bk>
    <bk>
      <extLst>
        <ext uri="{3e2802c4-a4d2-4d8b-9148-e3be6c30e623}">
          <xlrd:rvb i="12159"/>
        </ext>
      </extLst>
    </bk>
    <bk>
      <extLst>
        <ext uri="{3e2802c4-a4d2-4d8b-9148-e3be6c30e623}">
          <xlrd:rvb i="12160"/>
        </ext>
      </extLst>
    </bk>
    <bk>
      <extLst>
        <ext uri="{3e2802c4-a4d2-4d8b-9148-e3be6c30e623}">
          <xlrd:rvb i="12161"/>
        </ext>
      </extLst>
    </bk>
    <bk>
      <extLst>
        <ext uri="{3e2802c4-a4d2-4d8b-9148-e3be6c30e623}">
          <xlrd:rvb i="12162"/>
        </ext>
      </extLst>
    </bk>
    <bk>
      <extLst>
        <ext uri="{3e2802c4-a4d2-4d8b-9148-e3be6c30e623}">
          <xlrd:rvb i="12163"/>
        </ext>
      </extLst>
    </bk>
    <bk>
      <extLst>
        <ext uri="{3e2802c4-a4d2-4d8b-9148-e3be6c30e623}">
          <xlrd:rvb i="12164"/>
        </ext>
      </extLst>
    </bk>
    <bk>
      <extLst>
        <ext uri="{3e2802c4-a4d2-4d8b-9148-e3be6c30e623}">
          <xlrd:rvb i="12165"/>
        </ext>
      </extLst>
    </bk>
    <bk>
      <extLst>
        <ext uri="{3e2802c4-a4d2-4d8b-9148-e3be6c30e623}">
          <xlrd:rvb i="12166"/>
        </ext>
      </extLst>
    </bk>
    <bk>
      <extLst>
        <ext uri="{3e2802c4-a4d2-4d8b-9148-e3be6c30e623}">
          <xlrd:rvb i="12167"/>
        </ext>
      </extLst>
    </bk>
    <bk>
      <extLst>
        <ext uri="{3e2802c4-a4d2-4d8b-9148-e3be6c30e623}">
          <xlrd:rvb i="12168"/>
        </ext>
      </extLst>
    </bk>
    <bk>
      <extLst>
        <ext uri="{3e2802c4-a4d2-4d8b-9148-e3be6c30e623}">
          <xlrd:rvb i="12169"/>
        </ext>
      </extLst>
    </bk>
    <bk>
      <extLst>
        <ext uri="{3e2802c4-a4d2-4d8b-9148-e3be6c30e623}">
          <xlrd:rvb i="12170"/>
        </ext>
      </extLst>
    </bk>
    <bk>
      <extLst>
        <ext uri="{3e2802c4-a4d2-4d8b-9148-e3be6c30e623}">
          <xlrd:rvb i="12171"/>
        </ext>
      </extLst>
    </bk>
    <bk>
      <extLst>
        <ext uri="{3e2802c4-a4d2-4d8b-9148-e3be6c30e623}">
          <xlrd:rvb i="12172"/>
        </ext>
      </extLst>
    </bk>
    <bk>
      <extLst>
        <ext uri="{3e2802c4-a4d2-4d8b-9148-e3be6c30e623}">
          <xlrd:rvb i="12173"/>
        </ext>
      </extLst>
    </bk>
    <bk>
      <extLst>
        <ext uri="{3e2802c4-a4d2-4d8b-9148-e3be6c30e623}">
          <xlrd:rvb i="12174"/>
        </ext>
      </extLst>
    </bk>
    <bk>
      <extLst>
        <ext uri="{3e2802c4-a4d2-4d8b-9148-e3be6c30e623}">
          <xlrd:rvb i="12175"/>
        </ext>
      </extLst>
    </bk>
    <bk>
      <extLst>
        <ext uri="{3e2802c4-a4d2-4d8b-9148-e3be6c30e623}">
          <xlrd:rvb i="12176"/>
        </ext>
      </extLst>
    </bk>
    <bk>
      <extLst>
        <ext uri="{3e2802c4-a4d2-4d8b-9148-e3be6c30e623}">
          <xlrd:rvb i="12177"/>
        </ext>
      </extLst>
    </bk>
    <bk>
      <extLst>
        <ext uri="{3e2802c4-a4d2-4d8b-9148-e3be6c30e623}">
          <xlrd:rvb i="12178"/>
        </ext>
      </extLst>
    </bk>
    <bk>
      <extLst>
        <ext uri="{3e2802c4-a4d2-4d8b-9148-e3be6c30e623}">
          <xlrd:rvb i="12179"/>
        </ext>
      </extLst>
    </bk>
    <bk>
      <extLst>
        <ext uri="{3e2802c4-a4d2-4d8b-9148-e3be6c30e623}">
          <xlrd:rvb i="12180"/>
        </ext>
      </extLst>
    </bk>
    <bk>
      <extLst>
        <ext uri="{3e2802c4-a4d2-4d8b-9148-e3be6c30e623}">
          <xlrd:rvb i="12181"/>
        </ext>
      </extLst>
    </bk>
    <bk>
      <extLst>
        <ext uri="{3e2802c4-a4d2-4d8b-9148-e3be6c30e623}">
          <xlrd:rvb i="12182"/>
        </ext>
      </extLst>
    </bk>
    <bk>
      <extLst>
        <ext uri="{3e2802c4-a4d2-4d8b-9148-e3be6c30e623}">
          <xlrd:rvb i="12183"/>
        </ext>
      </extLst>
    </bk>
    <bk>
      <extLst>
        <ext uri="{3e2802c4-a4d2-4d8b-9148-e3be6c30e623}">
          <xlrd:rvb i="12184"/>
        </ext>
      </extLst>
    </bk>
    <bk>
      <extLst>
        <ext uri="{3e2802c4-a4d2-4d8b-9148-e3be6c30e623}">
          <xlrd:rvb i="12185"/>
        </ext>
      </extLst>
    </bk>
    <bk>
      <extLst>
        <ext uri="{3e2802c4-a4d2-4d8b-9148-e3be6c30e623}">
          <xlrd:rvb i="12186"/>
        </ext>
      </extLst>
    </bk>
    <bk>
      <extLst>
        <ext uri="{3e2802c4-a4d2-4d8b-9148-e3be6c30e623}">
          <xlrd:rvb i="12187"/>
        </ext>
      </extLst>
    </bk>
    <bk>
      <extLst>
        <ext uri="{3e2802c4-a4d2-4d8b-9148-e3be6c30e623}">
          <xlrd:rvb i="12188"/>
        </ext>
      </extLst>
    </bk>
    <bk>
      <extLst>
        <ext uri="{3e2802c4-a4d2-4d8b-9148-e3be6c30e623}">
          <xlrd:rvb i="12189"/>
        </ext>
      </extLst>
    </bk>
    <bk>
      <extLst>
        <ext uri="{3e2802c4-a4d2-4d8b-9148-e3be6c30e623}">
          <xlrd:rvb i="12190"/>
        </ext>
      </extLst>
    </bk>
    <bk>
      <extLst>
        <ext uri="{3e2802c4-a4d2-4d8b-9148-e3be6c30e623}">
          <xlrd:rvb i="12191"/>
        </ext>
      </extLst>
    </bk>
    <bk>
      <extLst>
        <ext uri="{3e2802c4-a4d2-4d8b-9148-e3be6c30e623}">
          <xlrd:rvb i="12192"/>
        </ext>
      </extLst>
    </bk>
    <bk>
      <extLst>
        <ext uri="{3e2802c4-a4d2-4d8b-9148-e3be6c30e623}">
          <xlrd:rvb i="12193"/>
        </ext>
      </extLst>
    </bk>
    <bk>
      <extLst>
        <ext uri="{3e2802c4-a4d2-4d8b-9148-e3be6c30e623}">
          <xlrd:rvb i="12194"/>
        </ext>
      </extLst>
    </bk>
    <bk>
      <extLst>
        <ext uri="{3e2802c4-a4d2-4d8b-9148-e3be6c30e623}">
          <xlrd:rvb i="12195"/>
        </ext>
      </extLst>
    </bk>
    <bk>
      <extLst>
        <ext uri="{3e2802c4-a4d2-4d8b-9148-e3be6c30e623}">
          <xlrd:rvb i="12196"/>
        </ext>
      </extLst>
    </bk>
    <bk>
      <extLst>
        <ext uri="{3e2802c4-a4d2-4d8b-9148-e3be6c30e623}">
          <xlrd:rvb i="12197"/>
        </ext>
      </extLst>
    </bk>
    <bk>
      <extLst>
        <ext uri="{3e2802c4-a4d2-4d8b-9148-e3be6c30e623}">
          <xlrd:rvb i="12198"/>
        </ext>
      </extLst>
    </bk>
    <bk>
      <extLst>
        <ext uri="{3e2802c4-a4d2-4d8b-9148-e3be6c30e623}">
          <xlrd:rvb i="12199"/>
        </ext>
      </extLst>
    </bk>
    <bk>
      <extLst>
        <ext uri="{3e2802c4-a4d2-4d8b-9148-e3be6c30e623}">
          <xlrd:rvb i="12200"/>
        </ext>
      </extLst>
    </bk>
    <bk>
      <extLst>
        <ext uri="{3e2802c4-a4d2-4d8b-9148-e3be6c30e623}">
          <xlrd:rvb i="12201"/>
        </ext>
      </extLst>
    </bk>
    <bk>
      <extLst>
        <ext uri="{3e2802c4-a4d2-4d8b-9148-e3be6c30e623}">
          <xlrd:rvb i="12202"/>
        </ext>
      </extLst>
    </bk>
    <bk>
      <extLst>
        <ext uri="{3e2802c4-a4d2-4d8b-9148-e3be6c30e623}">
          <xlrd:rvb i="12203"/>
        </ext>
      </extLst>
    </bk>
    <bk>
      <extLst>
        <ext uri="{3e2802c4-a4d2-4d8b-9148-e3be6c30e623}">
          <xlrd:rvb i="12204"/>
        </ext>
      </extLst>
    </bk>
    <bk>
      <extLst>
        <ext uri="{3e2802c4-a4d2-4d8b-9148-e3be6c30e623}">
          <xlrd:rvb i="12205"/>
        </ext>
      </extLst>
    </bk>
    <bk>
      <extLst>
        <ext uri="{3e2802c4-a4d2-4d8b-9148-e3be6c30e623}">
          <xlrd:rvb i="12206"/>
        </ext>
      </extLst>
    </bk>
    <bk>
      <extLst>
        <ext uri="{3e2802c4-a4d2-4d8b-9148-e3be6c30e623}">
          <xlrd:rvb i="12207"/>
        </ext>
      </extLst>
    </bk>
    <bk>
      <extLst>
        <ext uri="{3e2802c4-a4d2-4d8b-9148-e3be6c30e623}">
          <xlrd:rvb i="12208"/>
        </ext>
      </extLst>
    </bk>
    <bk>
      <extLst>
        <ext uri="{3e2802c4-a4d2-4d8b-9148-e3be6c30e623}">
          <xlrd:rvb i="12209"/>
        </ext>
      </extLst>
    </bk>
    <bk>
      <extLst>
        <ext uri="{3e2802c4-a4d2-4d8b-9148-e3be6c30e623}">
          <xlrd:rvb i="12210"/>
        </ext>
      </extLst>
    </bk>
    <bk>
      <extLst>
        <ext uri="{3e2802c4-a4d2-4d8b-9148-e3be6c30e623}">
          <xlrd:rvb i="12211"/>
        </ext>
      </extLst>
    </bk>
    <bk>
      <extLst>
        <ext uri="{3e2802c4-a4d2-4d8b-9148-e3be6c30e623}">
          <xlrd:rvb i="12212"/>
        </ext>
      </extLst>
    </bk>
    <bk>
      <extLst>
        <ext uri="{3e2802c4-a4d2-4d8b-9148-e3be6c30e623}">
          <xlrd:rvb i="12213"/>
        </ext>
      </extLst>
    </bk>
    <bk>
      <extLst>
        <ext uri="{3e2802c4-a4d2-4d8b-9148-e3be6c30e623}">
          <xlrd:rvb i="12214"/>
        </ext>
      </extLst>
    </bk>
    <bk>
      <extLst>
        <ext uri="{3e2802c4-a4d2-4d8b-9148-e3be6c30e623}">
          <xlrd:rvb i="12215"/>
        </ext>
      </extLst>
    </bk>
    <bk>
      <extLst>
        <ext uri="{3e2802c4-a4d2-4d8b-9148-e3be6c30e623}">
          <xlrd:rvb i="12216"/>
        </ext>
      </extLst>
    </bk>
    <bk>
      <extLst>
        <ext uri="{3e2802c4-a4d2-4d8b-9148-e3be6c30e623}">
          <xlrd:rvb i="12217"/>
        </ext>
      </extLst>
    </bk>
    <bk>
      <extLst>
        <ext uri="{3e2802c4-a4d2-4d8b-9148-e3be6c30e623}">
          <xlrd:rvb i="12218"/>
        </ext>
      </extLst>
    </bk>
    <bk>
      <extLst>
        <ext uri="{3e2802c4-a4d2-4d8b-9148-e3be6c30e623}">
          <xlrd:rvb i="12219"/>
        </ext>
      </extLst>
    </bk>
    <bk>
      <extLst>
        <ext uri="{3e2802c4-a4d2-4d8b-9148-e3be6c30e623}">
          <xlrd:rvb i="12220"/>
        </ext>
      </extLst>
    </bk>
    <bk>
      <extLst>
        <ext uri="{3e2802c4-a4d2-4d8b-9148-e3be6c30e623}">
          <xlrd:rvb i="12221"/>
        </ext>
      </extLst>
    </bk>
    <bk>
      <extLst>
        <ext uri="{3e2802c4-a4d2-4d8b-9148-e3be6c30e623}">
          <xlrd:rvb i="12222"/>
        </ext>
      </extLst>
    </bk>
    <bk>
      <extLst>
        <ext uri="{3e2802c4-a4d2-4d8b-9148-e3be6c30e623}">
          <xlrd:rvb i="12223"/>
        </ext>
      </extLst>
    </bk>
    <bk>
      <extLst>
        <ext uri="{3e2802c4-a4d2-4d8b-9148-e3be6c30e623}">
          <xlrd:rvb i="12224"/>
        </ext>
      </extLst>
    </bk>
    <bk>
      <extLst>
        <ext uri="{3e2802c4-a4d2-4d8b-9148-e3be6c30e623}">
          <xlrd:rvb i="12225"/>
        </ext>
      </extLst>
    </bk>
    <bk>
      <extLst>
        <ext uri="{3e2802c4-a4d2-4d8b-9148-e3be6c30e623}">
          <xlrd:rvb i="12226"/>
        </ext>
      </extLst>
    </bk>
    <bk>
      <extLst>
        <ext uri="{3e2802c4-a4d2-4d8b-9148-e3be6c30e623}">
          <xlrd:rvb i="12227"/>
        </ext>
      </extLst>
    </bk>
    <bk>
      <extLst>
        <ext uri="{3e2802c4-a4d2-4d8b-9148-e3be6c30e623}">
          <xlrd:rvb i="12228"/>
        </ext>
      </extLst>
    </bk>
    <bk>
      <extLst>
        <ext uri="{3e2802c4-a4d2-4d8b-9148-e3be6c30e623}">
          <xlrd:rvb i="12229"/>
        </ext>
      </extLst>
    </bk>
    <bk>
      <extLst>
        <ext uri="{3e2802c4-a4d2-4d8b-9148-e3be6c30e623}">
          <xlrd:rvb i="12230"/>
        </ext>
      </extLst>
    </bk>
    <bk>
      <extLst>
        <ext uri="{3e2802c4-a4d2-4d8b-9148-e3be6c30e623}">
          <xlrd:rvb i="12231"/>
        </ext>
      </extLst>
    </bk>
    <bk>
      <extLst>
        <ext uri="{3e2802c4-a4d2-4d8b-9148-e3be6c30e623}">
          <xlrd:rvb i="12232"/>
        </ext>
      </extLst>
    </bk>
    <bk>
      <extLst>
        <ext uri="{3e2802c4-a4d2-4d8b-9148-e3be6c30e623}">
          <xlrd:rvb i="12233"/>
        </ext>
      </extLst>
    </bk>
    <bk>
      <extLst>
        <ext uri="{3e2802c4-a4d2-4d8b-9148-e3be6c30e623}">
          <xlrd:rvb i="12234"/>
        </ext>
      </extLst>
    </bk>
    <bk>
      <extLst>
        <ext uri="{3e2802c4-a4d2-4d8b-9148-e3be6c30e623}">
          <xlrd:rvb i="12235"/>
        </ext>
      </extLst>
    </bk>
    <bk>
      <extLst>
        <ext uri="{3e2802c4-a4d2-4d8b-9148-e3be6c30e623}">
          <xlrd:rvb i="12236"/>
        </ext>
      </extLst>
    </bk>
    <bk>
      <extLst>
        <ext uri="{3e2802c4-a4d2-4d8b-9148-e3be6c30e623}">
          <xlrd:rvb i="12237"/>
        </ext>
      </extLst>
    </bk>
    <bk>
      <extLst>
        <ext uri="{3e2802c4-a4d2-4d8b-9148-e3be6c30e623}">
          <xlrd:rvb i="12238"/>
        </ext>
      </extLst>
    </bk>
    <bk>
      <extLst>
        <ext uri="{3e2802c4-a4d2-4d8b-9148-e3be6c30e623}">
          <xlrd:rvb i="12239"/>
        </ext>
      </extLst>
    </bk>
    <bk>
      <extLst>
        <ext uri="{3e2802c4-a4d2-4d8b-9148-e3be6c30e623}">
          <xlrd:rvb i="12240"/>
        </ext>
      </extLst>
    </bk>
    <bk>
      <extLst>
        <ext uri="{3e2802c4-a4d2-4d8b-9148-e3be6c30e623}">
          <xlrd:rvb i="12241"/>
        </ext>
      </extLst>
    </bk>
    <bk>
      <extLst>
        <ext uri="{3e2802c4-a4d2-4d8b-9148-e3be6c30e623}">
          <xlrd:rvb i="12242"/>
        </ext>
      </extLst>
    </bk>
    <bk>
      <extLst>
        <ext uri="{3e2802c4-a4d2-4d8b-9148-e3be6c30e623}">
          <xlrd:rvb i="12243"/>
        </ext>
      </extLst>
    </bk>
    <bk>
      <extLst>
        <ext uri="{3e2802c4-a4d2-4d8b-9148-e3be6c30e623}">
          <xlrd:rvb i="12244"/>
        </ext>
      </extLst>
    </bk>
    <bk>
      <extLst>
        <ext uri="{3e2802c4-a4d2-4d8b-9148-e3be6c30e623}">
          <xlrd:rvb i="12245"/>
        </ext>
      </extLst>
    </bk>
    <bk>
      <extLst>
        <ext uri="{3e2802c4-a4d2-4d8b-9148-e3be6c30e623}">
          <xlrd:rvb i="12246"/>
        </ext>
      </extLst>
    </bk>
    <bk>
      <extLst>
        <ext uri="{3e2802c4-a4d2-4d8b-9148-e3be6c30e623}">
          <xlrd:rvb i="12247"/>
        </ext>
      </extLst>
    </bk>
    <bk>
      <extLst>
        <ext uri="{3e2802c4-a4d2-4d8b-9148-e3be6c30e623}">
          <xlrd:rvb i="12248"/>
        </ext>
      </extLst>
    </bk>
    <bk>
      <extLst>
        <ext uri="{3e2802c4-a4d2-4d8b-9148-e3be6c30e623}">
          <xlrd:rvb i="12249"/>
        </ext>
      </extLst>
    </bk>
    <bk>
      <extLst>
        <ext uri="{3e2802c4-a4d2-4d8b-9148-e3be6c30e623}">
          <xlrd:rvb i="12250"/>
        </ext>
      </extLst>
    </bk>
    <bk>
      <extLst>
        <ext uri="{3e2802c4-a4d2-4d8b-9148-e3be6c30e623}">
          <xlrd:rvb i="12251"/>
        </ext>
      </extLst>
    </bk>
    <bk>
      <extLst>
        <ext uri="{3e2802c4-a4d2-4d8b-9148-e3be6c30e623}">
          <xlrd:rvb i="12252"/>
        </ext>
      </extLst>
    </bk>
    <bk>
      <extLst>
        <ext uri="{3e2802c4-a4d2-4d8b-9148-e3be6c30e623}">
          <xlrd:rvb i="12253"/>
        </ext>
      </extLst>
    </bk>
    <bk>
      <extLst>
        <ext uri="{3e2802c4-a4d2-4d8b-9148-e3be6c30e623}">
          <xlrd:rvb i="12254"/>
        </ext>
      </extLst>
    </bk>
    <bk>
      <extLst>
        <ext uri="{3e2802c4-a4d2-4d8b-9148-e3be6c30e623}">
          <xlrd:rvb i="12255"/>
        </ext>
      </extLst>
    </bk>
    <bk>
      <extLst>
        <ext uri="{3e2802c4-a4d2-4d8b-9148-e3be6c30e623}">
          <xlrd:rvb i="12256"/>
        </ext>
      </extLst>
    </bk>
    <bk>
      <extLst>
        <ext uri="{3e2802c4-a4d2-4d8b-9148-e3be6c30e623}">
          <xlrd:rvb i="12257"/>
        </ext>
      </extLst>
    </bk>
    <bk>
      <extLst>
        <ext uri="{3e2802c4-a4d2-4d8b-9148-e3be6c30e623}">
          <xlrd:rvb i="12258"/>
        </ext>
      </extLst>
    </bk>
    <bk>
      <extLst>
        <ext uri="{3e2802c4-a4d2-4d8b-9148-e3be6c30e623}">
          <xlrd:rvb i="12259"/>
        </ext>
      </extLst>
    </bk>
    <bk>
      <extLst>
        <ext uri="{3e2802c4-a4d2-4d8b-9148-e3be6c30e623}">
          <xlrd:rvb i="12260"/>
        </ext>
      </extLst>
    </bk>
    <bk>
      <extLst>
        <ext uri="{3e2802c4-a4d2-4d8b-9148-e3be6c30e623}">
          <xlrd:rvb i="12261"/>
        </ext>
      </extLst>
    </bk>
    <bk>
      <extLst>
        <ext uri="{3e2802c4-a4d2-4d8b-9148-e3be6c30e623}">
          <xlrd:rvb i="12262"/>
        </ext>
      </extLst>
    </bk>
    <bk>
      <extLst>
        <ext uri="{3e2802c4-a4d2-4d8b-9148-e3be6c30e623}">
          <xlrd:rvb i="12263"/>
        </ext>
      </extLst>
    </bk>
    <bk>
      <extLst>
        <ext uri="{3e2802c4-a4d2-4d8b-9148-e3be6c30e623}">
          <xlrd:rvb i="12264"/>
        </ext>
      </extLst>
    </bk>
    <bk>
      <extLst>
        <ext uri="{3e2802c4-a4d2-4d8b-9148-e3be6c30e623}">
          <xlrd:rvb i="12265"/>
        </ext>
      </extLst>
    </bk>
    <bk>
      <extLst>
        <ext uri="{3e2802c4-a4d2-4d8b-9148-e3be6c30e623}">
          <xlrd:rvb i="12266"/>
        </ext>
      </extLst>
    </bk>
    <bk>
      <extLst>
        <ext uri="{3e2802c4-a4d2-4d8b-9148-e3be6c30e623}">
          <xlrd:rvb i="12267"/>
        </ext>
      </extLst>
    </bk>
    <bk>
      <extLst>
        <ext uri="{3e2802c4-a4d2-4d8b-9148-e3be6c30e623}">
          <xlrd:rvb i="12268"/>
        </ext>
      </extLst>
    </bk>
    <bk>
      <extLst>
        <ext uri="{3e2802c4-a4d2-4d8b-9148-e3be6c30e623}">
          <xlrd:rvb i="12269"/>
        </ext>
      </extLst>
    </bk>
    <bk>
      <extLst>
        <ext uri="{3e2802c4-a4d2-4d8b-9148-e3be6c30e623}">
          <xlrd:rvb i="12270"/>
        </ext>
      </extLst>
    </bk>
    <bk>
      <extLst>
        <ext uri="{3e2802c4-a4d2-4d8b-9148-e3be6c30e623}">
          <xlrd:rvb i="12271"/>
        </ext>
      </extLst>
    </bk>
    <bk>
      <extLst>
        <ext uri="{3e2802c4-a4d2-4d8b-9148-e3be6c30e623}">
          <xlrd:rvb i="12272"/>
        </ext>
      </extLst>
    </bk>
    <bk>
      <extLst>
        <ext uri="{3e2802c4-a4d2-4d8b-9148-e3be6c30e623}">
          <xlrd:rvb i="12273"/>
        </ext>
      </extLst>
    </bk>
    <bk>
      <extLst>
        <ext uri="{3e2802c4-a4d2-4d8b-9148-e3be6c30e623}">
          <xlrd:rvb i="12274"/>
        </ext>
      </extLst>
    </bk>
    <bk>
      <extLst>
        <ext uri="{3e2802c4-a4d2-4d8b-9148-e3be6c30e623}">
          <xlrd:rvb i="12275"/>
        </ext>
      </extLst>
    </bk>
    <bk>
      <extLst>
        <ext uri="{3e2802c4-a4d2-4d8b-9148-e3be6c30e623}">
          <xlrd:rvb i="12276"/>
        </ext>
      </extLst>
    </bk>
    <bk>
      <extLst>
        <ext uri="{3e2802c4-a4d2-4d8b-9148-e3be6c30e623}">
          <xlrd:rvb i="12277"/>
        </ext>
      </extLst>
    </bk>
    <bk>
      <extLst>
        <ext uri="{3e2802c4-a4d2-4d8b-9148-e3be6c30e623}">
          <xlrd:rvb i="12278"/>
        </ext>
      </extLst>
    </bk>
    <bk>
      <extLst>
        <ext uri="{3e2802c4-a4d2-4d8b-9148-e3be6c30e623}">
          <xlrd:rvb i="12279"/>
        </ext>
      </extLst>
    </bk>
    <bk>
      <extLst>
        <ext uri="{3e2802c4-a4d2-4d8b-9148-e3be6c30e623}">
          <xlrd:rvb i="12280"/>
        </ext>
      </extLst>
    </bk>
    <bk>
      <extLst>
        <ext uri="{3e2802c4-a4d2-4d8b-9148-e3be6c30e623}">
          <xlrd:rvb i="12281"/>
        </ext>
      </extLst>
    </bk>
    <bk>
      <extLst>
        <ext uri="{3e2802c4-a4d2-4d8b-9148-e3be6c30e623}">
          <xlrd:rvb i="12282"/>
        </ext>
      </extLst>
    </bk>
    <bk>
      <extLst>
        <ext uri="{3e2802c4-a4d2-4d8b-9148-e3be6c30e623}">
          <xlrd:rvb i="12283"/>
        </ext>
      </extLst>
    </bk>
    <bk>
      <extLst>
        <ext uri="{3e2802c4-a4d2-4d8b-9148-e3be6c30e623}">
          <xlrd:rvb i="12284"/>
        </ext>
      </extLst>
    </bk>
    <bk>
      <extLst>
        <ext uri="{3e2802c4-a4d2-4d8b-9148-e3be6c30e623}">
          <xlrd:rvb i="12285"/>
        </ext>
      </extLst>
    </bk>
    <bk>
      <extLst>
        <ext uri="{3e2802c4-a4d2-4d8b-9148-e3be6c30e623}">
          <xlrd:rvb i="12286"/>
        </ext>
      </extLst>
    </bk>
    <bk>
      <extLst>
        <ext uri="{3e2802c4-a4d2-4d8b-9148-e3be6c30e623}">
          <xlrd:rvb i="12287"/>
        </ext>
      </extLst>
    </bk>
    <bk>
      <extLst>
        <ext uri="{3e2802c4-a4d2-4d8b-9148-e3be6c30e623}">
          <xlrd:rvb i="12288"/>
        </ext>
      </extLst>
    </bk>
    <bk>
      <extLst>
        <ext uri="{3e2802c4-a4d2-4d8b-9148-e3be6c30e623}">
          <xlrd:rvb i="12289"/>
        </ext>
      </extLst>
    </bk>
    <bk>
      <extLst>
        <ext uri="{3e2802c4-a4d2-4d8b-9148-e3be6c30e623}">
          <xlrd:rvb i="12290"/>
        </ext>
      </extLst>
    </bk>
    <bk>
      <extLst>
        <ext uri="{3e2802c4-a4d2-4d8b-9148-e3be6c30e623}">
          <xlrd:rvb i="12291"/>
        </ext>
      </extLst>
    </bk>
    <bk>
      <extLst>
        <ext uri="{3e2802c4-a4d2-4d8b-9148-e3be6c30e623}">
          <xlrd:rvb i="12292"/>
        </ext>
      </extLst>
    </bk>
    <bk>
      <extLst>
        <ext uri="{3e2802c4-a4d2-4d8b-9148-e3be6c30e623}">
          <xlrd:rvb i="12293"/>
        </ext>
      </extLst>
    </bk>
    <bk>
      <extLst>
        <ext uri="{3e2802c4-a4d2-4d8b-9148-e3be6c30e623}">
          <xlrd:rvb i="12294"/>
        </ext>
      </extLst>
    </bk>
    <bk>
      <extLst>
        <ext uri="{3e2802c4-a4d2-4d8b-9148-e3be6c30e623}">
          <xlrd:rvb i="12295"/>
        </ext>
      </extLst>
    </bk>
    <bk>
      <extLst>
        <ext uri="{3e2802c4-a4d2-4d8b-9148-e3be6c30e623}">
          <xlrd:rvb i="12296"/>
        </ext>
      </extLst>
    </bk>
    <bk>
      <extLst>
        <ext uri="{3e2802c4-a4d2-4d8b-9148-e3be6c30e623}">
          <xlrd:rvb i="12297"/>
        </ext>
      </extLst>
    </bk>
    <bk>
      <extLst>
        <ext uri="{3e2802c4-a4d2-4d8b-9148-e3be6c30e623}">
          <xlrd:rvb i="12298"/>
        </ext>
      </extLst>
    </bk>
    <bk>
      <extLst>
        <ext uri="{3e2802c4-a4d2-4d8b-9148-e3be6c30e623}">
          <xlrd:rvb i="12299"/>
        </ext>
      </extLst>
    </bk>
    <bk>
      <extLst>
        <ext uri="{3e2802c4-a4d2-4d8b-9148-e3be6c30e623}">
          <xlrd:rvb i="12300"/>
        </ext>
      </extLst>
    </bk>
    <bk>
      <extLst>
        <ext uri="{3e2802c4-a4d2-4d8b-9148-e3be6c30e623}">
          <xlrd:rvb i="12301"/>
        </ext>
      </extLst>
    </bk>
    <bk>
      <extLst>
        <ext uri="{3e2802c4-a4d2-4d8b-9148-e3be6c30e623}">
          <xlrd:rvb i="12302"/>
        </ext>
      </extLst>
    </bk>
    <bk>
      <extLst>
        <ext uri="{3e2802c4-a4d2-4d8b-9148-e3be6c30e623}">
          <xlrd:rvb i="12303"/>
        </ext>
      </extLst>
    </bk>
    <bk>
      <extLst>
        <ext uri="{3e2802c4-a4d2-4d8b-9148-e3be6c30e623}">
          <xlrd:rvb i="12304"/>
        </ext>
      </extLst>
    </bk>
    <bk>
      <extLst>
        <ext uri="{3e2802c4-a4d2-4d8b-9148-e3be6c30e623}">
          <xlrd:rvb i="12305"/>
        </ext>
      </extLst>
    </bk>
    <bk>
      <extLst>
        <ext uri="{3e2802c4-a4d2-4d8b-9148-e3be6c30e623}">
          <xlrd:rvb i="12306"/>
        </ext>
      </extLst>
    </bk>
    <bk>
      <extLst>
        <ext uri="{3e2802c4-a4d2-4d8b-9148-e3be6c30e623}">
          <xlrd:rvb i="12307"/>
        </ext>
      </extLst>
    </bk>
    <bk>
      <extLst>
        <ext uri="{3e2802c4-a4d2-4d8b-9148-e3be6c30e623}">
          <xlrd:rvb i="12308"/>
        </ext>
      </extLst>
    </bk>
    <bk>
      <extLst>
        <ext uri="{3e2802c4-a4d2-4d8b-9148-e3be6c30e623}">
          <xlrd:rvb i="12309"/>
        </ext>
      </extLst>
    </bk>
    <bk>
      <extLst>
        <ext uri="{3e2802c4-a4d2-4d8b-9148-e3be6c30e623}">
          <xlrd:rvb i="12310"/>
        </ext>
      </extLst>
    </bk>
    <bk>
      <extLst>
        <ext uri="{3e2802c4-a4d2-4d8b-9148-e3be6c30e623}">
          <xlrd:rvb i="12311"/>
        </ext>
      </extLst>
    </bk>
    <bk>
      <extLst>
        <ext uri="{3e2802c4-a4d2-4d8b-9148-e3be6c30e623}">
          <xlrd:rvb i="12312"/>
        </ext>
      </extLst>
    </bk>
    <bk>
      <extLst>
        <ext uri="{3e2802c4-a4d2-4d8b-9148-e3be6c30e623}">
          <xlrd:rvb i="12313"/>
        </ext>
      </extLst>
    </bk>
    <bk>
      <extLst>
        <ext uri="{3e2802c4-a4d2-4d8b-9148-e3be6c30e623}">
          <xlrd:rvb i="12314"/>
        </ext>
      </extLst>
    </bk>
    <bk>
      <extLst>
        <ext uri="{3e2802c4-a4d2-4d8b-9148-e3be6c30e623}">
          <xlrd:rvb i="12315"/>
        </ext>
      </extLst>
    </bk>
    <bk>
      <extLst>
        <ext uri="{3e2802c4-a4d2-4d8b-9148-e3be6c30e623}">
          <xlrd:rvb i="12316"/>
        </ext>
      </extLst>
    </bk>
    <bk>
      <extLst>
        <ext uri="{3e2802c4-a4d2-4d8b-9148-e3be6c30e623}">
          <xlrd:rvb i="12317"/>
        </ext>
      </extLst>
    </bk>
    <bk>
      <extLst>
        <ext uri="{3e2802c4-a4d2-4d8b-9148-e3be6c30e623}">
          <xlrd:rvb i="12318"/>
        </ext>
      </extLst>
    </bk>
    <bk>
      <extLst>
        <ext uri="{3e2802c4-a4d2-4d8b-9148-e3be6c30e623}">
          <xlrd:rvb i="12319"/>
        </ext>
      </extLst>
    </bk>
    <bk>
      <extLst>
        <ext uri="{3e2802c4-a4d2-4d8b-9148-e3be6c30e623}">
          <xlrd:rvb i="12320"/>
        </ext>
      </extLst>
    </bk>
    <bk>
      <extLst>
        <ext uri="{3e2802c4-a4d2-4d8b-9148-e3be6c30e623}">
          <xlrd:rvb i="12321"/>
        </ext>
      </extLst>
    </bk>
    <bk>
      <extLst>
        <ext uri="{3e2802c4-a4d2-4d8b-9148-e3be6c30e623}">
          <xlrd:rvb i="12322"/>
        </ext>
      </extLst>
    </bk>
    <bk>
      <extLst>
        <ext uri="{3e2802c4-a4d2-4d8b-9148-e3be6c30e623}">
          <xlrd:rvb i="12323"/>
        </ext>
      </extLst>
    </bk>
    <bk>
      <extLst>
        <ext uri="{3e2802c4-a4d2-4d8b-9148-e3be6c30e623}">
          <xlrd:rvb i="12324"/>
        </ext>
      </extLst>
    </bk>
    <bk>
      <extLst>
        <ext uri="{3e2802c4-a4d2-4d8b-9148-e3be6c30e623}">
          <xlrd:rvb i="12325"/>
        </ext>
      </extLst>
    </bk>
    <bk>
      <extLst>
        <ext uri="{3e2802c4-a4d2-4d8b-9148-e3be6c30e623}">
          <xlrd:rvb i="12326"/>
        </ext>
      </extLst>
    </bk>
    <bk>
      <extLst>
        <ext uri="{3e2802c4-a4d2-4d8b-9148-e3be6c30e623}">
          <xlrd:rvb i="12327"/>
        </ext>
      </extLst>
    </bk>
    <bk>
      <extLst>
        <ext uri="{3e2802c4-a4d2-4d8b-9148-e3be6c30e623}">
          <xlrd:rvb i="12328"/>
        </ext>
      </extLst>
    </bk>
    <bk>
      <extLst>
        <ext uri="{3e2802c4-a4d2-4d8b-9148-e3be6c30e623}">
          <xlrd:rvb i="12329"/>
        </ext>
      </extLst>
    </bk>
    <bk>
      <extLst>
        <ext uri="{3e2802c4-a4d2-4d8b-9148-e3be6c30e623}">
          <xlrd:rvb i="12330"/>
        </ext>
      </extLst>
    </bk>
    <bk>
      <extLst>
        <ext uri="{3e2802c4-a4d2-4d8b-9148-e3be6c30e623}">
          <xlrd:rvb i="12331"/>
        </ext>
      </extLst>
    </bk>
    <bk>
      <extLst>
        <ext uri="{3e2802c4-a4d2-4d8b-9148-e3be6c30e623}">
          <xlrd:rvb i="12332"/>
        </ext>
      </extLst>
    </bk>
    <bk>
      <extLst>
        <ext uri="{3e2802c4-a4d2-4d8b-9148-e3be6c30e623}">
          <xlrd:rvb i="12333"/>
        </ext>
      </extLst>
    </bk>
    <bk>
      <extLst>
        <ext uri="{3e2802c4-a4d2-4d8b-9148-e3be6c30e623}">
          <xlrd:rvb i="12334"/>
        </ext>
      </extLst>
    </bk>
    <bk>
      <extLst>
        <ext uri="{3e2802c4-a4d2-4d8b-9148-e3be6c30e623}">
          <xlrd:rvb i="12335"/>
        </ext>
      </extLst>
    </bk>
    <bk>
      <extLst>
        <ext uri="{3e2802c4-a4d2-4d8b-9148-e3be6c30e623}">
          <xlrd:rvb i="12336"/>
        </ext>
      </extLst>
    </bk>
    <bk>
      <extLst>
        <ext uri="{3e2802c4-a4d2-4d8b-9148-e3be6c30e623}">
          <xlrd:rvb i="12337"/>
        </ext>
      </extLst>
    </bk>
    <bk>
      <extLst>
        <ext uri="{3e2802c4-a4d2-4d8b-9148-e3be6c30e623}">
          <xlrd:rvb i="12338"/>
        </ext>
      </extLst>
    </bk>
    <bk>
      <extLst>
        <ext uri="{3e2802c4-a4d2-4d8b-9148-e3be6c30e623}">
          <xlrd:rvb i="12339"/>
        </ext>
      </extLst>
    </bk>
    <bk>
      <extLst>
        <ext uri="{3e2802c4-a4d2-4d8b-9148-e3be6c30e623}">
          <xlrd:rvb i="12340"/>
        </ext>
      </extLst>
    </bk>
    <bk>
      <extLst>
        <ext uri="{3e2802c4-a4d2-4d8b-9148-e3be6c30e623}">
          <xlrd:rvb i="12341"/>
        </ext>
      </extLst>
    </bk>
    <bk>
      <extLst>
        <ext uri="{3e2802c4-a4d2-4d8b-9148-e3be6c30e623}">
          <xlrd:rvb i="12342"/>
        </ext>
      </extLst>
    </bk>
    <bk>
      <extLst>
        <ext uri="{3e2802c4-a4d2-4d8b-9148-e3be6c30e623}">
          <xlrd:rvb i="12343"/>
        </ext>
      </extLst>
    </bk>
    <bk>
      <extLst>
        <ext uri="{3e2802c4-a4d2-4d8b-9148-e3be6c30e623}">
          <xlrd:rvb i="12344"/>
        </ext>
      </extLst>
    </bk>
    <bk>
      <extLst>
        <ext uri="{3e2802c4-a4d2-4d8b-9148-e3be6c30e623}">
          <xlrd:rvb i="12345"/>
        </ext>
      </extLst>
    </bk>
    <bk>
      <extLst>
        <ext uri="{3e2802c4-a4d2-4d8b-9148-e3be6c30e623}">
          <xlrd:rvb i="12346"/>
        </ext>
      </extLst>
    </bk>
    <bk>
      <extLst>
        <ext uri="{3e2802c4-a4d2-4d8b-9148-e3be6c30e623}">
          <xlrd:rvb i="12347"/>
        </ext>
      </extLst>
    </bk>
    <bk>
      <extLst>
        <ext uri="{3e2802c4-a4d2-4d8b-9148-e3be6c30e623}">
          <xlrd:rvb i="12348"/>
        </ext>
      </extLst>
    </bk>
    <bk>
      <extLst>
        <ext uri="{3e2802c4-a4d2-4d8b-9148-e3be6c30e623}">
          <xlrd:rvb i="12349"/>
        </ext>
      </extLst>
    </bk>
    <bk>
      <extLst>
        <ext uri="{3e2802c4-a4d2-4d8b-9148-e3be6c30e623}">
          <xlrd:rvb i="12350"/>
        </ext>
      </extLst>
    </bk>
    <bk>
      <extLst>
        <ext uri="{3e2802c4-a4d2-4d8b-9148-e3be6c30e623}">
          <xlrd:rvb i="12351"/>
        </ext>
      </extLst>
    </bk>
    <bk>
      <extLst>
        <ext uri="{3e2802c4-a4d2-4d8b-9148-e3be6c30e623}">
          <xlrd:rvb i="12352"/>
        </ext>
      </extLst>
    </bk>
    <bk>
      <extLst>
        <ext uri="{3e2802c4-a4d2-4d8b-9148-e3be6c30e623}">
          <xlrd:rvb i="12353"/>
        </ext>
      </extLst>
    </bk>
    <bk>
      <extLst>
        <ext uri="{3e2802c4-a4d2-4d8b-9148-e3be6c30e623}">
          <xlrd:rvb i="12354"/>
        </ext>
      </extLst>
    </bk>
    <bk>
      <extLst>
        <ext uri="{3e2802c4-a4d2-4d8b-9148-e3be6c30e623}">
          <xlrd:rvb i="12355"/>
        </ext>
      </extLst>
    </bk>
    <bk>
      <extLst>
        <ext uri="{3e2802c4-a4d2-4d8b-9148-e3be6c30e623}">
          <xlrd:rvb i="12356"/>
        </ext>
      </extLst>
    </bk>
    <bk>
      <extLst>
        <ext uri="{3e2802c4-a4d2-4d8b-9148-e3be6c30e623}">
          <xlrd:rvb i="12357"/>
        </ext>
      </extLst>
    </bk>
    <bk>
      <extLst>
        <ext uri="{3e2802c4-a4d2-4d8b-9148-e3be6c30e623}">
          <xlrd:rvb i="12358"/>
        </ext>
      </extLst>
    </bk>
    <bk>
      <extLst>
        <ext uri="{3e2802c4-a4d2-4d8b-9148-e3be6c30e623}">
          <xlrd:rvb i="12359"/>
        </ext>
      </extLst>
    </bk>
    <bk>
      <extLst>
        <ext uri="{3e2802c4-a4d2-4d8b-9148-e3be6c30e623}">
          <xlrd:rvb i="12360"/>
        </ext>
      </extLst>
    </bk>
    <bk>
      <extLst>
        <ext uri="{3e2802c4-a4d2-4d8b-9148-e3be6c30e623}">
          <xlrd:rvb i="12361"/>
        </ext>
      </extLst>
    </bk>
    <bk>
      <extLst>
        <ext uri="{3e2802c4-a4d2-4d8b-9148-e3be6c30e623}">
          <xlrd:rvb i="12362"/>
        </ext>
      </extLst>
    </bk>
    <bk>
      <extLst>
        <ext uri="{3e2802c4-a4d2-4d8b-9148-e3be6c30e623}">
          <xlrd:rvb i="12363"/>
        </ext>
      </extLst>
    </bk>
    <bk>
      <extLst>
        <ext uri="{3e2802c4-a4d2-4d8b-9148-e3be6c30e623}">
          <xlrd:rvb i="12364"/>
        </ext>
      </extLst>
    </bk>
    <bk>
      <extLst>
        <ext uri="{3e2802c4-a4d2-4d8b-9148-e3be6c30e623}">
          <xlrd:rvb i="12365"/>
        </ext>
      </extLst>
    </bk>
    <bk>
      <extLst>
        <ext uri="{3e2802c4-a4d2-4d8b-9148-e3be6c30e623}">
          <xlrd:rvb i="12366"/>
        </ext>
      </extLst>
    </bk>
    <bk>
      <extLst>
        <ext uri="{3e2802c4-a4d2-4d8b-9148-e3be6c30e623}">
          <xlrd:rvb i="12367"/>
        </ext>
      </extLst>
    </bk>
    <bk>
      <extLst>
        <ext uri="{3e2802c4-a4d2-4d8b-9148-e3be6c30e623}">
          <xlrd:rvb i="12368"/>
        </ext>
      </extLst>
    </bk>
    <bk>
      <extLst>
        <ext uri="{3e2802c4-a4d2-4d8b-9148-e3be6c30e623}">
          <xlrd:rvb i="12369"/>
        </ext>
      </extLst>
    </bk>
    <bk>
      <extLst>
        <ext uri="{3e2802c4-a4d2-4d8b-9148-e3be6c30e623}">
          <xlrd:rvb i="12370"/>
        </ext>
      </extLst>
    </bk>
    <bk>
      <extLst>
        <ext uri="{3e2802c4-a4d2-4d8b-9148-e3be6c30e623}">
          <xlrd:rvb i="12371"/>
        </ext>
      </extLst>
    </bk>
    <bk>
      <extLst>
        <ext uri="{3e2802c4-a4d2-4d8b-9148-e3be6c30e623}">
          <xlrd:rvb i="12372"/>
        </ext>
      </extLst>
    </bk>
    <bk>
      <extLst>
        <ext uri="{3e2802c4-a4d2-4d8b-9148-e3be6c30e623}">
          <xlrd:rvb i="12373"/>
        </ext>
      </extLst>
    </bk>
    <bk>
      <extLst>
        <ext uri="{3e2802c4-a4d2-4d8b-9148-e3be6c30e623}">
          <xlrd:rvb i="12374"/>
        </ext>
      </extLst>
    </bk>
    <bk>
      <extLst>
        <ext uri="{3e2802c4-a4d2-4d8b-9148-e3be6c30e623}">
          <xlrd:rvb i="12375"/>
        </ext>
      </extLst>
    </bk>
    <bk>
      <extLst>
        <ext uri="{3e2802c4-a4d2-4d8b-9148-e3be6c30e623}">
          <xlrd:rvb i="12376"/>
        </ext>
      </extLst>
    </bk>
    <bk>
      <extLst>
        <ext uri="{3e2802c4-a4d2-4d8b-9148-e3be6c30e623}">
          <xlrd:rvb i="12377"/>
        </ext>
      </extLst>
    </bk>
    <bk>
      <extLst>
        <ext uri="{3e2802c4-a4d2-4d8b-9148-e3be6c30e623}">
          <xlrd:rvb i="12378"/>
        </ext>
      </extLst>
    </bk>
    <bk>
      <extLst>
        <ext uri="{3e2802c4-a4d2-4d8b-9148-e3be6c30e623}">
          <xlrd:rvb i="12379"/>
        </ext>
      </extLst>
    </bk>
    <bk>
      <extLst>
        <ext uri="{3e2802c4-a4d2-4d8b-9148-e3be6c30e623}">
          <xlrd:rvb i="12380"/>
        </ext>
      </extLst>
    </bk>
    <bk>
      <extLst>
        <ext uri="{3e2802c4-a4d2-4d8b-9148-e3be6c30e623}">
          <xlrd:rvb i="12381"/>
        </ext>
      </extLst>
    </bk>
    <bk>
      <extLst>
        <ext uri="{3e2802c4-a4d2-4d8b-9148-e3be6c30e623}">
          <xlrd:rvb i="12382"/>
        </ext>
      </extLst>
    </bk>
    <bk>
      <extLst>
        <ext uri="{3e2802c4-a4d2-4d8b-9148-e3be6c30e623}">
          <xlrd:rvb i="12383"/>
        </ext>
      </extLst>
    </bk>
    <bk>
      <extLst>
        <ext uri="{3e2802c4-a4d2-4d8b-9148-e3be6c30e623}">
          <xlrd:rvb i="12384"/>
        </ext>
      </extLst>
    </bk>
    <bk>
      <extLst>
        <ext uri="{3e2802c4-a4d2-4d8b-9148-e3be6c30e623}">
          <xlrd:rvb i="12385"/>
        </ext>
      </extLst>
    </bk>
    <bk>
      <extLst>
        <ext uri="{3e2802c4-a4d2-4d8b-9148-e3be6c30e623}">
          <xlrd:rvb i="12386"/>
        </ext>
      </extLst>
    </bk>
    <bk>
      <extLst>
        <ext uri="{3e2802c4-a4d2-4d8b-9148-e3be6c30e623}">
          <xlrd:rvb i="12387"/>
        </ext>
      </extLst>
    </bk>
    <bk>
      <extLst>
        <ext uri="{3e2802c4-a4d2-4d8b-9148-e3be6c30e623}">
          <xlrd:rvb i="12388"/>
        </ext>
      </extLst>
    </bk>
    <bk>
      <extLst>
        <ext uri="{3e2802c4-a4d2-4d8b-9148-e3be6c30e623}">
          <xlrd:rvb i="12389"/>
        </ext>
      </extLst>
    </bk>
    <bk>
      <extLst>
        <ext uri="{3e2802c4-a4d2-4d8b-9148-e3be6c30e623}">
          <xlrd:rvb i="12390"/>
        </ext>
      </extLst>
    </bk>
    <bk>
      <extLst>
        <ext uri="{3e2802c4-a4d2-4d8b-9148-e3be6c30e623}">
          <xlrd:rvb i="12391"/>
        </ext>
      </extLst>
    </bk>
    <bk>
      <extLst>
        <ext uri="{3e2802c4-a4d2-4d8b-9148-e3be6c30e623}">
          <xlrd:rvb i="12392"/>
        </ext>
      </extLst>
    </bk>
    <bk>
      <extLst>
        <ext uri="{3e2802c4-a4d2-4d8b-9148-e3be6c30e623}">
          <xlrd:rvb i="12393"/>
        </ext>
      </extLst>
    </bk>
    <bk>
      <extLst>
        <ext uri="{3e2802c4-a4d2-4d8b-9148-e3be6c30e623}">
          <xlrd:rvb i="12394"/>
        </ext>
      </extLst>
    </bk>
    <bk>
      <extLst>
        <ext uri="{3e2802c4-a4d2-4d8b-9148-e3be6c30e623}">
          <xlrd:rvb i="12395"/>
        </ext>
      </extLst>
    </bk>
    <bk>
      <extLst>
        <ext uri="{3e2802c4-a4d2-4d8b-9148-e3be6c30e623}">
          <xlrd:rvb i="12396"/>
        </ext>
      </extLst>
    </bk>
    <bk>
      <extLst>
        <ext uri="{3e2802c4-a4d2-4d8b-9148-e3be6c30e623}">
          <xlrd:rvb i="12397"/>
        </ext>
      </extLst>
    </bk>
    <bk>
      <extLst>
        <ext uri="{3e2802c4-a4d2-4d8b-9148-e3be6c30e623}">
          <xlrd:rvb i="12398"/>
        </ext>
      </extLst>
    </bk>
    <bk>
      <extLst>
        <ext uri="{3e2802c4-a4d2-4d8b-9148-e3be6c30e623}">
          <xlrd:rvb i="12399"/>
        </ext>
      </extLst>
    </bk>
    <bk>
      <extLst>
        <ext uri="{3e2802c4-a4d2-4d8b-9148-e3be6c30e623}">
          <xlrd:rvb i="12400"/>
        </ext>
      </extLst>
    </bk>
    <bk>
      <extLst>
        <ext uri="{3e2802c4-a4d2-4d8b-9148-e3be6c30e623}">
          <xlrd:rvb i="12401"/>
        </ext>
      </extLst>
    </bk>
    <bk>
      <extLst>
        <ext uri="{3e2802c4-a4d2-4d8b-9148-e3be6c30e623}">
          <xlrd:rvb i="12402"/>
        </ext>
      </extLst>
    </bk>
    <bk>
      <extLst>
        <ext uri="{3e2802c4-a4d2-4d8b-9148-e3be6c30e623}">
          <xlrd:rvb i="12403"/>
        </ext>
      </extLst>
    </bk>
    <bk>
      <extLst>
        <ext uri="{3e2802c4-a4d2-4d8b-9148-e3be6c30e623}">
          <xlrd:rvb i="12404"/>
        </ext>
      </extLst>
    </bk>
    <bk>
      <extLst>
        <ext uri="{3e2802c4-a4d2-4d8b-9148-e3be6c30e623}">
          <xlrd:rvb i="12405"/>
        </ext>
      </extLst>
    </bk>
    <bk>
      <extLst>
        <ext uri="{3e2802c4-a4d2-4d8b-9148-e3be6c30e623}">
          <xlrd:rvb i="12406"/>
        </ext>
      </extLst>
    </bk>
    <bk>
      <extLst>
        <ext uri="{3e2802c4-a4d2-4d8b-9148-e3be6c30e623}">
          <xlrd:rvb i="12407"/>
        </ext>
      </extLst>
    </bk>
    <bk>
      <extLst>
        <ext uri="{3e2802c4-a4d2-4d8b-9148-e3be6c30e623}">
          <xlrd:rvb i="12408"/>
        </ext>
      </extLst>
    </bk>
    <bk>
      <extLst>
        <ext uri="{3e2802c4-a4d2-4d8b-9148-e3be6c30e623}">
          <xlrd:rvb i="12409"/>
        </ext>
      </extLst>
    </bk>
    <bk>
      <extLst>
        <ext uri="{3e2802c4-a4d2-4d8b-9148-e3be6c30e623}">
          <xlrd:rvb i="12410"/>
        </ext>
      </extLst>
    </bk>
    <bk>
      <extLst>
        <ext uri="{3e2802c4-a4d2-4d8b-9148-e3be6c30e623}">
          <xlrd:rvb i="12411"/>
        </ext>
      </extLst>
    </bk>
    <bk>
      <extLst>
        <ext uri="{3e2802c4-a4d2-4d8b-9148-e3be6c30e623}">
          <xlrd:rvb i="12412"/>
        </ext>
      </extLst>
    </bk>
    <bk>
      <extLst>
        <ext uri="{3e2802c4-a4d2-4d8b-9148-e3be6c30e623}">
          <xlrd:rvb i="12413"/>
        </ext>
      </extLst>
    </bk>
    <bk>
      <extLst>
        <ext uri="{3e2802c4-a4d2-4d8b-9148-e3be6c30e623}">
          <xlrd:rvb i="12414"/>
        </ext>
      </extLst>
    </bk>
    <bk>
      <extLst>
        <ext uri="{3e2802c4-a4d2-4d8b-9148-e3be6c30e623}">
          <xlrd:rvb i="12415"/>
        </ext>
      </extLst>
    </bk>
    <bk>
      <extLst>
        <ext uri="{3e2802c4-a4d2-4d8b-9148-e3be6c30e623}">
          <xlrd:rvb i="12416"/>
        </ext>
      </extLst>
    </bk>
    <bk>
      <extLst>
        <ext uri="{3e2802c4-a4d2-4d8b-9148-e3be6c30e623}">
          <xlrd:rvb i="12417"/>
        </ext>
      </extLst>
    </bk>
    <bk>
      <extLst>
        <ext uri="{3e2802c4-a4d2-4d8b-9148-e3be6c30e623}">
          <xlrd:rvb i="12418"/>
        </ext>
      </extLst>
    </bk>
    <bk>
      <extLst>
        <ext uri="{3e2802c4-a4d2-4d8b-9148-e3be6c30e623}">
          <xlrd:rvb i="12419"/>
        </ext>
      </extLst>
    </bk>
    <bk>
      <extLst>
        <ext uri="{3e2802c4-a4d2-4d8b-9148-e3be6c30e623}">
          <xlrd:rvb i="12420"/>
        </ext>
      </extLst>
    </bk>
    <bk>
      <extLst>
        <ext uri="{3e2802c4-a4d2-4d8b-9148-e3be6c30e623}">
          <xlrd:rvb i="12421"/>
        </ext>
      </extLst>
    </bk>
    <bk>
      <extLst>
        <ext uri="{3e2802c4-a4d2-4d8b-9148-e3be6c30e623}">
          <xlrd:rvb i="12422"/>
        </ext>
      </extLst>
    </bk>
    <bk>
      <extLst>
        <ext uri="{3e2802c4-a4d2-4d8b-9148-e3be6c30e623}">
          <xlrd:rvb i="12423"/>
        </ext>
      </extLst>
    </bk>
    <bk>
      <extLst>
        <ext uri="{3e2802c4-a4d2-4d8b-9148-e3be6c30e623}">
          <xlrd:rvb i="12424"/>
        </ext>
      </extLst>
    </bk>
    <bk>
      <extLst>
        <ext uri="{3e2802c4-a4d2-4d8b-9148-e3be6c30e623}">
          <xlrd:rvb i="12425"/>
        </ext>
      </extLst>
    </bk>
    <bk>
      <extLst>
        <ext uri="{3e2802c4-a4d2-4d8b-9148-e3be6c30e623}">
          <xlrd:rvb i="12426"/>
        </ext>
      </extLst>
    </bk>
    <bk>
      <extLst>
        <ext uri="{3e2802c4-a4d2-4d8b-9148-e3be6c30e623}">
          <xlrd:rvb i="12427"/>
        </ext>
      </extLst>
    </bk>
    <bk>
      <extLst>
        <ext uri="{3e2802c4-a4d2-4d8b-9148-e3be6c30e623}">
          <xlrd:rvb i="12428"/>
        </ext>
      </extLst>
    </bk>
    <bk>
      <extLst>
        <ext uri="{3e2802c4-a4d2-4d8b-9148-e3be6c30e623}">
          <xlrd:rvb i="12429"/>
        </ext>
      </extLst>
    </bk>
    <bk>
      <extLst>
        <ext uri="{3e2802c4-a4d2-4d8b-9148-e3be6c30e623}">
          <xlrd:rvb i="12430"/>
        </ext>
      </extLst>
    </bk>
    <bk>
      <extLst>
        <ext uri="{3e2802c4-a4d2-4d8b-9148-e3be6c30e623}">
          <xlrd:rvb i="12431"/>
        </ext>
      </extLst>
    </bk>
    <bk>
      <extLst>
        <ext uri="{3e2802c4-a4d2-4d8b-9148-e3be6c30e623}">
          <xlrd:rvb i="12432"/>
        </ext>
      </extLst>
    </bk>
    <bk>
      <extLst>
        <ext uri="{3e2802c4-a4d2-4d8b-9148-e3be6c30e623}">
          <xlrd:rvb i="12433"/>
        </ext>
      </extLst>
    </bk>
    <bk>
      <extLst>
        <ext uri="{3e2802c4-a4d2-4d8b-9148-e3be6c30e623}">
          <xlrd:rvb i="12434"/>
        </ext>
      </extLst>
    </bk>
    <bk>
      <extLst>
        <ext uri="{3e2802c4-a4d2-4d8b-9148-e3be6c30e623}">
          <xlrd:rvb i="12435"/>
        </ext>
      </extLst>
    </bk>
    <bk>
      <extLst>
        <ext uri="{3e2802c4-a4d2-4d8b-9148-e3be6c30e623}">
          <xlrd:rvb i="12436"/>
        </ext>
      </extLst>
    </bk>
    <bk>
      <extLst>
        <ext uri="{3e2802c4-a4d2-4d8b-9148-e3be6c30e623}">
          <xlrd:rvb i="12437"/>
        </ext>
      </extLst>
    </bk>
    <bk>
      <extLst>
        <ext uri="{3e2802c4-a4d2-4d8b-9148-e3be6c30e623}">
          <xlrd:rvb i="12438"/>
        </ext>
      </extLst>
    </bk>
    <bk>
      <extLst>
        <ext uri="{3e2802c4-a4d2-4d8b-9148-e3be6c30e623}">
          <xlrd:rvb i="12439"/>
        </ext>
      </extLst>
    </bk>
    <bk>
      <extLst>
        <ext uri="{3e2802c4-a4d2-4d8b-9148-e3be6c30e623}">
          <xlrd:rvb i="12440"/>
        </ext>
      </extLst>
    </bk>
    <bk>
      <extLst>
        <ext uri="{3e2802c4-a4d2-4d8b-9148-e3be6c30e623}">
          <xlrd:rvb i="12441"/>
        </ext>
      </extLst>
    </bk>
    <bk>
      <extLst>
        <ext uri="{3e2802c4-a4d2-4d8b-9148-e3be6c30e623}">
          <xlrd:rvb i="12442"/>
        </ext>
      </extLst>
    </bk>
    <bk>
      <extLst>
        <ext uri="{3e2802c4-a4d2-4d8b-9148-e3be6c30e623}">
          <xlrd:rvb i="12443"/>
        </ext>
      </extLst>
    </bk>
    <bk>
      <extLst>
        <ext uri="{3e2802c4-a4d2-4d8b-9148-e3be6c30e623}">
          <xlrd:rvb i="12444"/>
        </ext>
      </extLst>
    </bk>
    <bk>
      <extLst>
        <ext uri="{3e2802c4-a4d2-4d8b-9148-e3be6c30e623}">
          <xlrd:rvb i="12445"/>
        </ext>
      </extLst>
    </bk>
    <bk>
      <extLst>
        <ext uri="{3e2802c4-a4d2-4d8b-9148-e3be6c30e623}">
          <xlrd:rvb i="12446"/>
        </ext>
      </extLst>
    </bk>
    <bk>
      <extLst>
        <ext uri="{3e2802c4-a4d2-4d8b-9148-e3be6c30e623}">
          <xlrd:rvb i="12447"/>
        </ext>
      </extLst>
    </bk>
    <bk>
      <extLst>
        <ext uri="{3e2802c4-a4d2-4d8b-9148-e3be6c30e623}">
          <xlrd:rvb i="12448"/>
        </ext>
      </extLst>
    </bk>
    <bk>
      <extLst>
        <ext uri="{3e2802c4-a4d2-4d8b-9148-e3be6c30e623}">
          <xlrd:rvb i="12449"/>
        </ext>
      </extLst>
    </bk>
    <bk>
      <extLst>
        <ext uri="{3e2802c4-a4d2-4d8b-9148-e3be6c30e623}">
          <xlrd:rvb i="12450"/>
        </ext>
      </extLst>
    </bk>
    <bk>
      <extLst>
        <ext uri="{3e2802c4-a4d2-4d8b-9148-e3be6c30e623}">
          <xlrd:rvb i="12451"/>
        </ext>
      </extLst>
    </bk>
    <bk>
      <extLst>
        <ext uri="{3e2802c4-a4d2-4d8b-9148-e3be6c30e623}">
          <xlrd:rvb i="12452"/>
        </ext>
      </extLst>
    </bk>
    <bk>
      <extLst>
        <ext uri="{3e2802c4-a4d2-4d8b-9148-e3be6c30e623}">
          <xlrd:rvb i="12453"/>
        </ext>
      </extLst>
    </bk>
    <bk>
      <extLst>
        <ext uri="{3e2802c4-a4d2-4d8b-9148-e3be6c30e623}">
          <xlrd:rvb i="12454"/>
        </ext>
      </extLst>
    </bk>
    <bk>
      <extLst>
        <ext uri="{3e2802c4-a4d2-4d8b-9148-e3be6c30e623}">
          <xlrd:rvb i="12455"/>
        </ext>
      </extLst>
    </bk>
    <bk>
      <extLst>
        <ext uri="{3e2802c4-a4d2-4d8b-9148-e3be6c30e623}">
          <xlrd:rvb i="12456"/>
        </ext>
      </extLst>
    </bk>
    <bk>
      <extLst>
        <ext uri="{3e2802c4-a4d2-4d8b-9148-e3be6c30e623}">
          <xlrd:rvb i="12457"/>
        </ext>
      </extLst>
    </bk>
    <bk>
      <extLst>
        <ext uri="{3e2802c4-a4d2-4d8b-9148-e3be6c30e623}">
          <xlrd:rvb i="12458"/>
        </ext>
      </extLst>
    </bk>
    <bk>
      <extLst>
        <ext uri="{3e2802c4-a4d2-4d8b-9148-e3be6c30e623}">
          <xlrd:rvb i="12459"/>
        </ext>
      </extLst>
    </bk>
    <bk>
      <extLst>
        <ext uri="{3e2802c4-a4d2-4d8b-9148-e3be6c30e623}">
          <xlrd:rvb i="12460"/>
        </ext>
      </extLst>
    </bk>
    <bk>
      <extLst>
        <ext uri="{3e2802c4-a4d2-4d8b-9148-e3be6c30e623}">
          <xlrd:rvb i="12461"/>
        </ext>
      </extLst>
    </bk>
    <bk>
      <extLst>
        <ext uri="{3e2802c4-a4d2-4d8b-9148-e3be6c30e623}">
          <xlrd:rvb i="12462"/>
        </ext>
      </extLst>
    </bk>
    <bk>
      <extLst>
        <ext uri="{3e2802c4-a4d2-4d8b-9148-e3be6c30e623}">
          <xlrd:rvb i="12463"/>
        </ext>
      </extLst>
    </bk>
    <bk>
      <extLst>
        <ext uri="{3e2802c4-a4d2-4d8b-9148-e3be6c30e623}">
          <xlrd:rvb i="12464"/>
        </ext>
      </extLst>
    </bk>
    <bk>
      <extLst>
        <ext uri="{3e2802c4-a4d2-4d8b-9148-e3be6c30e623}">
          <xlrd:rvb i="12465"/>
        </ext>
      </extLst>
    </bk>
    <bk>
      <extLst>
        <ext uri="{3e2802c4-a4d2-4d8b-9148-e3be6c30e623}">
          <xlrd:rvb i="12466"/>
        </ext>
      </extLst>
    </bk>
    <bk>
      <extLst>
        <ext uri="{3e2802c4-a4d2-4d8b-9148-e3be6c30e623}">
          <xlrd:rvb i="12467"/>
        </ext>
      </extLst>
    </bk>
    <bk>
      <extLst>
        <ext uri="{3e2802c4-a4d2-4d8b-9148-e3be6c30e623}">
          <xlrd:rvb i="12468"/>
        </ext>
      </extLst>
    </bk>
    <bk>
      <extLst>
        <ext uri="{3e2802c4-a4d2-4d8b-9148-e3be6c30e623}">
          <xlrd:rvb i="12469"/>
        </ext>
      </extLst>
    </bk>
    <bk>
      <extLst>
        <ext uri="{3e2802c4-a4d2-4d8b-9148-e3be6c30e623}">
          <xlrd:rvb i="12470"/>
        </ext>
      </extLst>
    </bk>
    <bk>
      <extLst>
        <ext uri="{3e2802c4-a4d2-4d8b-9148-e3be6c30e623}">
          <xlrd:rvb i="12471"/>
        </ext>
      </extLst>
    </bk>
    <bk>
      <extLst>
        <ext uri="{3e2802c4-a4d2-4d8b-9148-e3be6c30e623}">
          <xlrd:rvb i="12472"/>
        </ext>
      </extLst>
    </bk>
    <bk>
      <extLst>
        <ext uri="{3e2802c4-a4d2-4d8b-9148-e3be6c30e623}">
          <xlrd:rvb i="12473"/>
        </ext>
      </extLst>
    </bk>
    <bk>
      <extLst>
        <ext uri="{3e2802c4-a4d2-4d8b-9148-e3be6c30e623}">
          <xlrd:rvb i="12474"/>
        </ext>
      </extLst>
    </bk>
    <bk>
      <extLst>
        <ext uri="{3e2802c4-a4d2-4d8b-9148-e3be6c30e623}">
          <xlrd:rvb i="12475"/>
        </ext>
      </extLst>
    </bk>
    <bk>
      <extLst>
        <ext uri="{3e2802c4-a4d2-4d8b-9148-e3be6c30e623}">
          <xlrd:rvb i="12476"/>
        </ext>
      </extLst>
    </bk>
    <bk>
      <extLst>
        <ext uri="{3e2802c4-a4d2-4d8b-9148-e3be6c30e623}">
          <xlrd:rvb i="12477"/>
        </ext>
      </extLst>
    </bk>
    <bk>
      <extLst>
        <ext uri="{3e2802c4-a4d2-4d8b-9148-e3be6c30e623}">
          <xlrd:rvb i="12478"/>
        </ext>
      </extLst>
    </bk>
    <bk>
      <extLst>
        <ext uri="{3e2802c4-a4d2-4d8b-9148-e3be6c30e623}">
          <xlrd:rvb i="12479"/>
        </ext>
      </extLst>
    </bk>
    <bk>
      <extLst>
        <ext uri="{3e2802c4-a4d2-4d8b-9148-e3be6c30e623}">
          <xlrd:rvb i="12480"/>
        </ext>
      </extLst>
    </bk>
    <bk>
      <extLst>
        <ext uri="{3e2802c4-a4d2-4d8b-9148-e3be6c30e623}">
          <xlrd:rvb i="12481"/>
        </ext>
      </extLst>
    </bk>
    <bk>
      <extLst>
        <ext uri="{3e2802c4-a4d2-4d8b-9148-e3be6c30e623}">
          <xlrd:rvb i="12482"/>
        </ext>
      </extLst>
    </bk>
    <bk>
      <extLst>
        <ext uri="{3e2802c4-a4d2-4d8b-9148-e3be6c30e623}">
          <xlrd:rvb i="12483"/>
        </ext>
      </extLst>
    </bk>
    <bk>
      <extLst>
        <ext uri="{3e2802c4-a4d2-4d8b-9148-e3be6c30e623}">
          <xlrd:rvb i="12484"/>
        </ext>
      </extLst>
    </bk>
    <bk>
      <extLst>
        <ext uri="{3e2802c4-a4d2-4d8b-9148-e3be6c30e623}">
          <xlrd:rvb i="12485"/>
        </ext>
      </extLst>
    </bk>
    <bk>
      <extLst>
        <ext uri="{3e2802c4-a4d2-4d8b-9148-e3be6c30e623}">
          <xlrd:rvb i="12486"/>
        </ext>
      </extLst>
    </bk>
    <bk>
      <extLst>
        <ext uri="{3e2802c4-a4d2-4d8b-9148-e3be6c30e623}">
          <xlrd:rvb i="12487"/>
        </ext>
      </extLst>
    </bk>
    <bk>
      <extLst>
        <ext uri="{3e2802c4-a4d2-4d8b-9148-e3be6c30e623}">
          <xlrd:rvb i="12488"/>
        </ext>
      </extLst>
    </bk>
    <bk>
      <extLst>
        <ext uri="{3e2802c4-a4d2-4d8b-9148-e3be6c30e623}">
          <xlrd:rvb i="12489"/>
        </ext>
      </extLst>
    </bk>
    <bk>
      <extLst>
        <ext uri="{3e2802c4-a4d2-4d8b-9148-e3be6c30e623}">
          <xlrd:rvb i="12490"/>
        </ext>
      </extLst>
    </bk>
    <bk>
      <extLst>
        <ext uri="{3e2802c4-a4d2-4d8b-9148-e3be6c30e623}">
          <xlrd:rvb i="12491"/>
        </ext>
      </extLst>
    </bk>
    <bk>
      <extLst>
        <ext uri="{3e2802c4-a4d2-4d8b-9148-e3be6c30e623}">
          <xlrd:rvb i="12492"/>
        </ext>
      </extLst>
    </bk>
    <bk>
      <extLst>
        <ext uri="{3e2802c4-a4d2-4d8b-9148-e3be6c30e623}">
          <xlrd:rvb i="12493"/>
        </ext>
      </extLst>
    </bk>
    <bk>
      <extLst>
        <ext uri="{3e2802c4-a4d2-4d8b-9148-e3be6c30e623}">
          <xlrd:rvb i="12494"/>
        </ext>
      </extLst>
    </bk>
    <bk>
      <extLst>
        <ext uri="{3e2802c4-a4d2-4d8b-9148-e3be6c30e623}">
          <xlrd:rvb i="12495"/>
        </ext>
      </extLst>
    </bk>
    <bk>
      <extLst>
        <ext uri="{3e2802c4-a4d2-4d8b-9148-e3be6c30e623}">
          <xlrd:rvb i="12496"/>
        </ext>
      </extLst>
    </bk>
    <bk>
      <extLst>
        <ext uri="{3e2802c4-a4d2-4d8b-9148-e3be6c30e623}">
          <xlrd:rvb i="12497"/>
        </ext>
      </extLst>
    </bk>
    <bk>
      <extLst>
        <ext uri="{3e2802c4-a4d2-4d8b-9148-e3be6c30e623}">
          <xlrd:rvb i="12498"/>
        </ext>
      </extLst>
    </bk>
    <bk>
      <extLst>
        <ext uri="{3e2802c4-a4d2-4d8b-9148-e3be6c30e623}">
          <xlrd:rvb i="12499"/>
        </ext>
      </extLst>
    </bk>
    <bk>
      <extLst>
        <ext uri="{3e2802c4-a4d2-4d8b-9148-e3be6c30e623}">
          <xlrd:rvb i="12500"/>
        </ext>
      </extLst>
    </bk>
    <bk>
      <extLst>
        <ext uri="{3e2802c4-a4d2-4d8b-9148-e3be6c30e623}">
          <xlrd:rvb i="12501"/>
        </ext>
      </extLst>
    </bk>
    <bk>
      <extLst>
        <ext uri="{3e2802c4-a4d2-4d8b-9148-e3be6c30e623}">
          <xlrd:rvb i="12502"/>
        </ext>
      </extLst>
    </bk>
    <bk>
      <extLst>
        <ext uri="{3e2802c4-a4d2-4d8b-9148-e3be6c30e623}">
          <xlrd:rvb i="12503"/>
        </ext>
      </extLst>
    </bk>
    <bk>
      <extLst>
        <ext uri="{3e2802c4-a4d2-4d8b-9148-e3be6c30e623}">
          <xlrd:rvb i="12504"/>
        </ext>
      </extLst>
    </bk>
    <bk>
      <extLst>
        <ext uri="{3e2802c4-a4d2-4d8b-9148-e3be6c30e623}">
          <xlrd:rvb i="12505"/>
        </ext>
      </extLst>
    </bk>
    <bk>
      <extLst>
        <ext uri="{3e2802c4-a4d2-4d8b-9148-e3be6c30e623}">
          <xlrd:rvb i="12506"/>
        </ext>
      </extLst>
    </bk>
    <bk>
      <extLst>
        <ext uri="{3e2802c4-a4d2-4d8b-9148-e3be6c30e623}">
          <xlrd:rvb i="12507"/>
        </ext>
      </extLst>
    </bk>
    <bk>
      <extLst>
        <ext uri="{3e2802c4-a4d2-4d8b-9148-e3be6c30e623}">
          <xlrd:rvb i="12508"/>
        </ext>
      </extLst>
    </bk>
    <bk>
      <extLst>
        <ext uri="{3e2802c4-a4d2-4d8b-9148-e3be6c30e623}">
          <xlrd:rvb i="12509"/>
        </ext>
      </extLst>
    </bk>
    <bk>
      <extLst>
        <ext uri="{3e2802c4-a4d2-4d8b-9148-e3be6c30e623}">
          <xlrd:rvb i="12510"/>
        </ext>
      </extLst>
    </bk>
    <bk>
      <extLst>
        <ext uri="{3e2802c4-a4d2-4d8b-9148-e3be6c30e623}">
          <xlrd:rvb i="12511"/>
        </ext>
      </extLst>
    </bk>
    <bk>
      <extLst>
        <ext uri="{3e2802c4-a4d2-4d8b-9148-e3be6c30e623}">
          <xlrd:rvb i="12512"/>
        </ext>
      </extLst>
    </bk>
    <bk>
      <extLst>
        <ext uri="{3e2802c4-a4d2-4d8b-9148-e3be6c30e623}">
          <xlrd:rvb i="12513"/>
        </ext>
      </extLst>
    </bk>
    <bk>
      <extLst>
        <ext uri="{3e2802c4-a4d2-4d8b-9148-e3be6c30e623}">
          <xlrd:rvb i="12514"/>
        </ext>
      </extLst>
    </bk>
    <bk>
      <extLst>
        <ext uri="{3e2802c4-a4d2-4d8b-9148-e3be6c30e623}">
          <xlrd:rvb i="12515"/>
        </ext>
      </extLst>
    </bk>
    <bk>
      <extLst>
        <ext uri="{3e2802c4-a4d2-4d8b-9148-e3be6c30e623}">
          <xlrd:rvb i="12516"/>
        </ext>
      </extLst>
    </bk>
    <bk>
      <extLst>
        <ext uri="{3e2802c4-a4d2-4d8b-9148-e3be6c30e623}">
          <xlrd:rvb i="12517"/>
        </ext>
      </extLst>
    </bk>
    <bk>
      <extLst>
        <ext uri="{3e2802c4-a4d2-4d8b-9148-e3be6c30e623}">
          <xlrd:rvb i="12518"/>
        </ext>
      </extLst>
    </bk>
    <bk>
      <extLst>
        <ext uri="{3e2802c4-a4d2-4d8b-9148-e3be6c30e623}">
          <xlrd:rvb i="12519"/>
        </ext>
      </extLst>
    </bk>
    <bk>
      <extLst>
        <ext uri="{3e2802c4-a4d2-4d8b-9148-e3be6c30e623}">
          <xlrd:rvb i="12520"/>
        </ext>
      </extLst>
    </bk>
    <bk>
      <extLst>
        <ext uri="{3e2802c4-a4d2-4d8b-9148-e3be6c30e623}">
          <xlrd:rvb i="12521"/>
        </ext>
      </extLst>
    </bk>
    <bk>
      <extLst>
        <ext uri="{3e2802c4-a4d2-4d8b-9148-e3be6c30e623}">
          <xlrd:rvb i="12522"/>
        </ext>
      </extLst>
    </bk>
    <bk>
      <extLst>
        <ext uri="{3e2802c4-a4d2-4d8b-9148-e3be6c30e623}">
          <xlrd:rvb i="12523"/>
        </ext>
      </extLst>
    </bk>
    <bk>
      <extLst>
        <ext uri="{3e2802c4-a4d2-4d8b-9148-e3be6c30e623}">
          <xlrd:rvb i="12524"/>
        </ext>
      </extLst>
    </bk>
    <bk>
      <extLst>
        <ext uri="{3e2802c4-a4d2-4d8b-9148-e3be6c30e623}">
          <xlrd:rvb i="12525"/>
        </ext>
      </extLst>
    </bk>
    <bk>
      <extLst>
        <ext uri="{3e2802c4-a4d2-4d8b-9148-e3be6c30e623}">
          <xlrd:rvb i="12526"/>
        </ext>
      </extLst>
    </bk>
    <bk>
      <extLst>
        <ext uri="{3e2802c4-a4d2-4d8b-9148-e3be6c30e623}">
          <xlrd:rvb i="12527"/>
        </ext>
      </extLst>
    </bk>
    <bk>
      <extLst>
        <ext uri="{3e2802c4-a4d2-4d8b-9148-e3be6c30e623}">
          <xlrd:rvb i="12528"/>
        </ext>
      </extLst>
    </bk>
    <bk>
      <extLst>
        <ext uri="{3e2802c4-a4d2-4d8b-9148-e3be6c30e623}">
          <xlrd:rvb i="12529"/>
        </ext>
      </extLst>
    </bk>
    <bk>
      <extLst>
        <ext uri="{3e2802c4-a4d2-4d8b-9148-e3be6c30e623}">
          <xlrd:rvb i="12530"/>
        </ext>
      </extLst>
    </bk>
    <bk>
      <extLst>
        <ext uri="{3e2802c4-a4d2-4d8b-9148-e3be6c30e623}">
          <xlrd:rvb i="12531"/>
        </ext>
      </extLst>
    </bk>
    <bk>
      <extLst>
        <ext uri="{3e2802c4-a4d2-4d8b-9148-e3be6c30e623}">
          <xlrd:rvb i="12532"/>
        </ext>
      </extLst>
    </bk>
    <bk>
      <extLst>
        <ext uri="{3e2802c4-a4d2-4d8b-9148-e3be6c30e623}">
          <xlrd:rvb i="12533"/>
        </ext>
      </extLst>
    </bk>
    <bk>
      <extLst>
        <ext uri="{3e2802c4-a4d2-4d8b-9148-e3be6c30e623}">
          <xlrd:rvb i="12534"/>
        </ext>
      </extLst>
    </bk>
    <bk>
      <extLst>
        <ext uri="{3e2802c4-a4d2-4d8b-9148-e3be6c30e623}">
          <xlrd:rvb i="12535"/>
        </ext>
      </extLst>
    </bk>
    <bk>
      <extLst>
        <ext uri="{3e2802c4-a4d2-4d8b-9148-e3be6c30e623}">
          <xlrd:rvb i="12536"/>
        </ext>
      </extLst>
    </bk>
    <bk>
      <extLst>
        <ext uri="{3e2802c4-a4d2-4d8b-9148-e3be6c30e623}">
          <xlrd:rvb i="12537"/>
        </ext>
      </extLst>
    </bk>
    <bk>
      <extLst>
        <ext uri="{3e2802c4-a4d2-4d8b-9148-e3be6c30e623}">
          <xlrd:rvb i="12538"/>
        </ext>
      </extLst>
    </bk>
    <bk>
      <extLst>
        <ext uri="{3e2802c4-a4d2-4d8b-9148-e3be6c30e623}">
          <xlrd:rvb i="12539"/>
        </ext>
      </extLst>
    </bk>
    <bk>
      <extLst>
        <ext uri="{3e2802c4-a4d2-4d8b-9148-e3be6c30e623}">
          <xlrd:rvb i="12540"/>
        </ext>
      </extLst>
    </bk>
    <bk>
      <extLst>
        <ext uri="{3e2802c4-a4d2-4d8b-9148-e3be6c30e623}">
          <xlrd:rvb i="12541"/>
        </ext>
      </extLst>
    </bk>
    <bk>
      <extLst>
        <ext uri="{3e2802c4-a4d2-4d8b-9148-e3be6c30e623}">
          <xlrd:rvb i="12542"/>
        </ext>
      </extLst>
    </bk>
    <bk>
      <extLst>
        <ext uri="{3e2802c4-a4d2-4d8b-9148-e3be6c30e623}">
          <xlrd:rvb i="12543"/>
        </ext>
      </extLst>
    </bk>
    <bk>
      <extLst>
        <ext uri="{3e2802c4-a4d2-4d8b-9148-e3be6c30e623}">
          <xlrd:rvb i="12544"/>
        </ext>
      </extLst>
    </bk>
    <bk>
      <extLst>
        <ext uri="{3e2802c4-a4d2-4d8b-9148-e3be6c30e623}">
          <xlrd:rvb i="12545"/>
        </ext>
      </extLst>
    </bk>
    <bk>
      <extLst>
        <ext uri="{3e2802c4-a4d2-4d8b-9148-e3be6c30e623}">
          <xlrd:rvb i="12546"/>
        </ext>
      </extLst>
    </bk>
    <bk>
      <extLst>
        <ext uri="{3e2802c4-a4d2-4d8b-9148-e3be6c30e623}">
          <xlrd:rvb i="12547"/>
        </ext>
      </extLst>
    </bk>
    <bk>
      <extLst>
        <ext uri="{3e2802c4-a4d2-4d8b-9148-e3be6c30e623}">
          <xlrd:rvb i="12548"/>
        </ext>
      </extLst>
    </bk>
    <bk>
      <extLst>
        <ext uri="{3e2802c4-a4d2-4d8b-9148-e3be6c30e623}">
          <xlrd:rvb i="12549"/>
        </ext>
      </extLst>
    </bk>
    <bk>
      <extLst>
        <ext uri="{3e2802c4-a4d2-4d8b-9148-e3be6c30e623}">
          <xlrd:rvb i="12550"/>
        </ext>
      </extLst>
    </bk>
    <bk>
      <extLst>
        <ext uri="{3e2802c4-a4d2-4d8b-9148-e3be6c30e623}">
          <xlrd:rvb i="12551"/>
        </ext>
      </extLst>
    </bk>
    <bk>
      <extLst>
        <ext uri="{3e2802c4-a4d2-4d8b-9148-e3be6c30e623}">
          <xlrd:rvb i="12552"/>
        </ext>
      </extLst>
    </bk>
    <bk>
      <extLst>
        <ext uri="{3e2802c4-a4d2-4d8b-9148-e3be6c30e623}">
          <xlrd:rvb i="12553"/>
        </ext>
      </extLst>
    </bk>
    <bk>
      <extLst>
        <ext uri="{3e2802c4-a4d2-4d8b-9148-e3be6c30e623}">
          <xlrd:rvb i="12554"/>
        </ext>
      </extLst>
    </bk>
    <bk>
      <extLst>
        <ext uri="{3e2802c4-a4d2-4d8b-9148-e3be6c30e623}">
          <xlrd:rvb i="12555"/>
        </ext>
      </extLst>
    </bk>
    <bk>
      <extLst>
        <ext uri="{3e2802c4-a4d2-4d8b-9148-e3be6c30e623}">
          <xlrd:rvb i="12556"/>
        </ext>
      </extLst>
    </bk>
    <bk>
      <extLst>
        <ext uri="{3e2802c4-a4d2-4d8b-9148-e3be6c30e623}">
          <xlrd:rvb i="12557"/>
        </ext>
      </extLst>
    </bk>
    <bk>
      <extLst>
        <ext uri="{3e2802c4-a4d2-4d8b-9148-e3be6c30e623}">
          <xlrd:rvb i="12558"/>
        </ext>
      </extLst>
    </bk>
    <bk>
      <extLst>
        <ext uri="{3e2802c4-a4d2-4d8b-9148-e3be6c30e623}">
          <xlrd:rvb i="12559"/>
        </ext>
      </extLst>
    </bk>
    <bk>
      <extLst>
        <ext uri="{3e2802c4-a4d2-4d8b-9148-e3be6c30e623}">
          <xlrd:rvb i="12560"/>
        </ext>
      </extLst>
    </bk>
    <bk>
      <extLst>
        <ext uri="{3e2802c4-a4d2-4d8b-9148-e3be6c30e623}">
          <xlrd:rvb i="12561"/>
        </ext>
      </extLst>
    </bk>
    <bk>
      <extLst>
        <ext uri="{3e2802c4-a4d2-4d8b-9148-e3be6c30e623}">
          <xlrd:rvb i="12562"/>
        </ext>
      </extLst>
    </bk>
    <bk>
      <extLst>
        <ext uri="{3e2802c4-a4d2-4d8b-9148-e3be6c30e623}">
          <xlrd:rvb i="12563"/>
        </ext>
      </extLst>
    </bk>
    <bk>
      <extLst>
        <ext uri="{3e2802c4-a4d2-4d8b-9148-e3be6c30e623}">
          <xlrd:rvb i="12564"/>
        </ext>
      </extLst>
    </bk>
    <bk>
      <extLst>
        <ext uri="{3e2802c4-a4d2-4d8b-9148-e3be6c30e623}">
          <xlrd:rvb i="12565"/>
        </ext>
      </extLst>
    </bk>
    <bk>
      <extLst>
        <ext uri="{3e2802c4-a4d2-4d8b-9148-e3be6c30e623}">
          <xlrd:rvb i="12566"/>
        </ext>
      </extLst>
    </bk>
    <bk>
      <extLst>
        <ext uri="{3e2802c4-a4d2-4d8b-9148-e3be6c30e623}">
          <xlrd:rvb i="12567"/>
        </ext>
      </extLst>
    </bk>
    <bk>
      <extLst>
        <ext uri="{3e2802c4-a4d2-4d8b-9148-e3be6c30e623}">
          <xlrd:rvb i="12568"/>
        </ext>
      </extLst>
    </bk>
    <bk>
      <extLst>
        <ext uri="{3e2802c4-a4d2-4d8b-9148-e3be6c30e623}">
          <xlrd:rvb i="12569"/>
        </ext>
      </extLst>
    </bk>
    <bk>
      <extLst>
        <ext uri="{3e2802c4-a4d2-4d8b-9148-e3be6c30e623}">
          <xlrd:rvb i="12570"/>
        </ext>
      </extLst>
    </bk>
    <bk>
      <extLst>
        <ext uri="{3e2802c4-a4d2-4d8b-9148-e3be6c30e623}">
          <xlrd:rvb i="12571"/>
        </ext>
      </extLst>
    </bk>
    <bk>
      <extLst>
        <ext uri="{3e2802c4-a4d2-4d8b-9148-e3be6c30e623}">
          <xlrd:rvb i="12572"/>
        </ext>
      </extLst>
    </bk>
    <bk>
      <extLst>
        <ext uri="{3e2802c4-a4d2-4d8b-9148-e3be6c30e623}">
          <xlrd:rvb i="12573"/>
        </ext>
      </extLst>
    </bk>
    <bk>
      <extLst>
        <ext uri="{3e2802c4-a4d2-4d8b-9148-e3be6c30e623}">
          <xlrd:rvb i="12574"/>
        </ext>
      </extLst>
    </bk>
    <bk>
      <extLst>
        <ext uri="{3e2802c4-a4d2-4d8b-9148-e3be6c30e623}">
          <xlrd:rvb i="12575"/>
        </ext>
      </extLst>
    </bk>
    <bk>
      <extLst>
        <ext uri="{3e2802c4-a4d2-4d8b-9148-e3be6c30e623}">
          <xlrd:rvb i="12576"/>
        </ext>
      </extLst>
    </bk>
    <bk>
      <extLst>
        <ext uri="{3e2802c4-a4d2-4d8b-9148-e3be6c30e623}">
          <xlrd:rvb i="12577"/>
        </ext>
      </extLst>
    </bk>
    <bk>
      <extLst>
        <ext uri="{3e2802c4-a4d2-4d8b-9148-e3be6c30e623}">
          <xlrd:rvb i="12578"/>
        </ext>
      </extLst>
    </bk>
    <bk>
      <extLst>
        <ext uri="{3e2802c4-a4d2-4d8b-9148-e3be6c30e623}">
          <xlrd:rvb i="12579"/>
        </ext>
      </extLst>
    </bk>
    <bk>
      <extLst>
        <ext uri="{3e2802c4-a4d2-4d8b-9148-e3be6c30e623}">
          <xlrd:rvb i="12580"/>
        </ext>
      </extLst>
    </bk>
    <bk>
      <extLst>
        <ext uri="{3e2802c4-a4d2-4d8b-9148-e3be6c30e623}">
          <xlrd:rvb i="12581"/>
        </ext>
      </extLst>
    </bk>
    <bk>
      <extLst>
        <ext uri="{3e2802c4-a4d2-4d8b-9148-e3be6c30e623}">
          <xlrd:rvb i="12582"/>
        </ext>
      </extLst>
    </bk>
    <bk>
      <extLst>
        <ext uri="{3e2802c4-a4d2-4d8b-9148-e3be6c30e623}">
          <xlrd:rvb i="12583"/>
        </ext>
      </extLst>
    </bk>
    <bk>
      <extLst>
        <ext uri="{3e2802c4-a4d2-4d8b-9148-e3be6c30e623}">
          <xlrd:rvb i="12584"/>
        </ext>
      </extLst>
    </bk>
    <bk>
      <extLst>
        <ext uri="{3e2802c4-a4d2-4d8b-9148-e3be6c30e623}">
          <xlrd:rvb i="12585"/>
        </ext>
      </extLst>
    </bk>
    <bk>
      <extLst>
        <ext uri="{3e2802c4-a4d2-4d8b-9148-e3be6c30e623}">
          <xlrd:rvb i="12586"/>
        </ext>
      </extLst>
    </bk>
    <bk>
      <extLst>
        <ext uri="{3e2802c4-a4d2-4d8b-9148-e3be6c30e623}">
          <xlrd:rvb i="12587"/>
        </ext>
      </extLst>
    </bk>
    <bk>
      <extLst>
        <ext uri="{3e2802c4-a4d2-4d8b-9148-e3be6c30e623}">
          <xlrd:rvb i="12588"/>
        </ext>
      </extLst>
    </bk>
    <bk>
      <extLst>
        <ext uri="{3e2802c4-a4d2-4d8b-9148-e3be6c30e623}">
          <xlrd:rvb i="12589"/>
        </ext>
      </extLst>
    </bk>
    <bk>
      <extLst>
        <ext uri="{3e2802c4-a4d2-4d8b-9148-e3be6c30e623}">
          <xlrd:rvb i="12590"/>
        </ext>
      </extLst>
    </bk>
    <bk>
      <extLst>
        <ext uri="{3e2802c4-a4d2-4d8b-9148-e3be6c30e623}">
          <xlrd:rvb i="12591"/>
        </ext>
      </extLst>
    </bk>
    <bk>
      <extLst>
        <ext uri="{3e2802c4-a4d2-4d8b-9148-e3be6c30e623}">
          <xlrd:rvb i="12592"/>
        </ext>
      </extLst>
    </bk>
    <bk>
      <extLst>
        <ext uri="{3e2802c4-a4d2-4d8b-9148-e3be6c30e623}">
          <xlrd:rvb i="12593"/>
        </ext>
      </extLst>
    </bk>
    <bk>
      <extLst>
        <ext uri="{3e2802c4-a4d2-4d8b-9148-e3be6c30e623}">
          <xlrd:rvb i="12594"/>
        </ext>
      </extLst>
    </bk>
    <bk>
      <extLst>
        <ext uri="{3e2802c4-a4d2-4d8b-9148-e3be6c30e623}">
          <xlrd:rvb i="12595"/>
        </ext>
      </extLst>
    </bk>
    <bk>
      <extLst>
        <ext uri="{3e2802c4-a4d2-4d8b-9148-e3be6c30e623}">
          <xlrd:rvb i="12596"/>
        </ext>
      </extLst>
    </bk>
    <bk>
      <extLst>
        <ext uri="{3e2802c4-a4d2-4d8b-9148-e3be6c30e623}">
          <xlrd:rvb i="12597"/>
        </ext>
      </extLst>
    </bk>
    <bk>
      <extLst>
        <ext uri="{3e2802c4-a4d2-4d8b-9148-e3be6c30e623}">
          <xlrd:rvb i="12598"/>
        </ext>
      </extLst>
    </bk>
    <bk>
      <extLst>
        <ext uri="{3e2802c4-a4d2-4d8b-9148-e3be6c30e623}">
          <xlrd:rvb i="12599"/>
        </ext>
      </extLst>
    </bk>
    <bk>
      <extLst>
        <ext uri="{3e2802c4-a4d2-4d8b-9148-e3be6c30e623}">
          <xlrd:rvb i="12600"/>
        </ext>
      </extLst>
    </bk>
    <bk>
      <extLst>
        <ext uri="{3e2802c4-a4d2-4d8b-9148-e3be6c30e623}">
          <xlrd:rvb i="12601"/>
        </ext>
      </extLst>
    </bk>
    <bk>
      <extLst>
        <ext uri="{3e2802c4-a4d2-4d8b-9148-e3be6c30e623}">
          <xlrd:rvb i="12602"/>
        </ext>
      </extLst>
    </bk>
    <bk>
      <extLst>
        <ext uri="{3e2802c4-a4d2-4d8b-9148-e3be6c30e623}">
          <xlrd:rvb i="12603"/>
        </ext>
      </extLst>
    </bk>
    <bk>
      <extLst>
        <ext uri="{3e2802c4-a4d2-4d8b-9148-e3be6c30e623}">
          <xlrd:rvb i="12604"/>
        </ext>
      </extLst>
    </bk>
    <bk>
      <extLst>
        <ext uri="{3e2802c4-a4d2-4d8b-9148-e3be6c30e623}">
          <xlrd:rvb i="12605"/>
        </ext>
      </extLst>
    </bk>
    <bk>
      <extLst>
        <ext uri="{3e2802c4-a4d2-4d8b-9148-e3be6c30e623}">
          <xlrd:rvb i="12606"/>
        </ext>
      </extLst>
    </bk>
    <bk>
      <extLst>
        <ext uri="{3e2802c4-a4d2-4d8b-9148-e3be6c30e623}">
          <xlrd:rvb i="12607"/>
        </ext>
      </extLst>
    </bk>
    <bk>
      <extLst>
        <ext uri="{3e2802c4-a4d2-4d8b-9148-e3be6c30e623}">
          <xlrd:rvb i="12608"/>
        </ext>
      </extLst>
    </bk>
    <bk>
      <extLst>
        <ext uri="{3e2802c4-a4d2-4d8b-9148-e3be6c30e623}">
          <xlrd:rvb i="12609"/>
        </ext>
      </extLst>
    </bk>
    <bk>
      <extLst>
        <ext uri="{3e2802c4-a4d2-4d8b-9148-e3be6c30e623}">
          <xlrd:rvb i="12610"/>
        </ext>
      </extLst>
    </bk>
    <bk>
      <extLst>
        <ext uri="{3e2802c4-a4d2-4d8b-9148-e3be6c30e623}">
          <xlrd:rvb i="12611"/>
        </ext>
      </extLst>
    </bk>
    <bk>
      <extLst>
        <ext uri="{3e2802c4-a4d2-4d8b-9148-e3be6c30e623}">
          <xlrd:rvb i="12612"/>
        </ext>
      </extLst>
    </bk>
    <bk>
      <extLst>
        <ext uri="{3e2802c4-a4d2-4d8b-9148-e3be6c30e623}">
          <xlrd:rvb i="12613"/>
        </ext>
      </extLst>
    </bk>
    <bk>
      <extLst>
        <ext uri="{3e2802c4-a4d2-4d8b-9148-e3be6c30e623}">
          <xlrd:rvb i="12614"/>
        </ext>
      </extLst>
    </bk>
    <bk>
      <extLst>
        <ext uri="{3e2802c4-a4d2-4d8b-9148-e3be6c30e623}">
          <xlrd:rvb i="12615"/>
        </ext>
      </extLst>
    </bk>
    <bk>
      <extLst>
        <ext uri="{3e2802c4-a4d2-4d8b-9148-e3be6c30e623}">
          <xlrd:rvb i="12616"/>
        </ext>
      </extLst>
    </bk>
    <bk>
      <extLst>
        <ext uri="{3e2802c4-a4d2-4d8b-9148-e3be6c30e623}">
          <xlrd:rvb i="12617"/>
        </ext>
      </extLst>
    </bk>
    <bk>
      <extLst>
        <ext uri="{3e2802c4-a4d2-4d8b-9148-e3be6c30e623}">
          <xlrd:rvb i="12618"/>
        </ext>
      </extLst>
    </bk>
    <bk>
      <extLst>
        <ext uri="{3e2802c4-a4d2-4d8b-9148-e3be6c30e623}">
          <xlrd:rvb i="12619"/>
        </ext>
      </extLst>
    </bk>
    <bk>
      <extLst>
        <ext uri="{3e2802c4-a4d2-4d8b-9148-e3be6c30e623}">
          <xlrd:rvb i="12620"/>
        </ext>
      </extLst>
    </bk>
    <bk>
      <extLst>
        <ext uri="{3e2802c4-a4d2-4d8b-9148-e3be6c30e623}">
          <xlrd:rvb i="12621"/>
        </ext>
      </extLst>
    </bk>
    <bk>
      <extLst>
        <ext uri="{3e2802c4-a4d2-4d8b-9148-e3be6c30e623}">
          <xlrd:rvb i="12622"/>
        </ext>
      </extLst>
    </bk>
    <bk>
      <extLst>
        <ext uri="{3e2802c4-a4d2-4d8b-9148-e3be6c30e623}">
          <xlrd:rvb i="12623"/>
        </ext>
      </extLst>
    </bk>
    <bk>
      <extLst>
        <ext uri="{3e2802c4-a4d2-4d8b-9148-e3be6c30e623}">
          <xlrd:rvb i="12624"/>
        </ext>
      </extLst>
    </bk>
    <bk>
      <extLst>
        <ext uri="{3e2802c4-a4d2-4d8b-9148-e3be6c30e623}">
          <xlrd:rvb i="12625"/>
        </ext>
      </extLst>
    </bk>
    <bk>
      <extLst>
        <ext uri="{3e2802c4-a4d2-4d8b-9148-e3be6c30e623}">
          <xlrd:rvb i="12626"/>
        </ext>
      </extLst>
    </bk>
    <bk>
      <extLst>
        <ext uri="{3e2802c4-a4d2-4d8b-9148-e3be6c30e623}">
          <xlrd:rvb i="12627"/>
        </ext>
      </extLst>
    </bk>
    <bk>
      <extLst>
        <ext uri="{3e2802c4-a4d2-4d8b-9148-e3be6c30e623}">
          <xlrd:rvb i="12628"/>
        </ext>
      </extLst>
    </bk>
    <bk>
      <extLst>
        <ext uri="{3e2802c4-a4d2-4d8b-9148-e3be6c30e623}">
          <xlrd:rvb i="12629"/>
        </ext>
      </extLst>
    </bk>
    <bk>
      <extLst>
        <ext uri="{3e2802c4-a4d2-4d8b-9148-e3be6c30e623}">
          <xlrd:rvb i="12630"/>
        </ext>
      </extLst>
    </bk>
    <bk>
      <extLst>
        <ext uri="{3e2802c4-a4d2-4d8b-9148-e3be6c30e623}">
          <xlrd:rvb i="12631"/>
        </ext>
      </extLst>
    </bk>
    <bk>
      <extLst>
        <ext uri="{3e2802c4-a4d2-4d8b-9148-e3be6c30e623}">
          <xlrd:rvb i="12632"/>
        </ext>
      </extLst>
    </bk>
    <bk>
      <extLst>
        <ext uri="{3e2802c4-a4d2-4d8b-9148-e3be6c30e623}">
          <xlrd:rvb i="12633"/>
        </ext>
      </extLst>
    </bk>
    <bk>
      <extLst>
        <ext uri="{3e2802c4-a4d2-4d8b-9148-e3be6c30e623}">
          <xlrd:rvb i="12634"/>
        </ext>
      </extLst>
    </bk>
    <bk>
      <extLst>
        <ext uri="{3e2802c4-a4d2-4d8b-9148-e3be6c30e623}">
          <xlrd:rvb i="12635"/>
        </ext>
      </extLst>
    </bk>
    <bk>
      <extLst>
        <ext uri="{3e2802c4-a4d2-4d8b-9148-e3be6c30e623}">
          <xlrd:rvb i="12636"/>
        </ext>
      </extLst>
    </bk>
    <bk>
      <extLst>
        <ext uri="{3e2802c4-a4d2-4d8b-9148-e3be6c30e623}">
          <xlrd:rvb i="12637"/>
        </ext>
      </extLst>
    </bk>
    <bk>
      <extLst>
        <ext uri="{3e2802c4-a4d2-4d8b-9148-e3be6c30e623}">
          <xlrd:rvb i="12638"/>
        </ext>
      </extLst>
    </bk>
    <bk>
      <extLst>
        <ext uri="{3e2802c4-a4d2-4d8b-9148-e3be6c30e623}">
          <xlrd:rvb i="12639"/>
        </ext>
      </extLst>
    </bk>
    <bk>
      <extLst>
        <ext uri="{3e2802c4-a4d2-4d8b-9148-e3be6c30e623}">
          <xlrd:rvb i="12640"/>
        </ext>
      </extLst>
    </bk>
    <bk>
      <extLst>
        <ext uri="{3e2802c4-a4d2-4d8b-9148-e3be6c30e623}">
          <xlrd:rvb i="12641"/>
        </ext>
      </extLst>
    </bk>
    <bk>
      <extLst>
        <ext uri="{3e2802c4-a4d2-4d8b-9148-e3be6c30e623}">
          <xlrd:rvb i="12642"/>
        </ext>
      </extLst>
    </bk>
    <bk>
      <extLst>
        <ext uri="{3e2802c4-a4d2-4d8b-9148-e3be6c30e623}">
          <xlrd:rvb i="12643"/>
        </ext>
      </extLst>
    </bk>
    <bk>
      <extLst>
        <ext uri="{3e2802c4-a4d2-4d8b-9148-e3be6c30e623}">
          <xlrd:rvb i="12644"/>
        </ext>
      </extLst>
    </bk>
    <bk>
      <extLst>
        <ext uri="{3e2802c4-a4d2-4d8b-9148-e3be6c30e623}">
          <xlrd:rvb i="12645"/>
        </ext>
      </extLst>
    </bk>
    <bk>
      <extLst>
        <ext uri="{3e2802c4-a4d2-4d8b-9148-e3be6c30e623}">
          <xlrd:rvb i="12646"/>
        </ext>
      </extLst>
    </bk>
    <bk>
      <extLst>
        <ext uri="{3e2802c4-a4d2-4d8b-9148-e3be6c30e623}">
          <xlrd:rvb i="12647"/>
        </ext>
      </extLst>
    </bk>
    <bk>
      <extLst>
        <ext uri="{3e2802c4-a4d2-4d8b-9148-e3be6c30e623}">
          <xlrd:rvb i="12648"/>
        </ext>
      </extLst>
    </bk>
    <bk>
      <extLst>
        <ext uri="{3e2802c4-a4d2-4d8b-9148-e3be6c30e623}">
          <xlrd:rvb i="12649"/>
        </ext>
      </extLst>
    </bk>
    <bk>
      <extLst>
        <ext uri="{3e2802c4-a4d2-4d8b-9148-e3be6c30e623}">
          <xlrd:rvb i="12650"/>
        </ext>
      </extLst>
    </bk>
    <bk>
      <extLst>
        <ext uri="{3e2802c4-a4d2-4d8b-9148-e3be6c30e623}">
          <xlrd:rvb i="12651"/>
        </ext>
      </extLst>
    </bk>
    <bk>
      <extLst>
        <ext uri="{3e2802c4-a4d2-4d8b-9148-e3be6c30e623}">
          <xlrd:rvb i="12652"/>
        </ext>
      </extLst>
    </bk>
    <bk>
      <extLst>
        <ext uri="{3e2802c4-a4d2-4d8b-9148-e3be6c30e623}">
          <xlrd:rvb i="12653"/>
        </ext>
      </extLst>
    </bk>
    <bk>
      <extLst>
        <ext uri="{3e2802c4-a4d2-4d8b-9148-e3be6c30e623}">
          <xlrd:rvb i="12654"/>
        </ext>
      </extLst>
    </bk>
    <bk>
      <extLst>
        <ext uri="{3e2802c4-a4d2-4d8b-9148-e3be6c30e623}">
          <xlrd:rvb i="12655"/>
        </ext>
      </extLst>
    </bk>
    <bk>
      <extLst>
        <ext uri="{3e2802c4-a4d2-4d8b-9148-e3be6c30e623}">
          <xlrd:rvb i="12656"/>
        </ext>
      </extLst>
    </bk>
    <bk>
      <extLst>
        <ext uri="{3e2802c4-a4d2-4d8b-9148-e3be6c30e623}">
          <xlrd:rvb i="12657"/>
        </ext>
      </extLst>
    </bk>
    <bk>
      <extLst>
        <ext uri="{3e2802c4-a4d2-4d8b-9148-e3be6c30e623}">
          <xlrd:rvb i="12658"/>
        </ext>
      </extLst>
    </bk>
    <bk>
      <extLst>
        <ext uri="{3e2802c4-a4d2-4d8b-9148-e3be6c30e623}">
          <xlrd:rvb i="12659"/>
        </ext>
      </extLst>
    </bk>
    <bk>
      <extLst>
        <ext uri="{3e2802c4-a4d2-4d8b-9148-e3be6c30e623}">
          <xlrd:rvb i="12660"/>
        </ext>
      </extLst>
    </bk>
    <bk>
      <extLst>
        <ext uri="{3e2802c4-a4d2-4d8b-9148-e3be6c30e623}">
          <xlrd:rvb i="12661"/>
        </ext>
      </extLst>
    </bk>
    <bk>
      <extLst>
        <ext uri="{3e2802c4-a4d2-4d8b-9148-e3be6c30e623}">
          <xlrd:rvb i="12662"/>
        </ext>
      </extLst>
    </bk>
    <bk>
      <extLst>
        <ext uri="{3e2802c4-a4d2-4d8b-9148-e3be6c30e623}">
          <xlrd:rvb i="12663"/>
        </ext>
      </extLst>
    </bk>
    <bk>
      <extLst>
        <ext uri="{3e2802c4-a4d2-4d8b-9148-e3be6c30e623}">
          <xlrd:rvb i="12664"/>
        </ext>
      </extLst>
    </bk>
    <bk>
      <extLst>
        <ext uri="{3e2802c4-a4d2-4d8b-9148-e3be6c30e623}">
          <xlrd:rvb i="12665"/>
        </ext>
      </extLst>
    </bk>
    <bk>
      <extLst>
        <ext uri="{3e2802c4-a4d2-4d8b-9148-e3be6c30e623}">
          <xlrd:rvb i="12666"/>
        </ext>
      </extLst>
    </bk>
    <bk>
      <extLst>
        <ext uri="{3e2802c4-a4d2-4d8b-9148-e3be6c30e623}">
          <xlrd:rvb i="12667"/>
        </ext>
      </extLst>
    </bk>
    <bk>
      <extLst>
        <ext uri="{3e2802c4-a4d2-4d8b-9148-e3be6c30e623}">
          <xlrd:rvb i="12668"/>
        </ext>
      </extLst>
    </bk>
    <bk>
      <extLst>
        <ext uri="{3e2802c4-a4d2-4d8b-9148-e3be6c30e623}">
          <xlrd:rvb i="12669"/>
        </ext>
      </extLst>
    </bk>
    <bk>
      <extLst>
        <ext uri="{3e2802c4-a4d2-4d8b-9148-e3be6c30e623}">
          <xlrd:rvb i="12670"/>
        </ext>
      </extLst>
    </bk>
    <bk>
      <extLst>
        <ext uri="{3e2802c4-a4d2-4d8b-9148-e3be6c30e623}">
          <xlrd:rvb i="12671"/>
        </ext>
      </extLst>
    </bk>
    <bk>
      <extLst>
        <ext uri="{3e2802c4-a4d2-4d8b-9148-e3be6c30e623}">
          <xlrd:rvb i="12672"/>
        </ext>
      </extLst>
    </bk>
    <bk>
      <extLst>
        <ext uri="{3e2802c4-a4d2-4d8b-9148-e3be6c30e623}">
          <xlrd:rvb i="12673"/>
        </ext>
      </extLst>
    </bk>
    <bk>
      <extLst>
        <ext uri="{3e2802c4-a4d2-4d8b-9148-e3be6c30e623}">
          <xlrd:rvb i="12674"/>
        </ext>
      </extLst>
    </bk>
    <bk>
      <extLst>
        <ext uri="{3e2802c4-a4d2-4d8b-9148-e3be6c30e623}">
          <xlrd:rvb i="12675"/>
        </ext>
      </extLst>
    </bk>
    <bk>
      <extLst>
        <ext uri="{3e2802c4-a4d2-4d8b-9148-e3be6c30e623}">
          <xlrd:rvb i="12676"/>
        </ext>
      </extLst>
    </bk>
    <bk>
      <extLst>
        <ext uri="{3e2802c4-a4d2-4d8b-9148-e3be6c30e623}">
          <xlrd:rvb i="12677"/>
        </ext>
      </extLst>
    </bk>
    <bk>
      <extLst>
        <ext uri="{3e2802c4-a4d2-4d8b-9148-e3be6c30e623}">
          <xlrd:rvb i="12678"/>
        </ext>
      </extLst>
    </bk>
    <bk>
      <extLst>
        <ext uri="{3e2802c4-a4d2-4d8b-9148-e3be6c30e623}">
          <xlrd:rvb i="12679"/>
        </ext>
      </extLst>
    </bk>
    <bk>
      <extLst>
        <ext uri="{3e2802c4-a4d2-4d8b-9148-e3be6c30e623}">
          <xlrd:rvb i="12680"/>
        </ext>
      </extLst>
    </bk>
    <bk>
      <extLst>
        <ext uri="{3e2802c4-a4d2-4d8b-9148-e3be6c30e623}">
          <xlrd:rvb i="12681"/>
        </ext>
      </extLst>
    </bk>
    <bk>
      <extLst>
        <ext uri="{3e2802c4-a4d2-4d8b-9148-e3be6c30e623}">
          <xlrd:rvb i="12682"/>
        </ext>
      </extLst>
    </bk>
    <bk>
      <extLst>
        <ext uri="{3e2802c4-a4d2-4d8b-9148-e3be6c30e623}">
          <xlrd:rvb i="12683"/>
        </ext>
      </extLst>
    </bk>
    <bk>
      <extLst>
        <ext uri="{3e2802c4-a4d2-4d8b-9148-e3be6c30e623}">
          <xlrd:rvb i="12684"/>
        </ext>
      </extLst>
    </bk>
    <bk>
      <extLst>
        <ext uri="{3e2802c4-a4d2-4d8b-9148-e3be6c30e623}">
          <xlrd:rvb i="12685"/>
        </ext>
      </extLst>
    </bk>
    <bk>
      <extLst>
        <ext uri="{3e2802c4-a4d2-4d8b-9148-e3be6c30e623}">
          <xlrd:rvb i="12686"/>
        </ext>
      </extLst>
    </bk>
    <bk>
      <extLst>
        <ext uri="{3e2802c4-a4d2-4d8b-9148-e3be6c30e623}">
          <xlrd:rvb i="12687"/>
        </ext>
      </extLst>
    </bk>
    <bk>
      <extLst>
        <ext uri="{3e2802c4-a4d2-4d8b-9148-e3be6c30e623}">
          <xlrd:rvb i="12688"/>
        </ext>
      </extLst>
    </bk>
    <bk>
      <extLst>
        <ext uri="{3e2802c4-a4d2-4d8b-9148-e3be6c30e623}">
          <xlrd:rvb i="12689"/>
        </ext>
      </extLst>
    </bk>
    <bk>
      <extLst>
        <ext uri="{3e2802c4-a4d2-4d8b-9148-e3be6c30e623}">
          <xlrd:rvb i="12690"/>
        </ext>
      </extLst>
    </bk>
    <bk>
      <extLst>
        <ext uri="{3e2802c4-a4d2-4d8b-9148-e3be6c30e623}">
          <xlrd:rvb i="12691"/>
        </ext>
      </extLst>
    </bk>
    <bk>
      <extLst>
        <ext uri="{3e2802c4-a4d2-4d8b-9148-e3be6c30e623}">
          <xlrd:rvb i="12692"/>
        </ext>
      </extLst>
    </bk>
    <bk>
      <extLst>
        <ext uri="{3e2802c4-a4d2-4d8b-9148-e3be6c30e623}">
          <xlrd:rvb i="12693"/>
        </ext>
      </extLst>
    </bk>
    <bk>
      <extLst>
        <ext uri="{3e2802c4-a4d2-4d8b-9148-e3be6c30e623}">
          <xlrd:rvb i="12694"/>
        </ext>
      </extLst>
    </bk>
    <bk>
      <extLst>
        <ext uri="{3e2802c4-a4d2-4d8b-9148-e3be6c30e623}">
          <xlrd:rvb i="12695"/>
        </ext>
      </extLst>
    </bk>
    <bk>
      <extLst>
        <ext uri="{3e2802c4-a4d2-4d8b-9148-e3be6c30e623}">
          <xlrd:rvb i="12696"/>
        </ext>
      </extLst>
    </bk>
    <bk>
      <extLst>
        <ext uri="{3e2802c4-a4d2-4d8b-9148-e3be6c30e623}">
          <xlrd:rvb i="12697"/>
        </ext>
      </extLst>
    </bk>
    <bk>
      <extLst>
        <ext uri="{3e2802c4-a4d2-4d8b-9148-e3be6c30e623}">
          <xlrd:rvb i="12698"/>
        </ext>
      </extLst>
    </bk>
    <bk>
      <extLst>
        <ext uri="{3e2802c4-a4d2-4d8b-9148-e3be6c30e623}">
          <xlrd:rvb i="12699"/>
        </ext>
      </extLst>
    </bk>
    <bk>
      <extLst>
        <ext uri="{3e2802c4-a4d2-4d8b-9148-e3be6c30e623}">
          <xlrd:rvb i="12700"/>
        </ext>
      </extLst>
    </bk>
    <bk>
      <extLst>
        <ext uri="{3e2802c4-a4d2-4d8b-9148-e3be6c30e623}">
          <xlrd:rvb i="12701"/>
        </ext>
      </extLst>
    </bk>
    <bk>
      <extLst>
        <ext uri="{3e2802c4-a4d2-4d8b-9148-e3be6c30e623}">
          <xlrd:rvb i="12702"/>
        </ext>
      </extLst>
    </bk>
    <bk>
      <extLst>
        <ext uri="{3e2802c4-a4d2-4d8b-9148-e3be6c30e623}">
          <xlrd:rvb i="12703"/>
        </ext>
      </extLst>
    </bk>
    <bk>
      <extLst>
        <ext uri="{3e2802c4-a4d2-4d8b-9148-e3be6c30e623}">
          <xlrd:rvb i="12704"/>
        </ext>
      </extLst>
    </bk>
    <bk>
      <extLst>
        <ext uri="{3e2802c4-a4d2-4d8b-9148-e3be6c30e623}">
          <xlrd:rvb i="12705"/>
        </ext>
      </extLst>
    </bk>
    <bk>
      <extLst>
        <ext uri="{3e2802c4-a4d2-4d8b-9148-e3be6c30e623}">
          <xlrd:rvb i="12706"/>
        </ext>
      </extLst>
    </bk>
    <bk>
      <extLst>
        <ext uri="{3e2802c4-a4d2-4d8b-9148-e3be6c30e623}">
          <xlrd:rvb i="12707"/>
        </ext>
      </extLst>
    </bk>
    <bk>
      <extLst>
        <ext uri="{3e2802c4-a4d2-4d8b-9148-e3be6c30e623}">
          <xlrd:rvb i="12708"/>
        </ext>
      </extLst>
    </bk>
    <bk>
      <extLst>
        <ext uri="{3e2802c4-a4d2-4d8b-9148-e3be6c30e623}">
          <xlrd:rvb i="12709"/>
        </ext>
      </extLst>
    </bk>
    <bk>
      <extLst>
        <ext uri="{3e2802c4-a4d2-4d8b-9148-e3be6c30e623}">
          <xlrd:rvb i="12710"/>
        </ext>
      </extLst>
    </bk>
    <bk>
      <extLst>
        <ext uri="{3e2802c4-a4d2-4d8b-9148-e3be6c30e623}">
          <xlrd:rvb i="12711"/>
        </ext>
      </extLst>
    </bk>
    <bk>
      <extLst>
        <ext uri="{3e2802c4-a4d2-4d8b-9148-e3be6c30e623}">
          <xlrd:rvb i="12712"/>
        </ext>
      </extLst>
    </bk>
    <bk>
      <extLst>
        <ext uri="{3e2802c4-a4d2-4d8b-9148-e3be6c30e623}">
          <xlrd:rvb i="12713"/>
        </ext>
      </extLst>
    </bk>
    <bk>
      <extLst>
        <ext uri="{3e2802c4-a4d2-4d8b-9148-e3be6c30e623}">
          <xlrd:rvb i="12714"/>
        </ext>
      </extLst>
    </bk>
    <bk>
      <extLst>
        <ext uri="{3e2802c4-a4d2-4d8b-9148-e3be6c30e623}">
          <xlrd:rvb i="12715"/>
        </ext>
      </extLst>
    </bk>
    <bk>
      <extLst>
        <ext uri="{3e2802c4-a4d2-4d8b-9148-e3be6c30e623}">
          <xlrd:rvb i="12716"/>
        </ext>
      </extLst>
    </bk>
    <bk>
      <extLst>
        <ext uri="{3e2802c4-a4d2-4d8b-9148-e3be6c30e623}">
          <xlrd:rvb i="12717"/>
        </ext>
      </extLst>
    </bk>
    <bk>
      <extLst>
        <ext uri="{3e2802c4-a4d2-4d8b-9148-e3be6c30e623}">
          <xlrd:rvb i="12718"/>
        </ext>
      </extLst>
    </bk>
    <bk>
      <extLst>
        <ext uri="{3e2802c4-a4d2-4d8b-9148-e3be6c30e623}">
          <xlrd:rvb i="12719"/>
        </ext>
      </extLst>
    </bk>
    <bk>
      <extLst>
        <ext uri="{3e2802c4-a4d2-4d8b-9148-e3be6c30e623}">
          <xlrd:rvb i="12720"/>
        </ext>
      </extLst>
    </bk>
    <bk>
      <extLst>
        <ext uri="{3e2802c4-a4d2-4d8b-9148-e3be6c30e623}">
          <xlrd:rvb i="12721"/>
        </ext>
      </extLst>
    </bk>
    <bk>
      <extLst>
        <ext uri="{3e2802c4-a4d2-4d8b-9148-e3be6c30e623}">
          <xlrd:rvb i="12722"/>
        </ext>
      </extLst>
    </bk>
    <bk>
      <extLst>
        <ext uri="{3e2802c4-a4d2-4d8b-9148-e3be6c30e623}">
          <xlrd:rvb i="12723"/>
        </ext>
      </extLst>
    </bk>
    <bk>
      <extLst>
        <ext uri="{3e2802c4-a4d2-4d8b-9148-e3be6c30e623}">
          <xlrd:rvb i="12724"/>
        </ext>
      </extLst>
    </bk>
    <bk>
      <extLst>
        <ext uri="{3e2802c4-a4d2-4d8b-9148-e3be6c30e623}">
          <xlrd:rvb i="12725"/>
        </ext>
      </extLst>
    </bk>
    <bk>
      <extLst>
        <ext uri="{3e2802c4-a4d2-4d8b-9148-e3be6c30e623}">
          <xlrd:rvb i="12726"/>
        </ext>
      </extLst>
    </bk>
    <bk>
      <extLst>
        <ext uri="{3e2802c4-a4d2-4d8b-9148-e3be6c30e623}">
          <xlrd:rvb i="12727"/>
        </ext>
      </extLst>
    </bk>
    <bk>
      <extLst>
        <ext uri="{3e2802c4-a4d2-4d8b-9148-e3be6c30e623}">
          <xlrd:rvb i="12728"/>
        </ext>
      </extLst>
    </bk>
    <bk>
      <extLst>
        <ext uri="{3e2802c4-a4d2-4d8b-9148-e3be6c30e623}">
          <xlrd:rvb i="12729"/>
        </ext>
      </extLst>
    </bk>
    <bk>
      <extLst>
        <ext uri="{3e2802c4-a4d2-4d8b-9148-e3be6c30e623}">
          <xlrd:rvb i="12730"/>
        </ext>
      </extLst>
    </bk>
    <bk>
      <extLst>
        <ext uri="{3e2802c4-a4d2-4d8b-9148-e3be6c30e623}">
          <xlrd:rvb i="12731"/>
        </ext>
      </extLst>
    </bk>
    <bk>
      <extLst>
        <ext uri="{3e2802c4-a4d2-4d8b-9148-e3be6c30e623}">
          <xlrd:rvb i="12732"/>
        </ext>
      </extLst>
    </bk>
    <bk>
      <extLst>
        <ext uri="{3e2802c4-a4d2-4d8b-9148-e3be6c30e623}">
          <xlrd:rvb i="12733"/>
        </ext>
      </extLst>
    </bk>
    <bk>
      <extLst>
        <ext uri="{3e2802c4-a4d2-4d8b-9148-e3be6c30e623}">
          <xlrd:rvb i="12734"/>
        </ext>
      </extLst>
    </bk>
    <bk>
      <extLst>
        <ext uri="{3e2802c4-a4d2-4d8b-9148-e3be6c30e623}">
          <xlrd:rvb i="12735"/>
        </ext>
      </extLst>
    </bk>
    <bk>
      <extLst>
        <ext uri="{3e2802c4-a4d2-4d8b-9148-e3be6c30e623}">
          <xlrd:rvb i="12736"/>
        </ext>
      </extLst>
    </bk>
    <bk>
      <extLst>
        <ext uri="{3e2802c4-a4d2-4d8b-9148-e3be6c30e623}">
          <xlrd:rvb i="12737"/>
        </ext>
      </extLst>
    </bk>
    <bk>
      <extLst>
        <ext uri="{3e2802c4-a4d2-4d8b-9148-e3be6c30e623}">
          <xlrd:rvb i="12738"/>
        </ext>
      </extLst>
    </bk>
    <bk>
      <extLst>
        <ext uri="{3e2802c4-a4d2-4d8b-9148-e3be6c30e623}">
          <xlrd:rvb i="12739"/>
        </ext>
      </extLst>
    </bk>
    <bk>
      <extLst>
        <ext uri="{3e2802c4-a4d2-4d8b-9148-e3be6c30e623}">
          <xlrd:rvb i="12740"/>
        </ext>
      </extLst>
    </bk>
    <bk>
      <extLst>
        <ext uri="{3e2802c4-a4d2-4d8b-9148-e3be6c30e623}">
          <xlrd:rvb i="12741"/>
        </ext>
      </extLst>
    </bk>
    <bk>
      <extLst>
        <ext uri="{3e2802c4-a4d2-4d8b-9148-e3be6c30e623}">
          <xlrd:rvb i="12742"/>
        </ext>
      </extLst>
    </bk>
    <bk>
      <extLst>
        <ext uri="{3e2802c4-a4d2-4d8b-9148-e3be6c30e623}">
          <xlrd:rvb i="12743"/>
        </ext>
      </extLst>
    </bk>
    <bk>
      <extLst>
        <ext uri="{3e2802c4-a4d2-4d8b-9148-e3be6c30e623}">
          <xlrd:rvb i="12744"/>
        </ext>
      </extLst>
    </bk>
    <bk>
      <extLst>
        <ext uri="{3e2802c4-a4d2-4d8b-9148-e3be6c30e623}">
          <xlrd:rvb i="12745"/>
        </ext>
      </extLst>
    </bk>
    <bk>
      <extLst>
        <ext uri="{3e2802c4-a4d2-4d8b-9148-e3be6c30e623}">
          <xlrd:rvb i="12746"/>
        </ext>
      </extLst>
    </bk>
    <bk>
      <extLst>
        <ext uri="{3e2802c4-a4d2-4d8b-9148-e3be6c30e623}">
          <xlrd:rvb i="12747"/>
        </ext>
      </extLst>
    </bk>
    <bk>
      <extLst>
        <ext uri="{3e2802c4-a4d2-4d8b-9148-e3be6c30e623}">
          <xlrd:rvb i="12748"/>
        </ext>
      </extLst>
    </bk>
    <bk>
      <extLst>
        <ext uri="{3e2802c4-a4d2-4d8b-9148-e3be6c30e623}">
          <xlrd:rvb i="12749"/>
        </ext>
      </extLst>
    </bk>
    <bk>
      <extLst>
        <ext uri="{3e2802c4-a4d2-4d8b-9148-e3be6c30e623}">
          <xlrd:rvb i="12750"/>
        </ext>
      </extLst>
    </bk>
    <bk>
      <extLst>
        <ext uri="{3e2802c4-a4d2-4d8b-9148-e3be6c30e623}">
          <xlrd:rvb i="12751"/>
        </ext>
      </extLst>
    </bk>
    <bk>
      <extLst>
        <ext uri="{3e2802c4-a4d2-4d8b-9148-e3be6c30e623}">
          <xlrd:rvb i="12752"/>
        </ext>
      </extLst>
    </bk>
    <bk>
      <extLst>
        <ext uri="{3e2802c4-a4d2-4d8b-9148-e3be6c30e623}">
          <xlrd:rvb i="12753"/>
        </ext>
      </extLst>
    </bk>
    <bk>
      <extLst>
        <ext uri="{3e2802c4-a4d2-4d8b-9148-e3be6c30e623}">
          <xlrd:rvb i="12754"/>
        </ext>
      </extLst>
    </bk>
    <bk>
      <extLst>
        <ext uri="{3e2802c4-a4d2-4d8b-9148-e3be6c30e623}">
          <xlrd:rvb i="12755"/>
        </ext>
      </extLst>
    </bk>
    <bk>
      <extLst>
        <ext uri="{3e2802c4-a4d2-4d8b-9148-e3be6c30e623}">
          <xlrd:rvb i="12756"/>
        </ext>
      </extLst>
    </bk>
    <bk>
      <extLst>
        <ext uri="{3e2802c4-a4d2-4d8b-9148-e3be6c30e623}">
          <xlrd:rvb i="12757"/>
        </ext>
      </extLst>
    </bk>
    <bk>
      <extLst>
        <ext uri="{3e2802c4-a4d2-4d8b-9148-e3be6c30e623}">
          <xlrd:rvb i="12758"/>
        </ext>
      </extLst>
    </bk>
    <bk>
      <extLst>
        <ext uri="{3e2802c4-a4d2-4d8b-9148-e3be6c30e623}">
          <xlrd:rvb i="12759"/>
        </ext>
      </extLst>
    </bk>
    <bk>
      <extLst>
        <ext uri="{3e2802c4-a4d2-4d8b-9148-e3be6c30e623}">
          <xlrd:rvb i="12760"/>
        </ext>
      </extLst>
    </bk>
    <bk>
      <extLst>
        <ext uri="{3e2802c4-a4d2-4d8b-9148-e3be6c30e623}">
          <xlrd:rvb i="12761"/>
        </ext>
      </extLst>
    </bk>
    <bk>
      <extLst>
        <ext uri="{3e2802c4-a4d2-4d8b-9148-e3be6c30e623}">
          <xlrd:rvb i="12762"/>
        </ext>
      </extLst>
    </bk>
    <bk>
      <extLst>
        <ext uri="{3e2802c4-a4d2-4d8b-9148-e3be6c30e623}">
          <xlrd:rvb i="12763"/>
        </ext>
      </extLst>
    </bk>
    <bk>
      <extLst>
        <ext uri="{3e2802c4-a4d2-4d8b-9148-e3be6c30e623}">
          <xlrd:rvb i="12764"/>
        </ext>
      </extLst>
    </bk>
    <bk>
      <extLst>
        <ext uri="{3e2802c4-a4d2-4d8b-9148-e3be6c30e623}">
          <xlrd:rvb i="12765"/>
        </ext>
      </extLst>
    </bk>
    <bk>
      <extLst>
        <ext uri="{3e2802c4-a4d2-4d8b-9148-e3be6c30e623}">
          <xlrd:rvb i="12766"/>
        </ext>
      </extLst>
    </bk>
    <bk>
      <extLst>
        <ext uri="{3e2802c4-a4d2-4d8b-9148-e3be6c30e623}">
          <xlrd:rvb i="12767"/>
        </ext>
      </extLst>
    </bk>
    <bk>
      <extLst>
        <ext uri="{3e2802c4-a4d2-4d8b-9148-e3be6c30e623}">
          <xlrd:rvb i="12768"/>
        </ext>
      </extLst>
    </bk>
    <bk>
      <extLst>
        <ext uri="{3e2802c4-a4d2-4d8b-9148-e3be6c30e623}">
          <xlrd:rvb i="12769"/>
        </ext>
      </extLst>
    </bk>
    <bk>
      <extLst>
        <ext uri="{3e2802c4-a4d2-4d8b-9148-e3be6c30e623}">
          <xlrd:rvb i="12770"/>
        </ext>
      </extLst>
    </bk>
    <bk>
      <extLst>
        <ext uri="{3e2802c4-a4d2-4d8b-9148-e3be6c30e623}">
          <xlrd:rvb i="12771"/>
        </ext>
      </extLst>
    </bk>
    <bk>
      <extLst>
        <ext uri="{3e2802c4-a4d2-4d8b-9148-e3be6c30e623}">
          <xlrd:rvb i="12772"/>
        </ext>
      </extLst>
    </bk>
    <bk>
      <extLst>
        <ext uri="{3e2802c4-a4d2-4d8b-9148-e3be6c30e623}">
          <xlrd:rvb i="12773"/>
        </ext>
      </extLst>
    </bk>
    <bk>
      <extLst>
        <ext uri="{3e2802c4-a4d2-4d8b-9148-e3be6c30e623}">
          <xlrd:rvb i="12774"/>
        </ext>
      </extLst>
    </bk>
    <bk>
      <extLst>
        <ext uri="{3e2802c4-a4d2-4d8b-9148-e3be6c30e623}">
          <xlrd:rvb i="12775"/>
        </ext>
      </extLst>
    </bk>
    <bk>
      <extLst>
        <ext uri="{3e2802c4-a4d2-4d8b-9148-e3be6c30e623}">
          <xlrd:rvb i="12776"/>
        </ext>
      </extLst>
    </bk>
    <bk>
      <extLst>
        <ext uri="{3e2802c4-a4d2-4d8b-9148-e3be6c30e623}">
          <xlrd:rvb i="12777"/>
        </ext>
      </extLst>
    </bk>
    <bk>
      <extLst>
        <ext uri="{3e2802c4-a4d2-4d8b-9148-e3be6c30e623}">
          <xlrd:rvb i="12778"/>
        </ext>
      </extLst>
    </bk>
    <bk>
      <extLst>
        <ext uri="{3e2802c4-a4d2-4d8b-9148-e3be6c30e623}">
          <xlrd:rvb i="12779"/>
        </ext>
      </extLst>
    </bk>
    <bk>
      <extLst>
        <ext uri="{3e2802c4-a4d2-4d8b-9148-e3be6c30e623}">
          <xlrd:rvb i="12780"/>
        </ext>
      </extLst>
    </bk>
    <bk>
      <extLst>
        <ext uri="{3e2802c4-a4d2-4d8b-9148-e3be6c30e623}">
          <xlrd:rvb i="12781"/>
        </ext>
      </extLst>
    </bk>
    <bk>
      <extLst>
        <ext uri="{3e2802c4-a4d2-4d8b-9148-e3be6c30e623}">
          <xlrd:rvb i="12782"/>
        </ext>
      </extLst>
    </bk>
    <bk>
      <extLst>
        <ext uri="{3e2802c4-a4d2-4d8b-9148-e3be6c30e623}">
          <xlrd:rvb i="12783"/>
        </ext>
      </extLst>
    </bk>
    <bk>
      <extLst>
        <ext uri="{3e2802c4-a4d2-4d8b-9148-e3be6c30e623}">
          <xlrd:rvb i="12784"/>
        </ext>
      </extLst>
    </bk>
    <bk>
      <extLst>
        <ext uri="{3e2802c4-a4d2-4d8b-9148-e3be6c30e623}">
          <xlrd:rvb i="12785"/>
        </ext>
      </extLst>
    </bk>
    <bk>
      <extLst>
        <ext uri="{3e2802c4-a4d2-4d8b-9148-e3be6c30e623}">
          <xlrd:rvb i="12786"/>
        </ext>
      </extLst>
    </bk>
    <bk>
      <extLst>
        <ext uri="{3e2802c4-a4d2-4d8b-9148-e3be6c30e623}">
          <xlrd:rvb i="12787"/>
        </ext>
      </extLst>
    </bk>
    <bk>
      <extLst>
        <ext uri="{3e2802c4-a4d2-4d8b-9148-e3be6c30e623}">
          <xlrd:rvb i="12788"/>
        </ext>
      </extLst>
    </bk>
    <bk>
      <extLst>
        <ext uri="{3e2802c4-a4d2-4d8b-9148-e3be6c30e623}">
          <xlrd:rvb i="12789"/>
        </ext>
      </extLst>
    </bk>
    <bk>
      <extLst>
        <ext uri="{3e2802c4-a4d2-4d8b-9148-e3be6c30e623}">
          <xlrd:rvb i="12790"/>
        </ext>
      </extLst>
    </bk>
    <bk>
      <extLst>
        <ext uri="{3e2802c4-a4d2-4d8b-9148-e3be6c30e623}">
          <xlrd:rvb i="12791"/>
        </ext>
      </extLst>
    </bk>
    <bk>
      <extLst>
        <ext uri="{3e2802c4-a4d2-4d8b-9148-e3be6c30e623}">
          <xlrd:rvb i="12792"/>
        </ext>
      </extLst>
    </bk>
    <bk>
      <extLst>
        <ext uri="{3e2802c4-a4d2-4d8b-9148-e3be6c30e623}">
          <xlrd:rvb i="12793"/>
        </ext>
      </extLst>
    </bk>
    <bk>
      <extLst>
        <ext uri="{3e2802c4-a4d2-4d8b-9148-e3be6c30e623}">
          <xlrd:rvb i="12794"/>
        </ext>
      </extLst>
    </bk>
    <bk>
      <extLst>
        <ext uri="{3e2802c4-a4d2-4d8b-9148-e3be6c30e623}">
          <xlrd:rvb i="12795"/>
        </ext>
      </extLst>
    </bk>
    <bk>
      <extLst>
        <ext uri="{3e2802c4-a4d2-4d8b-9148-e3be6c30e623}">
          <xlrd:rvb i="12796"/>
        </ext>
      </extLst>
    </bk>
    <bk>
      <extLst>
        <ext uri="{3e2802c4-a4d2-4d8b-9148-e3be6c30e623}">
          <xlrd:rvb i="12797"/>
        </ext>
      </extLst>
    </bk>
    <bk>
      <extLst>
        <ext uri="{3e2802c4-a4d2-4d8b-9148-e3be6c30e623}">
          <xlrd:rvb i="12798"/>
        </ext>
      </extLst>
    </bk>
    <bk>
      <extLst>
        <ext uri="{3e2802c4-a4d2-4d8b-9148-e3be6c30e623}">
          <xlrd:rvb i="12799"/>
        </ext>
      </extLst>
    </bk>
    <bk>
      <extLst>
        <ext uri="{3e2802c4-a4d2-4d8b-9148-e3be6c30e623}">
          <xlrd:rvb i="12800"/>
        </ext>
      </extLst>
    </bk>
    <bk>
      <extLst>
        <ext uri="{3e2802c4-a4d2-4d8b-9148-e3be6c30e623}">
          <xlrd:rvb i="12801"/>
        </ext>
      </extLst>
    </bk>
    <bk>
      <extLst>
        <ext uri="{3e2802c4-a4d2-4d8b-9148-e3be6c30e623}">
          <xlrd:rvb i="12802"/>
        </ext>
      </extLst>
    </bk>
    <bk>
      <extLst>
        <ext uri="{3e2802c4-a4d2-4d8b-9148-e3be6c30e623}">
          <xlrd:rvb i="12803"/>
        </ext>
      </extLst>
    </bk>
    <bk>
      <extLst>
        <ext uri="{3e2802c4-a4d2-4d8b-9148-e3be6c30e623}">
          <xlrd:rvb i="12804"/>
        </ext>
      </extLst>
    </bk>
    <bk>
      <extLst>
        <ext uri="{3e2802c4-a4d2-4d8b-9148-e3be6c30e623}">
          <xlrd:rvb i="12805"/>
        </ext>
      </extLst>
    </bk>
    <bk>
      <extLst>
        <ext uri="{3e2802c4-a4d2-4d8b-9148-e3be6c30e623}">
          <xlrd:rvb i="12806"/>
        </ext>
      </extLst>
    </bk>
    <bk>
      <extLst>
        <ext uri="{3e2802c4-a4d2-4d8b-9148-e3be6c30e623}">
          <xlrd:rvb i="12807"/>
        </ext>
      </extLst>
    </bk>
    <bk>
      <extLst>
        <ext uri="{3e2802c4-a4d2-4d8b-9148-e3be6c30e623}">
          <xlrd:rvb i="12808"/>
        </ext>
      </extLst>
    </bk>
    <bk>
      <extLst>
        <ext uri="{3e2802c4-a4d2-4d8b-9148-e3be6c30e623}">
          <xlrd:rvb i="12809"/>
        </ext>
      </extLst>
    </bk>
    <bk>
      <extLst>
        <ext uri="{3e2802c4-a4d2-4d8b-9148-e3be6c30e623}">
          <xlrd:rvb i="12810"/>
        </ext>
      </extLst>
    </bk>
    <bk>
      <extLst>
        <ext uri="{3e2802c4-a4d2-4d8b-9148-e3be6c30e623}">
          <xlrd:rvb i="12811"/>
        </ext>
      </extLst>
    </bk>
    <bk>
      <extLst>
        <ext uri="{3e2802c4-a4d2-4d8b-9148-e3be6c30e623}">
          <xlrd:rvb i="12812"/>
        </ext>
      </extLst>
    </bk>
    <bk>
      <extLst>
        <ext uri="{3e2802c4-a4d2-4d8b-9148-e3be6c30e623}">
          <xlrd:rvb i="12813"/>
        </ext>
      </extLst>
    </bk>
    <bk>
      <extLst>
        <ext uri="{3e2802c4-a4d2-4d8b-9148-e3be6c30e623}">
          <xlrd:rvb i="12814"/>
        </ext>
      </extLst>
    </bk>
    <bk>
      <extLst>
        <ext uri="{3e2802c4-a4d2-4d8b-9148-e3be6c30e623}">
          <xlrd:rvb i="12815"/>
        </ext>
      </extLst>
    </bk>
    <bk>
      <extLst>
        <ext uri="{3e2802c4-a4d2-4d8b-9148-e3be6c30e623}">
          <xlrd:rvb i="12816"/>
        </ext>
      </extLst>
    </bk>
    <bk>
      <extLst>
        <ext uri="{3e2802c4-a4d2-4d8b-9148-e3be6c30e623}">
          <xlrd:rvb i="12817"/>
        </ext>
      </extLst>
    </bk>
    <bk>
      <extLst>
        <ext uri="{3e2802c4-a4d2-4d8b-9148-e3be6c30e623}">
          <xlrd:rvb i="12818"/>
        </ext>
      </extLst>
    </bk>
    <bk>
      <extLst>
        <ext uri="{3e2802c4-a4d2-4d8b-9148-e3be6c30e623}">
          <xlrd:rvb i="12819"/>
        </ext>
      </extLst>
    </bk>
    <bk>
      <extLst>
        <ext uri="{3e2802c4-a4d2-4d8b-9148-e3be6c30e623}">
          <xlrd:rvb i="12820"/>
        </ext>
      </extLst>
    </bk>
    <bk>
      <extLst>
        <ext uri="{3e2802c4-a4d2-4d8b-9148-e3be6c30e623}">
          <xlrd:rvb i="12821"/>
        </ext>
      </extLst>
    </bk>
    <bk>
      <extLst>
        <ext uri="{3e2802c4-a4d2-4d8b-9148-e3be6c30e623}">
          <xlrd:rvb i="12822"/>
        </ext>
      </extLst>
    </bk>
    <bk>
      <extLst>
        <ext uri="{3e2802c4-a4d2-4d8b-9148-e3be6c30e623}">
          <xlrd:rvb i="12823"/>
        </ext>
      </extLst>
    </bk>
    <bk>
      <extLst>
        <ext uri="{3e2802c4-a4d2-4d8b-9148-e3be6c30e623}">
          <xlrd:rvb i="12824"/>
        </ext>
      </extLst>
    </bk>
    <bk>
      <extLst>
        <ext uri="{3e2802c4-a4d2-4d8b-9148-e3be6c30e623}">
          <xlrd:rvb i="12825"/>
        </ext>
      </extLst>
    </bk>
    <bk>
      <extLst>
        <ext uri="{3e2802c4-a4d2-4d8b-9148-e3be6c30e623}">
          <xlrd:rvb i="12826"/>
        </ext>
      </extLst>
    </bk>
    <bk>
      <extLst>
        <ext uri="{3e2802c4-a4d2-4d8b-9148-e3be6c30e623}">
          <xlrd:rvb i="12827"/>
        </ext>
      </extLst>
    </bk>
    <bk>
      <extLst>
        <ext uri="{3e2802c4-a4d2-4d8b-9148-e3be6c30e623}">
          <xlrd:rvb i="12828"/>
        </ext>
      </extLst>
    </bk>
    <bk>
      <extLst>
        <ext uri="{3e2802c4-a4d2-4d8b-9148-e3be6c30e623}">
          <xlrd:rvb i="12829"/>
        </ext>
      </extLst>
    </bk>
    <bk>
      <extLst>
        <ext uri="{3e2802c4-a4d2-4d8b-9148-e3be6c30e623}">
          <xlrd:rvb i="12830"/>
        </ext>
      </extLst>
    </bk>
    <bk>
      <extLst>
        <ext uri="{3e2802c4-a4d2-4d8b-9148-e3be6c30e623}">
          <xlrd:rvb i="12831"/>
        </ext>
      </extLst>
    </bk>
    <bk>
      <extLst>
        <ext uri="{3e2802c4-a4d2-4d8b-9148-e3be6c30e623}">
          <xlrd:rvb i="12832"/>
        </ext>
      </extLst>
    </bk>
    <bk>
      <extLst>
        <ext uri="{3e2802c4-a4d2-4d8b-9148-e3be6c30e623}">
          <xlrd:rvb i="12833"/>
        </ext>
      </extLst>
    </bk>
    <bk>
      <extLst>
        <ext uri="{3e2802c4-a4d2-4d8b-9148-e3be6c30e623}">
          <xlrd:rvb i="12834"/>
        </ext>
      </extLst>
    </bk>
    <bk>
      <extLst>
        <ext uri="{3e2802c4-a4d2-4d8b-9148-e3be6c30e623}">
          <xlrd:rvb i="12835"/>
        </ext>
      </extLst>
    </bk>
    <bk>
      <extLst>
        <ext uri="{3e2802c4-a4d2-4d8b-9148-e3be6c30e623}">
          <xlrd:rvb i="12836"/>
        </ext>
      </extLst>
    </bk>
    <bk>
      <extLst>
        <ext uri="{3e2802c4-a4d2-4d8b-9148-e3be6c30e623}">
          <xlrd:rvb i="12837"/>
        </ext>
      </extLst>
    </bk>
    <bk>
      <extLst>
        <ext uri="{3e2802c4-a4d2-4d8b-9148-e3be6c30e623}">
          <xlrd:rvb i="12838"/>
        </ext>
      </extLst>
    </bk>
    <bk>
      <extLst>
        <ext uri="{3e2802c4-a4d2-4d8b-9148-e3be6c30e623}">
          <xlrd:rvb i="12839"/>
        </ext>
      </extLst>
    </bk>
    <bk>
      <extLst>
        <ext uri="{3e2802c4-a4d2-4d8b-9148-e3be6c30e623}">
          <xlrd:rvb i="12840"/>
        </ext>
      </extLst>
    </bk>
    <bk>
      <extLst>
        <ext uri="{3e2802c4-a4d2-4d8b-9148-e3be6c30e623}">
          <xlrd:rvb i="12841"/>
        </ext>
      </extLst>
    </bk>
    <bk>
      <extLst>
        <ext uri="{3e2802c4-a4d2-4d8b-9148-e3be6c30e623}">
          <xlrd:rvb i="12842"/>
        </ext>
      </extLst>
    </bk>
    <bk>
      <extLst>
        <ext uri="{3e2802c4-a4d2-4d8b-9148-e3be6c30e623}">
          <xlrd:rvb i="12843"/>
        </ext>
      </extLst>
    </bk>
    <bk>
      <extLst>
        <ext uri="{3e2802c4-a4d2-4d8b-9148-e3be6c30e623}">
          <xlrd:rvb i="12844"/>
        </ext>
      </extLst>
    </bk>
    <bk>
      <extLst>
        <ext uri="{3e2802c4-a4d2-4d8b-9148-e3be6c30e623}">
          <xlrd:rvb i="12845"/>
        </ext>
      </extLst>
    </bk>
    <bk>
      <extLst>
        <ext uri="{3e2802c4-a4d2-4d8b-9148-e3be6c30e623}">
          <xlrd:rvb i="12846"/>
        </ext>
      </extLst>
    </bk>
    <bk>
      <extLst>
        <ext uri="{3e2802c4-a4d2-4d8b-9148-e3be6c30e623}">
          <xlrd:rvb i="12847"/>
        </ext>
      </extLst>
    </bk>
    <bk>
      <extLst>
        <ext uri="{3e2802c4-a4d2-4d8b-9148-e3be6c30e623}">
          <xlrd:rvb i="12848"/>
        </ext>
      </extLst>
    </bk>
    <bk>
      <extLst>
        <ext uri="{3e2802c4-a4d2-4d8b-9148-e3be6c30e623}">
          <xlrd:rvb i="12849"/>
        </ext>
      </extLst>
    </bk>
    <bk>
      <extLst>
        <ext uri="{3e2802c4-a4d2-4d8b-9148-e3be6c30e623}">
          <xlrd:rvb i="12850"/>
        </ext>
      </extLst>
    </bk>
    <bk>
      <extLst>
        <ext uri="{3e2802c4-a4d2-4d8b-9148-e3be6c30e623}">
          <xlrd:rvb i="12851"/>
        </ext>
      </extLst>
    </bk>
    <bk>
      <extLst>
        <ext uri="{3e2802c4-a4d2-4d8b-9148-e3be6c30e623}">
          <xlrd:rvb i="12852"/>
        </ext>
      </extLst>
    </bk>
    <bk>
      <extLst>
        <ext uri="{3e2802c4-a4d2-4d8b-9148-e3be6c30e623}">
          <xlrd:rvb i="12853"/>
        </ext>
      </extLst>
    </bk>
    <bk>
      <extLst>
        <ext uri="{3e2802c4-a4d2-4d8b-9148-e3be6c30e623}">
          <xlrd:rvb i="12854"/>
        </ext>
      </extLst>
    </bk>
    <bk>
      <extLst>
        <ext uri="{3e2802c4-a4d2-4d8b-9148-e3be6c30e623}">
          <xlrd:rvb i="12855"/>
        </ext>
      </extLst>
    </bk>
    <bk>
      <extLst>
        <ext uri="{3e2802c4-a4d2-4d8b-9148-e3be6c30e623}">
          <xlrd:rvb i="12856"/>
        </ext>
      </extLst>
    </bk>
    <bk>
      <extLst>
        <ext uri="{3e2802c4-a4d2-4d8b-9148-e3be6c30e623}">
          <xlrd:rvb i="12857"/>
        </ext>
      </extLst>
    </bk>
    <bk>
      <extLst>
        <ext uri="{3e2802c4-a4d2-4d8b-9148-e3be6c30e623}">
          <xlrd:rvb i="12858"/>
        </ext>
      </extLst>
    </bk>
    <bk>
      <extLst>
        <ext uri="{3e2802c4-a4d2-4d8b-9148-e3be6c30e623}">
          <xlrd:rvb i="12859"/>
        </ext>
      </extLst>
    </bk>
    <bk>
      <extLst>
        <ext uri="{3e2802c4-a4d2-4d8b-9148-e3be6c30e623}">
          <xlrd:rvb i="12860"/>
        </ext>
      </extLst>
    </bk>
    <bk>
      <extLst>
        <ext uri="{3e2802c4-a4d2-4d8b-9148-e3be6c30e623}">
          <xlrd:rvb i="12861"/>
        </ext>
      </extLst>
    </bk>
    <bk>
      <extLst>
        <ext uri="{3e2802c4-a4d2-4d8b-9148-e3be6c30e623}">
          <xlrd:rvb i="12862"/>
        </ext>
      </extLst>
    </bk>
    <bk>
      <extLst>
        <ext uri="{3e2802c4-a4d2-4d8b-9148-e3be6c30e623}">
          <xlrd:rvb i="12863"/>
        </ext>
      </extLst>
    </bk>
    <bk>
      <extLst>
        <ext uri="{3e2802c4-a4d2-4d8b-9148-e3be6c30e623}">
          <xlrd:rvb i="12864"/>
        </ext>
      </extLst>
    </bk>
    <bk>
      <extLst>
        <ext uri="{3e2802c4-a4d2-4d8b-9148-e3be6c30e623}">
          <xlrd:rvb i="12865"/>
        </ext>
      </extLst>
    </bk>
    <bk>
      <extLst>
        <ext uri="{3e2802c4-a4d2-4d8b-9148-e3be6c30e623}">
          <xlrd:rvb i="12866"/>
        </ext>
      </extLst>
    </bk>
    <bk>
      <extLst>
        <ext uri="{3e2802c4-a4d2-4d8b-9148-e3be6c30e623}">
          <xlrd:rvb i="12867"/>
        </ext>
      </extLst>
    </bk>
    <bk>
      <extLst>
        <ext uri="{3e2802c4-a4d2-4d8b-9148-e3be6c30e623}">
          <xlrd:rvb i="12868"/>
        </ext>
      </extLst>
    </bk>
    <bk>
      <extLst>
        <ext uri="{3e2802c4-a4d2-4d8b-9148-e3be6c30e623}">
          <xlrd:rvb i="12869"/>
        </ext>
      </extLst>
    </bk>
    <bk>
      <extLst>
        <ext uri="{3e2802c4-a4d2-4d8b-9148-e3be6c30e623}">
          <xlrd:rvb i="12870"/>
        </ext>
      </extLst>
    </bk>
    <bk>
      <extLst>
        <ext uri="{3e2802c4-a4d2-4d8b-9148-e3be6c30e623}">
          <xlrd:rvb i="12871"/>
        </ext>
      </extLst>
    </bk>
    <bk>
      <extLst>
        <ext uri="{3e2802c4-a4d2-4d8b-9148-e3be6c30e623}">
          <xlrd:rvb i="12872"/>
        </ext>
      </extLst>
    </bk>
    <bk>
      <extLst>
        <ext uri="{3e2802c4-a4d2-4d8b-9148-e3be6c30e623}">
          <xlrd:rvb i="12873"/>
        </ext>
      </extLst>
    </bk>
    <bk>
      <extLst>
        <ext uri="{3e2802c4-a4d2-4d8b-9148-e3be6c30e623}">
          <xlrd:rvb i="12874"/>
        </ext>
      </extLst>
    </bk>
    <bk>
      <extLst>
        <ext uri="{3e2802c4-a4d2-4d8b-9148-e3be6c30e623}">
          <xlrd:rvb i="12875"/>
        </ext>
      </extLst>
    </bk>
    <bk>
      <extLst>
        <ext uri="{3e2802c4-a4d2-4d8b-9148-e3be6c30e623}">
          <xlrd:rvb i="12876"/>
        </ext>
      </extLst>
    </bk>
    <bk>
      <extLst>
        <ext uri="{3e2802c4-a4d2-4d8b-9148-e3be6c30e623}">
          <xlrd:rvb i="12877"/>
        </ext>
      </extLst>
    </bk>
    <bk>
      <extLst>
        <ext uri="{3e2802c4-a4d2-4d8b-9148-e3be6c30e623}">
          <xlrd:rvb i="12878"/>
        </ext>
      </extLst>
    </bk>
    <bk>
      <extLst>
        <ext uri="{3e2802c4-a4d2-4d8b-9148-e3be6c30e623}">
          <xlrd:rvb i="12879"/>
        </ext>
      </extLst>
    </bk>
    <bk>
      <extLst>
        <ext uri="{3e2802c4-a4d2-4d8b-9148-e3be6c30e623}">
          <xlrd:rvb i="12880"/>
        </ext>
      </extLst>
    </bk>
    <bk>
      <extLst>
        <ext uri="{3e2802c4-a4d2-4d8b-9148-e3be6c30e623}">
          <xlrd:rvb i="12881"/>
        </ext>
      </extLst>
    </bk>
    <bk>
      <extLst>
        <ext uri="{3e2802c4-a4d2-4d8b-9148-e3be6c30e623}">
          <xlrd:rvb i="12882"/>
        </ext>
      </extLst>
    </bk>
    <bk>
      <extLst>
        <ext uri="{3e2802c4-a4d2-4d8b-9148-e3be6c30e623}">
          <xlrd:rvb i="12883"/>
        </ext>
      </extLst>
    </bk>
    <bk>
      <extLst>
        <ext uri="{3e2802c4-a4d2-4d8b-9148-e3be6c30e623}">
          <xlrd:rvb i="12884"/>
        </ext>
      </extLst>
    </bk>
    <bk>
      <extLst>
        <ext uri="{3e2802c4-a4d2-4d8b-9148-e3be6c30e623}">
          <xlrd:rvb i="12885"/>
        </ext>
      </extLst>
    </bk>
    <bk>
      <extLst>
        <ext uri="{3e2802c4-a4d2-4d8b-9148-e3be6c30e623}">
          <xlrd:rvb i="12886"/>
        </ext>
      </extLst>
    </bk>
    <bk>
      <extLst>
        <ext uri="{3e2802c4-a4d2-4d8b-9148-e3be6c30e623}">
          <xlrd:rvb i="12887"/>
        </ext>
      </extLst>
    </bk>
    <bk>
      <extLst>
        <ext uri="{3e2802c4-a4d2-4d8b-9148-e3be6c30e623}">
          <xlrd:rvb i="12888"/>
        </ext>
      </extLst>
    </bk>
    <bk>
      <extLst>
        <ext uri="{3e2802c4-a4d2-4d8b-9148-e3be6c30e623}">
          <xlrd:rvb i="12889"/>
        </ext>
      </extLst>
    </bk>
    <bk>
      <extLst>
        <ext uri="{3e2802c4-a4d2-4d8b-9148-e3be6c30e623}">
          <xlrd:rvb i="12890"/>
        </ext>
      </extLst>
    </bk>
    <bk>
      <extLst>
        <ext uri="{3e2802c4-a4d2-4d8b-9148-e3be6c30e623}">
          <xlrd:rvb i="12891"/>
        </ext>
      </extLst>
    </bk>
    <bk>
      <extLst>
        <ext uri="{3e2802c4-a4d2-4d8b-9148-e3be6c30e623}">
          <xlrd:rvb i="12892"/>
        </ext>
      </extLst>
    </bk>
    <bk>
      <extLst>
        <ext uri="{3e2802c4-a4d2-4d8b-9148-e3be6c30e623}">
          <xlrd:rvb i="12893"/>
        </ext>
      </extLst>
    </bk>
    <bk>
      <extLst>
        <ext uri="{3e2802c4-a4d2-4d8b-9148-e3be6c30e623}">
          <xlrd:rvb i="12894"/>
        </ext>
      </extLst>
    </bk>
    <bk>
      <extLst>
        <ext uri="{3e2802c4-a4d2-4d8b-9148-e3be6c30e623}">
          <xlrd:rvb i="12895"/>
        </ext>
      </extLst>
    </bk>
    <bk>
      <extLst>
        <ext uri="{3e2802c4-a4d2-4d8b-9148-e3be6c30e623}">
          <xlrd:rvb i="12896"/>
        </ext>
      </extLst>
    </bk>
    <bk>
      <extLst>
        <ext uri="{3e2802c4-a4d2-4d8b-9148-e3be6c30e623}">
          <xlrd:rvb i="12897"/>
        </ext>
      </extLst>
    </bk>
    <bk>
      <extLst>
        <ext uri="{3e2802c4-a4d2-4d8b-9148-e3be6c30e623}">
          <xlrd:rvb i="12898"/>
        </ext>
      </extLst>
    </bk>
    <bk>
      <extLst>
        <ext uri="{3e2802c4-a4d2-4d8b-9148-e3be6c30e623}">
          <xlrd:rvb i="12899"/>
        </ext>
      </extLst>
    </bk>
    <bk>
      <extLst>
        <ext uri="{3e2802c4-a4d2-4d8b-9148-e3be6c30e623}">
          <xlrd:rvb i="12900"/>
        </ext>
      </extLst>
    </bk>
    <bk>
      <extLst>
        <ext uri="{3e2802c4-a4d2-4d8b-9148-e3be6c30e623}">
          <xlrd:rvb i="12901"/>
        </ext>
      </extLst>
    </bk>
    <bk>
      <extLst>
        <ext uri="{3e2802c4-a4d2-4d8b-9148-e3be6c30e623}">
          <xlrd:rvb i="12902"/>
        </ext>
      </extLst>
    </bk>
    <bk>
      <extLst>
        <ext uri="{3e2802c4-a4d2-4d8b-9148-e3be6c30e623}">
          <xlrd:rvb i="12903"/>
        </ext>
      </extLst>
    </bk>
    <bk>
      <extLst>
        <ext uri="{3e2802c4-a4d2-4d8b-9148-e3be6c30e623}">
          <xlrd:rvb i="12904"/>
        </ext>
      </extLst>
    </bk>
    <bk>
      <extLst>
        <ext uri="{3e2802c4-a4d2-4d8b-9148-e3be6c30e623}">
          <xlrd:rvb i="12905"/>
        </ext>
      </extLst>
    </bk>
    <bk>
      <extLst>
        <ext uri="{3e2802c4-a4d2-4d8b-9148-e3be6c30e623}">
          <xlrd:rvb i="12906"/>
        </ext>
      </extLst>
    </bk>
    <bk>
      <extLst>
        <ext uri="{3e2802c4-a4d2-4d8b-9148-e3be6c30e623}">
          <xlrd:rvb i="12907"/>
        </ext>
      </extLst>
    </bk>
    <bk>
      <extLst>
        <ext uri="{3e2802c4-a4d2-4d8b-9148-e3be6c30e623}">
          <xlrd:rvb i="12908"/>
        </ext>
      </extLst>
    </bk>
    <bk>
      <extLst>
        <ext uri="{3e2802c4-a4d2-4d8b-9148-e3be6c30e623}">
          <xlrd:rvb i="12909"/>
        </ext>
      </extLst>
    </bk>
    <bk>
      <extLst>
        <ext uri="{3e2802c4-a4d2-4d8b-9148-e3be6c30e623}">
          <xlrd:rvb i="12910"/>
        </ext>
      </extLst>
    </bk>
    <bk>
      <extLst>
        <ext uri="{3e2802c4-a4d2-4d8b-9148-e3be6c30e623}">
          <xlrd:rvb i="12911"/>
        </ext>
      </extLst>
    </bk>
    <bk>
      <extLst>
        <ext uri="{3e2802c4-a4d2-4d8b-9148-e3be6c30e623}">
          <xlrd:rvb i="12912"/>
        </ext>
      </extLst>
    </bk>
    <bk>
      <extLst>
        <ext uri="{3e2802c4-a4d2-4d8b-9148-e3be6c30e623}">
          <xlrd:rvb i="12913"/>
        </ext>
      </extLst>
    </bk>
    <bk>
      <extLst>
        <ext uri="{3e2802c4-a4d2-4d8b-9148-e3be6c30e623}">
          <xlrd:rvb i="12914"/>
        </ext>
      </extLst>
    </bk>
    <bk>
      <extLst>
        <ext uri="{3e2802c4-a4d2-4d8b-9148-e3be6c30e623}">
          <xlrd:rvb i="12915"/>
        </ext>
      </extLst>
    </bk>
    <bk>
      <extLst>
        <ext uri="{3e2802c4-a4d2-4d8b-9148-e3be6c30e623}">
          <xlrd:rvb i="12916"/>
        </ext>
      </extLst>
    </bk>
    <bk>
      <extLst>
        <ext uri="{3e2802c4-a4d2-4d8b-9148-e3be6c30e623}">
          <xlrd:rvb i="12917"/>
        </ext>
      </extLst>
    </bk>
    <bk>
      <extLst>
        <ext uri="{3e2802c4-a4d2-4d8b-9148-e3be6c30e623}">
          <xlrd:rvb i="12918"/>
        </ext>
      </extLst>
    </bk>
    <bk>
      <extLst>
        <ext uri="{3e2802c4-a4d2-4d8b-9148-e3be6c30e623}">
          <xlrd:rvb i="12919"/>
        </ext>
      </extLst>
    </bk>
    <bk>
      <extLst>
        <ext uri="{3e2802c4-a4d2-4d8b-9148-e3be6c30e623}">
          <xlrd:rvb i="12920"/>
        </ext>
      </extLst>
    </bk>
    <bk>
      <extLst>
        <ext uri="{3e2802c4-a4d2-4d8b-9148-e3be6c30e623}">
          <xlrd:rvb i="12921"/>
        </ext>
      </extLst>
    </bk>
    <bk>
      <extLst>
        <ext uri="{3e2802c4-a4d2-4d8b-9148-e3be6c30e623}">
          <xlrd:rvb i="12922"/>
        </ext>
      </extLst>
    </bk>
    <bk>
      <extLst>
        <ext uri="{3e2802c4-a4d2-4d8b-9148-e3be6c30e623}">
          <xlrd:rvb i="12923"/>
        </ext>
      </extLst>
    </bk>
    <bk>
      <extLst>
        <ext uri="{3e2802c4-a4d2-4d8b-9148-e3be6c30e623}">
          <xlrd:rvb i="12924"/>
        </ext>
      </extLst>
    </bk>
    <bk>
      <extLst>
        <ext uri="{3e2802c4-a4d2-4d8b-9148-e3be6c30e623}">
          <xlrd:rvb i="12925"/>
        </ext>
      </extLst>
    </bk>
    <bk>
      <extLst>
        <ext uri="{3e2802c4-a4d2-4d8b-9148-e3be6c30e623}">
          <xlrd:rvb i="12926"/>
        </ext>
      </extLst>
    </bk>
    <bk>
      <extLst>
        <ext uri="{3e2802c4-a4d2-4d8b-9148-e3be6c30e623}">
          <xlrd:rvb i="12927"/>
        </ext>
      </extLst>
    </bk>
    <bk>
      <extLst>
        <ext uri="{3e2802c4-a4d2-4d8b-9148-e3be6c30e623}">
          <xlrd:rvb i="12928"/>
        </ext>
      </extLst>
    </bk>
    <bk>
      <extLst>
        <ext uri="{3e2802c4-a4d2-4d8b-9148-e3be6c30e623}">
          <xlrd:rvb i="12929"/>
        </ext>
      </extLst>
    </bk>
    <bk>
      <extLst>
        <ext uri="{3e2802c4-a4d2-4d8b-9148-e3be6c30e623}">
          <xlrd:rvb i="12930"/>
        </ext>
      </extLst>
    </bk>
    <bk>
      <extLst>
        <ext uri="{3e2802c4-a4d2-4d8b-9148-e3be6c30e623}">
          <xlrd:rvb i="12931"/>
        </ext>
      </extLst>
    </bk>
    <bk>
      <extLst>
        <ext uri="{3e2802c4-a4d2-4d8b-9148-e3be6c30e623}">
          <xlrd:rvb i="12932"/>
        </ext>
      </extLst>
    </bk>
    <bk>
      <extLst>
        <ext uri="{3e2802c4-a4d2-4d8b-9148-e3be6c30e623}">
          <xlrd:rvb i="12933"/>
        </ext>
      </extLst>
    </bk>
    <bk>
      <extLst>
        <ext uri="{3e2802c4-a4d2-4d8b-9148-e3be6c30e623}">
          <xlrd:rvb i="12934"/>
        </ext>
      </extLst>
    </bk>
    <bk>
      <extLst>
        <ext uri="{3e2802c4-a4d2-4d8b-9148-e3be6c30e623}">
          <xlrd:rvb i="12935"/>
        </ext>
      </extLst>
    </bk>
    <bk>
      <extLst>
        <ext uri="{3e2802c4-a4d2-4d8b-9148-e3be6c30e623}">
          <xlrd:rvb i="12936"/>
        </ext>
      </extLst>
    </bk>
    <bk>
      <extLst>
        <ext uri="{3e2802c4-a4d2-4d8b-9148-e3be6c30e623}">
          <xlrd:rvb i="12937"/>
        </ext>
      </extLst>
    </bk>
    <bk>
      <extLst>
        <ext uri="{3e2802c4-a4d2-4d8b-9148-e3be6c30e623}">
          <xlrd:rvb i="12938"/>
        </ext>
      </extLst>
    </bk>
    <bk>
      <extLst>
        <ext uri="{3e2802c4-a4d2-4d8b-9148-e3be6c30e623}">
          <xlrd:rvb i="12939"/>
        </ext>
      </extLst>
    </bk>
    <bk>
      <extLst>
        <ext uri="{3e2802c4-a4d2-4d8b-9148-e3be6c30e623}">
          <xlrd:rvb i="12940"/>
        </ext>
      </extLst>
    </bk>
    <bk>
      <extLst>
        <ext uri="{3e2802c4-a4d2-4d8b-9148-e3be6c30e623}">
          <xlrd:rvb i="12941"/>
        </ext>
      </extLst>
    </bk>
    <bk>
      <extLst>
        <ext uri="{3e2802c4-a4d2-4d8b-9148-e3be6c30e623}">
          <xlrd:rvb i="12942"/>
        </ext>
      </extLst>
    </bk>
    <bk>
      <extLst>
        <ext uri="{3e2802c4-a4d2-4d8b-9148-e3be6c30e623}">
          <xlrd:rvb i="12943"/>
        </ext>
      </extLst>
    </bk>
    <bk>
      <extLst>
        <ext uri="{3e2802c4-a4d2-4d8b-9148-e3be6c30e623}">
          <xlrd:rvb i="12944"/>
        </ext>
      </extLst>
    </bk>
    <bk>
      <extLst>
        <ext uri="{3e2802c4-a4d2-4d8b-9148-e3be6c30e623}">
          <xlrd:rvb i="12945"/>
        </ext>
      </extLst>
    </bk>
    <bk>
      <extLst>
        <ext uri="{3e2802c4-a4d2-4d8b-9148-e3be6c30e623}">
          <xlrd:rvb i="12946"/>
        </ext>
      </extLst>
    </bk>
    <bk>
      <extLst>
        <ext uri="{3e2802c4-a4d2-4d8b-9148-e3be6c30e623}">
          <xlrd:rvb i="12947"/>
        </ext>
      </extLst>
    </bk>
    <bk>
      <extLst>
        <ext uri="{3e2802c4-a4d2-4d8b-9148-e3be6c30e623}">
          <xlrd:rvb i="12948"/>
        </ext>
      </extLst>
    </bk>
    <bk>
      <extLst>
        <ext uri="{3e2802c4-a4d2-4d8b-9148-e3be6c30e623}">
          <xlrd:rvb i="12949"/>
        </ext>
      </extLst>
    </bk>
    <bk>
      <extLst>
        <ext uri="{3e2802c4-a4d2-4d8b-9148-e3be6c30e623}">
          <xlrd:rvb i="12950"/>
        </ext>
      </extLst>
    </bk>
    <bk>
      <extLst>
        <ext uri="{3e2802c4-a4d2-4d8b-9148-e3be6c30e623}">
          <xlrd:rvb i="12951"/>
        </ext>
      </extLst>
    </bk>
    <bk>
      <extLst>
        <ext uri="{3e2802c4-a4d2-4d8b-9148-e3be6c30e623}">
          <xlrd:rvb i="12952"/>
        </ext>
      </extLst>
    </bk>
    <bk>
      <extLst>
        <ext uri="{3e2802c4-a4d2-4d8b-9148-e3be6c30e623}">
          <xlrd:rvb i="12953"/>
        </ext>
      </extLst>
    </bk>
    <bk>
      <extLst>
        <ext uri="{3e2802c4-a4d2-4d8b-9148-e3be6c30e623}">
          <xlrd:rvb i="12954"/>
        </ext>
      </extLst>
    </bk>
    <bk>
      <extLst>
        <ext uri="{3e2802c4-a4d2-4d8b-9148-e3be6c30e623}">
          <xlrd:rvb i="12955"/>
        </ext>
      </extLst>
    </bk>
    <bk>
      <extLst>
        <ext uri="{3e2802c4-a4d2-4d8b-9148-e3be6c30e623}">
          <xlrd:rvb i="12956"/>
        </ext>
      </extLst>
    </bk>
    <bk>
      <extLst>
        <ext uri="{3e2802c4-a4d2-4d8b-9148-e3be6c30e623}">
          <xlrd:rvb i="12957"/>
        </ext>
      </extLst>
    </bk>
    <bk>
      <extLst>
        <ext uri="{3e2802c4-a4d2-4d8b-9148-e3be6c30e623}">
          <xlrd:rvb i="12958"/>
        </ext>
      </extLst>
    </bk>
    <bk>
      <extLst>
        <ext uri="{3e2802c4-a4d2-4d8b-9148-e3be6c30e623}">
          <xlrd:rvb i="12959"/>
        </ext>
      </extLst>
    </bk>
    <bk>
      <extLst>
        <ext uri="{3e2802c4-a4d2-4d8b-9148-e3be6c30e623}">
          <xlrd:rvb i="12960"/>
        </ext>
      </extLst>
    </bk>
    <bk>
      <extLst>
        <ext uri="{3e2802c4-a4d2-4d8b-9148-e3be6c30e623}">
          <xlrd:rvb i="12961"/>
        </ext>
      </extLst>
    </bk>
    <bk>
      <extLst>
        <ext uri="{3e2802c4-a4d2-4d8b-9148-e3be6c30e623}">
          <xlrd:rvb i="12962"/>
        </ext>
      </extLst>
    </bk>
    <bk>
      <extLst>
        <ext uri="{3e2802c4-a4d2-4d8b-9148-e3be6c30e623}">
          <xlrd:rvb i="12963"/>
        </ext>
      </extLst>
    </bk>
    <bk>
      <extLst>
        <ext uri="{3e2802c4-a4d2-4d8b-9148-e3be6c30e623}">
          <xlrd:rvb i="12964"/>
        </ext>
      </extLst>
    </bk>
    <bk>
      <extLst>
        <ext uri="{3e2802c4-a4d2-4d8b-9148-e3be6c30e623}">
          <xlrd:rvb i="12965"/>
        </ext>
      </extLst>
    </bk>
    <bk>
      <extLst>
        <ext uri="{3e2802c4-a4d2-4d8b-9148-e3be6c30e623}">
          <xlrd:rvb i="12966"/>
        </ext>
      </extLst>
    </bk>
    <bk>
      <extLst>
        <ext uri="{3e2802c4-a4d2-4d8b-9148-e3be6c30e623}">
          <xlrd:rvb i="12967"/>
        </ext>
      </extLst>
    </bk>
    <bk>
      <extLst>
        <ext uri="{3e2802c4-a4d2-4d8b-9148-e3be6c30e623}">
          <xlrd:rvb i="12968"/>
        </ext>
      </extLst>
    </bk>
    <bk>
      <extLst>
        <ext uri="{3e2802c4-a4d2-4d8b-9148-e3be6c30e623}">
          <xlrd:rvb i="12969"/>
        </ext>
      </extLst>
    </bk>
    <bk>
      <extLst>
        <ext uri="{3e2802c4-a4d2-4d8b-9148-e3be6c30e623}">
          <xlrd:rvb i="12970"/>
        </ext>
      </extLst>
    </bk>
    <bk>
      <extLst>
        <ext uri="{3e2802c4-a4d2-4d8b-9148-e3be6c30e623}">
          <xlrd:rvb i="12971"/>
        </ext>
      </extLst>
    </bk>
    <bk>
      <extLst>
        <ext uri="{3e2802c4-a4d2-4d8b-9148-e3be6c30e623}">
          <xlrd:rvb i="12972"/>
        </ext>
      </extLst>
    </bk>
    <bk>
      <extLst>
        <ext uri="{3e2802c4-a4d2-4d8b-9148-e3be6c30e623}">
          <xlrd:rvb i="12973"/>
        </ext>
      </extLst>
    </bk>
    <bk>
      <extLst>
        <ext uri="{3e2802c4-a4d2-4d8b-9148-e3be6c30e623}">
          <xlrd:rvb i="12974"/>
        </ext>
      </extLst>
    </bk>
    <bk>
      <extLst>
        <ext uri="{3e2802c4-a4d2-4d8b-9148-e3be6c30e623}">
          <xlrd:rvb i="12975"/>
        </ext>
      </extLst>
    </bk>
    <bk>
      <extLst>
        <ext uri="{3e2802c4-a4d2-4d8b-9148-e3be6c30e623}">
          <xlrd:rvb i="12976"/>
        </ext>
      </extLst>
    </bk>
    <bk>
      <extLst>
        <ext uri="{3e2802c4-a4d2-4d8b-9148-e3be6c30e623}">
          <xlrd:rvb i="12977"/>
        </ext>
      </extLst>
    </bk>
    <bk>
      <extLst>
        <ext uri="{3e2802c4-a4d2-4d8b-9148-e3be6c30e623}">
          <xlrd:rvb i="12978"/>
        </ext>
      </extLst>
    </bk>
    <bk>
      <extLst>
        <ext uri="{3e2802c4-a4d2-4d8b-9148-e3be6c30e623}">
          <xlrd:rvb i="12979"/>
        </ext>
      </extLst>
    </bk>
    <bk>
      <extLst>
        <ext uri="{3e2802c4-a4d2-4d8b-9148-e3be6c30e623}">
          <xlrd:rvb i="12980"/>
        </ext>
      </extLst>
    </bk>
    <bk>
      <extLst>
        <ext uri="{3e2802c4-a4d2-4d8b-9148-e3be6c30e623}">
          <xlrd:rvb i="12981"/>
        </ext>
      </extLst>
    </bk>
    <bk>
      <extLst>
        <ext uri="{3e2802c4-a4d2-4d8b-9148-e3be6c30e623}">
          <xlrd:rvb i="12982"/>
        </ext>
      </extLst>
    </bk>
    <bk>
      <extLst>
        <ext uri="{3e2802c4-a4d2-4d8b-9148-e3be6c30e623}">
          <xlrd:rvb i="12983"/>
        </ext>
      </extLst>
    </bk>
    <bk>
      <extLst>
        <ext uri="{3e2802c4-a4d2-4d8b-9148-e3be6c30e623}">
          <xlrd:rvb i="12984"/>
        </ext>
      </extLst>
    </bk>
    <bk>
      <extLst>
        <ext uri="{3e2802c4-a4d2-4d8b-9148-e3be6c30e623}">
          <xlrd:rvb i="12985"/>
        </ext>
      </extLst>
    </bk>
    <bk>
      <extLst>
        <ext uri="{3e2802c4-a4d2-4d8b-9148-e3be6c30e623}">
          <xlrd:rvb i="12986"/>
        </ext>
      </extLst>
    </bk>
    <bk>
      <extLst>
        <ext uri="{3e2802c4-a4d2-4d8b-9148-e3be6c30e623}">
          <xlrd:rvb i="12987"/>
        </ext>
      </extLst>
    </bk>
    <bk>
      <extLst>
        <ext uri="{3e2802c4-a4d2-4d8b-9148-e3be6c30e623}">
          <xlrd:rvb i="12988"/>
        </ext>
      </extLst>
    </bk>
    <bk>
      <extLst>
        <ext uri="{3e2802c4-a4d2-4d8b-9148-e3be6c30e623}">
          <xlrd:rvb i="12989"/>
        </ext>
      </extLst>
    </bk>
    <bk>
      <extLst>
        <ext uri="{3e2802c4-a4d2-4d8b-9148-e3be6c30e623}">
          <xlrd:rvb i="12990"/>
        </ext>
      </extLst>
    </bk>
    <bk>
      <extLst>
        <ext uri="{3e2802c4-a4d2-4d8b-9148-e3be6c30e623}">
          <xlrd:rvb i="12991"/>
        </ext>
      </extLst>
    </bk>
    <bk>
      <extLst>
        <ext uri="{3e2802c4-a4d2-4d8b-9148-e3be6c30e623}">
          <xlrd:rvb i="12992"/>
        </ext>
      </extLst>
    </bk>
    <bk>
      <extLst>
        <ext uri="{3e2802c4-a4d2-4d8b-9148-e3be6c30e623}">
          <xlrd:rvb i="12993"/>
        </ext>
      </extLst>
    </bk>
    <bk>
      <extLst>
        <ext uri="{3e2802c4-a4d2-4d8b-9148-e3be6c30e623}">
          <xlrd:rvb i="12994"/>
        </ext>
      </extLst>
    </bk>
    <bk>
      <extLst>
        <ext uri="{3e2802c4-a4d2-4d8b-9148-e3be6c30e623}">
          <xlrd:rvb i="12995"/>
        </ext>
      </extLst>
    </bk>
    <bk>
      <extLst>
        <ext uri="{3e2802c4-a4d2-4d8b-9148-e3be6c30e623}">
          <xlrd:rvb i="12996"/>
        </ext>
      </extLst>
    </bk>
    <bk>
      <extLst>
        <ext uri="{3e2802c4-a4d2-4d8b-9148-e3be6c30e623}">
          <xlrd:rvb i="12997"/>
        </ext>
      </extLst>
    </bk>
    <bk>
      <extLst>
        <ext uri="{3e2802c4-a4d2-4d8b-9148-e3be6c30e623}">
          <xlrd:rvb i="12998"/>
        </ext>
      </extLst>
    </bk>
    <bk>
      <extLst>
        <ext uri="{3e2802c4-a4d2-4d8b-9148-e3be6c30e623}">
          <xlrd:rvb i="12999"/>
        </ext>
      </extLst>
    </bk>
    <bk>
      <extLst>
        <ext uri="{3e2802c4-a4d2-4d8b-9148-e3be6c30e623}">
          <xlrd:rvb i="13000"/>
        </ext>
      </extLst>
    </bk>
    <bk>
      <extLst>
        <ext uri="{3e2802c4-a4d2-4d8b-9148-e3be6c30e623}">
          <xlrd:rvb i="13001"/>
        </ext>
      </extLst>
    </bk>
    <bk>
      <extLst>
        <ext uri="{3e2802c4-a4d2-4d8b-9148-e3be6c30e623}">
          <xlrd:rvb i="13002"/>
        </ext>
      </extLst>
    </bk>
    <bk>
      <extLst>
        <ext uri="{3e2802c4-a4d2-4d8b-9148-e3be6c30e623}">
          <xlrd:rvb i="13003"/>
        </ext>
      </extLst>
    </bk>
    <bk>
      <extLst>
        <ext uri="{3e2802c4-a4d2-4d8b-9148-e3be6c30e623}">
          <xlrd:rvb i="13004"/>
        </ext>
      </extLst>
    </bk>
    <bk>
      <extLst>
        <ext uri="{3e2802c4-a4d2-4d8b-9148-e3be6c30e623}">
          <xlrd:rvb i="13005"/>
        </ext>
      </extLst>
    </bk>
    <bk>
      <extLst>
        <ext uri="{3e2802c4-a4d2-4d8b-9148-e3be6c30e623}">
          <xlrd:rvb i="13006"/>
        </ext>
      </extLst>
    </bk>
    <bk>
      <extLst>
        <ext uri="{3e2802c4-a4d2-4d8b-9148-e3be6c30e623}">
          <xlrd:rvb i="13007"/>
        </ext>
      </extLst>
    </bk>
    <bk>
      <extLst>
        <ext uri="{3e2802c4-a4d2-4d8b-9148-e3be6c30e623}">
          <xlrd:rvb i="13008"/>
        </ext>
      </extLst>
    </bk>
    <bk>
      <extLst>
        <ext uri="{3e2802c4-a4d2-4d8b-9148-e3be6c30e623}">
          <xlrd:rvb i="13009"/>
        </ext>
      </extLst>
    </bk>
    <bk>
      <extLst>
        <ext uri="{3e2802c4-a4d2-4d8b-9148-e3be6c30e623}">
          <xlrd:rvb i="13010"/>
        </ext>
      </extLst>
    </bk>
    <bk>
      <extLst>
        <ext uri="{3e2802c4-a4d2-4d8b-9148-e3be6c30e623}">
          <xlrd:rvb i="13011"/>
        </ext>
      </extLst>
    </bk>
    <bk>
      <extLst>
        <ext uri="{3e2802c4-a4d2-4d8b-9148-e3be6c30e623}">
          <xlrd:rvb i="13012"/>
        </ext>
      </extLst>
    </bk>
    <bk>
      <extLst>
        <ext uri="{3e2802c4-a4d2-4d8b-9148-e3be6c30e623}">
          <xlrd:rvb i="13013"/>
        </ext>
      </extLst>
    </bk>
    <bk>
      <extLst>
        <ext uri="{3e2802c4-a4d2-4d8b-9148-e3be6c30e623}">
          <xlrd:rvb i="13014"/>
        </ext>
      </extLst>
    </bk>
    <bk>
      <extLst>
        <ext uri="{3e2802c4-a4d2-4d8b-9148-e3be6c30e623}">
          <xlrd:rvb i="13015"/>
        </ext>
      </extLst>
    </bk>
    <bk>
      <extLst>
        <ext uri="{3e2802c4-a4d2-4d8b-9148-e3be6c30e623}">
          <xlrd:rvb i="13016"/>
        </ext>
      </extLst>
    </bk>
    <bk>
      <extLst>
        <ext uri="{3e2802c4-a4d2-4d8b-9148-e3be6c30e623}">
          <xlrd:rvb i="13017"/>
        </ext>
      </extLst>
    </bk>
    <bk>
      <extLst>
        <ext uri="{3e2802c4-a4d2-4d8b-9148-e3be6c30e623}">
          <xlrd:rvb i="13018"/>
        </ext>
      </extLst>
    </bk>
    <bk>
      <extLst>
        <ext uri="{3e2802c4-a4d2-4d8b-9148-e3be6c30e623}">
          <xlrd:rvb i="13019"/>
        </ext>
      </extLst>
    </bk>
    <bk>
      <extLst>
        <ext uri="{3e2802c4-a4d2-4d8b-9148-e3be6c30e623}">
          <xlrd:rvb i="13020"/>
        </ext>
      </extLst>
    </bk>
    <bk>
      <extLst>
        <ext uri="{3e2802c4-a4d2-4d8b-9148-e3be6c30e623}">
          <xlrd:rvb i="13021"/>
        </ext>
      </extLst>
    </bk>
    <bk>
      <extLst>
        <ext uri="{3e2802c4-a4d2-4d8b-9148-e3be6c30e623}">
          <xlrd:rvb i="13022"/>
        </ext>
      </extLst>
    </bk>
    <bk>
      <extLst>
        <ext uri="{3e2802c4-a4d2-4d8b-9148-e3be6c30e623}">
          <xlrd:rvb i="13023"/>
        </ext>
      </extLst>
    </bk>
    <bk>
      <extLst>
        <ext uri="{3e2802c4-a4d2-4d8b-9148-e3be6c30e623}">
          <xlrd:rvb i="13024"/>
        </ext>
      </extLst>
    </bk>
    <bk>
      <extLst>
        <ext uri="{3e2802c4-a4d2-4d8b-9148-e3be6c30e623}">
          <xlrd:rvb i="13025"/>
        </ext>
      </extLst>
    </bk>
    <bk>
      <extLst>
        <ext uri="{3e2802c4-a4d2-4d8b-9148-e3be6c30e623}">
          <xlrd:rvb i="13026"/>
        </ext>
      </extLst>
    </bk>
    <bk>
      <extLst>
        <ext uri="{3e2802c4-a4d2-4d8b-9148-e3be6c30e623}">
          <xlrd:rvb i="13027"/>
        </ext>
      </extLst>
    </bk>
    <bk>
      <extLst>
        <ext uri="{3e2802c4-a4d2-4d8b-9148-e3be6c30e623}">
          <xlrd:rvb i="13028"/>
        </ext>
      </extLst>
    </bk>
    <bk>
      <extLst>
        <ext uri="{3e2802c4-a4d2-4d8b-9148-e3be6c30e623}">
          <xlrd:rvb i="13029"/>
        </ext>
      </extLst>
    </bk>
    <bk>
      <extLst>
        <ext uri="{3e2802c4-a4d2-4d8b-9148-e3be6c30e623}">
          <xlrd:rvb i="13030"/>
        </ext>
      </extLst>
    </bk>
    <bk>
      <extLst>
        <ext uri="{3e2802c4-a4d2-4d8b-9148-e3be6c30e623}">
          <xlrd:rvb i="13031"/>
        </ext>
      </extLst>
    </bk>
    <bk>
      <extLst>
        <ext uri="{3e2802c4-a4d2-4d8b-9148-e3be6c30e623}">
          <xlrd:rvb i="13032"/>
        </ext>
      </extLst>
    </bk>
    <bk>
      <extLst>
        <ext uri="{3e2802c4-a4d2-4d8b-9148-e3be6c30e623}">
          <xlrd:rvb i="13033"/>
        </ext>
      </extLst>
    </bk>
    <bk>
      <extLst>
        <ext uri="{3e2802c4-a4d2-4d8b-9148-e3be6c30e623}">
          <xlrd:rvb i="13034"/>
        </ext>
      </extLst>
    </bk>
    <bk>
      <extLst>
        <ext uri="{3e2802c4-a4d2-4d8b-9148-e3be6c30e623}">
          <xlrd:rvb i="13035"/>
        </ext>
      </extLst>
    </bk>
    <bk>
      <extLst>
        <ext uri="{3e2802c4-a4d2-4d8b-9148-e3be6c30e623}">
          <xlrd:rvb i="13036"/>
        </ext>
      </extLst>
    </bk>
    <bk>
      <extLst>
        <ext uri="{3e2802c4-a4d2-4d8b-9148-e3be6c30e623}">
          <xlrd:rvb i="13037"/>
        </ext>
      </extLst>
    </bk>
    <bk>
      <extLst>
        <ext uri="{3e2802c4-a4d2-4d8b-9148-e3be6c30e623}">
          <xlrd:rvb i="13038"/>
        </ext>
      </extLst>
    </bk>
    <bk>
      <extLst>
        <ext uri="{3e2802c4-a4d2-4d8b-9148-e3be6c30e623}">
          <xlrd:rvb i="13039"/>
        </ext>
      </extLst>
    </bk>
    <bk>
      <extLst>
        <ext uri="{3e2802c4-a4d2-4d8b-9148-e3be6c30e623}">
          <xlrd:rvb i="13040"/>
        </ext>
      </extLst>
    </bk>
    <bk>
      <extLst>
        <ext uri="{3e2802c4-a4d2-4d8b-9148-e3be6c30e623}">
          <xlrd:rvb i="13041"/>
        </ext>
      </extLst>
    </bk>
    <bk>
      <extLst>
        <ext uri="{3e2802c4-a4d2-4d8b-9148-e3be6c30e623}">
          <xlrd:rvb i="13042"/>
        </ext>
      </extLst>
    </bk>
    <bk>
      <extLst>
        <ext uri="{3e2802c4-a4d2-4d8b-9148-e3be6c30e623}">
          <xlrd:rvb i="13043"/>
        </ext>
      </extLst>
    </bk>
    <bk>
      <extLst>
        <ext uri="{3e2802c4-a4d2-4d8b-9148-e3be6c30e623}">
          <xlrd:rvb i="13044"/>
        </ext>
      </extLst>
    </bk>
    <bk>
      <extLst>
        <ext uri="{3e2802c4-a4d2-4d8b-9148-e3be6c30e623}">
          <xlrd:rvb i="13045"/>
        </ext>
      </extLst>
    </bk>
    <bk>
      <extLst>
        <ext uri="{3e2802c4-a4d2-4d8b-9148-e3be6c30e623}">
          <xlrd:rvb i="13046"/>
        </ext>
      </extLst>
    </bk>
    <bk>
      <extLst>
        <ext uri="{3e2802c4-a4d2-4d8b-9148-e3be6c30e623}">
          <xlrd:rvb i="13047"/>
        </ext>
      </extLst>
    </bk>
    <bk>
      <extLst>
        <ext uri="{3e2802c4-a4d2-4d8b-9148-e3be6c30e623}">
          <xlrd:rvb i="13048"/>
        </ext>
      </extLst>
    </bk>
    <bk>
      <extLst>
        <ext uri="{3e2802c4-a4d2-4d8b-9148-e3be6c30e623}">
          <xlrd:rvb i="13049"/>
        </ext>
      </extLst>
    </bk>
    <bk>
      <extLst>
        <ext uri="{3e2802c4-a4d2-4d8b-9148-e3be6c30e623}">
          <xlrd:rvb i="13050"/>
        </ext>
      </extLst>
    </bk>
    <bk>
      <extLst>
        <ext uri="{3e2802c4-a4d2-4d8b-9148-e3be6c30e623}">
          <xlrd:rvb i="13051"/>
        </ext>
      </extLst>
    </bk>
    <bk>
      <extLst>
        <ext uri="{3e2802c4-a4d2-4d8b-9148-e3be6c30e623}">
          <xlrd:rvb i="13052"/>
        </ext>
      </extLst>
    </bk>
    <bk>
      <extLst>
        <ext uri="{3e2802c4-a4d2-4d8b-9148-e3be6c30e623}">
          <xlrd:rvb i="13053"/>
        </ext>
      </extLst>
    </bk>
    <bk>
      <extLst>
        <ext uri="{3e2802c4-a4d2-4d8b-9148-e3be6c30e623}">
          <xlrd:rvb i="13054"/>
        </ext>
      </extLst>
    </bk>
    <bk>
      <extLst>
        <ext uri="{3e2802c4-a4d2-4d8b-9148-e3be6c30e623}">
          <xlrd:rvb i="13055"/>
        </ext>
      </extLst>
    </bk>
    <bk>
      <extLst>
        <ext uri="{3e2802c4-a4d2-4d8b-9148-e3be6c30e623}">
          <xlrd:rvb i="13056"/>
        </ext>
      </extLst>
    </bk>
    <bk>
      <extLst>
        <ext uri="{3e2802c4-a4d2-4d8b-9148-e3be6c30e623}">
          <xlrd:rvb i="13057"/>
        </ext>
      </extLst>
    </bk>
    <bk>
      <extLst>
        <ext uri="{3e2802c4-a4d2-4d8b-9148-e3be6c30e623}">
          <xlrd:rvb i="13058"/>
        </ext>
      </extLst>
    </bk>
    <bk>
      <extLst>
        <ext uri="{3e2802c4-a4d2-4d8b-9148-e3be6c30e623}">
          <xlrd:rvb i="13059"/>
        </ext>
      </extLst>
    </bk>
    <bk>
      <extLst>
        <ext uri="{3e2802c4-a4d2-4d8b-9148-e3be6c30e623}">
          <xlrd:rvb i="13060"/>
        </ext>
      </extLst>
    </bk>
    <bk>
      <extLst>
        <ext uri="{3e2802c4-a4d2-4d8b-9148-e3be6c30e623}">
          <xlrd:rvb i="13061"/>
        </ext>
      </extLst>
    </bk>
    <bk>
      <extLst>
        <ext uri="{3e2802c4-a4d2-4d8b-9148-e3be6c30e623}">
          <xlrd:rvb i="13062"/>
        </ext>
      </extLst>
    </bk>
    <bk>
      <extLst>
        <ext uri="{3e2802c4-a4d2-4d8b-9148-e3be6c30e623}">
          <xlrd:rvb i="13063"/>
        </ext>
      </extLst>
    </bk>
    <bk>
      <extLst>
        <ext uri="{3e2802c4-a4d2-4d8b-9148-e3be6c30e623}">
          <xlrd:rvb i="13064"/>
        </ext>
      </extLst>
    </bk>
    <bk>
      <extLst>
        <ext uri="{3e2802c4-a4d2-4d8b-9148-e3be6c30e623}">
          <xlrd:rvb i="13065"/>
        </ext>
      </extLst>
    </bk>
    <bk>
      <extLst>
        <ext uri="{3e2802c4-a4d2-4d8b-9148-e3be6c30e623}">
          <xlrd:rvb i="13066"/>
        </ext>
      </extLst>
    </bk>
    <bk>
      <extLst>
        <ext uri="{3e2802c4-a4d2-4d8b-9148-e3be6c30e623}">
          <xlrd:rvb i="13067"/>
        </ext>
      </extLst>
    </bk>
    <bk>
      <extLst>
        <ext uri="{3e2802c4-a4d2-4d8b-9148-e3be6c30e623}">
          <xlrd:rvb i="13068"/>
        </ext>
      </extLst>
    </bk>
    <bk>
      <extLst>
        <ext uri="{3e2802c4-a4d2-4d8b-9148-e3be6c30e623}">
          <xlrd:rvb i="13069"/>
        </ext>
      </extLst>
    </bk>
    <bk>
      <extLst>
        <ext uri="{3e2802c4-a4d2-4d8b-9148-e3be6c30e623}">
          <xlrd:rvb i="13070"/>
        </ext>
      </extLst>
    </bk>
    <bk>
      <extLst>
        <ext uri="{3e2802c4-a4d2-4d8b-9148-e3be6c30e623}">
          <xlrd:rvb i="13071"/>
        </ext>
      </extLst>
    </bk>
    <bk>
      <extLst>
        <ext uri="{3e2802c4-a4d2-4d8b-9148-e3be6c30e623}">
          <xlrd:rvb i="13072"/>
        </ext>
      </extLst>
    </bk>
    <bk>
      <extLst>
        <ext uri="{3e2802c4-a4d2-4d8b-9148-e3be6c30e623}">
          <xlrd:rvb i="13073"/>
        </ext>
      </extLst>
    </bk>
    <bk>
      <extLst>
        <ext uri="{3e2802c4-a4d2-4d8b-9148-e3be6c30e623}">
          <xlrd:rvb i="13074"/>
        </ext>
      </extLst>
    </bk>
    <bk>
      <extLst>
        <ext uri="{3e2802c4-a4d2-4d8b-9148-e3be6c30e623}">
          <xlrd:rvb i="13075"/>
        </ext>
      </extLst>
    </bk>
    <bk>
      <extLst>
        <ext uri="{3e2802c4-a4d2-4d8b-9148-e3be6c30e623}">
          <xlrd:rvb i="13076"/>
        </ext>
      </extLst>
    </bk>
    <bk>
      <extLst>
        <ext uri="{3e2802c4-a4d2-4d8b-9148-e3be6c30e623}">
          <xlrd:rvb i="13077"/>
        </ext>
      </extLst>
    </bk>
    <bk>
      <extLst>
        <ext uri="{3e2802c4-a4d2-4d8b-9148-e3be6c30e623}">
          <xlrd:rvb i="13078"/>
        </ext>
      </extLst>
    </bk>
    <bk>
      <extLst>
        <ext uri="{3e2802c4-a4d2-4d8b-9148-e3be6c30e623}">
          <xlrd:rvb i="13079"/>
        </ext>
      </extLst>
    </bk>
    <bk>
      <extLst>
        <ext uri="{3e2802c4-a4d2-4d8b-9148-e3be6c30e623}">
          <xlrd:rvb i="13080"/>
        </ext>
      </extLst>
    </bk>
    <bk>
      <extLst>
        <ext uri="{3e2802c4-a4d2-4d8b-9148-e3be6c30e623}">
          <xlrd:rvb i="13081"/>
        </ext>
      </extLst>
    </bk>
    <bk>
      <extLst>
        <ext uri="{3e2802c4-a4d2-4d8b-9148-e3be6c30e623}">
          <xlrd:rvb i="13082"/>
        </ext>
      </extLst>
    </bk>
    <bk>
      <extLst>
        <ext uri="{3e2802c4-a4d2-4d8b-9148-e3be6c30e623}">
          <xlrd:rvb i="13083"/>
        </ext>
      </extLst>
    </bk>
    <bk>
      <extLst>
        <ext uri="{3e2802c4-a4d2-4d8b-9148-e3be6c30e623}">
          <xlrd:rvb i="13084"/>
        </ext>
      </extLst>
    </bk>
    <bk>
      <extLst>
        <ext uri="{3e2802c4-a4d2-4d8b-9148-e3be6c30e623}">
          <xlrd:rvb i="13085"/>
        </ext>
      </extLst>
    </bk>
    <bk>
      <extLst>
        <ext uri="{3e2802c4-a4d2-4d8b-9148-e3be6c30e623}">
          <xlrd:rvb i="13086"/>
        </ext>
      </extLst>
    </bk>
    <bk>
      <extLst>
        <ext uri="{3e2802c4-a4d2-4d8b-9148-e3be6c30e623}">
          <xlrd:rvb i="13087"/>
        </ext>
      </extLst>
    </bk>
    <bk>
      <extLst>
        <ext uri="{3e2802c4-a4d2-4d8b-9148-e3be6c30e623}">
          <xlrd:rvb i="13088"/>
        </ext>
      </extLst>
    </bk>
    <bk>
      <extLst>
        <ext uri="{3e2802c4-a4d2-4d8b-9148-e3be6c30e623}">
          <xlrd:rvb i="13089"/>
        </ext>
      </extLst>
    </bk>
    <bk>
      <extLst>
        <ext uri="{3e2802c4-a4d2-4d8b-9148-e3be6c30e623}">
          <xlrd:rvb i="13090"/>
        </ext>
      </extLst>
    </bk>
    <bk>
      <extLst>
        <ext uri="{3e2802c4-a4d2-4d8b-9148-e3be6c30e623}">
          <xlrd:rvb i="13091"/>
        </ext>
      </extLst>
    </bk>
    <bk>
      <extLst>
        <ext uri="{3e2802c4-a4d2-4d8b-9148-e3be6c30e623}">
          <xlrd:rvb i="13092"/>
        </ext>
      </extLst>
    </bk>
    <bk>
      <extLst>
        <ext uri="{3e2802c4-a4d2-4d8b-9148-e3be6c30e623}">
          <xlrd:rvb i="13093"/>
        </ext>
      </extLst>
    </bk>
    <bk>
      <extLst>
        <ext uri="{3e2802c4-a4d2-4d8b-9148-e3be6c30e623}">
          <xlrd:rvb i="13094"/>
        </ext>
      </extLst>
    </bk>
    <bk>
      <extLst>
        <ext uri="{3e2802c4-a4d2-4d8b-9148-e3be6c30e623}">
          <xlrd:rvb i="13095"/>
        </ext>
      </extLst>
    </bk>
    <bk>
      <extLst>
        <ext uri="{3e2802c4-a4d2-4d8b-9148-e3be6c30e623}">
          <xlrd:rvb i="13096"/>
        </ext>
      </extLst>
    </bk>
    <bk>
      <extLst>
        <ext uri="{3e2802c4-a4d2-4d8b-9148-e3be6c30e623}">
          <xlrd:rvb i="13097"/>
        </ext>
      </extLst>
    </bk>
    <bk>
      <extLst>
        <ext uri="{3e2802c4-a4d2-4d8b-9148-e3be6c30e623}">
          <xlrd:rvb i="13098"/>
        </ext>
      </extLst>
    </bk>
    <bk>
      <extLst>
        <ext uri="{3e2802c4-a4d2-4d8b-9148-e3be6c30e623}">
          <xlrd:rvb i="13099"/>
        </ext>
      </extLst>
    </bk>
    <bk>
      <extLst>
        <ext uri="{3e2802c4-a4d2-4d8b-9148-e3be6c30e623}">
          <xlrd:rvb i="13100"/>
        </ext>
      </extLst>
    </bk>
    <bk>
      <extLst>
        <ext uri="{3e2802c4-a4d2-4d8b-9148-e3be6c30e623}">
          <xlrd:rvb i="13101"/>
        </ext>
      </extLst>
    </bk>
    <bk>
      <extLst>
        <ext uri="{3e2802c4-a4d2-4d8b-9148-e3be6c30e623}">
          <xlrd:rvb i="13102"/>
        </ext>
      </extLst>
    </bk>
    <bk>
      <extLst>
        <ext uri="{3e2802c4-a4d2-4d8b-9148-e3be6c30e623}">
          <xlrd:rvb i="13103"/>
        </ext>
      </extLst>
    </bk>
    <bk>
      <extLst>
        <ext uri="{3e2802c4-a4d2-4d8b-9148-e3be6c30e623}">
          <xlrd:rvb i="13104"/>
        </ext>
      </extLst>
    </bk>
    <bk>
      <extLst>
        <ext uri="{3e2802c4-a4d2-4d8b-9148-e3be6c30e623}">
          <xlrd:rvb i="13105"/>
        </ext>
      </extLst>
    </bk>
    <bk>
      <extLst>
        <ext uri="{3e2802c4-a4d2-4d8b-9148-e3be6c30e623}">
          <xlrd:rvb i="13106"/>
        </ext>
      </extLst>
    </bk>
    <bk>
      <extLst>
        <ext uri="{3e2802c4-a4d2-4d8b-9148-e3be6c30e623}">
          <xlrd:rvb i="13107"/>
        </ext>
      </extLst>
    </bk>
    <bk>
      <extLst>
        <ext uri="{3e2802c4-a4d2-4d8b-9148-e3be6c30e623}">
          <xlrd:rvb i="13108"/>
        </ext>
      </extLst>
    </bk>
    <bk>
      <extLst>
        <ext uri="{3e2802c4-a4d2-4d8b-9148-e3be6c30e623}">
          <xlrd:rvb i="13109"/>
        </ext>
      </extLst>
    </bk>
    <bk>
      <extLst>
        <ext uri="{3e2802c4-a4d2-4d8b-9148-e3be6c30e623}">
          <xlrd:rvb i="13110"/>
        </ext>
      </extLst>
    </bk>
    <bk>
      <extLst>
        <ext uri="{3e2802c4-a4d2-4d8b-9148-e3be6c30e623}">
          <xlrd:rvb i="13111"/>
        </ext>
      </extLst>
    </bk>
    <bk>
      <extLst>
        <ext uri="{3e2802c4-a4d2-4d8b-9148-e3be6c30e623}">
          <xlrd:rvb i="13112"/>
        </ext>
      </extLst>
    </bk>
    <bk>
      <extLst>
        <ext uri="{3e2802c4-a4d2-4d8b-9148-e3be6c30e623}">
          <xlrd:rvb i="13113"/>
        </ext>
      </extLst>
    </bk>
    <bk>
      <extLst>
        <ext uri="{3e2802c4-a4d2-4d8b-9148-e3be6c30e623}">
          <xlrd:rvb i="13114"/>
        </ext>
      </extLst>
    </bk>
    <bk>
      <extLst>
        <ext uri="{3e2802c4-a4d2-4d8b-9148-e3be6c30e623}">
          <xlrd:rvb i="13115"/>
        </ext>
      </extLst>
    </bk>
    <bk>
      <extLst>
        <ext uri="{3e2802c4-a4d2-4d8b-9148-e3be6c30e623}">
          <xlrd:rvb i="13116"/>
        </ext>
      </extLst>
    </bk>
    <bk>
      <extLst>
        <ext uri="{3e2802c4-a4d2-4d8b-9148-e3be6c30e623}">
          <xlrd:rvb i="13117"/>
        </ext>
      </extLst>
    </bk>
    <bk>
      <extLst>
        <ext uri="{3e2802c4-a4d2-4d8b-9148-e3be6c30e623}">
          <xlrd:rvb i="13118"/>
        </ext>
      </extLst>
    </bk>
    <bk>
      <extLst>
        <ext uri="{3e2802c4-a4d2-4d8b-9148-e3be6c30e623}">
          <xlrd:rvb i="13119"/>
        </ext>
      </extLst>
    </bk>
    <bk>
      <extLst>
        <ext uri="{3e2802c4-a4d2-4d8b-9148-e3be6c30e623}">
          <xlrd:rvb i="13120"/>
        </ext>
      </extLst>
    </bk>
    <bk>
      <extLst>
        <ext uri="{3e2802c4-a4d2-4d8b-9148-e3be6c30e623}">
          <xlrd:rvb i="13121"/>
        </ext>
      </extLst>
    </bk>
    <bk>
      <extLst>
        <ext uri="{3e2802c4-a4d2-4d8b-9148-e3be6c30e623}">
          <xlrd:rvb i="13122"/>
        </ext>
      </extLst>
    </bk>
    <bk>
      <extLst>
        <ext uri="{3e2802c4-a4d2-4d8b-9148-e3be6c30e623}">
          <xlrd:rvb i="13123"/>
        </ext>
      </extLst>
    </bk>
    <bk>
      <extLst>
        <ext uri="{3e2802c4-a4d2-4d8b-9148-e3be6c30e623}">
          <xlrd:rvb i="13124"/>
        </ext>
      </extLst>
    </bk>
    <bk>
      <extLst>
        <ext uri="{3e2802c4-a4d2-4d8b-9148-e3be6c30e623}">
          <xlrd:rvb i="13125"/>
        </ext>
      </extLst>
    </bk>
    <bk>
      <extLst>
        <ext uri="{3e2802c4-a4d2-4d8b-9148-e3be6c30e623}">
          <xlrd:rvb i="13126"/>
        </ext>
      </extLst>
    </bk>
    <bk>
      <extLst>
        <ext uri="{3e2802c4-a4d2-4d8b-9148-e3be6c30e623}">
          <xlrd:rvb i="13127"/>
        </ext>
      </extLst>
    </bk>
    <bk>
      <extLst>
        <ext uri="{3e2802c4-a4d2-4d8b-9148-e3be6c30e623}">
          <xlrd:rvb i="13128"/>
        </ext>
      </extLst>
    </bk>
    <bk>
      <extLst>
        <ext uri="{3e2802c4-a4d2-4d8b-9148-e3be6c30e623}">
          <xlrd:rvb i="13129"/>
        </ext>
      </extLst>
    </bk>
    <bk>
      <extLst>
        <ext uri="{3e2802c4-a4d2-4d8b-9148-e3be6c30e623}">
          <xlrd:rvb i="13130"/>
        </ext>
      </extLst>
    </bk>
    <bk>
      <extLst>
        <ext uri="{3e2802c4-a4d2-4d8b-9148-e3be6c30e623}">
          <xlrd:rvb i="13131"/>
        </ext>
      </extLst>
    </bk>
    <bk>
      <extLst>
        <ext uri="{3e2802c4-a4d2-4d8b-9148-e3be6c30e623}">
          <xlrd:rvb i="13132"/>
        </ext>
      </extLst>
    </bk>
    <bk>
      <extLst>
        <ext uri="{3e2802c4-a4d2-4d8b-9148-e3be6c30e623}">
          <xlrd:rvb i="13133"/>
        </ext>
      </extLst>
    </bk>
    <bk>
      <extLst>
        <ext uri="{3e2802c4-a4d2-4d8b-9148-e3be6c30e623}">
          <xlrd:rvb i="13134"/>
        </ext>
      </extLst>
    </bk>
    <bk>
      <extLst>
        <ext uri="{3e2802c4-a4d2-4d8b-9148-e3be6c30e623}">
          <xlrd:rvb i="13135"/>
        </ext>
      </extLst>
    </bk>
    <bk>
      <extLst>
        <ext uri="{3e2802c4-a4d2-4d8b-9148-e3be6c30e623}">
          <xlrd:rvb i="13136"/>
        </ext>
      </extLst>
    </bk>
    <bk>
      <extLst>
        <ext uri="{3e2802c4-a4d2-4d8b-9148-e3be6c30e623}">
          <xlrd:rvb i="13137"/>
        </ext>
      </extLst>
    </bk>
    <bk>
      <extLst>
        <ext uri="{3e2802c4-a4d2-4d8b-9148-e3be6c30e623}">
          <xlrd:rvb i="13138"/>
        </ext>
      </extLst>
    </bk>
    <bk>
      <extLst>
        <ext uri="{3e2802c4-a4d2-4d8b-9148-e3be6c30e623}">
          <xlrd:rvb i="13139"/>
        </ext>
      </extLst>
    </bk>
    <bk>
      <extLst>
        <ext uri="{3e2802c4-a4d2-4d8b-9148-e3be6c30e623}">
          <xlrd:rvb i="13140"/>
        </ext>
      </extLst>
    </bk>
    <bk>
      <extLst>
        <ext uri="{3e2802c4-a4d2-4d8b-9148-e3be6c30e623}">
          <xlrd:rvb i="13141"/>
        </ext>
      </extLst>
    </bk>
    <bk>
      <extLst>
        <ext uri="{3e2802c4-a4d2-4d8b-9148-e3be6c30e623}">
          <xlrd:rvb i="13142"/>
        </ext>
      </extLst>
    </bk>
    <bk>
      <extLst>
        <ext uri="{3e2802c4-a4d2-4d8b-9148-e3be6c30e623}">
          <xlrd:rvb i="13143"/>
        </ext>
      </extLst>
    </bk>
    <bk>
      <extLst>
        <ext uri="{3e2802c4-a4d2-4d8b-9148-e3be6c30e623}">
          <xlrd:rvb i="13144"/>
        </ext>
      </extLst>
    </bk>
    <bk>
      <extLst>
        <ext uri="{3e2802c4-a4d2-4d8b-9148-e3be6c30e623}">
          <xlrd:rvb i="13145"/>
        </ext>
      </extLst>
    </bk>
    <bk>
      <extLst>
        <ext uri="{3e2802c4-a4d2-4d8b-9148-e3be6c30e623}">
          <xlrd:rvb i="13146"/>
        </ext>
      </extLst>
    </bk>
    <bk>
      <extLst>
        <ext uri="{3e2802c4-a4d2-4d8b-9148-e3be6c30e623}">
          <xlrd:rvb i="13147"/>
        </ext>
      </extLst>
    </bk>
    <bk>
      <extLst>
        <ext uri="{3e2802c4-a4d2-4d8b-9148-e3be6c30e623}">
          <xlrd:rvb i="13148"/>
        </ext>
      </extLst>
    </bk>
    <bk>
      <extLst>
        <ext uri="{3e2802c4-a4d2-4d8b-9148-e3be6c30e623}">
          <xlrd:rvb i="13149"/>
        </ext>
      </extLst>
    </bk>
    <bk>
      <extLst>
        <ext uri="{3e2802c4-a4d2-4d8b-9148-e3be6c30e623}">
          <xlrd:rvb i="13150"/>
        </ext>
      </extLst>
    </bk>
    <bk>
      <extLst>
        <ext uri="{3e2802c4-a4d2-4d8b-9148-e3be6c30e623}">
          <xlrd:rvb i="13151"/>
        </ext>
      </extLst>
    </bk>
    <bk>
      <extLst>
        <ext uri="{3e2802c4-a4d2-4d8b-9148-e3be6c30e623}">
          <xlrd:rvb i="13152"/>
        </ext>
      </extLst>
    </bk>
    <bk>
      <extLst>
        <ext uri="{3e2802c4-a4d2-4d8b-9148-e3be6c30e623}">
          <xlrd:rvb i="13153"/>
        </ext>
      </extLst>
    </bk>
    <bk>
      <extLst>
        <ext uri="{3e2802c4-a4d2-4d8b-9148-e3be6c30e623}">
          <xlrd:rvb i="13154"/>
        </ext>
      </extLst>
    </bk>
    <bk>
      <extLst>
        <ext uri="{3e2802c4-a4d2-4d8b-9148-e3be6c30e623}">
          <xlrd:rvb i="13155"/>
        </ext>
      </extLst>
    </bk>
    <bk>
      <extLst>
        <ext uri="{3e2802c4-a4d2-4d8b-9148-e3be6c30e623}">
          <xlrd:rvb i="13156"/>
        </ext>
      </extLst>
    </bk>
    <bk>
      <extLst>
        <ext uri="{3e2802c4-a4d2-4d8b-9148-e3be6c30e623}">
          <xlrd:rvb i="13157"/>
        </ext>
      </extLst>
    </bk>
    <bk>
      <extLst>
        <ext uri="{3e2802c4-a4d2-4d8b-9148-e3be6c30e623}">
          <xlrd:rvb i="13158"/>
        </ext>
      </extLst>
    </bk>
    <bk>
      <extLst>
        <ext uri="{3e2802c4-a4d2-4d8b-9148-e3be6c30e623}">
          <xlrd:rvb i="13159"/>
        </ext>
      </extLst>
    </bk>
    <bk>
      <extLst>
        <ext uri="{3e2802c4-a4d2-4d8b-9148-e3be6c30e623}">
          <xlrd:rvb i="13160"/>
        </ext>
      </extLst>
    </bk>
    <bk>
      <extLst>
        <ext uri="{3e2802c4-a4d2-4d8b-9148-e3be6c30e623}">
          <xlrd:rvb i="13161"/>
        </ext>
      </extLst>
    </bk>
    <bk>
      <extLst>
        <ext uri="{3e2802c4-a4d2-4d8b-9148-e3be6c30e623}">
          <xlrd:rvb i="13162"/>
        </ext>
      </extLst>
    </bk>
    <bk>
      <extLst>
        <ext uri="{3e2802c4-a4d2-4d8b-9148-e3be6c30e623}">
          <xlrd:rvb i="13163"/>
        </ext>
      </extLst>
    </bk>
    <bk>
      <extLst>
        <ext uri="{3e2802c4-a4d2-4d8b-9148-e3be6c30e623}">
          <xlrd:rvb i="13164"/>
        </ext>
      </extLst>
    </bk>
    <bk>
      <extLst>
        <ext uri="{3e2802c4-a4d2-4d8b-9148-e3be6c30e623}">
          <xlrd:rvb i="13165"/>
        </ext>
      </extLst>
    </bk>
    <bk>
      <extLst>
        <ext uri="{3e2802c4-a4d2-4d8b-9148-e3be6c30e623}">
          <xlrd:rvb i="13166"/>
        </ext>
      </extLst>
    </bk>
    <bk>
      <extLst>
        <ext uri="{3e2802c4-a4d2-4d8b-9148-e3be6c30e623}">
          <xlrd:rvb i="13167"/>
        </ext>
      </extLst>
    </bk>
    <bk>
      <extLst>
        <ext uri="{3e2802c4-a4d2-4d8b-9148-e3be6c30e623}">
          <xlrd:rvb i="13168"/>
        </ext>
      </extLst>
    </bk>
    <bk>
      <extLst>
        <ext uri="{3e2802c4-a4d2-4d8b-9148-e3be6c30e623}">
          <xlrd:rvb i="13169"/>
        </ext>
      </extLst>
    </bk>
    <bk>
      <extLst>
        <ext uri="{3e2802c4-a4d2-4d8b-9148-e3be6c30e623}">
          <xlrd:rvb i="13170"/>
        </ext>
      </extLst>
    </bk>
    <bk>
      <extLst>
        <ext uri="{3e2802c4-a4d2-4d8b-9148-e3be6c30e623}">
          <xlrd:rvb i="13171"/>
        </ext>
      </extLst>
    </bk>
    <bk>
      <extLst>
        <ext uri="{3e2802c4-a4d2-4d8b-9148-e3be6c30e623}">
          <xlrd:rvb i="13172"/>
        </ext>
      </extLst>
    </bk>
    <bk>
      <extLst>
        <ext uri="{3e2802c4-a4d2-4d8b-9148-e3be6c30e623}">
          <xlrd:rvb i="13173"/>
        </ext>
      </extLst>
    </bk>
    <bk>
      <extLst>
        <ext uri="{3e2802c4-a4d2-4d8b-9148-e3be6c30e623}">
          <xlrd:rvb i="13174"/>
        </ext>
      </extLst>
    </bk>
    <bk>
      <extLst>
        <ext uri="{3e2802c4-a4d2-4d8b-9148-e3be6c30e623}">
          <xlrd:rvb i="13175"/>
        </ext>
      </extLst>
    </bk>
    <bk>
      <extLst>
        <ext uri="{3e2802c4-a4d2-4d8b-9148-e3be6c30e623}">
          <xlrd:rvb i="13176"/>
        </ext>
      </extLst>
    </bk>
    <bk>
      <extLst>
        <ext uri="{3e2802c4-a4d2-4d8b-9148-e3be6c30e623}">
          <xlrd:rvb i="13177"/>
        </ext>
      </extLst>
    </bk>
    <bk>
      <extLst>
        <ext uri="{3e2802c4-a4d2-4d8b-9148-e3be6c30e623}">
          <xlrd:rvb i="13178"/>
        </ext>
      </extLst>
    </bk>
    <bk>
      <extLst>
        <ext uri="{3e2802c4-a4d2-4d8b-9148-e3be6c30e623}">
          <xlrd:rvb i="13179"/>
        </ext>
      </extLst>
    </bk>
    <bk>
      <extLst>
        <ext uri="{3e2802c4-a4d2-4d8b-9148-e3be6c30e623}">
          <xlrd:rvb i="13180"/>
        </ext>
      </extLst>
    </bk>
    <bk>
      <extLst>
        <ext uri="{3e2802c4-a4d2-4d8b-9148-e3be6c30e623}">
          <xlrd:rvb i="13181"/>
        </ext>
      </extLst>
    </bk>
    <bk>
      <extLst>
        <ext uri="{3e2802c4-a4d2-4d8b-9148-e3be6c30e623}">
          <xlrd:rvb i="13182"/>
        </ext>
      </extLst>
    </bk>
    <bk>
      <extLst>
        <ext uri="{3e2802c4-a4d2-4d8b-9148-e3be6c30e623}">
          <xlrd:rvb i="13183"/>
        </ext>
      </extLst>
    </bk>
    <bk>
      <extLst>
        <ext uri="{3e2802c4-a4d2-4d8b-9148-e3be6c30e623}">
          <xlrd:rvb i="13184"/>
        </ext>
      </extLst>
    </bk>
    <bk>
      <extLst>
        <ext uri="{3e2802c4-a4d2-4d8b-9148-e3be6c30e623}">
          <xlrd:rvb i="13185"/>
        </ext>
      </extLst>
    </bk>
    <bk>
      <extLst>
        <ext uri="{3e2802c4-a4d2-4d8b-9148-e3be6c30e623}">
          <xlrd:rvb i="13186"/>
        </ext>
      </extLst>
    </bk>
    <bk>
      <extLst>
        <ext uri="{3e2802c4-a4d2-4d8b-9148-e3be6c30e623}">
          <xlrd:rvb i="13187"/>
        </ext>
      </extLst>
    </bk>
    <bk>
      <extLst>
        <ext uri="{3e2802c4-a4d2-4d8b-9148-e3be6c30e623}">
          <xlrd:rvb i="13188"/>
        </ext>
      </extLst>
    </bk>
    <bk>
      <extLst>
        <ext uri="{3e2802c4-a4d2-4d8b-9148-e3be6c30e623}">
          <xlrd:rvb i="13189"/>
        </ext>
      </extLst>
    </bk>
    <bk>
      <extLst>
        <ext uri="{3e2802c4-a4d2-4d8b-9148-e3be6c30e623}">
          <xlrd:rvb i="13190"/>
        </ext>
      </extLst>
    </bk>
    <bk>
      <extLst>
        <ext uri="{3e2802c4-a4d2-4d8b-9148-e3be6c30e623}">
          <xlrd:rvb i="13191"/>
        </ext>
      </extLst>
    </bk>
    <bk>
      <extLst>
        <ext uri="{3e2802c4-a4d2-4d8b-9148-e3be6c30e623}">
          <xlrd:rvb i="13192"/>
        </ext>
      </extLst>
    </bk>
    <bk>
      <extLst>
        <ext uri="{3e2802c4-a4d2-4d8b-9148-e3be6c30e623}">
          <xlrd:rvb i="13193"/>
        </ext>
      </extLst>
    </bk>
    <bk>
      <extLst>
        <ext uri="{3e2802c4-a4d2-4d8b-9148-e3be6c30e623}">
          <xlrd:rvb i="13194"/>
        </ext>
      </extLst>
    </bk>
    <bk>
      <extLst>
        <ext uri="{3e2802c4-a4d2-4d8b-9148-e3be6c30e623}">
          <xlrd:rvb i="13195"/>
        </ext>
      </extLst>
    </bk>
    <bk>
      <extLst>
        <ext uri="{3e2802c4-a4d2-4d8b-9148-e3be6c30e623}">
          <xlrd:rvb i="13196"/>
        </ext>
      </extLst>
    </bk>
    <bk>
      <extLst>
        <ext uri="{3e2802c4-a4d2-4d8b-9148-e3be6c30e623}">
          <xlrd:rvb i="13197"/>
        </ext>
      </extLst>
    </bk>
    <bk>
      <extLst>
        <ext uri="{3e2802c4-a4d2-4d8b-9148-e3be6c30e623}">
          <xlrd:rvb i="13198"/>
        </ext>
      </extLst>
    </bk>
    <bk>
      <extLst>
        <ext uri="{3e2802c4-a4d2-4d8b-9148-e3be6c30e623}">
          <xlrd:rvb i="13199"/>
        </ext>
      </extLst>
    </bk>
    <bk>
      <extLst>
        <ext uri="{3e2802c4-a4d2-4d8b-9148-e3be6c30e623}">
          <xlrd:rvb i="13200"/>
        </ext>
      </extLst>
    </bk>
    <bk>
      <extLst>
        <ext uri="{3e2802c4-a4d2-4d8b-9148-e3be6c30e623}">
          <xlrd:rvb i="13201"/>
        </ext>
      </extLst>
    </bk>
    <bk>
      <extLst>
        <ext uri="{3e2802c4-a4d2-4d8b-9148-e3be6c30e623}">
          <xlrd:rvb i="13202"/>
        </ext>
      </extLst>
    </bk>
    <bk>
      <extLst>
        <ext uri="{3e2802c4-a4d2-4d8b-9148-e3be6c30e623}">
          <xlrd:rvb i="13203"/>
        </ext>
      </extLst>
    </bk>
    <bk>
      <extLst>
        <ext uri="{3e2802c4-a4d2-4d8b-9148-e3be6c30e623}">
          <xlrd:rvb i="13204"/>
        </ext>
      </extLst>
    </bk>
    <bk>
      <extLst>
        <ext uri="{3e2802c4-a4d2-4d8b-9148-e3be6c30e623}">
          <xlrd:rvb i="13205"/>
        </ext>
      </extLst>
    </bk>
    <bk>
      <extLst>
        <ext uri="{3e2802c4-a4d2-4d8b-9148-e3be6c30e623}">
          <xlrd:rvb i="13206"/>
        </ext>
      </extLst>
    </bk>
    <bk>
      <extLst>
        <ext uri="{3e2802c4-a4d2-4d8b-9148-e3be6c30e623}">
          <xlrd:rvb i="13207"/>
        </ext>
      </extLst>
    </bk>
    <bk>
      <extLst>
        <ext uri="{3e2802c4-a4d2-4d8b-9148-e3be6c30e623}">
          <xlrd:rvb i="13208"/>
        </ext>
      </extLst>
    </bk>
    <bk>
      <extLst>
        <ext uri="{3e2802c4-a4d2-4d8b-9148-e3be6c30e623}">
          <xlrd:rvb i="13209"/>
        </ext>
      </extLst>
    </bk>
    <bk>
      <extLst>
        <ext uri="{3e2802c4-a4d2-4d8b-9148-e3be6c30e623}">
          <xlrd:rvb i="13210"/>
        </ext>
      </extLst>
    </bk>
    <bk>
      <extLst>
        <ext uri="{3e2802c4-a4d2-4d8b-9148-e3be6c30e623}">
          <xlrd:rvb i="13211"/>
        </ext>
      </extLst>
    </bk>
    <bk>
      <extLst>
        <ext uri="{3e2802c4-a4d2-4d8b-9148-e3be6c30e623}">
          <xlrd:rvb i="13212"/>
        </ext>
      </extLst>
    </bk>
    <bk>
      <extLst>
        <ext uri="{3e2802c4-a4d2-4d8b-9148-e3be6c30e623}">
          <xlrd:rvb i="13213"/>
        </ext>
      </extLst>
    </bk>
    <bk>
      <extLst>
        <ext uri="{3e2802c4-a4d2-4d8b-9148-e3be6c30e623}">
          <xlrd:rvb i="13214"/>
        </ext>
      </extLst>
    </bk>
    <bk>
      <extLst>
        <ext uri="{3e2802c4-a4d2-4d8b-9148-e3be6c30e623}">
          <xlrd:rvb i="13215"/>
        </ext>
      </extLst>
    </bk>
    <bk>
      <extLst>
        <ext uri="{3e2802c4-a4d2-4d8b-9148-e3be6c30e623}">
          <xlrd:rvb i="13216"/>
        </ext>
      </extLst>
    </bk>
    <bk>
      <extLst>
        <ext uri="{3e2802c4-a4d2-4d8b-9148-e3be6c30e623}">
          <xlrd:rvb i="13217"/>
        </ext>
      </extLst>
    </bk>
    <bk>
      <extLst>
        <ext uri="{3e2802c4-a4d2-4d8b-9148-e3be6c30e623}">
          <xlrd:rvb i="13218"/>
        </ext>
      </extLst>
    </bk>
    <bk>
      <extLst>
        <ext uri="{3e2802c4-a4d2-4d8b-9148-e3be6c30e623}">
          <xlrd:rvb i="13219"/>
        </ext>
      </extLst>
    </bk>
    <bk>
      <extLst>
        <ext uri="{3e2802c4-a4d2-4d8b-9148-e3be6c30e623}">
          <xlrd:rvb i="13220"/>
        </ext>
      </extLst>
    </bk>
    <bk>
      <extLst>
        <ext uri="{3e2802c4-a4d2-4d8b-9148-e3be6c30e623}">
          <xlrd:rvb i="13221"/>
        </ext>
      </extLst>
    </bk>
    <bk>
      <extLst>
        <ext uri="{3e2802c4-a4d2-4d8b-9148-e3be6c30e623}">
          <xlrd:rvb i="13222"/>
        </ext>
      </extLst>
    </bk>
    <bk>
      <extLst>
        <ext uri="{3e2802c4-a4d2-4d8b-9148-e3be6c30e623}">
          <xlrd:rvb i="13223"/>
        </ext>
      </extLst>
    </bk>
    <bk>
      <extLst>
        <ext uri="{3e2802c4-a4d2-4d8b-9148-e3be6c30e623}">
          <xlrd:rvb i="13224"/>
        </ext>
      </extLst>
    </bk>
    <bk>
      <extLst>
        <ext uri="{3e2802c4-a4d2-4d8b-9148-e3be6c30e623}">
          <xlrd:rvb i="13225"/>
        </ext>
      </extLst>
    </bk>
    <bk>
      <extLst>
        <ext uri="{3e2802c4-a4d2-4d8b-9148-e3be6c30e623}">
          <xlrd:rvb i="13226"/>
        </ext>
      </extLst>
    </bk>
    <bk>
      <extLst>
        <ext uri="{3e2802c4-a4d2-4d8b-9148-e3be6c30e623}">
          <xlrd:rvb i="13227"/>
        </ext>
      </extLst>
    </bk>
    <bk>
      <extLst>
        <ext uri="{3e2802c4-a4d2-4d8b-9148-e3be6c30e623}">
          <xlrd:rvb i="13228"/>
        </ext>
      </extLst>
    </bk>
    <bk>
      <extLst>
        <ext uri="{3e2802c4-a4d2-4d8b-9148-e3be6c30e623}">
          <xlrd:rvb i="13229"/>
        </ext>
      </extLst>
    </bk>
    <bk>
      <extLst>
        <ext uri="{3e2802c4-a4d2-4d8b-9148-e3be6c30e623}">
          <xlrd:rvb i="13230"/>
        </ext>
      </extLst>
    </bk>
    <bk>
      <extLst>
        <ext uri="{3e2802c4-a4d2-4d8b-9148-e3be6c30e623}">
          <xlrd:rvb i="13231"/>
        </ext>
      </extLst>
    </bk>
    <bk>
      <extLst>
        <ext uri="{3e2802c4-a4d2-4d8b-9148-e3be6c30e623}">
          <xlrd:rvb i="13232"/>
        </ext>
      </extLst>
    </bk>
    <bk>
      <extLst>
        <ext uri="{3e2802c4-a4d2-4d8b-9148-e3be6c30e623}">
          <xlrd:rvb i="13233"/>
        </ext>
      </extLst>
    </bk>
    <bk>
      <extLst>
        <ext uri="{3e2802c4-a4d2-4d8b-9148-e3be6c30e623}">
          <xlrd:rvb i="13234"/>
        </ext>
      </extLst>
    </bk>
    <bk>
      <extLst>
        <ext uri="{3e2802c4-a4d2-4d8b-9148-e3be6c30e623}">
          <xlrd:rvb i="13235"/>
        </ext>
      </extLst>
    </bk>
    <bk>
      <extLst>
        <ext uri="{3e2802c4-a4d2-4d8b-9148-e3be6c30e623}">
          <xlrd:rvb i="13236"/>
        </ext>
      </extLst>
    </bk>
    <bk>
      <extLst>
        <ext uri="{3e2802c4-a4d2-4d8b-9148-e3be6c30e623}">
          <xlrd:rvb i="13237"/>
        </ext>
      </extLst>
    </bk>
    <bk>
      <extLst>
        <ext uri="{3e2802c4-a4d2-4d8b-9148-e3be6c30e623}">
          <xlrd:rvb i="13238"/>
        </ext>
      </extLst>
    </bk>
    <bk>
      <extLst>
        <ext uri="{3e2802c4-a4d2-4d8b-9148-e3be6c30e623}">
          <xlrd:rvb i="13239"/>
        </ext>
      </extLst>
    </bk>
    <bk>
      <extLst>
        <ext uri="{3e2802c4-a4d2-4d8b-9148-e3be6c30e623}">
          <xlrd:rvb i="13240"/>
        </ext>
      </extLst>
    </bk>
    <bk>
      <extLst>
        <ext uri="{3e2802c4-a4d2-4d8b-9148-e3be6c30e623}">
          <xlrd:rvb i="13241"/>
        </ext>
      </extLst>
    </bk>
    <bk>
      <extLst>
        <ext uri="{3e2802c4-a4d2-4d8b-9148-e3be6c30e623}">
          <xlrd:rvb i="13242"/>
        </ext>
      </extLst>
    </bk>
    <bk>
      <extLst>
        <ext uri="{3e2802c4-a4d2-4d8b-9148-e3be6c30e623}">
          <xlrd:rvb i="13243"/>
        </ext>
      </extLst>
    </bk>
    <bk>
      <extLst>
        <ext uri="{3e2802c4-a4d2-4d8b-9148-e3be6c30e623}">
          <xlrd:rvb i="13244"/>
        </ext>
      </extLst>
    </bk>
    <bk>
      <extLst>
        <ext uri="{3e2802c4-a4d2-4d8b-9148-e3be6c30e623}">
          <xlrd:rvb i="13245"/>
        </ext>
      </extLst>
    </bk>
    <bk>
      <extLst>
        <ext uri="{3e2802c4-a4d2-4d8b-9148-e3be6c30e623}">
          <xlrd:rvb i="13246"/>
        </ext>
      </extLst>
    </bk>
    <bk>
      <extLst>
        <ext uri="{3e2802c4-a4d2-4d8b-9148-e3be6c30e623}">
          <xlrd:rvb i="13247"/>
        </ext>
      </extLst>
    </bk>
    <bk>
      <extLst>
        <ext uri="{3e2802c4-a4d2-4d8b-9148-e3be6c30e623}">
          <xlrd:rvb i="13248"/>
        </ext>
      </extLst>
    </bk>
    <bk>
      <extLst>
        <ext uri="{3e2802c4-a4d2-4d8b-9148-e3be6c30e623}">
          <xlrd:rvb i="13249"/>
        </ext>
      </extLst>
    </bk>
    <bk>
      <extLst>
        <ext uri="{3e2802c4-a4d2-4d8b-9148-e3be6c30e623}">
          <xlrd:rvb i="13250"/>
        </ext>
      </extLst>
    </bk>
    <bk>
      <extLst>
        <ext uri="{3e2802c4-a4d2-4d8b-9148-e3be6c30e623}">
          <xlrd:rvb i="13251"/>
        </ext>
      </extLst>
    </bk>
    <bk>
      <extLst>
        <ext uri="{3e2802c4-a4d2-4d8b-9148-e3be6c30e623}">
          <xlrd:rvb i="13252"/>
        </ext>
      </extLst>
    </bk>
    <bk>
      <extLst>
        <ext uri="{3e2802c4-a4d2-4d8b-9148-e3be6c30e623}">
          <xlrd:rvb i="13253"/>
        </ext>
      </extLst>
    </bk>
    <bk>
      <extLst>
        <ext uri="{3e2802c4-a4d2-4d8b-9148-e3be6c30e623}">
          <xlrd:rvb i="13254"/>
        </ext>
      </extLst>
    </bk>
    <bk>
      <extLst>
        <ext uri="{3e2802c4-a4d2-4d8b-9148-e3be6c30e623}">
          <xlrd:rvb i="13255"/>
        </ext>
      </extLst>
    </bk>
    <bk>
      <extLst>
        <ext uri="{3e2802c4-a4d2-4d8b-9148-e3be6c30e623}">
          <xlrd:rvb i="13256"/>
        </ext>
      </extLst>
    </bk>
    <bk>
      <extLst>
        <ext uri="{3e2802c4-a4d2-4d8b-9148-e3be6c30e623}">
          <xlrd:rvb i="13257"/>
        </ext>
      </extLst>
    </bk>
    <bk>
      <extLst>
        <ext uri="{3e2802c4-a4d2-4d8b-9148-e3be6c30e623}">
          <xlrd:rvb i="13258"/>
        </ext>
      </extLst>
    </bk>
    <bk>
      <extLst>
        <ext uri="{3e2802c4-a4d2-4d8b-9148-e3be6c30e623}">
          <xlrd:rvb i="13259"/>
        </ext>
      </extLst>
    </bk>
    <bk>
      <extLst>
        <ext uri="{3e2802c4-a4d2-4d8b-9148-e3be6c30e623}">
          <xlrd:rvb i="13260"/>
        </ext>
      </extLst>
    </bk>
    <bk>
      <extLst>
        <ext uri="{3e2802c4-a4d2-4d8b-9148-e3be6c30e623}">
          <xlrd:rvb i="13261"/>
        </ext>
      </extLst>
    </bk>
    <bk>
      <extLst>
        <ext uri="{3e2802c4-a4d2-4d8b-9148-e3be6c30e623}">
          <xlrd:rvb i="13262"/>
        </ext>
      </extLst>
    </bk>
    <bk>
      <extLst>
        <ext uri="{3e2802c4-a4d2-4d8b-9148-e3be6c30e623}">
          <xlrd:rvb i="13263"/>
        </ext>
      </extLst>
    </bk>
    <bk>
      <extLst>
        <ext uri="{3e2802c4-a4d2-4d8b-9148-e3be6c30e623}">
          <xlrd:rvb i="13264"/>
        </ext>
      </extLst>
    </bk>
    <bk>
      <extLst>
        <ext uri="{3e2802c4-a4d2-4d8b-9148-e3be6c30e623}">
          <xlrd:rvb i="13265"/>
        </ext>
      </extLst>
    </bk>
    <bk>
      <extLst>
        <ext uri="{3e2802c4-a4d2-4d8b-9148-e3be6c30e623}">
          <xlrd:rvb i="13266"/>
        </ext>
      </extLst>
    </bk>
    <bk>
      <extLst>
        <ext uri="{3e2802c4-a4d2-4d8b-9148-e3be6c30e623}">
          <xlrd:rvb i="13267"/>
        </ext>
      </extLst>
    </bk>
    <bk>
      <extLst>
        <ext uri="{3e2802c4-a4d2-4d8b-9148-e3be6c30e623}">
          <xlrd:rvb i="13268"/>
        </ext>
      </extLst>
    </bk>
    <bk>
      <extLst>
        <ext uri="{3e2802c4-a4d2-4d8b-9148-e3be6c30e623}">
          <xlrd:rvb i="13269"/>
        </ext>
      </extLst>
    </bk>
    <bk>
      <extLst>
        <ext uri="{3e2802c4-a4d2-4d8b-9148-e3be6c30e623}">
          <xlrd:rvb i="13270"/>
        </ext>
      </extLst>
    </bk>
    <bk>
      <extLst>
        <ext uri="{3e2802c4-a4d2-4d8b-9148-e3be6c30e623}">
          <xlrd:rvb i="13271"/>
        </ext>
      </extLst>
    </bk>
    <bk>
      <extLst>
        <ext uri="{3e2802c4-a4d2-4d8b-9148-e3be6c30e623}">
          <xlrd:rvb i="13272"/>
        </ext>
      </extLst>
    </bk>
    <bk>
      <extLst>
        <ext uri="{3e2802c4-a4d2-4d8b-9148-e3be6c30e623}">
          <xlrd:rvb i="13273"/>
        </ext>
      </extLst>
    </bk>
    <bk>
      <extLst>
        <ext uri="{3e2802c4-a4d2-4d8b-9148-e3be6c30e623}">
          <xlrd:rvb i="13274"/>
        </ext>
      </extLst>
    </bk>
    <bk>
      <extLst>
        <ext uri="{3e2802c4-a4d2-4d8b-9148-e3be6c30e623}">
          <xlrd:rvb i="13275"/>
        </ext>
      </extLst>
    </bk>
    <bk>
      <extLst>
        <ext uri="{3e2802c4-a4d2-4d8b-9148-e3be6c30e623}">
          <xlrd:rvb i="13276"/>
        </ext>
      </extLst>
    </bk>
    <bk>
      <extLst>
        <ext uri="{3e2802c4-a4d2-4d8b-9148-e3be6c30e623}">
          <xlrd:rvb i="13277"/>
        </ext>
      </extLst>
    </bk>
    <bk>
      <extLst>
        <ext uri="{3e2802c4-a4d2-4d8b-9148-e3be6c30e623}">
          <xlrd:rvb i="13278"/>
        </ext>
      </extLst>
    </bk>
    <bk>
      <extLst>
        <ext uri="{3e2802c4-a4d2-4d8b-9148-e3be6c30e623}">
          <xlrd:rvb i="13279"/>
        </ext>
      </extLst>
    </bk>
    <bk>
      <extLst>
        <ext uri="{3e2802c4-a4d2-4d8b-9148-e3be6c30e623}">
          <xlrd:rvb i="13280"/>
        </ext>
      </extLst>
    </bk>
    <bk>
      <extLst>
        <ext uri="{3e2802c4-a4d2-4d8b-9148-e3be6c30e623}">
          <xlrd:rvb i="13281"/>
        </ext>
      </extLst>
    </bk>
    <bk>
      <extLst>
        <ext uri="{3e2802c4-a4d2-4d8b-9148-e3be6c30e623}">
          <xlrd:rvb i="13282"/>
        </ext>
      </extLst>
    </bk>
    <bk>
      <extLst>
        <ext uri="{3e2802c4-a4d2-4d8b-9148-e3be6c30e623}">
          <xlrd:rvb i="13283"/>
        </ext>
      </extLst>
    </bk>
    <bk>
      <extLst>
        <ext uri="{3e2802c4-a4d2-4d8b-9148-e3be6c30e623}">
          <xlrd:rvb i="13284"/>
        </ext>
      </extLst>
    </bk>
    <bk>
      <extLst>
        <ext uri="{3e2802c4-a4d2-4d8b-9148-e3be6c30e623}">
          <xlrd:rvb i="13285"/>
        </ext>
      </extLst>
    </bk>
    <bk>
      <extLst>
        <ext uri="{3e2802c4-a4d2-4d8b-9148-e3be6c30e623}">
          <xlrd:rvb i="13286"/>
        </ext>
      </extLst>
    </bk>
    <bk>
      <extLst>
        <ext uri="{3e2802c4-a4d2-4d8b-9148-e3be6c30e623}">
          <xlrd:rvb i="13287"/>
        </ext>
      </extLst>
    </bk>
    <bk>
      <extLst>
        <ext uri="{3e2802c4-a4d2-4d8b-9148-e3be6c30e623}">
          <xlrd:rvb i="13288"/>
        </ext>
      </extLst>
    </bk>
    <bk>
      <extLst>
        <ext uri="{3e2802c4-a4d2-4d8b-9148-e3be6c30e623}">
          <xlrd:rvb i="13289"/>
        </ext>
      </extLst>
    </bk>
    <bk>
      <extLst>
        <ext uri="{3e2802c4-a4d2-4d8b-9148-e3be6c30e623}">
          <xlrd:rvb i="13290"/>
        </ext>
      </extLst>
    </bk>
    <bk>
      <extLst>
        <ext uri="{3e2802c4-a4d2-4d8b-9148-e3be6c30e623}">
          <xlrd:rvb i="13291"/>
        </ext>
      </extLst>
    </bk>
    <bk>
      <extLst>
        <ext uri="{3e2802c4-a4d2-4d8b-9148-e3be6c30e623}">
          <xlrd:rvb i="13292"/>
        </ext>
      </extLst>
    </bk>
    <bk>
      <extLst>
        <ext uri="{3e2802c4-a4d2-4d8b-9148-e3be6c30e623}">
          <xlrd:rvb i="13293"/>
        </ext>
      </extLst>
    </bk>
    <bk>
      <extLst>
        <ext uri="{3e2802c4-a4d2-4d8b-9148-e3be6c30e623}">
          <xlrd:rvb i="13294"/>
        </ext>
      </extLst>
    </bk>
    <bk>
      <extLst>
        <ext uri="{3e2802c4-a4d2-4d8b-9148-e3be6c30e623}">
          <xlrd:rvb i="13295"/>
        </ext>
      </extLst>
    </bk>
    <bk>
      <extLst>
        <ext uri="{3e2802c4-a4d2-4d8b-9148-e3be6c30e623}">
          <xlrd:rvb i="13296"/>
        </ext>
      </extLst>
    </bk>
    <bk>
      <extLst>
        <ext uri="{3e2802c4-a4d2-4d8b-9148-e3be6c30e623}">
          <xlrd:rvb i="13297"/>
        </ext>
      </extLst>
    </bk>
    <bk>
      <extLst>
        <ext uri="{3e2802c4-a4d2-4d8b-9148-e3be6c30e623}">
          <xlrd:rvb i="13298"/>
        </ext>
      </extLst>
    </bk>
    <bk>
      <extLst>
        <ext uri="{3e2802c4-a4d2-4d8b-9148-e3be6c30e623}">
          <xlrd:rvb i="13299"/>
        </ext>
      </extLst>
    </bk>
    <bk>
      <extLst>
        <ext uri="{3e2802c4-a4d2-4d8b-9148-e3be6c30e623}">
          <xlrd:rvb i="13300"/>
        </ext>
      </extLst>
    </bk>
    <bk>
      <extLst>
        <ext uri="{3e2802c4-a4d2-4d8b-9148-e3be6c30e623}">
          <xlrd:rvb i="13301"/>
        </ext>
      </extLst>
    </bk>
    <bk>
      <extLst>
        <ext uri="{3e2802c4-a4d2-4d8b-9148-e3be6c30e623}">
          <xlrd:rvb i="13302"/>
        </ext>
      </extLst>
    </bk>
    <bk>
      <extLst>
        <ext uri="{3e2802c4-a4d2-4d8b-9148-e3be6c30e623}">
          <xlrd:rvb i="13303"/>
        </ext>
      </extLst>
    </bk>
    <bk>
      <extLst>
        <ext uri="{3e2802c4-a4d2-4d8b-9148-e3be6c30e623}">
          <xlrd:rvb i="13304"/>
        </ext>
      </extLst>
    </bk>
    <bk>
      <extLst>
        <ext uri="{3e2802c4-a4d2-4d8b-9148-e3be6c30e623}">
          <xlrd:rvb i="13305"/>
        </ext>
      </extLst>
    </bk>
    <bk>
      <extLst>
        <ext uri="{3e2802c4-a4d2-4d8b-9148-e3be6c30e623}">
          <xlrd:rvb i="13306"/>
        </ext>
      </extLst>
    </bk>
    <bk>
      <extLst>
        <ext uri="{3e2802c4-a4d2-4d8b-9148-e3be6c30e623}">
          <xlrd:rvb i="13307"/>
        </ext>
      </extLst>
    </bk>
    <bk>
      <extLst>
        <ext uri="{3e2802c4-a4d2-4d8b-9148-e3be6c30e623}">
          <xlrd:rvb i="13308"/>
        </ext>
      </extLst>
    </bk>
    <bk>
      <extLst>
        <ext uri="{3e2802c4-a4d2-4d8b-9148-e3be6c30e623}">
          <xlrd:rvb i="13309"/>
        </ext>
      </extLst>
    </bk>
    <bk>
      <extLst>
        <ext uri="{3e2802c4-a4d2-4d8b-9148-e3be6c30e623}">
          <xlrd:rvb i="13310"/>
        </ext>
      </extLst>
    </bk>
    <bk>
      <extLst>
        <ext uri="{3e2802c4-a4d2-4d8b-9148-e3be6c30e623}">
          <xlrd:rvb i="13311"/>
        </ext>
      </extLst>
    </bk>
    <bk>
      <extLst>
        <ext uri="{3e2802c4-a4d2-4d8b-9148-e3be6c30e623}">
          <xlrd:rvb i="13312"/>
        </ext>
      </extLst>
    </bk>
    <bk>
      <extLst>
        <ext uri="{3e2802c4-a4d2-4d8b-9148-e3be6c30e623}">
          <xlrd:rvb i="13313"/>
        </ext>
      </extLst>
    </bk>
    <bk>
      <extLst>
        <ext uri="{3e2802c4-a4d2-4d8b-9148-e3be6c30e623}">
          <xlrd:rvb i="13314"/>
        </ext>
      </extLst>
    </bk>
    <bk>
      <extLst>
        <ext uri="{3e2802c4-a4d2-4d8b-9148-e3be6c30e623}">
          <xlrd:rvb i="13315"/>
        </ext>
      </extLst>
    </bk>
    <bk>
      <extLst>
        <ext uri="{3e2802c4-a4d2-4d8b-9148-e3be6c30e623}">
          <xlrd:rvb i="13316"/>
        </ext>
      </extLst>
    </bk>
    <bk>
      <extLst>
        <ext uri="{3e2802c4-a4d2-4d8b-9148-e3be6c30e623}">
          <xlrd:rvb i="13317"/>
        </ext>
      </extLst>
    </bk>
    <bk>
      <extLst>
        <ext uri="{3e2802c4-a4d2-4d8b-9148-e3be6c30e623}">
          <xlrd:rvb i="13318"/>
        </ext>
      </extLst>
    </bk>
    <bk>
      <extLst>
        <ext uri="{3e2802c4-a4d2-4d8b-9148-e3be6c30e623}">
          <xlrd:rvb i="13319"/>
        </ext>
      </extLst>
    </bk>
    <bk>
      <extLst>
        <ext uri="{3e2802c4-a4d2-4d8b-9148-e3be6c30e623}">
          <xlrd:rvb i="13320"/>
        </ext>
      </extLst>
    </bk>
    <bk>
      <extLst>
        <ext uri="{3e2802c4-a4d2-4d8b-9148-e3be6c30e623}">
          <xlrd:rvb i="13321"/>
        </ext>
      </extLst>
    </bk>
    <bk>
      <extLst>
        <ext uri="{3e2802c4-a4d2-4d8b-9148-e3be6c30e623}">
          <xlrd:rvb i="13322"/>
        </ext>
      </extLst>
    </bk>
    <bk>
      <extLst>
        <ext uri="{3e2802c4-a4d2-4d8b-9148-e3be6c30e623}">
          <xlrd:rvb i="13323"/>
        </ext>
      </extLst>
    </bk>
    <bk>
      <extLst>
        <ext uri="{3e2802c4-a4d2-4d8b-9148-e3be6c30e623}">
          <xlrd:rvb i="13324"/>
        </ext>
      </extLst>
    </bk>
    <bk>
      <extLst>
        <ext uri="{3e2802c4-a4d2-4d8b-9148-e3be6c30e623}">
          <xlrd:rvb i="13325"/>
        </ext>
      </extLst>
    </bk>
    <bk>
      <extLst>
        <ext uri="{3e2802c4-a4d2-4d8b-9148-e3be6c30e623}">
          <xlrd:rvb i="13326"/>
        </ext>
      </extLst>
    </bk>
    <bk>
      <extLst>
        <ext uri="{3e2802c4-a4d2-4d8b-9148-e3be6c30e623}">
          <xlrd:rvb i="13327"/>
        </ext>
      </extLst>
    </bk>
    <bk>
      <extLst>
        <ext uri="{3e2802c4-a4d2-4d8b-9148-e3be6c30e623}">
          <xlrd:rvb i="13328"/>
        </ext>
      </extLst>
    </bk>
    <bk>
      <extLst>
        <ext uri="{3e2802c4-a4d2-4d8b-9148-e3be6c30e623}">
          <xlrd:rvb i="13329"/>
        </ext>
      </extLst>
    </bk>
    <bk>
      <extLst>
        <ext uri="{3e2802c4-a4d2-4d8b-9148-e3be6c30e623}">
          <xlrd:rvb i="13330"/>
        </ext>
      </extLst>
    </bk>
    <bk>
      <extLst>
        <ext uri="{3e2802c4-a4d2-4d8b-9148-e3be6c30e623}">
          <xlrd:rvb i="13331"/>
        </ext>
      </extLst>
    </bk>
    <bk>
      <extLst>
        <ext uri="{3e2802c4-a4d2-4d8b-9148-e3be6c30e623}">
          <xlrd:rvb i="13332"/>
        </ext>
      </extLst>
    </bk>
    <bk>
      <extLst>
        <ext uri="{3e2802c4-a4d2-4d8b-9148-e3be6c30e623}">
          <xlrd:rvb i="13333"/>
        </ext>
      </extLst>
    </bk>
    <bk>
      <extLst>
        <ext uri="{3e2802c4-a4d2-4d8b-9148-e3be6c30e623}">
          <xlrd:rvb i="13334"/>
        </ext>
      </extLst>
    </bk>
    <bk>
      <extLst>
        <ext uri="{3e2802c4-a4d2-4d8b-9148-e3be6c30e623}">
          <xlrd:rvb i="13335"/>
        </ext>
      </extLst>
    </bk>
    <bk>
      <extLst>
        <ext uri="{3e2802c4-a4d2-4d8b-9148-e3be6c30e623}">
          <xlrd:rvb i="13336"/>
        </ext>
      </extLst>
    </bk>
    <bk>
      <extLst>
        <ext uri="{3e2802c4-a4d2-4d8b-9148-e3be6c30e623}">
          <xlrd:rvb i="13337"/>
        </ext>
      </extLst>
    </bk>
    <bk>
      <extLst>
        <ext uri="{3e2802c4-a4d2-4d8b-9148-e3be6c30e623}">
          <xlrd:rvb i="13338"/>
        </ext>
      </extLst>
    </bk>
    <bk>
      <extLst>
        <ext uri="{3e2802c4-a4d2-4d8b-9148-e3be6c30e623}">
          <xlrd:rvb i="13339"/>
        </ext>
      </extLst>
    </bk>
    <bk>
      <extLst>
        <ext uri="{3e2802c4-a4d2-4d8b-9148-e3be6c30e623}">
          <xlrd:rvb i="13340"/>
        </ext>
      </extLst>
    </bk>
    <bk>
      <extLst>
        <ext uri="{3e2802c4-a4d2-4d8b-9148-e3be6c30e623}">
          <xlrd:rvb i="13341"/>
        </ext>
      </extLst>
    </bk>
    <bk>
      <extLst>
        <ext uri="{3e2802c4-a4d2-4d8b-9148-e3be6c30e623}">
          <xlrd:rvb i="13342"/>
        </ext>
      </extLst>
    </bk>
    <bk>
      <extLst>
        <ext uri="{3e2802c4-a4d2-4d8b-9148-e3be6c30e623}">
          <xlrd:rvb i="13343"/>
        </ext>
      </extLst>
    </bk>
    <bk>
      <extLst>
        <ext uri="{3e2802c4-a4d2-4d8b-9148-e3be6c30e623}">
          <xlrd:rvb i="13344"/>
        </ext>
      </extLst>
    </bk>
    <bk>
      <extLst>
        <ext uri="{3e2802c4-a4d2-4d8b-9148-e3be6c30e623}">
          <xlrd:rvb i="13345"/>
        </ext>
      </extLst>
    </bk>
    <bk>
      <extLst>
        <ext uri="{3e2802c4-a4d2-4d8b-9148-e3be6c30e623}">
          <xlrd:rvb i="13346"/>
        </ext>
      </extLst>
    </bk>
    <bk>
      <extLst>
        <ext uri="{3e2802c4-a4d2-4d8b-9148-e3be6c30e623}">
          <xlrd:rvb i="13347"/>
        </ext>
      </extLst>
    </bk>
    <bk>
      <extLst>
        <ext uri="{3e2802c4-a4d2-4d8b-9148-e3be6c30e623}">
          <xlrd:rvb i="13348"/>
        </ext>
      </extLst>
    </bk>
    <bk>
      <extLst>
        <ext uri="{3e2802c4-a4d2-4d8b-9148-e3be6c30e623}">
          <xlrd:rvb i="13349"/>
        </ext>
      </extLst>
    </bk>
    <bk>
      <extLst>
        <ext uri="{3e2802c4-a4d2-4d8b-9148-e3be6c30e623}">
          <xlrd:rvb i="13350"/>
        </ext>
      </extLst>
    </bk>
    <bk>
      <extLst>
        <ext uri="{3e2802c4-a4d2-4d8b-9148-e3be6c30e623}">
          <xlrd:rvb i="13351"/>
        </ext>
      </extLst>
    </bk>
    <bk>
      <extLst>
        <ext uri="{3e2802c4-a4d2-4d8b-9148-e3be6c30e623}">
          <xlrd:rvb i="13352"/>
        </ext>
      </extLst>
    </bk>
    <bk>
      <extLst>
        <ext uri="{3e2802c4-a4d2-4d8b-9148-e3be6c30e623}">
          <xlrd:rvb i="13353"/>
        </ext>
      </extLst>
    </bk>
    <bk>
      <extLst>
        <ext uri="{3e2802c4-a4d2-4d8b-9148-e3be6c30e623}">
          <xlrd:rvb i="13354"/>
        </ext>
      </extLst>
    </bk>
    <bk>
      <extLst>
        <ext uri="{3e2802c4-a4d2-4d8b-9148-e3be6c30e623}">
          <xlrd:rvb i="13355"/>
        </ext>
      </extLst>
    </bk>
    <bk>
      <extLst>
        <ext uri="{3e2802c4-a4d2-4d8b-9148-e3be6c30e623}">
          <xlrd:rvb i="13356"/>
        </ext>
      </extLst>
    </bk>
    <bk>
      <extLst>
        <ext uri="{3e2802c4-a4d2-4d8b-9148-e3be6c30e623}">
          <xlrd:rvb i="13357"/>
        </ext>
      </extLst>
    </bk>
    <bk>
      <extLst>
        <ext uri="{3e2802c4-a4d2-4d8b-9148-e3be6c30e623}">
          <xlrd:rvb i="13358"/>
        </ext>
      </extLst>
    </bk>
    <bk>
      <extLst>
        <ext uri="{3e2802c4-a4d2-4d8b-9148-e3be6c30e623}">
          <xlrd:rvb i="13359"/>
        </ext>
      </extLst>
    </bk>
    <bk>
      <extLst>
        <ext uri="{3e2802c4-a4d2-4d8b-9148-e3be6c30e623}">
          <xlrd:rvb i="13360"/>
        </ext>
      </extLst>
    </bk>
    <bk>
      <extLst>
        <ext uri="{3e2802c4-a4d2-4d8b-9148-e3be6c30e623}">
          <xlrd:rvb i="13361"/>
        </ext>
      </extLst>
    </bk>
    <bk>
      <extLst>
        <ext uri="{3e2802c4-a4d2-4d8b-9148-e3be6c30e623}">
          <xlrd:rvb i="13362"/>
        </ext>
      </extLst>
    </bk>
    <bk>
      <extLst>
        <ext uri="{3e2802c4-a4d2-4d8b-9148-e3be6c30e623}">
          <xlrd:rvb i="13363"/>
        </ext>
      </extLst>
    </bk>
    <bk>
      <extLst>
        <ext uri="{3e2802c4-a4d2-4d8b-9148-e3be6c30e623}">
          <xlrd:rvb i="13364"/>
        </ext>
      </extLst>
    </bk>
    <bk>
      <extLst>
        <ext uri="{3e2802c4-a4d2-4d8b-9148-e3be6c30e623}">
          <xlrd:rvb i="13365"/>
        </ext>
      </extLst>
    </bk>
    <bk>
      <extLst>
        <ext uri="{3e2802c4-a4d2-4d8b-9148-e3be6c30e623}">
          <xlrd:rvb i="13366"/>
        </ext>
      </extLst>
    </bk>
    <bk>
      <extLst>
        <ext uri="{3e2802c4-a4d2-4d8b-9148-e3be6c30e623}">
          <xlrd:rvb i="13367"/>
        </ext>
      </extLst>
    </bk>
    <bk>
      <extLst>
        <ext uri="{3e2802c4-a4d2-4d8b-9148-e3be6c30e623}">
          <xlrd:rvb i="13368"/>
        </ext>
      </extLst>
    </bk>
    <bk>
      <extLst>
        <ext uri="{3e2802c4-a4d2-4d8b-9148-e3be6c30e623}">
          <xlrd:rvb i="13369"/>
        </ext>
      </extLst>
    </bk>
    <bk>
      <extLst>
        <ext uri="{3e2802c4-a4d2-4d8b-9148-e3be6c30e623}">
          <xlrd:rvb i="13370"/>
        </ext>
      </extLst>
    </bk>
    <bk>
      <extLst>
        <ext uri="{3e2802c4-a4d2-4d8b-9148-e3be6c30e623}">
          <xlrd:rvb i="13371"/>
        </ext>
      </extLst>
    </bk>
    <bk>
      <extLst>
        <ext uri="{3e2802c4-a4d2-4d8b-9148-e3be6c30e623}">
          <xlrd:rvb i="13372"/>
        </ext>
      </extLst>
    </bk>
    <bk>
      <extLst>
        <ext uri="{3e2802c4-a4d2-4d8b-9148-e3be6c30e623}">
          <xlrd:rvb i="13373"/>
        </ext>
      </extLst>
    </bk>
    <bk>
      <extLst>
        <ext uri="{3e2802c4-a4d2-4d8b-9148-e3be6c30e623}">
          <xlrd:rvb i="13374"/>
        </ext>
      </extLst>
    </bk>
    <bk>
      <extLst>
        <ext uri="{3e2802c4-a4d2-4d8b-9148-e3be6c30e623}">
          <xlrd:rvb i="13375"/>
        </ext>
      </extLst>
    </bk>
    <bk>
      <extLst>
        <ext uri="{3e2802c4-a4d2-4d8b-9148-e3be6c30e623}">
          <xlrd:rvb i="13376"/>
        </ext>
      </extLst>
    </bk>
    <bk>
      <extLst>
        <ext uri="{3e2802c4-a4d2-4d8b-9148-e3be6c30e623}">
          <xlrd:rvb i="13377"/>
        </ext>
      </extLst>
    </bk>
    <bk>
      <extLst>
        <ext uri="{3e2802c4-a4d2-4d8b-9148-e3be6c30e623}">
          <xlrd:rvb i="13378"/>
        </ext>
      </extLst>
    </bk>
    <bk>
      <extLst>
        <ext uri="{3e2802c4-a4d2-4d8b-9148-e3be6c30e623}">
          <xlrd:rvb i="13379"/>
        </ext>
      </extLst>
    </bk>
    <bk>
      <extLst>
        <ext uri="{3e2802c4-a4d2-4d8b-9148-e3be6c30e623}">
          <xlrd:rvb i="13380"/>
        </ext>
      </extLst>
    </bk>
    <bk>
      <extLst>
        <ext uri="{3e2802c4-a4d2-4d8b-9148-e3be6c30e623}">
          <xlrd:rvb i="13381"/>
        </ext>
      </extLst>
    </bk>
    <bk>
      <extLst>
        <ext uri="{3e2802c4-a4d2-4d8b-9148-e3be6c30e623}">
          <xlrd:rvb i="13382"/>
        </ext>
      </extLst>
    </bk>
    <bk>
      <extLst>
        <ext uri="{3e2802c4-a4d2-4d8b-9148-e3be6c30e623}">
          <xlrd:rvb i="13383"/>
        </ext>
      </extLst>
    </bk>
    <bk>
      <extLst>
        <ext uri="{3e2802c4-a4d2-4d8b-9148-e3be6c30e623}">
          <xlrd:rvb i="13384"/>
        </ext>
      </extLst>
    </bk>
    <bk>
      <extLst>
        <ext uri="{3e2802c4-a4d2-4d8b-9148-e3be6c30e623}">
          <xlrd:rvb i="13385"/>
        </ext>
      </extLst>
    </bk>
    <bk>
      <extLst>
        <ext uri="{3e2802c4-a4d2-4d8b-9148-e3be6c30e623}">
          <xlrd:rvb i="13386"/>
        </ext>
      </extLst>
    </bk>
    <bk>
      <extLst>
        <ext uri="{3e2802c4-a4d2-4d8b-9148-e3be6c30e623}">
          <xlrd:rvb i="13387"/>
        </ext>
      </extLst>
    </bk>
    <bk>
      <extLst>
        <ext uri="{3e2802c4-a4d2-4d8b-9148-e3be6c30e623}">
          <xlrd:rvb i="13388"/>
        </ext>
      </extLst>
    </bk>
    <bk>
      <extLst>
        <ext uri="{3e2802c4-a4d2-4d8b-9148-e3be6c30e623}">
          <xlrd:rvb i="13389"/>
        </ext>
      </extLst>
    </bk>
    <bk>
      <extLst>
        <ext uri="{3e2802c4-a4d2-4d8b-9148-e3be6c30e623}">
          <xlrd:rvb i="13390"/>
        </ext>
      </extLst>
    </bk>
    <bk>
      <extLst>
        <ext uri="{3e2802c4-a4d2-4d8b-9148-e3be6c30e623}">
          <xlrd:rvb i="13391"/>
        </ext>
      </extLst>
    </bk>
    <bk>
      <extLst>
        <ext uri="{3e2802c4-a4d2-4d8b-9148-e3be6c30e623}">
          <xlrd:rvb i="13392"/>
        </ext>
      </extLst>
    </bk>
    <bk>
      <extLst>
        <ext uri="{3e2802c4-a4d2-4d8b-9148-e3be6c30e623}">
          <xlrd:rvb i="13393"/>
        </ext>
      </extLst>
    </bk>
    <bk>
      <extLst>
        <ext uri="{3e2802c4-a4d2-4d8b-9148-e3be6c30e623}">
          <xlrd:rvb i="13394"/>
        </ext>
      </extLst>
    </bk>
    <bk>
      <extLst>
        <ext uri="{3e2802c4-a4d2-4d8b-9148-e3be6c30e623}">
          <xlrd:rvb i="13395"/>
        </ext>
      </extLst>
    </bk>
    <bk>
      <extLst>
        <ext uri="{3e2802c4-a4d2-4d8b-9148-e3be6c30e623}">
          <xlrd:rvb i="13396"/>
        </ext>
      </extLst>
    </bk>
    <bk>
      <extLst>
        <ext uri="{3e2802c4-a4d2-4d8b-9148-e3be6c30e623}">
          <xlrd:rvb i="13397"/>
        </ext>
      </extLst>
    </bk>
    <bk>
      <extLst>
        <ext uri="{3e2802c4-a4d2-4d8b-9148-e3be6c30e623}">
          <xlrd:rvb i="13398"/>
        </ext>
      </extLst>
    </bk>
    <bk>
      <extLst>
        <ext uri="{3e2802c4-a4d2-4d8b-9148-e3be6c30e623}">
          <xlrd:rvb i="13399"/>
        </ext>
      </extLst>
    </bk>
    <bk>
      <extLst>
        <ext uri="{3e2802c4-a4d2-4d8b-9148-e3be6c30e623}">
          <xlrd:rvb i="13400"/>
        </ext>
      </extLst>
    </bk>
    <bk>
      <extLst>
        <ext uri="{3e2802c4-a4d2-4d8b-9148-e3be6c30e623}">
          <xlrd:rvb i="13401"/>
        </ext>
      </extLst>
    </bk>
    <bk>
      <extLst>
        <ext uri="{3e2802c4-a4d2-4d8b-9148-e3be6c30e623}">
          <xlrd:rvb i="13402"/>
        </ext>
      </extLst>
    </bk>
    <bk>
      <extLst>
        <ext uri="{3e2802c4-a4d2-4d8b-9148-e3be6c30e623}">
          <xlrd:rvb i="13403"/>
        </ext>
      </extLst>
    </bk>
    <bk>
      <extLst>
        <ext uri="{3e2802c4-a4d2-4d8b-9148-e3be6c30e623}">
          <xlrd:rvb i="13404"/>
        </ext>
      </extLst>
    </bk>
    <bk>
      <extLst>
        <ext uri="{3e2802c4-a4d2-4d8b-9148-e3be6c30e623}">
          <xlrd:rvb i="13405"/>
        </ext>
      </extLst>
    </bk>
    <bk>
      <extLst>
        <ext uri="{3e2802c4-a4d2-4d8b-9148-e3be6c30e623}">
          <xlrd:rvb i="13406"/>
        </ext>
      </extLst>
    </bk>
    <bk>
      <extLst>
        <ext uri="{3e2802c4-a4d2-4d8b-9148-e3be6c30e623}">
          <xlrd:rvb i="13407"/>
        </ext>
      </extLst>
    </bk>
    <bk>
      <extLst>
        <ext uri="{3e2802c4-a4d2-4d8b-9148-e3be6c30e623}">
          <xlrd:rvb i="13408"/>
        </ext>
      </extLst>
    </bk>
    <bk>
      <extLst>
        <ext uri="{3e2802c4-a4d2-4d8b-9148-e3be6c30e623}">
          <xlrd:rvb i="13409"/>
        </ext>
      </extLst>
    </bk>
    <bk>
      <extLst>
        <ext uri="{3e2802c4-a4d2-4d8b-9148-e3be6c30e623}">
          <xlrd:rvb i="13410"/>
        </ext>
      </extLst>
    </bk>
    <bk>
      <extLst>
        <ext uri="{3e2802c4-a4d2-4d8b-9148-e3be6c30e623}">
          <xlrd:rvb i="13411"/>
        </ext>
      </extLst>
    </bk>
    <bk>
      <extLst>
        <ext uri="{3e2802c4-a4d2-4d8b-9148-e3be6c30e623}">
          <xlrd:rvb i="13412"/>
        </ext>
      </extLst>
    </bk>
    <bk>
      <extLst>
        <ext uri="{3e2802c4-a4d2-4d8b-9148-e3be6c30e623}">
          <xlrd:rvb i="13413"/>
        </ext>
      </extLst>
    </bk>
    <bk>
      <extLst>
        <ext uri="{3e2802c4-a4d2-4d8b-9148-e3be6c30e623}">
          <xlrd:rvb i="13414"/>
        </ext>
      </extLst>
    </bk>
    <bk>
      <extLst>
        <ext uri="{3e2802c4-a4d2-4d8b-9148-e3be6c30e623}">
          <xlrd:rvb i="13415"/>
        </ext>
      </extLst>
    </bk>
    <bk>
      <extLst>
        <ext uri="{3e2802c4-a4d2-4d8b-9148-e3be6c30e623}">
          <xlrd:rvb i="13416"/>
        </ext>
      </extLst>
    </bk>
    <bk>
      <extLst>
        <ext uri="{3e2802c4-a4d2-4d8b-9148-e3be6c30e623}">
          <xlrd:rvb i="13417"/>
        </ext>
      </extLst>
    </bk>
    <bk>
      <extLst>
        <ext uri="{3e2802c4-a4d2-4d8b-9148-e3be6c30e623}">
          <xlrd:rvb i="13418"/>
        </ext>
      </extLst>
    </bk>
    <bk>
      <extLst>
        <ext uri="{3e2802c4-a4d2-4d8b-9148-e3be6c30e623}">
          <xlrd:rvb i="13419"/>
        </ext>
      </extLst>
    </bk>
    <bk>
      <extLst>
        <ext uri="{3e2802c4-a4d2-4d8b-9148-e3be6c30e623}">
          <xlrd:rvb i="13420"/>
        </ext>
      </extLst>
    </bk>
    <bk>
      <extLst>
        <ext uri="{3e2802c4-a4d2-4d8b-9148-e3be6c30e623}">
          <xlrd:rvb i="13421"/>
        </ext>
      </extLst>
    </bk>
    <bk>
      <extLst>
        <ext uri="{3e2802c4-a4d2-4d8b-9148-e3be6c30e623}">
          <xlrd:rvb i="13422"/>
        </ext>
      </extLst>
    </bk>
    <bk>
      <extLst>
        <ext uri="{3e2802c4-a4d2-4d8b-9148-e3be6c30e623}">
          <xlrd:rvb i="13423"/>
        </ext>
      </extLst>
    </bk>
    <bk>
      <extLst>
        <ext uri="{3e2802c4-a4d2-4d8b-9148-e3be6c30e623}">
          <xlrd:rvb i="13424"/>
        </ext>
      </extLst>
    </bk>
    <bk>
      <extLst>
        <ext uri="{3e2802c4-a4d2-4d8b-9148-e3be6c30e623}">
          <xlrd:rvb i="13425"/>
        </ext>
      </extLst>
    </bk>
    <bk>
      <extLst>
        <ext uri="{3e2802c4-a4d2-4d8b-9148-e3be6c30e623}">
          <xlrd:rvb i="13426"/>
        </ext>
      </extLst>
    </bk>
    <bk>
      <extLst>
        <ext uri="{3e2802c4-a4d2-4d8b-9148-e3be6c30e623}">
          <xlrd:rvb i="13427"/>
        </ext>
      </extLst>
    </bk>
    <bk>
      <extLst>
        <ext uri="{3e2802c4-a4d2-4d8b-9148-e3be6c30e623}">
          <xlrd:rvb i="13428"/>
        </ext>
      </extLst>
    </bk>
    <bk>
      <extLst>
        <ext uri="{3e2802c4-a4d2-4d8b-9148-e3be6c30e623}">
          <xlrd:rvb i="13429"/>
        </ext>
      </extLst>
    </bk>
    <bk>
      <extLst>
        <ext uri="{3e2802c4-a4d2-4d8b-9148-e3be6c30e623}">
          <xlrd:rvb i="13430"/>
        </ext>
      </extLst>
    </bk>
    <bk>
      <extLst>
        <ext uri="{3e2802c4-a4d2-4d8b-9148-e3be6c30e623}">
          <xlrd:rvb i="13431"/>
        </ext>
      </extLst>
    </bk>
    <bk>
      <extLst>
        <ext uri="{3e2802c4-a4d2-4d8b-9148-e3be6c30e623}">
          <xlrd:rvb i="13432"/>
        </ext>
      </extLst>
    </bk>
    <bk>
      <extLst>
        <ext uri="{3e2802c4-a4d2-4d8b-9148-e3be6c30e623}">
          <xlrd:rvb i="13433"/>
        </ext>
      </extLst>
    </bk>
    <bk>
      <extLst>
        <ext uri="{3e2802c4-a4d2-4d8b-9148-e3be6c30e623}">
          <xlrd:rvb i="13434"/>
        </ext>
      </extLst>
    </bk>
    <bk>
      <extLst>
        <ext uri="{3e2802c4-a4d2-4d8b-9148-e3be6c30e623}">
          <xlrd:rvb i="13435"/>
        </ext>
      </extLst>
    </bk>
    <bk>
      <extLst>
        <ext uri="{3e2802c4-a4d2-4d8b-9148-e3be6c30e623}">
          <xlrd:rvb i="13436"/>
        </ext>
      </extLst>
    </bk>
    <bk>
      <extLst>
        <ext uri="{3e2802c4-a4d2-4d8b-9148-e3be6c30e623}">
          <xlrd:rvb i="13437"/>
        </ext>
      </extLst>
    </bk>
    <bk>
      <extLst>
        <ext uri="{3e2802c4-a4d2-4d8b-9148-e3be6c30e623}">
          <xlrd:rvb i="13438"/>
        </ext>
      </extLst>
    </bk>
    <bk>
      <extLst>
        <ext uri="{3e2802c4-a4d2-4d8b-9148-e3be6c30e623}">
          <xlrd:rvb i="13439"/>
        </ext>
      </extLst>
    </bk>
    <bk>
      <extLst>
        <ext uri="{3e2802c4-a4d2-4d8b-9148-e3be6c30e623}">
          <xlrd:rvb i="13440"/>
        </ext>
      </extLst>
    </bk>
    <bk>
      <extLst>
        <ext uri="{3e2802c4-a4d2-4d8b-9148-e3be6c30e623}">
          <xlrd:rvb i="13441"/>
        </ext>
      </extLst>
    </bk>
    <bk>
      <extLst>
        <ext uri="{3e2802c4-a4d2-4d8b-9148-e3be6c30e623}">
          <xlrd:rvb i="13442"/>
        </ext>
      </extLst>
    </bk>
    <bk>
      <extLst>
        <ext uri="{3e2802c4-a4d2-4d8b-9148-e3be6c30e623}">
          <xlrd:rvb i="13443"/>
        </ext>
      </extLst>
    </bk>
    <bk>
      <extLst>
        <ext uri="{3e2802c4-a4d2-4d8b-9148-e3be6c30e623}">
          <xlrd:rvb i="13444"/>
        </ext>
      </extLst>
    </bk>
    <bk>
      <extLst>
        <ext uri="{3e2802c4-a4d2-4d8b-9148-e3be6c30e623}">
          <xlrd:rvb i="13445"/>
        </ext>
      </extLst>
    </bk>
    <bk>
      <extLst>
        <ext uri="{3e2802c4-a4d2-4d8b-9148-e3be6c30e623}">
          <xlrd:rvb i="13446"/>
        </ext>
      </extLst>
    </bk>
    <bk>
      <extLst>
        <ext uri="{3e2802c4-a4d2-4d8b-9148-e3be6c30e623}">
          <xlrd:rvb i="13447"/>
        </ext>
      </extLst>
    </bk>
    <bk>
      <extLst>
        <ext uri="{3e2802c4-a4d2-4d8b-9148-e3be6c30e623}">
          <xlrd:rvb i="13448"/>
        </ext>
      </extLst>
    </bk>
    <bk>
      <extLst>
        <ext uri="{3e2802c4-a4d2-4d8b-9148-e3be6c30e623}">
          <xlrd:rvb i="13449"/>
        </ext>
      </extLst>
    </bk>
    <bk>
      <extLst>
        <ext uri="{3e2802c4-a4d2-4d8b-9148-e3be6c30e623}">
          <xlrd:rvb i="13450"/>
        </ext>
      </extLst>
    </bk>
    <bk>
      <extLst>
        <ext uri="{3e2802c4-a4d2-4d8b-9148-e3be6c30e623}">
          <xlrd:rvb i="13451"/>
        </ext>
      </extLst>
    </bk>
    <bk>
      <extLst>
        <ext uri="{3e2802c4-a4d2-4d8b-9148-e3be6c30e623}">
          <xlrd:rvb i="13452"/>
        </ext>
      </extLst>
    </bk>
    <bk>
      <extLst>
        <ext uri="{3e2802c4-a4d2-4d8b-9148-e3be6c30e623}">
          <xlrd:rvb i="13453"/>
        </ext>
      </extLst>
    </bk>
    <bk>
      <extLst>
        <ext uri="{3e2802c4-a4d2-4d8b-9148-e3be6c30e623}">
          <xlrd:rvb i="13454"/>
        </ext>
      </extLst>
    </bk>
    <bk>
      <extLst>
        <ext uri="{3e2802c4-a4d2-4d8b-9148-e3be6c30e623}">
          <xlrd:rvb i="13455"/>
        </ext>
      </extLst>
    </bk>
    <bk>
      <extLst>
        <ext uri="{3e2802c4-a4d2-4d8b-9148-e3be6c30e623}">
          <xlrd:rvb i="13456"/>
        </ext>
      </extLst>
    </bk>
    <bk>
      <extLst>
        <ext uri="{3e2802c4-a4d2-4d8b-9148-e3be6c30e623}">
          <xlrd:rvb i="13457"/>
        </ext>
      </extLst>
    </bk>
    <bk>
      <extLst>
        <ext uri="{3e2802c4-a4d2-4d8b-9148-e3be6c30e623}">
          <xlrd:rvb i="13458"/>
        </ext>
      </extLst>
    </bk>
    <bk>
      <extLst>
        <ext uri="{3e2802c4-a4d2-4d8b-9148-e3be6c30e623}">
          <xlrd:rvb i="13459"/>
        </ext>
      </extLst>
    </bk>
    <bk>
      <extLst>
        <ext uri="{3e2802c4-a4d2-4d8b-9148-e3be6c30e623}">
          <xlrd:rvb i="13460"/>
        </ext>
      </extLst>
    </bk>
    <bk>
      <extLst>
        <ext uri="{3e2802c4-a4d2-4d8b-9148-e3be6c30e623}">
          <xlrd:rvb i="13461"/>
        </ext>
      </extLst>
    </bk>
    <bk>
      <extLst>
        <ext uri="{3e2802c4-a4d2-4d8b-9148-e3be6c30e623}">
          <xlrd:rvb i="13462"/>
        </ext>
      </extLst>
    </bk>
    <bk>
      <extLst>
        <ext uri="{3e2802c4-a4d2-4d8b-9148-e3be6c30e623}">
          <xlrd:rvb i="13463"/>
        </ext>
      </extLst>
    </bk>
    <bk>
      <extLst>
        <ext uri="{3e2802c4-a4d2-4d8b-9148-e3be6c30e623}">
          <xlrd:rvb i="13464"/>
        </ext>
      </extLst>
    </bk>
    <bk>
      <extLst>
        <ext uri="{3e2802c4-a4d2-4d8b-9148-e3be6c30e623}">
          <xlrd:rvb i="13465"/>
        </ext>
      </extLst>
    </bk>
    <bk>
      <extLst>
        <ext uri="{3e2802c4-a4d2-4d8b-9148-e3be6c30e623}">
          <xlrd:rvb i="13466"/>
        </ext>
      </extLst>
    </bk>
    <bk>
      <extLst>
        <ext uri="{3e2802c4-a4d2-4d8b-9148-e3be6c30e623}">
          <xlrd:rvb i="13467"/>
        </ext>
      </extLst>
    </bk>
    <bk>
      <extLst>
        <ext uri="{3e2802c4-a4d2-4d8b-9148-e3be6c30e623}">
          <xlrd:rvb i="13468"/>
        </ext>
      </extLst>
    </bk>
    <bk>
      <extLst>
        <ext uri="{3e2802c4-a4d2-4d8b-9148-e3be6c30e623}">
          <xlrd:rvb i="13469"/>
        </ext>
      </extLst>
    </bk>
    <bk>
      <extLst>
        <ext uri="{3e2802c4-a4d2-4d8b-9148-e3be6c30e623}">
          <xlrd:rvb i="13470"/>
        </ext>
      </extLst>
    </bk>
    <bk>
      <extLst>
        <ext uri="{3e2802c4-a4d2-4d8b-9148-e3be6c30e623}">
          <xlrd:rvb i="13471"/>
        </ext>
      </extLst>
    </bk>
    <bk>
      <extLst>
        <ext uri="{3e2802c4-a4d2-4d8b-9148-e3be6c30e623}">
          <xlrd:rvb i="13472"/>
        </ext>
      </extLst>
    </bk>
    <bk>
      <extLst>
        <ext uri="{3e2802c4-a4d2-4d8b-9148-e3be6c30e623}">
          <xlrd:rvb i="13473"/>
        </ext>
      </extLst>
    </bk>
    <bk>
      <extLst>
        <ext uri="{3e2802c4-a4d2-4d8b-9148-e3be6c30e623}">
          <xlrd:rvb i="13474"/>
        </ext>
      </extLst>
    </bk>
    <bk>
      <extLst>
        <ext uri="{3e2802c4-a4d2-4d8b-9148-e3be6c30e623}">
          <xlrd:rvb i="13475"/>
        </ext>
      </extLst>
    </bk>
    <bk>
      <extLst>
        <ext uri="{3e2802c4-a4d2-4d8b-9148-e3be6c30e623}">
          <xlrd:rvb i="13476"/>
        </ext>
      </extLst>
    </bk>
    <bk>
      <extLst>
        <ext uri="{3e2802c4-a4d2-4d8b-9148-e3be6c30e623}">
          <xlrd:rvb i="13477"/>
        </ext>
      </extLst>
    </bk>
    <bk>
      <extLst>
        <ext uri="{3e2802c4-a4d2-4d8b-9148-e3be6c30e623}">
          <xlrd:rvb i="13478"/>
        </ext>
      </extLst>
    </bk>
    <bk>
      <extLst>
        <ext uri="{3e2802c4-a4d2-4d8b-9148-e3be6c30e623}">
          <xlrd:rvb i="13479"/>
        </ext>
      </extLst>
    </bk>
    <bk>
      <extLst>
        <ext uri="{3e2802c4-a4d2-4d8b-9148-e3be6c30e623}">
          <xlrd:rvb i="13480"/>
        </ext>
      </extLst>
    </bk>
    <bk>
      <extLst>
        <ext uri="{3e2802c4-a4d2-4d8b-9148-e3be6c30e623}">
          <xlrd:rvb i="13481"/>
        </ext>
      </extLst>
    </bk>
    <bk>
      <extLst>
        <ext uri="{3e2802c4-a4d2-4d8b-9148-e3be6c30e623}">
          <xlrd:rvb i="13482"/>
        </ext>
      </extLst>
    </bk>
    <bk>
      <extLst>
        <ext uri="{3e2802c4-a4d2-4d8b-9148-e3be6c30e623}">
          <xlrd:rvb i="13483"/>
        </ext>
      </extLst>
    </bk>
    <bk>
      <extLst>
        <ext uri="{3e2802c4-a4d2-4d8b-9148-e3be6c30e623}">
          <xlrd:rvb i="13484"/>
        </ext>
      </extLst>
    </bk>
    <bk>
      <extLst>
        <ext uri="{3e2802c4-a4d2-4d8b-9148-e3be6c30e623}">
          <xlrd:rvb i="13485"/>
        </ext>
      </extLst>
    </bk>
    <bk>
      <extLst>
        <ext uri="{3e2802c4-a4d2-4d8b-9148-e3be6c30e623}">
          <xlrd:rvb i="13486"/>
        </ext>
      </extLst>
    </bk>
    <bk>
      <extLst>
        <ext uri="{3e2802c4-a4d2-4d8b-9148-e3be6c30e623}">
          <xlrd:rvb i="13487"/>
        </ext>
      </extLst>
    </bk>
    <bk>
      <extLst>
        <ext uri="{3e2802c4-a4d2-4d8b-9148-e3be6c30e623}">
          <xlrd:rvb i="13488"/>
        </ext>
      </extLst>
    </bk>
    <bk>
      <extLst>
        <ext uri="{3e2802c4-a4d2-4d8b-9148-e3be6c30e623}">
          <xlrd:rvb i="13489"/>
        </ext>
      </extLst>
    </bk>
    <bk>
      <extLst>
        <ext uri="{3e2802c4-a4d2-4d8b-9148-e3be6c30e623}">
          <xlrd:rvb i="13490"/>
        </ext>
      </extLst>
    </bk>
    <bk>
      <extLst>
        <ext uri="{3e2802c4-a4d2-4d8b-9148-e3be6c30e623}">
          <xlrd:rvb i="13491"/>
        </ext>
      </extLst>
    </bk>
    <bk>
      <extLst>
        <ext uri="{3e2802c4-a4d2-4d8b-9148-e3be6c30e623}">
          <xlrd:rvb i="13492"/>
        </ext>
      </extLst>
    </bk>
    <bk>
      <extLst>
        <ext uri="{3e2802c4-a4d2-4d8b-9148-e3be6c30e623}">
          <xlrd:rvb i="13493"/>
        </ext>
      </extLst>
    </bk>
    <bk>
      <extLst>
        <ext uri="{3e2802c4-a4d2-4d8b-9148-e3be6c30e623}">
          <xlrd:rvb i="13494"/>
        </ext>
      </extLst>
    </bk>
    <bk>
      <extLst>
        <ext uri="{3e2802c4-a4d2-4d8b-9148-e3be6c30e623}">
          <xlrd:rvb i="13495"/>
        </ext>
      </extLst>
    </bk>
    <bk>
      <extLst>
        <ext uri="{3e2802c4-a4d2-4d8b-9148-e3be6c30e623}">
          <xlrd:rvb i="13496"/>
        </ext>
      </extLst>
    </bk>
    <bk>
      <extLst>
        <ext uri="{3e2802c4-a4d2-4d8b-9148-e3be6c30e623}">
          <xlrd:rvb i="13497"/>
        </ext>
      </extLst>
    </bk>
    <bk>
      <extLst>
        <ext uri="{3e2802c4-a4d2-4d8b-9148-e3be6c30e623}">
          <xlrd:rvb i="13498"/>
        </ext>
      </extLst>
    </bk>
    <bk>
      <extLst>
        <ext uri="{3e2802c4-a4d2-4d8b-9148-e3be6c30e623}">
          <xlrd:rvb i="13499"/>
        </ext>
      </extLst>
    </bk>
    <bk>
      <extLst>
        <ext uri="{3e2802c4-a4d2-4d8b-9148-e3be6c30e623}">
          <xlrd:rvb i="13500"/>
        </ext>
      </extLst>
    </bk>
    <bk>
      <extLst>
        <ext uri="{3e2802c4-a4d2-4d8b-9148-e3be6c30e623}">
          <xlrd:rvb i="13501"/>
        </ext>
      </extLst>
    </bk>
    <bk>
      <extLst>
        <ext uri="{3e2802c4-a4d2-4d8b-9148-e3be6c30e623}">
          <xlrd:rvb i="13502"/>
        </ext>
      </extLst>
    </bk>
    <bk>
      <extLst>
        <ext uri="{3e2802c4-a4d2-4d8b-9148-e3be6c30e623}">
          <xlrd:rvb i="13503"/>
        </ext>
      </extLst>
    </bk>
    <bk>
      <extLst>
        <ext uri="{3e2802c4-a4d2-4d8b-9148-e3be6c30e623}">
          <xlrd:rvb i="13504"/>
        </ext>
      </extLst>
    </bk>
    <bk>
      <extLst>
        <ext uri="{3e2802c4-a4d2-4d8b-9148-e3be6c30e623}">
          <xlrd:rvb i="13505"/>
        </ext>
      </extLst>
    </bk>
    <bk>
      <extLst>
        <ext uri="{3e2802c4-a4d2-4d8b-9148-e3be6c30e623}">
          <xlrd:rvb i="13506"/>
        </ext>
      </extLst>
    </bk>
    <bk>
      <extLst>
        <ext uri="{3e2802c4-a4d2-4d8b-9148-e3be6c30e623}">
          <xlrd:rvb i="13507"/>
        </ext>
      </extLst>
    </bk>
    <bk>
      <extLst>
        <ext uri="{3e2802c4-a4d2-4d8b-9148-e3be6c30e623}">
          <xlrd:rvb i="13508"/>
        </ext>
      </extLst>
    </bk>
    <bk>
      <extLst>
        <ext uri="{3e2802c4-a4d2-4d8b-9148-e3be6c30e623}">
          <xlrd:rvb i="13509"/>
        </ext>
      </extLst>
    </bk>
    <bk>
      <extLst>
        <ext uri="{3e2802c4-a4d2-4d8b-9148-e3be6c30e623}">
          <xlrd:rvb i="13510"/>
        </ext>
      </extLst>
    </bk>
    <bk>
      <extLst>
        <ext uri="{3e2802c4-a4d2-4d8b-9148-e3be6c30e623}">
          <xlrd:rvb i="13511"/>
        </ext>
      </extLst>
    </bk>
    <bk>
      <extLst>
        <ext uri="{3e2802c4-a4d2-4d8b-9148-e3be6c30e623}">
          <xlrd:rvb i="13512"/>
        </ext>
      </extLst>
    </bk>
    <bk>
      <extLst>
        <ext uri="{3e2802c4-a4d2-4d8b-9148-e3be6c30e623}">
          <xlrd:rvb i="13513"/>
        </ext>
      </extLst>
    </bk>
    <bk>
      <extLst>
        <ext uri="{3e2802c4-a4d2-4d8b-9148-e3be6c30e623}">
          <xlrd:rvb i="13514"/>
        </ext>
      </extLst>
    </bk>
    <bk>
      <extLst>
        <ext uri="{3e2802c4-a4d2-4d8b-9148-e3be6c30e623}">
          <xlrd:rvb i="13515"/>
        </ext>
      </extLst>
    </bk>
    <bk>
      <extLst>
        <ext uri="{3e2802c4-a4d2-4d8b-9148-e3be6c30e623}">
          <xlrd:rvb i="13516"/>
        </ext>
      </extLst>
    </bk>
    <bk>
      <extLst>
        <ext uri="{3e2802c4-a4d2-4d8b-9148-e3be6c30e623}">
          <xlrd:rvb i="13517"/>
        </ext>
      </extLst>
    </bk>
    <bk>
      <extLst>
        <ext uri="{3e2802c4-a4d2-4d8b-9148-e3be6c30e623}">
          <xlrd:rvb i="13518"/>
        </ext>
      </extLst>
    </bk>
    <bk>
      <extLst>
        <ext uri="{3e2802c4-a4d2-4d8b-9148-e3be6c30e623}">
          <xlrd:rvb i="13519"/>
        </ext>
      </extLst>
    </bk>
    <bk>
      <extLst>
        <ext uri="{3e2802c4-a4d2-4d8b-9148-e3be6c30e623}">
          <xlrd:rvb i="13520"/>
        </ext>
      </extLst>
    </bk>
    <bk>
      <extLst>
        <ext uri="{3e2802c4-a4d2-4d8b-9148-e3be6c30e623}">
          <xlrd:rvb i="13521"/>
        </ext>
      </extLst>
    </bk>
    <bk>
      <extLst>
        <ext uri="{3e2802c4-a4d2-4d8b-9148-e3be6c30e623}">
          <xlrd:rvb i="13522"/>
        </ext>
      </extLst>
    </bk>
    <bk>
      <extLst>
        <ext uri="{3e2802c4-a4d2-4d8b-9148-e3be6c30e623}">
          <xlrd:rvb i="13523"/>
        </ext>
      </extLst>
    </bk>
    <bk>
      <extLst>
        <ext uri="{3e2802c4-a4d2-4d8b-9148-e3be6c30e623}">
          <xlrd:rvb i="13524"/>
        </ext>
      </extLst>
    </bk>
    <bk>
      <extLst>
        <ext uri="{3e2802c4-a4d2-4d8b-9148-e3be6c30e623}">
          <xlrd:rvb i="13525"/>
        </ext>
      </extLst>
    </bk>
    <bk>
      <extLst>
        <ext uri="{3e2802c4-a4d2-4d8b-9148-e3be6c30e623}">
          <xlrd:rvb i="13526"/>
        </ext>
      </extLst>
    </bk>
    <bk>
      <extLst>
        <ext uri="{3e2802c4-a4d2-4d8b-9148-e3be6c30e623}">
          <xlrd:rvb i="13527"/>
        </ext>
      </extLst>
    </bk>
    <bk>
      <extLst>
        <ext uri="{3e2802c4-a4d2-4d8b-9148-e3be6c30e623}">
          <xlrd:rvb i="13528"/>
        </ext>
      </extLst>
    </bk>
    <bk>
      <extLst>
        <ext uri="{3e2802c4-a4d2-4d8b-9148-e3be6c30e623}">
          <xlrd:rvb i="13529"/>
        </ext>
      </extLst>
    </bk>
    <bk>
      <extLst>
        <ext uri="{3e2802c4-a4d2-4d8b-9148-e3be6c30e623}">
          <xlrd:rvb i="13530"/>
        </ext>
      </extLst>
    </bk>
    <bk>
      <extLst>
        <ext uri="{3e2802c4-a4d2-4d8b-9148-e3be6c30e623}">
          <xlrd:rvb i="13531"/>
        </ext>
      </extLst>
    </bk>
    <bk>
      <extLst>
        <ext uri="{3e2802c4-a4d2-4d8b-9148-e3be6c30e623}">
          <xlrd:rvb i="13532"/>
        </ext>
      </extLst>
    </bk>
    <bk>
      <extLst>
        <ext uri="{3e2802c4-a4d2-4d8b-9148-e3be6c30e623}">
          <xlrd:rvb i="13533"/>
        </ext>
      </extLst>
    </bk>
    <bk>
      <extLst>
        <ext uri="{3e2802c4-a4d2-4d8b-9148-e3be6c30e623}">
          <xlrd:rvb i="13534"/>
        </ext>
      </extLst>
    </bk>
    <bk>
      <extLst>
        <ext uri="{3e2802c4-a4d2-4d8b-9148-e3be6c30e623}">
          <xlrd:rvb i="13535"/>
        </ext>
      </extLst>
    </bk>
    <bk>
      <extLst>
        <ext uri="{3e2802c4-a4d2-4d8b-9148-e3be6c30e623}">
          <xlrd:rvb i="13536"/>
        </ext>
      </extLst>
    </bk>
    <bk>
      <extLst>
        <ext uri="{3e2802c4-a4d2-4d8b-9148-e3be6c30e623}">
          <xlrd:rvb i="13537"/>
        </ext>
      </extLst>
    </bk>
    <bk>
      <extLst>
        <ext uri="{3e2802c4-a4d2-4d8b-9148-e3be6c30e623}">
          <xlrd:rvb i="13538"/>
        </ext>
      </extLst>
    </bk>
    <bk>
      <extLst>
        <ext uri="{3e2802c4-a4d2-4d8b-9148-e3be6c30e623}">
          <xlrd:rvb i="13539"/>
        </ext>
      </extLst>
    </bk>
    <bk>
      <extLst>
        <ext uri="{3e2802c4-a4d2-4d8b-9148-e3be6c30e623}">
          <xlrd:rvb i="13540"/>
        </ext>
      </extLst>
    </bk>
    <bk>
      <extLst>
        <ext uri="{3e2802c4-a4d2-4d8b-9148-e3be6c30e623}">
          <xlrd:rvb i="13541"/>
        </ext>
      </extLst>
    </bk>
    <bk>
      <extLst>
        <ext uri="{3e2802c4-a4d2-4d8b-9148-e3be6c30e623}">
          <xlrd:rvb i="13542"/>
        </ext>
      </extLst>
    </bk>
    <bk>
      <extLst>
        <ext uri="{3e2802c4-a4d2-4d8b-9148-e3be6c30e623}">
          <xlrd:rvb i="13543"/>
        </ext>
      </extLst>
    </bk>
    <bk>
      <extLst>
        <ext uri="{3e2802c4-a4d2-4d8b-9148-e3be6c30e623}">
          <xlrd:rvb i="13544"/>
        </ext>
      </extLst>
    </bk>
    <bk>
      <extLst>
        <ext uri="{3e2802c4-a4d2-4d8b-9148-e3be6c30e623}">
          <xlrd:rvb i="13545"/>
        </ext>
      </extLst>
    </bk>
    <bk>
      <extLst>
        <ext uri="{3e2802c4-a4d2-4d8b-9148-e3be6c30e623}">
          <xlrd:rvb i="13546"/>
        </ext>
      </extLst>
    </bk>
    <bk>
      <extLst>
        <ext uri="{3e2802c4-a4d2-4d8b-9148-e3be6c30e623}">
          <xlrd:rvb i="13547"/>
        </ext>
      </extLst>
    </bk>
    <bk>
      <extLst>
        <ext uri="{3e2802c4-a4d2-4d8b-9148-e3be6c30e623}">
          <xlrd:rvb i="13548"/>
        </ext>
      </extLst>
    </bk>
    <bk>
      <extLst>
        <ext uri="{3e2802c4-a4d2-4d8b-9148-e3be6c30e623}">
          <xlrd:rvb i="13549"/>
        </ext>
      </extLst>
    </bk>
    <bk>
      <extLst>
        <ext uri="{3e2802c4-a4d2-4d8b-9148-e3be6c30e623}">
          <xlrd:rvb i="13550"/>
        </ext>
      </extLst>
    </bk>
    <bk>
      <extLst>
        <ext uri="{3e2802c4-a4d2-4d8b-9148-e3be6c30e623}">
          <xlrd:rvb i="13551"/>
        </ext>
      </extLst>
    </bk>
    <bk>
      <extLst>
        <ext uri="{3e2802c4-a4d2-4d8b-9148-e3be6c30e623}">
          <xlrd:rvb i="13552"/>
        </ext>
      </extLst>
    </bk>
    <bk>
      <extLst>
        <ext uri="{3e2802c4-a4d2-4d8b-9148-e3be6c30e623}">
          <xlrd:rvb i="13553"/>
        </ext>
      </extLst>
    </bk>
    <bk>
      <extLst>
        <ext uri="{3e2802c4-a4d2-4d8b-9148-e3be6c30e623}">
          <xlrd:rvb i="13554"/>
        </ext>
      </extLst>
    </bk>
    <bk>
      <extLst>
        <ext uri="{3e2802c4-a4d2-4d8b-9148-e3be6c30e623}">
          <xlrd:rvb i="13555"/>
        </ext>
      </extLst>
    </bk>
    <bk>
      <extLst>
        <ext uri="{3e2802c4-a4d2-4d8b-9148-e3be6c30e623}">
          <xlrd:rvb i="13556"/>
        </ext>
      </extLst>
    </bk>
    <bk>
      <extLst>
        <ext uri="{3e2802c4-a4d2-4d8b-9148-e3be6c30e623}">
          <xlrd:rvb i="13557"/>
        </ext>
      </extLst>
    </bk>
    <bk>
      <extLst>
        <ext uri="{3e2802c4-a4d2-4d8b-9148-e3be6c30e623}">
          <xlrd:rvb i="13558"/>
        </ext>
      </extLst>
    </bk>
    <bk>
      <extLst>
        <ext uri="{3e2802c4-a4d2-4d8b-9148-e3be6c30e623}">
          <xlrd:rvb i="13559"/>
        </ext>
      </extLst>
    </bk>
    <bk>
      <extLst>
        <ext uri="{3e2802c4-a4d2-4d8b-9148-e3be6c30e623}">
          <xlrd:rvb i="13560"/>
        </ext>
      </extLst>
    </bk>
    <bk>
      <extLst>
        <ext uri="{3e2802c4-a4d2-4d8b-9148-e3be6c30e623}">
          <xlrd:rvb i="13561"/>
        </ext>
      </extLst>
    </bk>
    <bk>
      <extLst>
        <ext uri="{3e2802c4-a4d2-4d8b-9148-e3be6c30e623}">
          <xlrd:rvb i="13562"/>
        </ext>
      </extLst>
    </bk>
    <bk>
      <extLst>
        <ext uri="{3e2802c4-a4d2-4d8b-9148-e3be6c30e623}">
          <xlrd:rvb i="13563"/>
        </ext>
      </extLst>
    </bk>
    <bk>
      <extLst>
        <ext uri="{3e2802c4-a4d2-4d8b-9148-e3be6c30e623}">
          <xlrd:rvb i="13564"/>
        </ext>
      </extLst>
    </bk>
    <bk>
      <extLst>
        <ext uri="{3e2802c4-a4d2-4d8b-9148-e3be6c30e623}">
          <xlrd:rvb i="13565"/>
        </ext>
      </extLst>
    </bk>
    <bk>
      <extLst>
        <ext uri="{3e2802c4-a4d2-4d8b-9148-e3be6c30e623}">
          <xlrd:rvb i="13566"/>
        </ext>
      </extLst>
    </bk>
    <bk>
      <extLst>
        <ext uri="{3e2802c4-a4d2-4d8b-9148-e3be6c30e623}">
          <xlrd:rvb i="13567"/>
        </ext>
      </extLst>
    </bk>
    <bk>
      <extLst>
        <ext uri="{3e2802c4-a4d2-4d8b-9148-e3be6c30e623}">
          <xlrd:rvb i="13568"/>
        </ext>
      </extLst>
    </bk>
    <bk>
      <extLst>
        <ext uri="{3e2802c4-a4d2-4d8b-9148-e3be6c30e623}">
          <xlrd:rvb i="13569"/>
        </ext>
      </extLst>
    </bk>
    <bk>
      <extLst>
        <ext uri="{3e2802c4-a4d2-4d8b-9148-e3be6c30e623}">
          <xlrd:rvb i="13570"/>
        </ext>
      </extLst>
    </bk>
    <bk>
      <extLst>
        <ext uri="{3e2802c4-a4d2-4d8b-9148-e3be6c30e623}">
          <xlrd:rvb i="13571"/>
        </ext>
      </extLst>
    </bk>
    <bk>
      <extLst>
        <ext uri="{3e2802c4-a4d2-4d8b-9148-e3be6c30e623}">
          <xlrd:rvb i="13572"/>
        </ext>
      </extLst>
    </bk>
    <bk>
      <extLst>
        <ext uri="{3e2802c4-a4d2-4d8b-9148-e3be6c30e623}">
          <xlrd:rvb i="13573"/>
        </ext>
      </extLst>
    </bk>
    <bk>
      <extLst>
        <ext uri="{3e2802c4-a4d2-4d8b-9148-e3be6c30e623}">
          <xlrd:rvb i="13574"/>
        </ext>
      </extLst>
    </bk>
    <bk>
      <extLst>
        <ext uri="{3e2802c4-a4d2-4d8b-9148-e3be6c30e623}">
          <xlrd:rvb i="13575"/>
        </ext>
      </extLst>
    </bk>
    <bk>
      <extLst>
        <ext uri="{3e2802c4-a4d2-4d8b-9148-e3be6c30e623}">
          <xlrd:rvb i="13576"/>
        </ext>
      </extLst>
    </bk>
    <bk>
      <extLst>
        <ext uri="{3e2802c4-a4d2-4d8b-9148-e3be6c30e623}">
          <xlrd:rvb i="13577"/>
        </ext>
      </extLst>
    </bk>
    <bk>
      <extLst>
        <ext uri="{3e2802c4-a4d2-4d8b-9148-e3be6c30e623}">
          <xlrd:rvb i="13578"/>
        </ext>
      </extLst>
    </bk>
    <bk>
      <extLst>
        <ext uri="{3e2802c4-a4d2-4d8b-9148-e3be6c30e623}">
          <xlrd:rvb i="13579"/>
        </ext>
      </extLst>
    </bk>
    <bk>
      <extLst>
        <ext uri="{3e2802c4-a4d2-4d8b-9148-e3be6c30e623}">
          <xlrd:rvb i="13580"/>
        </ext>
      </extLst>
    </bk>
    <bk>
      <extLst>
        <ext uri="{3e2802c4-a4d2-4d8b-9148-e3be6c30e623}">
          <xlrd:rvb i="13581"/>
        </ext>
      </extLst>
    </bk>
    <bk>
      <extLst>
        <ext uri="{3e2802c4-a4d2-4d8b-9148-e3be6c30e623}">
          <xlrd:rvb i="13582"/>
        </ext>
      </extLst>
    </bk>
    <bk>
      <extLst>
        <ext uri="{3e2802c4-a4d2-4d8b-9148-e3be6c30e623}">
          <xlrd:rvb i="13583"/>
        </ext>
      </extLst>
    </bk>
    <bk>
      <extLst>
        <ext uri="{3e2802c4-a4d2-4d8b-9148-e3be6c30e623}">
          <xlrd:rvb i="13584"/>
        </ext>
      </extLst>
    </bk>
    <bk>
      <extLst>
        <ext uri="{3e2802c4-a4d2-4d8b-9148-e3be6c30e623}">
          <xlrd:rvb i="13585"/>
        </ext>
      </extLst>
    </bk>
    <bk>
      <extLst>
        <ext uri="{3e2802c4-a4d2-4d8b-9148-e3be6c30e623}">
          <xlrd:rvb i="13586"/>
        </ext>
      </extLst>
    </bk>
    <bk>
      <extLst>
        <ext uri="{3e2802c4-a4d2-4d8b-9148-e3be6c30e623}">
          <xlrd:rvb i="13587"/>
        </ext>
      </extLst>
    </bk>
    <bk>
      <extLst>
        <ext uri="{3e2802c4-a4d2-4d8b-9148-e3be6c30e623}">
          <xlrd:rvb i="13588"/>
        </ext>
      </extLst>
    </bk>
    <bk>
      <extLst>
        <ext uri="{3e2802c4-a4d2-4d8b-9148-e3be6c30e623}">
          <xlrd:rvb i="13589"/>
        </ext>
      </extLst>
    </bk>
    <bk>
      <extLst>
        <ext uri="{3e2802c4-a4d2-4d8b-9148-e3be6c30e623}">
          <xlrd:rvb i="13590"/>
        </ext>
      </extLst>
    </bk>
    <bk>
      <extLst>
        <ext uri="{3e2802c4-a4d2-4d8b-9148-e3be6c30e623}">
          <xlrd:rvb i="13591"/>
        </ext>
      </extLst>
    </bk>
    <bk>
      <extLst>
        <ext uri="{3e2802c4-a4d2-4d8b-9148-e3be6c30e623}">
          <xlrd:rvb i="13592"/>
        </ext>
      </extLst>
    </bk>
    <bk>
      <extLst>
        <ext uri="{3e2802c4-a4d2-4d8b-9148-e3be6c30e623}">
          <xlrd:rvb i="13593"/>
        </ext>
      </extLst>
    </bk>
    <bk>
      <extLst>
        <ext uri="{3e2802c4-a4d2-4d8b-9148-e3be6c30e623}">
          <xlrd:rvb i="13594"/>
        </ext>
      </extLst>
    </bk>
    <bk>
      <extLst>
        <ext uri="{3e2802c4-a4d2-4d8b-9148-e3be6c30e623}">
          <xlrd:rvb i="13595"/>
        </ext>
      </extLst>
    </bk>
    <bk>
      <extLst>
        <ext uri="{3e2802c4-a4d2-4d8b-9148-e3be6c30e623}">
          <xlrd:rvb i="13596"/>
        </ext>
      </extLst>
    </bk>
    <bk>
      <extLst>
        <ext uri="{3e2802c4-a4d2-4d8b-9148-e3be6c30e623}">
          <xlrd:rvb i="13597"/>
        </ext>
      </extLst>
    </bk>
    <bk>
      <extLst>
        <ext uri="{3e2802c4-a4d2-4d8b-9148-e3be6c30e623}">
          <xlrd:rvb i="13598"/>
        </ext>
      </extLst>
    </bk>
    <bk>
      <extLst>
        <ext uri="{3e2802c4-a4d2-4d8b-9148-e3be6c30e623}">
          <xlrd:rvb i="13599"/>
        </ext>
      </extLst>
    </bk>
    <bk>
      <extLst>
        <ext uri="{3e2802c4-a4d2-4d8b-9148-e3be6c30e623}">
          <xlrd:rvb i="13600"/>
        </ext>
      </extLst>
    </bk>
    <bk>
      <extLst>
        <ext uri="{3e2802c4-a4d2-4d8b-9148-e3be6c30e623}">
          <xlrd:rvb i="13601"/>
        </ext>
      </extLst>
    </bk>
    <bk>
      <extLst>
        <ext uri="{3e2802c4-a4d2-4d8b-9148-e3be6c30e623}">
          <xlrd:rvb i="13602"/>
        </ext>
      </extLst>
    </bk>
    <bk>
      <extLst>
        <ext uri="{3e2802c4-a4d2-4d8b-9148-e3be6c30e623}">
          <xlrd:rvb i="13603"/>
        </ext>
      </extLst>
    </bk>
    <bk>
      <extLst>
        <ext uri="{3e2802c4-a4d2-4d8b-9148-e3be6c30e623}">
          <xlrd:rvb i="13604"/>
        </ext>
      </extLst>
    </bk>
    <bk>
      <extLst>
        <ext uri="{3e2802c4-a4d2-4d8b-9148-e3be6c30e623}">
          <xlrd:rvb i="13605"/>
        </ext>
      </extLst>
    </bk>
    <bk>
      <extLst>
        <ext uri="{3e2802c4-a4d2-4d8b-9148-e3be6c30e623}">
          <xlrd:rvb i="13606"/>
        </ext>
      </extLst>
    </bk>
    <bk>
      <extLst>
        <ext uri="{3e2802c4-a4d2-4d8b-9148-e3be6c30e623}">
          <xlrd:rvb i="13607"/>
        </ext>
      </extLst>
    </bk>
    <bk>
      <extLst>
        <ext uri="{3e2802c4-a4d2-4d8b-9148-e3be6c30e623}">
          <xlrd:rvb i="13608"/>
        </ext>
      </extLst>
    </bk>
    <bk>
      <extLst>
        <ext uri="{3e2802c4-a4d2-4d8b-9148-e3be6c30e623}">
          <xlrd:rvb i="13609"/>
        </ext>
      </extLst>
    </bk>
    <bk>
      <extLst>
        <ext uri="{3e2802c4-a4d2-4d8b-9148-e3be6c30e623}">
          <xlrd:rvb i="13610"/>
        </ext>
      </extLst>
    </bk>
    <bk>
      <extLst>
        <ext uri="{3e2802c4-a4d2-4d8b-9148-e3be6c30e623}">
          <xlrd:rvb i="13611"/>
        </ext>
      </extLst>
    </bk>
    <bk>
      <extLst>
        <ext uri="{3e2802c4-a4d2-4d8b-9148-e3be6c30e623}">
          <xlrd:rvb i="13612"/>
        </ext>
      </extLst>
    </bk>
    <bk>
      <extLst>
        <ext uri="{3e2802c4-a4d2-4d8b-9148-e3be6c30e623}">
          <xlrd:rvb i="13613"/>
        </ext>
      </extLst>
    </bk>
    <bk>
      <extLst>
        <ext uri="{3e2802c4-a4d2-4d8b-9148-e3be6c30e623}">
          <xlrd:rvb i="13614"/>
        </ext>
      </extLst>
    </bk>
    <bk>
      <extLst>
        <ext uri="{3e2802c4-a4d2-4d8b-9148-e3be6c30e623}">
          <xlrd:rvb i="13615"/>
        </ext>
      </extLst>
    </bk>
    <bk>
      <extLst>
        <ext uri="{3e2802c4-a4d2-4d8b-9148-e3be6c30e623}">
          <xlrd:rvb i="13616"/>
        </ext>
      </extLst>
    </bk>
    <bk>
      <extLst>
        <ext uri="{3e2802c4-a4d2-4d8b-9148-e3be6c30e623}">
          <xlrd:rvb i="13617"/>
        </ext>
      </extLst>
    </bk>
    <bk>
      <extLst>
        <ext uri="{3e2802c4-a4d2-4d8b-9148-e3be6c30e623}">
          <xlrd:rvb i="13618"/>
        </ext>
      </extLst>
    </bk>
    <bk>
      <extLst>
        <ext uri="{3e2802c4-a4d2-4d8b-9148-e3be6c30e623}">
          <xlrd:rvb i="13619"/>
        </ext>
      </extLst>
    </bk>
    <bk>
      <extLst>
        <ext uri="{3e2802c4-a4d2-4d8b-9148-e3be6c30e623}">
          <xlrd:rvb i="13620"/>
        </ext>
      </extLst>
    </bk>
    <bk>
      <extLst>
        <ext uri="{3e2802c4-a4d2-4d8b-9148-e3be6c30e623}">
          <xlrd:rvb i="13621"/>
        </ext>
      </extLst>
    </bk>
    <bk>
      <extLst>
        <ext uri="{3e2802c4-a4d2-4d8b-9148-e3be6c30e623}">
          <xlrd:rvb i="13622"/>
        </ext>
      </extLst>
    </bk>
    <bk>
      <extLst>
        <ext uri="{3e2802c4-a4d2-4d8b-9148-e3be6c30e623}">
          <xlrd:rvb i="13623"/>
        </ext>
      </extLst>
    </bk>
    <bk>
      <extLst>
        <ext uri="{3e2802c4-a4d2-4d8b-9148-e3be6c30e623}">
          <xlrd:rvb i="13624"/>
        </ext>
      </extLst>
    </bk>
    <bk>
      <extLst>
        <ext uri="{3e2802c4-a4d2-4d8b-9148-e3be6c30e623}">
          <xlrd:rvb i="13625"/>
        </ext>
      </extLst>
    </bk>
    <bk>
      <extLst>
        <ext uri="{3e2802c4-a4d2-4d8b-9148-e3be6c30e623}">
          <xlrd:rvb i="13626"/>
        </ext>
      </extLst>
    </bk>
    <bk>
      <extLst>
        <ext uri="{3e2802c4-a4d2-4d8b-9148-e3be6c30e623}">
          <xlrd:rvb i="13627"/>
        </ext>
      </extLst>
    </bk>
    <bk>
      <extLst>
        <ext uri="{3e2802c4-a4d2-4d8b-9148-e3be6c30e623}">
          <xlrd:rvb i="13628"/>
        </ext>
      </extLst>
    </bk>
    <bk>
      <extLst>
        <ext uri="{3e2802c4-a4d2-4d8b-9148-e3be6c30e623}">
          <xlrd:rvb i="13629"/>
        </ext>
      </extLst>
    </bk>
    <bk>
      <extLst>
        <ext uri="{3e2802c4-a4d2-4d8b-9148-e3be6c30e623}">
          <xlrd:rvb i="13630"/>
        </ext>
      </extLst>
    </bk>
    <bk>
      <extLst>
        <ext uri="{3e2802c4-a4d2-4d8b-9148-e3be6c30e623}">
          <xlrd:rvb i="13631"/>
        </ext>
      </extLst>
    </bk>
    <bk>
      <extLst>
        <ext uri="{3e2802c4-a4d2-4d8b-9148-e3be6c30e623}">
          <xlrd:rvb i="13632"/>
        </ext>
      </extLst>
    </bk>
    <bk>
      <extLst>
        <ext uri="{3e2802c4-a4d2-4d8b-9148-e3be6c30e623}">
          <xlrd:rvb i="13633"/>
        </ext>
      </extLst>
    </bk>
    <bk>
      <extLst>
        <ext uri="{3e2802c4-a4d2-4d8b-9148-e3be6c30e623}">
          <xlrd:rvb i="13634"/>
        </ext>
      </extLst>
    </bk>
    <bk>
      <extLst>
        <ext uri="{3e2802c4-a4d2-4d8b-9148-e3be6c30e623}">
          <xlrd:rvb i="13635"/>
        </ext>
      </extLst>
    </bk>
    <bk>
      <extLst>
        <ext uri="{3e2802c4-a4d2-4d8b-9148-e3be6c30e623}">
          <xlrd:rvb i="13636"/>
        </ext>
      </extLst>
    </bk>
    <bk>
      <extLst>
        <ext uri="{3e2802c4-a4d2-4d8b-9148-e3be6c30e623}">
          <xlrd:rvb i="13637"/>
        </ext>
      </extLst>
    </bk>
    <bk>
      <extLst>
        <ext uri="{3e2802c4-a4d2-4d8b-9148-e3be6c30e623}">
          <xlrd:rvb i="13638"/>
        </ext>
      </extLst>
    </bk>
    <bk>
      <extLst>
        <ext uri="{3e2802c4-a4d2-4d8b-9148-e3be6c30e623}">
          <xlrd:rvb i="13639"/>
        </ext>
      </extLst>
    </bk>
    <bk>
      <extLst>
        <ext uri="{3e2802c4-a4d2-4d8b-9148-e3be6c30e623}">
          <xlrd:rvb i="13640"/>
        </ext>
      </extLst>
    </bk>
    <bk>
      <extLst>
        <ext uri="{3e2802c4-a4d2-4d8b-9148-e3be6c30e623}">
          <xlrd:rvb i="13641"/>
        </ext>
      </extLst>
    </bk>
    <bk>
      <extLst>
        <ext uri="{3e2802c4-a4d2-4d8b-9148-e3be6c30e623}">
          <xlrd:rvb i="13642"/>
        </ext>
      </extLst>
    </bk>
    <bk>
      <extLst>
        <ext uri="{3e2802c4-a4d2-4d8b-9148-e3be6c30e623}">
          <xlrd:rvb i="13643"/>
        </ext>
      </extLst>
    </bk>
    <bk>
      <extLst>
        <ext uri="{3e2802c4-a4d2-4d8b-9148-e3be6c30e623}">
          <xlrd:rvb i="13644"/>
        </ext>
      </extLst>
    </bk>
    <bk>
      <extLst>
        <ext uri="{3e2802c4-a4d2-4d8b-9148-e3be6c30e623}">
          <xlrd:rvb i="13645"/>
        </ext>
      </extLst>
    </bk>
    <bk>
      <extLst>
        <ext uri="{3e2802c4-a4d2-4d8b-9148-e3be6c30e623}">
          <xlrd:rvb i="13646"/>
        </ext>
      </extLst>
    </bk>
    <bk>
      <extLst>
        <ext uri="{3e2802c4-a4d2-4d8b-9148-e3be6c30e623}">
          <xlrd:rvb i="13647"/>
        </ext>
      </extLst>
    </bk>
    <bk>
      <extLst>
        <ext uri="{3e2802c4-a4d2-4d8b-9148-e3be6c30e623}">
          <xlrd:rvb i="13648"/>
        </ext>
      </extLst>
    </bk>
    <bk>
      <extLst>
        <ext uri="{3e2802c4-a4d2-4d8b-9148-e3be6c30e623}">
          <xlrd:rvb i="13649"/>
        </ext>
      </extLst>
    </bk>
    <bk>
      <extLst>
        <ext uri="{3e2802c4-a4d2-4d8b-9148-e3be6c30e623}">
          <xlrd:rvb i="13650"/>
        </ext>
      </extLst>
    </bk>
    <bk>
      <extLst>
        <ext uri="{3e2802c4-a4d2-4d8b-9148-e3be6c30e623}">
          <xlrd:rvb i="13651"/>
        </ext>
      </extLst>
    </bk>
    <bk>
      <extLst>
        <ext uri="{3e2802c4-a4d2-4d8b-9148-e3be6c30e623}">
          <xlrd:rvb i="13652"/>
        </ext>
      </extLst>
    </bk>
    <bk>
      <extLst>
        <ext uri="{3e2802c4-a4d2-4d8b-9148-e3be6c30e623}">
          <xlrd:rvb i="13653"/>
        </ext>
      </extLst>
    </bk>
    <bk>
      <extLst>
        <ext uri="{3e2802c4-a4d2-4d8b-9148-e3be6c30e623}">
          <xlrd:rvb i="13654"/>
        </ext>
      </extLst>
    </bk>
    <bk>
      <extLst>
        <ext uri="{3e2802c4-a4d2-4d8b-9148-e3be6c30e623}">
          <xlrd:rvb i="13655"/>
        </ext>
      </extLst>
    </bk>
    <bk>
      <extLst>
        <ext uri="{3e2802c4-a4d2-4d8b-9148-e3be6c30e623}">
          <xlrd:rvb i="13656"/>
        </ext>
      </extLst>
    </bk>
    <bk>
      <extLst>
        <ext uri="{3e2802c4-a4d2-4d8b-9148-e3be6c30e623}">
          <xlrd:rvb i="13657"/>
        </ext>
      </extLst>
    </bk>
    <bk>
      <extLst>
        <ext uri="{3e2802c4-a4d2-4d8b-9148-e3be6c30e623}">
          <xlrd:rvb i="13658"/>
        </ext>
      </extLst>
    </bk>
    <bk>
      <extLst>
        <ext uri="{3e2802c4-a4d2-4d8b-9148-e3be6c30e623}">
          <xlrd:rvb i="13659"/>
        </ext>
      </extLst>
    </bk>
    <bk>
      <extLst>
        <ext uri="{3e2802c4-a4d2-4d8b-9148-e3be6c30e623}">
          <xlrd:rvb i="13660"/>
        </ext>
      </extLst>
    </bk>
    <bk>
      <extLst>
        <ext uri="{3e2802c4-a4d2-4d8b-9148-e3be6c30e623}">
          <xlrd:rvb i="13661"/>
        </ext>
      </extLst>
    </bk>
    <bk>
      <extLst>
        <ext uri="{3e2802c4-a4d2-4d8b-9148-e3be6c30e623}">
          <xlrd:rvb i="13662"/>
        </ext>
      </extLst>
    </bk>
    <bk>
      <extLst>
        <ext uri="{3e2802c4-a4d2-4d8b-9148-e3be6c30e623}">
          <xlrd:rvb i="13663"/>
        </ext>
      </extLst>
    </bk>
    <bk>
      <extLst>
        <ext uri="{3e2802c4-a4d2-4d8b-9148-e3be6c30e623}">
          <xlrd:rvb i="13664"/>
        </ext>
      </extLst>
    </bk>
    <bk>
      <extLst>
        <ext uri="{3e2802c4-a4d2-4d8b-9148-e3be6c30e623}">
          <xlrd:rvb i="13665"/>
        </ext>
      </extLst>
    </bk>
    <bk>
      <extLst>
        <ext uri="{3e2802c4-a4d2-4d8b-9148-e3be6c30e623}">
          <xlrd:rvb i="13666"/>
        </ext>
      </extLst>
    </bk>
    <bk>
      <extLst>
        <ext uri="{3e2802c4-a4d2-4d8b-9148-e3be6c30e623}">
          <xlrd:rvb i="13667"/>
        </ext>
      </extLst>
    </bk>
    <bk>
      <extLst>
        <ext uri="{3e2802c4-a4d2-4d8b-9148-e3be6c30e623}">
          <xlrd:rvb i="13668"/>
        </ext>
      </extLst>
    </bk>
    <bk>
      <extLst>
        <ext uri="{3e2802c4-a4d2-4d8b-9148-e3be6c30e623}">
          <xlrd:rvb i="13669"/>
        </ext>
      </extLst>
    </bk>
    <bk>
      <extLst>
        <ext uri="{3e2802c4-a4d2-4d8b-9148-e3be6c30e623}">
          <xlrd:rvb i="13670"/>
        </ext>
      </extLst>
    </bk>
    <bk>
      <extLst>
        <ext uri="{3e2802c4-a4d2-4d8b-9148-e3be6c30e623}">
          <xlrd:rvb i="13671"/>
        </ext>
      </extLst>
    </bk>
    <bk>
      <extLst>
        <ext uri="{3e2802c4-a4d2-4d8b-9148-e3be6c30e623}">
          <xlrd:rvb i="13672"/>
        </ext>
      </extLst>
    </bk>
    <bk>
      <extLst>
        <ext uri="{3e2802c4-a4d2-4d8b-9148-e3be6c30e623}">
          <xlrd:rvb i="13673"/>
        </ext>
      </extLst>
    </bk>
    <bk>
      <extLst>
        <ext uri="{3e2802c4-a4d2-4d8b-9148-e3be6c30e623}">
          <xlrd:rvb i="13674"/>
        </ext>
      </extLst>
    </bk>
    <bk>
      <extLst>
        <ext uri="{3e2802c4-a4d2-4d8b-9148-e3be6c30e623}">
          <xlrd:rvb i="13675"/>
        </ext>
      </extLst>
    </bk>
    <bk>
      <extLst>
        <ext uri="{3e2802c4-a4d2-4d8b-9148-e3be6c30e623}">
          <xlrd:rvb i="13676"/>
        </ext>
      </extLst>
    </bk>
    <bk>
      <extLst>
        <ext uri="{3e2802c4-a4d2-4d8b-9148-e3be6c30e623}">
          <xlrd:rvb i="13677"/>
        </ext>
      </extLst>
    </bk>
    <bk>
      <extLst>
        <ext uri="{3e2802c4-a4d2-4d8b-9148-e3be6c30e623}">
          <xlrd:rvb i="13678"/>
        </ext>
      </extLst>
    </bk>
    <bk>
      <extLst>
        <ext uri="{3e2802c4-a4d2-4d8b-9148-e3be6c30e623}">
          <xlrd:rvb i="13679"/>
        </ext>
      </extLst>
    </bk>
    <bk>
      <extLst>
        <ext uri="{3e2802c4-a4d2-4d8b-9148-e3be6c30e623}">
          <xlrd:rvb i="13680"/>
        </ext>
      </extLst>
    </bk>
    <bk>
      <extLst>
        <ext uri="{3e2802c4-a4d2-4d8b-9148-e3be6c30e623}">
          <xlrd:rvb i="13681"/>
        </ext>
      </extLst>
    </bk>
    <bk>
      <extLst>
        <ext uri="{3e2802c4-a4d2-4d8b-9148-e3be6c30e623}">
          <xlrd:rvb i="13682"/>
        </ext>
      </extLst>
    </bk>
    <bk>
      <extLst>
        <ext uri="{3e2802c4-a4d2-4d8b-9148-e3be6c30e623}">
          <xlrd:rvb i="13683"/>
        </ext>
      </extLst>
    </bk>
    <bk>
      <extLst>
        <ext uri="{3e2802c4-a4d2-4d8b-9148-e3be6c30e623}">
          <xlrd:rvb i="13684"/>
        </ext>
      </extLst>
    </bk>
    <bk>
      <extLst>
        <ext uri="{3e2802c4-a4d2-4d8b-9148-e3be6c30e623}">
          <xlrd:rvb i="13685"/>
        </ext>
      </extLst>
    </bk>
    <bk>
      <extLst>
        <ext uri="{3e2802c4-a4d2-4d8b-9148-e3be6c30e623}">
          <xlrd:rvb i="13686"/>
        </ext>
      </extLst>
    </bk>
    <bk>
      <extLst>
        <ext uri="{3e2802c4-a4d2-4d8b-9148-e3be6c30e623}">
          <xlrd:rvb i="13687"/>
        </ext>
      </extLst>
    </bk>
    <bk>
      <extLst>
        <ext uri="{3e2802c4-a4d2-4d8b-9148-e3be6c30e623}">
          <xlrd:rvb i="13688"/>
        </ext>
      </extLst>
    </bk>
    <bk>
      <extLst>
        <ext uri="{3e2802c4-a4d2-4d8b-9148-e3be6c30e623}">
          <xlrd:rvb i="13689"/>
        </ext>
      </extLst>
    </bk>
    <bk>
      <extLst>
        <ext uri="{3e2802c4-a4d2-4d8b-9148-e3be6c30e623}">
          <xlrd:rvb i="13690"/>
        </ext>
      </extLst>
    </bk>
    <bk>
      <extLst>
        <ext uri="{3e2802c4-a4d2-4d8b-9148-e3be6c30e623}">
          <xlrd:rvb i="13691"/>
        </ext>
      </extLst>
    </bk>
    <bk>
      <extLst>
        <ext uri="{3e2802c4-a4d2-4d8b-9148-e3be6c30e623}">
          <xlrd:rvb i="13692"/>
        </ext>
      </extLst>
    </bk>
    <bk>
      <extLst>
        <ext uri="{3e2802c4-a4d2-4d8b-9148-e3be6c30e623}">
          <xlrd:rvb i="13693"/>
        </ext>
      </extLst>
    </bk>
    <bk>
      <extLst>
        <ext uri="{3e2802c4-a4d2-4d8b-9148-e3be6c30e623}">
          <xlrd:rvb i="13694"/>
        </ext>
      </extLst>
    </bk>
    <bk>
      <extLst>
        <ext uri="{3e2802c4-a4d2-4d8b-9148-e3be6c30e623}">
          <xlrd:rvb i="13695"/>
        </ext>
      </extLst>
    </bk>
    <bk>
      <extLst>
        <ext uri="{3e2802c4-a4d2-4d8b-9148-e3be6c30e623}">
          <xlrd:rvb i="13696"/>
        </ext>
      </extLst>
    </bk>
    <bk>
      <extLst>
        <ext uri="{3e2802c4-a4d2-4d8b-9148-e3be6c30e623}">
          <xlrd:rvb i="13697"/>
        </ext>
      </extLst>
    </bk>
    <bk>
      <extLst>
        <ext uri="{3e2802c4-a4d2-4d8b-9148-e3be6c30e623}">
          <xlrd:rvb i="13698"/>
        </ext>
      </extLst>
    </bk>
    <bk>
      <extLst>
        <ext uri="{3e2802c4-a4d2-4d8b-9148-e3be6c30e623}">
          <xlrd:rvb i="13699"/>
        </ext>
      </extLst>
    </bk>
    <bk>
      <extLst>
        <ext uri="{3e2802c4-a4d2-4d8b-9148-e3be6c30e623}">
          <xlrd:rvb i="13700"/>
        </ext>
      </extLst>
    </bk>
    <bk>
      <extLst>
        <ext uri="{3e2802c4-a4d2-4d8b-9148-e3be6c30e623}">
          <xlrd:rvb i="13701"/>
        </ext>
      </extLst>
    </bk>
    <bk>
      <extLst>
        <ext uri="{3e2802c4-a4d2-4d8b-9148-e3be6c30e623}">
          <xlrd:rvb i="13702"/>
        </ext>
      </extLst>
    </bk>
    <bk>
      <extLst>
        <ext uri="{3e2802c4-a4d2-4d8b-9148-e3be6c30e623}">
          <xlrd:rvb i="13703"/>
        </ext>
      </extLst>
    </bk>
    <bk>
      <extLst>
        <ext uri="{3e2802c4-a4d2-4d8b-9148-e3be6c30e623}">
          <xlrd:rvb i="13704"/>
        </ext>
      </extLst>
    </bk>
    <bk>
      <extLst>
        <ext uri="{3e2802c4-a4d2-4d8b-9148-e3be6c30e623}">
          <xlrd:rvb i="13705"/>
        </ext>
      </extLst>
    </bk>
    <bk>
      <extLst>
        <ext uri="{3e2802c4-a4d2-4d8b-9148-e3be6c30e623}">
          <xlrd:rvb i="13706"/>
        </ext>
      </extLst>
    </bk>
    <bk>
      <extLst>
        <ext uri="{3e2802c4-a4d2-4d8b-9148-e3be6c30e623}">
          <xlrd:rvb i="13707"/>
        </ext>
      </extLst>
    </bk>
    <bk>
      <extLst>
        <ext uri="{3e2802c4-a4d2-4d8b-9148-e3be6c30e623}">
          <xlrd:rvb i="13708"/>
        </ext>
      </extLst>
    </bk>
    <bk>
      <extLst>
        <ext uri="{3e2802c4-a4d2-4d8b-9148-e3be6c30e623}">
          <xlrd:rvb i="13709"/>
        </ext>
      </extLst>
    </bk>
    <bk>
      <extLst>
        <ext uri="{3e2802c4-a4d2-4d8b-9148-e3be6c30e623}">
          <xlrd:rvb i="13710"/>
        </ext>
      </extLst>
    </bk>
    <bk>
      <extLst>
        <ext uri="{3e2802c4-a4d2-4d8b-9148-e3be6c30e623}">
          <xlrd:rvb i="13711"/>
        </ext>
      </extLst>
    </bk>
    <bk>
      <extLst>
        <ext uri="{3e2802c4-a4d2-4d8b-9148-e3be6c30e623}">
          <xlrd:rvb i="13712"/>
        </ext>
      </extLst>
    </bk>
    <bk>
      <extLst>
        <ext uri="{3e2802c4-a4d2-4d8b-9148-e3be6c30e623}">
          <xlrd:rvb i="13713"/>
        </ext>
      </extLst>
    </bk>
    <bk>
      <extLst>
        <ext uri="{3e2802c4-a4d2-4d8b-9148-e3be6c30e623}">
          <xlrd:rvb i="13714"/>
        </ext>
      </extLst>
    </bk>
    <bk>
      <extLst>
        <ext uri="{3e2802c4-a4d2-4d8b-9148-e3be6c30e623}">
          <xlrd:rvb i="13715"/>
        </ext>
      </extLst>
    </bk>
    <bk>
      <extLst>
        <ext uri="{3e2802c4-a4d2-4d8b-9148-e3be6c30e623}">
          <xlrd:rvb i="13716"/>
        </ext>
      </extLst>
    </bk>
    <bk>
      <extLst>
        <ext uri="{3e2802c4-a4d2-4d8b-9148-e3be6c30e623}">
          <xlrd:rvb i="13717"/>
        </ext>
      </extLst>
    </bk>
    <bk>
      <extLst>
        <ext uri="{3e2802c4-a4d2-4d8b-9148-e3be6c30e623}">
          <xlrd:rvb i="13718"/>
        </ext>
      </extLst>
    </bk>
    <bk>
      <extLst>
        <ext uri="{3e2802c4-a4d2-4d8b-9148-e3be6c30e623}">
          <xlrd:rvb i="13719"/>
        </ext>
      </extLst>
    </bk>
    <bk>
      <extLst>
        <ext uri="{3e2802c4-a4d2-4d8b-9148-e3be6c30e623}">
          <xlrd:rvb i="13720"/>
        </ext>
      </extLst>
    </bk>
    <bk>
      <extLst>
        <ext uri="{3e2802c4-a4d2-4d8b-9148-e3be6c30e623}">
          <xlrd:rvb i="13721"/>
        </ext>
      </extLst>
    </bk>
    <bk>
      <extLst>
        <ext uri="{3e2802c4-a4d2-4d8b-9148-e3be6c30e623}">
          <xlrd:rvb i="13722"/>
        </ext>
      </extLst>
    </bk>
    <bk>
      <extLst>
        <ext uri="{3e2802c4-a4d2-4d8b-9148-e3be6c30e623}">
          <xlrd:rvb i="13723"/>
        </ext>
      </extLst>
    </bk>
    <bk>
      <extLst>
        <ext uri="{3e2802c4-a4d2-4d8b-9148-e3be6c30e623}">
          <xlrd:rvb i="13724"/>
        </ext>
      </extLst>
    </bk>
    <bk>
      <extLst>
        <ext uri="{3e2802c4-a4d2-4d8b-9148-e3be6c30e623}">
          <xlrd:rvb i="13725"/>
        </ext>
      </extLst>
    </bk>
    <bk>
      <extLst>
        <ext uri="{3e2802c4-a4d2-4d8b-9148-e3be6c30e623}">
          <xlrd:rvb i="13726"/>
        </ext>
      </extLst>
    </bk>
    <bk>
      <extLst>
        <ext uri="{3e2802c4-a4d2-4d8b-9148-e3be6c30e623}">
          <xlrd:rvb i="13727"/>
        </ext>
      </extLst>
    </bk>
    <bk>
      <extLst>
        <ext uri="{3e2802c4-a4d2-4d8b-9148-e3be6c30e623}">
          <xlrd:rvb i="13728"/>
        </ext>
      </extLst>
    </bk>
    <bk>
      <extLst>
        <ext uri="{3e2802c4-a4d2-4d8b-9148-e3be6c30e623}">
          <xlrd:rvb i="13729"/>
        </ext>
      </extLst>
    </bk>
    <bk>
      <extLst>
        <ext uri="{3e2802c4-a4d2-4d8b-9148-e3be6c30e623}">
          <xlrd:rvb i="13730"/>
        </ext>
      </extLst>
    </bk>
    <bk>
      <extLst>
        <ext uri="{3e2802c4-a4d2-4d8b-9148-e3be6c30e623}">
          <xlrd:rvb i="13731"/>
        </ext>
      </extLst>
    </bk>
    <bk>
      <extLst>
        <ext uri="{3e2802c4-a4d2-4d8b-9148-e3be6c30e623}">
          <xlrd:rvb i="13732"/>
        </ext>
      </extLst>
    </bk>
    <bk>
      <extLst>
        <ext uri="{3e2802c4-a4d2-4d8b-9148-e3be6c30e623}">
          <xlrd:rvb i="13733"/>
        </ext>
      </extLst>
    </bk>
    <bk>
      <extLst>
        <ext uri="{3e2802c4-a4d2-4d8b-9148-e3be6c30e623}">
          <xlrd:rvb i="13734"/>
        </ext>
      </extLst>
    </bk>
    <bk>
      <extLst>
        <ext uri="{3e2802c4-a4d2-4d8b-9148-e3be6c30e623}">
          <xlrd:rvb i="13735"/>
        </ext>
      </extLst>
    </bk>
    <bk>
      <extLst>
        <ext uri="{3e2802c4-a4d2-4d8b-9148-e3be6c30e623}">
          <xlrd:rvb i="13736"/>
        </ext>
      </extLst>
    </bk>
    <bk>
      <extLst>
        <ext uri="{3e2802c4-a4d2-4d8b-9148-e3be6c30e623}">
          <xlrd:rvb i="13737"/>
        </ext>
      </extLst>
    </bk>
    <bk>
      <extLst>
        <ext uri="{3e2802c4-a4d2-4d8b-9148-e3be6c30e623}">
          <xlrd:rvb i="13738"/>
        </ext>
      </extLst>
    </bk>
    <bk>
      <extLst>
        <ext uri="{3e2802c4-a4d2-4d8b-9148-e3be6c30e623}">
          <xlrd:rvb i="13739"/>
        </ext>
      </extLst>
    </bk>
    <bk>
      <extLst>
        <ext uri="{3e2802c4-a4d2-4d8b-9148-e3be6c30e623}">
          <xlrd:rvb i="13740"/>
        </ext>
      </extLst>
    </bk>
    <bk>
      <extLst>
        <ext uri="{3e2802c4-a4d2-4d8b-9148-e3be6c30e623}">
          <xlrd:rvb i="13741"/>
        </ext>
      </extLst>
    </bk>
    <bk>
      <extLst>
        <ext uri="{3e2802c4-a4d2-4d8b-9148-e3be6c30e623}">
          <xlrd:rvb i="13742"/>
        </ext>
      </extLst>
    </bk>
    <bk>
      <extLst>
        <ext uri="{3e2802c4-a4d2-4d8b-9148-e3be6c30e623}">
          <xlrd:rvb i="13743"/>
        </ext>
      </extLst>
    </bk>
    <bk>
      <extLst>
        <ext uri="{3e2802c4-a4d2-4d8b-9148-e3be6c30e623}">
          <xlrd:rvb i="13744"/>
        </ext>
      </extLst>
    </bk>
    <bk>
      <extLst>
        <ext uri="{3e2802c4-a4d2-4d8b-9148-e3be6c30e623}">
          <xlrd:rvb i="13745"/>
        </ext>
      </extLst>
    </bk>
    <bk>
      <extLst>
        <ext uri="{3e2802c4-a4d2-4d8b-9148-e3be6c30e623}">
          <xlrd:rvb i="13746"/>
        </ext>
      </extLst>
    </bk>
    <bk>
      <extLst>
        <ext uri="{3e2802c4-a4d2-4d8b-9148-e3be6c30e623}">
          <xlrd:rvb i="13747"/>
        </ext>
      </extLst>
    </bk>
    <bk>
      <extLst>
        <ext uri="{3e2802c4-a4d2-4d8b-9148-e3be6c30e623}">
          <xlrd:rvb i="13748"/>
        </ext>
      </extLst>
    </bk>
    <bk>
      <extLst>
        <ext uri="{3e2802c4-a4d2-4d8b-9148-e3be6c30e623}">
          <xlrd:rvb i="13749"/>
        </ext>
      </extLst>
    </bk>
    <bk>
      <extLst>
        <ext uri="{3e2802c4-a4d2-4d8b-9148-e3be6c30e623}">
          <xlrd:rvb i="13750"/>
        </ext>
      </extLst>
    </bk>
    <bk>
      <extLst>
        <ext uri="{3e2802c4-a4d2-4d8b-9148-e3be6c30e623}">
          <xlrd:rvb i="13751"/>
        </ext>
      </extLst>
    </bk>
    <bk>
      <extLst>
        <ext uri="{3e2802c4-a4d2-4d8b-9148-e3be6c30e623}">
          <xlrd:rvb i="13752"/>
        </ext>
      </extLst>
    </bk>
    <bk>
      <extLst>
        <ext uri="{3e2802c4-a4d2-4d8b-9148-e3be6c30e623}">
          <xlrd:rvb i="13753"/>
        </ext>
      </extLst>
    </bk>
    <bk>
      <extLst>
        <ext uri="{3e2802c4-a4d2-4d8b-9148-e3be6c30e623}">
          <xlrd:rvb i="13754"/>
        </ext>
      </extLst>
    </bk>
    <bk>
      <extLst>
        <ext uri="{3e2802c4-a4d2-4d8b-9148-e3be6c30e623}">
          <xlrd:rvb i="13755"/>
        </ext>
      </extLst>
    </bk>
    <bk>
      <extLst>
        <ext uri="{3e2802c4-a4d2-4d8b-9148-e3be6c30e623}">
          <xlrd:rvb i="13756"/>
        </ext>
      </extLst>
    </bk>
    <bk>
      <extLst>
        <ext uri="{3e2802c4-a4d2-4d8b-9148-e3be6c30e623}">
          <xlrd:rvb i="13757"/>
        </ext>
      </extLst>
    </bk>
    <bk>
      <extLst>
        <ext uri="{3e2802c4-a4d2-4d8b-9148-e3be6c30e623}">
          <xlrd:rvb i="13758"/>
        </ext>
      </extLst>
    </bk>
    <bk>
      <extLst>
        <ext uri="{3e2802c4-a4d2-4d8b-9148-e3be6c30e623}">
          <xlrd:rvb i="13759"/>
        </ext>
      </extLst>
    </bk>
    <bk>
      <extLst>
        <ext uri="{3e2802c4-a4d2-4d8b-9148-e3be6c30e623}">
          <xlrd:rvb i="13760"/>
        </ext>
      </extLst>
    </bk>
    <bk>
      <extLst>
        <ext uri="{3e2802c4-a4d2-4d8b-9148-e3be6c30e623}">
          <xlrd:rvb i="13761"/>
        </ext>
      </extLst>
    </bk>
    <bk>
      <extLst>
        <ext uri="{3e2802c4-a4d2-4d8b-9148-e3be6c30e623}">
          <xlrd:rvb i="13762"/>
        </ext>
      </extLst>
    </bk>
    <bk>
      <extLst>
        <ext uri="{3e2802c4-a4d2-4d8b-9148-e3be6c30e623}">
          <xlrd:rvb i="13763"/>
        </ext>
      </extLst>
    </bk>
    <bk>
      <extLst>
        <ext uri="{3e2802c4-a4d2-4d8b-9148-e3be6c30e623}">
          <xlrd:rvb i="13764"/>
        </ext>
      </extLst>
    </bk>
    <bk>
      <extLst>
        <ext uri="{3e2802c4-a4d2-4d8b-9148-e3be6c30e623}">
          <xlrd:rvb i="13765"/>
        </ext>
      </extLst>
    </bk>
    <bk>
      <extLst>
        <ext uri="{3e2802c4-a4d2-4d8b-9148-e3be6c30e623}">
          <xlrd:rvb i="13766"/>
        </ext>
      </extLst>
    </bk>
    <bk>
      <extLst>
        <ext uri="{3e2802c4-a4d2-4d8b-9148-e3be6c30e623}">
          <xlrd:rvb i="13767"/>
        </ext>
      </extLst>
    </bk>
    <bk>
      <extLst>
        <ext uri="{3e2802c4-a4d2-4d8b-9148-e3be6c30e623}">
          <xlrd:rvb i="13768"/>
        </ext>
      </extLst>
    </bk>
    <bk>
      <extLst>
        <ext uri="{3e2802c4-a4d2-4d8b-9148-e3be6c30e623}">
          <xlrd:rvb i="13769"/>
        </ext>
      </extLst>
    </bk>
    <bk>
      <extLst>
        <ext uri="{3e2802c4-a4d2-4d8b-9148-e3be6c30e623}">
          <xlrd:rvb i="13770"/>
        </ext>
      </extLst>
    </bk>
    <bk>
      <extLst>
        <ext uri="{3e2802c4-a4d2-4d8b-9148-e3be6c30e623}">
          <xlrd:rvb i="13771"/>
        </ext>
      </extLst>
    </bk>
    <bk>
      <extLst>
        <ext uri="{3e2802c4-a4d2-4d8b-9148-e3be6c30e623}">
          <xlrd:rvb i="13772"/>
        </ext>
      </extLst>
    </bk>
    <bk>
      <extLst>
        <ext uri="{3e2802c4-a4d2-4d8b-9148-e3be6c30e623}">
          <xlrd:rvb i="13773"/>
        </ext>
      </extLst>
    </bk>
    <bk>
      <extLst>
        <ext uri="{3e2802c4-a4d2-4d8b-9148-e3be6c30e623}">
          <xlrd:rvb i="13774"/>
        </ext>
      </extLst>
    </bk>
    <bk>
      <extLst>
        <ext uri="{3e2802c4-a4d2-4d8b-9148-e3be6c30e623}">
          <xlrd:rvb i="13775"/>
        </ext>
      </extLst>
    </bk>
    <bk>
      <extLst>
        <ext uri="{3e2802c4-a4d2-4d8b-9148-e3be6c30e623}">
          <xlrd:rvb i="13776"/>
        </ext>
      </extLst>
    </bk>
    <bk>
      <extLst>
        <ext uri="{3e2802c4-a4d2-4d8b-9148-e3be6c30e623}">
          <xlrd:rvb i="13777"/>
        </ext>
      </extLst>
    </bk>
    <bk>
      <extLst>
        <ext uri="{3e2802c4-a4d2-4d8b-9148-e3be6c30e623}">
          <xlrd:rvb i="13778"/>
        </ext>
      </extLst>
    </bk>
    <bk>
      <extLst>
        <ext uri="{3e2802c4-a4d2-4d8b-9148-e3be6c30e623}">
          <xlrd:rvb i="13779"/>
        </ext>
      </extLst>
    </bk>
    <bk>
      <extLst>
        <ext uri="{3e2802c4-a4d2-4d8b-9148-e3be6c30e623}">
          <xlrd:rvb i="13780"/>
        </ext>
      </extLst>
    </bk>
    <bk>
      <extLst>
        <ext uri="{3e2802c4-a4d2-4d8b-9148-e3be6c30e623}">
          <xlrd:rvb i="13781"/>
        </ext>
      </extLst>
    </bk>
    <bk>
      <extLst>
        <ext uri="{3e2802c4-a4d2-4d8b-9148-e3be6c30e623}">
          <xlrd:rvb i="13782"/>
        </ext>
      </extLst>
    </bk>
    <bk>
      <extLst>
        <ext uri="{3e2802c4-a4d2-4d8b-9148-e3be6c30e623}">
          <xlrd:rvb i="13783"/>
        </ext>
      </extLst>
    </bk>
    <bk>
      <extLst>
        <ext uri="{3e2802c4-a4d2-4d8b-9148-e3be6c30e623}">
          <xlrd:rvb i="13784"/>
        </ext>
      </extLst>
    </bk>
    <bk>
      <extLst>
        <ext uri="{3e2802c4-a4d2-4d8b-9148-e3be6c30e623}">
          <xlrd:rvb i="13785"/>
        </ext>
      </extLst>
    </bk>
    <bk>
      <extLst>
        <ext uri="{3e2802c4-a4d2-4d8b-9148-e3be6c30e623}">
          <xlrd:rvb i="13786"/>
        </ext>
      </extLst>
    </bk>
    <bk>
      <extLst>
        <ext uri="{3e2802c4-a4d2-4d8b-9148-e3be6c30e623}">
          <xlrd:rvb i="13787"/>
        </ext>
      </extLst>
    </bk>
    <bk>
      <extLst>
        <ext uri="{3e2802c4-a4d2-4d8b-9148-e3be6c30e623}">
          <xlrd:rvb i="13788"/>
        </ext>
      </extLst>
    </bk>
    <bk>
      <extLst>
        <ext uri="{3e2802c4-a4d2-4d8b-9148-e3be6c30e623}">
          <xlrd:rvb i="13789"/>
        </ext>
      </extLst>
    </bk>
    <bk>
      <extLst>
        <ext uri="{3e2802c4-a4d2-4d8b-9148-e3be6c30e623}">
          <xlrd:rvb i="13790"/>
        </ext>
      </extLst>
    </bk>
    <bk>
      <extLst>
        <ext uri="{3e2802c4-a4d2-4d8b-9148-e3be6c30e623}">
          <xlrd:rvb i="13791"/>
        </ext>
      </extLst>
    </bk>
    <bk>
      <extLst>
        <ext uri="{3e2802c4-a4d2-4d8b-9148-e3be6c30e623}">
          <xlrd:rvb i="13792"/>
        </ext>
      </extLst>
    </bk>
    <bk>
      <extLst>
        <ext uri="{3e2802c4-a4d2-4d8b-9148-e3be6c30e623}">
          <xlrd:rvb i="13793"/>
        </ext>
      </extLst>
    </bk>
    <bk>
      <extLst>
        <ext uri="{3e2802c4-a4d2-4d8b-9148-e3be6c30e623}">
          <xlrd:rvb i="13794"/>
        </ext>
      </extLst>
    </bk>
    <bk>
      <extLst>
        <ext uri="{3e2802c4-a4d2-4d8b-9148-e3be6c30e623}">
          <xlrd:rvb i="13795"/>
        </ext>
      </extLst>
    </bk>
    <bk>
      <extLst>
        <ext uri="{3e2802c4-a4d2-4d8b-9148-e3be6c30e623}">
          <xlrd:rvb i="13796"/>
        </ext>
      </extLst>
    </bk>
    <bk>
      <extLst>
        <ext uri="{3e2802c4-a4d2-4d8b-9148-e3be6c30e623}">
          <xlrd:rvb i="13797"/>
        </ext>
      </extLst>
    </bk>
    <bk>
      <extLst>
        <ext uri="{3e2802c4-a4d2-4d8b-9148-e3be6c30e623}">
          <xlrd:rvb i="13798"/>
        </ext>
      </extLst>
    </bk>
    <bk>
      <extLst>
        <ext uri="{3e2802c4-a4d2-4d8b-9148-e3be6c30e623}">
          <xlrd:rvb i="13799"/>
        </ext>
      </extLst>
    </bk>
    <bk>
      <extLst>
        <ext uri="{3e2802c4-a4d2-4d8b-9148-e3be6c30e623}">
          <xlrd:rvb i="13800"/>
        </ext>
      </extLst>
    </bk>
    <bk>
      <extLst>
        <ext uri="{3e2802c4-a4d2-4d8b-9148-e3be6c30e623}">
          <xlrd:rvb i="13801"/>
        </ext>
      </extLst>
    </bk>
    <bk>
      <extLst>
        <ext uri="{3e2802c4-a4d2-4d8b-9148-e3be6c30e623}">
          <xlrd:rvb i="13802"/>
        </ext>
      </extLst>
    </bk>
    <bk>
      <extLst>
        <ext uri="{3e2802c4-a4d2-4d8b-9148-e3be6c30e623}">
          <xlrd:rvb i="13803"/>
        </ext>
      </extLst>
    </bk>
    <bk>
      <extLst>
        <ext uri="{3e2802c4-a4d2-4d8b-9148-e3be6c30e623}">
          <xlrd:rvb i="13804"/>
        </ext>
      </extLst>
    </bk>
    <bk>
      <extLst>
        <ext uri="{3e2802c4-a4d2-4d8b-9148-e3be6c30e623}">
          <xlrd:rvb i="13805"/>
        </ext>
      </extLst>
    </bk>
    <bk>
      <extLst>
        <ext uri="{3e2802c4-a4d2-4d8b-9148-e3be6c30e623}">
          <xlrd:rvb i="13806"/>
        </ext>
      </extLst>
    </bk>
    <bk>
      <extLst>
        <ext uri="{3e2802c4-a4d2-4d8b-9148-e3be6c30e623}">
          <xlrd:rvb i="13807"/>
        </ext>
      </extLst>
    </bk>
    <bk>
      <extLst>
        <ext uri="{3e2802c4-a4d2-4d8b-9148-e3be6c30e623}">
          <xlrd:rvb i="13808"/>
        </ext>
      </extLst>
    </bk>
    <bk>
      <extLst>
        <ext uri="{3e2802c4-a4d2-4d8b-9148-e3be6c30e623}">
          <xlrd:rvb i="13809"/>
        </ext>
      </extLst>
    </bk>
    <bk>
      <extLst>
        <ext uri="{3e2802c4-a4d2-4d8b-9148-e3be6c30e623}">
          <xlrd:rvb i="13810"/>
        </ext>
      </extLst>
    </bk>
    <bk>
      <extLst>
        <ext uri="{3e2802c4-a4d2-4d8b-9148-e3be6c30e623}">
          <xlrd:rvb i="13811"/>
        </ext>
      </extLst>
    </bk>
    <bk>
      <extLst>
        <ext uri="{3e2802c4-a4d2-4d8b-9148-e3be6c30e623}">
          <xlrd:rvb i="13812"/>
        </ext>
      </extLst>
    </bk>
    <bk>
      <extLst>
        <ext uri="{3e2802c4-a4d2-4d8b-9148-e3be6c30e623}">
          <xlrd:rvb i="13813"/>
        </ext>
      </extLst>
    </bk>
    <bk>
      <extLst>
        <ext uri="{3e2802c4-a4d2-4d8b-9148-e3be6c30e623}">
          <xlrd:rvb i="13814"/>
        </ext>
      </extLst>
    </bk>
    <bk>
      <extLst>
        <ext uri="{3e2802c4-a4d2-4d8b-9148-e3be6c30e623}">
          <xlrd:rvb i="13815"/>
        </ext>
      </extLst>
    </bk>
    <bk>
      <extLst>
        <ext uri="{3e2802c4-a4d2-4d8b-9148-e3be6c30e623}">
          <xlrd:rvb i="13816"/>
        </ext>
      </extLst>
    </bk>
    <bk>
      <extLst>
        <ext uri="{3e2802c4-a4d2-4d8b-9148-e3be6c30e623}">
          <xlrd:rvb i="13817"/>
        </ext>
      </extLst>
    </bk>
    <bk>
      <extLst>
        <ext uri="{3e2802c4-a4d2-4d8b-9148-e3be6c30e623}">
          <xlrd:rvb i="13818"/>
        </ext>
      </extLst>
    </bk>
    <bk>
      <extLst>
        <ext uri="{3e2802c4-a4d2-4d8b-9148-e3be6c30e623}">
          <xlrd:rvb i="13819"/>
        </ext>
      </extLst>
    </bk>
    <bk>
      <extLst>
        <ext uri="{3e2802c4-a4d2-4d8b-9148-e3be6c30e623}">
          <xlrd:rvb i="13820"/>
        </ext>
      </extLst>
    </bk>
    <bk>
      <extLst>
        <ext uri="{3e2802c4-a4d2-4d8b-9148-e3be6c30e623}">
          <xlrd:rvb i="13821"/>
        </ext>
      </extLst>
    </bk>
    <bk>
      <extLst>
        <ext uri="{3e2802c4-a4d2-4d8b-9148-e3be6c30e623}">
          <xlrd:rvb i="13822"/>
        </ext>
      </extLst>
    </bk>
    <bk>
      <extLst>
        <ext uri="{3e2802c4-a4d2-4d8b-9148-e3be6c30e623}">
          <xlrd:rvb i="13823"/>
        </ext>
      </extLst>
    </bk>
    <bk>
      <extLst>
        <ext uri="{3e2802c4-a4d2-4d8b-9148-e3be6c30e623}">
          <xlrd:rvb i="13824"/>
        </ext>
      </extLst>
    </bk>
    <bk>
      <extLst>
        <ext uri="{3e2802c4-a4d2-4d8b-9148-e3be6c30e623}">
          <xlrd:rvb i="13825"/>
        </ext>
      </extLst>
    </bk>
    <bk>
      <extLst>
        <ext uri="{3e2802c4-a4d2-4d8b-9148-e3be6c30e623}">
          <xlrd:rvb i="13826"/>
        </ext>
      </extLst>
    </bk>
    <bk>
      <extLst>
        <ext uri="{3e2802c4-a4d2-4d8b-9148-e3be6c30e623}">
          <xlrd:rvb i="13827"/>
        </ext>
      </extLst>
    </bk>
    <bk>
      <extLst>
        <ext uri="{3e2802c4-a4d2-4d8b-9148-e3be6c30e623}">
          <xlrd:rvb i="13828"/>
        </ext>
      </extLst>
    </bk>
    <bk>
      <extLst>
        <ext uri="{3e2802c4-a4d2-4d8b-9148-e3be6c30e623}">
          <xlrd:rvb i="13829"/>
        </ext>
      </extLst>
    </bk>
    <bk>
      <extLst>
        <ext uri="{3e2802c4-a4d2-4d8b-9148-e3be6c30e623}">
          <xlrd:rvb i="13830"/>
        </ext>
      </extLst>
    </bk>
    <bk>
      <extLst>
        <ext uri="{3e2802c4-a4d2-4d8b-9148-e3be6c30e623}">
          <xlrd:rvb i="13831"/>
        </ext>
      </extLst>
    </bk>
    <bk>
      <extLst>
        <ext uri="{3e2802c4-a4d2-4d8b-9148-e3be6c30e623}">
          <xlrd:rvb i="13832"/>
        </ext>
      </extLst>
    </bk>
    <bk>
      <extLst>
        <ext uri="{3e2802c4-a4d2-4d8b-9148-e3be6c30e623}">
          <xlrd:rvb i="13833"/>
        </ext>
      </extLst>
    </bk>
    <bk>
      <extLst>
        <ext uri="{3e2802c4-a4d2-4d8b-9148-e3be6c30e623}">
          <xlrd:rvb i="13834"/>
        </ext>
      </extLst>
    </bk>
    <bk>
      <extLst>
        <ext uri="{3e2802c4-a4d2-4d8b-9148-e3be6c30e623}">
          <xlrd:rvb i="13835"/>
        </ext>
      </extLst>
    </bk>
    <bk>
      <extLst>
        <ext uri="{3e2802c4-a4d2-4d8b-9148-e3be6c30e623}">
          <xlrd:rvb i="13836"/>
        </ext>
      </extLst>
    </bk>
    <bk>
      <extLst>
        <ext uri="{3e2802c4-a4d2-4d8b-9148-e3be6c30e623}">
          <xlrd:rvb i="13837"/>
        </ext>
      </extLst>
    </bk>
    <bk>
      <extLst>
        <ext uri="{3e2802c4-a4d2-4d8b-9148-e3be6c30e623}">
          <xlrd:rvb i="13838"/>
        </ext>
      </extLst>
    </bk>
    <bk>
      <extLst>
        <ext uri="{3e2802c4-a4d2-4d8b-9148-e3be6c30e623}">
          <xlrd:rvb i="13839"/>
        </ext>
      </extLst>
    </bk>
    <bk>
      <extLst>
        <ext uri="{3e2802c4-a4d2-4d8b-9148-e3be6c30e623}">
          <xlrd:rvb i="13840"/>
        </ext>
      </extLst>
    </bk>
    <bk>
      <extLst>
        <ext uri="{3e2802c4-a4d2-4d8b-9148-e3be6c30e623}">
          <xlrd:rvb i="13841"/>
        </ext>
      </extLst>
    </bk>
    <bk>
      <extLst>
        <ext uri="{3e2802c4-a4d2-4d8b-9148-e3be6c30e623}">
          <xlrd:rvb i="13842"/>
        </ext>
      </extLst>
    </bk>
    <bk>
      <extLst>
        <ext uri="{3e2802c4-a4d2-4d8b-9148-e3be6c30e623}">
          <xlrd:rvb i="13843"/>
        </ext>
      </extLst>
    </bk>
    <bk>
      <extLst>
        <ext uri="{3e2802c4-a4d2-4d8b-9148-e3be6c30e623}">
          <xlrd:rvb i="13844"/>
        </ext>
      </extLst>
    </bk>
    <bk>
      <extLst>
        <ext uri="{3e2802c4-a4d2-4d8b-9148-e3be6c30e623}">
          <xlrd:rvb i="13845"/>
        </ext>
      </extLst>
    </bk>
    <bk>
      <extLst>
        <ext uri="{3e2802c4-a4d2-4d8b-9148-e3be6c30e623}">
          <xlrd:rvb i="13846"/>
        </ext>
      </extLst>
    </bk>
    <bk>
      <extLst>
        <ext uri="{3e2802c4-a4d2-4d8b-9148-e3be6c30e623}">
          <xlrd:rvb i="13847"/>
        </ext>
      </extLst>
    </bk>
    <bk>
      <extLst>
        <ext uri="{3e2802c4-a4d2-4d8b-9148-e3be6c30e623}">
          <xlrd:rvb i="13848"/>
        </ext>
      </extLst>
    </bk>
    <bk>
      <extLst>
        <ext uri="{3e2802c4-a4d2-4d8b-9148-e3be6c30e623}">
          <xlrd:rvb i="13849"/>
        </ext>
      </extLst>
    </bk>
    <bk>
      <extLst>
        <ext uri="{3e2802c4-a4d2-4d8b-9148-e3be6c30e623}">
          <xlrd:rvb i="13850"/>
        </ext>
      </extLst>
    </bk>
    <bk>
      <extLst>
        <ext uri="{3e2802c4-a4d2-4d8b-9148-e3be6c30e623}">
          <xlrd:rvb i="13851"/>
        </ext>
      </extLst>
    </bk>
    <bk>
      <extLst>
        <ext uri="{3e2802c4-a4d2-4d8b-9148-e3be6c30e623}">
          <xlrd:rvb i="13852"/>
        </ext>
      </extLst>
    </bk>
    <bk>
      <extLst>
        <ext uri="{3e2802c4-a4d2-4d8b-9148-e3be6c30e623}">
          <xlrd:rvb i="13853"/>
        </ext>
      </extLst>
    </bk>
    <bk>
      <extLst>
        <ext uri="{3e2802c4-a4d2-4d8b-9148-e3be6c30e623}">
          <xlrd:rvb i="13854"/>
        </ext>
      </extLst>
    </bk>
    <bk>
      <extLst>
        <ext uri="{3e2802c4-a4d2-4d8b-9148-e3be6c30e623}">
          <xlrd:rvb i="13855"/>
        </ext>
      </extLst>
    </bk>
    <bk>
      <extLst>
        <ext uri="{3e2802c4-a4d2-4d8b-9148-e3be6c30e623}">
          <xlrd:rvb i="13856"/>
        </ext>
      </extLst>
    </bk>
    <bk>
      <extLst>
        <ext uri="{3e2802c4-a4d2-4d8b-9148-e3be6c30e623}">
          <xlrd:rvb i="13857"/>
        </ext>
      </extLst>
    </bk>
    <bk>
      <extLst>
        <ext uri="{3e2802c4-a4d2-4d8b-9148-e3be6c30e623}">
          <xlrd:rvb i="13858"/>
        </ext>
      </extLst>
    </bk>
    <bk>
      <extLst>
        <ext uri="{3e2802c4-a4d2-4d8b-9148-e3be6c30e623}">
          <xlrd:rvb i="13859"/>
        </ext>
      </extLst>
    </bk>
    <bk>
      <extLst>
        <ext uri="{3e2802c4-a4d2-4d8b-9148-e3be6c30e623}">
          <xlrd:rvb i="13860"/>
        </ext>
      </extLst>
    </bk>
    <bk>
      <extLst>
        <ext uri="{3e2802c4-a4d2-4d8b-9148-e3be6c30e623}">
          <xlrd:rvb i="13861"/>
        </ext>
      </extLst>
    </bk>
    <bk>
      <extLst>
        <ext uri="{3e2802c4-a4d2-4d8b-9148-e3be6c30e623}">
          <xlrd:rvb i="13862"/>
        </ext>
      </extLst>
    </bk>
    <bk>
      <extLst>
        <ext uri="{3e2802c4-a4d2-4d8b-9148-e3be6c30e623}">
          <xlrd:rvb i="13863"/>
        </ext>
      </extLst>
    </bk>
    <bk>
      <extLst>
        <ext uri="{3e2802c4-a4d2-4d8b-9148-e3be6c30e623}">
          <xlrd:rvb i="13864"/>
        </ext>
      </extLst>
    </bk>
    <bk>
      <extLst>
        <ext uri="{3e2802c4-a4d2-4d8b-9148-e3be6c30e623}">
          <xlrd:rvb i="13865"/>
        </ext>
      </extLst>
    </bk>
    <bk>
      <extLst>
        <ext uri="{3e2802c4-a4d2-4d8b-9148-e3be6c30e623}">
          <xlrd:rvb i="13866"/>
        </ext>
      </extLst>
    </bk>
    <bk>
      <extLst>
        <ext uri="{3e2802c4-a4d2-4d8b-9148-e3be6c30e623}">
          <xlrd:rvb i="13867"/>
        </ext>
      </extLst>
    </bk>
    <bk>
      <extLst>
        <ext uri="{3e2802c4-a4d2-4d8b-9148-e3be6c30e623}">
          <xlrd:rvb i="13868"/>
        </ext>
      </extLst>
    </bk>
    <bk>
      <extLst>
        <ext uri="{3e2802c4-a4d2-4d8b-9148-e3be6c30e623}">
          <xlrd:rvb i="13869"/>
        </ext>
      </extLst>
    </bk>
    <bk>
      <extLst>
        <ext uri="{3e2802c4-a4d2-4d8b-9148-e3be6c30e623}">
          <xlrd:rvb i="13870"/>
        </ext>
      </extLst>
    </bk>
    <bk>
      <extLst>
        <ext uri="{3e2802c4-a4d2-4d8b-9148-e3be6c30e623}">
          <xlrd:rvb i="13871"/>
        </ext>
      </extLst>
    </bk>
    <bk>
      <extLst>
        <ext uri="{3e2802c4-a4d2-4d8b-9148-e3be6c30e623}">
          <xlrd:rvb i="13872"/>
        </ext>
      </extLst>
    </bk>
    <bk>
      <extLst>
        <ext uri="{3e2802c4-a4d2-4d8b-9148-e3be6c30e623}">
          <xlrd:rvb i="13873"/>
        </ext>
      </extLst>
    </bk>
    <bk>
      <extLst>
        <ext uri="{3e2802c4-a4d2-4d8b-9148-e3be6c30e623}">
          <xlrd:rvb i="13874"/>
        </ext>
      </extLst>
    </bk>
    <bk>
      <extLst>
        <ext uri="{3e2802c4-a4d2-4d8b-9148-e3be6c30e623}">
          <xlrd:rvb i="13875"/>
        </ext>
      </extLst>
    </bk>
    <bk>
      <extLst>
        <ext uri="{3e2802c4-a4d2-4d8b-9148-e3be6c30e623}">
          <xlrd:rvb i="13876"/>
        </ext>
      </extLst>
    </bk>
    <bk>
      <extLst>
        <ext uri="{3e2802c4-a4d2-4d8b-9148-e3be6c30e623}">
          <xlrd:rvb i="13877"/>
        </ext>
      </extLst>
    </bk>
    <bk>
      <extLst>
        <ext uri="{3e2802c4-a4d2-4d8b-9148-e3be6c30e623}">
          <xlrd:rvb i="13878"/>
        </ext>
      </extLst>
    </bk>
    <bk>
      <extLst>
        <ext uri="{3e2802c4-a4d2-4d8b-9148-e3be6c30e623}">
          <xlrd:rvb i="13879"/>
        </ext>
      </extLst>
    </bk>
    <bk>
      <extLst>
        <ext uri="{3e2802c4-a4d2-4d8b-9148-e3be6c30e623}">
          <xlrd:rvb i="13880"/>
        </ext>
      </extLst>
    </bk>
    <bk>
      <extLst>
        <ext uri="{3e2802c4-a4d2-4d8b-9148-e3be6c30e623}">
          <xlrd:rvb i="13881"/>
        </ext>
      </extLst>
    </bk>
    <bk>
      <extLst>
        <ext uri="{3e2802c4-a4d2-4d8b-9148-e3be6c30e623}">
          <xlrd:rvb i="13882"/>
        </ext>
      </extLst>
    </bk>
    <bk>
      <extLst>
        <ext uri="{3e2802c4-a4d2-4d8b-9148-e3be6c30e623}">
          <xlrd:rvb i="13883"/>
        </ext>
      </extLst>
    </bk>
    <bk>
      <extLst>
        <ext uri="{3e2802c4-a4d2-4d8b-9148-e3be6c30e623}">
          <xlrd:rvb i="13884"/>
        </ext>
      </extLst>
    </bk>
    <bk>
      <extLst>
        <ext uri="{3e2802c4-a4d2-4d8b-9148-e3be6c30e623}">
          <xlrd:rvb i="13885"/>
        </ext>
      </extLst>
    </bk>
    <bk>
      <extLst>
        <ext uri="{3e2802c4-a4d2-4d8b-9148-e3be6c30e623}">
          <xlrd:rvb i="13886"/>
        </ext>
      </extLst>
    </bk>
    <bk>
      <extLst>
        <ext uri="{3e2802c4-a4d2-4d8b-9148-e3be6c30e623}">
          <xlrd:rvb i="13887"/>
        </ext>
      </extLst>
    </bk>
    <bk>
      <extLst>
        <ext uri="{3e2802c4-a4d2-4d8b-9148-e3be6c30e623}">
          <xlrd:rvb i="13888"/>
        </ext>
      </extLst>
    </bk>
    <bk>
      <extLst>
        <ext uri="{3e2802c4-a4d2-4d8b-9148-e3be6c30e623}">
          <xlrd:rvb i="13889"/>
        </ext>
      </extLst>
    </bk>
    <bk>
      <extLst>
        <ext uri="{3e2802c4-a4d2-4d8b-9148-e3be6c30e623}">
          <xlrd:rvb i="13890"/>
        </ext>
      </extLst>
    </bk>
    <bk>
      <extLst>
        <ext uri="{3e2802c4-a4d2-4d8b-9148-e3be6c30e623}">
          <xlrd:rvb i="13891"/>
        </ext>
      </extLst>
    </bk>
    <bk>
      <extLst>
        <ext uri="{3e2802c4-a4d2-4d8b-9148-e3be6c30e623}">
          <xlrd:rvb i="13892"/>
        </ext>
      </extLst>
    </bk>
    <bk>
      <extLst>
        <ext uri="{3e2802c4-a4d2-4d8b-9148-e3be6c30e623}">
          <xlrd:rvb i="13893"/>
        </ext>
      </extLst>
    </bk>
    <bk>
      <extLst>
        <ext uri="{3e2802c4-a4d2-4d8b-9148-e3be6c30e623}">
          <xlrd:rvb i="13894"/>
        </ext>
      </extLst>
    </bk>
    <bk>
      <extLst>
        <ext uri="{3e2802c4-a4d2-4d8b-9148-e3be6c30e623}">
          <xlrd:rvb i="13895"/>
        </ext>
      </extLst>
    </bk>
    <bk>
      <extLst>
        <ext uri="{3e2802c4-a4d2-4d8b-9148-e3be6c30e623}">
          <xlrd:rvb i="13896"/>
        </ext>
      </extLst>
    </bk>
    <bk>
      <extLst>
        <ext uri="{3e2802c4-a4d2-4d8b-9148-e3be6c30e623}">
          <xlrd:rvb i="13897"/>
        </ext>
      </extLst>
    </bk>
    <bk>
      <extLst>
        <ext uri="{3e2802c4-a4d2-4d8b-9148-e3be6c30e623}">
          <xlrd:rvb i="13898"/>
        </ext>
      </extLst>
    </bk>
    <bk>
      <extLst>
        <ext uri="{3e2802c4-a4d2-4d8b-9148-e3be6c30e623}">
          <xlrd:rvb i="13899"/>
        </ext>
      </extLst>
    </bk>
    <bk>
      <extLst>
        <ext uri="{3e2802c4-a4d2-4d8b-9148-e3be6c30e623}">
          <xlrd:rvb i="13900"/>
        </ext>
      </extLst>
    </bk>
    <bk>
      <extLst>
        <ext uri="{3e2802c4-a4d2-4d8b-9148-e3be6c30e623}">
          <xlrd:rvb i="13901"/>
        </ext>
      </extLst>
    </bk>
    <bk>
      <extLst>
        <ext uri="{3e2802c4-a4d2-4d8b-9148-e3be6c30e623}">
          <xlrd:rvb i="13902"/>
        </ext>
      </extLst>
    </bk>
    <bk>
      <extLst>
        <ext uri="{3e2802c4-a4d2-4d8b-9148-e3be6c30e623}">
          <xlrd:rvb i="13903"/>
        </ext>
      </extLst>
    </bk>
    <bk>
      <extLst>
        <ext uri="{3e2802c4-a4d2-4d8b-9148-e3be6c30e623}">
          <xlrd:rvb i="13904"/>
        </ext>
      </extLst>
    </bk>
    <bk>
      <extLst>
        <ext uri="{3e2802c4-a4d2-4d8b-9148-e3be6c30e623}">
          <xlrd:rvb i="13905"/>
        </ext>
      </extLst>
    </bk>
    <bk>
      <extLst>
        <ext uri="{3e2802c4-a4d2-4d8b-9148-e3be6c30e623}">
          <xlrd:rvb i="13906"/>
        </ext>
      </extLst>
    </bk>
    <bk>
      <extLst>
        <ext uri="{3e2802c4-a4d2-4d8b-9148-e3be6c30e623}">
          <xlrd:rvb i="13907"/>
        </ext>
      </extLst>
    </bk>
    <bk>
      <extLst>
        <ext uri="{3e2802c4-a4d2-4d8b-9148-e3be6c30e623}">
          <xlrd:rvb i="13908"/>
        </ext>
      </extLst>
    </bk>
    <bk>
      <extLst>
        <ext uri="{3e2802c4-a4d2-4d8b-9148-e3be6c30e623}">
          <xlrd:rvb i="13909"/>
        </ext>
      </extLst>
    </bk>
    <bk>
      <extLst>
        <ext uri="{3e2802c4-a4d2-4d8b-9148-e3be6c30e623}">
          <xlrd:rvb i="13910"/>
        </ext>
      </extLst>
    </bk>
    <bk>
      <extLst>
        <ext uri="{3e2802c4-a4d2-4d8b-9148-e3be6c30e623}">
          <xlrd:rvb i="13911"/>
        </ext>
      </extLst>
    </bk>
    <bk>
      <extLst>
        <ext uri="{3e2802c4-a4d2-4d8b-9148-e3be6c30e623}">
          <xlrd:rvb i="13912"/>
        </ext>
      </extLst>
    </bk>
    <bk>
      <extLst>
        <ext uri="{3e2802c4-a4d2-4d8b-9148-e3be6c30e623}">
          <xlrd:rvb i="13913"/>
        </ext>
      </extLst>
    </bk>
    <bk>
      <extLst>
        <ext uri="{3e2802c4-a4d2-4d8b-9148-e3be6c30e623}">
          <xlrd:rvb i="13914"/>
        </ext>
      </extLst>
    </bk>
    <bk>
      <extLst>
        <ext uri="{3e2802c4-a4d2-4d8b-9148-e3be6c30e623}">
          <xlrd:rvb i="13915"/>
        </ext>
      </extLst>
    </bk>
    <bk>
      <extLst>
        <ext uri="{3e2802c4-a4d2-4d8b-9148-e3be6c30e623}">
          <xlrd:rvb i="13916"/>
        </ext>
      </extLst>
    </bk>
    <bk>
      <extLst>
        <ext uri="{3e2802c4-a4d2-4d8b-9148-e3be6c30e623}">
          <xlrd:rvb i="13917"/>
        </ext>
      </extLst>
    </bk>
    <bk>
      <extLst>
        <ext uri="{3e2802c4-a4d2-4d8b-9148-e3be6c30e623}">
          <xlrd:rvb i="13918"/>
        </ext>
      </extLst>
    </bk>
    <bk>
      <extLst>
        <ext uri="{3e2802c4-a4d2-4d8b-9148-e3be6c30e623}">
          <xlrd:rvb i="13919"/>
        </ext>
      </extLst>
    </bk>
    <bk>
      <extLst>
        <ext uri="{3e2802c4-a4d2-4d8b-9148-e3be6c30e623}">
          <xlrd:rvb i="13920"/>
        </ext>
      </extLst>
    </bk>
    <bk>
      <extLst>
        <ext uri="{3e2802c4-a4d2-4d8b-9148-e3be6c30e623}">
          <xlrd:rvb i="13921"/>
        </ext>
      </extLst>
    </bk>
    <bk>
      <extLst>
        <ext uri="{3e2802c4-a4d2-4d8b-9148-e3be6c30e623}">
          <xlrd:rvb i="13922"/>
        </ext>
      </extLst>
    </bk>
    <bk>
      <extLst>
        <ext uri="{3e2802c4-a4d2-4d8b-9148-e3be6c30e623}">
          <xlrd:rvb i="13923"/>
        </ext>
      </extLst>
    </bk>
    <bk>
      <extLst>
        <ext uri="{3e2802c4-a4d2-4d8b-9148-e3be6c30e623}">
          <xlrd:rvb i="13924"/>
        </ext>
      </extLst>
    </bk>
    <bk>
      <extLst>
        <ext uri="{3e2802c4-a4d2-4d8b-9148-e3be6c30e623}">
          <xlrd:rvb i="13925"/>
        </ext>
      </extLst>
    </bk>
    <bk>
      <extLst>
        <ext uri="{3e2802c4-a4d2-4d8b-9148-e3be6c30e623}">
          <xlrd:rvb i="13926"/>
        </ext>
      </extLst>
    </bk>
    <bk>
      <extLst>
        <ext uri="{3e2802c4-a4d2-4d8b-9148-e3be6c30e623}">
          <xlrd:rvb i="13927"/>
        </ext>
      </extLst>
    </bk>
    <bk>
      <extLst>
        <ext uri="{3e2802c4-a4d2-4d8b-9148-e3be6c30e623}">
          <xlrd:rvb i="13928"/>
        </ext>
      </extLst>
    </bk>
    <bk>
      <extLst>
        <ext uri="{3e2802c4-a4d2-4d8b-9148-e3be6c30e623}">
          <xlrd:rvb i="13929"/>
        </ext>
      </extLst>
    </bk>
    <bk>
      <extLst>
        <ext uri="{3e2802c4-a4d2-4d8b-9148-e3be6c30e623}">
          <xlrd:rvb i="13930"/>
        </ext>
      </extLst>
    </bk>
    <bk>
      <extLst>
        <ext uri="{3e2802c4-a4d2-4d8b-9148-e3be6c30e623}">
          <xlrd:rvb i="13931"/>
        </ext>
      </extLst>
    </bk>
    <bk>
      <extLst>
        <ext uri="{3e2802c4-a4d2-4d8b-9148-e3be6c30e623}">
          <xlrd:rvb i="13932"/>
        </ext>
      </extLst>
    </bk>
    <bk>
      <extLst>
        <ext uri="{3e2802c4-a4d2-4d8b-9148-e3be6c30e623}">
          <xlrd:rvb i="13933"/>
        </ext>
      </extLst>
    </bk>
    <bk>
      <extLst>
        <ext uri="{3e2802c4-a4d2-4d8b-9148-e3be6c30e623}">
          <xlrd:rvb i="13934"/>
        </ext>
      </extLst>
    </bk>
    <bk>
      <extLst>
        <ext uri="{3e2802c4-a4d2-4d8b-9148-e3be6c30e623}">
          <xlrd:rvb i="13935"/>
        </ext>
      </extLst>
    </bk>
    <bk>
      <extLst>
        <ext uri="{3e2802c4-a4d2-4d8b-9148-e3be6c30e623}">
          <xlrd:rvb i="13936"/>
        </ext>
      </extLst>
    </bk>
    <bk>
      <extLst>
        <ext uri="{3e2802c4-a4d2-4d8b-9148-e3be6c30e623}">
          <xlrd:rvb i="13937"/>
        </ext>
      </extLst>
    </bk>
    <bk>
      <extLst>
        <ext uri="{3e2802c4-a4d2-4d8b-9148-e3be6c30e623}">
          <xlrd:rvb i="13938"/>
        </ext>
      </extLst>
    </bk>
    <bk>
      <extLst>
        <ext uri="{3e2802c4-a4d2-4d8b-9148-e3be6c30e623}">
          <xlrd:rvb i="13939"/>
        </ext>
      </extLst>
    </bk>
    <bk>
      <extLst>
        <ext uri="{3e2802c4-a4d2-4d8b-9148-e3be6c30e623}">
          <xlrd:rvb i="13940"/>
        </ext>
      </extLst>
    </bk>
    <bk>
      <extLst>
        <ext uri="{3e2802c4-a4d2-4d8b-9148-e3be6c30e623}">
          <xlrd:rvb i="13941"/>
        </ext>
      </extLst>
    </bk>
    <bk>
      <extLst>
        <ext uri="{3e2802c4-a4d2-4d8b-9148-e3be6c30e623}">
          <xlrd:rvb i="13942"/>
        </ext>
      </extLst>
    </bk>
    <bk>
      <extLst>
        <ext uri="{3e2802c4-a4d2-4d8b-9148-e3be6c30e623}">
          <xlrd:rvb i="13943"/>
        </ext>
      </extLst>
    </bk>
    <bk>
      <extLst>
        <ext uri="{3e2802c4-a4d2-4d8b-9148-e3be6c30e623}">
          <xlrd:rvb i="13944"/>
        </ext>
      </extLst>
    </bk>
    <bk>
      <extLst>
        <ext uri="{3e2802c4-a4d2-4d8b-9148-e3be6c30e623}">
          <xlrd:rvb i="13945"/>
        </ext>
      </extLst>
    </bk>
    <bk>
      <extLst>
        <ext uri="{3e2802c4-a4d2-4d8b-9148-e3be6c30e623}">
          <xlrd:rvb i="13946"/>
        </ext>
      </extLst>
    </bk>
    <bk>
      <extLst>
        <ext uri="{3e2802c4-a4d2-4d8b-9148-e3be6c30e623}">
          <xlrd:rvb i="13947"/>
        </ext>
      </extLst>
    </bk>
    <bk>
      <extLst>
        <ext uri="{3e2802c4-a4d2-4d8b-9148-e3be6c30e623}">
          <xlrd:rvb i="13948"/>
        </ext>
      </extLst>
    </bk>
    <bk>
      <extLst>
        <ext uri="{3e2802c4-a4d2-4d8b-9148-e3be6c30e623}">
          <xlrd:rvb i="13949"/>
        </ext>
      </extLst>
    </bk>
    <bk>
      <extLst>
        <ext uri="{3e2802c4-a4d2-4d8b-9148-e3be6c30e623}">
          <xlrd:rvb i="13950"/>
        </ext>
      </extLst>
    </bk>
    <bk>
      <extLst>
        <ext uri="{3e2802c4-a4d2-4d8b-9148-e3be6c30e623}">
          <xlrd:rvb i="13951"/>
        </ext>
      </extLst>
    </bk>
    <bk>
      <extLst>
        <ext uri="{3e2802c4-a4d2-4d8b-9148-e3be6c30e623}">
          <xlrd:rvb i="13952"/>
        </ext>
      </extLst>
    </bk>
    <bk>
      <extLst>
        <ext uri="{3e2802c4-a4d2-4d8b-9148-e3be6c30e623}">
          <xlrd:rvb i="13953"/>
        </ext>
      </extLst>
    </bk>
    <bk>
      <extLst>
        <ext uri="{3e2802c4-a4d2-4d8b-9148-e3be6c30e623}">
          <xlrd:rvb i="13954"/>
        </ext>
      </extLst>
    </bk>
    <bk>
      <extLst>
        <ext uri="{3e2802c4-a4d2-4d8b-9148-e3be6c30e623}">
          <xlrd:rvb i="13955"/>
        </ext>
      </extLst>
    </bk>
    <bk>
      <extLst>
        <ext uri="{3e2802c4-a4d2-4d8b-9148-e3be6c30e623}">
          <xlrd:rvb i="13956"/>
        </ext>
      </extLst>
    </bk>
    <bk>
      <extLst>
        <ext uri="{3e2802c4-a4d2-4d8b-9148-e3be6c30e623}">
          <xlrd:rvb i="13957"/>
        </ext>
      </extLst>
    </bk>
    <bk>
      <extLst>
        <ext uri="{3e2802c4-a4d2-4d8b-9148-e3be6c30e623}">
          <xlrd:rvb i="13958"/>
        </ext>
      </extLst>
    </bk>
    <bk>
      <extLst>
        <ext uri="{3e2802c4-a4d2-4d8b-9148-e3be6c30e623}">
          <xlrd:rvb i="13959"/>
        </ext>
      </extLst>
    </bk>
    <bk>
      <extLst>
        <ext uri="{3e2802c4-a4d2-4d8b-9148-e3be6c30e623}">
          <xlrd:rvb i="13960"/>
        </ext>
      </extLst>
    </bk>
    <bk>
      <extLst>
        <ext uri="{3e2802c4-a4d2-4d8b-9148-e3be6c30e623}">
          <xlrd:rvb i="13961"/>
        </ext>
      </extLst>
    </bk>
    <bk>
      <extLst>
        <ext uri="{3e2802c4-a4d2-4d8b-9148-e3be6c30e623}">
          <xlrd:rvb i="13962"/>
        </ext>
      </extLst>
    </bk>
    <bk>
      <extLst>
        <ext uri="{3e2802c4-a4d2-4d8b-9148-e3be6c30e623}">
          <xlrd:rvb i="13963"/>
        </ext>
      </extLst>
    </bk>
    <bk>
      <extLst>
        <ext uri="{3e2802c4-a4d2-4d8b-9148-e3be6c30e623}">
          <xlrd:rvb i="13964"/>
        </ext>
      </extLst>
    </bk>
    <bk>
      <extLst>
        <ext uri="{3e2802c4-a4d2-4d8b-9148-e3be6c30e623}">
          <xlrd:rvb i="13965"/>
        </ext>
      </extLst>
    </bk>
    <bk>
      <extLst>
        <ext uri="{3e2802c4-a4d2-4d8b-9148-e3be6c30e623}">
          <xlrd:rvb i="13966"/>
        </ext>
      </extLst>
    </bk>
    <bk>
      <extLst>
        <ext uri="{3e2802c4-a4d2-4d8b-9148-e3be6c30e623}">
          <xlrd:rvb i="13967"/>
        </ext>
      </extLst>
    </bk>
    <bk>
      <extLst>
        <ext uri="{3e2802c4-a4d2-4d8b-9148-e3be6c30e623}">
          <xlrd:rvb i="13968"/>
        </ext>
      </extLst>
    </bk>
    <bk>
      <extLst>
        <ext uri="{3e2802c4-a4d2-4d8b-9148-e3be6c30e623}">
          <xlrd:rvb i="13969"/>
        </ext>
      </extLst>
    </bk>
    <bk>
      <extLst>
        <ext uri="{3e2802c4-a4d2-4d8b-9148-e3be6c30e623}">
          <xlrd:rvb i="13970"/>
        </ext>
      </extLst>
    </bk>
    <bk>
      <extLst>
        <ext uri="{3e2802c4-a4d2-4d8b-9148-e3be6c30e623}">
          <xlrd:rvb i="13971"/>
        </ext>
      </extLst>
    </bk>
    <bk>
      <extLst>
        <ext uri="{3e2802c4-a4d2-4d8b-9148-e3be6c30e623}">
          <xlrd:rvb i="13972"/>
        </ext>
      </extLst>
    </bk>
    <bk>
      <extLst>
        <ext uri="{3e2802c4-a4d2-4d8b-9148-e3be6c30e623}">
          <xlrd:rvb i="13973"/>
        </ext>
      </extLst>
    </bk>
    <bk>
      <extLst>
        <ext uri="{3e2802c4-a4d2-4d8b-9148-e3be6c30e623}">
          <xlrd:rvb i="13974"/>
        </ext>
      </extLst>
    </bk>
    <bk>
      <extLst>
        <ext uri="{3e2802c4-a4d2-4d8b-9148-e3be6c30e623}">
          <xlrd:rvb i="13975"/>
        </ext>
      </extLst>
    </bk>
    <bk>
      <extLst>
        <ext uri="{3e2802c4-a4d2-4d8b-9148-e3be6c30e623}">
          <xlrd:rvb i="13976"/>
        </ext>
      </extLst>
    </bk>
    <bk>
      <extLst>
        <ext uri="{3e2802c4-a4d2-4d8b-9148-e3be6c30e623}">
          <xlrd:rvb i="13977"/>
        </ext>
      </extLst>
    </bk>
    <bk>
      <extLst>
        <ext uri="{3e2802c4-a4d2-4d8b-9148-e3be6c30e623}">
          <xlrd:rvb i="13978"/>
        </ext>
      </extLst>
    </bk>
    <bk>
      <extLst>
        <ext uri="{3e2802c4-a4d2-4d8b-9148-e3be6c30e623}">
          <xlrd:rvb i="13979"/>
        </ext>
      </extLst>
    </bk>
    <bk>
      <extLst>
        <ext uri="{3e2802c4-a4d2-4d8b-9148-e3be6c30e623}">
          <xlrd:rvb i="13980"/>
        </ext>
      </extLst>
    </bk>
    <bk>
      <extLst>
        <ext uri="{3e2802c4-a4d2-4d8b-9148-e3be6c30e623}">
          <xlrd:rvb i="13981"/>
        </ext>
      </extLst>
    </bk>
    <bk>
      <extLst>
        <ext uri="{3e2802c4-a4d2-4d8b-9148-e3be6c30e623}">
          <xlrd:rvb i="13982"/>
        </ext>
      </extLst>
    </bk>
    <bk>
      <extLst>
        <ext uri="{3e2802c4-a4d2-4d8b-9148-e3be6c30e623}">
          <xlrd:rvb i="13983"/>
        </ext>
      </extLst>
    </bk>
    <bk>
      <extLst>
        <ext uri="{3e2802c4-a4d2-4d8b-9148-e3be6c30e623}">
          <xlrd:rvb i="13984"/>
        </ext>
      </extLst>
    </bk>
    <bk>
      <extLst>
        <ext uri="{3e2802c4-a4d2-4d8b-9148-e3be6c30e623}">
          <xlrd:rvb i="13985"/>
        </ext>
      </extLst>
    </bk>
    <bk>
      <extLst>
        <ext uri="{3e2802c4-a4d2-4d8b-9148-e3be6c30e623}">
          <xlrd:rvb i="13986"/>
        </ext>
      </extLst>
    </bk>
    <bk>
      <extLst>
        <ext uri="{3e2802c4-a4d2-4d8b-9148-e3be6c30e623}">
          <xlrd:rvb i="13987"/>
        </ext>
      </extLst>
    </bk>
    <bk>
      <extLst>
        <ext uri="{3e2802c4-a4d2-4d8b-9148-e3be6c30e623}">
          <xlrd:rvb i="13988"/>
        </ext>
      </extLst>
    </bk>
    <bk>
      <extLst>
        <ext uri="{3e2802c4-a4d2-4d8b-9148-e3be6c30e623}">
          <xlrd:rvb i="13989"/>
        </ext>
      </extLst>
    </bk>
    <bk>
      <extLst>
        <ext uri="{3e2802c4-a4d2-4d8b-9148-e3be6c30e623}">
          <xlrd:rvb i="13990"/>
        </ext>
      </extLst>
    </bk>
    <bk>
      <extLst>
        <ext uri="{3e2802c4-a4d2-4d8b-9148-e3be6c30e623}">
          <xlrd:rvb i="13991"/>
        </ext>
      </extLst>
    </bk>
    <bk>
      <extLst>
        <ext uri="{3e2802c4-a4d2-4d8b-9148-e3be6c30e623}">
          <xlrd:rvb i="13992"/>
        </ext>
      </extLst>
    </bk>
    <bk>
      <extLst>
        <ext uri="{3e2802c4-a4d2-4d8b-9148-e3be6c30e623}">
          <xlrd:rvb i="13993"/>
        </ext>
      </extLst>
    </bk>
    <bk>
      <extLst>
        <ext uri="{3e2802c4-a4d2-4d8b-9148-e3be6c30e623}">
          <xlrd:rvb i="13994"/>
        </ext>
      </extLst>
    </bk>
    <bk>
      <extLst>
        <ext uri="{3e2802c4-a4d2-4d8b-9148-e3be6c30e623}">
          <xlrd:rvb i="13995"/>
        </ext>
      </extLst>
    </bk>
    <bk>
      <extLst>
        <ext uri="{3e2802c4-a4d2-4d8b-9148-e3be6c30e623}">
          <xlrd:rvb i="13996"/>
        </ext>
      </extLst>
    </bk>
    <bk>
      <extLst>
        <ext uri="{3e2802c4-a4d2-4d8b-9148-e3be6c30e623}">
          <xlrd:rvb i="13997"/>
        </ext>
      </extLst>
    </bk>
    <bk>
      <extLst>
        <ext uri="{3e2802c4-a4d2-4d8b-9148-e3be6c30e623}">
          <xlrd:rvb i="13998"/>
        </ext>
      </extLst>
    </bk>
    <bk>
      <extLst>
        <ext uri="{3e2802c4-a4d2-4d8b-9148-e3be6c30e623}">
          <xlrd:rvb i="13999"/>
        </ext>
      </extLst>
    </bk>
    <bk>
      <extLst>
        <ext uri="{3e2802c4-a4d2-4d8b-9148-e3be6c30e623}">
          <xlrd:rvb i="14000"/>
        </ext>
      </extLst>
    </bk>
    <bk>
      <extLst>
        <ext uri="{3e2802c4-a4d2-4d8b-9148-e3be6c30e623}">
          <xlrd:rvb i="14001"/>
        </ext>
      </extLst>
    </bk>
    <bk>
      <extLst>
        <ext uri="{3e2802c4-a4d2-4d8b-9148-e3be6c30e623}">
          <xlrd:rvb i="14002"/>
        </ext>
      </extLst>
    </bk>
    <bk>
      <extLst>
        <ext uri="{3e2802c4-a4d2-4d8b-9148-e3be6c30e623}">
          <xlrd:rvb i="14003"/>
        </ext>
      </extLst>
    </bk>
    <bk>
      <extLst>
        <ext uri="{3e2802c4-a4d2-4d8b-9148-e3be6c30e623}">
          <xlrd:rvb i="14004"/>
        </ext>
      </extLst>
    </bk>
    <bk>
      <extLst>
        <ext uri="{3e2802c4-a4d2-4d8b-9148-e3be6c30e623}">
          <xlrd:rvb i="14005"/>
        </ext>
      </extLst>
    </bk>
    <bk>
      <extLst>
        <ext uri="{3e2802c4-a4d2-4d8b-9148-e3be6c30e623}">
          <xlrd:rvb i="14006"/>
        </ext>
      </extLst>
    </bk>
    <bk>
      <extLst>
        <ext uri="{3e2802c4-a4d2-4d8b-9148-e3be6c30e623}">
          <xlrd:rvb i="14007"/>
        </ext>
      </extLst>
    </bk>
    <bk>
      <extLst>
        <ext uri="{3e2802c4-a4d2-4d8b-9148-e3be6c30e623}">
          <xlrd:rvb i="14008"/>
        </ext>
      </extLst>
    </bk>
    <bk>
      <extLst>
        <ext uri="{3e2802c4-a4d2-4d8b-9148-e3be6c30e623}">
          <xlrd:rvb i="14009"/>
        </ext>
      </extLst>
    </bk>
    <bk>
      <extLst>
        <ext uri="{3e2802c4-a4d2-4d8b-9148-e3be6c30e623}">
          <xlrd:rvb i="14010"/>
        </ext>
      </extLst>
    </bk>
    <bk>
      <extLst>
        <ext uri="{3e2802c4-a4d2-4d8b-9148-e3be6c30e623}">
          <xlrd:rvb i="14011"/>
        </ext>
      </extLst>
    </bk>
    <bk>
      <extLst>
        <ext uri="{3e2802c4-a4d2-4d8b-9148-e3be6c30e623}">
          <xlrd:rvb i="14012"/>
        </ext>
      </extLst>
    </bk>
    <bk>
      <extLst>
        <ext uri="{3e2802c4-a4d2-4d8b-9148-e3be6c30e623}">
          <xlrd:rvb i="14013"/>
        </ext>
      </extLst>
    </bk>
    <bk>
      <extLst>
        <ext uri="{3e2802c4-a4d2-4d8b-9148-e3be6c30e623}">
          <xlrd:rvb i="14014"/>
        </ext>
      </extLst>
    </bk>
    <bk>
      <extLst>
        <ext uri="{3e2802c4-a4d2-4d8b-9148-e3be6c30e623}">
          <xlrd:rvb i="14015"/>
        </ext>
      </extLst>
    </bk>
    <bk>
      <extLst>
        <ext uri="{3e2802c4-a4d2-4d8b-9148-e3be6c30e623}">
          <xlrd:rvb i="14016"/>
        </ext>
      </extLst>
    </bk>
    <bk>
      <extLst>
        <ext uri="{3e2802c4-a4d2-4d8b-9148-e3be6c30e623}">
          <xlrd:rvb i="14017"/>
        </ext>
      </extLst>
    </bk>
    <bk>
      <extLst>
        <ext uri="{3e2802c4-a4d2-4d8b-9148-e3be6c30e623}">
          <xlrd:rvb i="14018"/>
        </ext>
      </extLst>
    </bk>
    <bk>
      <extLst>
        <ext uri="{3e2802c4-a4d2-4d8b-9148-e3be6c30e623}">
          <xlrd:rvb i="14019"/>
        </ext>
      </extLst>
    </bk>
    <bk>
      <extLst>
        <ext uri="{3e2802c4-a4d2-4d8b-9148-e3be6c30e623}">
          <xlrd:rvb i="14020"/>
        </ext>
      </extLst>
    </bk>
    <bk>
      <extLst>
        <ext uri="{3e2802c4-a4d2-4d8b-9148-e3be6c30e623}">
          <xlrd:rvb i="14021"/>
        </ext>
      </extLst>
    </bk>
    <bk>
      <extLst>
        <ext uri="{3e2802c4-a4d2-4d8b-9148-e3be6c30e623}">
          <xlrd:rvb i="14022"/>
        </ext>
      </extLst>
    </bk>
    <bk>
      <extLst>
        <ext uri="{3e2802c4-a4d2-4d8b-9148-e3be6c30e623}">
          <xlrd:rvb i="14023"/>
        </ext>
      </extLst>
    </bk>
    <bk>
      <extLst>
        <ext uri="{3e2802c4-a4d2-4d8b-9148-e3be6c30e623}">
          <xlrd:rvb i="14024"/>
        </ext>
      </extLst>
    </bk>
    <bk>
      <extLst>
        <ext uri="{3e2802c4-a4d2-4d8b-9148-e3be6c30e623}">
          <xlrd:rvb i="14025"/>
        </ext>
      </extLst>
    </bk>
    <bk>
      <extLst>
        <ext uri="{3e2802c4-a4d2-4d8b-9148-e3be6c30e623}">
          <xlrd:rvb i="14026"/>
        </ext>
      </extLst>
    </bk>
    <bk>
      <extLst>
        <ext uri="{3e2802c4-a4d2-4d8b-9148-e3be6c30e623}">
          <xlrd:rvb i="14027"/>
        </ext>
      </extLst>
    </bk>
    <bk>
      <extLst>
        <ext uri="{3e2802c4-a4d2-4d8b-9148-e3be6c30e623}">
          <xlrd:rvb i="14028"/>
        </ext>
      </extLst>
    </bk>
    <bk>
      <extLst>
        <ext uri="{3e2802c4-a4d2-4d8b-9148-e3be6c30e623}">
          <xlrd:rvb i="14029"/>
        </ext>
      </extLst>
    </bk>
    <bk>
      <extLst>
        <ext uri="{3e2802c4-a4d2-4d8b-9148-e3be6c30e623}">
          <xlrd:rvb i="14030"/>
        </ext>
      </extLst>
    </bk>
    <bk>
      <extLst>
        <ext uri="{3e2802c4-a4d2-4d8b-9148-e3be6c30e623}">
          <xlrd:rvb i="14031"/>
        </ext>
      </extLst>
    </bk>
    <bk>
      <extLst>
        <ext uri="{3e2802c4-a4d2-4d8b-9148-e3be6c30e623}">
          <xlrd:rvb i="14032"/>
        </ext>
      </extLst>
    </bk>
    <bk>
      <extLst>
        <ext uri="{3e2802c4-a4d2-4d8b-9148-e3be6c30e623}">
          <xlrd:rvb i="14033"/>
        </ext>
      </extLst>
    </bk>
    <bk>
      <extLst>
        <ext uri="{3e2802c4-a4d2-4d8b-9148-e3be6c30e623}">
          <xlrd:rvb i="14034"/>
        </ext>
      </extLst>
    </bk>
    <bk>
      <extLst>
        <ext uri="{3e2802c4-a4d2-4d8b-9148-e3be6c30e623}">
          <xlrd:rvb i="14035"/>
        </ext>
      </extLst>
    </bk>
    <bk>
      <extLst>
        <ext uri="{3e2802c4-a4d2-4d8b-9148-e3be6c30e623}">
          <xlrd:rvb i="14036"/>
        </ext>
      </extLst>
    </bk>
    <bk>
      <extLst>
        <ext uri="{3e2802c4-a4d2-4d8b-9148-e3be6c30e623}">
          <xlrd:rvb i="14037"/>
        </ext>
      </extLst>
    </bk>
    <bk>
      <extLst>
        <ext uri="{3e2802c4-a4d2-4d8b-9148-e3be6c30e623}">
          <xlrd:rvb i="14038"/>
        </ext>
      </extLst>
    </bk>
    <bk>
      <extLst>
        <ext uri="{3e2802c4-a4d2-4d8b-9148-e3be6c30e623}">
          <xlrd:rvb i="14039"/>
        </ext>
      </extLst>
    </bk>
    <bk>
      <extLst>
        <ext uri="{3e2802c4-a4d2-4d8b-9148-e3be6c30e623}">
          <xlrd:rvb i="14040"/>
        </ext>
      </extLst>
    </bk>
    <bk>
      <extLst>
        <ext uri="{3e2802c4-a4d2-4d8b-9148-e3be6c30e623}">
          <xlrd:rvb i="14041"/>
        </ext>
      </extLst>
    </bk>
    <bk>
      <extLst>
        <ext uri="{3e2802c4-a4d2-4d8b-9148-e3be6c30e623}">
          <xlrd:rvb i="14042"/>
        </ext>
      </extLst>
    </bk>
    <bk>
      <extLst>
        <ext uri="{3e2802c4-a4d2-4d8b-9148-e3be6c30e623}">
          <xlrd:rvb i="14043"/>
        </ext>
      </extLst>
    </bk>
    <bk>
      <extLst>
        <ext uri="{3e2802c4-a4d2-4d8b-9148-e3be6c30e623}">
          <xlrd:rvb i="14044"/>
        </ext>
      </extLst>
    </bk>
    <bk>
      <extLst>
        <ext uri="{3e2802c4-a4d2-4d8b-9148-e3be6c30e623}">
          <xlrd:rvb i="14045"/>
        </ext>
      </extLst>
    </bk>
    <bk>
      <extLst>
        <ext uri="{3e2802c4-a4d2-4d8b-9148-e3be6c30e623}">
          <xlrd:rvb i="14046"/>
        </ext>
      </extLst>
    </bk>
    <bk>
      <extLst>
        <ext uri="{3e2802c4-a4d2-4d8b-9148-e3be6c30e623}">
          <xlrd:rvb i="14047"/>
        </ext>
      </extLst>
    </bk>
    <bk>
      <extLst>
        <ext uri="{3e2802c4-a4d2-4d8b-9148-e3be6c30e623}">
          <xlrd:rvb i="14048"/>
        </ext>
      </extLst>
    </bk>
    <bk>
      <extLst>
        <ext uri="{3e2802c4-a4d2-4d8b-9148-e3be6c30e623}">
          <xlrd:rvb i="14049"/>
        </ext>
      </extLst>
    </bk>
    <bk>
      <extLst>
        <ext uri="{3e2802c4-a4d2-4d8b-9148-e3be6c30e623}">
          <xlrd:rvb i="14050"/>
        </ext>
      </extLst>
    </bk>
    <bk>
      <extLst>
        <ext uri="{3e2802c4-a4d2-4d8b-9148-e3be6c30e623}">
          <xlrd:rvb i="14051"/>
        </ext>
      </extLst>
    </bk>
    <bk>
      <extLst>
        <ext uri="{3e2802c4-a4d2-4d8b-9148-e3be6c30e623}">
          <xlrd:rvb i="14052"/>
        </ext>
      </extLst>
    </bk>
    <bk>
      <extLst>
        <ext uri="{3e2802c4-a4d2-4d8b-9148-e3be6c30e623}">
          <xlrd:rvb i="14053"/>
        </ext>
      </extLst>
    </bk>
    <bk>
      <extLst>
        <ext uri="{3e2802c4-a4d2-4d8b-9148-e3be6c30e623}">
          <xlrd:rvb i="14054"/>
        </ext>
      </extLst>
    </bk>
    <bk>
      <extLst>
        <ext uri="{3e2802c4-a4d2-4d8b-9148-e3be6c30e623}">
          <xlrd:rvb i="14055"/>
        </ext>
      </extLst>
    </bk>
    <bk>
      <extLst>
        <ext uri="{3e2802c4-a4d2-4d8b-9148-e3be6c30e623}">
          <xlrd:rvb i="14056"/>
        </ext>
      </extLst>
    </bk>
    <bk>
      <extLst>
        <ext uri="{3e2802c4-a4d2-4d8b-9148-e3be6c30e623}">
          <xlrd:rvb i="14057"/>
        </ext>
      </extLst>
    </bk>
    <bk>
      <extLst>
        <ext uri="{3e2802c4-a4d2-4d8b-9148-e3be6c30e623}">
          <xlrd:rvb i="14058"/>
        </ext>
      </extLst>
    </bk>
    <bk>
      <extLst>
        <ext uri="{3e2802c4-a4d2-4d8b-9148-e3be6c30e623}">
          <xlrd:rvb i="14059"/>
        </ext>
      </extLst>
    </bk>
    <bk>
      <extLst>
        <ext uri="{3e2802c4-a4d2-4d8b-9148-e3be6c30e623}">
          <xlrd:rvb i="14060"/>
        </ext>
      </extLst>
    </bk>
    <bk>
      <extLst>
        <ext uri="{3e2802c4-a4d2-4d8b-9148-e3be6c30e623}">
          <xlrd:rvb i="14061"/>
        </ext>
      </extLst>
    </bk>
    <bk>
      <extLst>
        <ext uri="{3e2802c4-a4d2-4d8b-9148-e3be6c30e623}">
          <xlrd:rvb i="14062"/>
        </ext>
      </extLst>
    </bk>
    <bk>
      <extLst>
        <ext uri="{3e2802c4-a4d2-4d8b-9148-e3be6c30e623}">
          <xlrd:rvb i="14063"/>
        </ext>
      </extLst>
    </bk>
    <bk>
      <extLst>
        <ext uri="{3e2802c4-a4d2-4d8b-9148-e3be6c30e623}">
          <xlrd:rvb i="14064"/>
        </ext>
      </extLst>
    </bk>
    <bk>
      <extLst>
        <ext uri="{3e2802c4-a4d2-4d8b-9148-e3be6c30e623}">
          <xlrd:rvb i="14065"/>
        </ext>
      </extLst>
    </bk>
    <bk>
      <extLst>
        <ext uri="{3e2802c4-a4d2-4d8b-9148-e3be6c30e623}">
          <xlrd:rvb i="14066"/>
        </ext>
      </extLst>
    </bk>
    <bk>
      <extLst>
        <ext uri="{3e2802c4-a4d2-4d8b-9148-e3be6c30e623}">
          <xlrd:rvb i="14067"/>
        </ext>
      </extLst>
    </bk>
    <bk>
      <extLst>
        <ext uri="{3e2802c4-a4d2-4d8b-9148-e3be6c30e623}">
          <xlrd:rvb i="14068"/>
        </ext>
      </extLst>
    </bk>
    <bk>
      <extLst>
        <ext uri="{3e2802c4-a4d2-4d8b-9148-e3be6c30e623}">
          <xlrd:rvb i="14069"/>
        </ext>
      </extLst>
    </bk>
    <bk>
      <extLst>
        <ext uri="{3e2802c4-a4d2-4d8b-9148-e3be6c30e623}">
          <xlrd:rvb i="14070"/>
        </ext>
      </extLst>
    </bk>
    <bk>
      <extLst>
        <ext uri="{3e2802c4-a4d2-4d8b-9148-e3be6c30e623}">
          <xlrd:rvb i="14071"/>
        </ext>
      </extLst>
    </bk>
    <bk>
      <extLst>
        <ext uri="{3e2802c4-a4d2-4d8b-9148-e3be6c30e623}">
          <xlrd:rvb i="14072"/>
        </ext>
      </extLst>
    </bk>
    <bk>
      <extLst>
        <ext uri="{3e2802c4-a4d2-4d8b-9148-e3be6c30e623}">
          <xlrd:rvb i="14073"/>
        </ext>
      </extLst>
    </bk>
    <bk>
      <extLst>
        <ext uri="{3e2802c4-a4d2-4d8b-9148-e3be6c30e623}">
          <xlrd:rvb i="14074"/>
        </ext>
      </extLst>
    </bk>
    <bk>
      <extLst>
        <ext uri="{3e2802c4-a4d2-4d8b-9148-e3be6c30e623}">
          <xlrd:rvb i="14075"/>
        </ext>
      </extLst>
    </bk>
    <bk>
      <extLst>
        <ext uri="{3e2802c4-a4d2-4d8b-9148-e3be6c30e623}">
          <xlrd:rvb i="14076"/>
        </ext>
      </extLst>
    </bk>
    <bk>
      <extLst>
        <ext uri="{3e2802c4-a4d2-4d8b-9148-e3be6c30e623}">
          <xlrd:rvb i="14077"/>
        </ext>
      </extLst>
    </bk>
    <bk>
      <extLst>
        <ext uri="{3e2802c4-a4d2-4d8b-9148-e3be6c30e623}">
          <xlrd:rvb i="14078"/>
        </ext>
      </extLst>
    </bk>
    <bk>
      <extLst>
        <ext uri="{3e2802c4-a4d2-4d8b-9148-e3be6c30e623}">
          <xlrd:rvb i="14079"/>
        </ext>
      </extLst>
    </bk>
    <bk>
      <extLst>
        <ext uri="{3e2802c4-a4d2-4d8b-9148-e3be6c30e623}">
          <xlrd:rvb i="14080"/>
        </ext>
      </extLst>
    </bk>
    <bk>
      <extLst>
        <ext uri="{3e2802c4-a4d2-4d8b-9148-e3be6c30e623}">
          <xlrd:rvb i="14081"/>
        </ext>
      </extLst>
    </bk>
    <bk>
      <extLst>
        <ext uri="{3e2802c4-a4d2-4d8b-9148-e3be6c30e623}">
          <xlrd:rvb i="14082"/>
        </ext>
      </extLst>
    </bk>
    <bk>
      <extLst>
        <ext uri="{3e2802c4-a4d2-4d8b-9148-e3be6c30e623}">
          <xlrd:rvb i="14083"/>
        </ext>
      </extLst>
    </bk>
    <bk>
      <extLst>
        <ext uri="{3e2802c4-a4d2-4d8b-9148-e3be6c30e623}">
          <xlrd:rvb i="14084"/>
        </ext>
      </extLst>
    </bk>
    <bk>
      <extLst>
        <ext uri="{3e2802c4-a4d2-4d8b-9148-e3be6c30e623}">
          <xlrd:rvb i="14085"/>
        </ext>
      </extLst>
    </bk>
    <bk>
      <extLst>
        <ext uri="{3e2802c4-a4d2-4d8b-9148-e3be6c30e623}">
          <xlrd:rvb i="14086"/>
        </ext>
      </extLst>
    </bk>
    <bk>
      <extLst>
        <ext uri="{3e2802c4-a4d2-4d8b-9148-e3be6c30e623}">
          <xlrd:rvb i="14087"/>
        </ext>
      </extLst>
    </bk>
    <bk>
      <extLst>
        <ext uri="{3e2802c4-a4d2-4d8b-9148-e3be6c30e623}">
          <xlrd:rvb i="14088"/>
        </ext>
      </extLst>
    </bk>
    <bk>
      <extLst>
        <ext uri="{3e2802c4-a4d2-4d8b-9148-e3be6c30e623}">
          <xlrd:rvb i="14089"/>
        </ext>
      </extLst>
    </bk>
    <bk>
      <extLst>
        <ext uri="{3e2802c4-a4d2-4d8b-9148-e3be6c30e623}">
          <xlrd:rvb i="14090"/>
        </ext>
      </extLst>
    </bk>
    <bk>
      <extLst>
        <ext uri="{3e2802c4-a4d2-4d8b-9148-e3be6c30e623}">
          <xlrd:rvb i="14091"/>
        </ext>
      </extLst>
    </bk>
    <bk>
      <extLst>
        <ext uri="{3e2802c4-a4d2-4d8b-9148-e3be6c30e623}">
          <xlrd:rvb i="14092"/>
        </ext>
      </extLst>
    </bk>
    <bk>
      <extLst>
        <ext uri="{3e2802c4-a4d2-4d8b-9148-e3be6c30e623}">
          <xlrd:rvb i="14093"/>
        </ext>
      </extLst>
    </bk>
    <bk>
      <extLst>
        <ext uri="{3e2802c4-a4d2-4d8b-9148-e3be6c30e623}">
          <xlrd:rvb i="14094"/>
        </ext>
      </extLst>
    </bk>
    <bk>
      <extLst>
        <ext uri="{3e2802c4-a4d2-4d8b-9148-e3be6c30e623}">
          <xlrd:rvb i="14095"/>
        </ext>
      </extLst>
    </bk>
    <bk>
      <extLst>
        <ext uri="{3e2802c4-a4d2-4d8b-9148-e3be6c30e623}">
          <xlrd:rvb i="14096"/>
        </ext>
      </extLst>
    </bk>
    <bk>
      <extLst>
        <ext uri="{3e2802c4-a4d2-4d8b-9148-e3be6c30e623}">
          <xlrd:rvb i="14097"/>
        </ext>
      </extLst>
    </bk>
    <bk>
      <extLst>
        <ext uri="{3e2802c4-a4d2-4d8b-9148-e3be6c30e623}">
          <xlrd:rvb i="14098"/>
        </ext>
      </extLst>
    </bk>
    <bk>
      <extLst>
        <ext uri="{3e2802c4-a4d2-4d8b-9148-e3be6c30e623}">
          <xlrd:rvb i="14099"/>
        </ext>
      </extLst>
    </bk>
    <bk>
      <extLst>
        <ext uri="{3e2802c4-a4d2-4d8b-9148-e3be6c30e623}">
          <xlrd:rvb i="14100"/>
        </ext>
      </extLst>
    </bk>
    <bk>
      <extLst>
        <ext uri="{3e2802c4-a4d2-4d8b-9148-e3be6c30e623}">
          <xlrd:rvb i="14101"/>
        </ext>
      </extLst>
    </bk>
    <bk>
      <extLst>
        <ext uri="{3e2802c4-a4d2-4d8b-9148-e3be6c30e623}">
          <xlrd:rvb i="14102"/>
        </ext>
      </extLst>
    </bk>
    <bk>
      <extLst>
        <ext uri="{3e2802c4-a4d2-4d8b-9148-e3be6c30e623}">
          <xlrd:rvb i="14103"/>
        </ext>
      </extLst>
    </bk>
    <bk>
      <extLst>
        <ext uri="{3e2802c4-a4d2-4d8b-9148-e3be6c30e623}">
          <xlrd:rvb i="14104"/>
        </ext>
      </extLst>
    </bk>
    <bk>
      <extLst>
        <ext uri="{3e2802c4-a4d2-4d8b-9148-e3be6c30e623}">
          <xlrd:rvb i="14105"/>
        </ext>
      </extLst>
    </bk>
    <bk>
      <extLst>
        <ext uri="{3e2802c4-a4d2-4d8b-9148-e3be6c30e623}">
          <xlrd:rvb i="14106"/>
        </ext>
      </extLst>
    </bk>
    <bk>
      <extLst>
        <ext uri="{3e2802c4-a4d2-4d8b-9148-e3be6c30e623}">
          <xlrd:rvb i="14107"/>
        </ext>
      </extLst>
    </bk>
    <bk>
      <extLst>
        <ext uri="{3e2802c4-a4d2-4d8b-9148-e3be6c30e623}">
          <xlrd:rvb i="14108"/>
        </ext>
      </extLst>
    </bk>
    <bk>
      <extLst>
        <ext uri="{3e2802c4-a4d2-4d8b-9148-e3be6c30e623}">
          <xlrd:rvb i="14109"/>
        </ext>
      </extLst>
    </bk>
    <bk>
      <extLst>
        <ext uri="{3e2802c4-a4d2-4d8b-9148-e3be6c30e623}">
          <xlrd:rvb i="14110"/>
        </ext>
      </extLst>
    </bk>
    <bk>
      <extLst>
        <ext uri="{3e2802c4-a4d2-4d8b-9148-e3be6c30e623}">
          <xlrd:rvb i="14111"/>
        </ext>
      </extLst>
    </bk>
    <bk>
      <extLst>
        <ext uri="{3e2802c4-a4d2-4d8b-9148-e3be6c30e623}">
          <xlrd:rvb i="14112"/>
        </ext>
      </extLst>
    </bk>
    <bk>
      <extLst>
        <ext uri="{3e2802c4-a4d2-4d8b-9148-e3be6c30e623}">
          <xlrd:rvb i="14113"/>
        </ext>
      </extLst>
    </bk>
    <bk>
      <extLst>
        <ext uri="{3e2802c4-a4d2-4d8b-9148-e3be6c30e623}">
          <xlrd:rvb i="14114"/>
        </ext>
      </extLst>
    </bk>
    <bk>
      <extLst>
        <ext uri="{3e2802c4-a4d2-4d8b-9148-e3be6c30e623}">
          <xlrd:rvb i="14115"/>
        </ext>
      </extLst>
    </bk>
    <bk>
      <extLst>
        <ext uri="{3e2802c4-a4d2-4d8b-9148-e3be6c30e623}">
          <xlrd:rvb i="14116"/>
        </ext>
      </extLst>
    </bk>
    <bk>
      <extLst>
        <ext uri="{3e2802c4-a4d2-4d8b-9148-e3be6c30e623}">
          <xlrd:rvb i="14117"/>
        </ext>
      </extLst>
    </bk>
    <bk>
      <extLst>
        <ext uri="{3e2802c4-a4d2-4d8b-9148-e3be6c30e623}">
          <xlrd:rvb i="14118"/>
        </ext>
      </extLst>
    </bk>
    <bk>
      <extLst>
        <ext uri="{3e2802c4-a4d2-4d8b-9148-e3be6c30e623}">
          <xlrd:rvb i="14119"/>
        </ext>
      </extLst>
    </bk>
    <bk>
      <extLst>
        <ext uri="{3e2802c4-a4d2-4d8b-9148-e3be6c30e623}">
          <xlrd:rvb i="14120"/>
        </ext>
      </extLst>
    </bk>
    <bk>
      <extLst>
        <ext uri="{3e2802c4-a4d2-4d8b-9148-e3be6c30e623}">
          <xlrd:rvb i="14121"/>
        </ext>
      </extLst>
    </bk>
    <bk>
      <extLst>
        <ext uri="{3e2802c4-a4d2-4d8b-9148-e3be6c30e623}">
          <xlrd:rvb i="14122"/>
        </ext>
      </extLst>
    </bk>
    <bk>
      <extLst>
        <ext uri="{3e2802c4-a4d2-4d8b-9148-e3be6c30e623}">
          <xlrd:rvb i="14123"/>
        </ext>
      </extLst>
    </bk>
    <bk>
      <extLst>
        <ext uri="{3e2802c4-a4d2-4d8b-9148-e3be6c30e623}">
          <xlrd:rvb i="14124"/>
        </ext>
      </extLst>
    </bk>
    <bk>
      <extLst>
        <ext uri="{3e2802c4-a4d2-4d8b-9148-e3be6c30e623}">
          <xlrd:rvb i="14125"/>
        </ext>
      </extLst>
    </bk>
    <bk>
      <extLst>
        <ext uri="{3e2802c4-a4d2-4d8b-9148-e3be6c30e623}">
          <xlrd:rvb i="14126"/>
        </ext>
      </extLst>
    </bk>
    <bk>
      <extLst>
        <ext uri="{3e2802c4-a4d2-4d8b-9148-e3be6c30e623}">
          <xlrd:rvb i="14127"/>
        </ext>
      </extLst>
    </bk>
    <bk>
      <extLst>
        <ext uri="{3e2802c4-a4d2-4d8b-9148-e3be6c30e623}">
          <xlrd:rvb i="14128"/>
        </ext>
      </extLst>
    </bk>
    <bk>
      <extLst>
        <ext uri="{3e2802c4-a4d2-4d8b-9148-e3be6c30e623}">
          <xlrd:rvb i="14129"/>
        </ext>
      </extLst>
    </bk>
    <bk>
      <extLst>
        <ext uri="{3e2802c4-a4d2-4d8b-9148-e3be6c30e623}">
          <xlrd:rvb i="14130"/>
        </ext>
      </extLst>
    </bk>
    <bk>
      <extLst>
        <ext uri="{3e2802c4-a4d2-4d8b-9148-e3be6c30e623}">
          <xlrd:rvb i="14131"/>
        </ext>
      </extLst>
    </bk>
    <bk>
      <extLst>
        <ext uri="{3e2802c4-a4d2-4d8b-9148-e3be6c30e623}">
          <xlrd:rvb i="14132"/>
        </ext>
      </extLst>
    </bk>
    <bk>
      <extLst>
        <ext uri="{3e2802c4-a4d2-4d8b-9148-e3be6c30e623}">
          <xlrd:rvb i="14133"/>
        </ext>
      </extLst>
    </bk>
    <bk>
      <extLst>
        <ext uri="{3e2802c4-a4d2-4d8b-9148-e3be6c30e623}">
          <xlrd:rvb i="14134"/>
        </ext>
      </extLst>
    </bk>
    <bk>
      <extLst>
        <ext uri="{3e2802c4-a4d2-4d8b-9148-e3be6c30e623}">
          <xlrd:rvb i="14135"/>
        </ext>
      </extLst>
    </bk>
    <bk>
      <extLst>
        <ext uri="{3e2802c4-a4d2-4d8b-9148-e3be6c30e623}">
          <xlrd:rvb i="14136"/>
        </ext>
      </extLst>
    </bk>
    <bk>
      <extLst>
        <ext uri="{3e2802c4-a4d2-4d8b-9148-e3be6c30e623}">
          <xlrd:rvb i="14137"/>
        </ext>
      </extLst>
    </bk>
    <bk>
      <extLst>
        <ext uri="{3e2802c4-a4d2-4d8b-9148-e3be6c30e623}">
          <xlrd:rvb i="14138"/>
        </ext>
      </extLst>
    </bk>
    <bk>
      <extLst>
        <ext uri="{3e2802c4-a4d2-4d8b-9148-e3be6c30e623}">
          <xlrd:rvb i="14139"/>
        </ext>
      </extLst>
    </bk>
    <bk>
      <extLst>
        <ext uri="{3e2802c4-a4d2-4d8b-9148-e3be6c30e623}">
          <xlrd:rvb i="14140"/>
        </ext>
      </extLst>
    </bk>
    <bk>
      <extLst>
        <ext uri="{3e2802c4-a4d2-4d8b-9148-e3be6c30e623}">
          <xlrd:rvb i="14141"/>
        </ext>
      </extLst>
    </bk>
    <bk>
      <extLst>
        <ext uri="{3e2802c4-a4d2-4d8b-9148-e3be6c30e623}">
          <xlrd:rvb i="14142"/>
        </ext>
      </extLst>
    </bk>
    <bk>
      <extLst>
        <ext uri="{3e2802c4-a4d2-4d8b-9148-e3be6c30e623}">
          <xlrd:rvb i="14143"/>
        </ext>
      </extLst>
    </bk>
    <bk>
      <extLst>
        <ext uri="{3e2802c4-a4d2-4d8b-9148-e3be6c30e623}">
          <xlrd:rvb i="14144"/>
        </ext>
      </extLst>
    </bk>
    <bk>
      <extLst>
        <ext uri="{3e2802c4-a4d2-4d8b-9148-e3be6c30e623}">
          <xlrd:rvb i="14145"/>
        </ext>
      </extLst>
    </bk>
    <bk>
      <extLst>
        <ext uri="{3e2802c4-a4d2-4d8b-9148-e3be6c30e623}">
          <xlrd:rvb i="14146"/>
        </ext>
      </extLst>
    </bk>
    <bk>
      <extLst>
        <ext uri="{3e2802c4-a4d2-4d8b-9148-e3be6c30e623}">
          <xlrd:rvb i="14147"/>
        </ext>
      </extLst>
    </bk>
    <bk>
      <extLst>
        <ext uri="{3e2802c4-a4d2-4d8b-9148-e3be6c30e623}">
          <xlrd:rvb i="14148"/>
        </ext>
      </extLst>
    </bk>
    <bk>
      <extLst>
        <ext uri="{3e2802c4-a4d2-4d8b-9148-e3be6c30e623}">
          <xlrd:rvb i="14149"/>
        </ext>
      </extLst>
    </bk>
    <bk>
      <extLst>
        <ext uri="{3e2802c4-a4d2-4d8b-9148-e3be6c30e623}">
          <xlrd:rvb i="14150"/>
        </ext>
      </extLst>
    </bk>
    <bk>
      <extLst>
        <ext uri="{3e2802c4-a4d2-4d8b-9148-e3be6c30e623}">
          <xlrd:rvb i="14151"/>
        </ext>
      </extLst>
    </bk>
    <bk>
      <extLst>
        <ext uri="{3e2802c4-a4d2-4d8b-9148-e3be6c30e623}">
          <xlrd:rvb i="14152"/>
        </ext>
      </extLst>
    </bk>
    <bk>
      <extLst>
        <ext uri="{3e2802c4-a4d2-4d8b-9148-e3be6c30e623}">
          <xlrd:rvb i="14153"/>
        </ext>
      </extLst>
    </bk>
    <bk>
      <extLst>
        <ext uri="{3e2802c4-a4d2-4d8b-9148-e3be6c30e623}">
          <xlrd:rvb i="14154"/>
        </ext>
      </extLst>
    </bk>
    <bk>
      <extLst>
        <ext uri="{3e2802c4-a4d2-4d8b-9148-e3be6c30e623}">
          <xlrd:rvb i="14155"/>
        </ext>
      </extLst>
    </bk>
    <bk>
      <extLst>
        <ext uri="{3e2802c4-a4d2-4d8b-9148-e3be6c30e623}">
          <xlrd:rvb i="14156"/>
        </ext>
      </extLst>
    </bk>
    <bk>
      <extLst>
        <ext uri="{3e2802c4-a4d2-4d8b-9148-e3be6c30e623}">
          <xlrd:rvb i="14157"/>
        </ext>
      </extLst>
    </bk>
    <bk>
      <extLst>
        <ext uri="{3e2802c4-a4d2-4d8b-9148-e3be6c30e623}">
          <xlrd:rvb i="14158"/>
        </ext>
      </extLst>
    </bk>
    <bk>
      <extLst>
        <ext uri="{3e2802c4-a4d2-4d8b-9148-e3be6c30e623}">
          <xlrd:rvb i="14159"/>
        </ext>
      </extLst>
    </bk>
    <bk>
      <extLst>
        <ext uri="{3e2802c4-a4d2-4d8b-9148-e3be6c30e623}">
          <xlrd:rvb i="14160"/>
        </ext>
      </extLst>
    </bk>
    <bk>
      <extLst>
        <ext uri="{3e2802c4-a4d2-4d8b-9148-e3be6c30e623}">
          <xlrd:rvb i="14161"/>
        </ext>
      </extLst>
    </bk>
    <bk>
      <extLst>
        <ext uri="{3e2802c4-a4d2-4d8b-9148-e3be6c30e623}">
          <xlrd:rvb i="14162"/>
        </ext>
      </extLst>
    </bk>
    <bk>
      <extLst>
        <ext uri="{3e2802c4-a4d2-4d8b-9148-e3be6c30e623}">
          <xlrd:rvb i="14163"/>
        </ext>
      </extLst>
    </bk>
    <bk>
      <extLst>
        <ext uri="{3e2802c4-a4d2-4d8b-9148-e3be6c30e623}">
          <xlrd:rvb i="14164"/>
        </ext>
      </extLst>
    </bk>
    <bk>
      <extLst>
        <ext uri="{3e2802c4-a4d2-4d8b-9148-e3be6c30e623}">
          <xlrd:rvb i="14165"/>
        </ext>
      </extLst>
    </bk>
    <bk>
      <extLst>
        <ext uri="{3e2802c4-a4d2-4d8b-9148-e3be6c30e623}">
          <xlrd:rvb i="14166"/>
        </ext>
      </extLst>
    </bk>
    <bk>
      <extLst>
        <ext uri="{3e2802c4-a4d2-4d8b-9148-e3be6c30e623}">
          <xlrd:rvb i="14167"/>
        </ext>
      </extLst>
    </bk>
    <bk>
      <extLst>
        <ext uri="{3e2802c4-a4d2-4d8b-9148-e3be6c30e623}">
          <xlrd:rvb i="14168"/>
        </ext>
      </extLst>
    </bk>
    <bk>
      <extLst>
        <ext uri="{3e2802c4-a4d2-4d8b-9148-e3be6c30e623}">
          <xlrd:rvb i="14169"/>
        </ext>
      </extLst>
    </bk>
    <bk>
      <extLst>
        <ext uri="{3e2802c4-a4d2-4d8b-9148-e3be6c30e623}">
          <xlrd:rvb i="14170"/>
        </ext>
      </extLst>
    </bk>
    <bk>
      <extLst>
        <ext uri="{3e2802c4-a4d2-4d8b-9148-e3be6c30e623}">
          <xlrd:rvb i="14171"/>
        </ext>
      </extLst>
    </bk>
    <bk>
      <extLst>
        <ext uri="{3e2802c4-a4d2-4d8b-9148-e3be6c30e623}">
          <xlrd:rvb i="14172"/>
        </ext>
      </extLst>
    </bk>
    <bk>
      <extLst>
        <ext uri="{3e2802c4-a4d2-4d8b-9148-e3be6c30e623}">
          <xlrd:rvb i="14173"/>
        </ext>
      </extLst>
    </bk>
    <bk>
      <extLst>
        <ext uri="{3e2802c4-a4d2-4d8b-9148-e3be6c30e623}">
          <xlrd:rvb i="14174"/>
        </ext>
      </extLst>
    </bk>
    <bk>
      <extLst>
        <ext uri="{3e2802c4-a4d2-4d8b-9148-e3be6c30e623}">
          <xlrd:rvb i="14175"/>
        </ext>
      </extLst>
    </bk>
    <bk>
      <extLst>
        <ext uri="{3e2802c4-a4d2-4d8b-9148-e3be6c30e623}">
          <xlrd:rvb i="14176"/>
        </ext>
      </extLst>
    </bk>
    <bk>
      <extLst>
        <ext uri="{3e2802c4-a4d2-4d8b-9148-e3be6c30e623}">
          <xlrd:rvb i="14177"/>
        </ext>
      </extLst>
    </bk>
    <bk>
      <extLst>
        <ext uri="{3e2802c4-a4d2-4d8b-9148-e3be6c30e623}">
          <xlrd:rvb i="14178"/>
        </ext>
      </extLst>
    </bk>
    <bk>
      <extLst>
        <ext uri="{3e2802c4-a4d2-4d8b-9148-e3be6c30e623}">
          <xlrd:rvb i="14179"/>
        </ext>
      </extLst>
    </bk>
    <bk>
      <extLst>
        <ext uri="{3e2802c4-a4d2-4d8b-9148-e3be6c30e623}">
          <xlrd:rvb i="14180"/>
        </ext>
      </extLst>
    </bk>
    <bk>
      <extLst>
        <ext uri="{3e2802c4-a4d2-4d8b-9148-e3be6c30e623}">
          <xlrd:rvb i="14181"/>
        </ext>
      </extLst>
    </bk>
    <bk>
      <extLst>
        <ext uri="{3e2802c4-a4d2-4d8b-9148-e3be6c30e623}">
          <xlrd:rvb i="14182"/>
        </ext>
      </extLst>
    </bk>
    <bk>
      <extLst>
        <ext uri="{3e2802c4-a4d2-4d8b-9148-e3be6c30e623}">
          <xlrd:rvb i="14183"/>
        </ext>
      </extLst>
    </bk>
    <bk>
      <extLst>
        <ext uri="{3e2802c4-a4d2-4d8b-9148-e3be6c30e623}">
          <xlrd:rvb i="14184"/>
        </ext>
      </extLst>
    </bk>
    <bk>
      <extLst>
        <ext uri="{3e2802c4-a4d2-4d8b-9148-e3be6c30e623}">
          <xlrd:rvb i="14185"/>
        </ext>
      </extLst>
    </bk>
    <bk>
      <extLst>
        <ext uri="{3e2802c4-a4d2-4d8b-9148-e3be6c30e623}">
          <xlrd:rvb i="14186"/>
        </ext>
      </extLst>
    </bk>
    <bk>
      <extLst>
        <ext uri="{3e2802c4-a4d2-4d8b-9148-e3be6c30e623}">
          <xlrd:rvb i="14187"/>
        </ext>
      </extLst>
    </bk>
    <bk>
      <extLst>
        <ext uri="{3e2802c4-a4d2-4d8b-9148-e3be6c30e623}">
          <xlrd:rvb i="14188"/>
        </ext>
      </extLst>
    </bk>
    <bk>
      <extLst>
        <ext uri="{3e2802c4-a4d2-4d8b-9148-e3be6c30e623}">
          <xlrd:rvb i="14189"/>
        </ext>
      </extLst>
    </bk>
    <bk>
      <extLst>
        <ext uri="{3e2802c4-a4d2-4d8b-9148-e3be6c30e623}">
          <xlrd:rvb i="14190"/>
        </ext>
      </extLst>
    </bk>
    <bk>
      <extLst>
        <ext uri="{3e2802c4-a4d2-4d8b-9148-e3be6c30e623}">
          <xlrd:rvb i="14191"/>
        </ext>
      </extLst>
    </bk>
    <bk>
      <extLst>
        <ext uri="{3e2802c4-a4d2-4d8b-9148-e3be6c30e623}">
          <xlrd:rvb i="14192"/>
        </ext>
      </extLst>
    </bk>
    <bk>
      <extLst>
        <ext uri="{3e2802c4-a4d2-4d8b-9148-e3be6c30e623}">
          <xlrd:rvb i="14193"/>
        </ext>
      </extLst>
    </bk>
    <bk>
      <extLst>
        <ext uri="{3e2802c4-a4d2-4d8b-9148-e3be6c30e623}">
          <xlrd:rvb i="14194"/>
        </ext>
      </extLst>
    </bk>
    <bk>
      <extLst>
        <ext uri="{3e2802c4-a4d2-4d8b-9148-e3be6c30e623}">
          <xlrd:rvb i="14195"/>
        </ext>
      </extLst>
    </bk>
    <bk>
      <extLst>
        <ext uri="{3e2802c4-a4d2-4d8b-9148-e3be6c30e623}">
          <xlrd:rvb i="14196"/>
        </ext>
      </extLst>
    </bk>
    <bk>
      <extLst>
        <ext uri="{3e2802c4-a4d2-4d8b-9148-e3be6c30e623}">
          <xlrd:rvb i="14197"/>
        </ext>
      </extLst>
    </bk>
    <bk>
      <extLst>
        <ext uri="{3e2802c4-a4d2-4d8b-9148-e3be6c30e623}">
          <xlrd:rvb i="14198"/>
        </ext>
      </extLst>
    </bk>
    <bk>
      <extLst>
        <ext uri="{3e2802c4-a4d2-4d8b-9148-e3be6c30e623}">
          <xlrd:rvb i="14199"/>
        </ext>
      </extLst>
    </bk>
    <bk>
      <extLst>
        <ext uri="{3e2802c4-a4d2-4d8b-9148-e3be6c30e623}">
          <xlrd:rvb i="14200"/>
        </ext>
      </extLst>
    </bk>
    <bk>
      <extLst>
        <ext uri="{3e2802c4-a4d2-4d8b-9148-e3be6c30e623}">
          <xlrd:rvb i="14201"/>
        </ext>
      </extLst>
    </bk>
    <bk>
      <extLst>
        <ext uri="{3e2802c4-a4d2-4d8b-9148-e3be6c30e623}">
          <xlrd:rvb i="14202"/>
        </ext>
      </extLst>
    </bk>
    <bk>
      <extLst>
        <ext uri="{3e2802c4-a4d2-4d8b-9148-e3be6c30e623}">
          <xlrd:rvb i="14203"/>
        </ext>
      </extLst>
    </bk>
    <bk>
      <extLst>
        <ext uri="{3e2802c4-a4d2-4d8b-9148-e3be6c30e623}">
          <xlrd:rvb i="14204"/>
        </ext>
      </extLst>
    </bk>
    <bk>
      <extLst>
        <ext uri="{3e2802c4-a4d2-4d8b-9148-e3be6c30e623}">
          <xlrd:rvb i="14205"/>
        </ext>
      </extLst>
    </bk>
    <bk>
      <extLst>
        <ext uri="{3e2802c4-a4d2-4d8b-9148-e3be6c30e623}">
          <xlrd:rvb i="14206"/>
        </ext>
      </extLst>
    </bk>
    <bk>
      <extLst>
        <ext uri="{3e2802c4-a4d2-4d8b-9148-e3be6c30e623}">
          <xlrd:rvb i="14207"/>
        </ext>
      </extLst>
    </bk>
    <bk>
      <extLst>
        <ext uri="{3e2802c4-a4d2-4d8b-9148-e3be6c30e623}">
          <xlrd:rvb i="14208"/>
        </ext>
      </extLst>
    </bk>
    <bk>
      <extLst>
        <ext uri="{3e2802c4-a4d2-4d8b-9148-e3be6c30e623}">
          <xlrd:rvb i="14209"/>
        </ext>
      </extLst>
    </bk>
    <bk>
      <extLst>
        <ext uri="{3e2802c4-a4d2-4d8b-9148-e3be6c30e623}">
          <xlrd:rvb i="14210"/>
        </ext>
      </extLst>
    </bk>
    <bk>
      <extLst>
        <ext uri="{3e2802c4-a4d2-4d8b-9148-e3be6c30e623}">
          <xlrd:rvb i="14211"/>
        </ext>
      </extLst>
    </bk>
    <bk>
      <extLst>
        <ext uri="{3e2802c4-a4d2-4d8b-9148-e3be6c30e623}">
          <xlrd:rvb i="14212"/>
        </ext>
      </extLst>
    </bk>
    <bk>
      <extLst>
        <ext uri="{3e2802c4-a4d2-4d8b-9148-e3be6c30e623}">
          <xlrd:rvb i="14213"/>
        </ext>
      </extLst>
    </bk>
    <bk>
      <extLst>
        <ext uri="{3e2802c4-a4d2-4d8b-9148-e3be6c30e623}">
          <xlrd:rvb i="14214"/>
        </ext>
      </extLst>
    </bk>
    <bk>
      <extLst>
        <ext uri="{3e2802c4-a4d2-4d8b-9148-e3be6c30e623}">
          <xlrd:rvb i="14215"/>
        </ext>
      </extLst>
    </bk>
    <bk>
      <extLst>
        <ext uri="{3e2802c4-a4d2-4d8b-9148-e3be6c30e623}">
          <xlrd:rvb i="14216"/>
        </ext>
      </extLst>
    </bk>
    <bk>
      <extLst>
        <ext uri="{3e2802c4-a4d2-4d8b-9148-e3be6c30e623}">
          <xlrd:rvb i="14217"/>
        </ext>
      </extLst>
    </bk>
    <bk>
      <extLst>
        <ext uri="{3e2802c4-a4d2-4d8b-9148-e3be6c30e623}">
          <xlrd:rvb i="14218"/>
        </ext>
      </extLst>
    </bk>
    <bk>
      <extLst>
        <ext uri="{3e2802c4-a4d2-4d8b-9148-e3be6c30e623}">
          <xlrd:rvb i="14219"/>
        </ext>
      </extLst>
    </bk>
    <bk>
      <extLst>
        <ext uri="{3e2802c4-a4d2-4d8b-9148-e3be6c30e623}">
          <xlrd:rvb i="14220"/>
        </ext>
      </extLst>
    </bk>
    <bk>
      <extLst>
        <ext uri="{3e2802c4-a4d2-4d8b-9148-e3be6c30e623}">
          <xlrd:rvb i="14221"/>
        </ext>
      </extLst>
    </bk>
    <bk>
      <extLst>
        <ext uri="{3e2802c4-a4d2-4d8b-9148-e3be6c30e623}">
          <xlrd:rvb i="14222"/>
        </ext>
      </extLst>
    </bk>
    <bk>
      <extLst>
        <ext uri="{3e2802c4-a4d2-4d8b-9148-e3be6c30e623}">
          <xlrd:rvb i="14223"/>
        </ext>
      </extLst>
    </bk>
    <bk>
      <extLst>
        <ext uri="{3e2802c4-a4d2-4d8b-9148-e3be6c30e623}">
          <xlrd:rvb i="14224"/>
        </ext>
      </extLst>
    </bk>
    <bk>
      <extLst>
        <ext uri="{3e2802c4-a4d2-4d8b-9148-e3be6c30e623}">
          <xlrd:rvb i="14225"/>
        </ext>
      </extLst>
    </bk>
    <bk>
      <extLst>
        <ext uri="{3e2802c4-a4d2-4d8b-9148-e3be6c30e623}">
          <xlrd:rvb i="14226"/>
        </ext>
      </extLst>
    </bk>
    <bk>
      <extLst>
        <ext uri="{3e2802c4-a4d2-4d8b-9148-e3be6c30e623}">
          <xlrd:rvb i="14227"/>
        </ext>
      </extLst>
    </bk>
    <bk>
      <extLst>
        <ext uri="{3e2802c4-a4d2-4d8b-9148-e3be6c30e623}">
          <xlrd:rvb i="14228"/>
        </ext>
      </extLst>
    </bk>
    <bk>
      <extLst>
        <ext uri="{3e2802c4-a4d2-4d8b-9148-e3be6c30e623}">
          <xlrd:rvb i="14229"/>
        </ext>
      </extLst>
    </bk>
    <bk>
      <extLst>
        <ext uri="{3e2802c4-a4d2-4d8b-9148-e3be6c30e623}">
          <xlrd:rvb i="14230"/>
        </ext>
      </extLst>
    </bk>
    <bk>
      <extLst>
        <ext uri="{3e2802c4-a4d2-4d8b-9148-e3be6c30e623}">
          <xlrd:rvb i="14231"/>
        </ext>
      </extLst>
    </bk>
    <bk>
      <extLst>
        <ext uri="{3e2802c4-a4d2-4d8b-9148-e3be6c30e623}">
          <xlrd:rvb i="14232"/>
        </ext>
      </extLst>
    </bk>
    <bk>
      <extLst>
        <ext uri="{3e2802c4-a4d2-4d8b-9148-e3be6c30e623}">
          <xlrd:rvb i="14233"/>
        </ext>
      </extLst>
    </bk>
    <bk>
      <extLst>
        <ext uri="{3e2802c4-a4d2-4d8b-9148-e3be6c30e623}">
          <xlrd:rvb i="14234"/>
        </ext>
      </extLst>
    </bk>
    <bk>
      <extLst>
        <ext uri="{3e2802c4-a4d2-4d8b-9148-e3be6c30e623}">
          <xlrd:rvb i="14235"/>
        </ext>
      </extLst>
    </bk>
    <bk>
      <extLst>
        <ext uri="{3e2802c4-a4d2-4d8b-9148-e3be6c30e623}">
          <xlrd:rvb i="14236"/>
        </ext>
      </extLst>
    </bk>
    <bk>
      <extLst>
        <ext uri="{3e2802c4-a4d2-4d8b-9148-e3be6c30e623}">
          <xlrd:rvb i="14237"/>
        </ext>
      </extLst>
    </bk>
    <bk>
      <extLst>
        <ext uri="{3e2802c4-a4d2-4d8b-9148-e3be6c30e623}">
          <xlrd:rvb i="14238"/>
        </ext>
      </extLst>
    </bk>
    <bk>
      <extLst>
        <ext uri="{3e2802c4-a4d2-4d8b-9148-e3be6c30e623}">
          <xlrd:rvb i="14239"/>
        </ext>
      </extLst>
    </bk>
    <bk>
      <extLst>
        <ext uri="{3e2802c4-a4d2-4d8b-9148-e3be6c30e623}">
          <xlrd:rvb i="14240"/>
        </ext>
      </extLst>
    </bk>
    <bk>
      <extLst>
        <ext uri="{3e2802c4-a4d2-4d8b-9148-e3be6c30e623}">
          <xlrd:rvb i="14241"/>
        </ext>
      </extLst>
    </bk>
    <bk>
      <extLst>
        <ext uri="{3e2802c4-a4d2-4d8b-9148-e3be6c30e623}">
          <xlrd:rvb i="14242"/>
        </ext>
      </extLst>
    </bk>
    <bk>
      <extLst>
        <ext uri="{3e2802c4-a4d2-4d8b-9148-e3be6c30e623}">
          <xlrd:rvb i="14243"/>
        </ext>
      </extLst>
    </bk>
    <bk>
      <extLst>
        <ext uri="{3e2802c4-a4d2-4d8b-9148-e3be6c30e623}">
          <xlrd:rvb i="14244"/>
        </ext>
      </extLst>
    </bk>
    <bk>
      <extLst>
        <ext uri="{3e2802c4-a4d2-4d8b-9148-e3be6c30e623}">
          <xlrd:rvb i="14245"/>
        </ext>
      </extLst>
    </bk>
    <bk>
      <extLst>
        <ext uri="{3e2802c4-a4d2-4d8b-9148-e3be6c30e623}">
          <xlrd:rvb i="14246"/>
        </ext>
      </extLst>
    </bk>
    <bk>
      <extLst>
        <ext uri="{3e2802c4-a4d2-4d8b-9148-e3be6c30e623}">
          <xlrd:rvb i="14247"/>
        </ext>
      </extLst>
    </bk>
    <bk>
      <extLst>
        <ext uri="{3e2802c4-a4d2-4d8b-9148-e3be6c30e623}">
          <xlrd:rvb i="14248"/>
        </ext>
      </extLst>
    </bk>
    <bk>
      <extLst>
        <ext uri="{3e2802c4-a4d2-4d8b-9148-e3be6c30e623}">
          <xlrd:rvb i="14249"/>
        </ext>
      </extLst>
    </bk>
    <bk>
      <extLst>
        <ext uri="{3e2802c4-a4d2-4d8b-9148-e3be6c30e623}">
          <xlrd:rvb i="14250"/>
        </ext>
      </extLst>
    </bk>
    <bk>
      <extLst>
        <ext uri="{3e2802c4-a4d2-4d8b-9148-e3be6c30e623}">
          <xlrd:rvb i="14251"/>
        </ext>
      </extLst>
    </bk>
    <bk>
      <extLst>
        <ext uri="{3e2802c4-a4d2-4d8b-9148-e3be6c30e623}">
          <xlrd:rvb i="14252"/>
        </ext>
      </extLst>
    </bk>
    <bk>
      <extLst>
        <ext uri="{3e2802c4-a4d2-4d8b-9148-e3be6c30e623}">
          <xlrd:rvb i="14253"/>
        </ext>
      </extLst>
    </bk>
    <bk>
      <extLst>
        <ext uri="{3e2802c4-a4d2-4d8b-9148-e3be6c30e623}">
          <xlrd:rvb i="14254"/>
        </ext>
      </extLst>
    </bk>
    <bk>
      <extLst>
        <ext uri="{3e2802c4-a4d2-4d8b-9148-e3be6c30e623}">
          <xlrd:rvb i="14255"/>
        </ext>
      </extLst>
    </bk>
    <bk>
      <extLst>
        <ext uri="{3e2802c4-a4d2-4d8b-9148-e3be6c30e623}">
          <xlrd:rvb i="14256"/>
        </ext>
      </extLst>
    </bk>
    <bk>
      <extLst>
        <ext uri="{3e2802c4-a4d2-4d8b-9148-e3be6c30e623}">
          <xlrd:rvb i="14257"/>
        </ext>
      </extLst>
    </bk>
    <bk>
      <extLst>
        <ext uri="{3e2802c4-a4d2-4d8b-9148-e3be6c30e623}">
          <xlrd:rvb i="14258"/>
        </ext>
      </extLst>
    </bk>
    <bk>
      <extLst>
        <ext uri="{3e2802c4-a4d2-4d8b-9148-e3be6c30e623}">
          <xlrd:rvb i="14259"/>
        </ext>
      </extLst>
    </bk>
    <bk>
      <extLst>
        <ext uri="{3e2802c4-a4d2-4d8b-9148-e3be6c30e623}">
          <xlrd:rvb i="14260"/>
        </ext>
      </extLst>
    </bk>
    <bk>
      <extLst>
        <ext uri="{3e2802c4-a4d2-4d8b-9148-e3be6c30e623}">
          <xlrd:rvb i="14261"/>
        </ext>
      </extLst>
    </bk>
    <bk>
      <extLst>
        <ext uri="{3e2802c4-a4d2-4d8b-9148-e3be6c30e623}">
          <xlrd:rvb i="14262"/>
        </ext>
      </extLst>
    </bk>
    <bk>
      <extLst>
        <ext uri="{3e2802c4-a4d2-4d8b-9148-e3be6c30e623}">
          <xlrd:rvb i="14263"/>
        </ext>
      </extLst>
    </bk>
    <bk>
      <extLst>
        <ext uri="{3e2802c4-a4d2-4d8b-9148-e3be6c30e623}">
          <xlrd:rvb i="14264"/>
        </ext>
      </extLst>
    </bk>
    <bk>
      <extLst>
        <ext uri="{3e2802c4-a4d2-4d8b-9148-e3be6c30e623}">
          <xlrd:rvb i="14265"/>
        </ext>
      </extLst>
    </bk>
    <bk>
      <extLst>
        <ext uri="{3e2802c4-a4d2-4d8b-9148-e3be6c30e623}">
          <xlrd:rvb i="14266"/>
        </ext>
      </extLst>
    </bk>
    <bk>
      <extLst>
        <ext uri="{3e2802c4-a4d2-4d8b-9148-e3be6c30e623}">
          <xlrd:rvb i="14267"/>
        </ext>
      </extLst>
    </bk>
    <bk>
      <extLst>
        <ext uri="{3e2802c4-a4d2-4d8b-9148-e3be6c30e623}">
          <xlrd:rvb i="14268"/>
        </ext>
      </extLst>
    </bk>
    <bk>
      <extLst>
        <ext uri="{3e2802c4-a4d2-4d8b-9148-e3be6c30e623}">
          <xlrd:rvb i="14269"/>
        </ext>
      </extLst>
    </bk>
    <bk>
      <extLst>
        <ext uri="{3e2802c4-a4d2-4d8b-9148-e3be6c30e623}">
          <xlrd:rvb i="14270"/>
        </ext>
      </extLst>
    </bk>
    <bk>
      <extLst>
        <ext uri="{3e2802c4-a4d2-4d8b-9148-e3be6c30e623}">
          <xlrd:rvb i="14271"/>
        </ext>
      </extLst>
    </bk>
    <bk>
      <extLst>
        <ext uri="{3e2802c4-a4d2-4d8b-9148-e3be6c30e623}">
          <xlrd:rvb i="14272"/>
        </ext>
      </extLst>
    </bk>
    <bk>
      <extLst>
        <ext uri="{3e2802c4-a4d2-4d8b-9148-e3be6c30e623}">
          <xlrd:rvb i="14273"/>
        </ext>
      </extLst>
    </bk>
    <bk>
      <extLst>
        <ext uri="{3e2802c4-a4d2-4d8b-9148-e3be6c30e623}">
          <xlrd:rvb i="14274"/>
        </ext>
      </extLst>
    </bk>
    <bk>
      <extLst>
        <ext uri="{3e2802c4-a4d2-4d8b-9148-e3be6c30e623}">
          <xlrd:rvb i="14275"/>
        </ext>
      </extLst>
    </bk>
    <bk>
      <extLst>
        <ext uri="{3e2802c4-a4d2-4d8b-9148-e3be6c30e623}">
          <xlrd:rvb i="14276"/>
        </ext>
      </extLst>
    </bk>
    <bk>
      <extLst>
        <ext uri="{3e2802c4-a4d2-4d8b-9148-e3be6c30e623}">
          <xlrd:rvb i="14277"/>
        </ext>
      </extLst>
    </bk>
    <bk>
      <extLst>
        <ext uri="{3e2802c4-a4d2-4d8b-9148-e3be6c30e623}">
          <xlrd:rvb i="14278"/>
        </ext>
      </extLst>
    </bk>
    <bk>
      <extLst>
        <ext uri="{3e2802c4-a4d2-4d8b-9148-e3be6c30e623}">
          <xlrd:rvb i="14279"/>
        </ext>
      </extLst>
    </bk>
    <bk>
      <extLst>
        <ext uri="{3e2802c4-a4d2-4d8b-9148-e3be6c30e623}">
          <xlrd:rvb i="14280"/>
        </ext>
      </extLst>
    </bk>
    <bk>
      <extLst>
        <ext uri="{3e2802c4-a4d2-4d8b-9148-e3be6c30e623}">
          <xlrd:rvb i="14281"/>
        </ext>
      </extLst>
    </bk>
    <bk>
      <extLst>
        <ext uri="{3e2802c4-a4d2-4d8b-9148-e3be6c30e623}">
          <xlrd:rvb i="14282"/>
        </ext>
      </extLst>
    </bk>
    <bk>
      <extLst>
        <ext uri="{3e2802c4-a4d2-4d8b-9148-e3be6c30e623}">
          <xlrd:rvb i="14283"/>
        </ext>
      </extLst>
    </bk>
    <bk>
      <extLst>
        <ext uri="{3e2802c4-a4d2-4d8b-9148-e3be6c30e623}">
          <xlrd:rvb i="14284"/>
        </ext>
      </extLst>
    </bk>
    <bk>
      <extLst>
        <ext uri="{3e2802c4-a4d2-4d8b-9148-e3be6c30e623}">
          <xlrd:rvb i="14285"/>
        </ext>
      </extLst>
    </bk>
    <bk>
      <extLst>
        <ext uri="{3e2802c4-a4d2-4d8b-9148-e3be6c30e623}">
          <xlrd:rvb i="14286"/>
        </ext>
      </extLst>
    </bk>
    <bk>
      <extLst>
        <ext uri="{3e2802c4-a4d2-4d8b-9148-e3be6c30e623}">
          <xlrd:rvb i="14287"/>
        </ext>
      </extLst>
    </bk>
    <bk>
      <extLst>
        <ext uri="{3e2802c4-a4d2-4d8b-9148-e3be6c30e623}">
          <xlrd:rvb i="14288"/>
        </ext>
      </extLst>
    </bk>
    <bk>
      <extLst>
        <ext uri="{3e2802c4-a4d2-4d8b-9148-e3be6c30e623}">
          <xlrd:rvb i="14289"/>
        </ext>
      </extLst>
    </bk>
    <bk>
      <extLst>
        <ext uri="{3e2802c4-a4d2-4d8b-9148-e3be6c30e623}">
          <xlrd:rvb i="14290"/>
        </ext>
      </extLst>
    </bk>
    <bk>
      <extLst>
        <ext uri="{3e2802c4-a4d2-4d8b-9148-e3be6c30e623}">
          <xlrd:rvb i="14291"/>
        </ext>
      </extLst>
    </bk>
    <bk>
      <extLst>
        <ext uri="{3e2802c4-a4d2-4d8b-9148-e3be6c30e623}">
          <xlrd:rvb i="14292"/>
        </ext>
      </extLst>
    </bk>
    <bk>
      <extLst>
        <ext uri="{3e2802c4-a4d2-4d8b-9148-e3be6c30e623}">
          <xlrd:rvb i="14293"/>
        </ext>
      </extLst>
    </bk>
    <bk>
      <extLst>
        <ext uri="{3e2802c4-a4d2-4d8b-9148-e3be6c30e623}">
          <xlrd:rvb i="14294"/>
        </ext>
      </extLst>
    </bk>
    <bk>
      <extLst>
        <ext uri="{3e2802c4-a4d2-4d8b-9148-e3be6c30e623}">
          <xlrd:rvb i="14295"/>
        </ext>
      </extLst>
    </bk>
    <bk>
      <extLst>
        <ext uri="{3e2802c4-a4d2-4d8b-9148-e3be6c30e623}">
          <xlrd:rvb i="14296"/>
        </ext>
      </extLst>
    </bk>
    <bk>
      <extLst>
        <ext uri="{3e2802c4-a4d2-4d8b-9148-e3be6c30e623}">
          <xlrd:rvb i="14297"/>
        </ext>
      </extLst>
    </bk>
    <bk>
      <extLst>
        <ext uri="{3e2802c4-a4d2-4d8b-9148-e3be6c30e623}">
          <xlrd:rvb i="14298"/>
        </ext>
      </extLst>
    </bk>
    <bk>
      <extLst>
        <ext uri="{3e2802c4-a4d2-4d8b-9148-e3be6c30e623}">
          <xlrd:rvb i="14299"/>
        </ext>
      </extLst>
    </bk>
    <bk>
      <extLst>
        <ext uri="{3e2802c4-a4d2-4d8b-9148-e3be6c30e623}">
          <xlrd:rvb i="14300"/>
        </ext>
      </extLst>
    </bk>
    <bk>
      <extLst>
        <ext uri="{3e2802c4-a4d2-4d8b-9148-e3be6c30e623}">
          <xlrd:rvb i="14301"/>
        </ext>
      </extLst>
    </bk>
    <bk>
      <extLst>
        <ext uri="{3e2802c4-a4d2-4d8b-9148-e3be6c30e623}">
          <xlrd:rvb i="14302"/>
        </ext>
      </extLst>
    </bk>
    <bk>
      <extLst>
        <ext uri="{3e2802c4-a4d2-4d8b-9148-e3be6c30e623}">
          <xlrd:rvb i="14303"/>
        </ext>
      </extLst>
    </bk>
    <bk>
      <extLst>
        <ext uri="{3e2802c4-a4d2-4d8b-9148-e3be6c30e623}">
          <xlrd:rvb i="14304"/>
        </ext>
      </extLst>
    </bk>
    <bk>
      <extLst>
        <ext uri="{3e2802c4-a4d2-4d8b-9148-e3be6c30e623}">
          <xlrd:rvb i="14305"/>
        </ext>
      </extLst>
    </bk>
    <bk>
      <extLst>
        <ext uri="{3e2802c4-a4d2-4d8b-9148-e3be6c30e623}">
          <xlrd:rvb i="14306"/>
        </ext>
      </extLst>
    </bk>
    <bk>
      <extLst>
        <ext uri="{3e2802c4-a4d2-4d8b-9148-e3be6c30e623}">
          <xlrd:rvb i="14307"/>
        </ext>
      </extLst>
    </bk>
    <bk>
      <extLst>
        <ext uri="{3e2802c4-a4d2-4d8b-9148-e3be6c30e623}">
          <xlrd:rvb i="14308"/>
        </ext>
      </extLst>
    </bk>
    <bk>
      <extLst>
        <ext uri="{3e2802c4-a4d2-4d8b-9148-e3be6c30e623}">
          <xlrd:rvb i="14309"/>
        </ext>
      </extLst>
    </bk>
    <bk>
      <extLst>
        <ext uri="{3e2802c4-a4d2-4d8b-9148-e3be6c30e623}">
          <xlrd:rvb i="14310"/>
        </ext>
      </extLst>
    </bk>
    <bk>
      <extLst>
        <ext uri="{3e2802c4-a4d2-4d8b-9148-e3be6c30e623}">
          <xlrd:rvb i="14311"/>
        </ext>
      </extLst>
    </bk>
    <bk>
      <extLst>
        <ext uri="{3e2802c4-a4d2-4d8b-9148-e3be6c30e623}">
          <xlrd:rvb i="14312"/>
        </ext>
      </extLst>
    </bk>
    <bk>
      <extLst>
        <ext uri="{3e2802c4-a4d2-4d8b-9148-e3be6c30e623}">
          <xlrd:rvb i="14313"/>
        </ext>
      </extLst>
    </bk>
    <bk>
      <extLst>
        <ext uri="{3e2802c4-a4d2-4d8b-9148-e3be6c30e623}">
          <xlrd:rvb i="14314"/>
        </ext>
      </extLst>
    </bk>
    <bk>
      <extLst>
        <ext uri="{3e2802c4-a4d2-4d8b-9148-e3be6c30e623}">
          <xlrd:rvb i="14315"/>
        </ext>
      </extLst>
    </bk>
    <bk>
      <extLst>
        <ext uri="{3e2802c4-a4d2-4d8b-9148-e3be6c30e623}">
          <xlrd:rvb i="14316"/>
        </ext>
      </extLst>
    </bk>
    <bk>
      <extLst>
        <ext uri="{3e2802c4-a4d2-4d8b-9148-e3be6c30e623}">
          <xlrd:rvb i="14317"/>
        </ext>
      </extLst>
    </bk>
    <bk>
      <extLst>
        <ext uri="{3e2802c4-a4d2-4d8b-9148-e3be6c30e623}">
          <xlrd:rvb i="14318"/>
        </ext>
      </extLst>
    </bk>
    <bk>
      <extLst>
        <ext uri="{3e2802c4-a4d2-4d8b-9148-e3be6c30e623}">
          <xlrd:rvb i="14319"/>
        </ext>
      </extLst>
    </bk>
    <bk>
      <extLst>
        <ext uri="{3e2802c4-a4d2-4d8b-9148-e3be6c30e623}">
          <xlrd:rvb i="14320"/>
        </ext>
      </extLst>
    </bk>
    <bk>
      <extLst>
        <ext uri="{3e2802c4-a4d2-4d8b-9148-e3be6c30e623}">
          <xlrd:rvb i="14321"/>
        </ext>
      </extLst>
    </bk>
    <bk>
      <extLst>
        <ext uri="{3e2802c4-a4d2-4d8b-9148-e3be6c30e623}">
          <xlrd:rvb i="14322"/>
        </ext>
      </extLst>
    </bk>
    <bk>
      <extLst>
        <ext uri="{3e2802c4-a4d2-4d8b-9148-e3be6c30e623}">
          <xlrd:rvb i="14323"/>
        </ext>
      </extLst>
    </bk>
    <bk>
      <extLst>
        <ext uri="{3e2802c4-a4d2-4d8b-9148-e3be6c30e623}">
          <xlrd:rvb i="14324"/>
        </ext>
      </extLst>
    </bk>
    <bk>
      <extLst>
        <ext uri="{3e2802c4-a4d2-4d8b-9148-e3be6c30e623}">
          <xlrd:rvb i="14325"/>
        </ext>
      </extLst>
    </bk>
    <bk>
      <extLst>
        <ext uri="{3e2802c4-a4d2-4d8b-9148-e3be6c30e623}">
          <xlrd:rvb i="14326"/>
        </ext>
      </extLst>
    </bk>
    <bk>
      <extLst>
        <ext uri="{3e2802c4-a4d2-4d8b-9148-e3be6c30e623}">
          <xlrd:rvb i="14327"/>
        </ext>
      </extLst>
    </bk>
    <bk>
      <extLst>
        <ext uri="{3e2802c4-a4d2-4d8b-9148-e3be6c30e623}">
          <xlrd:rvb i="14328"/>
        </ext>
      </extLst>
    </bk>
    <bk>
      <extLst>
        <ext uri="{3e2802c4-a4d2-4d8b-9148-e3be6c30e623}">
          <xlrd:rvb i="14329"/>
        </ext>
      </extLst>
    </bk>
    <bk>
      <extLst>
        <ext uri="{3e2802c4-a4d2-4d8b-9148-e3be6c30e623}">
          <xlrd:rvb i="14330"/>
        </ext>
      </extLst>
    </bk>
    <bk>
      <extLst>
        <ext uri="{3e2802c4-a4d2-4d8b-9148-e3be6c30e623}">
          <xlrd:rvb i="14331"/>
        </ext>
      </extLst>
    </bk>
    <bk>
      <extLst>
        <ext uri="{3e2802c4-a4d2-4d8b-9148-e3be6c30e623}">
          <xlrd:rvb i="14332"/>
        </ext>
      </extLst>
    </bk>
    <bk>
      <extLst>
        <ext uri="{3e2802c4-a4d2-4d8b-9148-e3be6c30e623}">
          <xlrd:rvb i="14333"/>
        </ext>
      </extLst>
    </bk>
    <bk>
      <extLst>
        <ext uri="{3e2802c4-a4d2-4d8b-9148-e3be6c30e623}">
          <xlrd:rvb i="14334"/>
        </ext>
      </extLst>
    </bk>
    <bk>
      <extLst>
        <ext uri="{3e2802c4-a4d2-4d8b-9148-e3be6c30e623}">
          <xlrd:rvb i="14335"/>
        </ext>
      </extLst>
    </bk>
    <bk>
      <extLst>
        <ext uri="{3e2802c4-a4d2-4d8b-9148-e3be6c30e623}">
          <xlrd:rvb i="14336"/>
        </ext>
      </extLst>
    </bk>
    <bk>
      <extLst>
        <ext uri="{3e2802c4-a4d2-4d8b-9148-e3be6c30e623}">
          <xlrd:rvb i="14337"/>
        </ext>
      </extLst>
    </bk>
    <bk>
      <extLst>
        <ext uri="{3e2802c4-a4d2-4d8b-9148-e3be6c30e623}">
          <xlrd:rvb i="14338"/>
        </ext>
      </extLst>
    </bk>
    <bk>
      <extLst>
        <ext uri="{3e2802c4-a4d2-4d8b-9148-e3be6c30e623}">
          <xlrd:rvb i="14339"/>
        </ext>
      </extLst>
    </bk>
    <bk>
      <extLst>
        <ext uri="{3e2802c4-a4d2-4d8b-9148-e3be6c30e623}">
          <xlrd:rvb i="14340"/>
        </ext>
      </extLst>
    </bk>
    <bk>
      <extLst>
        <ext uri="{3e2802c4-a4d2-4d8b-9148-e3be6c30e623}">
          <xlrd:rvb i="14341"/>
        </ext>
      </extLst>
    </bk>
    <bk>
      <extLst>
        <ext uri="{3e2802c4-a4d2-4d8b-9148-e3be6c30e623}">
          <xlrd:rvb i="14342"/>
        </ext>
      </extLst>
    </bk>
    <bk>
      <extLst>
        <ext uri="{3e2802c4-a4d2-4d8b-9148-e3be6c30e623}">
          <xlrd:rvb i="14343"/>
        </ext>
      </extLst>
    </bk>
    <bk>
      <extLst>
        <ext uri="{3e2802c4-a4d2-4d8b-9148-e3be6c30e623}">
          <xlrd:rvb i="14344"/>
        </ext>
      </extLst>
    </bk>
    <bk>
      <extLst>
        <ext uri="{3e2802c4-a4d2-4d8b-9148-e3be6c30e623}">
          <xlrd:rvb i="14345"/>
        </ext>
      </extLst>
    </bk>
    <bk>
      <extLst>
        <ext uri="{3e2802c4-a4d2-4d8b-9148-e3be6c30e623}">
          <xlrd:rvb i="14346"/>
        </ext>
      </extLst>
    </bk>
    <bk>
      <extLst>
        <ext uri="{3e2802c4-a4d2-4d8b-9148-e3be6c30e623}">
          <xlrd:rvb i="14347"/>
        </ext>
      </extLst>
    </bk>
    <bk>
      <extLst>
        <ext uri="{3e2802c4-a4d2-4d8b-9148-e3be6c30e623}">
          <xlrd:rvb i="14348"/>
        </ext>
      </extLst>
    </bk>
    <bk>
      <extLst>
        <ext uri="{3e2802c4-a4d2-4d8b-9148-e3be6c30e623}">
          <xlrd:rvb i="14349"/>
        </ext>
      </extLst>
    </bk>
    <bk>
      <extLst>
        <ext uri="{3e2802c4-a4d2-4d8b-9148-e3be6c30e623}">
          <xlrd:rvb i="14350"/>
        </ext>
      </extLst>
    </bk>
    <bk>
      <extLst>
        <ext uri="{3e2802c4-a4d2-4d8b-9148-e3be6c30e623}">
          <xlrd:rvb i="14351"/>
        </ext>
      </extLst>
    </bk>
    <bk>
      <extLst>
        <ext uri="{3e2802c4-a4d2-4d8b-9148-e3be6c30e623}">
          <xlrd:rvb i="14352"/>
        </ext>
      </extLst>
    </bk>
    <bk>
      <extLst>
        <ext uri="{3e2802c4-a4d2-4d8b-9148-e3be6c30e623}">
          <xlrd:rvb i="14353"/>
        </ext>
      </extLst>
    </bk>
    <bk>
      <extLst>
        <ext uri="{3e2802c4-a4d2-4d8b-9148-e3be6c30e623}">
          <xlrd:rvb i="14354"/>
        </ext>
      </extLst>
    </bk>
    <bk>
      <extLst>
        <ext uri="{3e2802c4-a4d2-4d8b-9148-e3be6c30e623}">
          <xlrd:rvb i="14355"/>
        </ext>
      </extLst>
    </bk>
    <bk>
      <extLst>
        <ext uri="{3e2802c4-a4d2-4d8b-9148-e3be6c30e623}">
          <xlrd:rvb i="14356"/>
        </ext>
      </extLst>
    </bk>
    <bk>
      <extLst>
        <ext uri="{3e2802c4-a4d2-4d8b-9148-e3be6c30e623}">
          <xlrd:rvb i="14357"/>
        </ext>
      </extLst>
    </bk>
    <bk>
      <extLst>
        <ext uri="{3e2802c4-a4d2-4d8b-9148-e3be6c30e623}">
          <xlrd:rvb i="14358"/>
        </ext>
      </extLst>
    </bk>
    <bk>
      <extLst>
        <ext uri="{3e2802c4-a4d2-4d8b-9148-e3be6c30e623}">
          <xlrd:rvb i="14359"/>
        </ext>
      </extLst>
    </bk>
    <bk>
      <extLst>
        <ext uri="{3e2802c4-a4d2-4d8b-9148-e3be6c30e623}">
          <xlrd:rvb i="14360"/>
        </ext>
      </extLst>
    </bk>
    <bk>
      <extLst>
        <ext uri="{3e2802c4-a4d2-4d8b-9148-e3be6c30e623}">
          <xlrd:rvb i="14361"/>
        </ext>
      </extLst>
    </bk>
    <bk>
      <extLst>
        <ext uri="{3e2802c4-a4d2-4d8b-9148-e3be6c30e623}">
          <xlrd:rvb i="14362"/>
        </ext>
      </extLst>
    </bk>
    <bk>
      <extLst>
        <ext uri="{3e2802c4-a4d2-4d8b-9148-e3be6c30e623}">
          <xlrd:rvb i="14363"/>
        </ext>
      </extLst>
    </bk>
    <bk>
      <extLst>
        <ext uri="{3e2802c4-a4d2-4d8b-9148-e3be6c30e623}">
          <xlrd:rvb i="14364"/>
        </ext>
      </extLst>
    </bk>
    <bk>
      <extLst>
        <ext uri="{3e2802c4-a4d2-4d8b-9148-e3be6c30e623}">
          <xlrd:rvb i="14365"/>
        </ext>
      </extLst>
    </bk>
    <bk>
      <extLst>
        <ext uri="{3e2802c4-a4d2-4d8b-9148-e3be6c30e623}">
          <xlrd:rvb i="14366"/>
        </ext>
      </extLst>
    </bk>
    <bk>
      <extLst>
        <ext uri="{3e2802c4-a4d2-4d8b-9148-e3be6c30e623}">
          <xlrd:rvb i="14367"/>
        </ext>
      </extLst>
    </bk>
    <bk>
      <extLst>
        <ext uri="{3e2802c4-a4d2-4d8b-9148-e3be6c30e623}">
          <xlrd:rvb i="14368"/>
        </ext>
      </extLst>
    </bk>
    <bk>
      <extLst>
        <ext uri="{3e2802c4-a4d2-4d8b-9148-e3be6c30e623}">
          <xlrd:rvb i="14369"/>
        </ext>
      </extLst>
    </bk>
    <bk>
      <extLst>
        <ext uri="{3e2802c4-a4d2-4d8b-9148-e3be6c30e623}">
          <xlrd:rvb i="14370"/>
        </ext>
      </extLst>
    </bk>
    <bk>
      <extLst>
        <ext uri="{3e2802c4-a4d2-4d8b-9148-e3be6c30e623}">
          <xlrd:rvb i="14371"/>
        </ext>
      </extLst>
    </bk>
    <bk>
      <extLst>
        <ext uri="{3e2802c4-a4d2-4d8b-9148-e3be6c30e623}">
          <xlrd:rvb i="14372"/>
        </ext>
      </extLst>
    </bk>
    <bk>
      <extLst>
        <ext uri="{3e2802c4-a4d2-4d8b-9148-e3be6c30e623}">
          <xlrd:rvb i="14373"/>
        </ext>
      </extLst>
    </bk>
    <bk>
      <extLst>
        <ext uri="{3e2802c4-a4d2-4d8b-9148-e3be6c30e623}">
          <xlrd:rvb i="14374"/>
        </ext>
      </extLst>
    </bk>
    <bk>
      <extLst>
        <ext uri="{3e2802c4-a4d2-4d8b-9148-e3be6c30e623}">
          <xlrd:rvb i="14375"/>
        </ext>
      </extLst>
    </bk>
    <bk>
      <extLst>
        <ext uri="{3e2802c4-a4d2-4d8b-9148-e3be6c30e623}">
          <xlrd:rvb i="14376"/>
        </ext>
      </extLst>
    </bk>
    <bk>
      <extLst>
        <ext uri="{3e2802c4-a4d2-4d8b-9148-e3be6c30e623}">
          <xlrd:rvb i="14377"/>
        </ext>
      </extLst>
    </bk>
    <bk>
      <extLst>
        <ext uri="{3e2802c4-a4d2-4d8b-9148-e3be6c30e623}">
          <xlrd:rvb i="14378"/>
        </ext>
      </extLst>
    </bk>
    <bk>
      <extLst>
        <ext uri="{3e2802c4-a4d2-4d8b-9148-e3be6c30e623}">
          <xlrd:rvb i="14379"/>
        </ext>
      </extLst>
    </bk>
    <bk>
      <extLst>
        <ext uri="{3e2802c4-a4d2-4d8b-9148-e3be6c30e623}">
          <xlrd:rvb i="14380"/>
        </ext>
      </extLst>
    </bk>
    <bk>
      <extLst>
        <ext uri="{3e2802c4-a4d2-4d8b-9148-e3be6c30e623}">
          <xlrd:rvb i="14381"/>
        </ext>
      </extLst>
    </bk>
    <bk>
      <extLst>
        <ext uri="{3e2802c4-a4d2-4d8b-9148-e3be6c30e623}">
          <xlrd:rvb i="14382"/>
        </ext>
      </extLst>
    </bk>
    <bk>
      <extLst>
        <ext uri="{3e2802c4-a4d2-4d8b-9148-e3be6c30e623}">
          <xlrd:rvb i="14383"/>
        </ext>
      </extLst>
    </bk>
    <bk>
      <extLst>
        <ext uri="{3e2802c4-a4d2-4d8b-9148-e3be6c30e623}">
          <xlrd:rvb i="14384"/>
        </ext>
      </extLst>
    </bk>
    <bk>
      <extLst>
        <ext uri="{3e2802c4-a4d2-4d8b-9148-e3be6c30e623}">
          <xlrd:rvb i="14385"/>
        </ext>
      </extLst>
    </bk>
    <bk>
      <extLst>
        <ext uri="{3e2802c4-a4d2-4d8b-9148-e3be6c30e623}">
          <xlrd:rvb i="14386"/>
        </ext>
      </extLst>
    </bk>
    <bk>
      <extLst>
        <ext uri="{3e2802c4-a4d2-4d8b-9148-e3be6c30e623}">
          <xlrd:rvb i="14387"/>
        </ext>
      </extLst>
    </bk>
    <bk>
      <extLst>
        <ext uri="{3e2802c4-a4d2-4d8b-9148-e3be6c30e623}">
          <xlrd:rvb i="14388"/>
        </ext>
      </extLst>
    </bk>
    <bk>
      <extLst>
        <ext uri="{3e2802c4-a4d2-4d8b-9148-e3be6c30e623}">
          <xlrd:rvb i="14389"/>
        </ext>
      </extLst>
    </bk>
    <bk>
      <extLst>
        <ext uri="{3e2802c4-a4d2-4d8b-9148-e3be6c30e623}">
          <xlrd:rvb i="14390"/>
        </ext>
      </extLst>
    </bk>
    <bk>
      <extLst>
        <ext uri="{3e2802c4-a4d2-4d8b-9148-e3be6c30e623}">
          <xlrd:rvb i="14391"/>
        </ext>
      </extLst>
    </bk>
    <bk>
      <extLst>
        <ext uri="{3e2802c4-a4d2-4d8b-9148-e3be6c30e623}">
          <xlrd:rvb i="14392"/>
        </ext>
      </extLst>
    </bk>
    <bk>
      <extLst>
        <ext uri="{3e2802c4-a4d2-4d8b-9148-e3be6c30e623}">
          <xlrd:rvb i="14393"/>
        </ext>
      </extLst>
    </bk>
    <bk>
      <extLst>
        <ext uri="{3e2802c4-a4d2-4d8b-9148-e3be6c30e623}">
          <xlrd:rvb i="14394"/>
        </ext>
      </extLst>
    </bk>
    <bk>
      <extLst>
        <ext uri="{3e2802c4-a4d2-4d8b-9148-e3be6c30e623}">
          <xlrd:rvb i="14395"/>
        </ext>
      </extLst>
    </bk>
    <bk>
      <extLst>
        <ext uri="{3e2802c4-a4d2-4d8b-9148-e3be6c30e623}">
          <xlrd:rvb i="14396"/>
        </ext>
      </extLst>
    </bk>
    <bk>
      <extLst>
        <ext uri="{3e2802c4-a4d2-4d8b-9148-e3be6c30e623}">
          <xlrd:rvb i="14397"/>
        </ext>
      </extLst>
    </bk>
    <bk>
      <extLst>
        <ext uri="{3e2802c4-a4d2-4d8b-9148-e3be6c30e623}">
          <xlrd:rvb i="14398"/>
        </ext>
      </extLst>
    </bk>
    <bk>
      <extLst>
        <ext uri="{3e2802c4-a4d2-4d8b-9148-e3be6c30e623}">
          <xlrd:rvb i="14399"/>
        </ext>
      </extLst>
    </bk>
    <bk>
      <extLst>
        <ext uri="{3e2802c4-a4d2-4d8b-9148-e3be6c30e623}">
          <xlrd:rvb i="14400"/>
        </ext>
      </extLst>
    </bk>
    <bk>
      <extLst>
        <ext uri="{3e2802c4-a4d2-4d8b-9148-e3be6c30e623}">
          <xlrd:rvb i="14401"/>
        </ext>
      </extLst>
    </bk>
    <bk>
      <extLst>
        <ext uri="{3e2802c4-a4d2-4d8b-9148-e3be6c30e623}">
          <xlrd:rvb i="14402"/>
        </ext>
      </extLst>
    </bk>
    <bk>
      <extLst>
        <ext uri="{3e2802c4-a4d2-4d8b-9148-e3be6c30e623}">
          <xlrd:rvb i="14403"/>
        </ext>
      </extLst>
    </bk>
    <bk>
      <extLst>
        <ext uri="{3e2802c4-a4d2-4d8b-9148-e3be6c30e623}">
          <xlrd:rvb i="14404"/>
        </ext>
      </extLst>
    </bk>
    <bk>
      <extLst>
        <ext uri="{3e2802c4-a4d2-4d8b-9148-e3be6c30e623}">
          <xlrd:rvb i="14405"/>
        </ext>
      </extLst>
    </bk>
    <bk>
      <extLst>
        <ext uri="{3e2802c4-a4d2-4d8b-9148-e3be6c30e623}">
          <xlrd:rvb i="14406"/>
        </ext>
      </extLst>
    </bk>
    <bk>
      <extLst>
        <ext uri="{3e2802c4-a4d2-4d8b-9148-e3be6c30e623}">
          <xlrd:rvb i="14407"/>
        </ext>
      </extLst>
    </bk>
    <bk>
      <extLst>
        <ext uri="{3e2802c4-a4d2-4d8b-9148-e3be6c30e623}">
          <xlrd:rvb i="14408"/>
        </ext>
      </extLst>
    </bk>
    <bk>
      <extLst>
        <ext uri="{3e2802c4-a4d2-4d8b-9148-e3be6c30e623}">
          <xlrd:rvb i="14409"/>
        </ext>
      </extLst>
    </bk>
    <bk>
      <extLst>
        <ext uri="{3e2802c4-a4d2-4d8b-9148-e3be6c30e623}">
          <xlrd:rvb i="14410"/>
        </ext>
      </extLst>
    </bk>
    <bk>
      <extLst>
        <ext uri="{3e2802c4-a4d2-4d8b-9148-e3be6c30e623}">
          <xlrd:rvb i="14411"/>
        </ext>
      </extLst>
    </bk>
    <bk>
      <extLst>
        <ext uri="{3e2802c4-a4d2-4d8b-9148-e3be6c30e623}">
          <xlrd:rvb i="14412"/>
        </ext>
      </extLst>
    </bk>
    <bk>
      <extLst>
        <ext uri="{3e2802c4-a4d2-4d8b-9148-e3be6c30e623}">
          <xlrd:rvb i="14413"/>
        </ext>
      </extLst>
    </bk>
    <bk>
      <extLst>
        <ext uri="{3e2802c4-a4d2-4d8b-9148-e3be6c30e623}">
          <xlrd:rvb i="14414"/>
        </ext>
      </extLst>
    </bk>
    <bk>
      <extLst>
        <ext uri="{3e2802c4-a4d2-4d8b-9148-e3be6c30e623}">
          <xlrd:rvb i="14415"/>
        </ext>
      </extLst>
    </bk>
    <bk>
      <extLst>
        <ext uri="{3e2802c4-a4d2-4d8b-9148-e3be6c30e623}">
          <xlrd:rvb i="14416"/>
        </ext>
      </extLst>
    </bk>
    <bk>
      <extLst>
        <ext uri="{3e2802c4-a4d2-4d8b-9148-e3be6c30e623}">
          <xlrd:rvb i="14417"/>
        </ext>
      </extLst>
    </bk>
    <bk>
      <extLst>
        <ext uri="{3e2802c4-a4d2-4d8b-9148-e3be6c30e623}">
          <xlrd:rvb i="14418"/>
        </ext>
      </extLst>
    </bk>
    <bk>
      <extLst>
        <ext uri="{3e2802c4-a4d2-4d8b-9148-e3be6c30e623}">
          <xlrd:rvb i="14419"/>
        </ext>
      </extLst>
    </bk>
    <bk>
      <extLst>
        <ext uri="{3e2802c4-a4d2-4d8b-9148-e3be6c30e623}">
          <xlrd:rvb i="14420"/>
        </ext>
      </extLst>
    </bk>
    <bk>
      <extLst>
        <ext uri="{3e2802c4-a4d2-4d8b-9148-e3be6c30e623}">
          <xlrd:rvb i="14421"/>
        </ext>
      </extLst>
    </bk>
    <bk>
      <extLst>
        <ext uri="{3e2802c4-a4d2-4d8b-9148-e3be6c30e623}">
          <xlrd:rvb i="14422"/>
        </ext>
      </extLst>
    </bk>
    <bk>
      <extLst>
        <ext uri="{3e2802c4-a4d2-4d8b-9148-e3be6c30e623}">
          <xlrd:rvb i="14423"/>
        </ext>
      </extLst>
    </bk>
    <bk>
      <extLst>
        <ext uri="{3e2802c4-a4d2-4d8b-9148-e3be6c30e623}">
          <xlrd:rvb i="14424"/>
        </ext>
      </extLst>
    </bk>
    <bk>
      <extLst>
        <ext uri="{3e2802c4-a4d2-4d8b-9148-e3be6c30e623}">
          <xlrd:rvb i="14425"/>
        </ext>
      </extLst>
    </bk>
    <bk>
      <extLst>
        <ext uri="{3e2802c4-a4d2-4d8b-9148-e3be6c30e623}">
          <xlrd:rvb i="14426"/>
        </ext>
      </extLst>
    </bk>
    <bk>
      <extLst>
        <ext uri="{3e2802c4-a4d2-4d8b-9148-e3be6c30e623}">
          <xlrd:rvb i="14427"/>
        </ext>
      </extLst>
    </bk>
    <bk>
      <extLst>
        <ext uri="{3e2802c4-a4d2-4d8b-9148-e3be6c30e623}">
          <xlrd:rvb i="14428"/>
        </ext>
      </extLst>
    </bk>
    <bk>
      <extLst>
        <ext uri="{3e2802c4-a4d2-4d8b-9148-e3be6c30e623}">
          <xlrd:rvb i="14429"/>
        </ext>
      </extLst>
    </bk>
    <bk>
      <extLst>
        <ext uri="{3e2802c4-a4d2-4d8b-9148-e3be6c30e623}">
          <xlrd:rvb i="14430"/>
        </ext>
      </extLst>
    </bk>
    <bk>
      <extLst>
        <ext uri="{3e2802c4-a4d2-4d8b-9148-e3be6c30e623}">
          <xlrd:rvb i="14431"/>
        </ext>
      </extLst>
    </bk>
    <bk>
      <extLst>
        <ext uri="{3e2802c4-a4d2-4d8b-9148-e3be6c30e623}">
          <xlrd:rvb i="14432"/>
        </ext>
      </extLst>
    </bk>
    <bk>
      <extLst>
        <ext uri="{3e2802c4-a4d2-4d8b-9148-e3be6c30e623}">
          <xlrd:rvb i="14433"/>
        </ext>
      </extLst>
    </bk>
    <bk>
      <extLst>
        <ext uri="{3e2802c4-a4d2-4d8b-9148-e3be6c30e623}">
          <xlrd:rvb i="14434"/>
        </ext>
      </extLst>
    </bk>
    <bk>
      <extLst>
        <ext uri="{3e2802c4-a4d2-4d8b-9148-e3be6c30e623}">
          <xlrd:rvb i="14435"/>
        </ext>
      </extLst>
    </bk>
    <bk>
      <extLst>
        <ext uri="{3e2802c4-a4d2-4d8b-9148-e3be6c30e623}">
          <xlrd:rvb i="14436"/>
        </ext>
      </extLst>
    </bk>
    <bk>
      <extLst>
        <ext uri="{3e2802c4-a4d2-4d8b-9148-e3be6c30e623}">
          <xlrd:rvb i="14437"/>
        </ext>
      </extLst>
    </bk>
    <bk>
      <extLst>
        <ext uri="{3e2802c4-a4d2-4d8b-9148-e3be6c30e623}">
          <xlrd:rvb i="14438"/>
        </ext>
      </extLst>
    </bk>
    <bk>
      <extLst>
        <ext uri="{3e2802c4-a4d2-4d8b-9148-e3be6c30e623}">
          <xlrd:rvb i="14439"/>
        </ext>
      </extLst>
    </bk>
    <bk>
      <extLst>
        <ext uri="{3e2802c4-a4d2-4d8b-9148-e3be6c30e623}">
          <xlrd:rvb i="14440"/>
        </ext>
      </extLst>
    </bk>
    <bk>
      <extLst>
        <ext uri="{3e2802c4-a4d2-4d8b-9148-e3be6c30e623}">
          <xlrd:rvb i="14441"/>
        </ext>
      </extLst>
    </bk>
    <bk>
      <extLst>
        <ext uri="{3e2802c4-a4d2-4d8b-9148-e3be6c30e623}">
          <xlrd:rvb i="14442"/>
        </ext>
      </extLst>
    </bk>
    <bk>
      <extLst>
        <ext uri="{3e2802c4-a4d2-4d8b-9148-e3be6c30e623}">
          <xlrd:rvb i="14443"/>
        </ext>
      </extLst>
    </bk>
    <bk>
      <extLst>
        <ext uri="{3e2802c4-a4d2-4d8b-9148-e3be6c30e623}">
          <xlrd:rvb i="14444"/>
        </ext>
      </extLst>
    </bk>
    <bk>
      <extLst>
        <ext uri="{3e2802c4-a4d2-4d8b-9148-e3be6c30e623}">
          <xlrd:rvb i="14445"/>
        </ext>
      </extLst>
    </bk>
    <bk>
      <extLst>
        <ext uri="{3e2802c4-a4d2-4d8b-9148-e3be6c30e623}">
          <xlrd:rvb i="14446"/>
        </ext>
      </extLst>
    </bk>
    <bk>
      <extLst>
        <ext uri="{3e2802c4-a4d2-4d8b-9148-e3be6c30e623}">
          <xlrd:rvb i="14447"/>
        </ext>
      </extLst>
    </bk>
    <bk>
      <extLst>
        <ext uri="{3e2802c4-a4d2-4d8b-9148-e3be6c30e623}">
          <xlrd:rvb i="14448"/>
        </ext>
      </extLst>
    </bk>
    <bk>
      <extLst>
        <ext uri="{3e2802c4-a4d2-4d8b-9148-e3be6c30e623}">
          <xlrd:rvb i="14449"/>
        </ext>
      </extLst>
    </bk>
    <bk>
      <extLst>
        <ext uri="{3e2802c4-a4d2-4d8b-9148-e3be6c30e623}">
          <xlrd:rvb i="14450"/>
        </ext>
      </extLst>
    </bk>
    <bk>
      <extLst>
        <ext uri="{3e2802c4-a4d2-4d8b-9148-e3be6c30e623}">
          <xlrd:rvb i="14451"/>
        </ext>
      </extLst>
    </bk>
    <bk>
      <extLst>
        <ext uri="{3e2802c4-a4d2-4d8b-9148-e3be6c30e623}">
          <xlrd:rvb i="14452"/>
        </ext>
      </extLst>
    </bk>
    <bk>
      <extLst>
        <ext uri="{3e2802c4-a4d2-4d8b-9148-e3be6c30e623}">
          <xlrd:rvb i="14453"/>
        </ext>
      </extLst>
    </bk>
    <bk>
      <extLst>
        <ext uri="{3e2802c4-a4d2-4d8b-9148-e3be6c30e623}">
          <xlrd:rvb i="14454"/>
        </ext>
      </extLst>
    </bk>
    <bk>
      <extLst>
        <ext uri="{3e2802c4-a4d2-4d8b-9148-e3be6c30e623}">
          <xlrd:rvb i="14455"/>
        </ext>
      </extLst>
    </bk>
    <bk>
      <extLst>
        <ext uri="{3e2802c4-a4d2-4d8b-9148-e3be6c30e623}">
          <xlrd:rvb i="14456"/>
        </ext>
      </extLst>
    </bk>
    <bk>
      <extLst>
        <ext uri="{3e2802c4-a4d2-4d8b-9148-e3be6c30e623}">
          <xlrd:rvb i="14457"/>
        </ext>
      </extLst>
    </bk>
    <bk>
      <extLst>
        <ext uri="{3e2802c4-a4d2-4d8b-9148-e3be6c30e623}">
          <xlrd:rvb i="14458"/>
        </ext>
      </extLst>
    </bk>
    <bk>
      <extLst>
        <ext uri="{3e2802c4-a4d2-4d8b-9148-e3be6c30e623}">
          <xlrd:rvb i="14459"/>
        </ext>
      </extLst>
    </bk>
    <bk>
      <extLst>
        <ext uri="{3e2802c4-a4d2-4d8b-9148-e3be6c30e623}">
          <xlrd:rvb i="14460"/>
        </ext>
      </extLst>
    </bk>
    <bk>
      <extLst>
        <ext uri="{3e2802c4-a4d2-4d8b-9148-e3be6c30e623}">
          <xlrd:rvb i="14461"/>
        </ext>
      </extLst>
    </bk>
    <bk>
      <extLst>
        <ext uri="{3e2802c4-a4d2-4d8b-9148-e3be6c30e623}">
          <xlrd:rvb i="14462"/>
        </ext>
      </extLst>
    </bk>
    <bk>
      <extLst>
        <ext uri="{3e2802c4-a4d2-4d8b-9148-e3be6c30e623}">
          <xlrd:rvb i="14463"/>
        </ext>
      </extLst>
    </bk>
    <bk>
      <extLst>
        <ext uri="{3e2802c4-a4d2-4d8b-9148-e3be6c30e623}">
          <xlrd:rvb i="14464"/>
        </ext>
      </extLst>
    </bk>
    <bk>
      <extLst>
        <ext uri="{3e2802c4-a4d2-4d8b-9148-e3be6c30e623}">
          <xlrd:rvb i="14465"/>
        </ext>
      </extLst>
    </bk>
    <bk>
      <extLst>
        <ext uri="{3e2802c4-a4d2-4d8b-9148-e3be6c30e623}">
          <xlrd:rvb i="14466"/>
        </ext>
      </extLst>
    </bk>
    <bk>
      <extLst>
        <ext uri="{3e2802c4-a4d2-4d8b-9148-e3be6c30e623}">
          <xlrd:rvb i="14467"/>
        </ext>
      </extLst>
    </bk>
    <bk>
      <extLst>
        <ext uri="{3e2802c4-a4d2-4d8b-9148-e3be6c30e623}">
          <xlrd:rvb i="14468"/>
        </ext>
      </extLst>
    </bk>
    <bk>
      <extLst>
        <ext uri="{3e2802c4-a4d2-4d8b-9148-e3be6c30e623}">
          <xlrd:rvb i="14469"/>
        </ext>
      </extLst>
    </bk>
    <bk>
      <extLst>
        <ext uri="{3e2802c4-a4d2-4d8b-9148-e3be6c30e623}">
          <xlrd:rvb i="14470"/>
        </ext>
      </extLst>
    </bk>
    <bk>
      <extLst>
        <ext uri="{3e2802c4-a4d2-4d8b-9148-e3be6c30e623}">
          <xlrd:rvb i="14471"/>
        </ext>
      </extLst>
    </bk>
    <bk>
      <extLst>
        <ext uri="{3e2802c4-a4d2-4d8b-9148-e3be6c30e623}">
          <xlrd:rvb i="14472"/>
        </ext>
      </extLst>
    </bk>
    <bk>
      <extLst>
        <ext uri="{3e2802c4-a4d2-4d8b-9148-e3be6c30e623}">
          <xlrd:rvb i="14473"/>
        </ext>
      </extLst>
    </bk>
    <bk>
      <extLst>
        <ext uri="{3e2802c4-a4d2-4d8b-9148-e3be6c30e623}">
          <xlrd:rvb i="14474"/>
        </ext>
      </extLst>
    </bk>
    <bk>
      <extLst>
        <ext uri="{3e2802c4-a4d2-4d8b-9148-e3be6c30e623}">
          <xlrd:rvb i="14475"/>
        </ext>
      </extLst>
    </bk>
    <bk>
      <extLst>
        <ext uri="{3e2802c4-a4d2-4d8b-9148-e3be6c30e623}">
          <xlrd:rvb i="14476"/>
        </ext>
      </extLst>
    </bk>
    <bk>
      <extLst>
        <ext uri="{3e2802c4-a4d2-4d8b-9148-e3be6c30e623}">
          <xlrd:rvb i="14477"/>
        </ext>
      </extLst>
    </bk>
    <bk>
      <extLst>
        <ext uri="{3e2802c4-a4d2-4d8b-9148-e3be6c30e623}">
          <xlrd:rvb i="14478"/>
        </ext>
      </extLst>
    </bk>
    <bk>
      <extLst>
        <ext uri="{3e2802c4-a4d2-4d8b-9148-e3be6c30e623}">
          <xlrd:rvb i="14479"/>
        </ext>
      </extLst>
    </bk>
    <bk>
      <extLst>
        <ext uri="{3e2802c4-a4d2-4d8b-9148-e3be6c30e623}">
          <xlrd:rvb i="14480"/>
        </ext>
      </extLst>
    </bk>
    <bk>
      <extLst>
        <ext uri="{3e2802c4-a4d2-4d8b-9148-e3be6c30e623}">
          <xlrd:rvb i="14481"/>
        </ext>
      </extLst>
    </bk>
    <bk>
      <extLst>
        <ext uri="{3e2802c4-a4d2-4d8b-9148-e3be6c30e623}">
          <xlrd:rvb i="14482"/>
        </ext>
      </extLst>
    </bk>
    <bk>
      <extLst>
        <ext uri="{3e2802c4-a4d2-4d8b-9148-e3be6c30e623}">
          <xlrd:rvb i="14483"/>
        </ext>
      </extLst>
    </bk>
    <bk>
      <extLst>
        <ext uri="{3e2802c4-a4d2-4d8b-9148-e3be6c30e623}">
          <xlrd:rvb i="14484"/>
        </ext>
      </extLst>
    </bk>
    <bk>
      <extLst>
        <ext uri="{3e2802c4-a4d2-4d8b-9148-e3be6c30e623}">
          <xlrd:rvb i="14485"/>
        </ext>
      </extLst>
    </bk>
    <bk>
      <extLst>
        <ext uri="{3e2802c4-a4d2-4d8b-9148-e3be6c30e623}">
          <xlrd:rvb i="14486"/>
        </ext>
      </extLst>
    </bk>
    <bk>
      <extLst>
        <ext uri="{3e2802c4-a4d2-4d8b-9148-e3be6c30e623}">
          <xlrd:rvb i="14487"/>
        </ext>
      </extLst>
    </bk>
    <bk>
      <extLst>
        <ext uri="{3e2802c4-a4d2-4d8b-9148-e3be6c30e623}">
          <xlrd:rvb i="14488"/>
        </ext>
      </extLst>
    </bk>
    <bk>
      <extLst>
        <ext uri="{3e2802c4-a4d2-4d8b-9148-e3be6c30e623}">
          <xlrd:rvb i="14489"/>
        </ext>
      </extLst>
    </bk>
    <bk>
      <extLst>
        <ext uri="{3e2802c4-a4d2-4d8b-9148-e3be6c30e623}">
          <xlrd:rvb i="14490"/>
        </ext>
      </extLst>
    </bk>
    <bk>
      <extLst>
        <ext uri="{3e2802c4-a4d2-4d8b-9148-e3be6c30e623}">
          <xlrd:rvb i="14491"/>
        </ext>
      </extLst>
    </bk>
    <bk>
      <extLst>
        <ext uri="{3e2802c4-a4d2-4d8b-9148-e3be6c30e623}">
          <xlrd:rvb i="14492"/>
        </ext>
      </extLst>
    </bk>
    <bk>
      <extLst>
        <ext uri="{3e2802c4-a4d2-4d8b-9148-e3be6c30e623}">
          <xlrd:rvb i="14493"/>
        </ext>
      </extLst>
    </bk>
    <bk>
      <extLst>
        <ext uri="{3e2802c4-a4d2-4d8b-9148-e3be6c30e623}">
          <xlrd:rvb i="14494"/>
        </ext>
      </extLst>
    </bk>
    <bk>
      <extLst>
        <ext uri="{3e2802c4-a4d2-4d8b-9148-e3be6c30e623}">
          <xlrd:rvb i="14495"/>
        </ext>
      </extLst>
    </bk>
    <bk>
      <extLst>
        <ext uri="{3e2802c4-a4d2-4d8b-9148-e3be6c30e623}">
          <xlrd:rvb i="14496"/>
        </ext>
      </extLst>
    </bk>
    <bk>
      <extLst>
        <ext uri="{3e2802c4-a4d2-4d8b-9148-e3be6c30e623}">
          <xlrd:rvb i="14497"/>
        </ext>
      </extLst>
    </bk>
    <bk>
      <extLst>
        <ext uri="{3e2802c4-a4d2-4d8b-9148-e3be6c30e623}">
          <xlrd:rvb i="14498"/>
        </ext>
      </extLst>
    </bk>
    <bk>
      <extLst>
        <ext uri="{3e2802c4-a4d2-4d8b-9148-e3be6c30e623}">
          <xlrd:rvb i="14499"/>
        </ext>
      </extLst>
    </bk>
    <bk>
      <extLst>
        <ext uri="{3e2802c4-a4d2-4d8b-9148-e3be6c30e623}">
          <xlrd:rvb i="14500"/>
        </ext>
      </extLst>
    </bk>
    <bk>
      <extLst>
        <ext uri="{3e2802c4-a4d2-4d8b-9148-e3be6c30e623}">
          <xlrd:rvb i="14501"/>
        </ext>
      </extLst>
    </bk>
    <bk>
      <extLst>
        <ext uri="{3e2802c4-a4d2-4d8b-9148-e3be6c30e623}">
          <xlrd:rvb i="14502"/>
        </ext>
      </extLst>
    </bk>
    <bk>
      <extLst>
        <ext uri="{3e2802c4-a4d2-4d8b-9148-e3be6c30e623}">
          <xlrd:rvb i="14503"/>
        </ext>
      </extLst>
    </bk>
    <bk>
      <extLst>
        <ext uri="{3e2802c4-a4d2-4d8b-9148-e3be6c30e623}">
          <xlrd:rvb i="14504"/>
        </ext>
      </extLst>
    </bk>
    <bk>
      <extLst>
        <ext uri="{3e2802c4-a4d2-4d8b-9148-e3be6c30e623}">
          <xlrd:rvb i="14505"/>
        </ext>
      </extLst>
    </bk>
    <bk>
      <extLst>
        <ext uri="{3e2802c4-a4d2-4d8b-9148-e3be6c30e623}">
          <xlrd:rvb i="14506"/>
        </ext>
      </extLst>
    </bk>
    <bk>
      <extLst>
        <ext uri="{3e2802c4-a4d2-4d8b-9148-e3be6c30e623}">
          <xlrd:rvb i="14507"/>
        </ext>
      </extLst>
    </bk>
    <bk>
      <extLst>
        <ext uri="{3e2802c4-a4d2-4d8b-9148-e3be6c30e623}">
          <xlrd:rvb i="14508"/>
        </ext>
      </extLst>
    </bk>
    <bk>
      <extLst>
        <ext uri="{3e2802c4-a4d2-4d8b-9148-e3be6c30e623}">
          <xlrd:rvb i="14509"/>
        </ext>
      </extLst>
    </bk>
    <bk>
      <extLst>
        <ext uri="{3e2802c4-a4d2-4d8b-9148-e3be6c30e623}">
          <xlrd:rvb i="14510"/>
        </ext>
      </extLst>
    </bk>
    <bk>
      <extLst>
        <ext uri="{3e2802c4-a4d2-4d8b-9148-e3be6c30e623}">
          <xlrd:rvb i="14511"/>
        </ext>
      </extLst>
    </bk>
    <bk>
      <extLst>
        <ext uri="{3e2802c4-a4d2-4d8b-9148-e3be6c30e623}">
          <xlrd:rvb i="14512"/>
        </ext>
      </extLst>
    </bk>
    <bk>
      <extLst>
        <ext uri="{3e2802c4-a4d2-4d8b-9148-e3be6c30e623}">
          <xlrd:rvb i="14513"/>
        </ext>
      </extLst>
    </bk>
    <bk>
      <extLst>
        <ext uri="{3e2802c4-a4d2-4d8b-9148-e3be6c30e623}">
          <xlrd:rvb i="14514"/>
        </ext>
      </extLst>
    </bk>
    <bk>
      <extLst>
        <ext uri="{3e2802c4-a4d2-4d8b-9148-e3be6c30e623}">
          <xlrd:rvb i="14515"/>
        </ext>
      </extLst>
    </bk>
    <bk>
      <extLst>
        <ext uri="{3e2802c4-a4d2-4d8b-9148-e3be6c30e623}">
          <xlrd:rvb i="14516"/>
        </ext>
      </extLst>
    </bk>
    <bk>
      <extLst>
        <ext uri="{3e2802c4-a4d2-4d8b-9148-e3be6c30e623}">
          <xlrd:rvb i="14517"/>
        </ext>
      </extLst>
    </bk>
    <bk>
      <extLst>
        <ext uri="{3e2802c4-a4d2-4d8b-9148-e3be6c30e623}">
          <xlrd:rvb i="14518"/>
        </ext>
      </extLst>
    </bk>
    <bk>
      <extLst>
        <ext uri="{3e2802c4-a4d2-4d8b-9148-e3be6c30e623}">
          <xlrd:rvb i="14519"/>
        </ext>
      </extLst>
    </bk>
    <bk>
      <extLst>
        <ext uri="{3e2802c4-a4d2-4d8b-9148-e3be6c30e623}">
          <xlrd:rvb i="14520"/>
        </ext>
      </extLst>
    </bk>
    <bk>
      <extLst>
        <ext uri="{3e2802c4-a4d2-4d8b-9148-e3be6c30e623}">
          <xlrd:rvb i="14521"/>
        </ext>
      </extLst>
    </bk>
    <bk>
      <extLst>
        <ext uri="{3e2802c4-a4d2-4d8b-9148-e3be6c30e623}">
          <xlrd:rvb i="14522"/>
        </ext>
      </extLst>
    </bk>
    <bk>
      <extLst>
        <ext uri="{3e2802c4-a4d2-4d8b-9148-e3be6c30e623}">
          <xlrd:rvb i="14523"/>
        </ext>
      </extLst>
    </bk>
    <bk>
      <extLst>
        <ext uri="{3e2802c4-a4d2-4d8b-9148-e3be6c30e623}">
          <xlrd:rvb i="14524"/>
        </ext>
      </extLst>
    </bk>
    <bk>
      <extLst>
        <ext uri="{3e2802c4-a4d2-4d8b-9148-e3be6c30e623}">
          <xlrd:rvb i="14525"/>
        </ext>
      </extLst>
    </bk>
    <bk>
      <extLst>
        <ext uri="{3e2802c4-a4d2-4d8b-9148-e3be6c30e623}">
          <xlrd:rvb i="14526"/>
        </ext>
      </extLst>
    </bk>
    <bk>
      <extLst>
        <ext uri="{3e2802c4-a4d2-4d8b-9148-e3be6c30e623}">
          <xlrd:rvb i="14527"/>
        </ext>
      </extLst>
    </bk>
    <bk>
      <extLst>
        <ext uri="{3e2802c4-a4d2-4d8b-9148-e3be6c30e623}">
          <xlrd:rvb i="14528"/>
        </ext>
      </extLst>
    </bk>
    <bk>
      <extLst>
        <ext uri="{3e2802c4-a4d2-4d8b-9148-e3be6c30e623}">
          <xlrd:rvb i="14529"/>
        </ext>
      </extLst>
    </bk>
    <bk>
      <extLst>
        <ext uri="{3e2802c4-a4d2-4d8b-9148-e3be6c30e623}">
          <xlrd:rvb i="14530"/>
        </ext>
      </extLst>
    </bk>
    <bk>
      <extLst>
        <ext uri="{3e2802c4-a4d2-4d8b-9148-e3be6c30e623}">
          <xlrd:rvb i="14531"/>
        </ext>
      </extLst>
    </bk>
    <bk>
      <extLst>
        <ext uri="{3e2802c4-a4d2-4d8b-9148-e3be6c30e623}">
          <xlrd:rvb i="14532"/>
        </ext>
      </extLst>
    </bk>
    <bk>
      <extLst>
        <ext uri="{3e2802c4-a4d2-4d8b-9148-e3be6c30e623}">
          <xlrd:rvb i="14533"/>
        </ext>
      </extLst>
    </bk>
    <bk>
      <extLst>
        <ext uri="{3e2802c4-a4d2-4d8b-9148-e3be6c30e623}">
          <xlrd:rvb i="14534"/>
        </ext>
      </extLst>
    </bk>
    <bk>
      <extLst>
        <ext uri="{3e2802c4-a4d2-4d8b-9148-e3be6c30e623}">
          <xlrd:rvb i="14535"/>
        </ext>
      </extLst>
    </bk>
    <bk>
      <extLst>
        <ext uri="{3e2802c4-a4d2-4d8b-9148-e3be6c30e623}">
          <xlrd:rvb i="14536"/>
        </ext>
      </extLst>
    </bk>
    <bk>
      <extLst>
        <ext uri="{3e2802c4-a4d2-4d8b-9148-e3be6c30e623}">
          <xlrd:rvb i="14537"/>
        </ext>
      </extLst>
    </bk>
    <bk>
      <extLst>
        <ext uri="{3e2802c4-a4d2-4d8b-9148-e3be6c30e623}">
          <xlrd:rvb i="14538"/>
        </ext>
      </extLst>
    </bk>
    <bk>
      <extLst>
        <ext uri="{3e2802c4-a4d2-4d8b-9148-e3be6c30e623}">
          <xlrd:rvb i="14539"/>
        </ext>
      </extLst>
    </bk>
    <bk>
      <extLst>
        <ext uri="{3e2802c4-a4d2-4d8b-9148-e3be6c30e623}">
          <xlrd:rvb i="14540"/>
        </ext>
      </extLst>
    </bk>
    <bk>
      <extLst>
        <ext uri="{3e2802c4-a4d2-4d8b-9148-e3be6c30e623}">
          <xlrd:rvb i="14541"/>
        </ext>
      </extLst>
    </bk>
    <bk>
      <extLst>
        <ext uri="{3e2802c4-a4d2-4d8b-9148-e3be6c30e623}">
          <xlrd:rvb i="14542"/>
        </ext>
      </extLst>
    </bk>
    <bk>
      <extLst>
        <ext uri="{3e2802c4-a4d2-4d8b-9148-e3be6c30e623}">
          <xlrd:rvb i="14543"/>
        </ext>
      </extLst>
    </bk>
    <bk>
      <extLst>
        <ext uri="{3e2802c4-a4d2-4d8b-9148-e3be6c30e623}">
          <xlrd:rvb i="14544"/>
        </ext>
      </extLst>
    </bk>
    <bk>
      <extLst>
        <ext uri="{3e2802c4-a4d2-4d8b-9148-e3be6c30e623}">
          <xlrd:rvb i="14545"/>
        </ext>
      </extLst>
    </bk>
    <bk>
      <extLst>
        <ext uri="{3e2802c4-a4d2-4d8b-9148-e3be6c30e623}">
          <xlrd:rvb i="14546"/>
        </ext>
      </extLst>
    </bk>
    <bk>
      <extLst>
        <ext uri="{3e2802c4-a4d2-4d8b-9148-e3be6c30e623}">
          <xlrd:rvb i="14547"/>
        </ext>
      </extLst>
    </bk>
    <bk>
      <extLst>
        <ext uri="{3e2802c4-a4d2-4d8b-9148-e3be6c30e623}">
          <xlrd:rvb i="14548"/>
        </ext>
      </extLst>
    </bk>
    <bk>
      <extLst>
        <ext uri="{3e2802c4-a4d2-4d8b-9148-e3be6c30e623}">
          <xlrd:rvb i="14549"/>
        </ext>
      </extLst>
    </bk>
    <bk>
      <extLst>
        <ext uri="{3e2802c4-a4d2-4d8b-9148-e3be6c30e623}">
          <xlrd:rvb i="14550"/>
        </ext>
      </extLst>
    </bk>
    <bk>
      <extLst>
        <ext uri="{3e2802c4-a4d2-4d8b-9148-e3be6c30e623}">
          <xlrd:rvb i="14551"/>
        </ext>
      </extLst>
    </bk>
    <bk>
      <extLst>
        <ext uri="{3e2802c4-a4d2-4d8b-9148-e3be6c30e623}">
          <xlrd:rvb i="14552"/>
        </ext>
      </extLst>
    </bk>
    <bk>
      <extLst>
        <ext uri="{3e2802c4-a4d2-4d8b-9148-e3be6c30e623}">
          <xlrd:rvb i="14553"/>
        </ext>
      </extLst>
    </bk>
    <bk>
      <extLst>
        <ext uri="{3e2802c4-a4d2-4d8b-9148-e3be6c30e623}">
          <xlrd:rvb i="14554"/>
        </ext>
      </extLst>
    </bk>
    <bk>
      <extLst>
        <ext uri="{3e2802c4-a4d2-4d8b-9148-e3be6c30e623}">
          <xlrd:rvb i="14555"/>
        </ext>
      </extLst>
    </bk>
    <bk>
      <extLst>
        <ext uri="{3e2802c4-a4d2-4d8b-9148-e3be6c30e623}">
          <xlrd:rvb i="14556"/>
        </ext>
      </extLst>
    </bk>
    <bk>
      <extLst>
        <ext uri="{3e2802c4-a4d2-4d8b-9148-e3be6c30e623}">
          <xlrd:rvb i="14557"/>
        </ext>
      </extLst>
    </bk>
    <bk>
      <extLst>
        <ext uri="{3e2802c4-a4d2-4d8b-9148-e3be6c30e623}">
          <xlrd:rvb i="14558"/>
        </ext>
      </extLst>
    </bk>
    <bk>
      <extLst>
        <ext uri="{3e2802c4-a4d2-4d8b-9148-e3be6c30e623}">
          <xlrd:rvb i="14559"/>
        </ext>
      </extLst>
    </bk>
    <bk>
      <extLst>
        <ext uri="{3e2802c4-a4d2-4d8b-9148-e3be6c30e623}">
          <xlrd:rvb i="14560"/>
        </ext>
      </extLst>
    </bk>
    <bk>
      <extLst>
        <ext uri="{3e2802c4-a4d2-4d8b-9148-e3be6c30e623}">
          <xlrd:rvb i="14561"/>
        </ext>
      </extLst>
    </bk>
    <bk>
      <extLst>
        <ext uri="{3e2802c4-a4d2-4d8b-9148-e3be6c30e623}">
          <xlrd:rvb i="14562"/>
        </ext>
      </extLst>
    </bk>
    <bk>
      <extLst>
        <ext uri="{3e2802c4-a4d2-4d8b-9148-e3be6c30e623}">
          <xlrd:rvb i="14563"/>
        </ext>
      </extLst>
    </bk>
    <bk>
      <extLst>
        <ext uri="{3e2802c4-a4d2-4d8b-9148-e3be6c30e623}">
          <xlrd:rvb i="14564"/>
        </ext>
      </extLst>
    </bk>
    <bk>
      <extLst>
        <ext uri="{3e2802c4-a4d2-4d8b-9148-e3be6c30e623}">
          <xlrd:rvb i="14565"/>
        </ext>
      </extLst>
    </bk>
    <bk>
      <extLst>
        <ext uri="{3e2802c4-a4d2-4d8b-9148-e3be6c30e623}">
          <xlrd:rvb i="14566"/>
        </ext>
      </extLst>
    </bk>
    <bk>
      <extLst>
        <ext uri="{3e2802c4-a4d2-4d8b-9148-e3be6c30e623}">
          <xlrd:rvb i="14567"/>
        </ext>
      </extLst>
    </bk>
    <bk>
      <extLst>
        <ext uri="{3e2802c4-a4d2-4d8b-9148-e3be6c30e623}">
          <xlrd:rvb i="14568"/>
        </ext>
      </extLst>
    </bk>
    <bk>
      <extLst>
        <ext uri="{3e2802c4-a4d2-4d8b-9148-e3be6c30e623}">
          <xlrd:rvb i="14569"/>
        </ext>
      </extLst>
    </bk>
    <bk>
      <extLst>
        <ext uri="{3e2802c4-a4d2-4d8b-9148-e3be6c30e623}">
          <xlrd:rvb i="14570"/>
        </ext>
      </extLst>
    </bk>
    <bk>
      <extLst>
        <ext uri="{3e2802c4-a4d2-4d8b-9148-e3be6c30e623}">
          <xlrd:rvb i="14571"/>
        </ext>
      </extLst>
    </bk>
    <bk>
      <extLst>
        <ext uri="{3e2802c4-a4d2-4d8b-9148-e3be6c30e623}">
          <xlrd:rvb i="14572"/>
        </ext>
      </extLst>
    </bk>
    <bk>
      <extLst>
        <ext uri="{3e2802c4-a4d2-4d8b-9148-e3be6c30e623}">
          <xlrd:rvb i="14573"/>
        </ext>
      </extLst>
    </bk>
    <bk>
      <extLst>
        <ext uri="{3e2802c4-a4d2-4d8b-9148-e3be6c30e623}">
          <xlrd:rvb i="14574"/>
        </ext>
      </extLst>
    </bk>
    <bk>
      <extLst>
        <ext uri="{3e2802c4-a4d2-4d8b-9148-e3be6c30e623}">
          <xlrd:rvb i="14575"/>
        </ext>
      </extLst>
    </bk>
    <bk>
      <extLst>
        <ext uri="{3e2802c4-a4d2-4d8b-9148-e3be6c30e623}">
          <xlrd:rvb i="14576"/>
        </ext>
      </extLst>
    </bk>
    <bk>
      <extLst>
        <ext uri="{3e2802c4-a4d2-4d8b-9148-e3be6c30e623}">
          <xlrd:rvb i="14577"/>
        </ext>
      </extLst>
    </bk>
    <bk>
      <extLst>
        <ext uri="{3e2802c4-a4d2-4d8b-9148-e3be6c30e623}">
          <xlrd:rvb i="14578"/>
        </ext>
      </extLst>
    </bk>
    <bk>
      <extLst>
        <ext uri="{3e2802c4-a4d2-4d8b-9148-e3be6c30e623}">
          <xlrd:rvb i="14579"/>
        </ext>
      </extLst>
    </bk>
    <bk>
      <extLst>
        <ext uri="{3e2802c4-a4d2-4d8b-9148-e3be6c30e623}">
          <xlrd:rvb i="14580"/>
        </ext>
      </extLst>
    </bk>
    <bk>
      <extLst>
        <ext uri="{3e2802c4-a4d2-4d8b-9148-e3be6c30e623}">
          <xlrd:rvb i="14581"/>
        </ext>
      </extLst>
    </bk>
    <bk>
      <extLst>
        <ext uri="{3e2802c4-a4d2-4d8b-9148-e3be6c30e623}">
          <xlrd:rvb i="14582"/>
        </ext>
      </extLst>
    </bk>
    <bk>
      <extLst>
        <ext uri="{3e2802c4-a4d2-4d8b-9148-e3be6c30e623}">
          <xlrd:rvb i="14583"/>
        </ext>
      </extLst>
    </bk>
    <bk>
      <extLst>
        <ext uri="{3e2802c4-a4d2-4d8b-9148-e3be6c30e623}">
          <xlrd:rvb i="14584"/>
        </ext>
      </extLst>
    </bk>
    <bk>
      <extLst>
        <ext uri="{3e2802c4-a4d2-4d8b-9148-e3be6c30e623}">
          <xlrd:rvb i="14585"/>
        </ext>
      </extLst>
    </bk>
    <bk>
      <extLst>
        <ext uri="{3e2802c4-a4d2-4d8b-9148-e3be6c30e623}">
          <xlrd:rvb i="14586"/>
        </ext>
      </extLst>
    </bk>
    <bk>
      <extLst>
        <ext uri="{3e2802c4-a4d2-4d8b-9148-e3be6c30e623}">
          <xlrd:rvb i="14587"/>
        </ext>
      </extLst>
    </bk>
    <bk>
      <extLst>
        <ext uri="{3e2802c4-a4d2-4d8b-9148-e3be6c30e623}">
          <xlrd:rvb i="14588"/>
        </ext>
      </extLst>
    </bk>
    <bk>
      <extLst>
        <ext uri="{3e2802c4-a4d2-4d8b-9148-e3be6c30e623}">
          <xlrd:rvb i="14589"/>
        </ext>
      </extLst>
    </bk>
    <bk>
      <extLst>
        <ext uri="{3e2802c4-a4d2-4d8b-9148-e3be6c30e623}">
          <xlrd:rvb i="14590"/>
        </ext>
      </extLst>
    </bk>
    <bk>
      <extLst>
        <ext uri="{3e2802c4-a4d2-4d8b-9148-e3be6c30e623}">
          <xlrd:rvb i="14591"/>
        </ext>
      </extLst>
    </bk>
    <bk>
      <extLst>
        <ext uri="{3e2802c4-a4d2-4d8b-9148-e3be6c30e623}">
          <xlrd:rvb i="14592"/>
        </ext>
      </extLst>
    </bk>
    <bk>
      <extLst>
        <ext uri="{3e2802c4-a4d2-4d8b-9148-e3be6c30e623}">
          <xlrd:rvb i="14593"/>
        </ext>
      </extLst>
    </bk>
    <bk>
      <extLst>
        <ext uri="{3e2802c4-a4d2-4d8b-9148-e3be6c30e623}">
          <xlrd:rvb i="14594"/>
        </ext>
      </extLst>
    </bk>
    <bk>
      <extLst>
        <ext uri="{3e2802c4-a4d2-4d8b-9148-e3be6c30e623}">
          <xlrd:rvb i="14595"/>
        </ext>
      </extLst>
    </bk>
    <bk>
      <extLst>
        <ext uri="{3e2802c4-a4d2-4d8b-9148-e3be6c30e623}">
          <xlrd:rvb i="14596"/>
        </ext>
      </extLst>
    </bk>
    <bk>
      <extLst>
        <ext uri="{3e2802c4-a4d2-4d8b-9148-e3be6c30e623}">
          <xlrd:rvb i="14597"/>
        </ext>
      </extLst>
    </bk>
    <bk>
      <extLst>
        <ext uri="{3e2802c4-a4d2-4d8b-9148-e3be6c30e623}">
          <xlrd:rvb i="14598"/>
        </ext>
      </extLst>
    </bk>
    <bk>
      <extLst>
        <ext uri="{3e2802c4-a4d2-4d8b-9148-e3be6c30e623}">
          <xlrd:rvb i="14599"/>
        </ext>
      </extLst>
    </bk>
    <bk>
      <extLst>
        <ext uri="{3e2802c4-a4d2-4d8b-9148-e3be6c30e623}">
          <xlrd:rvb i="14600"/>
        </ext>
      </extLst>
    </bk>
    <bk>
      <extLst>
        <ext uri="{3e2802c4-a4d2-4d8b-9148-e3be6c30e623}">
          <xlrd:rvb i="14601"/>
        </ext>
      </extLst>
    </bk>
    <bk>
      <extLst>
        <ext uri="{3e2802c4-a4d2-4d8b-9148-e3be6c30e623}">
          <xlrd:rvb i="14602"/>
        </ext>
      </extLst>
    </bk>
    <bk>
      <extLst>
        <ext uri="{3e2802c4-a4d2-4d8b-9148-e3be6c30e623}">
          <xlrd:rvb i="14603"/>
        </ext>
      </extLst>
    </bk>
    <bk>
      <extLst>
        <ext uri="{3e2802c4-a4d2-4d8b-9148-e3be6c30e623}">
          <xlrd:rvb i="14604"/>
        </ext>
      </extLst>
    </bk>
    <bk>
      <extLst>
        <ext uri="{3e2802c4-a4d2-4d8b-9148-e3be6c30e623}">
          <xlrd:rvb i="14605"/>
        </ext>
      </extLst>
    </bk>
    <bk>
      <extLst>
        <ext uri="{3e2802c4-a4d2-4d8b-9148-e3be6c30e623}">
          <xlrd:rvb i="14606"/>
        </ext>
      </extLst>
    </bk>
    <bk>
      <extLst>
        <ext uri="{3e2802c4-a4d2-4d8b-9148-e3be6c30e623}">
          <xlrd:rvb i="14607"/>
        </ext>
      </extLst>
    </bk>
    <bk>
      <extLst>
        <ext uri="{3e2802c4-a4d2-4d8b-9148-e3be6c30e623}">
          <xlrd:rvb i="14608"/>
        </ext>
      </extLst>
    </bk>
    <bk>
      <extLst>
        <ext uri="{3e2802c4-a4d2-4d8b-9148-e3be6c30e623}">
          <xlrd:rvb i="14609"/>
        </ext>
      </extLst>
    </bk>
    <bk>
      <extLst>
        <ext uri="{3e2802c4-a4d2-4d8b-9148-e3be6c30e623}">
          <xlrd:rvb i="14610"/>
        </ext>
      </extLst>
    </bk>
    <bk>
      <extLst>
        <ext uri="{3e2802c4-a4d2-4d8b-9148-e3be6c30e623}">
          <xlrd:rvb i="14611"/>
        </ext>
      </extLst>
    </bk>
    <bk>
      <extLst>
        <ext uri="{3e2802c4-a4d2-4d8b-9148-e3be6c30e623}">
          <xlrd:rvb i="14612"/>
        </ext>
      </extLst>
    </bk>
    <bk>
      <extLst>
        <ext uri="{3e2802c4-a4d2-4d8b-9148-e3be6c30e623}">
          <xlrd:rvb i="14613"/>
        </ext>
      </extLst>
    </bk>
    <bk>
      <extLst>
        <ext uri="{3e2802c4-a4d2-4d8b-9148-e3be6c30e623}">
          <xlrd:rvb i="14614"/>
        </ext>
      </extLst>
    </bk>
    <bk>
      <extLst>
        <ext uri="{3e2802c4-a4d2-4d8b-9148-e3be6c30e623}">
          <xlrd:rvb i="14615"/>
        </ext>
      </extLst>
    </bk>
    <bk>
      <extLst>
        <ext uri="{3e2802c4-a4d2-4d8b-9148-e3be6c30e623}">
          <xlrd:rvb i="14616"/>
        </ext>
      </extLst>
    </bk>
    <bk>
      <extLst>
        <ext uri="{3e2802c4-a4d2-4d8b-9148-e3be6c30e623}">
          <xlrd:rvb i="14617"/>
        </ext>
      </extLst>
    </bk>
    <bk>
      <extLst>
        <ext uri="{3e2802c4-a4d2-4d8b-9148-e3be6c30e623}">
          <xlrd:rvb i="14618"/>
        </ext>
      </extLst>
    </bk>
    <bk>
      <extLst>
        <ext uri="{3e2802c4-a4d2-4d8b-9148-e3be6c30e623}">
          <xlrd:rvb i="14619"/>
        </ext>
      </extLst>
    </bk>
    <bk>
      <extLst>
        <ext uri="{3e2802c4-a4d2-4d8b-9148-e3be6c30e623}">
          <xlrd:rvb i="14620"/>
        </ext>
      </extLst>
    </bk>
    <bk>
      <extLst>
        <ext uri="{3e2802c4-a4d2-4d8b-9148-e3be6c30e623}">
          <xlrd:rvb i="14621"/>
        </ext>
      </extLst>
    </bk>
    <bk>
      <extLst>
        <ext uri="{3e2802c4-a4d2-4d8b-9148-e3be6c30e623}">
          <xlrd:rvb i="14622"/>
        </ext>
      </extLst>
    </bk>
    <bk>
      <extLst>
        <ext uri="{3e2802c4-a4d2-4d8b-9148-e3be6c30e623}">
          <xlrd:rvb i="14623"/>
        </ext>
      </extLst>
    </bk>
    <bk>
      <extLst>
        <ext uri="{3e2802c4-a4d2-4d8b-9148-e3be6c30e623}">
          <xlrd:rvb i="14624"/>
        </ext>
      </extLst>
    </bk>
    <bk>
      <extLst>
        <ext uri="{3e2802c4-a4d2-4d8b-9148-e3be6c30e623}">
          <xlrd:rvb i="14625"/>
        </ext>
      </extLst>
    </bk>
    <bk>
      <extLst>
        <ext uri="{3e2802c4-a4d2-4d8b-9148-e3be6c30e623}">
          <xlrd:rvb i="14626"/>
        </ext>
      </extLst>
    </bk>
    <bk>
      <extLst>
        <ext uri="{3e2802c4-a4d2-4d8b-9148-e3be6c30e623}">
          <xlrd:rvb i="14627"/>
        </ext>
      </extLst>
    </bk>
    <bk>
      <extLst>
        <ext uri="{3e2802c4-a4d2-4d8b-9148-e3be6c30e623}">
          <xlrd:rvb i="14628"/>
        </ext>
      </extLst>
    </bk>
    <bk>
      <extLst>
        <ext uri="{3e2802c4-a4d2-4d8b-9148-e3be6c30e623}">
          <xlrd:rvb i="14629"/>
        </ext>
      </extLst>
    </bk>
    <bk>
      <extLst>
        <ext uri="{3e2802c4-a4d2-4d8b-9148-e3be6c30e623}">
          <xlrd:rvb i="14630"/>
        </ext>
      </extLst>
    </bk>
    <bk>
      <extLst>
        <ext uri="{3e2802c4-a4d2-4d8b-9148-e3be6c30e623}">
          <xlrd:rvb i="14631"/>
        </ext>
      </extLst>
    </bk>
    <bk>
      <extLst>
        <ext uri="{3e2802c4-a4d2-4d8b-9148-e3be6c30e623}">
          <xlrd:rvb i="14632"/>
        </ext>
      </extLst>
    </bk>
    <bk>
      <extLst>
        <ext uri="{3e2802c4-a4d2-4d8b-9148-e3be6c30e623}">
          <xlrd:rvb i="14633"/>
        </ext>
      </extLst>
    </bk>
    <bk>
      <extLst>
        <ext uri="{3e2802c4-a4d2-4d8b-9148-e3be6c30e623}">
          <xlrd:rvb i="14634"/>
        </ext>
      </extLst>
    </bk>
    <bk>
      <extLst>
        <ext uri="{3e2802c4-a4d2-4d8b-9148-e3be6c30e623}">
          <xlrd:rvb i="14635"/>
        </ext>
      </extLst>
    </bk>
    <bk>
      <extLst>
        <ext uri="{3e2802c4-a4d2-4d8b-9148-e3be6c30e623}">
          <xlrd:rvb i="14636"/>
        </ext>
      </extLst>
    </bk>
    <bk>
      <extLst>
        <ext uri="{3e2802c4-a4d2-4d8b-9148-e3be6c30e623}">
          <xlrd:rvb i="14637"/>
        </ext>
      </extLst>
    </bk>
    <bk>
      <extLst>
        <ext uri="{3e2802c4-a4d2-4d8b-9148-e3be6c30e623}">
          <xlrd:rvb i="14638"/>
        </ext>
      </extLst>
    </bk>
    <bk>
      <extLst>
        <ext uri="{3e2802c4-a4d2-4d8b-9148-e3be6c30e623}">
          <xlrd:rvb i="14639"/>
        </ext>
      </extLst>
    </bk>
    <bk>
      <extLst>
        <ext uri="{3e2802c4-a4d2-4d8b-9148-e3be6c30e623}">
          <xlrd:rvb i="14640"/>
        </ext>
      </extLst>
    </bk>
    <bk>
      <extLst>
        <ext uri="{3e2802c4-a4d2-4d8b-9148-e3be6c30e623}">
          <xlrd:rvb i="14641"/>
        </ext>
      </extLst>
    </bk>
    <bk>
      <extLst>
        <ext uri="{3e2802c4-a4d2-4d8b-9148-e3be6c30e623}">
          <xlrd:rvb i="14642"/>
        </ext>
      </extLst>
    </bk>
    <bk>
      <extLst>
        <ext uri="{3e2802c4-a4d2-4d8b-9148-e3be6c30e623}">
          <xlrd:rvb i="14643"/>
        </ext>
      </extLst>
    </bk>
    <bk>
      <extLst>
        <ext uri="{3e2802c4-a4d2-4d8b-9148-e3be6c30e623}">
          <xlrd:rvb i="14644"/>
        </ext>
      </extLst>
    </bk>
    <bk>
      <extLst>
        <ext uri="{3e2802c4-a4d2-4d8b-9148-e3be6c30e623}">
          <xlrd:rvb i="14645"/>
        </ext>
      </extLst>
    </bk>
    <bk>
      <extLst>
        <ext uri="{3e2802c4-a4d2-4d8b-9148-e3be6c30e623}">
          <xlrd:rvb i="14646"/>
        </ext>
      </extLst>
    </bk>
    <bk>
      <extLst>
        <ext uri="{3e2802c4-a4d2-4d8b-9148-e3be6c30e623}">
          <xlrd:rvb i="14647"/>
        </ext>
      </extLst>
    </bk>
    <bk>
      <extLst>
        <ext uri="{3e2802c4-a4d2-4d8b-9148-e3be6c30e623}">
          <xlrd:rvb i="14648"/>
        </ext>
      </extLst>
    </bk>
    <bk>
      <extLst>
        <ext uri="{3e2802c4-a4d2-4d8b-9148-e3be6c30e623}">
          <xlrd:rvb i="14649"/>
        </ext>
      </extLst>
    </bk>
    <bk>
      <extLst>
        <ext uri="{3e2802c4-a4d2-4d8b-9148-e3be6c30e623}">
          <xlrd:rvb i="14650"/>
        </ext>
      </extLst>
    </bk>
    <bk>
      <extLst>
        <ext uri="{3e2802c4-a4d2-4d8b-9148-e3be6c30e623}">
          <xlrd:rvb i="14651"/>
        </ext>
      </extLst>
    </bk>
    <bk>
      <extLst>
        <ext uri="{3e2802c4-a4d2-4d8b-9148-e3be6c30e623}">
          <xlrd:rvb i="14652"/>
        </ext>
      </extLst>
    </bk>
    <bk>
      <extLst>
        <ext uri="{3e2802c4-a4d2-4d8b-9148-e3be6c30e623}">
          <xlrd:rvb i="14653"/>
        </ext>
      </extLst>
    </bk>
    <bk>
      <extLst>
        <ext uri="{3e2802c4-a4d2-4d8b-9148-e3be6c30e623}">
          <xlrd:rvb i="14654"/>
        </ext>
      </extLst>
    </bk>
    <bk>
      <extLst>
        <ext uri="{3e2802c4-a4d2-4d8b-9148-e3be6c30e623}">
          <xlrd:rvb i="14655"/>
        </ext>
      </extLst>
    </bk>
    <bk>
      <extLst>
        <ext uri="{3e2802c4-a4d2-4d8b-9148-e3be6c30e623}">
          <xlrd:rvb i="14656"/>
        </ext>
      </extLst>
    </bk>
    <bk>
      <extLst>
        <ext uri="{3e2802c4-a4d2-4d8b-9148-e3be6c30e623}">
          <xlrd:rvb i="14657"/>
        </ext>
      </extLst>
    </bk>
    <bk>
      <extLst>
        <ext uri="{3e2802c4-a4d2-4d8b-9148-e3be6c30e623}">
          <xlrd:rvb i="14658"/>
        </ext>
      </extLst>
    </bk>
    <bk>
      <extLst>
        <ext uri="{3e2802c4-a4d2-4d8b-9148-e3be6c30e623}">
          <xlrd:rvb i="14659"/>
        </ext>
      </extLst>
    </bk>
    <bk>
      <extLst>
        <ext uri="{3e2802c4-a4d2-4d8b-9148-e3be6c30e623}">
          <xlrd:rvb i="14660"/>
        </ext>
      </extLst>
    </bk>
    <bk>
      <extLst>
        <ext uri="{3e2802c4-a4d2-4d8b-9148-e3be6c30e623}">
          <xlrd:rvb i="14661"/>
        </ext>
      </extLst>
    </bk>
    <bk>
      <extLst>
        <ext uri="{3e2802c4-a4d2-4d8b-9148-e3be6c30e623}">
          <xlrd:rvb i="14662"/>
        </ext>
      </extLst>
    </bk>
    <bk>
      <extLst>
        <ext uri="{3e2802c4-a4d2-4d8b-9148-e3be6c30e623}">
          <xlrd:rvb i="14663"/>
        </ext>
      </extLst>
    </bk>
    <bk>
      <extLst>
        <ext uri="{3e2802c4-a4d2-4d8b-9148-e3be6c30e623}">
          <xlrd:rvb i="14664"/>
        </ext>
      </extLst>
    </bk>
    <bk>
      <extLst>
        <ext uri="{3e2802c4-a4d2-4d8b-9148-e3be6c30e623}">
          <xlrd:rvb i="14665"/>
        </ext>
      </extLst>
    </bk>
    <bk>
      <extLst>
        <ext uri="{3e2802c4-a4d2-4d8b-9148-e3be6c30e623}">
          <xlrd:rvb i="14666"/>
        </ext>
      </extLst>
    </bk>
    <bk>
      <extLst>
        <ext uri="{3e2802c4-a4d2-4d8b-9148-e3be6c30e623}">
          <xlrd:rvb i="14667"/>
        </ext>
      </extLst>
    </bk>
    <bk>
      <extLst>
        <ext uri="{3e2802c4-a4d2-4d8b-9148-e3be6c30e623}">
          <xlrd:rvb i="14668"/>
        </ext>
      </extLst>
    </bk>
    <bk>
      <extLst>
        <ext uri="{3e2802c4-a4d2-4d8b-9148-e3be6c30e623}">
          <xlrd:rvb i="14669"/>
        </ext>
      </extLst>
    </bk>
    <bk>
      <extLst>
        <ext uri="{3e2802c4-a4d2-4d8b-9148-e3be6c30e623}">
          <xlrd:rvb i="14670"/>
        </ext>
      </extLst>
    </bk>
    <bk>
      <extLst>
        <ext uri="{3e2802c4-a4d2-4d8b-9148-e3be6c30e623}">
          <xlrd:rvb i="14671"/>
        </ext>
      </extLst>
    </bk>
    <bk>
      <extLst>
        <ext uri="{3e2802c4-a4d2-4d8b-9148-e3be6c30e623}">
          <xlrd:rvb i="14672"/>
        </ext>
      </extLst>
    </bk>
    <bk>
      <extLst>
        <ext uri="{3e2802c4-a4d2-4d8b-9148-e3be6c30e623}">
          <xlrd:rvb i="14673"/>
        </ext>
      </extLst>
    </bk>
    <bk>
      <extLst>
        <ext uri="{3e2802c4-a4d2-4d8b-9148-e3be6c30e623}">
          <xlrd:rvb i="14674"/>
        </ext>
      </extLst>
    </bk>
    <bk>
      <extLst>
        <ext uri="{3e2802c4-a4d2-4d8b-9148-e3be6c30e623}">
          <xlrd:rvb i="14675"/>
        </ext>
      </extLst>
    </bk>
    <bk>
      <extLst>
        <ext uri="{3e2802c4-a4d2-4d8b-9148-e3be6c30e623}">
          <xlrd:rvb i="14676"/>
        </ext>
      </extLst>
    </bk>
    <bk>
      <extLst>
        <ext uri="{3e2802c4-a4d2-4d8b-9148-e3be6c30e623}">
          <xlrd:rvb i="14677"/>
        </ext>
      </extLst>
    </bk>
    <bk>
      <extLst>
        <ext uri="{3e2802c4-a4d2-4d8b-9148-e3be6c30e623}">
          <xlrd:rvb i="14678"/>
        </ext>
      </extLst>
    </bk>
    <bk>
      <extLst>
        <ext uri="{3e2802c4-a4d2-4d8b-9148-e3be6c30e623}">
          <xlrd:rvb i="14679"/>
        </ext>
      </extLst>
    </bk>
    <bk>
      <extLst>
        <ext uri="{3e2802c4-a4d2-4d8b-9148-e3be6c30e623}">
          <xlrd:rvb i="14680"/>
        </ext>
      </extLst>
    </bk>
    <bk>
      <extLst>
        <ext uri="{3e2802c4-a4d2-4d8b-9148-e3be6c30e623}">
          <xlrd:rvb i="14681"/>
        </ext>
      </extLst>
    </bk>
    <bk>
      <extLst>
        <ext uri="{3e2802c4-a4d2-4d8b-9148-e3be6c30e623}">
          <xlrd:rvb i="14682"/>
        </ext>
      </extLst>
    </bk>
    <bk>
      <extLst>
        <ext uri="{3e2802c4-a4d2-4d8b-9148-e3be6c30e623}">
          <xlrd:rvb i="14683"/>
        </ext>
      </extLst>
    </bk>
    <bk>
      <extLst>
        <ext uri="{3e2802c4-a4d2-4d8b-9148-e3be6c30e623}">
          <xlrd:rvb i="14684"/>
        </ext>
      </extLst>
    </bk>
    <bk>
      <extLst>
        <ext uri="{3e2802c4-a4d2-4d8b-9148-e3be6c30e623}">
          <xlrd:rvb i="14685"/>
        </ext>
      </extLst>
    </bk>
    <bk>
      <extLst>
        <ext uri="{3e2802c4-a4d2-4d8b-9148-e3be6c30e623}">
          <xlrd:rvb i="14686"/>
        </ext>
      </extLst>
    </bk>
    <bk>
      <extLst>
        <ext uri="{3e2802c4-a4d2-4d8b-9148-e3be6c30e623}">
          <xlrd:rvb i="14687"/>
        </ext>
      </extLst>
    </bk>
    <bk>
      <extLst>
        <ext uri="{3e2802c4-a4d2-4d8b-9148-e3be6c30e623}">
          <xlrd:rvb i="14688"/>
        </ext>
      </extLst>
    </bk>
    <bk>
      <extLst>
        <ext uri="{3e2802c4-a4d2-4d8b-9148-e3be6c30e623}">
          <xlrd:rvb i="14689"/>
        </ext>
      </extLst>
    </bk>
    <bk>
      <extLst>
        <ext uri="{3e2802c4-a4d2-4d8b-9148-e3be6c30e623}">
          <xlrd:rvb i="14690"/>
        </ext>
      </extLst>
    </bk>
    <bk>
      <extLst>
        <ext uri="{3e2802c4-a4d2-4d8b-9148-e3be6c30e623}">
          <xlrd:rvb i="14691"/>
        </ext>
      </extLst>
    </bk>
    <bk>
      <extLst>
        <ext uri="{3e2802c4-a4d2-4d8b-9148-e3be6c30e623}">
          <xlrd:rvb i="14692"/>
        </ext>
      </extLst>
    </bk>
    <bk>
      <extLst>
        <ext uri="{3e2802c4-a4d2-4d8b-9148-e3be6c30e623}">
          <xlrd:rvb i="14693"/>
        </ext>
      </extLst>
    </bk>
    <bk>
      <extLst>
        <ext uri="{3e2802c4-a4d2-4d8b-9148-e3be6c30e623}">
          <xlrd:rvb i="14694"/>
        </ext>
      </extLst>
    </bk>
    <bk>
      <extLst>
        <ext uri="{3e2802c4-a4d2-4d8b-9148-e3be6c30e623}">
          <xlrd:rvb i="14695"/>
        </ext>
      </extLst>
    </bk>
    <bk>
      <extLst>
        <ext uri="{3e2802c4-a4d2-4d8b-9148-e3be6c30e623}">
          <xlrd:rvb i="14696"/>
        </ext>
      </extLst>
    </bk>
    <bk>
      <extLst>
        <ext uri="{3e2802c4-a4d2-4d8b-9148-e3be6c30e623}">
          <xlrd:rvb i="14697"/>
        </ext>
      </extLst>
    </bk>
    <bk>
      <extLst>
        <ext uri="{3e2802c4-a4d2-4d8b-9148-e3be6c30e623}">
          <xlrd:rvb i="14698"/>
        </ext>
      </extLst>
    </bk>
    <bk>
      <extLst>
        <ext uri="{3e2802c4-a4d2-4d8b-9148-e3be6c30e623}">
          <xlrd:rvb i="14699"/>
        </ext>
      </extLst>
    </bk>
    <bk>
      <extLst>
        <ext uri="{3e2802c4-a4d2-4d8b-9148-e3be6c30e623}">
          <xlrd:rvb i="14700"/>
        </ext>
      </extLst>
    </bk>
    <bk>
      <extLst>
        <ext uri="{3e2802c4-a4d2-4d8b-9148-e3be6c30e623}">
          <xlrd:rvb i="14701"/>
        </ext>
      </extLst>
    </bk>
    <bk>
      <extLst>
        <ext uri="{3e2802c4-a4d2-4d8b-9148-e3be6c30e623}">
          <xlrd:rvb i="14702"/>
        </ext>
      </extLst>
    </bk>
    <bk>
      <extLst>
        <ext uri="{3e2802c4-a4d2-4d8b-9148-e3be6c30e623}">
          <xlrd:rvb i="14703"/>
        </ext>
      </extLst>
    </bk>
    <bk>
      <extLst>
        <ext uri="{3e2802c4-a4d2-4d8b-9148-e3be6c30e623}">
          <xlrd:rvb i="14704"/>
        </ext>
      </extLst>
    </bk>
    <bk>
      <extLst>
        <ext uri="{3e2802c4-a4d2-4d8b-9148-e3be6c30e623}">
          <xlrd:rvb i="14705"/>
        </ext>
      </extLst>
    </bk>
    <bk>
      <extLst>
        <ext uri="{3e2802c4-a4d2-4d8b-9148-e3be6c30e623}">
          <xlrd:rvb i="14706"/>
        </ext>
      </extLst>
    </bk>
    <bk>
      <extLst>
        <ext uri="{3e2802c4-a4d2-4d8b-9148-e3be6c30e623}">
          <xlrd:rvb i="14707"/>
        </ext>
      </extLst>
    </bk>
    <bk>
      <extLst>
        <ext uri="{3e2802c4-a4d2-4d8b-9148-e3be6c30e623}">
          <xlrd:rvb i="14708"/>
        </ext>
      </extLst>
    </bk>
    <bk>
      <extLst>
        <ext uri="{3e2802c4-a4d2-4d8b-9148-e3be6c30e623}">
          <xlrd:rvb i="14709"/>
        </ext>
      </extLst>
    </bk>
    <bk>
      <extLst>
        <ext uri="{3e2802c4-a4d2-4d8b-9148-e3be6c30e623}">
          <xlrd:rvb i="14710"/>
        </ext>
      </extLst>
    </bk>
    <bk>
      <extLst>
        <ext uri="{3e2802c4-a4d2-4d8b-9148-e3be6c30e623}">
          <xlrd:rvb i="14711"/>
        </ext>
      </extLst>
    </bk>
    <bk>
      <extLst>
        <ext uri="{3e2802c4-a4d2-4d8b-9148-e3be6c30e623}">
          <xlrd:rvb i="14712"/>
        </ext>
      </extLst>
    </bk>
    <bk>
      <extLst>
        <ext uri="{3e2802c4-a4d2-4d8b-9148-e3be6c30e623}">
          <xlrd:rvb i="14713"/>
        </ext>
      </extLst>
    </bk>
    <bk>
      <extLst>
        <ext uri="{3e2802c4-a4d2-4d8b-9148-e3be6c30e623}">
          <xlrd:rvb i="14714"/>
        </ext>
      </extLst>
    </bk>
    <bk>
      <extLst>
        <ext uri="{3e2802c4-a4d2-4d8b-9148-e3be6c30e623}">
          <xlrd:rvb i="14715"/>
        </ext>
      </extLst>
    </bk>
    <bk>
      <extLst>
        <ext uri="{3e2802c4-a4d2-4d8b-9148-e3be6c30e623}">
          <xlrd:rvb i="14716"/>
        </ext>
      </extLst>
    </bk>
    <bk>
      <extLst>
        <ext uri="{3e2802c4-a4d2-4d8b-9148-e3be6c30e623}">
          <xlrd:rvb i="14717"/>
        </ext>
      </extLst>
    </bk>
    <bk>
      <extLst>
        <ext uri="{3e2802c4-a4d2-4d8b-9148-e3be6c30e623}">
          <xlrd:rvb i="14718"/>
        </ext>
      </extLst>
    </bk>
    <bk>
      <extLst>
        <ext uri="{3e2802c4-a4d2-4d8b-9148-e3be6c30e623}">
          <xlrd:rvb i="14719"/>
        </ext>
      </extLst>
    </bk>
    <bk>
      <extLst>
        <ext uri="{3e2802c4-a4d2-4d8b-9148-e3be6c30e623}">
          <xlrd:rvb i="14720"/>
        </ext>
      </extLst>
    </bk>
    <bk>
      <extLst>
        <ext uri="{3e2802c4-a4d2-4d8b-9148-e3be6c30e623}">
          <xlrd:rvb i="14721"/>
        </ext>
      </extLst>
    </bk>
    <bk>
      <extLst>
        <ext uri="{3e2802c4-a4d2-4d8b-9148-e3be6c30e623}">
          <xlrd:rvb i="14722"/>
        </ext>
      </extLst>
    </bk>
    <bk>
      <extLst>
        <ext uri="{3e2802c4-a4d2-4d8b-9148-e3be6c30e623}">
          <xlrd:rvb i="14723"/>
        </ext>
      </extLst>
    </bk>
    <bk>
      <extLst>
        <ext uri="{3e2802c4-a4d2-4d8b-9148-e3be6c30e623}">
          <xlrd:rvb i="14724"/>
        </ext>
      </extLst>
    </bk>
    <bk>
      <extLst>
        <ext uri="{3e2802c4-a4d2-4d8b-9148-e3be6c30e623}">
          <xlrd:rvb i="14725"/>
        </ext>
      </extLst>
    </bk>
    <bk>
      <extLst>
        <ext uri="{3e2802c4-a4d2-4d8b-9148-e3be6c30e623}">
          <xlrd:rvb i="14726"/>
        </ext>
      </extLst>
    </bk>
    <bk>
      <extLst>
        <ext uri="{3e2802c4-a4d2-4d8b-9148-e3be6c30e623}">
          <xlrd:rvb i="14727"/>
        </ext>
      </extLst>
    </bk>
    <bk>
      <extLst>
        <ext uri="{3e2802c4-a4d2-4d8b-9148-e3be6c30e623}">
          <xlrd:rvb i="14728"/>
        </ext>
      </extLst>
    </bk>
    <bk>
      <extLst>
        <ext uri="{3e2802c4-a4d2-4d8b-9148-e3be6c30e623}">
          <xlrd:rvb i="14729"/>
        </ext>
      </extLst>
    </bk>
    <bk>
      <extLst>
        <ext uri="{3e2802c4-a4d2-4d8b-9148-e3be6c30e623}">
          <xlrd:rvb i="14730"/>
        </ext>
      </extLst>
    </bk>
    <bk>
      <extLst>
        <ext uri="{3e2802c4-a4d2-4d8b-9148-e3be6c30e623}">
          <xlrd:rvb i="14731"/>
        </ext>
      </extLst>
    </bk>
    <bk>
      <extLst>
        <ext uri="{3e2802c4-a4d2-4d8b-9148-e3be6c30e623}">
          <xlrd:rvb i="14732"/>
        </ext>
      </extLst>
    </bk>
    <bk>
      <extLst>
        <ext uri="{3e2802c4-a4d2-4d8b-9148-e3be6c30e623}">
          <xlrd:rvb i="14733"/>
        </ext>
      </extLst>
    </bk>
    <bk>
      <extLst>
        <ext uri="{3e2802c4-a4d2-4d8b-9148-e3be6c30e623}">
          <xlrd:rvb i="14734"/>
        </ext>
      </extLst>
    </bk>
    <bk>
      <extLst>
        <ext uri="{3e2802c4-a4d2-4d8b-9148-e3be6c30e623}">
          <xlrd:rvb i="14735"/>
        </ext>
      </extLst>
    </bk>
    <bk>
      <extLst>
        <ext uri="{3e2802c4-a4d2-4d8b-9148-e3be6c30e623}">
          <xlrd:rvb i="14736"/>
        </ext>
      </extLst>
    </bk>
    <bk>
      <extLst>
        <ext uri="{3e2802c4-a4d2-4d8b-9148-e3be6c30e623}">
          <xlrd:rvb i="14737"/>
        </ext>
      </extLst>
    </bk>
    <bk>
      <extLst>
        <ext uri="{3e2802c4-a4d2-4d8b-9148-e3be6c30e623}">
          <xlrd:rvb i="14738"/>
        </ext>
      </extLst>
    </bk>
    <bk>
      <extLst>
        <ext uri="{3e2802c4-a4d2-4d8b-9148-e3be6c30e623}">
          <xlrd:rvb i="14739"/>
        </ext>
      </extLst>
    </bk>
    <bk>
      <extLst>
        <ext uri="{3e2802c4-a4d2-4d8b-9148-e3be6c30e623}">
          <xlrd:rvb i="14740"/>
        </ext>
      </extLst>
    </bk>
    <bk>
      <extLst>
        <ext uri="{3e2802c4-a4d2-4d8b-9148-e3be6c30e623}">
          <xlrd:rvb i="14741"/>
        </ext>
      </extLst>
    </bk>
    <bk>
      <extLst>
        <ext uri="{3e2802c4-a4d2-4d8b-9148-e3be6c30e623}">
          <xlrd:rvb i="14742"/>
        </ext>
      </extLst>
    </bk>
    <bk>
      <extLst>
        <ext uri="{3e2802c4-a4d2-4d8b-9148-e3be6c30e623}">
          <xlrd:rvb i="14743"/>
        </ext>
      </extLst>
    </bk>
    <bk>
      <extLst>
        <ext uri="{3e2802c4-a4d2-4d8b-9148-e3be6c30e623}">
          <xlrd:rvb i="14744"/>
        </ext>
      </extLst>
    </bk>
    <bk>
      <extLst>
        <ext uri="{3e2802c4-a4d2-4d8b-9148-e3be6c30e623}">
          <xlrd:rvb i="14745"/>
        </ext>
      </extLst>
    </bk>
    <bk>
      <extLst>
        <ext uri="{3e2802c4-a4d2-4d8b-9148-e3be6c30e623}">
          <xlrd:rvb i="14746"/>
        </ext>
      </extLst>
    </bk>
    <bk>
      <extLst>
        <ext uri="{3e2802c4-a4d2-4d8b-9148-e3be6c30e623}">
          <xlrd:rvb i="14747"/>
        </ext>
      </extLst>
    </bk>
    <bk>
      <extLst>
        <ext uri="{3e2802c4-a4d2-4d8b-9148-e3be6c30e623}">
          <xlrd:rvb i="14748"/>
        </ext>
      </extLst>
    </bk>
    <bk>
      <extLst>
        <ext uri="{3e2802c4-a4d2-4d8b-9148-e3be6c30e623}">
          <xlrd:rvb i="14749"/>
        </ext>
      </extLst>
    </bk>
    <bk>
      <extLst>
        <ext uri="{3e2802c4-a4d2-4d8b-9148-e3be6c30e623}">
          <xlrd:rvb i="14750"/>
        </ext>
      </extLst>
    </bk>
    <bk>
      <extLst>
        <ext uri="{3e2802c4-a4d2-4d8b-9148-e3be6c30e623}">
          <xlrd:rvb i="14751"/>
        </ext>
      </extLst>
    </bk>
    <bk>
      <extLst>
        <ext uri="{3e2802c4-a4d2-4d8b-9148-e3be6c30e623}">
          <xlrd:rvb i="14752"/>
        </ext>
      </extLst>
    </bk>
    <bk>
      <extLst>
        <ext uri="{3e2802c4-a4d2-4d8b-9148-e3be6c30e623}">
          <xlrd:rvb i="14753"/>
        </ext>
      </extLst>
    </bk>
    <bk>
      <extLst>
        <ext uri="{3e2802c4-a4d2-4d8b-9148-e3be6c30e623}">
          <xlrd:rvb i="14754"/>
        </ext>
      </extLst>
    </bk>
    <bk>
      <extLst>
        <ext uri="{3e2802c4-a4d2-4d8b-9148-e3be6c30e623}">
          <xlrd:rvb i="14755"/>
        </ext>
      </extLst>
    </bk>
    <bk>
      <extLst>
        <ext uri="{3e2802c4-a4d2-4d8b-9148-e3be6c30e623}">
          <xlrd:rvb i="14756"/>
        </ext>
      </extLst>
    </bk>
    <bk>
      <extLst>
        <ext uri="{3e2802c4-a4d2-4d8b-9148-e3be6c30e623}">
          <xlrd:rvb i="14757"/>
        </ext>
      </extLst>
    </bk>
    <bk>
      <extLst>
        <ext uri="{3e2802c4-a4d2-4d8b-9148-e3be6c30e623}">
          <xlrd:rvb i="14758"/>
        </ext>
      </extLst>
    </bk>
    <bk>
      <extLst>
        <ext uri="{3e2802c4-a4d2-4d8b-9148-e3be6c30e623}">
          <xlrd:rvb i="14759"/>
        </ext>
      </extLst>
    </bk>
    <bk>
      <extLst>
        <ext uri="{3e2802c4-a4d2-4d8b-9148-e3be6c30e623}">
          <xlrd:rvb i="14760"/>
        </ext>
      </extLst>
    </bk>
    <bk>
      <extLst>
        <ext uri="{3e2802c4-a4d2-4d8b-9148-e3be6c30e623}">
          <xlrd:rvb i="14761"/>
        </ext>
      </extLst>
    </bk>
    <bk>
      <extLst>
        <ext uri="{3e2802c4-a4d2-4d8b-9148-e3be6c30e623}">
          <xlrd:rvb i="14762"/>
        </ext>
      </extLst>
    </bk>
    <bk>
      <extLst>
        <ext uri="{3e2802c4-a4d2-4d8b-9148-e3be6c30e623}">
          <xlrd:rvb i="14763"/>
        </ext>
      </extLst>
    </bk>
    <bk>
      <extLst>
        <ext uri="{3e2802c4-a4d2-4d8b-9148-e3be6c30e623}">
          <xlrd:rvb i="14764"/>
        </ext>
      </extLst>
    </bk>
    <bk>
      <extLst>
        <ext uri="{3e2802c4-a4d2-4d8b-9148-e3be6c30e623}">
          <xlrd:rvb i="14765"/>
        </ext>
      </extLst>
    </bk>
    <bk>
      <extLst>
        <ext uri="{3e2802c4-a4d2-4d8b-9148-e3be6c30e623}">
          <xlrd:rvb i="14766"/>
        </ext>
      </extLst>
    </bk>
    <bk>
      <extLst>
        <ext uri="{3e2802c4-a4d2-4d8b-9148-e3be6c30e623}">
          <xlrd:rvb i="14767"/>
        </ext>
      </extLst>
    </bk>
    <bk>
      <extLst>
        <ext uri="{3e2802c4-a4d2-4d8b-9148-e3be6c30e623}">
          <xlrd:rvb i="14768"/>
        </ext>
      </extLst>
    </bk>
    <bk>
      <extLst>
        <ext uri="{3e2802c4-a4d2-4d8b-9148-e3be6c30e623}">
          <xlrd:rvb i="14769"/>
        </ext>
      </extLst>
    </bk>
    <bk>
      <extLst>
        <ext uri="{3e2802c4-a4d2-4d8b-9148-e3be6c30e623}">
          <xlrd:rvb i="14770"/>
        </ext>
      </extLst>
    </bk>
    <bk>
      <extLst>
        <ext uri="{3e2802c4-a4d2-4d8b-9148-e3be6c30e623}">
          <xlrd:rvb i="14771"/>
        </ext>
      </extLst>
    </bk>
    <bk>
      <extLst>
        <ext uri="{3e2802c4-a4d2-4d8b-9148-e3be6c30e623}">
          <xlrd:rvb i="14772"/>
        </ext>
      </extLst>
    </bk>
    <bk>
      <extLst>
        <ext uri="{3e2802c4-a4d2-4d8b-9148-e3be6c30e623}">
          <xlrd:rvb i="14773"/>
        </ext>
      </extLst>
    </bk>
    <bk>
      <extLst>
        <ext uri="{3e2802c4-a4d2-4d8b-9148-e3be6c30e623}">
          <xlrd:rvb i="14774"/>
        </ext>
      </extLst>
    </bk>
    <bk>
      <extLst>
        <ext uri="{3e2802c4-a4d2-4d8b-9148-e3be6c30e623}">
          <xlrd:rvb i="14775"/>
        </ext>
      </extLst>
    </bk>
    <bk>
      <extLst>
        <ext uri="{3e2802c4-a4d2-4d8b-9148-e3be6c30e623}">
          <xlrd:rvb i="14776"/>
        </ext>
      </extLst>
    </bk>
    <bk>
      <extLst>
        <ext uri="{3e2802c4-a4d2-4d8b-9148-e3be6c30e623}">
          <xlrd:rvb i="14777"/>
        </ext>
      </extLst>
    </bk>
    <bk>
      <extLst>
        <ext uri="{3e2802c4-a4d2-4d8b-9148-e3be6c30e623}">
          <xlrd:rvb i="14778"/>
        </ext>
      </extLst>
    </bk>
    <bk>
      <extLst>
        <ext uri="{3e2802c4-a4d2-4d8b-9148-e3be6c30e623}">
          <xlrd:rvb i="14779"/>
        </ext>
      </extLst>
    </bk>
    <bk>
      <extLst>
        <ext uri="{3e2802c4-a4d2-4d8b-9148-e3be6c30e623}">
          <xlrd:rvb i="14780"/>
        </ext>
      </extLst>
    </bk>
    <bk>
      <extLst>
        <ext uri="{3e2802c4-a4d2-4d8b-9148-e3be6c30e623}">
          <xlrd:rvb i="14781"/>
        </ext>
      </extLst>
    </bk>
    <bk>
      <extLst>
        <ext uri="{3e2802c4-a4d2-4d8b-9148-e3be6c30e623}">
          <xlrd:rvb i="14782"/>
        </ext>
      </extLst>
    </bk>
    <bk>
      <extLst>
        <ext uri="{3e2802c4-a4d2-4d8b-9148-e3be6c30e623}">
          <xlrd:rvb i="14783"/>
        </ext>
      </extLst>
    </bk>
    <bk>
      <extLst>
        <ext uri="{3e2802c4-a4d2-4d8b-9148-e3be6c30e623}">
          <xlrd:rvb i="14784"/>
        </ext>
      </extLst>
    </bk>
    <bk>
      <extLst>
        <ext uri="{3e2802c4-a4d2-4d8b-9148-e3be6c30e623}">
          <xlrd:rvb i="14785"/>
        </ext>
      </extLst>
    </bk>
    <bk>
      <extLst>
        <ext uri="{3e2802c4-a4d2-4d8b-9148-e3be6c30e623}">
          <xlrd:rvb i="14786"/>
        </ext>
      </extLst>
    </bk>
    <bk>
      <extLst>
        <ext uri="{3e2802c4-a4d2-4d8b-9148-e3be6c30e623}">
          <xlrd:rvb i="14787"/>
        </ext>
      </extLst>
    </bk>
    <bk>
      <extLst>
        <ext uri="{3e2802c4-a4d2-4d8b-9148-e3be6c30e623}">
          <xlrd:rvb i="14788"/>
        </ext>
      </extLst>
    </bk>
    <bk>
      <extLst>
        <ext uri="{3e2802c4-a4d2-4d8b-9148-e3be6c30e623}">
          <xlrd:rvb i="14789"/>
        </ext>
      </extLst>
    </bk>
    <bk>
      <extLst>
        <ext uri="{3e2802c4-a4d2-4d8b-9148-e3be6c30e623}">
          <xlrd:rvb i="14790"/>
        </ext>
      </extLst>
    </bk>
    <bk>
      <extLst>
        <ext uri="{3e2802c4-a4d2-4d8b-9148-e3be6c30e623}">
          <xlrd:rvb i="14791"/>
        </ext>
      </extLst>
    </bk>
    <bk>
      <extLst>
        <ext uri="{3e2802c4-a4d2-4d8b-9148-e3be6c30e623}">
          <xlrd:rvb i="14792"/>
        </ext>
      </extLst>
    </bk>
    <bk>
      <extLst>
        <ext uri="{3e2802c4-a4d2-4d8b-9148-e3be6c30e623}">
          <xlrd:rvb i="14793"/>
        </ext>
      </extLst>
    </bk>
    <bk>
      <extLst>
        <ext uri="{3e2802c4-a4d2-4d8b-9148-e3be6c30e623}">
          <xlrd:rvb i="14794"/>
        </ext>
      </extLst>
    </bk>
    <bk>
      <extLst>
        <ext uri="{3e2802c4-a4d2-4d8b-9148-e3be6c30e623}">
          <xlrd:rvb i="14795"/>
        </ext>
      </extLst>
    </bk>
    <bk>
      <extLst>
        <ext uri="{3e2802c4-a4d2-4d8b-9148-e3be6c30e623}">
          <xlrd:rvb i="14796"/>
        </ext>
      </extLst>
    </bk>
    <bk>
      <extLst>
        <ext uri="{3e2802c4-a4d2-4d8b-9148-e3be6c30e623}">
          <xlrd:rvb i="14797"/>
        </ext>
      </extLst>
    </bk>
    <bk>
      <extLst>
        <ext uri="{3e2802c4-a4d2-4d8b-9148-e3be6c30e623}">
          <xlrd:rvb i="14798"/>
        </ext>
      </extLst>
    </bk>
    <bk>
      <extLst>
        <ext uri="{3e2802c4-a4d2-4d8b-9148-e3be6c30e623}">
          <xlrd:rvb i="14799"/>
        </ext>
      </extLst>
    </bk>
    <bk>
      <extLst>
        <ext uri="{3e2802c4-a4d2-4d8b-9148-e3be6c30e623}">
          <xlrd:rvb i="14800"/>
        </ext>
      </extLst>
    </bk>
    <bk>
      <extLst>
        <ext uri="{3e2802c4-a4d2-4d8b-9148-e3be6c30e623}">
          <xlrd:rvb i="14801"/>
        </ext>
      </extLst>
    </bk>
    <bk>
      <extLst>
        <ext uri="{3e2802c4-a4d2-4d8b-9148-e3be6c30e623}">
          <xlrd:rvb i="14802"/>
        </ext>
      </extLst>
    </bk>
    <bk>
      <extLst>
        <ext uri="{3e2802c4-a4d2-4d8b-9148-e3be6c30e623}">
          <xlrd:rvb i="14803"/>
        </ext>
      </extLst>
    </bk>
    <bk>
      <extLst>
        <ext uri="{3e2802c4-a4d2-4d8b-9148-e3be6c30e623}">
          <xlrd:rvb i="14804"/>
        </ext>
      </extLst>
    </bk>
    <bk>
      <extLst>
        <ext uri="{3e2802c4-a4d2-4d8b-9148-e3be6c30e623}">
          <xlrd:rvb i="14805"/>
        </ext>
      </extLst>
    </bk>
    <bk>
      <extLst>
        <ext uri="{3e2802c4-a4d2-4d8b-9148-e3be6c30e623}">
          <xlrd:rvb i="14806"/>
        </ext>
      </extLst>
    </bk>
    <bk>
      <extLst>
        <ext uri="{3e2802c4-a4d2-4d8b-9148-e3be6c30e623}">
          <xlrd:rvb i="14807"/>
        </ext>
      </extLst>
    </bk>
    <bk>
      <extLst>
        <ext uri="{3e2802c4-a4d2-4d8b-9148-e3be6c30e623}">
          <xlrd:rvb i="14808"/>
        </ext>
      </extLst>
    </bk>
    <bk>
      <extLst>
        <ext uri="{3e2802c4-a4d2-4d8b-9148-e3be6c30e623}">
          <xlrd:rvb i="14809"/>
        </ext>
      </extLst>
    </bk>
    <bk>
      <extLst>
        <ext uri="{3e2802c4-a4d2-4d8b-9148-e3be6c30e623}">
          <xlrd:rvb i="14810"/>
        </ext>
      </extLst>
    </bk>
    <bk>
      <extLst>
        <ext uri="{3e2802c4-a4d2-4d8b-9148-e3be6c30e623}">
          <xlrd:rvb i="14811"/>
        </ext>
      </extLst>
    </bk>
    <bk>
      <extLst>
        <ext uri="{3e2802c4-a4d2-4d8b-9148-e3be6c30e623}">
          <xlrd:rvb i="14812"/>
        </ext>
      </extLst>
    </bk>
    <bk>
      <extLst>
        <ext uri="{3e2802c4-a4d2-4d8b-9148-e3be6c30e623}">
          <xlrd:rvb i="14813"/>
        </ext>
      </extLst>
    </bk>
    <bk>
      <extLst>
        <ext uri="{3e2802c4-a4d2-4d8b-9148-e3be6c30e623}">
          <xlrd:rvb i="14814"/>
        </ext>
      </extLst>
    </bk>
    <bk>
      <extLst>
        <ext uri="{3e2802c4-a4d2-4d8b-9148-e3be6c30e623}">
          <xlrd:rvb i="14815"/>
        </ext>
      </extLst>
    </bk>
    <bk>
      <extLst>
        <ext uri="{3e2802c4-a4d2-4d8b-9148-e3be6c30e623}">
          <xlrd:rvb i="14816"/>
        </ext>
      </extLst>
    </bk>
    <bk>
      <extLst>
        <ext uri="{3e2802c4-a4d2-4d8b-9148-e3be6c30e623}">
          <xlrd:rvb i="14817"/>
        </ext>
      </extLst>
    </bk>
    <bk>
      <extLst>
        <ext uri="{3e2802c4-a4d2-4d8b-9148-e3be6c30e623}">
          <xlrd:rvb i="14818"/>
        </ext>
      </extLst>
    </bk>
    <bk>
      <extLst>
        <ext uri="{3e2802c4-a4d2-4d8b-9148-e3be6c30e623}">
          <xlrd:rvb i="14819"/>
        </ext>
      </extLst>
    </bk>
    <bk>
      <extLst>
        <ext uri="{3e2802c4-a4d2-4d8b-9148-e3be6c30e623}">
          <xlrd:rvb i="14820"/>
        </ext>
      </extLst>
    </bk>
    <bk>
      <extLst>
        <ext uri="{3e2802c4-a4d2-4d8b-9148-e3be6c30e623}">
          <xlrd:rvb i="14821"/>
        </ext>
      </extLst>
    </bk>
    <bk>
      <extLst>
        <ext uri="{3e2802c4-a4d2-4d8b-9148-e3be6c30e623}">
          <xlrd:rvb i="14822"/>
        </ext>
      </extLst>
    </bk>
    <bk>
      <extLst>
        <ext uri="{3e2802c4-a4d2-4d8b-9148-e3be6c30e623}">
          <xlrd:rvb i="14823"/>
        </ext>
      </extLst>
    </bk>
    <bk>
      <extLst>
        <ext uri="{3e2802c4-a4d2-4d8b-9148-e3be6c30e623}">
          <xlrd:rvb i="14824"/>
        </ext>
      </extLst>
    </bk>
    <bk>
      <extLst>
        <ext uri="{3e2802c4-a4d2-4d8b-9148-e3be6c30e623}">
          <xlrd:rvb i="14825"/>
        </ext>
      </extLst>
    </bk>
    <bk>
      <extLst>
        <ext uri="{3e2802c4-a4d2-4d8b-9148-e3be6c30e623}">
          <xlrd:rvb i="14826"/>
        </ext>
      </extLst>
    </bk>
    <bk>
      <extLst>
        <ext uri="{3e2802c4-a4d2-4d8b-9148-e3be6c30e623}">
          <xlrd:rvb i="14827"/>
        </ext>
      </extLst>
    </bk>
    <bk>
      <extLst>
        <ext uri="{3e2802c4-a4d2-4d8b-9148-e3be6c30e623}">
          <xlrd:rvb i="14828"/>
        </ext>
      </extLst>
    </bk>
    <bk>
      <extLst>
        <ext uri="{3e2802c4-a4d2-4d8b-9148-e3be6c30e623}">
          <xlrd:rvb i="14829"/>
        </ext>
      </extLst>
    </bk>
    <bk>
      <extLst>
        <ext uri="{3e2802c4-a4d2-4d8b-9148-e3be6c30e623}">
          <xlrd:rvb i="14830"/>
        </ext>
      </extLst>
    </bk>
    <bk>
      <extLst>
        <ext uri="{3e2802c4-a4d2-4d8b-9148-e3be6c30e623}">
          <xlrd:rvb i="14831"/>
        </ext>
      </extLst>
    </bk>
    <bk>
      <extLst>
        <ext uri="{3e2802c4-a4d2-4d8b-9148-e3be6c30e623}">
          <xlrd:rvb i="14832"/>
        </ext>
      </extLst>
    </bk>
    <bk>
      <extLst>
        <ext uri="{3e2802c4-a4d2-4d8b-9148-e3be6c30e623}">
          <xlrd:rvb i="14833"/>
        </ext>
      </extLst>
    </bk>
    <bk>
      <extLst>
        <ext uri="{3e2802c4-a4d2-4d8b-9148-e3be6c30e623}">
          <xlrd:rvb i="14834"/>
        </ext>
      </extLst>
    </bk>
    <bk>
      <extLst>
        <ext uri="{3e2802c4-a4d2-4d8b-9148-e3be6c30e623}">
          <xlrd:rvb i="14835"/>
        </ext>
      </extLst>
    </bk>
    <bk>
      <extLst>
        <ext uri="{3e2802c4-a4d2-4d8b-9148-e3be6c30e623}">
          <xlrd:rvb i="14836"/>
        </ext>
      </extLst>
    </bk>
    <bk>
      <extLst>
        <ext uri="{3e2802c4-a4d2-4d8b-9148-e3be6c30e623}">
          <xlrd:rvb i="14837"/>
        </ext>
      </extLst>
    </bk>
    <bk>
      <extLst>
        <ext uri="{3e2802c4-a4d2-4d8b-9148-e3be6c30e623}">
          <xlrd:rvb i="14838"/>
        </ext>
      </extLst>
    </bk>
    <bk>
      <extLst>
        <ext uri="{3e2802c4-a4d2-4d8b-9148-e3be6c30e623}">
          <xlrd:rvb i="14839"/>
        </ext>
      </extLst>
    </bk>
    <bk>
      <extLst>
        <ext uri="{3e2802c4-a4d2-4d8b-9148-e3be6c30e623}">
          <xlrd:rvb i="14840"/>
        </ext>
      </extLst>
    </bk>
    <bk>
      <extLst>
        <ext uri="{3e2802c4-a4d2-4d8b-9148-e3be6c30e623}">
          <xlrd:rvb i="14841"/>
        </ext>
      </extLst>
    </bk>
    <bk>
      <extLst>
        <ext uri="{3e2802c4-a4d2-4d8b-9148-e3be6c30e623}">
          <xlrd:rvb i="14842"/>
        </ext>
      </extLst>
    </bk>
    <bk>
      <extLst>
        <ext uri="{3e2802c4-a4d2-4d8b-9148-e3be6c30e623}">
          <xlrd:rvb i="14843"/>
        </ext>
      </extLst>
    </bk>
    <bk>
      <extLst>
        <ext uri="{3e2802c4-a4d2-4d8b-9148-e3be6c30e623}">
          <xlrd:rvb i="14844"/>
        </ext>
      </extLst>
    </bk>
    <bk>
      <extLst>
        <ext uri="{3e2802c4-a4d2-4d8b-9148-e3be6c30e623}">
          <xlrd:rvb i="14845"/>
        </ext>
      </extLst>
    </bk>
    <bk>
      <extLst>
        <ext uri="{3e2802c4-a4d2-4d8b-9148-e3be6c30e623}">
          <xlrd:rvb i="14846"/>
        </ext>
      </extLst>
    </bk>
    <bk>
      <extLst>
        <ext uri="{3e2802c4-a4d2-4d8b-9148-e3be6c30e623}">
          <xlrd:rvb i="14847"/>
        </ext>
      </extLst>
    </bk>
    <bk>
      <extLst>
        <ext uri="{3e2802c4-a4d2-4d8b-9148-e3be6c30e623}">
          <xlrd:rvb i="14848"/>
        </ext>
      </extLst>
    </bk>
    <bk>
      <extLst>
        <ext uri="{3e2802c4-a4d2-4d8b-9148-e3be6c30e623}">
          <xlrd:rvb i="14849"/>
        </ext>
      </extLst>
    </bk>
    <bk>
      <extLst>
        <ext uri="{3e2802c4-a4d2-4d8b-9148-e3be6c30e623}">
          <xlrd:rvb i="14850"/>
        </ext>
      </extLst>
    </bk>
    <bk>
      <extLst>
        <ext uri="{3e2802c4-a4d2-4d8b-9148-e3be6c30e623}">
          <xlrd:rvb i="14851"/>
        </ext>
      </extLst>
    </bk>
    <bk>
      <extLst>
        <ext uri="{3e2802c4-a4d2-4d8b-9148-e3be6c30e623}">
          <xlrd:rvb i="14852"/>
        </ext>
      </extLst>
    </bk>
    <bk>
      <extLst>
        <ext uri="{3e2802c4-a4d2-4d8b-9148-e3be6c30e623}">
          <xlrd:rvb i="14853"/>
        </ext>
      </extLst>
    </bk>
    <bk>
      <extLst>
        <ext uri="{3e2802c4-a4d2-4d8b-9148-e3be6c30e623}">
          <xlrd:rvb i="14854"/>
        </ext>
      </extLst>
    </bk>
    <bk>
      <extLst>
        <ext uri="{3e2802c4-a4d2-4d8b-9148-e3be6c30e623}">
          <xlrd:rvb i="14855"/>
        </ext>
      </extLst>
    </bk>
    <bk>
      <extLst>
        <ext uri="{3e2802c4-a4d2-4d8b-9148-e3be6c30e623}">
          <xlrd:rvb i="14856"/>
        </ext>
      </extLst>
    </bk>
    <bk>
      <extLst>
        <ext uri="{3e2802c4-a4d2-4d8b-9148-e3be6c30e623}">
          <xlrd:rvb i="14857"/>
        </ext>
      </extLst>
    </bk>
    <bk>
      <extLst>
        <ext uri="{3e2802c4-a4d2-4d8b-9148-e3be6c30e623}">
          <xlrd:rvb i="14858"/>
        </ext>
      </extLst>
    </bk>
    <bk>
      <extLst>
        <ext uri="{3e2802c4-a4d2-4d8b-9148-e3be6c30e623}">
          <xlrd:rvb i="14859"/>
        </ext>
      </extLst>
    </bk>
    <bk>
      <extLst>
        <ext uri="{3e2802c4-a4d2-4d8b-9148-e3be6c30e623}">
          <xlrd:rvb i="14860"/>
        </ext>
      </extLst>
    </bk>
    <bk>
      <extLst>
        <ext uri="{3e2802c4-a4d2-4d8b-9148-e3be6c30e623}">
          <xlrd:rvb i="14861"/>
        </ext>
      </extLst>
    </bk>
    <bk>
      <extLst>
        <ext uri="{3e2802c4-a4d2-4d8b-9148-e3be6c30e623}">
          <xlrd:rvb i="14862"/>
        </ext>
      </extLst>
    </bk>
    <bk>
      <extLst>
        <ext uri="{3e2802c4-a4d2-4d8b-9148-e3be6c30e623}">
          <xlrd:rvb i="14863"/>
        </ext>
      </extLst>
    </bk>
    <bk>
      <extLst>
        <ext uri="{3e2802c4-a4d2-4d8b-9148-e3be6c30e623}">
          <xlrd:rvb i="14864"/>
        </ext>
      </extLst>
    </bk>
    <bk>
      <extLst>
        <ext uri="{3e2802c4-a4d2-4d8b-9148-e3be6c30e623}">
          <xlrd:rvb i="14865"/>
        </ext>
      </extLst>
    </bk>
    <bk>
      <extLst>
        <ext uri="{3e2802c4-a4d2-4d8b-9148-e3be6c30e623}">
          <xlrd:rvb i="14866"/>
        </ext>
      </extLst>
    </bk>
    <bk>
      <extLst>
        <ext uri="{3e2802c4-a4d2-4d8b-9148-e3be6c30e623}">
          <xlrd:rvb i="14867"/>
        </ext>
      </extLst>
    </bk>
    <bk>
      <extLst>
        <ext uri="{3e2802c4-a4d2-4d8b-9148-e3be6c30e623}">
          <xlrd:rvb i="14868"/>
        </ext>
      </extLst>
    </bk>
    <bk>
      <extLst>
        <ext uri="{3e2802c4-a4d2-4d8b-9148-e3be6c30e623}">
          <xlrd:rvb i="14869"/>
        </ext>
      </extLst>
    </bk>
    <bk>
      <extLst>
        <ext uri="{3e2802c4-a4d2-4d8b-9148-e3be6c30e623}">
          <xlrd:rvb i="14870"/>
        </ext>
      </extLst>
    </bk>
    <bk>
      <extLst>
        <ext uri="{3e2802c4-a4d2-4d8b-9148-e3be6c30e623}">
          <xlrd:rvb i="14871"/>
        </ext>
      </extLst>
    </bk>
    <bk>
      <extLst>
        <ext uri="{3e2802c4-a4d2-4d8b-9148-e3be6c30e623}">
          <xlrd:rvb i="14872"/>
        </ext>
      </extLst>
    </bk>
    <bk>
      <extLst>
        <ext uri="{3e2802c4-a4d2-4d8b-9148-e3be6c30e623}">
          <xlrd:rvb i="14873"/>
        </ext>
      </extLst>
    </bk>
    <bk>
      <extLst>
        <ext uri="{3e2802c4-a4d2-4d8b-9148-e3be6c30e623}">
          <xlrd:rvb i="14874"/>
        </ext>
      </extLst>
    </bk>
    <bk>
      <extLst>
        <ext uri="{3e2802c4-a4d2-4d8b-9148-e3be6c30e623}">
          <xlrd:rvb i="14875"/>
        </ext>
      </extLst>
    </bk>
    <bk>
      <extLst>
        <ext uri="{3e2802c4-a4d2-4d8b-9148-e3be6c30e623}">
          <xlrd:rvb i="14876"/>
        </ext>
      </extLst>
    </bk>
    <bk>
      <extLst>
        <ext uri="{3e2802c4-a4d2-4d8b-9148-e3be6c30e623}">
          <xlrd:rvb i="14877"/>
        </ext>
      </extLst>
    </bk>
    <bk>
      <extLst>
        <ext uri="{3e2802c4-a4d2-4d8b-9148-e3be6c30e623}">
          <xlrd:rvb i="14878"/>
        </ext>
      </extLst>
    </bk>
    <bk>
      <extLst>
        <ext uri="{3e2802c4-a4d2-4d8b-9148-e3be6c30e623}">
          <xlrd:rvb i="14879"/>
        </ext>
      </extLst>
    </bk>
    <bk>
      <extLst>
        <ext uri="{3e2802c4-a4d2-4d8b-9148-e3be6c30e623}">
          <xlrd:rvb i="14880"/>
        </ext>
      </extLst>
    </bk>
    <bk>
      <extLst>
        <ext uri="{3e2802c4-a4d2-4d8b-9148-e3be6c30e623}">
          <xlrd:rvb i="14881"/>
        </ext>
      </extLst>
    </bk>
    <bk>
      <extLst>
        <ext uri="{3e2802c4-a4d2-4d8b-9148-e3be6c30e623}">
          <xlrd:rvb i="14882"/>
        </ext>
      </extLst>
    </bk>
    <bk>
      <extLst>
        <ext uri="{3e2802c4-a4d2-4d8b-9148-e3be6c30e623}">
          <xlrd:rvb i="14883"/>
        </ext>
      </extLst>
    </bk>
    <bk>
      <extLst>
        <ext uri="{3e2802c4-a4d2-4d8b-9148-e3be6c30e623}">
          <xlrd:rvb i="14884"/>
        </ext>
      </extLst>
    </bk>
    <bk>
      <extLst>
        <ext uri="{3e2802c4-a4d2-4d8b-9148-e3be6c30e623}">
          <xlrd:rvb i="14885"/>
        </ext>
      </extLst>
    </bk>
    <bk>
      <extLst>
        <ext uri="{3e2802c4-a4d2-4d8b-9148-e3be6c30e623}">
          <xlrd:rvb i="14886"/>
        </ext>
      </extLst>
    </bk>
    <bk>
      <extLst>
        <ext uri="{3e2802c4-a4d2-4d8b-9148-e3be6c30e623}">
          <xlrd:rvb i="14887"/>
        </ext>
      </extLst>
    </bk>
    <bk>
      <extLst>
        <ext uri="{3e2802c4-a4d2-4d8b-9148-e3be6c30e623}">
          <xlrd:rvb i="14888"/>
        </ext>
      </extLst>
    </bk>
    <bk>
      <extLst>
        <ext uri="{3e2802c4-a4d2-4d8b-9148-e3be6c30e623}">
          <xlrd:rvb i="14889"/>
        </ext>
      </extLst>
    </bk>
    <bk>
      <extLst>
        <ext uri="{3e2802c4-a4d2-4d8b-9148-e3be6c30e623}">
          <xlrd:rvb i="14890"/>
        </ext>
      </extLst>
    </bk>
    <bk>
      <extLst>
        <ext uri="{3e2802c4-a4d2-4d8b-9148-e3be6c30e623}">
          <xlrd:rvb i="14891"/>
        </ext>
      </extLst>
    </bk>
    <bk>
      <extLst>
        <ext uri="{3e2802c4-a4d2-4d8b-9148-e3be6c30e623}">
          <xlrd:rvb i="14892"/>
        </ext>
      </extLst>
    </bk>
    <bk>
      <extLst>
        <ext uri="{3e2802c4-a4d2-4d8b-9148-e3be6c30e623}">
          <xlrd:rvb i="14893"/>
        </ext>
      </extLst>
    </bk>
    <bk>
      <extLst>
        <ext uri="{3e2802c4-a4d2-4d8b-9148-e3be6c30e623}">
          <xlrd:rvb i="14894"/>
        </ext>
      </extLst>
    </bk>
    <bk>
      <extLst>
        <ext uri="{3e2802c4-a4d2-4d8b-9148-e3be6c30e623}">
          <xlrd:rvb i="14895"/>
        </ext>
      </extLst>
    </bk>
    <bk>
      <extLst>
        <ext uri="{3e2802c4-a4d2-4d8b-9148-e3be6c30e623}">
          <xlrd:rvb i="14896"/>
        </ext>
      </extLst>
    </bk>
    <bk>
      <extLst>
        <ext uri="{3e2802c4-a4d2-4d8b-9148-e3be6c30e623}">
          <xlrd:rvb i="14897"/>
        </ext>
      </extLst>
    </bk>
    <bk>
      <extLst>
        <ext uri="{3e2802c4-a4d2-4d8b-9148-e3be6c30e623}">
          <xlrd:rvb i="14898"/>
        </ext>
      </extLst>
    </bk>
    <bk>
      <extLst>
        <ext uri="{3e2802c4-a4d2-4d8b-9148-e3be6c30e623}">
          <xlrd:rvb i="14899"/>
        </ext>
      </extLst>
    </bk>
    <bk>
      <extLst>
        <ext uri="{3e2802c4-a4d2-4d8b-9148-e3be6c30e623}">
          <xlrd:rvb i="14900"/>
        </ext>
      </extLst>
    </bk>
    <bk>
      <extLst>
        <ext uri="{3e2802c4-a4d2-4d8b-9148-e3be6c30e623}">
          <xlrd:rvb i="14901"/>
        </ext>
      </extLst>
    </bk>
    <bk>
      <extLst>
        <ext uri="{3e2802c4-a4d2-4d8b-9148-e3be6c30e623}">
          <xlrd:rvb i="14902"/>
        </ext>
      </extLst>
    </bk>
    <bk>
      <extLst>
        <ext uri="{3e2802c4-a4d2-4d8b-9148-e3be6c30e623}">
          <xlrd:rvb i="14903"/>
        </ext>
      </extLst>
    </bk>
    <bk>
      <extLst>
        <ext uri="{3e2802c4-a4d2-4d8b-9148-e3be6c30e623}">
          <xlrd:rvb i="14904"/>
        </ext>
      </extLst>
    </bk>
    <bk>
      <extLst>
        <ext uri="{3e2802c4-a4d2-4d8b-9148-e3be6c30e623}">
          <xlrd:rvb i="14905"/>
        </ext>
      </extLst>
    </bk>
    <bk>
      <extLst>
        <ext uri="{3e2802c4-a4d2-4d8b-9148-e3be6c30e623}">
          <xlrd:rvb i="14906"/>
        </ext>
      </extLst>
    </bk>
    <bk>
      <extLst>
        <ext uri="{3e2802c4-a4d2-4d8b-9148-e3be6c30e623}">
          <xlrd:rvb i="14907"/>
        </ext>
      </extLst>
    </bk>
    <bk>
      <extLst>
        <ext uri="{3e2802c4-a4d2-4d8b-9148-e3be6c30e623}">
          <xlrd:rvb i="14908"/>
        </ext>
      </extLst>
    </bk>
    <bk>
      <extLst>
        <ext uri="{3e2802c4-a4d2-4d8b-9148-e3be6c30e623}">
          <xlrd:rvb i="14909"/>
        </ext>
      </extLst>
    </bk>
    <bk>
      <extLst>
        <ext uri="{3e2802c4-a4d2-4d8b-9148-e3be6c30e623}">
          <xlrd:rvb i="14910"/>
        </ext>
      </extLst>
    </bk>
    <bk>
      <extLst>
        <ext uri="{3e2802c4-a4d2-4d8b-9148-e3be6c30e623}">
          <xlrd:rvb i="14911"/>
        </ext>
      </extLst>
    </bk>
    <bk>
      <extLst>
        <ext uri="{3e2802c4-a4d2-4d8b-9148-e3be6c30e623}">
          <xlrd:rvb i="14912"/>
        </ext>
      </extLst>
    </bk>
    <bk>
      <extLst>
        <ext uri="{3e2802c4-a4d2-4d8b-9148-e3be6c30e623}">
          <xlrd:rvb i="14913"/>
        </ext>
      </extLst>
    </bk>
    <bk>
      <extLst>
        <ext uri="{3e2802c4-a4d2-4d8b-9148-e3be6c30e623}">
          <xlrd:rvb i="14914"/>
        </ext>
      </extLst>
    </bk>
    <bk>
      <extLst>
        <ext uri="{3e2802c4-a4d2-4d8b-9148-e3be6c30e623}">
          <xlrd:rvb i="14915"/>
        </ext>
      </extLst>
    </bk>
    <bk>
      <extLst>
        <ext uri="{3e2802c4-a4d2-4d8b-9148-e3be6c30e623}">
          <xlrd:rvb i="14916"/>
        </ext>
      </extLst>
    </bk>
    <bk>
      <extLst>
        <ext uri="{3e2802c4-a4d2-4d8b-9148-e3be6c30e623}">
          <xlrd:rvb i="14917"/>
        </ext>
      </extLst>
    </bk>
    <bk>
      <extLst>
        <ext uri="{3e2802c4-a4d2-4d8b-9148-e3be6c30e623}">
          <xlrd:rvb i="14918"/>
        </ext>
      </extLst>
    </bk>
    <bk>
      <extLst>
        <ext uri="{3e2802c4-a4d2-4d8b-9148-e3be6c30e623}">
          <xlrd:rvb i="14919"/>
        </ext>
      </extLst>
    </bk>
    <bk>
      <extLst>
        <ext uri="{3e2802c4-a4d2-4d8b-9148-e3be6c30e623}">
          <xlrd:rvb i="14920"/>
        </ext>
      </extLst>
    </bk>
    <bk>
      <extLst>
        <ext uri="{3e2802c4-a4d2-4d8b-9148-e3be6c30e623}">
          <xlrd:rvb i="14921"/>
        </ext>
      </extLst>
    </bk>
    <bk>
      <extLst>
        <ext uri="{3e2802c4-a4d2-4d8b-9148-e3be6c30e623}">
          <xlrd:rvb i="14922"/>
        </ext>
      </extLst>
    </bk>
    <bk>
      <extLst>
        <ext uri="{3e2802c4-a4d2-4d8b-9148-e3be6c30e623}">
          <xlrd:rvb i="14923"/>
        </ext>
      </extLst>
    </bk>
    <bk>
      <extLst>
        <ext uri="{3e2802c4-a4d2-4d8b-9148-e3be6c30e623}">
          <xlrd:rvb i="14924"/>
        </ext>
      </extLst>
    </bk>
    <bk>
      <extLst>
        <ext uri="{3e2802c4-a4d2-4d8b-9148-e3be6c30e623}">
          <xlrd:rvb i="14925"/>
        </ext>
      </extLst>
    </bk>
    <bk>
      <extLst>
        <ext uri="{3e2802c4-a4d2-4d8b-9148-e3be6c30e623}">
          <xlrd:rvb i="14926"/>
        </ext>
      </extLst>
    </bk>
    <bk>
      <extLst>
        <ext uri="{3e2802c4-a4d2-4d8b-9148-e3be6c30e623}">
          <xlrd:rvb i="14927"/>
        </ext>
      </extLst>
    </bk>
    <bk>
      <extLst>
        <ext uri="{3e2802c4-a4d2-4d8b-9148-e3be6c30e623}">
          <xlrd:rvb i="14928"/>
        </ext>
      </extLst>
    </bk>
    <bk>
      <extLst>
        <ext uri="{3e2802c4-a4d2-4d8b-9148-e3be6c30e623}">
          <xlrd:rvb i="14929"/>
        </ext>
      </extLst>
    </bk>
    <bk>
      <extLst>
        <ext uri="{3e2802c4-a4d2-4d8b-9148-e3be6c30e623}">
          <xlrd:rvb i="14930"/>
        </ext>
      </extLst>
    </bk>
    <bk>
      <extLst>
        <ext uri="{3e2802c4-a4d2-4d8b-9148-e3be6c30e623}">
          <xlrd:rvb i="14931"/>
        </ext>
      </extLst>
    </bk>
    <bk>
      <extLst>
        <ext uri="{3e2802c4-a4d2-4d8b-9148-e3be6c30e623}">
          <xlrd:rvb i="14932"/>
        </ext>
      </extLst>
    </bk>
    <bk>
      <extLst>
        <ext uri="{3e2802c4-a4d2-4d8b-9148-e3be6c30e623}">
          <xlrd:rvb i="14933"/>
        </ext>
      </extLst>
    </bk>
    <bk>
      <extLst>
        <ext uri="{3e2802c4-a4d2-4d8b-9148-e3be6c30e623}">
          <xlrd:rvb i="14934"/>
        </ext>
      </extLst>
    </bk>
    <bk>
      <extLst>
        <ext uri="{3e2802c4-a4d2-4d8b-9148-e3be6c30e623}">
          <xlrd:rvb i="14935"/>
        </ext>
      </extLst>
    </bk>
    <bk>
      <extLst>
        <ext uri="{3e2802c4-a4d2-4d8b-9148-e3be6c30e623}">
          <xlrd:rvb i="14936"/>
        </ext>
      </extLst>
    </bk>
    <bk>
      <extLst>
        <ext uri="{3e2802c4-a4d2-4d8b-9148-e3be6c30e623}">
          <xlrd:rvb i="14937"/>
        </ext>
      </extLst>
    </bk>
    <bk>
      <extLst>
        <ext uri="{3e2802c4-a4d2-4d8b-9148-e3be6c30e623}">
          <xlrd:rvb i="14938"/>
        </ext>
      </extLst>
    </bk>
    <bk>
      <extLst>
        <ext uri="{3e2802c4-a4d2-4d8b-9148-e3be6c30e623}">
          <xlrd:rvb i="14939"/>
        </ext>
      </extLst>
    </bk>
    <bk>
      <extLst>
        <ext uri="{3e2802c4-a4d2-4d8b-9148-e3be6c30e623}">
          <xlrd:rvb i="14940"/>
        </ext>
      </extLst>
    </bk>
    <bk>
      <extLst>
        <ext uri="{3e2802c4-a4d2-4d8b-9148-e3be6c30e623}">
          <xlrd:rvb i="14941"/>
        </ext>
      </extLst>
    </bk>
    <bk>
      <extLst>
        <ext uri="{3e2802c4-a4d2-4d8b-9148-e3be6c30e623}">
          <xlrd:rvb i="14942"/>
        </ext>
      </extLst>
    </bk>
    <bk>
      <extLst>
        <ext uri="{3e2802c4-a4d2-4d8b-9148-e3be6c30e623}">
          <xlrd:rvb i="14943"/>
        </ext>
      </extLst>
    </bk>
    <bk>
      <extLst>
        <ext uri="{3e2802c4-a4d2-4d8b-9148-e3be6c30e623}">
          <xlrd:rvb i="14944"/>
        </ext>
      </extLst>
    </bk>
    <bk>
      <extLst>
        <ext uri="{3e2802c4-a4d2-4d8b-9148-e3be6c30e623}">
          <xlrd:rvb i="14945"/>
        </ext>
      </extLst>
    </bk>
    <bk>
      <extLst>
        <ext uri="{3e2802c4-a4d2-4d8b-9148-e3be6c30e623}">
          <xlrd:rvb i="14946"/>
        </ext>
      </extLst>
    </bk>
    <bk>
      <extLst>
        <ext uri="{3e2802c4-a4d2-4d8b-9148-e3be6c30e623}">
          <xlrd:rvb i="14947"/>
        </ext>
      </extLst>
    </bk>
    <bk>
      <extLst>
        <ext uri="{3e2802c4-a4d2-4d8b-9148-e3be6c30e623}">
          <xlrd:rvb i="14948"/>
        </ext>
      </extLst>
    </bk>
    <bk>
      <extLst>
        <ext uri="{3e2802c4-a4d2-4d8b-9148-e3be6c30e623}">
          <xlrd:rvb i="14949"/>
        </ext>
      </extLst>
    </bk>
    <bk>
      <extLst>
        <ext uri="{3e2802c4-a4d2-4d8b-9148-e3be6c30e623}">
          <xlrd:rvb i="14950"/>
        </ext>
      </extLst>
    </bk>
    <bk>
      <extLst>
        <ext uri="{3e2802c4-a4d2-4d8b-9148-e3be6c30e623}">
          <xlrd:rvb i="14951"/>
        </ext>
      </extLst>
    </bk>
    <bk>
      <extLst>
        <ext uri="{3e2802c4-a4d2-4d8b-9148-e3be6c30e623}">
          <xlrd:rvb i="14952"/>
        </ext>
      </extLst>
    </bk>
    <bk>
      <extLst>
        <ext uri="{3e2802c4-a4d2-4d8b-9148-e3be6c30e623}">
          <xlrd:rvb i="14953"/>
        </ext>
      </extLst>
    </bk>
    <bk>
      <extLst>
        <ext uri="{3e2802c4-a4d2-4d8b-9148-e3be6c30e623}">
          <xlrd:rvb i="14954"/>
        </ext>
      </extLst>
    </bk>
    <bk>
      <extLst>
        <ext uri="{3e2802c4-a4d2-4d8b-9148-e3be6c30e623}">
          <xlrd:rvb i="14955"/>
        </ext>
      </extLst>
    </bk>
    <bk>
      <extLst>
        <ext uri="{3e2802c4-a4d2-4d8b-9148-e3be6c30e623}">
          <xlrd:rvb i="14956"/>
        </ext>
      </extLst>
    </bk>
    <bk>
      <extLst>
        <ext uri="{3e2802c4-a4d2-4d8b-9148-e3be6c30e623}">
          <xlrd:rvb i="14957"/>
        </ext>
      </extLst>
    </bk>
    <bk>
      <extLst>
        <ext uri="{3e2802c4-a4d2-4d8b-9148-e3be6c30e623}">
          <xlrd:rvb i="14958"/>
        </ext>
      </extLst>
    </bk>
    <bk>
      <extLst>
        <ext uri="{3e2802c4-a4d2-4d8b-9148-e3be6c30e623}">
          <xlrd:rvb i="14959"/>
        </ext>
      </extLst>
    </bk>
    <bk>
      <extLst>
        <ext uri="{3e2802c4-a4d2-4d8b-9148-e3be6c30e623}">
          <xlrd:rvb i="14960"/>
        </ext>
      </extLst>
    </bk>
    <bk>
      <extLst>
        <ext uri="{3e2802c4-a4d2-4d8b-9148-e3be6c30e623}">
          <xlrd:rvb i="14961"/>
        </ext>
      </extLst>
    </bk>
    <bk>
      <extLst>
        <ext uri="{3e2802c4-a4d2-4d8b-9148-e3be6c30e623}">
          <xlrd:rvb i="14962"/>
        </ext>
      </extLst>
    </bk>
    <bk>
      <extLst>
        <ext uri="{3e2802c4-a4d2-4d8b-9148-e3be6c30e623}">
          <xlrd:rvb i="14963"/>
        </ext>
      </extLst>
    </bk>
    <bk>
      <extLst>
        <ext uri="{3e2802c4-a4d2-4d8b-9148-e3be6c30e623}">
          <xlrd:rvb i="14964"/>
        </ext>
      </extLst>
    </bk>
    <bk>
      <extLst>
        <ext uri="{3e2802c4-a4d2-4d8b-9148-e3be6c30e623}">
          <xlrd:rvb i="14965"/>
        </ext>
      </extLst>
    </bk>
    <bk>
      <extLst>
        <ext uri="{3e2802c4-a4d2-4d8b-9148-e3be6c30e623}">
          <xlrd:rvb i="14966"/>
        </ext>
      </extLst>
    </bk>
    <bk>
      <extLst>
        <ext uri="{3e2802c4-a4d2-4d8b-9148-e3be6c30e623}">
          <xlrd:rvb i="14967"/>
        </ext>
      </extLst>
    </bk>
    <bk>
      <extLst>
        <ext uri="{3e2802c4-a4d2-4d8b-9148-e3be6c30e623}">
          <xlrd:rvb i="14968"/>
        </ext>
      </extLst>
    </bk>
    <bk>
      <extLst>
        <ext uri="{3e2802c4-a4d2-4d8b-9148-e3be6c30e623}">
          <xlrd:rvb i="14969"/>
        </ext>
      </extLst>
    </bk>
    <bk>
      <extLst>
        <ext uri="{3e2802c4-a4d2-4d8b-9148-e3be6c30e623}">
          <xlrd:rvb i="14970"/>
        </ext>
      </extLst>
    </bk>
    <bk>
      <extLst>
        <ext uri="{3e2802c4-a4d2-4d8b-9148-e3be6c30e623}">
          <xlrd:rvb i="14971"/>
        </ext>
      </extLst>
    </bk>
    <bk>
      <extLst>
        <ext uri="{3e2802c4-a4d2-4d8b-9148-e3be6c30e623}">
          <xlrd:rvb i="14972"/>
        </ext>
      </extLst>
    </bk>
    <bk>
      <extLst>
        <ext uri="{3e2802c4-a4d2-4d8b-9148-e3be6c30e623}">
          <xlrd:rvb i="14973"/>
        </ext>
      </extLst>
    </bk>
    <bk>
      <extLst>
        <ext uri="{3e2802c4-a4d2-4d8b-9148-e3be6c30e623}">
          <xlrd:rvb i="14974"/>
        </ext>
      </extLst>
    </bk>
    <bk>
      <extLst>
        <ext uri="{3e2802c4-a4d2-4d8b-9148-e3be6c30e623}">
          <xlrd:rvb i="14975"/>
        </ext>
      </extLst>
    </bk>
    <bk>
      <extLst>
        <ext uri="{3e2802c4-a4d2-4d8b-9148-e3be6c30e623}">
          <xlrd:rvb i="14976"/>
        </ext>
      </extLst>
    </bk>
    <bk>
      <extLst>
        <ext uri="{3e2802c4-a4d2-4d8b-9148-e3be6c30e623}">
          <xlrd:rvb i="14977"/>
        </ext>
      </extLst>
    </bk>
    <bk>
      <extLst>
        <ext uri="{3e2802c4-a4d2-4d8b-9148-e3be6c30e623}">
          <xlrd:rvb i="14978"/>
        </ext>
      </extLst>
    </bk>
    <bk>
      <extLst>
        <ext uri="{3e2802c4-a4d2-4d8b-9148-e3be6c30e623}">
          <xlrd:rvb i="14979"/>
        </ext>
      </extLst>
    </bk>
    <bk>
      <extLst>
        <ext uri="{3e2802c4-a4d2-4d8b-9148-e3be6c30e623}">
          <xlrd:rvb i="14980"/>
        </ext>
      </extLst>
    </bk>
    <bk>
      <extLst>
        <ext uri="{3e2802c4-a4d2-4d8b-9148-e3be6c30e623}">
          <xlrd:rvb i="14981"/>
        </ext>
      </extLst>
    </bk>
    <bk>
      <extLst>
        <ext uri="{3e2802c4-a4d2-4d8b-9148-e3be6c30e623}">
          <xlrd:rvb i="14982"/>
        </ext>
      </extLst>
    </bk>
    <bk>
      <extLst>
        <ext uri="{3e2802c4-a4d2-4d8b-9148-e3be6c30e623}">
          <xlrd:rvb i="14983"/>
        </ext>
      </extLst>
    </bk>
    <bk>
      <extLst>
        <ext uri="{3e2802c4-a4d2-4d8b-9148-e3be6c30e623}">
          <xlrd:rvb i="14984"/>
        </ext>
      </extLst>
    </bk>
    <bk>
      <extLst>
        <ext uri="{3e2802c4-a4d2-4d8b-9148-e3be6c30e623}">
          <xlrd:rvb i="14985"/>
        </ext>
      </extLst>
    </bk>
    <bk>
      <extLst>
        <ext uri="{3e2802c4-a4d2-4d8b-9148-e3be6c30e623}">
          <xlrd:rvb i="14986"/>
        </ext>
      </extLst>
    </bk>
    <bk>
      <extLst>
        <ext uri="{3e2802c4-a4d2-4d8b-9148-e3be6c30e623}">
          <xlrd:rvb i="14987"/>
        </ext>
      </extLst>
    </bk>
    <bk>
      <extLst>
        <ext uri="{3e2802c4-a4d2-4d8b-9148-e3be6c30e623}">
          <xlrd:rvb i="14988"/>
        </ext>
      </extLst>
    </bk>
    <bk>
      <extLst>
        <ext uri="{3e2802c4-a4d2-4d8b-9148-e3be6c30e623}">
          <xlrd:rvb i="14989"/>
        </ext>
      </extLst>
    </bk>
    <bk>
      <extLst>
        <ext uri="{3e2802c4-a4d2-4d8b-9148-e3be6c30e623}">
          <xlrd:rvb i="14990"/>
        </ext>
      </extLst>
    </bk>
    <bk>
      <extLst>
        <ext uri="{3e2802c4-a4d2-4d8b-9148-e3be6c30e623}">
          <xlrd:rvb i="14991"/>
        </ext>
      </extLst>
    </bk>
    <bk>
      <extLst>
        <ext uri="{3e2802c4-a4d2-4d8b-9148-e3be6c30e623}">
          <xlrd:rvb i="14992"/>
        </ext>
      </extLst>
    </bk>
    <bk>
      <extLst>
        <ext uri="{3e2802c4-a4d2-4d8b-9148-e3be6c30e623}">
          <xlrd:rvb i="14993"/>
        </ext>
      </extLst>
    </bk>
    <bk>
      <extLst>
        <ext uri="{3e2802c4-a4d2-4d8b-9148-e3be6c30e623}">
          <xlrd:rvb i="14994"/>
        </ext>
      </extLst>
    </bk>
    <bk>
      <extLst>
        <ext uri="{3e2802c4-a4d2-4d8b-9148-e3be6c30e623}">
          <xlrd:rvb i="14995"/>
        </ext>
      </extLst>
    </bk>
    <bk>
      <extLst>
        <ext uri="{3e2802c4-a4d2-4d8b-9148-e3be6c30e623}">
          <xlrd:rvb i="14996"/>
        </ext>
      </extLst>
    </bk>
    <bk>
      <extLst>
        <ext uri="{3e2802c4-a4d2-4d8b-9148-e3be6c30e623}">
          <xlrd:rvb i="14997"/>
        </ext>
      </extLst>
    </bk>
    <bk>
      <extLst>
        <ext uri="{3e2802c4-a4d2-4d8b-9148-e3be6c30e623}">
          <xlrd:rvb i="14998"/>
        </ext>
      </extLst>
    </bk>
    <bk>
      <extLst>
        <ext uri="{3e2802c4-a4d2-4d8b-9148-e3be6c30e623}">
          <xlrd:rvb i="14999"/>
        </ext>
      </extLst>
    </bk>
    <bk>
      <extLst>
        <ext uri="{3e2802c4-a4d2-4d8b-9148-e3be6c30e623}">
          <xlrd:rvb i="15000"/>
        </ext>
      </extLst>
    </bk>
    <bk>
      <extLst>
        <ext uri="{3e2802c4-a4d2-4d8b-9148-e3be6c30e623}">
          <xlrd:rvb i="15001"/>
        </ext>
      </extLst>
    </bk>
    <bk>
      <extLst>
        <ext uri="{3e2802c4-a4d2-4d8b-9148-e3be6c30e623}">
          <xlrd:rvb i="15002"/>
        </ext>
      </extLst>
    </bk>
    <bk>
      <extLst>
        <ext uri="{3e2802c4-a4d2-4d8b-9148-e3be6c30e623}">
          <xlrd:rvb i="15003"/>
        </ext>
      </extLst>
    </bk>
    <bk>
      <extLst>
        <ext uri="{3e2802c4-a4d2-4d8b-9148-e3be6c30e623}">
          <xlrd:rvb i="15004"/>
        </ext>
      </extLst>
    </bk>
    <bk>
      <extLst>
        <ext uri="{3e2802c4-a4d2-4d8b-9148-e3be6c30e623}">
          <xlrd:rvb i="15005"/>
        </ext>
      </extLst>
    </bk>
    <bk>
      <extLst>
        <ext uri="{3e2802c4-a4d2-4d8b-9148-e3be6c30e623}">
          <xlrd:rvb i="15006"/>
        </ext>
      </extLst>
    </bk>
    <bk>
      <extLst>
        <ext uri="{3e2802c4-a4d2-4d8b-9148-e3be6c30e623}">
          <xlrd:rvb i="15007"/>
        </ext>
      </extLst>
    </bk>
    <bk>
      <extLst>
        <ext uri="{3e2802c4-a4d2-4d8b-9148-e3be6c30e623}">
          <xlrd:rvb i="15008"/>
        </ext>
      </extLst>
    </bk>
    <bk>
      <extLst>
        <ext uri="{3e2802c4-a4d2-4d8b-9148-e3be6c30e623}">
          <xlrd:rvb i="15009"/>
        </ext>
      </extLst>
    </bk>
    <bk>
      <extLst>
        <ext uri="{3e2802c4-a4d2-4d8b-9148-e3be6c30e623}">
          <xlrd:rvb i="15010"/>
        </ext>
      </extLst>
    </bk>
    <bk>
      <extLst>
        <ext uri="{3e2802c4-a4d2-4d8b-9148-e3be6c30e623}">
          <xlrd:rvb i="15011"/>
        </ext>
      </extLst>
    </bk>
    <bk>
      <extLst>
        <ext uri="{3e2802c4-a4d2-4d8b-9148-e3be6c30e623}">
          <xlrd:rvb i="15012"/>
        </ext>
      </extLst>
    </bk>
    <bk>
      <extLst>
        <ext uri="{3e2802c4-a4d2-4d8b-9148-e3be6c30e623}">
          <xlrd:rvb i="15013"/>
        </ext>
      </extLst>
    </bk>
    <bk>
      <extLst>
        <ext uri="{3e2802c4-a4d2-4d8b-9148-e3be6c30e623}">
          <xlrd:rvb i="15014"/>
        </ext>
      </extLst>
    </bk>
    <bk>
      <extLst>
        <ext uri="{3e2802c4-a4d2-4d8b-9148-e3be6c30e623}">
          <xlrd:rvb i="15015"/>
        </ext>
      </extLst>
    </bk>
    <bk>
      <extLst>
        <ext uri="{3e2802c4-a4d2-4d8b-9148-e3be6c30e623}">
          <xlrd:rvb i="15016"/>
        </ext>
      </extLst>
    </bk>
    <bk>
      <extLst>
        <ext uri="{3e2802c4-a4d2-4d8b-9148-e3be6c30e623}">
          <xlrd:rvb i="15017"/>
        </ext>
      </extLst>
    </bk>
    <bk>
      <extLst>
        <ext uri="{3e2802c4-a4d2-4d8b-9148-e3be6c30e623}">
          <xlrd:rvb i="15018"/>
        </ext>
      </extLst>
    </bk>
    <bk>
      <extLst>
        <ext uri="{3e2802c4-a4d2-4d8b-9148-e3be6c30e623}">
          <xlrd:rvb i="15019"/>
        </ext>
      </extLst>
    </bk>
    <bk>
      <extLst>
        <ext uri="{3e2802c4-a4d2-4d8b-9148-e3be6c30e623}">
          <xlrd:rvb i="15020"/>
        </ext>
      </extLst>
    </bk>
    <bk>
      <extLst>
        <ext uri="{3e2802c4-a4d2-4d8b-9148-e3be6c30e623}">
          <xlrd:rvb i="15021"/>
        </ext>
      </extLst>
    </bk>
    <bk>
      <extLst>
        <ext uri="{3e2802c4-a4d2-4d8b-9148-e3be6c30e623}">
          <xlrd:rvb i="15022"/>
        </ext>
      </extLst>
    </bk>
    <bk>
      <extLst>
        <ext uri="{3e2802c4-a4d2-4d8b-9148-e3be6c30e623}">
          <xlrd:rvb i="15023"/>
        </ext>
      </extLst>
    </bk>
    <bk>
      <extLst>
        <ext uri="{3e2802c4-a4d2-4d8b-9148-e3be6c30e623}">
          <xlrd:rvb i="15024"/>
        </ext>
      </extLst>
    </bk>
    <bk>
      <extLst>
        <ext uri="{3e2802c4-a4d2-4d8b-9148-e3be6c30e623}">
          <xlrd:rvb i="15025"/>
        </ext>
      </extLst>
    </bk>
    <bk>
      <extLst>
        <ext uri="{3e2802c4-a4d2-4d8b-9148-e3be6c30e623}">
          <xlrd:rvb i="15026"/>
        </ext>
      </extLst>
    </bk>
    <bk>
      <extLst>
        <ext uri="{3e2802c4-a4d2-4d8b-9148-e3be6c30e623}">
          <xlrd:rvb i="15027"/>
        </ext>
      </extLst>
    </bk>
    <bk>
      <extLst>
        <ext uri="{3e2802c4-a4d2-4d8b-9148-e3be6c30e623}">
          <xlrd:rvb i="15028"/>
        </ext>
      </extLst>
    </bk>
    <bk>
      <extLst>
        <ext uri="{3e2802c4-a4d2-4d8b-9148-e3be6c30e623}">
          <xlrd:rvb i="15029"/>
        </ext>
      </extLst>
    </bk>
    <bk>
      <extLst>
        <ext uri="{3e2802c4-a4d2-4d8b-9148-e3be6c30e623}">
          <xlrd:rvb i="15030"/>
        </ext>
      </extLst>
    </bk>
    <bk>
      <extLst>
        <ext uri="{3e2802c4-a4d2-4d8b-9148-e3be6c30e623}">
          <xlrd:rvb i="15031"/>
        </ext>
      </extLst>
    </bk>
    <bk>
      <extLst>
        <ext uri="{3e2802c4-a4d2-4d8b-9148-e3be6c30e623}">
          <xlrd:rvb i="15032"/>
        </ext>
      </extLst>
    </bk>
    <bk>
      <extLst>
        <ext uri="{3e2802c4-a4d2-4d8b-9148-e3be6c30e623}">
          <xlrd:rvb i="15033"/>
        </ext>
      </extLst>
    </bk>
    <bk>
      <extLst>
        <ext uri="{3e2802c4-a4d2-4d8b-9148-e3be6c30e623}">
          <xlrd:rvb i="15034"/>
        </ext>
      </extLst>
    </bk>
    <bk>
      <extLst>
        <ext uri="{3e2802c4-a4d2-4d8b-9148-e3be6c30e623}">
          <xlrd:rvb i="15035"/>
        </ext>
      </extLst>
    </bk>
    <bk>
      <extLst>
        <ext uri="{3e2802c4-a4d2-4d8b-9148-e3be6c30e623}">
          <xlrd:rvb i="15036"/>
        </ext>
      </extLst>
    </bk>
    <bk>
      <extLst>
        <ext uri="{3e2802c4-a4d2-4d8b-9148-e3be6c30e623}">
          <xlrd:rvb i="15037"/>
        </ext>
      </extLst>
    </bk>
    <bk>
      <extLst>
        <ext uri="{3e2802c4-a4d2-4d8b-9148-e3be6c30e623}">
          <xlrd:rvb i="15038"/>
        </ext>
      </extLst>
    </bk>
    <bk>
      <extLst>
        <ext uri="{3e2802c4-a4d2-4d8b-9148-e3be6c30e623}">
          <xlrd:rvb i="15039"/>
        </ext>
      </extLst>
    </bk>
    <bk>
      <extLst>
        <ext uri="{3e2802c4-a4d2-4d8b-9148-e3be6c30e623}">
          <xlrd:rvb i="15040"/>
        </ext>
      </extLst>
    </bk>
    <bk>
      <extLst>
        <ext uri="{3e2802c4-a4d2-4d8b-9148-e3be6c30e623}">
          <xlrd:rvb i="15041"/>
        </ext>
      </extLst>
    </bk>
    <bk>
      <extLst>
        <ext uri="{3e2802c4-a4d2-4d8b-9148-e3be6c30e623}">
          <xlrd:rvb i="15042"/>
        </ext>
      </extLst>
    </bk>
    <bk>
      <extLst>
        <ext uri="{3e2802c4-a4d2-4d8b-9148-e3be6c30e623}">
          <xlrd:rvb i="15043"/>
        </ext>
      </extLst>
    </bk>
    <bk>
      <extLst>
        <ext uri="{3e2802c4-a4d2-4d8b-9148-e3be6c30e623}">
          <xlrd:rvb i="15044"/>
        </ext>
      </extLst>
    </bk>
    <bk>
      <extLst>
        <ext uri="{3e2802c4-a4d2-4d8b-9148-e3be6c30e623}">
          <xlrd:rvb i="15045"/>
        </ext>
      </extLst>
    </bk>
    <bk>
      <extLst>
        <ext uri="{3e2802c4-a4d2-4d8b-9148-e3be6c30e623}">
          <xlrd:rvb i="15046"/>
        </ext>
      </extLst>
    </bk>
    <bk>
      <extLst>
        <ext uri="{3e2802c4-a4d2-4d8b-9148-e3be6c30e623}">
          <xlrd:rvb i="15047"/>
        </ext>
      </extLst>
    </bk>
    <bk>
      <extLst>
        <ext uri="{3e2802c4-a4d2-4d8b-9148-e3be6c30e623}">
          <xlrd:rvb i="15048"/>
        </ext>
      </extLst>
    </bk>
    <bk>
      <extLst>
        <ext uri="{3e2802c4-a4d2-4d8b-9148-e3be6c30e623}">
          <xlrd:rvb i="15049"/>
        </ext>
      </extLst>
    </bk>
    <bk>
      <extLst>
        <ext uri="{3e2802c4-a4d2-4d8b-9148-e3be6c30e623}">
          <xlrd:rvb i="15050"/>
        </ext>
      </extLst>
    </bk>
    <bk>
      <extLst>
        <ext uri="{3e2802c4-a4d2-4d8b-9148-e3be6c30e623}">
          <xlrd:rvb i="15051"/>
        </ext>
      </extLst>
    </bk>
    <bk>
      <extLst>
        <ext uri="{3e2802c4-a4d2-4d8b-9148-e3be6c30e623}">
          <xlrd:rvb i="15052"/>
        </ext>
      </extLst>
    </bk>
    <bk>
      <extLst>
        <ext uri="{3e2802c4-a4d2-4d8b-9148-e3be6c30e623}">
          <xlrd:rvb i="15053"/>
        </ext>
      </extLst>
    </bk>
    <bk>
      <extLst>
        <ext uri="{3e2802c4-a4d2-4d8b-9148-e3be6c30e623}">
          <xlrd:rvb i="15054"/>
        </ext>
      </extLst>
    </bk>
    <bk>
      <extLst>
        <ext uri="{3e2802c4-a4d2-4d8b-9148-e3be6c30e623}">
          <xlrd:rvb i="15055"/>
        </ext>
      </extLst>
    </bk>
    <bk>
      <extLst>
        <ext uri="{3e2802c4-a4d2-4d8b-9148-e3be6c30e623}">
          <xlrd:rvb i="15056"/>
        </ext>
      </extLst>
    </bk>
    <bk>
      <extLst>
        <ext uri="{3e2802c4-a4d2-4d8b-9148-e3be6c30e623}">
          <xlrd:rvb i="15057"/>
        </ext>
      </extLst>
    </bk>
    <bk>
      <extLst>
        <ext uri="{3e2802c4-a4d2-4d8b-9148-e3be6c30e623}">
          <xlrd:rvb i="15058"/>
        </ext>
      </extLst>
    </bk>
    <bk>
      <extLst>
        <ext uri="{3e2802c4-a4d2-4d8b-9148-e3be6c30e623}">
          <xlrd:rvb i="15059"/>
        </ext>
      </extLst>
    </bk>
    <bk>
      <extLst>
        <ext uri="{3e2802c4-a4d2-4d8b-9148-e3be6c30e623}">
          <xlrd:rvb i="15060"/>
        </ext>
      </extLst>
    </bk>
    <bk>
      <extLst>
        <ext uri="{3e2802c4-a4d2-4d8b-9148-e3be6c30e623}">
          <xlrd:rvb i="15061"/>
        </ext>
      </extLst>
    </bk>
    <bk>
      <extLst>
        <ext uri="{3e2802c4-a4d2-4d8b-9148-e3be6c30e623}">
          <xlrd:rvb i="15062"/>
        </ext>
      </extLst>
    </bk>
    <bk>
      <extLst>
        <ext uri="{3e2802c4-a4d2-4d8b-9148-e3be6c30e623}">
          <xlrd:rvb i="15063"/>
        </ext>
      </extLst>
    </bk>
    <bk>
      <extLst>
        <ext uri="{3e2802c4-a4d2-4d8b-9148-e3be6c30e623}">
          <xlrd:rvb i="15064"/>
        </ext>
      </extLst>
    </bk>
    <bk>
      <extLst>
        <ext uri="{3e2802c4-a4d2-4d8b-9148-e3be6c30e623}">
          <xlrd:rvb i="15065"/>
        </ext>
      </extLst>
    </bk>
    <bk>
      <extLst>
        <ext uri="{3e2802c4-a4d2-4d8b-9148-e3be6c30e623}">
          <xlrd:rvb i="15066"/>
        </ext>
      </extLst>
    </bk>
    <bk>
      <extLst>
        <ext uri="{3e2802c4-a4d2-4d8b-9148-e3be6c30e623}">
          <xlrd:rvb i="15067"/>
        </ext>
      </extLst>
    </bk>
    <bk>
      <extLst>
        <ext uri="{3e2802c4-a4d2-4d8b-9148-e3be6c30e623}">
          <xlrd:rvb i="15068"/>
        </ext>
      </extLst>
    </bk>
    <bk>
      <extLst>
        <ext uri="{3e2802c4-a4d2-4d8b-9148-e3be6c30e623}">
          <xlrd:rvb i="15069"/>
        </ext>
      </extLst>
    </bk>
    <bk>
      <extLst>
        <ext uri="{3e2802c4-a4d2-4d8b-9148-e3be6c30e623}">
          <xlrd:rvb i="15070"/>
        </ext>
      </extLst>
    </bk>
    <bk>
      <extLst>
        <ext uri="{3e2802c4-a4d2-4d8b-9148-e3be6c30e623}">
          <xlrd:rvb i="15071"/>
        </ext>
      </extLst>
    </bk>
    <bk>
      <extLst>
        <ext uri="{3e2802c4-a4d2-4d8b-9148-e3be6c30e623}">
          <xlrd:rvb i="15072"/>
        </ext>
      </extLst>
    </bk>
    <bk>
      <extLst>
        <ext uri="{3e2802c4-a4d2-4d8b-9148-e3be6c30e623}">
          <xlrd:rvb i="15073"/>
        </ext>
      </extLst>
    </bk>
    <bk>
      <extLst>
        <ext uri="{3e2802c4-a4d2-4d8b-9148-e3be6c30e623}">
          <xlrd:rvb i="15074"/>
        </ext>
      </extLst>
    </bk>
    <bk>
      <extLst>
        <ext uri="{3e2802c4-a4d2-4d8b-9148-e3be6c30e623}">
          <xlrd:rvb i="15075"/>
        </ext>
      </extLst>
    </bk>
    <bk>
      <extLst>
        <ext uri="{3e2802c4-a4d2-4d8b-9148-e3be6c30e623}">
          <xlrd:rvb i="15076"/>
        </ext>
      </extLst>
    </bk>
    <bk>
      <extLst>
        <ext uri="{3e2802c4-a4d2-4d8b-9148-e3be6c30e623}">
          <xlrd:rvb i="15077"/>
        </ext>
      </extLst>
    </bk>
    <bk>
      <extLst>
        <ext uri="{3e2802c4-a4d2-4d8b-9148-e3be6c30e623}">
          <xlrd:rvb i="15078"/>
        </ext>
      </extLst>
    </bk>
    <bk>
      <extLst>
        <ext uri="{3e2802c4-a4d2-4d8b-9148-e3be6c30e623}">
          <xlrd:rvb i="15079"/>
        </ext>
      </extLst>
    </bk>
    <bk>
      <extLst>
        <ext uri="{3e2802c4-a4d2-4d8b-9148-e3be6c30e623}">
          <xlrd:rvb i="15080"/>
        </ext>
      </extLst>
    </bk>
    <bk>
      <extLst>
        <ext uri="{3e2802c4-a4d2-4d8b-9148-e3be6c30e623}">
          <xlrd:rvb i="15081"/>
        </ext>
      </extLst>
    </bk>
    <bk>
      <extLst>
        <ext uri="{3e2802c4-a4d2-4d8b-9148-e3be6c30e623}">
          <xlrd:rvb i="15082"/>
        </ext>
      </extLst>
    </bk>
    <bk>
      <extLst>
        <ext uri="{3e2802c4-a4d2-4d8b-9148-e3be6c30e623}">
          <xlrd:rvb i="15083"/>
        </ext>
      </extLst>
    </bk>
    <bk>
      <extLst>
        <ext uri="{3e2802c4-a4d2-4d8b-9148-e3be6c30e623}">
          <xlrd:rvb i="15084"/>
        </ext>
      </extLst>
    </bk>
    <bk>
      <extLst>
        <ext uri="{3e2802c4-a4d2-4d8b-9148-e3be6c30e623}">
          <xlrd:rvb i="15085"/>
        </ext>
      </extLst>
    </bk>
    <bk>
      <extLst>
        <ext uri="{3e2802c4-a4d2-4d8b-9148-e3be6c30e623}">
          <xlrd:rvb i="15086"/>
        </ext>
      </extLst>
    </bk>
    <bk>
      <extLst>
        <ext uri="{3e2802c4-a4d2-4d8b-9148-e3be6c30e623}">
          <xlrd:rvb i="15087"/>
        </ext>
      </extLst>
    </bk>
    <bk>
      <extLst>
        <ext uri="{3e2802c4-a4d2-4d8b-9148-e3be6c30e623}">
          <xlrd:rvb i="15088"/>
        </ext>
      </extLst>
    </bk>
    <bk>
      <extLst>
        <ext uri="{3e2802c4-a4d2-4d8b-9148-e3be6c30e623}">
          <xlrd:rvb i="15089"/>
        </ext>
      </extLst>
    </bk>
    <bk>
      <extLst>
        <ext uri="{3e2802c4-a4d2-4d8b-9148-e3be6c30e623}">
          <xlrd:rvb i="15090"/>
        </ext>
      </extLst>
    </bk>
    <bk>
      <extLst>
        <ext uri="{3e2802c4-a4d2-4d8b-9148-e3be6c30e623}">
          <xlrd:rvb i="15091"/>
        </ext>
      </extLst>
    </bk>
    <bk>
      <extLst>
        <ext uri="{3e2802c4-a4d2-4d8b-9148-e3be6c30e623}">
          <xlrd:rvb i="15092"/>
        </ext>
      </extLst>
    </bk>
    <bk>
      <extLst>
        <ext uri="{3e2802c4-a4d2-4d8b-9148-e3be6c30e623}">
          <xlrd:rvb i="15093"/>
        </ext>
      </extLst>
    </bk>
    <bk>
      <extLst>
        <ext uri="{3e2802c4-a4d2-4d8b-9148-e3be6c30e623}">
          <xlrd:rvb i="15094"/>
        </ext>
      </extLst>
    </bk>
    <bk>
      <extLst>
        <ext uri="{3e2802c4-a4d2-4d8b-9148-e3be6c30e623}">
          <xlrd:rvb i="15095"/>
        </ext>
      </extLst>
    </bk>
    <bk>
      <extLst>
        <ext uri="{3e2802c4-a4d2-4d8b-9148-e3be6c30e623}">
          <xlrd:rvb i="15096"/>
        </ext>
      </extLst>
    </bk>
    <bk>
      <extLst>
        <ext uri="{3e2802c4-a4d2-4d8b-9148-e3be6c30e623}">
          <xlrd:rvb i="15097"/>
        </ext>
      </extLst>
    </bk>
    <bk>
      <extLst>
        <ext uri="{3e2802c4-a4d2-4d8b-9148-e3be6c30e623}">
          <xlrd:rvb i="15098"/>
        </ext>
      </extLst>
    </bk>
    <bk>
      <extLst>
        <ext uri="{3e2802c4-a4d2-4d8b-9148-e3be6c30e623}">
          <xlrd:rvb i="15099"/>
        </ext>
      </extLst>
    </bk>
    <bk>
      <extLst>
        <ext uri="{3e2802c4-a4d2-4d8b-9148-e3be6c30e623}">
          <xlrd:rvb i="15100"/>
        </ext>
      </extLst>
    </bk>
    <bk>
      <extLst>
        <ext uri="{3e2802c4-a4d2-4d8b-9148-e3be6c30e623}">
          <xlrd:rvb i="15101"/>
        </ext>
      </extLst>
    </bk>
    <bk>
      <extLst>
        <ext uri="{3e2802c4-a4d2-4d8b-9148-e3be6c30e623}">
          <xlrd:rvb i="15102"/>
        </ext>
      </extLst>
    </bk>
    <bk>
      <extLst>
        <ext uri="{3e2802c4-a4d2-4d8b-9148-e3be6c30e623}">
          <xlrd:rvb i="15103"/>
        </ext>
      </extLst>
    </bk>
    <bk>
      <extLst>
        <ext uri="{3e2802c4-a4d2-4d8b-9148-e3be6c30e623}">
          <xlrd:rvb i="15104"/>
        </ext>
      </extLst>
    </bk>
    <bk>
      <extLst>
        <ext uri="{3e2802c4-a4d2-4d8b-9148-e3be6c30e623}">
          <xlrd:rvb i="15105"/>
        </ext>
      </extLst>
    </bk>
    <bk>
      <extLst>
        <ext uri="{3e2802c4-a4d2-4d8b-9148-e3be6c30e623}">
          <xlrd:rvb i="15106"/>
        </ext>
      </extLst>
    </bk>
    <bk>
      <extLst>
        <ext uri="{3e2802c4-a4d2-4d8b-9148-e3be6c30e623}">
          <xlrd:rvb i="15107"/>
        </ext>
      </extLst>
    </bk>
    <bk>
      <extLst>
        <ext uri="{3e2802c4-a4d2-4d8b-9148-e3be6c30e623}">
          <xlrd:rvb i="15108"/>
        </ext>
      </extLst>
    </bk>
    <bk>
      <extLst>
        <ext uri="{3e2802c4-a4d2-4d8b-9148-e3be6c30e623}">
          <xlrd:rvb i="15109"/>
        </ext>
      </extLst>
    </bk>
    <bk>
      <extLst>
        <ext uri="{3e2802c4-a4d2-4d8b-9148-e3be6c30e623}">
          <xlrd:rvb i="15110"/>
        </ext>
      </extLst>
    </bk>
    <bk>
      <extLst>
        <ext uri="{3e2802c4-a4d2-4d8b-9148-e3be6c30e623}">
          <xlrd:rvb i="15111"/>
        </ext>
      </extLst>
    </bk>
    <bk>
      <extLst>
        <ext uri="{3e2802c4-a4d2-4d8b-9148-e3be6c30e623}">
          <xlrd:rvb i="15112"/>
        </ext>
      </extLst>
    </bk>
    <bk>
      <extLst>
        <ext uri="{3e2802c4-a4d2-4d8b-9148-e3be6c30e623}">
          <xlrd:rvb i="15113"/>
        </ext>
      </extLst>
    </bk>
    <bk>
      <extLst>
        <ext uri="{3e2802c4-a4d2-4d8b-9148-e3be6c30e623}">
          <xlrd:rvb i="15114"/>
        </ext>
      </extLst>
    </bk>
    <bk>
      <extLst>
        <ext uri="{3e2802c4-a4d2-4d8b-9148-e3be6c30e623}">
          <xlrd:rvb i="15115"/>
        </ext>
      </extLst>
    </bk>
    <bk>
      <extLst>
        <ext uri="{3e2802c4-a4d2-4d8b-9148-e3be6c30e623}">
          <xlrd:rvb i="15116"/>
        </ext>
      </extLst>
    </bk>
    <bk>
      <extLst>
        <ext uri="{3e2802c4-a4d2-4d8b-9148-e3be6c30e623}">
          <xlrd:rvb i="15117"/>
        </ext>
      </extLst>
    </bk>
    <bk>
      <extLst>
        <ext uri="{3e2802c4-a4d2-4d8b-9148-e3be6c30e623}">
          <xlrd:rvb i="15118"/>
        </ext>
      </extLst>
    </bk>
    <bk>
      <extLst>
        <ext uri="{3e2802c4-a4d2-4d8b-9148-e3be6c30e623}">
          <xlrd:rvb i="15119"/>
        </ext>
      </extLst>
    </bk>
    <bk>
      <extLst>
        <ext uri="{3e2802c4-a4d2-4d8b-9148-e3be6c30e623}">
          <xlrd:rvb i="15120"/>
        </ext>
      </extLst>
    </bk>
    <bk>
      <extLst>
        <ext uri="{3e2802c4-a4d2-4d8b-9148-e3be6c30e623}">
          <xlrd:rvb i="15121"/>
        </ext>
      </extLst>
    </bk>
    <bk>
      <extLst>
        <ext uri="{3e2802c4-a4d2-4d8b-9148-e3be6c30e623}">
          <xlrd:rvb i="15122"/>
        </ext>
      </extLst>
    </bk>
    <bk>
      <extLst>
        <ext uri="{3e2802c4-a4d2-4d8b-9148-e3be6c30e623}">
          <xlrd:rvb i="15123"/>
        </ext>
      </extLst>
    </bk>
    <bk>
      <extLst>
        <ext uri="{3e2802c4-a4d2-4d8b-9148-e3be6c30e623}">
          <xlrd:rvb i="15124"/>
        </ext>
      </extLst>
    </bk>
    <bk>
      <extLst>
        <ext uri="{3e2802c4-a4d2-4d8b-9148-e3be6c30e623}">
          <xlrd:rvb i="15125"/>
        </ext>
      </extLst>
    </bk>
    <bk>
      <extLst>
        <ext uri="{3e2802c4-a4d2-4d8b-9148-e3be6c30e623}">
          <xlrd:rvb i="15126"/>
        </ext>
      </extLst>
    </bk>
    <bk>
      <extLst>
        <ext uri="{3e2802c4-a4d2-4d8b-9148-e3be6c30e623}">
          <xlrd:rvb i="15127"/>
        </ext>
      </extLst>
    </bk>
    <bk>
      <extLst>
        <ext uri="{3e2802c4-a4d2-4d8b-9148-e3be6c30e623}">
          <xlrd:rvb i="15128"/>
        </ext>
      </extLst>
    </bk>
    <bk>
      <extLst>
        <ext uri="{3e2802c4-a4d2-4d8b-9148-e3be6c30e623}">
          <xlrd:rvb i="15129"/>
        </ext>
      </extLst>
    </bk>
    <bk>
      <extLst>
        <ext uri="{3e2802c4-a4d2-4d8b-9148-e3be6c30e623}">
          <xlrd:rvb i="15130"/>
        </ext>
      </extLst>
    </bk>
    <bk>
      <extLst>
        <ext uri="{3e2802c4-a4d2-4d8b-9148-e3be6c30e623}">
          <xlrd:rvb i="15131"/>
        </ext>
      </extLst>
    </bk>
    <bk>
      <extLst>
        <ext uri="{3e2802c4-a4d2-4d8b-9148-e3be6c30e623}">
          <xlrd:rvb i="15132"/>
        </ext>
      </extLst>
    </bk>
    <bk>
      <extLst>
        <ext uri="{3e2802c4-a4d2-4d8b-9148-e3be6c30e623}">
          <xlrd:rvb i="15133"/>
        </ext>
      </extLst>
    </bk>
    <bk>
      <extLst>
        <ext uri="{3e2802c4-a4d2-4d8b-9148-e3be6c30e623}">
          <xlrd:rvb i="15134"/>
        </ext>
      </extLst>
    </bk>
    <bk>
      <extLst>
        <ext uri="{3e2802c4-a4d2-4d8b-9148-e3be6c30e623}">
          <xlrd:rvb i="15135"/>
        </ext>
      </extLst>
    </bk>
    <bk>
      <extLst>
        <ext uri="{3e2802c4-a4d2-4d8b-9148-e3be6c30e623}">
          <xlrd:rvb i="15136"/>
        </ext>
      </extLst>
    </bk>
    <bk>
      <extLst>
        <ext uri="{3e2802c4-a4d2-4d8b-9148-e3be6c30e623}">
          <xlrd:rvb i="15137"/>
        </ext>
      </extLst>
    </bk>
    <bk>
      <extLst>
        <ext uri="{3e2802c4-a4d2-4d8b-9148-e3be6c30e623}">
          <xlrd:rvb i="15138"/>
        </ext>
      </extLst>
    </bk>
    <bk>
      <extLst>
        <ext uri="{3e2802c4-a4d2-4d8b-9148-e3be6c30e623}">
          <xlrd:rvb i="15139"/>
        </ext>
      </extLst>
    </bk>
    <bk>
      <extLst>
        <ext uri="{3e2802c4-a4d2-4d8b-9148-e3be6c30e623}">
          <xlrd:rvb i="15140"/>
        </ext>
      </extLst>
    </bk>
    <bk>
      <extLst>
        <ext uri="{3e2802c4-a4d2-4d8b-9148-e3be6c30e623}">
          <xlrd:rvb i="15141"/>
        </ext>
      </extLst>
    </bk>
    <bk>
      <extLst>
        <ext uri="{3e2802c4-a4d2-4d8b-9148-e3be6c30e623}">
          <xlrd:rvb i="15142"/>
        </ext>
      </extLst>
    </bk>
    <bk>
      <extLst>
        <ext uri="{3e2802c4-a4d2-4d8b-9148-e3be6c30e623}">
          <xlrd:rvb i="15143"/>
        </ext>
      </extLst>
    </bk>
    <bk>
      <extLst>
        <ext uri="{3e2802c4-a4d2-4d8b-9148-e3be6c30e623}">
          <xlrd:rvb i="15144"/>
        </ext>
      </extLst>
    </bk>
    <bk>
      <extLst>
        <ext uri="{3e2802c4-a4d2-4d8b-9148-e3be6c30e623}">
          <xlrd:rvb i="15145"/>
        </ext>
      </extLst>
    </bk>
    <bk>
      <extLst>
        <ext uri="{3e2802c4-a4d2-4d8b-9148-e3be6c30e623}">
          <xlrd:rvb i="15146"/>
        </ext>
      </extLst>
    </bk>
    <bk>
      <extLst>
        <ext uri="{3e2802c4-a4d2-4d8b-9148-e3be6c30e623}">
          <xlrd:rvb i="15147"/>
        </ext>
      </extLst>
    </bk>
    <bk>
      <extLst>
        <ext uri="{3e2802c4-a4d2-4d8b-9148-e3be6c30e623}">
          <xlrd:rvb i="15148"/>
        </ext>
      </extLst>
    </bk>
    <bk>
      <extLst>
        <ext uri="{3e2802c4-a4d2-4d8b-9148-e3be6c30e623}">
          <xlrd:rvb i="15149"/>
        </ext>
      </extLst>
    </bk>
    <bk>
      <extLst>
        <ext uri="{3e2802c4-a4d2-4d8b-9148-e3be6c30e623}">
          <xlrd:rvb i="15150"/>
        </ext>
      </extLst>
    </bk>
    <bk>
      <extLst>
        <ext uri="{3e2802c4-a4d2-4d8b-9148-e3be6c30e623}">
          <xlrd:rvb i="15151"/>
        </ext>
      </extLst>
    </bk>
    <bk>
      <extLst>
        <ext uri="{3e2802c4-a4d2-4d8b-9148-e3be6c30e623}">
          <xlrd:rvb i="15152"/>
        </ext>
      </extLst>
    </bk>
    <bk>
      <extLst>
        <ext uri="{3e2802c4-a4d2-4d8b-9148-e3be6c30e623}">
          <xlrd:rvb i="15153"/>
        </ext>
      </extLst>
    </bk>
    <bk>
      <extLst>
        <ext uri="{3e2802c4-a4d2-4d8b-9148-e3be6c30e623}">
          <xlrd:rvb i="15154"/>
        </ext>
      </extLst>
    </bk>
    <bk>
      <extLst>
        <ext uri="{3e2802c4-a4d2-4d8b-9148-e3be6c30e623}">
          <xlrd:rvb i="15155"/>
        </ext>
      </extLst>
    </bk>
    <bk>
      <extLst>
        <ext uri="{3e2802c4-a4d2-4d8b-9148-e3be6c30e623}">
          <xlrd:rvb i="15156"/>
        </ext>
      </extLst>
    </bk>
    <bk>
      <extLst>
        <ext uri="{3e2802c4-a4d2-4d8b-9148-e3be6c30e623}">
          <xlrd:rvb i="15157"/>
        </ext>
      </extLst>
    </bk>
    <bk>
      <extLst>
        <ext uri="{3e2802c4-a4d2-4d8b-9148-e3be6c30e623}">
          <xlrd:rvb i="15158"/>
        </ext>
      </extLst>
    </bk>
    <bk>
      <extLst>
        <ext uri="{3e2802c4-a4d2-4d8b-9148-e3be6c30e623}">
          <xlrd:rvb i="15159"/>
        </ext>
      </extLst>
    </bk>
    <bk>
      <extLst>
        <ext uri="{3e2802c4-a4d2-4d8b-9148-e3be6c30e623}">
          <xlrd:rvb i="15160"/>
        </ext>
      </extLst>
    </bk>
    <bk>
      <extLst>
        <ext uri="{3e2802c4-a4d2-4d8b-9148-e3be6c30e623}">
          <xlrd:rvb i="15161"/>
        </ext>
      </extLst>
    </bk>
    <bk>
      <extLst>
        <ext uri="{3e2802c4-a4d2-4d8b-9148-e3be6c30e623}">
          <xlrd:rvb i="15162"/>
        </ext>
      </extLst>
    </bk>
    <bk>
      <extLst>
        <ext uri="{3e2802c4-a4d2-4d8b-9148-e3be6c30e623}">
          <xlrd:rvb i="15163"/>
        </ext>
      </extLst>
    </bk>
    <bk>
      <extLst>
        <ext uri="{3e2802c4-a4d2-4d8b-9148-e3be6c30e623}">
          <xlrd:rvb i="15164"/>
        </ext>
      </extLst>
    </bk>
    <bk>
      <extLst>
        <ext uri="{3e2802c4-a4d2-4d8b-9148-e3be6c30e623}">
          <xlrd:rvb i="15165"/>
        </ext>
      </extLst>
    </bk>
    <bk>
      <extLst>
        <ext uri="{3e2802c4-a4d2-4d8b-9148-e3be6c30e623}">
          <xlrd:rvb i="15166"/>
        </ext>
      </extLst>
    </bk>
    <bk>
      <extLst>
        <ext uri="{3e2802c4-a4d2-4d8b-9148-e3be6c30e623}">
          <xlrd:rvb i="15167"/>
        </ext>
      </extLst>
    </bk>
    <bk>
      <extLst>
        <ext uri="{3e2802c4-a4d2-4d8b-9148-e3be6c30e623}">
          <xlrd:rvb i="15168"/>
        </ext>
      </extLst>
    </bk>
    <bk>
      <extLst>
        <ext uri="{3e2802c4-a4d2-4d8b-9148-e3be6c30e623}">
          <xlrd:rvb i="15169"/>
        </ext>
      </extLst>
    </bk>
    <bk>
      <extLst>
        <ext uri="{3e2802c4-a4d2-4d8b-9148-e3be6c30e623}">
          <xlrd:rvb i="15170"/>
        </ext>
      </extLst>
    </bk>
    <bk>
      <extLst>
        <ext uri="{3e2802c4-a4d2-4d8b-9148-e3be6c30e623}">
          <xlrd:rvb i="15171"/>
        </ext>
      </extLst>
    </bk>
    <bk>
      <extLst>
        <ext uri="{3e2802c4-a4d2-4d8b-9148-e3be6c30e623}">
          <xlrd:rvb i="15172"/>
        </ext>
      </extLst>
    </bk>
    <bk>
      <extLst>
        <ext uri="{3e2802c4-a4d2-4d8b-9148-e3be6c30e623}">
          <xlrd:rvb i="15173"/>
        </ext>
      </extLst>
    </bk>
    <bk>
      <extLst>
        <ext uri="{3e2802c4-a4d2-4d8b-9148-e3be6c30e623}">
          <xlrd:rvb i="15174"/>
        </ext>
      </extLst>
    </bk>
    <bk>
      <extLst>
        <ext uri="{3e2802c4-a4d2-4d8b-9148-e3be6c30e623}">
          <xlrd:rvb i="15175"/>
        </ext>
      </extLst>
    </bk>
    <bk>
      <extLst>
        <ext uri="{3e2802c4-a4d2-4d8b-9148-e3be6c30e623}">
          <xlrd:rvb i="15176"/>
        </ext>
      </extLst>
    </bk>
    <bk>
      <extLst>
        <ext uri="{3e2802c4-a4d2-4d8b-9148-e3be6c30e623}">
          <xlrd:rvb i="15177"/>
        </ext>
      </extLst>
    </bk>
    <bk>
      <extLst>
        <ext uri="{3e2802c4-a4d2-4d8b-9148-e3be6c30e623}">
          <xlrd:rvb i="15178"/>
        </ext>
      </extLst>
    </bk>
    <bk>
      <extLst>
        <ext uri="{3e2802c4-a4d2-4d8b-9148-e3be6c30e623}">
          <xlrd:rvb i="15179"/>
        </ext>
      </extLst>
    </bk>
    <bk>
      <extLst>
        <ext uri="{3e2802c4-a4d2-4d8b-9148-e3be6c30e623}">
          <xlrd:rvb i="15180"/>
        </ext>
      </extLst>
    </bk>
    <bk>
      <extLst>
        <ext uri="{3e2802c4-a4d2-4d8b-9148-e3be6c30e623}">
          <xlrd:rvb i="15181"/>
        </ext>
      </extLst>
    </bk>
    <bk>
      <extLst>
        <ext uri="{3e2802c4-a4d2-4d8b-9148-e3be6c30e623}">
          <xlrd:rvb i="15182"/>
        </ext>
      </extLst>
    </bk>
    <bk>
      <extLst>
        <ext uri="{3e2802c4-a4d2-4d8b-9148-e3be6c30e623}">
          <xlrd:rvb i="15183"/>
        </ext>
      </extLst>
    </bk>
    <bk>
      <extLst>
        <ext uri="{3e2802c4-a4d2-4d8b-9148-e3be6c30e623}">
          <xlrd:rvb i="15184"/>
        </ext>
      </extLst>
    </bk>
    <bk>
      <extLst>
        <ext uri="{3e2802c4-a4d2-4d8b-9148-e3be6c30e623}">
          <xlrd:rvb i="15185"/>
        </ext>
      </extLst>
    </bk>
    <bk>
      <extLst>
        <ext uri="{3e2802c4-a4d2-4d8b-9148-e3be6c30e623}">
          <xlrd:rvb i="15186"/>
        </ext>
      </extLst>
    </bk>
    <bk>
      <extLst>
        <ext uri="{3e2802c4-a4d2-4d8b-9148-e3be6c30e623}">
          <xlrd:rvb i="15187"/>
        </ext>
      </extLst>
    </bk>
    <bk>
      <extLst>
        <ext uri="{3e2802c4-a4d2-4d8b-9148-e3be6c30e623}">
          <xlrd:rvb i="15188"/>
        </ext>
      </extLst>
    </bk>
    <bk>
      <extLst>
        <ext uri="{3e2802c4-a4d2-4d8b-9148-e3be6c30e623}">
          <xlrd:rvb i="15189"/>
        </ext>
      </extLst>
    </bk>
    <bk>
      <extLst>
        <ext uri="{3e2802c4-a4d2-4d8b-9148-e3be6c30e623}">
          <xlrd:rvb i="15190"/>
        </ext>
      </extLst>
    </bk>
    <bk>
      <extLst>
        <ext uri="{3e2802c4-a4d2-4d8b-9148-e3be6c30e623}">
          <xlrd:rvb i="15191"/>
        </ext>
      </extLst>
    </bk>
    <bk>
      <extLst>
        <ext uri="{3e2802c4-a4d2-4d8b-9148-e3be6c30e623}">
          <xlrd:rvb i="15192"/>
        </ext>
      </extLst>
    </bk>
    <bk>
      <extLst>
        <ext uri="{3e2802c4-a4d2-4d8b-9148-e3be6c30e623}">
          <xlrd:rvb i="15193"/>
        </ext>
      </extLst>
    </bk>
    <bk>
      <extLst>
        <ext uri="{3e2802c4-a4d2-4d8b-9148-e3be6c30e623}">
          <xlrd:rvb i="15194"/>
        </ext>
      </extLst>
    </bk>
    <bk>
      <extLst>
        <ext uri="{3e2802c4-a4d2-4d8b-9148-e3be6c30e623}">
          <xlrd:rvb i="15195"/>
        </ext>
      </extLst>
    </bk>
    <bk>
      <extLst>
        <ext uri="{3e2802c4-a4d2-4d8b-9148-e3be6c30e623}">
          <xlrd:rvb i="15196"/>
        </ext>
      </extLst>
    </bk>
    <bk>
      <extLst>
        <ext uri="{3e2802c4-a4d2-4d8b-9148-e3be6c30e623}">
          <xlrd:rvb i="15197"/>
        </ext>
      </extLst>
    </bk>
    <bk>
      <extLst>
        <ext uri="{3e2802c4-a4d2-4d8b-9148-e3be6c30e623}">
          <xlrd:rvb i="15198"/>
        </ext>
      </extLst>
    </bk>
    <bk>
      <extLst>
        <ext uri="{3e2802c4-a4d2-4d8b-9148-e3be6c30e623}">
          <xlrd:rvb i="15199"/>
        </ext>
      </extLst>
    </bk>
    <bk>
      <extLst>
        <ext uri="{3e2802c4-a4d2-4d8b-9148-e3be6c30e623}">
          <xlrd:rvb i="15200"/>
        </ext>
      </extLst>
    </bk>
    <bk>
      <extLst>
        <ext uri="{3e2802c4-a4d2-4d8b-9148-e3be6c30e623}">
          <xlrd:rvb i="15201"/>
        </ext>
      </extLst>
    </bk>
    <bk>
      <extLst>
        <ext uri="{3e2802c4-a4d2-4d8b-9148-e3be6c30e623}">
          <xlrd:rvb i="15202"/>
        </ext>
      </extLst>
    </bk>
    <bk>
      <extLst>
        <ext uri="{3e2802c4-a4d2-4d8b-9148-e3be6c30e623}">
          <xlrd:rvb i="15203"/>
        </ext>
      </extLst>
    </bk>
    <bk>
      <extLst>
        <ext uri="{3e2802c4-a4d2-4d8b-9148-e3be6c30e623}">
          <xlrd:rvb i="15204"/>
        </ext>
      </extLst>
    </bk>
    <bk>
      <extLst>
        <ext uri="{3e2802c4-a4d2-4d8b-9148-e3be6c30e623}">
          <xlrd:rvb i="15205"/>
        </ext>
      </extLst>
    </bk>
    <bk>
      <extLst>
        <ext uri="{3e2802c4-a4d2-4d8b-9148-e3be6c30e623}">
          <xlrd:rvb i="15206"/>
        </ext>
      </extLst>
    </bk>
    <bk>
      <extLst>
        <ext uri="{3e2802c4-a4d2-4d8b-9148-e3be6c30e623}">
          <xlrd:rvb i="15207"/>
        </ext>
      </extLst>
    </bk>
    <bk>
      <extLst>
        <ext uri="{3e2802c4-a4d2-4d8b-9148-e3be6c30e623}">
          <xlrd:rvb i="15208"/>
        </ext>
      </extLst>
    </bk>
    <bk>
      <extLst>
        <ext uri="{3e2802c4-a4d2-4d8b-9148-e3be6c30e623}">
          <xlrd:rvb i="15209"/>
        </ext>
      </extLst>
    </bk>
    <bk>
      <extLst>
        <ext uri="{3e2802c4-a4d2-4d8b-9148-e3be6c30e623}">
          <xlrd:rvb i="15210"/>
        </ext>
      </extLst>
    </bk>
    <bk>
      <extLst>
        <ext uri="{3e2802c4-a4d2-4d8b-9148-e3be6c30e623}">
          <xlrd:rvb i="15211"/>
        </ext>
      </extLst>
    </bk>
    <bk>
      <extLst>
        <ext uri="{3e2802c4-a4d2-4d8b-9148-e3be6c30e623}">
          <xlrd:rvb i="15212"/>
        </ext>
      </extLst>
    </bk>
    <bk>
      <extLst>
        <ext uri="{3e2802c4-a4d2-4d8b-9148-e3be6c30e623}">
          <xlrd:rvb i="15213"/>
        </ext>
      </extLst>
    </bk>
    <bk>
      <extLst>
        <ext uri="{3e2802c4-a4d2-4d8b-9148-e3be6c30e623}">
          <xlrd:rvb i="15214"/>
        </ext>
      </extLst>
    </bk>
    <bk>
      <extLst>
        <ext uri="{3e2802c4-a4d2-4d8b-9148-e3be6c30e623}">
          <xlrd:rvb i="15215"/>
        </ext>
      </extLst>
    </bk>
    <bk>
      <extLst>
        <ext uri="{3e2802c4-a4d2-4d8b-9148-e3be6c30e623}">
          <xlrd:rvb i="15216"/>
        </ext>
      </extLst>
    </bk>
    <bk>
      <extLst>
        <ext uri="{3e2802c4-a4d2-4d8b-9148-e3be6c30e623}">
          <xlrd:rvb i="15217"/>
        </ext>
      </extLst>
    </bk>
    <bk>
      <extLst>
        <ext uri="{3e2802c4-a4d2-4d8b-9148-e3be6c30e623}">
          <xlrd:rvb i="15218"/>
        </ext>
      </extLst>
    </bk>
    <bk>
      <extLst>
        <ext uri="{3e2802c4-a4d2-4d8b-9148-e3be6c30e623}">
          <xlrd:rvb i="15219"/>
        </ext>
      </extLst>
    </bk>
    <bk>
      <extLst>
        <ext uri="{3e2802c4-a4d2-4d8b-9148-e3be6c30e623}">
          <xlrd:rvb i="15220"/>
        </ext>
      </extLst>
    </bk>
    <bk>
      <extLst>
        <ext uri="{3e2802c4-a4d2-4d8b-9148-e3be6c30e623}">
          <xlrd:rvb i="15221"/>
        </ext>
      </extLst>
    </bk>
    <bk>
      <extLst>
        <ext uri="{3e2802c4-a4d2-4d8b-9148-e3be6c30e623}">
          <xlrd:rvb i="15222"/>
        </ext>
      </extLst>
    </bk>
    <bk>
      <extLst>
        <ext uri="{3e2802c4-a4d2-4d8b-9148-e3be6c30e623}">
          <xlrd:rvb i="15223"/>
        </ext>
      </extLst>
    </bk>
    <bk>
      <extLst>
        <ext uri="{3e2802c4-a4d2-4d8b-9148-e3be6c30e623}">
          <xlrd:rvb i="15224"/>
        </ext>
      </extLst>
    </bk>
    <bk>
      <extLst>
        <ext uri="{3e2802c4-a4d2-4d8b-9148-e3be6c30e623}">
          <xlrd:rvb i="15225"/>
        </ext>
      </extLst>
    </bk>
    <bk>
      <extLst>
        <ext uri="{3e2802c4-a4d2-4d8b-9148-e3be6c30e623}">
          <xlrd:rvb i="15226"/>
        </ext>
      </extLst>
    </bk>
    <bk>
      <extLst>
        <ext uri="{3e2802c4-a4d2-4d8b-9148-e3be6c30e623}">
          <xlrd:rvb i="15227"/>
        </ext>
      </extLst>
    </bk>
    <bk>
      <extLst>
        <ext uri="{3e2802c4-a4d2-4d8b-9148-e3be6c30e623}">
          <xlrd:rvb i="15228"/>
        </ext>
      </extLst>
    </bk>
    <bk>
      <extLst>
        <ext uri="{3e2802c4-a4d2-4d8b-9148-e3be6c30e623}">
          <xlrd:rvb i="15229"/>
        </ext>
      </extLst>
    </bk>
    <bk>
      <extLst>
        <ext uri="{3e2802c4-a4d2-4d8b-9148-e3be6c30e623}">
          <xlrd:rvb i="15230"/>
        </ext>
      </extLst>
    </bk>
    <bk>
      <extLst>
        <ext uri="{3e2802c4-a4d2-4d8b-9148-e3be6c30e623}">
          <xlrd:rvb i="15231"/>
        </ext>
      </extLst>
    </bk>
    <bk>
      <extLst>
        <ext uri="{3e2802c4-a4d2-4d8b-9148-e3be6c30e623}">
          <xlrd:rvb i="15232"/>
        </ext>
      </extLst>
    </bk>
    <bk>
      <extLst>
        <ext uri="{3e2802c4-a4d2-4d8b-9148-e3be6c30e623}">
          <xlrd:rvb i="15233"/>
        </ext>
      </extLst>
    </bk>
    <bk>
      <extLst>
        <ext uri="{3e2802c4-a4d2-4d8b-9148-e3be6c30e623}">
          <xlrd:rvb i="15234"/>
        </ext>
      </extLst>
    </bk>
    <bk>
      <extLst>
        <ext uri="{3e2802c4-a4d2-4d8b-9148-e3be6c30e623}">
          <xlrd:rvb i="15235"/>
        </ext>
      </extLst>
    </bk>
    <bk>
      <extLst>
        <ext uri="{3e2802c4-a4d2-4d8b-9148-e3be6c30e623}">
          <xlrd:rvb i="15236"/>
        </ext>
      </extLst>
    </bk>
    <bk>
      <extLst>
        <ext uri="{3e2802c4-a4d2-4d8b-9148-e3be6c30e623}">
          <xlrd:rvb i="15237"/>
        </ext>
      </extLst>
    </bk>
    <bk>
      <extLst>
        <ext uri="{3e2802c4-a4d2-4d8b-9148-e3be6c30e623}">
          <xlrd:rvb i="15238"/>
        </ext>
      </extLst>
    </bk>
    <bk>
      <extLst>
        <ext uri="{3e2802c4-a4d2-4d8b-9148-e3be6c30e623}">
          <xlrd:rvb i="15239"/>
        </ext>
      </extLst>
    </bk>
    <bk>
      <extLst>
        <ext uri="{3e2802c4-a4d2-4d8b-9148-e3be6c30e623}">
          <xlrd:rvb i="15240"/>
        </ext>
      </extLst>
    </bk>
    <bk>
      <extLst>
        <ext uri="{3e2802c4-a4d2-4d8b-9148-e3be6c30e623}">
          <xlrd:rvb i="15241"/>
        </ext>
      </extLst>
    </bk>
    <bk>
      <extLst>
        <ext uri="{3e2802c4-a4d2-4d8b-9148-e3be6c30e623}">
          <xlrd:rvb i="15242"/>
        </ext>
      </extLst>
    </bk>
    <bk>
      <extLst>
        <ext uri="{3e2802c4-a4d2-4d8b-9148-e3be6c30e623}">
          <xlrd:rvb i="15243"/>
        </ext>
      </extLst>
    </bk>
    <bk>
      <extLst>
        <ext uri="{3e2802c4-a4d2-4d8b-9148-e3be6c30e623}">
          <xlrd:rvb i="15244"/>
        </ext>
      </extLst>
    </bk>
    <bk>
      <extLst>
        <ext uri="{3e2802c4-a4d2-4d8b-9148-e3be6c30e623}">
          <xlrd:rvb i="15245"/>
        </ext>
      </extLst>
    </bk>
    <bk>
      <extLst>
        <ext uri="{3e2802c4-a4d2-4d8b-9148-e3be6c30e623}">
          <xlrd:rvb i="15246"/>
        </ext>
      </extLst>
    </bk>
    <bk>
      <extLst>
        <ext uri="{3e2802c4-a4d2-4d8b-9148-e3be6c30e623}">
          <xlrd:rvb i="15247"/>
        </ext>
      </extLst>
    </bk>
    <bk>
      <extLst>
        <ext uri="{3e2802c4-a4d2-4d8b-9148-e3be6c30e623}">
          <xlrd:rvb i="15248"/>
        </ext>
      </extLst>
    </bk>
    <bk>
      <extLst>
        <ext uri="{3e2802c4-a4d2-4d8b-9148-e3be6c30e623}">
          <xlrd:rvb i="15249"/>
        </ext>
      </extLst>
    </bk>
    <bk>
      <extLst>
        <ext uri="{3e2802c4-a4d2-4d8b-9148-e3be6c30e623}">
          <xlrd:rvb i="15250"/>
        </ext>
      </extLst>
    </bk>
    <bk>
      <extLst>
        <ext uri="{3e2802c4-a4d2-4d8b-9148-e3be6c30e623}">
          <xlrd:rvb i="15251"/>
        </ext>
      </extLst>
    </bk>
    <bk>
      <extLst>
        <ext uri="{3e2802c4-a4d2-4d8b-9148-e3be6c30e623}">
          <xlrd:rvb i="15252"/>
        </ext>
      </extLst>
    </bk>
    <bk>
      <extLst>
        <ext uri="{3e2802c4-a4d2-4d8b-9148-e3be6c30e623}">
          <xlrd:rvb i="15253"/>
        </ext>
      </extLst>
    </bk>
    <bk>
      <extLst>
        <ext uri="{3e2802c4-a4d2-4d8b-9148-e3be6c30e623}">
          <xlrd:rvb i="15254"/>
        </ext>
      </extLst>
    </bk>
    <bk>
      <extLst>
        <ext uri="{3e2802c4-a4d2-4d8b-9148-e3be6c30e623}">
          <xlrd:rvb i="15255"/>
        </ext>
      </extLst>
    </bk>
    <bk>
      <extLst>
        <ext uri="{3e2802c4-a4d2-4d8b-9148-e3be6c30e623}">
          <xlrd:rvb i="15256"/>
        </ext>
      </extLst>
    </bk>
    <bk>
      <extLst>
        <ext uri="{3e2802c4-a4d2-4d8b-9148-e3be6c30e623}">
          <xlrd:rvb i="15257"/>
        </ext>
      </extLst>
    </bk>
    <bk>
      <extLst>
        <ext uri="{3e2802c4-a4d2-4d8b-9148-e3be6c30e623}">
          <xlrd:rvb i="15258"/>
        </ext>
      </extLst>
    </bk>
    <bk>
      <extLst>
        <ext uri="{3e2802c4-a4d2-4d8b-9148-e3be6c30e623}">
          <xlrd:rvb i="15259"/>
        </ext>
      </extLst>
    </bk>
    <bk>
      <extLst>
        <ext uri="{3e2802c4-a4d2-4d8b-9148-e3be6c30e623}">
          <xlrd:rvb i="15260"/>
        </ext>
      </extLst>
    </bk>
    <bk>
      <extLst>
        <ext uri="{3e2802c4-a4d2-4d8b-9148-e3be6c30e623}">
          <xlrd:rvb i="15261"/>
        </ext>
      </extLst>
    </bk>
    <bk>
      <extLst>
        <ext uri="{3e2802c4-a4d2-4d8b-9148-e3be6c30e623}">
          <xlrd:rvb i="15262"/>
        </ext>
      </extLst>
    </bk>
    <bk>
      <extLst>
        <ext uri="{3e2802c4-a4d2-4d8b-9148-e3be6c30e623}">
          <xlrd:rvb i="15263"/>
        </ext>
      </extLst>
    </bk>
    <bk>
      <extLst>
        <ext uri="{3e2802c4-a4d2-4d8b-9148-e3be6c30e623}">
          <xlrd:rvb i="15264"/>
        </ext>
      </extLst>
    </bk>
    <bk>
      <extLst>
        <ext uri="{3e2802c4-a4d2-4d8b-9148-e3be6c30e623}">
          <xlrd:rvb i="15265"/>
        </ext>
      </extLst>
    </bk>
    <bk>
      <extLst>
        <ext uri="{3e2802c4-a4d2-4d8b-9148-e3be6c30e623}">
          <xlrd:rvb i="15266"/>
        </ext>
      </extLst>
    </bk>
    <bk>
      <extLst>
        <ext uri="{3e2802c4-a4d2-4d8b-9148-e3be6c30e623}">
          <xlrd:rvb i="15267"/>
        </ext>
      </extLst>
    </bk>
    <bk>
      <extLst>
        <ext uri="{3e2802c4-a4d2-4d8b-9148-e3be6c30e623}">
          <xlrd:rvb i="15268"/>
        </ext>
      </extLst>
    </bk>
    <bk>
      <extLst>
        <ext uri="{3e2802c4-a4d2-4d8b-9148-e3be6c30e623}">
          <xlrd:rvb i="15269"/>
        </ext>
      </extLst>
    </bk>
    <bk>
      <extLst>
        <ext uri="{3e2802c4-a4d2-4d8b-9148-e3be6c30e623}">
          <xlrd:rvb i="15270"/>
        </ext>
      </extLst>
    </bk>
    <bk>
      <extLst>
        <ext uri="{3e2802c4-a4d2-4d8b-9148-e3be6c30e623}">
          <xlrd:rvb i="15271"/>
        </ext>
      </extLst>
    </bk>
    <bk>
      <extLst>
        <ext uri="{3e2802c4-a4d2-4d8b-9148-e3be6c30e623}">
          <xlrd:rvb i="15272"/>
        </ext>
      </extLst>
    </bk>
    <bk>
      <extLst>
        <ext uri="{3e2802c4-a4d2-4d8b-9148-e3be6c30e623}">
          <xlrd:rvb i="15273"/>
        </ext>
      </extLst>
    </bk>
    <bk>
      <extLst>
        <ext uri="{3e2802c4-a4d2-4d8b-9148-e3be6c30e623}">
          <xlrd:rvb i="15274"/>
        </ext>
      </extLst>
    </bk>
    <bk>
      <extLst>
        <ext uri="{3e2802c4-a4d2-4d8b-9148-e3be6c30e623}">
          <xlrd:rvb i="15275"/>
        </ext>
      </extLst>
    </bk>
    <bk>
      <extLst>
        <ext uri="{3e2802c4-a4d2-4d8b-9148-e3be6c30e623}">
          <xlrd:rvb i="15276"/>
        </ext>
      </extLst>
    </bk>
    <bk>
      <extLst>
        <ext uri="{3e2802c4-a4d2-4d8b-9148-e3be6c30e623}">
          <xlrd:rvb i="15277"/>
        </ext>
      </extLst>
    </bk>
    <bk>
      <extLst>
        <ext uri="{3e2802c4-a4d2-4d8b-9148-e3be6c30e623}">
          <xlrd:rvb i="15278"/>
        </ext>
      </extLst>
    </bk>
    <bk>
      <extLst>
        <ext uri="{3e2802c4-a4d2-4d8b-9148-e3be6c30e623}">
          <xlrd:rvb i="15279"/>
        </ext>
      </extLst>
    </bk>
    <bk>
      <extLst>
        <ext uri="{3e2802c4-a4d2-4d8b-9148-e3be6c30e623}">
          <xlrd:rvb i="15280"/>
        </ext>
      </extLst>
    </bk>
    <bk>
      <extLst>
        <ext uri="{3e2802c4-a4d2-4d8b-9148-e3be6c30e623}">
          <xlrd:rvb i="15281"/>
        </ext>
      </extLst>
    </bk>
    <bk>
      <extLst>
        <ext uri="{3e2802c4-a4d2-4d8b-9148-e3be6c30e623}">
          <xlrd:rvb i="15282"/>
        </ext>
      </extLst>
    </bk>
    <bk>
      <extLst>
        <ext uri="{3e2802c4-a4d2-4d8b-9148-e3be6c30e623}">
          <xlrd:rvb i="15283"/>
        </ext>
      </extLst>
    </bk>
    <bk>
      <extLst>
        <ext uri="{3e2802c4-a4d2-4d8b-9148-e3be6c30e623}">
          <xlrd:rvb i="15284"/>
        </ext>
      </extLst>
    </bk>
    <bk>
      <extLst>
        <ext uri="{3e2802c4-a4d2-4d8b-9148-e3be6c30e623}">
          <xlrd:rvb i="15285"/>
        </ext>
      </extLst>
    </bk>
    <bk>
      <extLst>
        <ext uri="{3e2802c4-a4d2-4d8b-9148-e3be6c30e623}">
          <xlrd:rvb i="15286"/>
        </ext>
      </extLst>
    </bk>
    <bk>
      <extLst>
        <ext uri="{3e2802c4-a4d2-4d8b-9148-e3be6c30e623}">
          <xlrd:rvb i="15287"/>
        </ext>
      </extLst>
    </bk>
    <bk>
      <extLst>
        <ext uri="{3e2802c4-a4d2-4d8b-9148-e3be6c30e623}">
          <xlrd:rvb i="15288"/>
        </ext>
      </extLst>
    </bk>
    <bk>
      <extLst>
        <ext uri="{3e2802c4-a4d2-4d8b-9148-e3be6c30e623}">
          <xlrd:rvb i="15289"/>
        </ext>
      </extLst>
    </bk>
    <bk>
      <extLst>
        <ext uri="{3e2802c4-a4d2-4d8b-9148-e3be6c30e623}">
          <xlrd:rvb i="15290"/>
        </ext>
      </extLst>
    </bk>
    <bk>
      <extLst>
        <ext uri="{3e2802c4-a4d2-4d8b-9148-e3be6c30e623}">
          <xlrd:rvb i="15291"/>
        </ext>
      </extLst>
    </bk>
    <bk>
      <extLst>
        <ext uri="{3e2802c4-a4d2-4d8b-9148-e3be6c30e623}">
          <xlrd:rvb i="15292"/>
        </ext>
      </extLst>
    </bk>
    <bk>
      <extLst>
        <ext uri="{3e2802c4-a4d2-4d8b-9148-e3be6c30e623}">
          <xlrd:rvb i="15293"/>
        </ext>
      </extLst>
    </bk>
    <bk>
      <extLst>
        <ext uri="{3e2802c4-a4d2-4d8b-9148-e3be6c30e623}">
          <xlrd:rvb i="15294"/>
        </ext>
      </extLst>
    </bk>
    <bk>
      <extLst>
        <ext uri="{3e2802c4-a4d2-4d8b-9148-e3be6c30e623}">
          <xlrd:rvb i="15295"/>
        </ext>
      </extLst>
    </bk>
    <bk>
      <extLst>
        <ext uri="{3e2802c4-a4d2-4d8b-9148-e3be6c30e623}">
          <xlrd:rvb i="15296"/>
        </ext>
      </extLst>
    </bk>
    <bk>
      <extLst>
        <ext uri="{3e2802c4-a4d2-4d8b-9148-e3be6c30e623}">
          <xlrd:rvb i="15297"/>
        </ext>
      </extLst>
    </bk>
    <bk>
      <extLst>
        <ext uri="{3e2802c4-a4d2-4d8b-9148-e3be6c30e623}">
          <xlrd:rvb i="15298"/>
        </ext>
      </extLst>
    </bk>
    <bk>
      <extLst>
        <ext uri="{3e2802c4-a4d2-4d8b-9148-e3be6c30e623}">
          <xlrd:rvb i="15299"/>
        </ext>
      </extLst>
    </bk>
    <bk>
      <extLst>
        <ext uri="{3e2802c4-a4d2-4d8b-9148-e3be6c30e623}">
          <xlrd:rvb i="15300"/>
        </ext>
      </extLst>
    </bk>
    <bk>
      <extLst>
        <ext uri="{3e2802c4-a4d2-4d8b-9148-e3be6c30e623}">
          <xlrd:rvb i="15301"/>
        </ext>
      </extLst>
    </bk>
    <bk>
      <extLst>
        <ext uri="{3e2802c4-a4d2-4d8b-9148-e3be6c30e623}">
          <xlrd:rvb i="15302"/>
        </ext>
      </extLst>
    </bk>
    <bk>
      <extLst>
        <ext uri="{3e2802c4-a4d2-4d8b-9148-e3be6c30e623}">
          <xlrd:rvb i="15303"/>
        </ext>
      </extLst>
    </bk>
    <bk>
      <extLst>
        <ext uri="{3e2802c4-a4d2-4d8b-9148-e3be6c30e623}">
          <xlrd:rvb i="15304"/>
        </ext>
      </extLst>
    </bk>
    <bk>
      <extLst>
        <ext uri="{3e2802c4-a4d2-4d8b-9148-e3be6c30e623}">
          <xlrd:rvb i="15305"/>
        </ext>
      </extLst>
    </bk>
    <bk>
      <extLst>
        <ext uri="{3e2802c4-a4d2-4d8b-9148-e3be6c30e623}">
          <xlrd:rvb i="15306"/>
        </ext>
      </extLst>
    </bk>
    <bk>
      <extLst>
        <ext uri="{3e2802c4-a4d2-4d8b-9148-e3be6c30e623}">
          <xlrd:rvb i="15307"/>
        </ext>
      </extLst>
    </bk>
    <bk>
      <extLst>
        <ext uri="{3e2802c4-a4d2-4d8b-9148-e3be6c30e623}">
          <xlrd:rvb i="15308"/>
        </ext>
      </extLst>
    </bk>
    <bk>
      <extLst>
        <ext uri="{3e2802c4-a4d2-4d8b-9148-e3be6c30e623}">
          <xlrd:rvb i="15309"/>
        </ext>
      </extLst>
    </bk>
    <bk>
      <extLst>
        <ext uri="{3e2802c4-a4d2-4d8b-9148-e3be6c30e623}">
          <xlrd:rvb i="15310"/>
        </ext>
      </extLst>
    </bk>
    <bk>
      <extLst>
        <ext uri="{3e2802c4-a4d2-4d8b-9148-e3be6c30e623}">
          <xlrd:rvb i="15311"/>
        </ext>
      </extLst>
    </bk>
    <bk>
      <extLst>
        <ext uri="{3e2802c4-a4d2-4d8b-9148-e3be6c30e623}">
          <xlrd:rvb i="15312"/>
        </ext>
      </extLst>
    </bk>
    <bk>
      <extLst>
        <ext uri="{3e2802c4-a4d2-4d8b-9148-e3be6c30e623}">
          <xlrd:rvb i="15313"/>
        </ext>
      </extLst>
    </bk>
    <bk>
      <extLst>
        <ext uri="{3e2802c4-a4d2-4d8b-9148-e3be6c30e623}">
          <xlrd:rvb i="15314"/>
        </ext>
      </extLst>
    </bk>
    <bk>
      <extLst>
        <ext uri="{3e2802c4-a4d2-4d8b-9148-e3be6c30e623}">
          <xlrd:rvb i="15315"/>
        </ext>
      </extLst>
    </bk>
    <bk>
      <extLst>
        <ext uri="{3e2802c4-a4d2-4d8b-9148-e3be6c30e623}">
          <xlrd:rvb i="15316"/>
        </ext>
      </extLst>
    </bk>
    <bk>
      <extLst>
        <ext uri="{3e2802c4-a4d2-4d8b-9148-e3be6c30e623}">
          <xlrd:rvb i="15317"/>
        </ext>
      </extLst>
    </bk>
    <bk>
      <extLst>
        <ext uri="{3e2802c4-a4d2-4d8b-9148-e3be6c30e623}">
          <xlrd:rvb i="15318"/>
        </ext>
      </extLst>
    </bk>
    <bk>
      <extLst>
        <ext uri="{3e2802c4-a4d2-4d8b-9148-e3be6c30e623}">
          <xlrd:rvb i="15319"/>
        </ext>
      </extLst>
    </bk>
    <bk>
      <extLst>
        <ext uri="{3e2802c4-a4d2-4d8b-9148-e3be6c30e623}">
          <xlrd:rvb i="15320"/>
        </ext>
      </extLst>
    </bk>
    <bk>
      <extLst>
        <ext uri="{3e2802c4-a4d2-4d8b-9148-e3be6c30e623}">
          <xlrd:rvb i="15321"/>
        </ext>
      </extLst>
    </bk>
    <bk>
      <extLst>
        <ext uri="{3e2802c4-a4d2-4d8b-9148-e3be6c30e623}">
          <xlrd:rvb i="15322"/>
        </ext>
      </extLst>
    </bk>
    <bk>
      <extLst>
        <ext uri="{3e2802c4-a4d2-4d8b-9148-e3be6c30e623}">
          <xlrd:rvb i="15323"/>
        </ext>
      </extLst>
    </bk>
    <bk>
      <extLst>
        <ext uri="{3e2802c4-a4d2-4d8b-9148-e3be6c30e623}">
          <xlrd:rvb i="15324"/>
        </ext>
      </extLst>
    </bk>
    <bk>
      <extLst>
        <ext uri="{3e2802c4-a4d2-4d8b-9148-e3be6c30e623}">
          <xlrd:rvb i="15325"/>
        </ext>
      </extLst>
    </bk>
    <bk>
      <extLst>
        <ext uri="{3e2802c4-a4d2-4d8b-9148-e3be6c30e623}">
          <xlrd:rvb i="15326"/>
        </ext>
      </extLst>
    </bk>
    <bk>
      <extLst>
        <ext uri="{3e2802c4-a4d2-4d8b-9148-e3be6c30e623}">
          <xlrd:rvb i="15327"/>
        </ext>
      </extLst>
    </bk>
    <bk>
      <extLst>
        <ext uri="{3e2802c4-a4d2-4d8b-9148-e3be6c30e623}">
          <xlrd:rvb i="15328"/>
        </ext>
      </extLst>
    </bk>
    <bk>
      <extLst>
        <ext uri="{3e2802c4-a4d2-4d8b-9148-e3be6c30e623}">
          <xlrd:rvb i="15329"/>
        </ext>
      </extLst>
    </bk>
    <bk>
      <extLst>
        <ext uri="{3e2802c4-a4d2-4d8b-9148-e3be6c30e623}">
          <xlrd:rvb i="15330"/>
        </ext>
      </extLst>
    </bk>
    <bk>
      <extLst>
        <ext uri="{3e2802c4-a4d2-4d8b-9148-e3be6c30e623}">
          <xlrd:rvb i="15331"/>
        </ext>
      </extLst>
    </bk>
    <bk>
      <extLst>
        <ext uri="{3e2802c4-a4d2-4d8b-9148-e3be6c30e623}">
          <xlrd:rvb i="15332"/>
        </ext>
      </extLst>
    </bk>
    <bk>
      <extLst>
        <ext uri="{3e2802c4-a4d2-4d8b-9148-e3be6c30e623}">
          <xlrd:rvb i="15333"/>
        </ext>
      </extLst>
    </bk>
    <bk>
      <extLst>
        <ext uri="{3e2802c4-a4d2-4d8b-9148-e3be6c30e623}">
          <xlrd:rvb i="15334"/>
        </ext>
      </extLst>
    </bk>
    <bk>
      <extLst>
        <ext uri="{3e2802c4-a4d2-4d8b-9148-e3be6c30e623}">
          <xlrd:rvb i="15335"/>
        </ext>
      </extLst>
    </bk>
    <bk>
      <extLst>
        <ext uri="{3e2802c4-a4d2-4d8b-9148-e3be6c30e623}">
          <xlrd:rvb i="15336"/>
        </ext>
      </extLst>
    </bk>
    <bk>
      <extLst>
        <ext uri="{3e2802c4-a4d2-4d8b-9148-e3be6c30e623}">
          <xlrd:rvb i="15337"/>
        </ext>
      </extLst>
    </bk>
    <bk>
      <extLst>
        <ext uri="{3e2802c4-a4d2-4d8b-9148-e3be6c30e623}">
          <xlrd:rvb i="15338"/>
        </ext>
      </extLst>
    </bk>
    <bk>
      <extLst>
        <ext uri="{3e2802c4-a4d2-4d8b-9148-e3be6c30e623}">
          <xlrd:rvb i="15339"/>
        </ext>
      </extLst>
    </bk>
    <bk>
      <extLst>
        <ext uri="{3e2802c4-a4d2-4d8b-9148-e3be6c30e623}">
          <xlrd:rvb i="15340"/>
        </ext>
      </extLst>
    </bk>
    <bk>
      <extLst>
        <ext uri="{3e2802c4-a4d2-4d8b-9148-e3be6c30e623}">
          <xlrd:rvb i="15341"/>
        </ext>
      </extLst>
    </bk>
    <bk>
      <extLst>
        <ext uri="{3e2802c4-a4d2-4d8b-9148-e3be6c30e623}">
          <xlrd:rvb i="15342"/>
        </ext>
      </extLst>
    </bk>
    <bk>
      <extLst>
        <ext uri="{3e2802c4-a4d2-4d8b-9148-e3be6c30e623}">
          <xlrd:rvb i="15343"/>
        </ext>
      </extLst>
    </bk>
    <bk>
      <extLst>
        <ext uri="{3e2802c4-a4d2-4d8b-9148-e3be6c30e623}">
          <xlrd:rvb i="15344"/>
        </ext>
      </extLst>
    </bk>
    <bk>
      <extLst>
        <ext uri="{3e2802c4-a4d2-4d8b-9148-e3be6c30e623}">
          <xlrd:rvb i="15345"/>
        </ext>
      </extLst>
    </bk>
    <bk>
      <extLst>
        <ext uri="{3e2802c4-a4d2-4d8b-9148-e3be6c30e623}">
          <xlrd:rvb i="15346"/>
        </ext>
      </extLst>
    </bk>
    <bk>
      <extLst>
        <ext uri="{3e2802c4-a4d2-4d8b-9148-e3be6c30e623}">
          <xlrd:rvb i="15347"/>
        </ext>
      </extLst>
    </bk>
    <bk>
      <extLst>
        <ext uri="{3e2802c4-a4d2-4d8b-9148-e3be6c30e623}">
          <xlrd:rvb i="15348"/>
        </ext>
      </extLst>
    </bk>
    <bk>
      <extLst>
        <ext uri="{3e2802c4-a4d2-4d8b-9148-e3be6c30e623}">
          <xlrd:rvb i="15349"/>
        </ext>
      </extLst>
    </bk>
    <bk>
      <extLst>
        <ext uri="{3e2802c4-a4d2-4d8b-9148-e3be6c30e623}">
          <xlrd:rvb i="15350"/>
        </ext>
      </extLst>
    </bk>
    <bk>
      <extLst>
        <ext uri="{3e2802c4-a4d2-4d8b-9148-e3be6c30e623}">
          <xlrd:rvb i="15351"/>
        </ext>
      </extLst>
    </bk>
    <bk>
      <extLst>
        <ext uri="{3e2802c4-a4d2-4d8b-9148-e3be6c30e623}">
          <xlrd:rvb i="15352"/>
        </ext>
      </extLst>
    </bk>
    <bk>
      <extLst>
        <ext uri="{3e2802c4-a4d2-4d8b-9148-e3be6c30e623}">
          <xlrd:rvb i="15353"/>
        </ext>
      </extLst>
    </bk>
    <bk>
      <extLst>
        <ext uri="{3e2802c4-a4d2-4d8b-9148-e3be6c30e623}">
          <xlrd:rvb i="15354"/>
        </ext>
      </extLst>
    </bk>
    <bk>
      <extLst>
        <ext uri="{3e2802c4-a4d2-4d8b-9148-e3be6c30e623}">
          <xlrd:rvb i="15355"/>
        </ext>
      </extLst>
    </bk>
    <bk>
      <extLst>
        <ext uri="{3e2802c4-a4d2-4d8b-9148-e3be6c30e623}">
          <xlrd:rvb i="15356"/>
        </ext>
      </extLst>
    </bk>
    <bk>
      <extLst>
        <ext uri="{3e2802c4-a4d2-4d8b-9148-e3be6c30e623}">
          <xlrd:rvb i="15357"/>
        </ext>
      </extLst>
    </bk>
    <bk>
      <extLst>
        <ext uri="{3e2802c4-a4d2-4d8b-9148-e3be6c30e623}">
          <xlrd:rvb i="15358"/>
        </ext>
      </extLst>
    </bk>
    <bk>
      <extLst>
        <ext uri="{3e2802c4-a4d2-4d8b-9148-e3be6c30e623}">
          <xlrd:rvb i="15359"/>
        </ext>
      </extLst>
    </bk>
    <bk>
      <extLst>
        <ext uri="{3e2802c4-a4d2-4d8b-9148-e3be6c30e623}">
          <xlrd:rvb i="15360"/>
        </ext>
      </extLst>
    </bk>
    <bk>
      <extLst>
        <ext uri="{3e2802c4-a4d2-4d8b-9148-e3be6c30e623}">
          <xlrd:rvb i="15361"/>
        </ext>
      </extLst>
    </bk>
    <bk>
      <extLst>
        <ext uri="{3e2802c4-a4d2-4d8b-9148-e3be6c30e623}">
          <xlrd:rvb i="15362"/>
        </ext>
      </extLst>
    </bk>
    <bk>
      <extLst>
        <ext uri="{3e2802c4-a4d2-4d8b-9148-e3be6c30e623}">
          <xlrd:rvb i="15363"/>
        </ext>
      </extLst>
    </bk>
    <bk>
      <extLst>
        <ext uri="{3e2802c4-a4d2-4d8b-9148-e3be6c30e623}">
          <xlrd:rvb i="15364"/>
        </ext>
      </extLst>
    </bk>
    <bk>
      <extLst>
        <ext uri="{3e2802c4-a4d2-4d8b-9148-e3be6c30e623}">
          <xlrd:rvb i="15365"/>
        </ext>
      </extLst>
    </bk>
    <bk>
      <extLst>
        <ext uri="{3e2802c4-a4d2-4d8b-9148-e3be6c30e623}">
          <xlrd:rvb i="15366"/>
        </ext>
      </extLst>
    </bk>
    <bk>
      <extLst>
        <ext uri="{3e2802c4-a4d2-4d8b-9148-e3be6c30e623}">
          <xlrd:rvb i="15367"/>
        </ext>
      </extLst>
    </bk>
    <bk>
      <extLst>
        <ext uri="{3e2802c4-a4d2-4d8b-9148-e3be6c30e623}">
          <xlrd:rvb i="15368"/>
        </ext>
      </extLst>
    </bk>
    <bk>
      <extLst>
        <ext uri="{3e2802c4-a4d2-4d8b-9148-e3be6c30e623}">
          <xlrd:rvb i="15369"/>
        </ext>
      </extLst>
    </bk>
    <bk>
      <extLst>
        <ext uri="{3e2802c4-a4d2-4d8b-9148-e3be6c30e623}">
          <xlrd:rvb i="15370"/>
        </ext>
      </extLst>
    </bk>
    <bk>
      <extLst>
        <ext uri="{3e2802c4-a4d2-4d8b-9148-e3be6c30e623}">
          <xlrd:rvb i="15371"/>
        </ext>
      </extLst>
    </bk>
    <bk>
      <extLst>
        <ext uri="{3e2802c4-a4d2-4d8b-9148-e3be6c30e623}">
          <xlrd:rvb i="15372"/>
        </ext>
      </extLst>
    </bk>
    <bk>
      <extLst>
        <ext uri="{3e2802c4-a4d2-4d8b-9148-e3be6c30e623}">
          <xlrd:rvb i="15373"/>
        </ext>
      </extLst>
    </bk>
    <bk>
      <extLst>
        <ext uri="{3e2802c4-a4d2-4d8b-9148-e3be6c30e623}">
          <xlrd:rvb i="15374"/>
        </ext>
      </extLst>
    </bk>
    <bk>
      <extLst>
        <ext uri="{3e2802c4-a4d2-4d8b-9148-e3be6c30e623}">
          <xlrd:rvb i="15375"/>
        </ext>
      </extLst>
    </bk>
    <bk>
      <extLst>
        <ext uri="{3e2802c4-a4d2-4d8b-9148-e3be6c30e623}">
          <xlrd:rvb i="15376"/>
        </ext>
      </extLst>
    </bk>
    <bk>
      <extLst>
        <ext uri="{3e2802c4-a4d2-4d8b-9148-e3be6c30e623}">
          <xlrd:rvb i="15377"/>
        </ext>
      </extLst>
    </bk>
    <bk>
      <extLst>
        <ext uri="{3e2802c4-a4d2-4d8b-9148-e3be6c30e623}">
          <xlrd:rvb i="15378"/>
        </ext>
      </extLst>
    </bk>
    <bk>
      <extLst>
        <ext uri="{3e2802c4-a4d2-4d8b-9148-e3be6c30e623}">
          <xlrd:rvb i="15379"/>
        </ext>
      </extLst>
    </bk>
    <bk>
      <extLst>
        <ext uri="{3e2802c4-a4d2-4d8b-9148-e3be6c30e623}">
          <xlrd:rvb i="15380"/>
        </ext>
      </extLst>
    </bk>
    <bk>
      <extLst>
        <ext uri="{3e2802c4-a4d2-4d8b-9148-e3be6c30e623}">
          <xlrd:rvb i="15381"/>
        </ext>
      </extLst>
    </bk>
    <bk>
      <extLst>
        <ext uri="{3e2802c4-a4d2-4d8b-9148-e3be6c30e623}">
          <xlrd:rvb i="15382"/>
        </ext>
      </extLst>
    </bk>
    <bk>
      <extLst>
        <ext uri="{3e2802c4-a4d2-4d8b-9148-e3be6c30e623}">
          <xlrd:rvb i="15383"/>
        </ext>
      </extLst>
    </bk>
    <bk>
      <extLst>
        <ext uri="{3e2802c4-a4d2-4d8b-9148-e3be6c30e623}">
          <xlrd:rvb i="15384"/>
        </ext>
      </extLst>
    </bk>
    <bk>
      <extLst>
        <ext uri="{3e2802c4-a4d2-4d8b-9148-e3be6c30e623}">
          <xlrd:rvb i="15385"/>
        </ext>
      </extLst>
    </bk>
    <bk>
      <extLst>
        <ext uri="{3e2802c4-a4d2-4d8b-9148-e3be6c30e623}">
          <xlrd:rvb i="15386"/>
        </ext>
      </extLst>
    </bk>
    <bk>
      <extLst>
        <ext uri="{3e2802c4-a4d2-4d8b-9148-e3be6c30e623}">
          <xlrd:rvb i="15387"/>
        </ext>
      </extLst>
    </bk>
    <bk>
      <extLst>
        <ext uri="{3e2802c4-a4d2-4d8b-9148-e3be6c30e623}">
          <xlrd:rvb i="15388"/>
        </ext>
      </extLst>
    </bk>
    <bk>
      <extLst>
        <ext uri="{3e2802c4-a4d2-4d8b-9148-e3be6c30e623}">
          <xlrd:rvb i="15389"/>
        </ext>
      </extLst>
    </bk>
    <bk>
      <extLst>
        <ext uri="{3e2802c4-a4d2-4d8b-9148-e3be6c30e623}">
          <xlrd:rvb i="15390"/>
        </ext>
      </extLst>
    </bk>
    <bk>
      <extLst>
        <ext uri="{3e2802c4-a4d2-4d8b-9148-e3be6c30e623}">
          <xlrd:rvb i="15391"/>
        </ext>
      </extLst>
    </bk>
    <bk>
      <extLst>
        <ext uri="{3e2802c4-a4d2-4d8b-9148-e3be6c30e623}">
          <xlrd:rvb i="15392"/>
        </ext>
      </extLst>
    </bk>
    <bk>
      <extLst>
        <ext uri="{3e2802c4-a4d2-4d8b-9148-e3be6c30e623}">
          <xlrd:rvb i="15393"/>
        </ext>
      </extLst>
    </bk>
    <bk>
      <extLst>
        <ext uri="{3e2802c4-a4d2-4d8b-9148-e3be6c30e623}">
          <xlrd:rvb i="15394"/>
        </ext>
      </extLst>
    </bk>
    <bk>
      <extLst>
        <ext uri="{3e2802c4-a4d2-4d8b-9148-e3be6c30e623}">
          <xlrd:rvb i="15395"/>
        </ext>
      </extLst>
    </bk>
    <bk>
      <extLst>
        <ext uri="{3e2802c4-a4d2-4d8b-9148-e3be6c30e623}">
          <xlrd:rvb i="15396"/>
        </ext>
      </extLst>
    </bk>
    <bk>
      <extLst>
        <ext uri="{3e2802c4-a4d2-4d8b-9148-e3be6c30e623}">
          <xlrd:rvb i="15397"/>
        </ext>
      </extLst>
    </bk>
    <bk>
      <extLst>
        <ext uri="{3e2802c4-a4d2-4d8b-9148-e3be6c30e623}">
          <xlrd:rvb i="15398"/>
        </ext>
      </extLst>
    </bk>
    <bk>
      <extLst>
        <ext uri="{3e2802c4-a4d2-4d8b-9148-e3be6c30e623}">
          <xlrd:rvb i="15399"/>
        </ext>
      </extLst>
    </bk>
    <bk>
      <extLst>
        <ext uri="{3e2802c4-a4d2-4d8b-9148-e3be6c30e623}">
          <xlrd:rvb i="15400"/>
        </ext>
      </extLst>
    </bk>
    <bk>
      <extLst>
        <ext uri="{3e2802c4-a4d2-4d8b-9148-e3be6c30e623}">
          <xlrd:rvb i="15401"/>
        </ext>
      </extLst>
    </bk>
    <bk>
      <extLst>
        <ext uri="{3e2802c4-a4d2-4d8b-9148-e3be6c30e623}">
          <xlrd:rvb i="15402"/>
        </ext>
      </extLst>
    </bk>
    <bk>
      <extLst>
        <ext uri="{3e2802c4-a4d2-4d8b-9148-e3be6c30e623}">
          <xlrd:rvb i="15403"/>
        </ext>
      </extLst>
    </bk>
    <bk>
      <extLst>
        <ext uri="{3e2802c4-a4d2-4d8b-9148-e3be6c30e623}">
          <xlrd:rvb i="15404"/>
        </ext>
      </extLst>
    </bk>
    <bk>
      <extLst>
        <ext uri="{3e2802c4-a4d2-4d8b-9148-e3be6c30e623}">
          <xlrd:rvb i="15405"/>
        </ext>
      </extLst>
    </bk>
    <bk>
      <extLst>
        <ext uri="{3e2802c4-a4d2-4d8b-9148-e3be6c30e623}">
          <xlrd:rvb i="15406"/>
        </ext>
      </extLst>
    </bk>
    <bk>
      <extLst>
        <ext uri="{3e2802c4-a4d2-4d8b-9148-e3be6c30e623}">
          <xlrd:rvb i="15407"/>
        </ext>
      </extLst>
    </bk>
    <bk>
      <extLst>
        <ext uri="{3e2802c4-a4d2-4d8b-9148-e3be6c30e623}">
          <xlrd:rvb i="15408"/>
        </ext>
      </extLst>
    </bk>
    <bk>
      <extLst>
        <ext uri="{3e2802c4-a4d2-4d8b-9148-e3be6c30e623}">
          <xlrd:rvb i="15409"/>
        </ext>
      </extLst>
    </bk>
    <bk>
      <extLst>
        <ext uri="{3e2802c4-a4d2-4d8b-9148-e3be6c30e623}">
          <xlrd:rvb i="15410"/>
        </ext>
      </extLst>
    </bk>
    <bk>
      <extLst>
        <ext uri="{3e2802c4-a4d2-4d8b-9148-e3be6c30e623}">
          <xlrd:rvb i="15411"/>
        </ext>
      </extLst>
    </bk>
    <bk>
      <extLst>
        <ext uri="{3e2802c4-a4d2-4d8b-9148-e3be6c30e623}">
          <xlrd:rvb i="15412"/>
        </ext>
      </extLst>
    </bk>
    <bk>
      <extLst>
        <ext uri="{3e2802c4-a4d2-4d8b-9148-e3be6c30e623}">
          <xlrd:rvb i="15413"/>
        </ext>
      </extLst>
    </bk>
    <bk>
      <extLst>
        <ext uri="{3e2802c4-a4d2-4d8b-9148-e3be6c30e623}">
          <xlrd:rvb i="15414"/>
        </ext>
      </extLst>
    </bk>
    <bk>
      <extLst>
        <ext uri="{3e2802c4-a4d2-4d8b-9148-e3be6c30e623}">
          <xlrd:rvb i="15415"/>
        </ext>
      </extLst>
    </bk>
    <bk>
      <extLst>
        <ext uri="{3e2802c4-a4d2-4d8b-9148-e3be6c30e623}">
          <xlrd:rvb i="15416"/>
        </ext>
      </extLst>
    </bk>
    <bk>
      <extLst>
        <ext uri="{3e2802c4-a4d2-4d8b-9148-e3be6c30e623}">
          <xlrd:rvb i="15417"/>
        </ext>
      </extLst>
    </bk>
    <bk>
      <extLst>
        <ext uri="{3e2802c4-a4d2-4d8b-9148-e3be6c30e623}">
          <xlrd:rvb i="15418"/>
        </ext>
      </extLst>
    </bk>
    <bk>
      <extLst>
        <ext uri="{3e2802c4-a4d2-4d8b-9148-e3be6c30e623}">
          <xlrd:rvb i="15419"/>
        </ext>
      </extLst>
    </bk>
    <bk>
      <extLst>
        <ext uri="{3e2802c4-a4d2-4d8b-9148-e3be6c30e623}">
          <xlrd:rvb i="15420"/>
        </ext>
      </extLst>
    </bk>
    <bk>
      <extLst>
        <ext uri="{3e2802c4-a4d2-4d8b-9148-e3be6c30e623}">
          <xlrd:rvb i="15421"/>
        </ext>
      </extLst>
    </bk>
    <bk>
      <extLst>
        <ext uri="{3e2802c4-a4d2-4d8b-9148-e3be6c30e623}">
          <xlrd:rvb i="15422"/>
        </ext>
      </extLst>
    </bk>
    <bk>
      <extLst>
        <ext uri="{3e2802c4-a4d2-4d8b-9148-e3be6c30e623}">
          <xlrd:rvb i="15423"/>
        </ext>
      </extLst>
    </bk>
    <bk>
      <extLst>
        <ext uri="{3e2802c4-a4d2-4d8b-9148-e3be6c30e623}">
          <xlrd:rvb i="15424"/>
        </ext>
      </extLst>
    </bk>
    <bk>
      <extLst>
        <ext uri="{3e2802c4-a4d2-4d8b-9148-e3be6c30e623}">
          <xlrd:rvb i="15425"/>
        </ext>
      </extLst>
    </bk>
    <bk>
      <extLst>
        <ext uri="{3e2802c4-a4d2-4d8b-9148-e3be6c30e623}">
          <xlrd:rvb i="15426"/>
        </ext>
      </extLst>
    </bk>
    <bk>
      <extLst>
        <ext uri="{3e2802c4-a4d2-4d8b-9148-e3be6c30e623}">
          <xlrd:rvb i="15427"/>
        </ext>
      </extLst>
    </bk>
    <bk>
      <extLst>
        <ext uri="{3e2802c4-a4d2-4d8b-9148-e3be6c30e623}">
          <xlrd:rvb i="15428"/>
        </ext>
      </extLst>
    </bk>
    <bk>
      <extLst>
        <ext uri="{3e2802c4-a4d2-4d8b-9148-e3be6c30e623}">
          <xlrd:rvb i="15429"/>
        </ext>
      </extLst>
    </bk>
    <bk>
      <extLst>
        <ext uri="{3e2802c4-a4d2-4d8b-9148-e3be6c30e623}">
          <xlrd:rvb i="15430"/>
        </ext>
      </extLst>
    </bk>
    <bk>
      <extLst>
        <ext uri="{3e2802c4-a4d2-4d8b-9148-e3be6c30e623}">
          <xlrd:rvb i="15431"/>
        </ext>
      </extLst>
    </bk>
    <bk>
      <extLst>
        <ext uri="{3e2802c4-a4d2-4d8b-9148-e3be6c30e623}">
          <xlrd:rvb i="15432"/>
        </ext>
      </extLst>
    </bk>
    <bk>
      <extLst>
        <ext uri="{3e2802c4-a4d2-4d8b-9148-e3be6c30e623}">
          <xlrd:rvb i="15433"/>
        </ext>
      </extLst>
    </bk>
    <bk>
      <extLst>
        <ext uri="{3e2802c4-a4d2-4d8b-9148-e3be6c30e623}">
          <xlrd:rvb i="15434"/>
        </ext>
      </extLst>
    </bk>
    <bk>
      <extLst>
        <ext uri="{3e2802c4-a4d2-4d8b-9148-e3be6c30e623}">
          <xlrd:rvb i="15435"/>
        </ext>
      </extLst>
    </bk>
    <bk>
      <extLst>
        <ext uri="{3e2802c4-a4d2-4d8b-9148-e3be6c30e623}">
          <xlrd:rvb i="15436"/>
        </ext>
      </extLst>
    </bk>
    <bk>
      <extLst>
        <ext uri="{3e2802c4-a4d2-4d8b-9148-e3be6c30e623}">
          <xlrd:rvb i="15437"/>
        </ext>
      </extLst>
    </bk>
    <bk>
      <extLst>
        <ext uri="{3e2802c4-a4d2-4d8b-9148-e3be6c30e623}">
          <xlrd:rvb i="15438"/>
        </ext>
      </extLst>
    </bk>
    <bk>
      <extLst>
        <ext uri="{3e2802c4-a4d2-4d8b-9148-e3be6c30e623}">
          <xlrd:rvb i="15439"/>
        </ext>
      </extLst>
    </bk>
    <bk>
      <extLst>
        <ext uri="{3e2802c4-a4d2-4d8b-9148-e3be6c30e623}">
          <xlrd:rvb i="15440"/>
        </ext>
      </extLst>
    </bk>
    <bk>
      <extLst>
        <ext uri="{3e2802c4-a4d2-4d8b-9148-e3be6c30e623}">
          <xlrd:rvb i="15441"/>
        </ext>
      </extLst>
    </bk>
    <bk>
      <extLst>
        <ext uri="{3e2802c4-a4d2-4d8b-9148-e3be6c30e623}">
          <xlrd:rvb i="15442"/>
        </ext>
      </extLst>
    </bk>
    <bk>
      <extLst>
        <ext uri="{3e2802c4-a4d2-4d8b-9148-e3be6c30e623}">
          <xlrd:rvb i="15443"/>
        </ext>
      </extLst>
    </bk>
    <bk>
      <extLst>
        <ext uri="{3e2802c4-a4d2-4d8b-9148-e3be6c30e623}">
          <xlrd:rvb i="15444"/>
        </ext>
      </extLst>
    </bk>
    <bk>
      <extLst>
        <ext uri="{3e2802c4-a4d2-4d8b-9148-e3be6c30e623}">
          <xlrd:rvb i="15445"/>
        </ext>
      </extLst>
    </bk>
    <bk>
      <extLst>
        <ext uri="{3e2802c4-a4d2-4d8b-9148-e3be6c30e623}">
          <xlrd:rvb i="15446"/>
        </ext>
      </extLst>
    </bk>
    <bk>
      <extLst>
        <ext uri="{3e2802c4-a4d2-4d8b-9148-e3be6c30e623}">
          <xlrd:rvb i="15447"/>
        </ext>
      </extLst>
    </bk>
    <bk>
      <extLst>
        <ext uri="{3e2802c4-a4d2-4d8b-9148-e3be6c30e623}">
          <xlrd:rvb i="15448"/>
        </ext>
      </extLst>
    </bk>
    <bk>
      <extLst>
        <ext uri="{3e2802c4-a4d2-4d8b-9148-e3be6c30e623}">
          <xlrd:rvb i="15449"/>
        </ext>
      </extLst>
    </bk>
    <bk>
      <extLst>
        <ext uri="{3e2802c4-a4d2-4d8b-9148-e3be6c30e623}">
          <xlrd:rvb i="15450"/>
        </ext>
      </extLst>
    </bk>
    <bk>
      <extLst>
        <ext uri="{3e2802c4-a4d2-4d8b-9148-e3be6c30e623}">
          <xlrd:rvb i="15451"/>
        </ext>
      </extLst>
    </bk>
    <bk>
      <extLst>
        <ext uri="{3e2802c4-a4d2-4d8b-9148-e3be6c30e623}">
          <xlrd:rvb i="15452"/>
        </ext>
      </extLst>
    </bk>
    <bk>
      <extLst>
        <ext uri="{3e2802c4-a4d2-4d8b-9148-e3be6c30e623}">
          <xlrd:rvb i="15453"/>
        </ext>
      </extLst>
    </bk>
    <bk>
      <extLst>
        <ext uri="{3e2802c4-a4d2-4d8b-9148-e3be6c30e623}">
          <xlrd:rvb i="15454"/>
        </ext>
      </extLst>
    </bk>
    <bk>
      <extLst>
        <ext uri="{3e2802c4-a4d2-4d8b-9148-e3be6c30e623}">
          <xlrd:rvb i="15455"/>
        </ext>
      </extLst>
    </bk>
    <bk>
      <extLst>
        <ext uri="{3e2802c4-a4d2-4d8b-9148-e3be6c30e623}">
          <xlrd:rvb i="15456"/>
        </ext>
      </extLst>
    </bk>
    <bk>
      <extLst>
        <ext uri="{3e2802c4-a4d2-4d8b-9148-e3be6c30e623}">
          <xlrd:rvb i="15457"/>
        </ext>
      </extLst>
    </bk>
    <bk>
      <extLst>
        <ext uri="{3e2802c4-a4d2-4d8b-9148-e3be6c30e623}">
          <xlrd:rvb i="15458"/>
        </ext>
      </extLst>
    </bk>
    <bk>
      <extLst>
        <ext uri="{3e2802c4-a4d2-4d8b-9148-e3be6c30e623}">
          <xlrd:rvb i="15459"/>
        </ext>
      </extLst>
    </bk>
    <bk>
      <extLst>
        <ext uri="{3e2802c4-a4d2-4d8b-9148-e3be6c30e623}">
          <xlrd:rvb i="15460"/>
        </ext>
      </extLst>
    </bk>
    <bk>
      <extLst>
        <ext uri="{3e2802c4-a4d2-4d8b-9148-e3be6c30e623}">
          <xlrd:rvb i="15461"/>
        </ext>
      </extLst>
    </bk>
    <bk>
      <extLst>
        <ext uri="{3e2802c4-a4d2-4d8b-9148-e3be6c30e623}">
          <xlrd:rvb i="15462"/>
        </ext>
      </extLst>
    </bk>
    <bk>
      <extLst>
        <ext uri="{3e2802c4-a4d2-4d8b-9148-e3be6c30e623}">
          <xlrd:rvb i="15463"/>
        </ext>
      </extLst>
    </bk>
    <bk>
      <extLst>
        <ext uri="{3e2802c4-a4d2-4d8b-9148-e3be6c30e623}">
          <xlrd:rvb i="15464"/>
        </ext>
      </extLst>
    </bk>
    <bk>
      <extLst>
        <ext uri="{3e2802c4-a4d2-4d8b-9148-e3be6c30e623}">
          <xlrd:rvb i="15465"/>
        </ext>
      </extLst>
    </bk>
    <bk>
      <extLst>
        <ext uri="{3e2802c4-a4d2-4d8b-9148-e3be6c30e623}">
          <xlrd:rvb i="15466"/>
        </ext>
      </extLst>
    </bk>
    <bk>
      <extLst>
        <ext uri="{3e2802c4-a4d2-4d8b-9148-e3be6c30e623}">
          <xlrd:rvb i="15467"/>
        </ext>
      </extLst>
    </bk>
    <bk>
      <extLst>
        <ext uri="{3e2802c4-a4d2-4d8b-9148-e3be6c30e623}">
          <xlrd:rvb i="15468"/>
        </ext>
      </extLst>
    </bk>
    <bk>
      <extLst>
        <ext uri="{3e2802c4-a4d2-4d8b-9148-e3be6c30e623}">
          <xlrd:rvb i="15469"/>
        </ext>
      </extLst>
    </bk>
    <bk>
      <extLst>
        <ext uri="{3e2802c4-a4d2-4d8b-9148-e3be6c30e623}">
          <xlrd:rvb i="15470"/>
        </ext>
      </extLst>
    </bk>
    <bk>
      <extLst>
        <ext uri="{3e2802c4-a4d2-4d8b-9148-e3be6c30e623}">
          <xlrd:rvb i="15471"/>
        </ext>
      </extLst>
    </bk>
    <bk>
      <extLst>
        <ext uri="{3e2802c4-a4d2-4d8b-9148-e3be6c30e623}">
          <xlrd:rvb i="15472"/>
        </ext>
      </extLst>
    </bk>
    <bk>
      <extLst>
        <ext uri="{3e2802c4-a4d2-4d8b-9148-e3be6c30e623}">
          <xlrd:rvb i="15473"/>
        </ext>
      </extLst>
    </bk>
    <bk>
      <extLst>
        <ext uri="{3e2802c4-a4d2-4d8b-9148-e3be6c30e623}">
          <xlrd:rvb i="15474"/>
        </ext>
      </extLst>
    </bk>
    <bk>
      <extLst>
        <ext uri="{3e2802c4-a4d2-4d8b-9148-e3be6c30e623}">
          <xlrd:rvb i="15475"/>
        </ext>
      </extLst>
    </bk>
    <bk>
      <extLst>
        <ext uri="{3e2802c4-a4d2-4d8b-9148-e3be6c30e623}">
          <xlrd:rvb i="15476"/>
        </ext>
      </extLst>
    </bk>
    <bk>
      <extLst>
        <ext uri="{3e2802c4-a4d2-4d8b-9148-e3be6c30e623}">
          <xlrd:rvb i="15477"/>
        </ext>
      </extLst>
    </bk>
    <bk>
      <extLst>
        <ext uri="{3e2802c4-a4d2-4d8b-9148-e3be6c30e623}">
          <xlrd:rvb i="15478"/>
        </ext>
      </extLst>
    </bk>
    <bk>
      <extLst>
        <ext uri="{3e2802c4-a4d2-4d8b-9148-e3be6c30e623}">
          <xlrd:rvb i="15479"/>
        </ext>
      </extLst>
    </bk>
    <bk>
      <extLst>
        <ext uri="{3e2802c4-a4d2-4d8b-9148-e3be6c30e623}">
          <xlrd:rvb i="15480"/>
        </ext>
      </extLst>
    </bk>
    <bk>
      <extLst>
        <ext uri="{3e2802c4-a4d2-4d8b-9148-e3be6c30e623}">
          <xlrd:rvb i="15481"/>
        </ext>
      </extLst>
    </bk>
    <bk>
      <extLst>
        <ext uri="{3e2802c4-a4d2-4d8b-9148-e3be6c30e623}">
          <xlrd:rvb i="15482"/>
        </ext>
      </extLst>
    </bk>
    <bk>
      <extLst>
        <ext uri="{3e2802c4-a4d2-4d8b-9148-e3be6c30e623}">
          <xlrd:rvb i="15483"/>
        </ext>
      </extLst>
    </bk>
    <bk>
      <extLst>
        <ext uri="{3e2802c4-a4d2-4d8b-9148-e3be6c30e623}">
          <xlrd:rvb i="15484"/>
        </ext>
      </extLst>
    </bk>
    <bk>
      <extLst>
        <ext uri="{3e2802c4-a4d2-4d8b-9148-e3be6c30e623}">
          <xlrd:rvb i="15485"/>
        </ext>
      </extLst>
    </bk>
    <bk>
      <extLst>
        <ext uri="{3e2802c4-a4d2-4d8b-9148-e3be6c30e623}">
          <xlrd:rvb i="15486"/>
        </ext>
      </extLst>
    </bk>
    <bk>
      <extLst>
        <ext uri="{3e2802c4-a4d2-4d8b-9148-e3be6c30e623}">
          <xlrd:rvb i="15487"/>
        </ext>
      </extLst>
    </bk>
    <bk>
      <extLst>
        <ext uri="{3e2802c4-a4d2-4d8b-9148-e3be6c30e623}">
          <xlrd:rvb i="15488"/>
        </ext>
      </extLst>
    </bk>
    <bk>
      <extLst>
        <ext uri="{3e2802c4-a4d2-4d8b-9148-e3be6c30e623}">
          <xlrd:rvb i="15489"/>
        </ext>
      </extLst>
    </bk>
    <bk>
      <extLst>
        <ext uri="{3e2802c4-a4d2-4d8b-9148-e3be6c30e623}">
          <xlrd:rvb i="15490"/>
        </ext>
      </extLst>
    </bk>
    <bk>
      <extLst>
        <ext uri="{3e2802c4-a4d2-4d8b-9148-e3be6c30e623}">
          <xlrd:rvb i="15491"/>
        </ext>
      </extLst>
    </bk>
    <bk>
      <extLst>
        <ext uri="{3e2802c4-a4d2-4d8b-9148-e3be6c30e623}">
          <xlrd:rvb i="15492"/>
        </ext>
      </extLst>
    </bk>
    <bk>
      <extLst>
        <ext uri="{3e2802c4-a4d2-4d8b-9148-e3be6c30e623}">
          <xlrd:rvb i="15493"/>
        </ext>
      </extLst>
    </bk>
    <bk>
      <extLst>
        <ext uri="{3e2802c4-a4d2-4d8b-9148-e3be6c30e623}">
          <xlrd:rvb i="15494"/>
        </ext>
      </extLst>
    </bk>
    <bk>
      <extLst>
        <ext uri="{3e2802c4-a4d2-4d8b-9148-e3be6c30e623}">
          <xlrd:rvb i="15495"/>
        </ext>
      </extLst>
    </bk>
    <bk>
      <extLst>
        <ext uri="{3e2802c4-a4d2-4d8b-9148-e3be6c30e623}">
          <xlrd:rvb i="15496"/>
        </ext>
      </extLst>
    </bk>
    <bk>
      <extLst>
        <ext uri="{3e2802c4-a4d2-4d8b-9148-e3be6c30e623}">
          <xlrd:rvb i="15497"/>
        </ext>
      </extLst>
    </bk>
    <bk>
      <extLst>
        <ext uri="{3e2802c4-a4d2-4d8b-9148-e3be6c30e623}">
          <xlrd:rvb i="15498"/>
        </ext>
      </extLst>
    </bk>
    <bk>
      <extLst>
        <ext uri="{3e2802c4-a4d2-4d8b-9148-e3be6c30e623}">
          <xlrd:rvb i="15499"/>
        </ext>
      </extLst>
    </bk>
    <bk>
      <extLst>
        <ext uri="{3e2802c4-a4d2-4d8b-9148-e3be6c30e623}">
          <xlrd:rvb i="15500"/>
        </ext>
      </extLst>
    </bk>
    <bk>
      <extLst>
        <ext uri="{3e2802c4-a4d2-4d8b-9148-e3be6c30e623}">
          <xlrd:rvb i="15501"/>
        </ext>
      </extLst>
    </bk>
    <bk>
      <extLst>
        <ext uri="{3e2802c4-a4d2-4d8b-9148-e3be6c30e623}">
          <xlrd:rvb i="15502"/>
        </ext>
      </extLst>
    </bk>
    <bk>
      <extLst>
        <ext uri="{3e2802c4-a4d2-4d8b-9148-e3be6c30e623}">
          <xlrd:rvb i="15503"/>
        </ext>
      </extLst>
    </bk>
    <bk>
      <extLst>
        <ext uri="{3e2802c4-a4d2-4d8b-9148-e3be6c30e623}">
          <xlrd:rvb i="15504"/>
        </ext>
      </extLst>
    </bk>
    <bk>
      <extLst>
        <ext uri="{3e2802c4-a4d2-4d8b-9148-e3be6c30e623}">
          <xlrd:rvb i="15505"/>
        </ext>
      </extLst>
    </bk>
    <bk>
      <extLst>
        <ext uri="{3e2802c4-a4d2-4d8b-9148-e3be6c30e623}">
          <xlrd:rvb i="15506"/>
        </ext>
      </extLst>
    </bk>
    <bk>
      <extLst>
        <ext uri="{3e2802c4-a4d2-4d8b-9148-e3be6c30e623}">
          <xlrd:rvb i="15507"/>
        </ext>
      </extLst>
    </bk>
    <bk>
      <extLst>
        <ext uri="{3e2802c4-a4d2-4d8b-9148-e3be6c30e623}">
          <xlrd:rvb i="15508"/>
        </ext>
      </extLst>
    </bk>
    <bk>
      <extLst>
        <ext uri="{3e2802c4-a4d2-4d8b-9148-e3be6c30e623}">
          <xlrd:rvb i="15509"/>
        </ext>
      </extLst>
    </bk>
    <bk>
      <extLst>
        <ext uri="{3e2802c4-a4d2-4d8b-9148-e3be6c30e623}">
          <xlrd:rvb i="15510"/>
        </ext>
      </extLst>
    </bk>
    <bk>
      <extLst>
        <ext uri="{3e2802c4-a4d2-4d8b-9148-e3be6c30e623}">
          <xlrd:rvb i="15511"/>
        </ext>
      </extLst>
    </bk>
    <bk>
      <extLst>
        <ext uri="{3e2802c4-a4d2-4d8b-9148-e3be6c30e623}">
          <xlrd:rvb i="15512"/>
        </ext>
      </extLst>
    </bk>
    <bk>
      <extLst>
        <ext uri="{3e2802c4-a4d2-4d8b-9148-e3be6c30e623}">
          <xlrd:rvb i="15513"/>
        </ext>
      </extLst>
    </bk>
    <bk>
      <extLst>
        <ext uri="{3e2802c4-a4d2-4d8b-9148-e3be6c30e623}">
          <xlrd:rvb i="15514"/>
        </ext>
      </extLst>
    </bk>
    <bk>
      <extLst>
        <ext uri="{3e2802c4-a4d2-4d8b-9148-e3be6c30e623}">
          <xlrd:rvb i="15515"/>
        </ext>
      </extLst>
    </bk>
    <bk>
      <extLst>
        <ext uri="{3e2802c4-a4d2-4d8b-9148-e3be6c30e623}">
          <xlrd:rvb i="15516"/>
        </ext>
      </extLst>
    </bk>
    <bk>
      <extLst>
        <ext uri="{3e2802c4-a4d2-4d8b-9148-e3be6c30e623}">
          <xlrd:rvb i="15517"/>
        </ext>
      </extLst>
    </bk>
    <bk>
      <extLst>
        <ext uri="{3e2802c4-a4d2-4d8b-9148-e3be6c30e623}">
          <xlrd:rvb i="15518"/>
        </ext>
      </extLst>
    </bk>
    <bk>
      <extLst>
        <ext uri="{3e2802c4-a4d2-4d8b-9148-e3be6c30e623}">
          <xlrd:rvb i="15519"/>
        </ext>
      </extLst>
    </bk>
    <bk>
      <extLst>
        <ext uri="{3e2802c4-a4d2-4d8b-9148-e3be6c30e623}">
          <xlrd:rvb i="15520"/>
        </ext>
      </extLst>
    </bk>
    <bk>
      <extLst>
        <ext uri="{3e2802c4-a4d2-4d8b-9148-e3be6c30e623}">
          <xlrd:rvb i="15521"/>
        </ext>
      </extLst>
    </bk>
    <bk>
      <extLst>
        <ext uri="{3e2802c4-a4d2-4d8b-9148-e3be6c30e623}">
          <xlrd:rvb i="15522"/>
        </ext>
      </extLst>
    </bk>
    <bk>
      <extLst>
        <ext uri="{3e2802c4-a4d2-4d8b-9148-e3be6c30e623}">
          <xlrd:rvb i="15523"/>
        </ext>
      </extLst>
    </bk>
    <bk>
      <extLst>
        <ext uri="{3e2802c4-a4d2-4d8b-9148-e3be6c30e623}">
          <xlrd:rvb i="15524"/>
        </ext>
      </extLst>
    </bk>
    <bk>
      <extLst>
        <ext uri="{3e2802c4-a4d2-4d8b-9148-e3be6c30e623}">
          <xlrd:rvb i="15525"/>
        </ext>
      </extLst>
    </bk>
    <bk>
      <extLst>
        <ext uri="{3e2802c4-a4d2-4d8b-9148-e3be6c30e623}">
          <xlrd:rvb i="15526"/>
        </ext>
      </extLst>
    </bk>
    <bk>
      <extLst>
        <ext uri="{3e2802c4-a4d2-4d8b-9148-e3be6c30e623}">
          <xlrd:rvb i="15527"/>
        </ext>
      </extLst>
    </bk>
    <bk>
      <extLst>
        <ext uri="{3e2802c4-a4d2-4d8b-9148-e3be6c30e623}">
          <xlrd:rvb i="15528"/>
        </ext>
      </extLst>
    </bk>
    <bk>
      <extLst>
        <ext uri="{3e2802c4-a4d2-4d8b-9148-e3be6c30e623}">
          <xlrd:rvb i="15529"/>
        </ext>
      </extLst>
    </bk>
    <bk>
      <extLst>
        <ext uri="{3e2802c4-a4d2-4d8b-9148-e3be6c30e623}">
          <xlrd:rvb i="15530"/>
        </ext>
      </extLst>
    </bk>
    <bk>
      <extLst>
        <ext uri="{3e2802c4-a4d2-4d8b-9148-e3be6c30e623}">
          <xlrd:rvb i="15531"/>
        </ext>
      </extLst>
    </bk>
    <bk>
      <extLst>
        <ext uri="{3e2802c4-a4d2-4d8b-9148-e3be6c30e623}">
          <xlrd:rvb i="15532"/>
        </ext>
      </extLst>
    </bk>
    <bk>
      <extLst>
        <ext uri="{3e2802c4-a4d2-4d8b-9148-e3be6c30e623}">
          <xlrd:rvb i="15533"/>
        </ext>
      </extLst>
    </bk>
    <bk>
      <extLst>
        <ext uri="{3e2802c4-a4d2-4d8b-9148-e3be6c30e623}">
          <xlrd:rvb i="15534"/>
        </ext>
      </extLst>
    </bk>
    <bk>
      <extLst>
        <ext uri="{3e2802c4-a4d2-4d8b-9148-e3be6c30e623}">
          <xlrd:rvb i="15535"/>
        </ext>
      </extLst>
    </bk>
    <bk>
      <extLst>
        <ext uri="{3e2802c4-a4d2-4d8b-9148-e3be6c30e623}">
          <xlrd:rvb i="15536"/>
        </ext>
      </extLst>
    </bk>
    <bk>
      <extLst>
        <ext uri="{3e2802c4-a4d2-4d8b-9148-e3be6c30e623}">
          <xlrd:rvb i="15537"/>
        </ext>
      </extLst>
    </bk>
    <bk>
      <extLst>
        <ext uri="{3e2802c4-a4d2-4d8b-9148-e3be6c30e623}">
          <xlrd:rvb i="15538"/>
        </ext>
      </extLst>
    </bk>
    <bk>
      <extLst>
        <ext uri="{3e2802c4-a4d2-4d8b-9148-e3be6c30e623}">
          <xlrd:rvb i="15539"/>
        </ext>
      </extLst>
    </bk>
    <bk>
      <extLst>
        <ext uri="{3e2802c4-a4d2-4d8b-9148-e3be6c30e623}">
          <xlrd:rvb i="15540"/>
        </ext>
      </extLst>
    </bk>
    <bk>
      <extLst>
        <ext uri="{3e2802c4-a4d2-4d8b-9148-e3be6c30e623}">
          <xlrd:rvb i="15541"/>
        </ext>
      </extLst>
    </bk>
    <bk>
      <extLst>
        <ext uri="{3e2802c4-a4d2-4d8b-9148-e3be6c30e623}">
          <xlrd:rvb i="15542"/>
        </ext>
      </extLst>
    </bk>
    <bk>
      <extLst>
        <ext uri="{3e2802c4-a4d2-4d8b-9148-e3be6c30e623}">
          <xlrd:rvb i="15543"/>
        </ext>
      </extLst>
    </bk>
    <bk>
      <extLst>
        <ext uri="{3e2802c4-a4d2-4d8b-9148-e3be6c30e623}">
          <xlrd:rvb i="15544"/>
        </ext>
      </extLst>
    </bk>
    <bk>
      <extLst>
        <ext uri="{3e2802c4-a4d2-4d8b-9148-e3be6c30e623}">
          <xlrd:rvb i="15545"/>
        </ext>
      </extLst>
    </bk>
    <bk>
      <extLst>
        <ext uri="{3e2802c4-a4d2-4d8b-9148-e3be6c30e623}">
          <xlrd:rvb i="15546"/>
        </ext>
      </extLst>
    </bk>
    <bk>
      <extLst>
        <ext uri="{3e2802c4-a4d2-4d8b-9148-e3be6c30e623}">
          <xlrd:rvb i="15547"/>
        </ext>
      </extLst>
    </bk>
    <bk>
      <extLst>
        <ext uri="{3e2802c4-a4d2-4d8b-9148-e3be6c30e623}">
          <xlrd:rvb i="15548"/>
        </ext>
      </extLst>
    </bk>
    <bk>
      <extLst>
        <ext uri="{3e2802c4-a4d2-4d8b-9148-e3be6c30e623}">
          <xlrd:rvb i="15549"/>
        </ext>
      </extLst>
    </bk>
    <bk>
      <extLst>
        <ext uri="{3e2802c4-a4d2-4d8b-9148-e3be6c30e623}">
          <xlrd:rvb i="15550"/>
        </ext>
      </extLst>
    </bk>
    <bk>
      <extLst>
        <ext uri="{3e2802c4-a4d2-4d8b-9148-e3be6c30e623}">
          <xlrd:rvb i="15551"/>
        </ext>
      </extLst>
    </bk>
    <bk>
      <extLst>
        <ext uri="{3e2802c4-a4d2-4d8b-9148-e3be6c30e623}">
          <xlrd:rvb i="15552"/>
        </ext>
      </extLst>
    </bk>
    <bk>
      <extLst>
        <ext uri="{3e2802c4-a4d2-4d8b-9148-e3be6c30e623}">
          <xlrd:rvb i="15553"/>
        </ext>
      </extLst>
    </bk>
    <bk>
      <extLst>
        <ext uri="{3e2802c4-a4d2-4d8b-9148-e3be6c30e623}">
          <xlrd:rvb i="15554"/>
        </ext>
      </extLst>
    </bk>
    <bk>
      <extLst>
        <ext uri="{3e2802c4-a4d2-4d8b-9148-e3be6c30e623}">
          <xlrd:rvb i="15555"/>
        </ext>
      </extLst>
    </bk>
    <bk>
      <extLst>
        <ext uri="{3e2802c4-a4d2-4d8b-9148-e3be6c30e623}">
          <xlrd:rvb i="15556"/>
        </ext>
      </extLst>
    </bk>
    <bk>
      <extLst>
        <ext uri="{3e2802c4-a4d2-4d8b-9148-e3be6c30e623}">
          <xlrd:rvb i="15557"/>
        </ext>
      </extLst>
    </bk>
    <bk>
      <extLst>
        <ext uri="{3e2802c4-a4d2-4d8b-9148-e3be6c30e623}">
          <xlrd:rvb i="15558"/>
        </ext>
      </extLst>
    </bk>
    <bk>
      <extLst>
        <ext uri="{3e2802c4-a4d2-4d8b-9148-e3be6c30e623}">
          <xlrd:rvb i="15559"/>
        </ext>
      </extLst>
    </bk>
    <bk>
      <extLst>
        <ext uri="{3e2802c4-a4d2-4d8b-9148-e3be6c30e623}">
          <xlrd:rvb i="15560"/>
        </ext>
      </extLst>
    </bk>
    <bk>
      <extLst>
        <ext uri="{3e2802c4-a4d2-4d8b-9148-e3be6c30e623}">
          <xlrd:rvb i="15561"/>
        </ext>
      </extLst>
    </bk>
    <bk>
      <extLst>
        <ext uri="{3e2802c4-a4d2-4d8b-9148-e3be6c30e623}">
          <xlrd:rvb i="15562"/>
        </ext>
      </extLst>
    </bk>
    <bk>
      <extLst>
        <ext uri="{3e2802c4-a4d2-4d8b-9148-e3be6c30e623}">
          <xlrd:rvb i="15563"/>
        </ext>
      </extLst>
    </bk>
    <bk>
      <extLst>
        <ext uri="{3e2802c4-a4d2-4d8b-9148-e3be6c30e623}">
          <xlrd:rvb i="15564"/>
        </ext>
      </extLst>
    </bk>
    <bk>
      <extLst>
        <ext uri="{3e2802c4-a4d2-4d8b-9148-e3be6c30e623}">
          <xlrd:rvb i="15565"/>
        </ext>
      </extLst>
    </bk>
    <bk>
      <extLst>
        <ext uri="{3e2802c4-a4d2-4d8b-9148-e3be6c30e623}">
          <xlrd:rvb i="15566"/>
        </ext>
      </extLst>
    </bk>
    <bk>
      <extLst>
        <ext uri="{3e2802c4-a4d2-4d8b-9148-e3be6c30e623}">
          <xlrd:rvb i="15567"/>
        </ext>
      </extLst>
    </bk>
    <bk>
      <extLst>
        <ext uri="{3e2802c4-a4d2-4d8b-9148-e3be6c30e623}">
          <xlrd:rvb i="15568"/>
        </ext>
      </extLst>
    </bk>
    <bk>
      <extLst>
        <ext uri="{3e2802c4-a4d2-4d8b-9148-e3be6c30e623}">
          <xlrd:rvb i="15569"/>
        </ext>
      </extLst>
    </bk>
    <bk>
      <extLst>
        <ext uri="{3e2802c4-a4d2-4d8b-9148-e3be6c30e623}">
          <xlrd:rvb i="15570"/>
        </ext>
      </extLst>
    </bk>
    <bk>
      <extLst>
        <ext uri="{3e2802c4-a4d2-4d8b-9148-e3be6c30e623}">
          <xlrd:rvb i="15571"/>
        </ext>
      </extLst>
    </bk>
    <bk>
      <extLst>
        <ext uri="{3e2802c4-a4d2-4d8b-9148-e3be6c30e623}">
          <xlrd:rvb i="15572"/>
        </ext>
      </extLst>
    </bk>
    <bk>
      <extLst>
        <ext uri="{3e2802c4-a4d2-4d8b-9148-e3be6c30e623}">
          <xlrd:rvb i="15573"/>
        </ext>
      </extLst>
    </bk>
    <bk>
      <extLst>
        <ext uri="{3e2802c4-a4d2-4d8b-9148-e3be6c30e623}">
          <xlrd:rvb i="15574"/>
        </ext>
      </extLst>
    </bk>
    <bk>
      <extLst>
        <ext uri="{3e2802c4-a4d2-4d8b-9148-e3be6c30e623}">
          <xlrd:rvb i="15575"/>
        </ext>
      </extLst>
    </bk>
    <bk>
      <extLst>
        <ext uri="{3e2802c4-a4d2-4d8b-9148-e3be6c30e623}">
          <xlrd:rvb i="15576"/>
        </ext>
      </extLst>
    </bk>
    <bk>
      <extLst>
        <ext uri="{3e2802c4-a4d2-4d8b-9148-e3be6c30e623}">
          <xlrd:rvb i="15577"/>
        </ext>
      </extLst>
    </bk>
    <bk>
      <extLst>
        <ext uri="{3e2802c4-a4d2-4d8b-9148-e3be6c30e623}">
          <xlrd:rvb i="15578"/>
        </ext>
      </extLst>
    </bk>
    <bk>
      <extLst>
        <ext uri="{3e2802c4-a4d2-4d8b-9148-e3be6c30e623}">
          <xlrd:rvb i="15579"/>
        </ext>
      </extLst>
    </bk>
    <bk>
      <extLst>
        <ext uri="{3e2802c4-a4d2-4d8b-9148-e3be6c30e623}">
          <xlrd:rvb i="15580"/>
        </ext>
      </extLst>
    </bk>
    <bk>
      <extLst>
        <ext uri="{3e2802c4-a4d2-4d8b-9148-e3be6c30e623}">
          <xlrd:rvb i="15581"/>
        </ext>
      </extLst>
    </bk>
    <bk>
      <extLst>
        <ext uri="{3e2802c4-a4d2-4d8b-9148-e3be6c30e623}">
          <xlrd:rvb i="15582"/>
        </ext>
      </extLst>
    </bk>
    <bk>
      <extLst>
        <ext uri="{3e2802c4-a4d2-4d8b-9148-e3be6c30e623}">
          <xlrd:rvb i="15583"/>
        </ext>
      </extLst>
    </bk>
    <bk>
      <extLst>
        <ext uri="{3e2802c4-a4d2-4d8b-9148-e3be6c30e623}">
          <xlrd:rvb i="15584"/>
        </ext>
      </extLst>
    </bk>
    <bk>
      <extLst>
        <ext uri="{3e2802c4-a4d2-4d8b-9148-e3be6c30e623}">
          <xlrd:rvb i="15585"/>
        </ext>
      </extLst>
    </bk>
    <bk>
      <extLst>
        <ext uri="{3e2802c4-a4d2-4d8b-9148-e3be6c30e623}">
          <xlrd:rvb i="15586"/>
        </ext>
      </extLst>
    </bk>
    <bk>
      <extLst>
        <ext uri="{3e2802c4-a4d2-4d8b-9148-e3be6c30e623}">
          <xlrd:rvb i="15587"/>
        </ext>
      </extLst>
    </bk>
    <bk>
      <extLst>
        <ext uri="{3e2802c4-a4d2-4d8b-9148-e3be6c30e623}">
          <xlrd:rvb i="15588"/>
        </ext>
      </extLst>
    </bk>
    <bk>
      <extLst>
        <ext uri="{3e2802c4-a4d2-4d8b-9148-e3be6c30e623}">
          <xlrd:rvb i="15589"/>
        </ext>
      </extLst>
    </bk>
    <bk>
      <extLst>
        <ext uri="{3e2802c4-a4d2-4d8b-9148-e3be6c30e623}">
          <xlrd:rvb i="15590"/>
        </ext>
      </extLst>
    </bk>
    <bk>
      <extLst>
        <ext uri="{3e2802c4-a4d2-4d8b-9148-e3be6c30e623}">
          <xlrd:rvb i="15591"/>
        </ext>
      </extLst>
    </bk>
    <bk>
      <extLst>
        <ext uri="{3e2802c4-a4d2-4d8b-9148-e3be6c30e623}">
          <xlrd:rvb i="15592"/>
        </ext>
      </extLst>
    </bk>
    <bk>
      <extLst>
        <ext uri="{3e2802c4-a4d2-4d8b-9148-e3be6c30e623}">
          <xlrd:rvb i="15593"/>
        </ext>
      </extLst>
    </bk>
    <bk>
      <extLst>
        <ext uri="{3e2802c4-a4d2-4d8b-9148-e3be6c30e623}">
          <xlrd:rvb i="15594"/>
        </ext>
      </extLst>
    </bk>
    <bk>
      <extLst>
        <ext uri="{3e2802c4-a4d2-4d8b-9148-e3be6c30e623}">
          <xlrd:rvb i="15595"/>
        </ext>
      </extLst>
    </bk>
    <bk>
      <extLst>
        <ext uri="{3e2802c4-a4d2-4d8b-9148-e3be6c30e623}">
          <xlrd:rvb i="15596"/>
        </ext>
      </extLst>
    </bk>
    <bk>
      <extLst>
        <ext uri="{3e2802c4-a4d2-4d8b-9148-e3be6c30e623}">
          <xlrd:rvb i="15597"/>
        </ext>
      </extLst>
    </bk>
    <bk>
      <extLst>
        <ext uri="{3e2802c4-a4d2-4d8b-9148-e3be6c30e623}">
          <xlrd:rvb i="15598"/>
        </ext>
      </extLst>
    </bk>
    <bk>
      <extLst>
        <ext uri="{3e2802c4-a4d2-4d8b-9148-e3be6c30e623}">
          <xlrd:rvb i="15599"/>
        </ext>
      </extLst>
    </bk>
    <bk>
      <extLst>
        <ext uri="{3e2802c4-a4d2-4d8b-9148-e3be6c30e623}">
          <xlrd:rvb i="15600"/>
        </ext>
      </extLst>
    </bk>
    <bk>
      <extLst>
        <ext uri="{3e2802c4-a4d2-4d8b-9148-e3be6c30e623}">
          <xlrd:rvb i="15601"/>
        </ext>
      </extLst>
    </bk>
    <bk>
      <extLst>
        <ext uri="{3e2802c4-a4d2-4d8b-9148-e3be6c30e623}">
          <xlrd:rvb i="15602"/>
        </ext>
      </extLst>
    </bk>
    <bk>
      <extLst>
        <ext uri="{3e2802c4-a4d2-4d8b-9148-e3be6c30e623}">
          <xlrd:rvb i="15603"/>
        </ext>
      </extLst>
    </bk>
    <bk>
      <extLst>
        <ext uri="{3e2802c4-a4d2-4d8b-9148-e3be6c30e623}">
          <xlrd:rvb i="15604"/>
        </ext>
      </extLst>
    </bk>
    <bk>
      <extLst>
        <ext uri="{3e2802c4-a4d2-4d8b-9148-e3be6c30e623}">
          <xlrd:rvb i="15605"/>
        </ext>
      </extLst>
    </bk>
    <bk>
      <extLst>
        <ext uri="{3e2802c4-a4d2-4d8b-9148-e3be6c30e623}">
          <xlrd:rvb i="15606"/>
        </ext>
      </extLst>
    </bk>
    <bk>
      <extLst>
        <ext uri="{3e2802c4-a4d2-4d8b-9148-e3be6c30e623}">
          <xlrd:rvb i="15607"/>
        </ext>
      </extLst>
    </bk>
    <bk>
      <extLst>
        <ext uri="{3e2802c4-a4d2-4d8b-9148-e3be6c30e623}">
          <xlrd:rvb i="15608"/>
        </ext>
      </extLst>
    </bk>
    <bk>
      <extLst>
        <ext uri="{3e2802c4-a4d2-4d8b-9148-e3be6c30e623}">
          <xlrd:rvb i="15609"/>
        </ext>
      </extLst>
    </bk>
    <bk>
      <extLst>
        <ext uri="{3e2802c4-a4d2-4d8b-9148-e3be6c30e623}">
          <xlrd:rvb i="15610"/>
        </ext>
      </extLst>
    </bk>
    <bk>
      <extLst>
        <ext uri="{3e2802c4-a4d2-4d8b-9148-e3be6c30e623}">
          <xlrd:rvb i="15611"/>
        </ext>
      </extLst>
    </bk>
    <bk>
      <extLst>
        <ext uri="{3e2802c4-a4d2-4d8b-9148-e3be6c30e623}">
          <xlrd:rvb i="15612"/>
        </ext>
      </extLst>
    </bk>
    <bk>
      <extLst>
        <ext uri="{3e2802c4-a4d2-4d8b-9148-e3be6c30e623}">
          <xlrd:rvb i="15613"/>
        </ext>
      </extLst>
    </bk>
    <bk>
      <extLst>
        <ext uri="{3e2802c4-a4d2-4d8b-9148-e3be6c30e623}">
          <xlrd:rvb i="15614"/>
        </ext>
      </extLst>
    </bk>
    <bk>
      <extLst>
        <ext uri="{3e2802c4-a4d2-4d8b-9148-e3be6c30e623}">
          <xlrd:rvb i="15615"/>
        </ext>
      </extLst>
    </bk>
    <bk>
      <extLst>
        <ext uri="{3e2802c4-a4d2-4d8b-9148-e3be6c30e623}">
          <xlrd:rvb i="15616"/>
        </ext>
      </extLst>
    </bk>
    <bk>
      <extLst>
        <ext uri="{3e2802c4-a4d2-4d8b-9148-e3be6c30e623}">
          <xlrd:rvb i="15617"/>
        </ext>
      </extLst>
    </bk>
    <bk>
      <extLst>
        <ext uri="{3e2802c4-a4d2-4d8b-9148-e3be6c30e623}">
          <xlrd:rvb i="15618"/>
        </ext>
      </extLst>
    </bk>
    <bk>
      <extLst>
        <ext uri="{3e2802c4-a4d2-4d8b-9148-e3be6c30e623}">
          <xlrd:rvb i="15619"/>
        </ext>
      </extLst>
    </bk>
    <bk>
      <extLst>
        <ext uri="{3e2802c4-a4d2-4d8b-9148-e3be6c30e623}">
          <xlrd:rvb i="15620"/>
        </ext>
      </extLst>
    </bk>
    <bk>
      <extLst>
        <ext uri="{3e2802c4-a4d2-4d8b-9148-e3be6c30e623}">
          <xlrd:rvb i="15621"/>
        </ext>
      </extLst>
    </bk>
    <bk>
      <extLst>
        <ext uri="{3e2802c4-a4d2-4d8b-9148-e3be6c30e623}">
          <xlrd:rvb i="15622"/>
        </ext>
      </extLst>
    </bk>
    <bk>
      <extLst>
        <ext uri="{3e2802c4-a4d2-4d8b-9148-e3be6c30e623}">
          <xlrd:rvb i="15623"/>
        </ext>
      </extLst>
    </bk>
    <bk>
      <extLst>
        <ext uri="{3e2802c4-a4d2-4d8b-9148-e3be6c30e623}">
          <xlrd:rvb i="15624"/>
        </ext>
      </extLst>
    </bk>
    <bk>
      <extLst>
        <ext uri="{3e2802c4-a4d2-4d8b-9148-e3be6c30e623}">
          <xlrd:rvb i="15625"/>
        </ext>
      </extLst>
    </bk>
    <bk>
      <extLst>
        <ext uri="{3e2802c4-a4d2-4d8b-9148-e3be6c30e623}">
          <xlrd:rvb i="15626"/>
        </ext>
      </extLst>
    </bk>
    <bk>
      <extLst>
        <ext uri="{3e2802c4-a4d2-4d8b-9148-e3be6c30e623}">
          <xlrd:rvb i="15627"/>
        </ext>
      </extLst>
    </bk>
    <bk>
      <extLst>
        <ext uri="{3e2802c4-a4d2-4d8b-9148-e3be6c30e623}">
          <xlrd:rvb i="15628"/>
        </ext>
      </extLst>
    </bk>
    <bk>
      <extLst>
        <ext uri="{3e2802c4-a4d2-4d8b-9148-e3be6c30e623}">
          <xlrd:rvb i="15629"/>
        </ext>
      </extLst>
    </bk>
    <bk>
      <extLst>
        <ext uri="{3e2802c4-a4d2-4d8b-9148-e3be6c30e623}">
          <xlrd:rvb i="15630"/>
        </ext>
      </extLst>
    </bk>
    <bk>
      <extLst>
        <ext uri="{3e2802c4-a4d2-4d8b-9148-e3be6c30e623}">
          <xlrd:rvb i="15631"/>
        </ext>
      </extLst>
    </bk>
    <bk>
      <extLst>
        <ext uri="{3e2802c4-a4d2-4d8b-9148-e3be6c30e623}">
          <xlrd:rvb i="15632"/>
        </ext>
      </extLst>
    </bk>
    <bk>
      <extLst>
        <ext uri="{3e2802c4-a4d2-4d8b-9148-e3be6c30e623}">
          <xlrd:rvb i="15633"/>
        </ext>
      </extLst>
    </bk>
    <bk>
      <extLst>
        <ext uri="{3e2802c4-a4d2-4d8b-9148-e3be6c30e623}">
          <xlrd:rvb i="15634"/>
        </ext>
      </extLst>
    </bk>
    <bk>
      <extLst>
        <ext uri="{3e2802c4-a4d2-4d8b-9148-e3be6c30e623}">
          <xlrd:rvb i="15635"/>
        </ext>
      </extLst>
    </bk>
    <bk>
      <extLst>
        <ext uri="{3e2802c4-a4d2-4d8b-9148-e3be6c30e623}">
          <xlrd:rvb i="15636"/>
        </ext>
      </extLst>
    </bk>
    <bk>
      <extLst>
        <ext uri="{3e2802c4-a4d2-4d8b-9148-e3be6c30e623}">
          <xlrd:rvb i="15637"/>
        </ext>
      </extLst>
    </bk>
    <bk>
      <extLst>
        <ext uri="{3e2802c4-a4d2-4d8b-9148-e3be6c30e623}">
          <xlrd:rvb i="15638"/>
        </ext>
      </extLst>
    </bk>
    <bk>
      <extLst>
        <ext uri="{3e2802c4-a4d2-4d8b-9148-e3be6c30e623}">
          <xlrd:rvb i="15639"/>
        </ext>
      </extLst>
    </bk>
    <bk>
      <extLst>
        <ext uri="{3e2802c4-a4d2-4d8b-9148-e3be6c30e623}">
          <xlrd:rvb i="15640"/>
        </ext>
      </extLst>
    </bk>
    <bk>
      <extLst>
        <ext uri="{3e2802c4-a4d2-4d8b-9148-e3be6c30e623}">
          <xlrd:rvb i="15641"/>
        </ext>
      </extLst>
    </bk>
    <bk>
      <extLst>
        <ext uri="{3e2802c4-a4d2-4d8b-9148-e3be6c30e623}">
          <xlrd:rvb i="15642"/>
        </ext>
      </extLst>
    </bk>
    <bk>
      <extLst>
        <ext uri="{3e2802c4-a4d2-4d8b-9148-e3be6c30e623}">
          <xlrd:rvb i="15643"/>
        </ext>
      </extLst>
    </bk>
    <bk>
      <extLst>
        <ext uri="{3e2802c4-a4d2-4d8b-9148-e3be6c30e623}">
          <xlrd:rvb i="15644"/>
        </ext>
      </extLst>
    </bk>
    <bk>
      <extLst>
        <ext uri="{3e2802c4-a4d2-4d8b-9148-e3be6c30e623}">
          <xlrd:rvb i="15645"/>
        </ext>
      </extLst>
    </bk>
    <bk>
      <extLst>
        <ext uri="{3e2802c4-a4d2-4d8b-9148-e3be6c30e623}">
          <xlrd:rvb i="15646"/>
        </ext>
      </extLst>
    </bk>
    <bk>
      <extLst>
        <ext uri="{3e2802c4-a4d2-4d8b-9148-e3be6c30e623}">
          <xlrd:rvb i="15647"/>
        </ext>
      </extLst>
    </bk>
    <bk>
      <extLst>
        <ext uri="{3e2802c4-a4d2-4d8b-9148-e3be6c30e623}">
          <xlrd:rvb i="15648"/>
        </ext>
      </extLst>
    </bk>
    <bk>
      <extLst>
        <ext uri="{3e2802c4-a4d2-4d8b-9148-e3be6c30e623}">
          <xlrd:rvb i="15649"/>
        </ext>
      </extLst>
    </bk>
    <bk>
      <extLst>
        <ext uri="{3e2802c4-a4d2-4d8b-9148-e3be6c30e623}">
          <xlrd:rvb i="15650"/>
        </ext>
      </extLst>
    </bk>
    <bk>
      <extLst>
        <ext uri="{3e2802c4-a4d2-4d8b-9148-e3be6c30e623}">
          <xlrd:rvb i="15651"/>
        </ext>
      </extLst>
    </bk>
    <bk>
      <extLst>
        <ext uri="{3e2802c4-a4d2-4d8b-9148-e3be6c30e623}">
          <xlrd:rvb i="15652"/>
        </ext>
      </extLst>
    </bk>
    <bk>
      <extLst>
        <ext uri="{3e2802c4-a4d2-4d8b-9148-e3be6c30e623}">
          <xlrd:rvb i="15653"/>
        </ext>
      </extLst>
    </bk>
    <bk>
      <extLst>
        <ext uri="{3e2802c4-a4d2-4d8b-9148-e3be6c30e623}">
          <xlrd:rvb i="15654"/>
        </ext>
      </extLst>
    </bk>
    <bk>
      <extLst>
        <ext uri="{3e2802c4-a4d2-4d8b-9148-e3be6c30e623}">
          <xlrd:rvb i="15655"/>
        </ext>
      </extLst>
    </bk>
    <bk>
      <extLst>
        <ext uri="{3e2802c4-a4d2-4d8b-9148-e3be6c30e623}">
          <xlrd:rvb i="15656"/>
        </ext>
      </extLst>
    </bk>
    <bk>
      <extLst>
        <ext uri="{3e2802c4-a4d2-4d8b-9148-e3be6c30e623}">
          <xlrd:rvb i="15657"/>
        </ext>
      </extLst>
    </bk>
    <bk>
      <extLst>
        <ext uri="{3e2802c4-a4d2-4d8b-9148-e3be6c30e623}">
          <xlrd:rvb i="15658"/>
        </ext>
      </extLst>
    </bk>
    <bk>
      <extLst>
        <ext uri="{3e2802c4-a4d2-4d8b-9148-e3be6c30e623}">
          <xlrd:rvb i="15659"/>
        </ext>
      </extLst>
    </bk>
    <bk>
      <extLst>
        <ext uri="{3e2802c4-a4d2-4d8b-9148-e3be6c30e623}">
          <xlrd:rvb i="15660"/>
        </ext>
      </extLst>
    </bk>
    <bk>
      <extLst>
        <ext uri="{3e2802c4-a4d2-4d8b-9148-e3be6c30e623}">
          <xlrd:rvb i="15661"/>
        </ext>
      </extLst>
    </bk>
    <bk>
      <extLst>
        <ext uri="{3e2802c4-a4d2-4d8b-9148-e3be6c30e623}">
          <xlrd:rvb i="15662"/>
        </ext>
      </extLst>
    </bk>
    <bk>
      <extLst>
        <ext uri="{3e2802c4-a4d2-4d8b-9148-e3be6c30e623}">
          <xlrd:rvb i="15663"/>
        </ext>
      </extLst>
    </bk>
    <bk>
      <extLst>
        <ext uri="{3e2802c4-a4d2-4d8b-9148-e3be6c30e623}">
          <xlrd:rvb i="15664"/>
        </ext>
      </extLst>
    </bk>
    <bk>
      <extLst>
        <ext uri="{3e2802c4-a4d2-4d8b-9148-e3be6c30e623}">
          <xlrd:rvb i="15665"/>
        </ext>
      </extLst>
    </bk>
    <bk>
      <extLst>
        <ext uri="{3e2802c4-a4d2-4d8b-9148-e3be6c30e623}">
          <xlrd:rvb i="15666"/>
        </ext>
      </extLst>
    </bk>
    <bk>
      <extLst>
        <ext uri="{3e2802c4-a4d2-4d8b-9148-e3be6c30e623}">
          <xlrd:rvb i="15667"/>
        </ext>
      </extLst>
    </bk>
    <bk>
      <extLst>
        <ext uri="{3e2802c4-a4d2-4d8b-9148-e3be6c30e623}">
          <xlrd:rvb i="15668"/>
        </ext>
      </extLst>
    </bk>
    <bk>
      <extLst>
        <ext uri="{3e2802c4-a4d2-4d8b-9148-e3be6c30e623}">
          <xlrd:rvb i="15669"/>
        </ext>
      </extLst>
    </bk>
    <bk>
      <extLst>
        <ext uri="{3e2802c4-a4d2-4d8b-9148-e3be6c30e623}">
          <xlrd:rvb i="15670"/>
        </ext>
      </extLst>
    </bk>
    <bk>
      <extLst>
        <ext uri="{3e2802c4-a4d2-4d8b-9148-e3be6c30e623}">
          <xlrd:rvb i="15671"/>
        </ext>
      </extLst>
    </bk>
    <bk>
      <extLst>
        <ext uri="{3e2802c4-a4d2-4d8b-9148-e3be6c30e623}">
          <xlrd:rvb i="15672"/>
        </ext>
      </extLst>
    </bk>
    <bk>
      <extLst>
        <ext uri="{3e2802c4-a4d2-4d8b-9148-e3be6c30e623}">
          <xlrd:rvb i="15673"/>
        </ext>
      </extLst>
    </bk>
    <bk>
      <extLst>
        <ext uri="{3e2802c4-a4d2-4d8b-9148-e3be6c30e623}">
          <xlrd:rvb i="15674"/>
        </ext>
      </extLst>
    </bk>
    <bk>
      <extLst>
        <ext uri="{3e2802c4-a4d2-4d8b-9148-e3be6c30e623}">
          <xlrd:rvb i="15675"/>
        </ext>
      </extLst>
    </bk>
    <bk>
      <extLst>
        <ext uri="{3e2802c4-a4d2-4d8b-9148-e3be6c30e623}">
          <xlrd:rvb i="15676"/>
        </ext>
      </extLst>
    </bk>
    <bk>
      <extLst>
        <ext uri="{3e2802c4-a4d2-4d8b-9148-e3be6c30e623}">
          <xlrd:rvb i="15677"/>
        </ext>
      </extLst>
    </bk>
    <bk>
      <extLst>
        <ext uri="{3e2802c4-a4d2-4d8b-9148-e3be6c30e623}">
          <xlrd:rvb i="15678"/>
        </ext>
      </extLst>
    </bk>
    <bk>
      <extLst>
        <ext uri="{3e2802c4-a4d2-4d8b-9148-e3be6c30e623}">
          <xlrd:rvb i="15679"/>
        </ext>
      </extLst>
    </bk>
    <bk>
      <extLst>
        <ext uri="{3e2802c4-a4d2-4d8b-9148-e3be6c30e623}">
          <xlrd:rvb i="15680"/>
        </ext>
      </extLst>
    </bk>
    <bk>
      <extLst>
        <ext uri="{3e2802c4-a4d2-4d8b-9148-e3be6c30e623}">
          <xlrd:rvb i="15681"/>
        </ext>
      </extLst>
    </bk>
    <bk>
      <extLst>
        <ext uri="{3e2802c4-a4d2-4d8b-9148-e3be6c30e623}">
          <xlrd:rvb i="15682"/>
        </ext>
      </extLst>
    </bk>
    <bk>
      <extLst>
        <ext uri="{3e2802c4-a4d2-4d8b-9148-e3be6c30e623}">
          <xlrd:rvb i="15683"/>
        </ext>
      </extLst>
    </bk>
    <bk>
      <extLst>
        <ext uri="{3e2802c4-a4d2-4d8b-9148-e3be6c30e623}">
          <xlrd:rvb i="15684"/>
        </ext>
      </extLst>
    </bk>
    <bk>
      <extLst>
        <ext uri="{3e2802c4-a4d2-4d8b-9148-e3be6c30e623}">
          <xlrd:rvb i="15685"/>
        </ext>
      </extLst>
    </bk>
    <bk>
      <extLst>
        <ext uri="{3e2802c4-a4d2-4d8b-9148-e3be6c30e623}">
          <xlrd:rvb i="15686"/>
        </ext>
      </extLst>
    </bk>
    <bk>
      <extLst>
        <ext uri="{3e2802c4-a4d2-4d8b-9148-e3be6c30e623}">
          <xlrd:rvb i="15687"/>
        </ext>
      </extLst>
    </bk>
    <bk>
      <extLst>
        <ext uri="{3e2802c4-a4d2-4d8b-9148-e3be6c30e623}">
          <xlrd:rvb i="15688"/>
        </ext>
      </extLst>
    </bk>
    <bk>
      <extLst>
        <ext uri="{3e2802c4-a4d2-4d8b-9148-e3be6c30e623}">
          <xlrd:rvb i="15689"/>
        </ext>
      </extLst>
    </bk>
    <bk>
      <extLst>
        <ext uri="{3e2802c4-a4d2-4d8b-9148-e3be6c30e623}">
          <xlrd:rvb i="15690"/>
        </ext>
      </extLst>
    </bk>
    <bk>
      <extLst>
        <ext uri="{3e2802c4-a4d2-4d8b-9148-e3be6c30e623}">
          <xlrd:rvb i="15691"/>
        </ext>
      </extLst>
    </bk>
    <bk>
      <extLst>
        <ext uri="{3e2802c4-a4d2-4d8b-9148-e3be6c30e623}">
          <xlrd:rvb i="15692"/>
        </ext>
      </extLst>
    </bk>
    <bk>
      <extLst>
        <ext uri="{3e2802c4-a4d2-4d8b-9148-e3be6c30e623}">
          <xlrd:rvb i="15693"/>
        </ext>
      </extLst>
    </bk>
    <bk>
      <extLst>
        <ext uri="{3e2802c4-a4d2-4d8b-9148-e3be6c30e623}">
          <xlrd:rvb i="15694"/>
        </ext>
      </extLst>
    </bk>
    <bk>
      <extLst>
        <ext uri="{3e2802c4-a4d2-4d8b-9148-e3be6c30e623}">
          <xlrd:rvb i="15695"/>
        </ext>
      </extLst>
    </bk>
    <bk>
      <extLst>
        <ext uri="{3e2802c4-a4d2-4d8b-9148-e3be6c30e623}">
          <xlrd:rvb i="15696"/>
        </ext>
      </extLst>
    </bk>
    <bk>
      <extLst>
        <ext uri="{3e2802c4-a4d2-4d8b-9148-e3be6c30e623}">
          <xlrd:rvb i="15697"/>
        </ext>
      </extLst>
    </bk>
    <bk>
      <extLst>
        <ext uri="{3e2802c4-a4d2-4d8b-9148-e3be6c30e623}">
          <xlrd:rvb i="15698"/>
        </ext>
      </extLst>
    </bk>
    <bk>
      <extLst>
        <ext uri="{3e2802c4-a4d2-4d8b-9148-e3be6c30e623}">
          <xlrd:rvb i="15699"/>
        </ext>
      </extLst>
    </bk>
    <bk>
      <extLst>
        <ext uri="{3e2802c4-a4d2-4d8b-9148-e3be6c30e623}">
          <xlrd:rvb i="15700"/>
        </ext>
      </extLst>
    </bk>
    <bk>
      <extLst>
        <ext uri="{3e2802c4-a4d2-4d8b-9148-e3be6c30e623}">
          <xlrd:rvb i="15701"/>
        </ext>
      </extLst>
    </bk>
    <bk>
      <extLst>
        <ext uri="{3e2802c4-a4d2-4d8b-9148-e3be6c30e623}">
          <xlrd:rvb i="15702"/>
        </ext>
      </extLst>
    </bk>
    <bk>
      <extLst>
        <ext uri="{3e2802c4-a4d2-4d8b-9148-e3be6c30e623}">
          <xlrd:rvb i="15703"/>
        </ext>
      </extLst>
    </bk>
    <bk>
      <extLst>
        <ext uri="{3e2802c4-a4d2-4d8b-9148-e3be6c30e623}">
          <xlrd:rvb i="15704"/>
        </ext>
      </extLst>
    </bk>
    <bk>
      <extLst>
        <ext uri="{3e2802c4-a4d2-4d8b-9148-e3be6c30e623}">
          <xlrd:rvb i="15705"/>
        </ext>
      </extLst>
    </bk>
    <bk>
      <extLst>
        <ext uri="{3e2802c4-a4d2-4d8b-9148-e3be6c30e623}">
          <xlrd:rvb i="15706"/>
        </ext>
      </extLst>
    </bk>
    <bk>
      <extLst>
        <ext uri="{3e2802c4-a4d2-4d8b-9148-e3be6c30e623}">
          <xlrd:rvb i="15707"/>
        </ext>
      </extLst>
    </bk>
    <bk>
      <extLst>
        <ext uri="{3e2802c4-a4d2-4d8b-9148-e3be6c30e623}">
          <xlrd:rvb i="15708"/>
        </ext>
      </extLst>
    </bk>
    <bk>
      <extLst>
        <ext uri="{3e2802c4-a4d2-4d8b-9148-e3be6c30e623}">
          <xlrd:rvb i="15709"/>
        </ext>
      </extLst>
    </bk>
    <bk>
      <extLst>
        <ext uri="{3e2802c4-a4d2-4d8b-9148-e3be6c30e623}">
          <xlrd:rvb i="15710"/>
        </ext>
      </extLst>
    </bk>
    <bk>
      <extLst>
        <ext uri="{3e2802c4-a4d2-4d8b-9148-e3be6c30e623}">
          <xlrd:rvb i="15711"/>
        </ext>
      </extLst>
    </bk>
    <bk>
      <extLst>
        <ext uri="{3e2802c4-a4d2-4d8b-9148-e3be6c30e623}">
          <xlrd:rvb i="15712"/>
        </ext>
      </extLst>
    </bk>
    <bk>
      <extLst>
        <ext uri="{3e2802c4-a4d2-4d8b-9148-e3be6c30e623}">
          <xlrd:rvb i="15713"/>
        </ext>
      </extLst>
    </bk>
    <bk>
      <extLst>
        <ext uri="{3e2802c4-a4d2-4d8b-9148-e3be6c30e623}">
          <xlrd:rvb i="15714"/>
        </ext>
      </extLst>
    </bk>
    <bk>
      <extLst>
        <ext uri="{3e2802c4-a4d2-4d8b-9148-e3be6c30e623}">
          <xlrd:rvb i="15715"/>
        </ext>
      </extLst>
    </bk>
    <bk>
      <extLst>
        <ext uri="{3e2802c4-a4d2-4d8b-9148-e3be6c30e623}">
          <xlrd:rvb i="15716"/>
        </ext>
      </extLst>
    </bk>
    <bk>
      <extLst>
        <ext uri="{3e2802c4-a4d2-4d8b-9148-e3be6c30e623}">
          <xlrd:rvb i="15717"/>
        </ext>
      </extLst>
    </bk>
    <bk>
      <extLst>
        <ext uri="{3e2802c4-a4d2-4d8b-9148-e3be6c30e623}">
          <xlrd:rvb i="15718"/>
        </ext>
      </extLst>
    </bk>
    <bk>
      <extLst>
        <ext uri="{3e2802c4-a4d2-4d8b-9148-e3be6c30e623}">
          <xlrd:rvb i="15719"/>
        </ext>
      </extLst>
    </bk>
    <bk>
      <extLst>
        <ext uri="{3e2802c4-a4d2-4d8b-9148-e3be6c30e623}">
          <xlrd:rvb i="15720"/>
        </ext>
      </extLst>
    </bk>
    <bk>
      <extLst>
        <ext uri="{3e2802c4-a4d2-4d8b-9148-e3be6c30e623}">
          <xlrd:rvb i="15721"/>
        </ext>
      </extLst>
    </bk>
    <bk>
      <extLst>
        <ext uri="{3e2802c4-a4d2-4d8b-9148-e3be6c30e623}">
          <xlrd:rvb i="15722"/>
        </ext>
      </extLst>
    </bk>
    <bk>
      <extLst>
        <ext uri="{3e2802c4-a4d2-4d8b-9148-e3be6c30e623}">
          <xlrd:rvb i="15723"/>
        </ext>
      </extLst>
    </bk>
    <bk>
      <extLst>
        <ext uri="{3e2802c4-a4d2-4d8b-9148-e3be6c30e623}">
          <xlrd:rvb i="15724"/>
        </ext>
      </extLst>
    </bk>
    <bk>
      <extLst>
        <ext uri="{3e2802c4-a4d2-4d8b-9148-e3be6c30e623}">
          <xlrd:rvb i="15725"/>
        </ext>
      </extLst>
    </bk>
    <bk>
      <extLst>
        <ext uri="{3e2802c4-a4d2-4d8b-9148-e3be6c30e623}">
          <xlrd:rvb i="15726"/>
        </ext>
      </extLst>
    </bk>
    <bk>
      <extLst>
        <ext uri="{3e2802c4-a4d2-4d8b-9148-e3be6c30e623}">
          <xlrd:rvb i="15727"/>
        </ext>
      </extLst>
    </bk>
    <bk>
      <extLst>
        <ext uri="{3e2802c4-a4d2-4d8b-9148-e3be6c30e623}">
          <xlrd:rvb i="15728"/>
        </ext>
      </extLst>
    </bk>
    <bk>
      <extLst>
        <ext uri="{3e2802c4-a4d2-4d8b-9148-e3be6c30e623}">
          <xlrd:rvb i="15729"/>
        </ext>
      </extLst>
    </bk>
    <bk>
      <extLst>
        <ext uri="{3e2802c4-a4d2-4d8b-9148-e3be6c30e623}">
          <xlrd:rvb i="15730"/>
        </ext>
      </extLst>
    </bk>
    <bk>
      <extLst>
        <ext uri="{3e2802c4-a4d2-4d8b-9148-e3be6c30e623}">
          <xlrd:rvb i="15731"/>
        </ext>
      </extLst>
    </bk>
    <bk>
      <extLst>
        <ext uri="{3e2802c4-a4d2-4d8b-9148-e3be6c30e623}">
          <xlrd:rvb i="15732"/>
        </ext>
      </extLst>
    </bk>
    <bk>
      <extLst>
        <ext uri="{3e2802c4-a4d2-4d8b-9148-e3be6c30e623}">
          <xlrd:rvb i="15733"/>
        </ext>
      </extLst>
    </bk>
    <bk>
      <extLst>
        <ext uri="{3e2802c4-a4d2-4d8b-9148-e3be6c30e623}">
          <xlrd:rvb i="15734"/>
        </ext>
      </extLst>
    </bk>
    <bk>
      <extLst>
        <ext uri="{3e2802c4-a4d2-4d8b-9148-e3be6c30e623}">
          <xlrd:rvb i="15735"/>
        </ext>
      </extLst>
    </bk>
    <bk>
      <extLst>
        <ext uri="{3e2802c4-a4d2-4d8b-9148-e3be6c30e623}">
          <xlrd:rvb i="15736"/>
        </ext>
      </extLst>
    </bk>
    <bk>
      <extLst>
        <ext uri="{3e2802c4-a4d2-4d8b-9148-e3be6c30e623}">
          <xlrd:rvb i="15737"/>
        </ext>
      </extLst>
    </bk>
    <bk>
      <extLst>
        <ext uri="{3e2802c4-a4d2-4d8b-9148-e3be6c30e623}">
          <xlrd:rvb i="15738"/>
        </ext>
      </extLst>
    </bk>
    <bk>
      <extLst>
        <ext uri="{3e2802c4-a4d2-4d8b-9148-e3be6c30e623}">
          <xlrd:rvb i="15739"/>
        </ext>
      </extLst>
    </bk>
    <bk>
      <extLst>
        <ext uri="{3e2802c4-a4d2-4d8b-9148-e3be6c30e623}">
          <xlrd:rvb i="15740"/>
        </ext>
      </extLst>
    </bk>
    <bk>
      <extLst>
        <ext uri="{3e2802c4-a4d2-4d8b-9148-e3be6c30e623}">
          <xlrd:rvb i="15741"/>
        </ext>
      </extLst>
    </bk>
    <bk>
      <extLst>
        <ext uri="{3e2802c4-a4d2-4d8b-9148-e3be6c30e623}">
          <xlrd:rvb i="15742"/>
        </ext>
      </extLst>
    </bk>
    <bk>
      <extLst>
        <ext uri="{3e2802c4-a4d2-4d8b-9148-e3be6c30e623}">
          <xlrd:rvb i="15743"/>
        </ext>
      </extLst>
    </bk>
    <bk>
      <extLst>
        <ext uri="{3e2802c4-a4d2-4d8b-9148-e3be6c30e623}">
          <xlrd:rvb i="15744"/>
        </ext>
      </extLst>
    </bk>
    <bk>
      <extLst>
        <ext uri="{3e2802c4-a4d2-4d8b-9148-e3be6c30e623}">
          <xlrd:rvb i="15745"/>
        </ext>
      </extLst>
    </bk>
    <bk>
      <extLst>
        <ext uri="{3e2802c4-a4d2-4d8b-9148-e3be6c30e623}">
          <xlrd:rvb i="15746"/>
        </ext>
      </extLst>
    </bk>
    <bk>
      <extLst>
        <ext uri="{3e2802c4-a4d2-4d8b-9148-e3be6c30e623}">
          <xlrd:rvb i="15747"/>
        </ext>
      </extLst>
    </bk>
    <bk>
      <extLst>
        <ext uri="{3e2802c4-a4d2-4d8b-9148-e3be6c30e623}">
          <xlrd:rvb i="15748"/>
        </ext>
      </extLst>
    </bk>
    <bk>
      <extLst>
        <ext uri="{3e2802c4-a4d2-4d8b-9148-e3be6c30e623}">
          <xlrd:rvb i="15749"/>
        </ext>
      </extLst>
    </bk>
    <bk>
      <extLst>
        <ext uri="{3e2802c4-a4d2-4d8b-9148-e3be6c30e623}">
          <xlrd:rvb i="15750"/>
        </ext>
      </extLst>
    </bk>
    <bk>
      <extLst>
        <ext uri="{3e2802c4-a4d2-4d8b-9148-e3be6c30e623}">
          <xlrd:rvb i="15751"/>
        </ext>
      </extLst>
    </bk>
    <bk>
      <extLst>
        <ext uri="{3e2802c4-a4d2-4d8b-9148-e3be6c30e623}">
          <xlrd:rvb i="15752"/>
        </ext>
      </extLst>
    </bk>
    <bk>
      <extLst>
        <ext uri="{3e2802c4-a4d2-4d8b-9148-e3be6c30e623}">
          <xlrd:rvb i="15753"/>
        </ext>
      </extLst>
    </bk>
    <bk>
      <extLst>
        <ext uri="{3e2802c4-a4d2-4d8b-9148-e3be6c30e623}">
          <xlrd:rvb i="15754"/>
        </ext>
      </extLst>
    </bk>
    <bk>
      <extLst>
        <ext uri="{3e2802c4-a4d2-4d8b-9148-e3be6c30e623}">
          <xlrd:rvb i="15755"/>
        </ext>
      </extLst>
    </bk>
    <bk>
      <extLst>
        <ext uri="{3e2802c4-a4d2-4d8b-9148-e3be6c30e623}">
          <xlrd:rvb i="15756"/>
        </ext>
      </extLst>
    </bk>
    <bk>
      <extLst>
        <ext uri="{3e2802c4-a4d2-4d8b-9148-e3be6c30e623}">
          <xlrd:rvb i="15757"/>
        </ext>
      </extLst>
    </bk>
    <bk>
      <extLst>
        <ext uri="{3e2802c4-a4d2-4d8b-9148-e3be6c30e623}">
          <xlrd:rvb i="15758"/>
        </ext>
      </extLst>
    </bk>
    <bk>
      <extLst>
        <ext uri="{3e2802c4-a4d2-4d8b-9148-e3be6c30e623}">
          <xlrd:rvb i="15759"/>
        </ext>
      </extLst>
    </bk>
    <bk>
      <extLst>
        <ext uri="{3e2802c4-a4d2-4d8b-9148-e3be6c30e623}">
          <xlrd:rvb i="15760"/>
        </ext>
      </extLst>
    </bk>
    <bk>
      <extLst>
        <ext uri="{3e2802c4-a4d2-4d8b-9148-e3be6c30e623}">
          <xlrd:rvb i="15761"/>
        </ext>
      </extLst>
    </bk>
    <bk>
      <extLst>
        <ext uri="{3e2802c4-a4d2-4d8b-9148-e3be6c30e623}">
          <xlrd:rvb i="15762"/>
        </ext>
      </extLst>
    </bk>
    <bk>
      <extLst>
        <ext uri="{3e2802c4-a4d2-4d8b-9148-e3be6c30e623}">
          <xlrd:rvb i="15763"/>
        </ext>
      </extLst>
    </bk>
    <bk>
      <extLst>
        <ext uri="{3e2802c4-a4d2-4d8b-9148-e3be6c30e623}">
          <xlrd:rvb i="15764"/>
        </ext>
      </extLst>
    </bk>
    <bk>
      <extLst>
        <ext uri="{3e2802c4-a4d2-4d8b-9148-e3be6c30e623}">
          <xlrd:rvb i="15765"/>
        </ext>
      </extLst>
    </bk>
    <bk>
      <extLst>
        <ext uri="{3e2802c4-a4d2-4d8b-9148-e3be6c30e623}">
          <xlrd:rvb i="15766"/>
        </ext>
      </extLst>
    </bk>
    <bk>
      <extLst>
        <ext uri="{3e2802c4-a4d2-4d8b-9148-e3be6c30e623}">
          <xlrd:rvb i="15767"/>
        </ext>
      </extLst>
    </bk>
    <bk>
      <extLst>
        <ext uri="{3e2802c4-a4d2-4d8b-9148-e3be6c30e623}">
          <xlrd:rvb i="15768"/>
        </ext>
      </extLst>
    </bk>
    <bk>
      <extLst>
        <ext uri="{3e2802c4-a4d2-4d8b-9148-e3be6c30e623}">
          <xlrd:rvb i="15769"/>
        </ext>
      </extLst>
    </bk>
    <bk>
      <extLst>
        <ext uri="{3e2802c4-a4d2-4d8b-9148-e3be6c30e623}">
          <xlrd:rvb i="15770"/>
        </ext>
      </extLst>
    </bk>
    <bk>
      <extLst>
        <ext uri="{3e2802c4-a4d2-4d8b-9148-e3be6c30e623}">
          <xlrd:rvb i="15771"/>
        </ext>
      </extLst>
    </bk>
    <bk>
      <extLst>
        <ext uri="{3e2802c4-a4d2-4d8b-9148-e3be6c30e623}">
          <xlrd:rvb i="15772"/>
        </ext>
      </extLst>
    </bk>
    <bk>
      <extLst>
        <ext uri="{3e2802c4-a4d2-4d8b-9148-e3be6c30e623}">
          <xlrd:rvb i="15773"/>
        </ext>
      </extLst>
    </bk>
    <bk>
      <extLst>
        <ext uri="{3e2802c4-a4d2-4d8b-9148-e3be6c30e623}">
          <xlrd:rvb i="15774"/>
        </ext>
      </extLst>
    </bk>
    <bk>
      <extLst>
        <ext uri="{3e2802c4-a4d2-4d8b-9148-e3be6c30e623}">
          <xlrd:rvb i="15775"/>
        </ext>
      </extLst>
    </bk>
    <bk>
      <extLst>
        <ext uri="{3e2802c4-a4d2-4d8b-9148-e3be6c30e623}">
          <xlrd:rvb i="15776"/>
        </ext>
      </extLst>
    </bk>
    <bk>
      <extLst>
        <ext uri="{3e2802c4-a4d2-4d8b-9148-e3be6c30e623}">
          <xlrd:rvb i="15777"/>
        </ext>
      </extLst>
    </bk>
    <bk>
      <extLst>
        <ext uri="{3e2802c4-a4d2-4d8b-9148-e3be6c30e623}">
          <xlrd:rvb i="15778"/>
        </ext>
      </extLst>
    </bk>
    <bk>
      <extLst>
        <ext uri="{3e2802c4-a4d2-4d8b-9148-e3be6c30e623}">
          <xlrd:rvb i="15779"/>
        </ext>
      </extLst>
    </bk>
    <bk>
      <extLst>
        <ext uri="{3e2802c4-a4d2-4d8b-9148-e3be6c30e623}">
          <xlrd:rvb i="15780"/>
        </ext>
      </extLst>
    </bk>
    <bk>
      <extLst>
        <ext uri="{3e2802c4-a4d2-4d8b-9148-e3be6c30e623}">
          <xlrd:rvb i="15781"/>
        </ext>
      </extLst>
    </bk>
    <bk>
      <extLst>
        <ext uri="{3e2802c4-a4d2-4d8b-9148-e3be6c30e623}">
          <xlrd:rvb i="15782"/>
        </ext>
      </extLst>
    </bk>
    <bk>
      <extLst>
        <ext uri="{3e2802c4-a4d2-4d8b-9148-e3be6c30e623}">
          <xlrd:rvb i="15783"/>
        </ext>
      </extLst>
    </bk>
    <bk>
      <extLst>
        <ext uri="{3e2802c4-a4d2-4d8b-9148-e3be6c30e623}">
          <xlrd:rvb i="15784"/>
        </ext>
      </extLst>
    </bk>
    <bk>
      <extLst>
        <ext uri="{3e2802c4-a4d2-4d8b-9148-e3be6c30e623}">
          <xlrd:rvb i="15785"/>
        </ext>
      </extLst>
    </bk>
    <bk>
      <extLst>
        <ext uri="{3e2802c4-a4d2-4d8b-9148-e3be6c30e623}">
          <xlrd:rvb i="15786"/>
        </ext>
      </extLst>
    </bk>
    <bk>
      <extLst>
        <ext uri="{3e2802c4-a4d2-4d8b-9148-e3be6c30e623}">
          <xlrd:rvb i="15787"/>
        </ext>
      </extLst>
    </bk>
    <bk>
      <extLst>
        <ext uri="{3e2802c4-a4d2-4d8b-9148-e3be6c30e623}">
          <xlrd:rvb i="15788"/>
        </ext>
      </extLst>
    </bk>
    <bk>
      <extLst>
        <ext uri="{3e2802c4-a4d2-4d8b-9148-e3be6c30e623}">
          <xlrd:rvb i="15789"/>
        </ext>
      </extLst>
    </bk>
    <bk>
      <extLst>
        <ext uri="{3e2802c4-a4d2-4d8b-9148-e3be6c30e623}">
          <xlrd:rvb i="15790"/>
        </ext>
      </extLst>
    </bk>
    <bk>
      <extLst>
        <ext uri="{3e2802c4-a4d2-4d8b-9148-e3be6c30e623}">
          <xlrd:rvb i="15791"/>
        </ext>
      </extLst>
    </bk>
    <bk>
      <extLst>
        <ext uri="{3e2802c4-a4d2-4d8b-9148-e3be6c30e623}">
          <xlrd:rvb i="15792"/>
        </ext>
      </extLst>
    </bk>
    <bk>
      <extLst>
        <ext uri="{3e2802c4-a4d2-4d8b-9148-e3be6c30e623}">
          <xlrd:rvb i="15793"/>
        </ext>
      </extLst>
    </bk>
    <bk>
      <extLst>
        <ext uri="{3e2802c4-a4d2-4d8b-9148-e3be6c30e623}">
          <xlrd:rvb i="15794"/>
        </ext>
      </extLst>
    </bk>
    <bk>
      <extLst>
        <ext uri="{3e2802c4-a4d2-4d8b-9148-e3be6c30e623}">
          <xlrd:rvb i="15795"/>
        </ext>
      </extLst>
    </bk>
    <bk>
      <extLst>
        <ext uri="{3e2802c4-a4d2-4d8b-9148-e3be6c30e623}">
          <xlrd:rvb i="15796"/>
        </ext>
      </extLst>
    </bk>
    <bk>
      <extLst>
        <ext uri="{3e2802c4-a4d2-4d8b-9148-e3be6c30e623}">
          <xlrd:rvb i="15797"/>
        </ext>
      </extLst>
    </bk>
    <bk>
      <extLst>
        <ext uri="{3e2802c4-a4d2-4d8b-9148-e3be6c30e623}">
          <xlrd:rvb i="15798"/>
        </ext>
      </extLst>
    </bk>
    <bk>
      <extLst>
        <ext uri="{3e2802c4-a4d2-4d8b-9148-e3be6c30e623}">
          <xlrd:rvb i="15799"/>
        </ext>
      </extLst>
    </bk>
    <bk>
      <extLst>
        <ext uri="{3e2802c4-a4d2-4d8b-9148-e3be6c30e623}">
          <xlrd:rvb i="15800"/>
        </ext>
      </extLst>
    </bk>
    <bk>
      <extLst>
        <ext uri="{3e2802c4-a4d2-4d8b-9148-e3be6c30e623}">
          <xlrd:rvb i="15801"/>
        </ext>
      </extLst>
    </bk>
    <bk>
      <extLst>
        <ext uri="{3e2802c4-a4d2-4d8b-9148-e3be6c30e623}">
          <xlrd:rvb i="15802"/>
        </ext>
      </extLst>
    </bk>
    <bk>
      <extLst>
        <ext uri="{3e2802c4-a4d2-4d8b-9148-e3be6c30e623}">
          <xlrd:rvb i="15803"/>
        </ext>
      </extLst>
    </bk>
    <bk>
      <extLst>
        <ext uri="{3e2802c4-a4d2-4d8b-9148-e3be6c30e623}">
          <xlrd:rvb i="15804"/>
        </ext>
      </extLst>
    </bk>
    <bk>
      <extLst>
        <ext uri="{3e2802c4-a4d2-4d8b-9148-e3be6c30e623}">
          <xlrd:rvb i="15805"/>
        </ext>
      </extLst>
    </bk>
    <bk>
      <extLst>
        <ext uri="{3e2802c4-a4d2-4d8b-9148-e3be6c30e623}">
          <xlrd:rvb i="15806"/>
        </ext>
      </extLst>
    </bk>
    <bk>
      <extLst>
        <ext uri="{3e2802c4-a4d2-4d8b-9148-e3be6c30e623}">
          <xlrd:rvb i="15807"/>
        </ext>
      </extLst>
    </bk>
    <bk>
      <extLst>
        <ext uri="{3e2802c4-a4d2-4d8b-9148-e3be6c30e623}">
          <xlrd:rvb i="15808"/>
        </ext>
      </extLst>
    </bk>
    <bk>
      <extLst>
        <ext uri="{3e2802c4-a4d2-4d8b-9148-e3be6c30e623}">
          <xlrd:rvb i="15809"/>
        </ext>
      </extLst>
    </bk>
    <bk>
      <extLst>
        <ext uri="{3e2802c4-a4d2-4d8b-9148-e3be6c30e623}">
          <xlrd:rvb i="15810"/>
        </ext>
      </extLst>
    </bk>
    <bk>
      <extLst>
        <ext uri="{3e2802c4-a4d2-4d8b-9148-e3be6c30e623}">
          <xlrd:rvb i="15811"/>
        </ext>
      </extLst>
    </bk>
    <bk>
      <extLst>
        <ext uri="{3e2802c4-a4d2-4d8b-9148-e3be6c30e623}">
          <xlrd:rvb i="15812"/>
        </ext>
      </extLst>
    </bk>
    <bk>
      <extLst>
        <ext uri="{3e2802c4-a4d2-4d8b-9148-e3be6c30e623}">
          <xlrd:rvb i="15813"/>
        </ext>
      </extLst>
    </bk>
    <bk>
      <extLst>
        <ext uri="{3e2802c4-a4d2-4d8b-9148-e3be6c30e623}">
          <xlrd:rvb i="15814"/>
        </ext>
      </extLst>
    </bk>
    <bk>
      <extLst>
        <ext uri="{3e2802c4-a4d2-4d8b-9148-e3be6c30e623}">
          <xlrd:rvb i="15815"/>
        </ext>
      </extLst>
    </bk>
    <bk>
      <extLst>
        <ext uri="{3e2802c4-a4d2-4d8b-9148-e3be6c30e623}">
          <xlrd:rvb i="15816"/>
        </ext>
      </extLst>
    </bk>
    <bk>
      <extLst>
        <ext uri="{3e2802c4-a4d2-4d8b-9148-e3be6c30e623}">
          <xlrd:rvb i="15817"/>
        </ext>
      </extLst>
    </bk>
    <bk>
      <extLst>
        <ext uri="{3e2802c4-a4d2-4d8b-9148-e3be6c30e623}">
          <xlrd:rvb i="15818"/>
        </ext>
      </extLst>
    </bk>
    <bk>
      <extLst>
        <ext uri="{3e2802c4-a4d2-4d8b-9148-e3be6c30e623}">
          <xlrd:rvb i="15819"/>
        </ext>
      </extLst>
    </bk>
    <bk>
      <extLst>
        <ext uri="{3e2802c4-a4d2-4d8b-9148-e3be6c30e623}">
          <xlrd:rvb i="15820"/>
        </ext>
      </extLst>
    </bk>
    <bk>
      <extLst>
        <ext uri="{3e2802c4-a4d2-4d8b-9148-e3be6c30e623}">
          <xlrd:rvb i="15821"/>
        </ext>
      </extLst>
    </bk>
    <bk>
      <extLst>
        <ext uri="{3e2802c4-a4d2-4d8b-9148-e3be6c30e623}">
          <xlrd:rvb i="15822"/>
        </ext>
      </extLst>
    </bk>
    <bk>
      <extLst>
        <ext uri="{3e2802c4-a4d2-4d8b-9148-e3be6c30e623}">
          <xlrd:rvb i="15823"/>
        </ext>
      </extLst>
    </bk>
    <bk>
      <extLst>
        <ext uri="{3e2802c4-a4d2-4d8b-9148-e3be6c30e623}">
          <xlrd:rvb i="15824"/>
        </ext>
      </extLst>
    </bk>
    <bk>
      <extLst>
        <ext uri="{3e2802c4-a4d2-4d8b-9148-e3be6c30e623}">
          <xlrd:rvb i="15825"/>
        </ext>
      </extLst>
    </bk>
    <bk>
      <extLst>
        <ext uri="{3e2802c4-a4d2-4d8b-9148-e3be6c30e623}">
          <xlrd:rvb i="15826"/>
        </ext>
      </extLst>
    </bk>
    <bk>
      <extLst>
        <ext uri="{3e2802c4-a4d2-4d8b-9148-e3be6c30e623}">
          <xlrd:rvb i="15827"/>
        </ext>
      </extLst>
    </bk>
    <bk>
      <extLst>
        <ext uri="{3e2802c4-a4d2-4d8b-9148-e3be6c30e623}">
          <xlrd:rvb i="15828"/>
        </ext>
      </extLst>
    </bk>
    <bk>
      <extLst>
        <ext uri="{3e2802c4-a4d2-4d8b-9148-e3be6c30e623}">
          <xlrd:rvb i="15829"/>
        </ext>
      </extLst>
    </bk>
    <bk>
      <extLst>
        <ext uri="{3e2802c4-a4d2-4d8b-9148-e3be6c30e623}">
          <xlrd:rvb i="15830"/>
        </ext>
      </extLst>
    </bk>
    <bk>
      <extLst>
        <ext uri="{3e2802c4-a4d2-4d8b-9148-e3be6c30e623}">
          <xlrd:rvb i="15831"/>
        </ext>
      </extLst>
    </bk>
    <bk>
      <extLst>
        <ext uri="{3e2802c4-a4d2-4d8b-9148-e3be6c30e623}">
          <xlrd:rvb i="15832"/>
        </ext>
      </extLst>
    </bk>
    <bk>
      <extLst>
        <ext uri="{3e2802c4-a4d2-4d8b-9148-e3be6c30e623}">
          <xlrd:rvb i="15833"/>
        </ext>
      </extLst>
    </bk>
    <bk>
      <extLst>
        <ext uri="{3e2802c4-a4d2-4d8b-9148-e3be6c30e623}">
          <xlrd:rvb i="15834"/>
        </ext>
      </extLst>
    </bk>
    <bk>
      <extLst>
        <ext uri="{3e2802c4-a4d2-4d8b-9148-e3be6c30e623}">
          <xlrd:rvb i="15835"/>
        </ext>
      </extLst>
    </bk>
    <bk>
      <extLst>
        <ext uri="{3e2802c4-a4d2-4d8b-9148-e3be6c30e623}">
          <xlrd:rvb i="15836"/>
        </ext>
      </extLst>
    </bk>
    <bk>
      <extLst>
        <ext uri="{3e2802c4-a4d2-4d8b-9148-e3be6c30e623}">
          <xlrd:rvb i="15837"/>
        </ext>
      </extLst>
    </bk>
    <bk>
      <extLst>
        <ext uri="{3e2802c4-a4d2-4d8b-9148-e3be6c30e623}">
          <xlrd:rvb i="15838"/>
        </ext>
      </extLst>
    </bk>
    <bk>
      <extLst>
        <ext uri="{3e2802c4-a4d2-4d8b-9148-e3be6c30e623}">
          <xlrd:rvb i="15839"/>
        </ext>
      </extLst>
    </bk>
    <bk>
      <extLst>
        <ext uri="{3e2802c4-a4d2-4d8b-9148-e3be6c30e623}">
          <xlrd:rvb i="15840"/>
        </ext>
      </extLst>
    </bk>
    <bk>
      <extLst>
        <ext uri="{3e2802c4-a4d2-4d8b-9148-e3be6c30e623}">
          <xlrd:rvb i="15841"/>
        </ext>
      </extLst>
    </bk>
    <bk>
      <extLst>
        <ext uri="{3e2802c4-a4d2-4d8b-9148-e3be6c30e623}">
          <xlrd:rvb i="15842"/>
        </ext>
      </extLst>
    </bk>
    <bk>
      <extLst>
        <ext uri="{3e2802c4-a4d2-4d8b-9148-e3be6c30e623}">
          <xlrd:rvb i="15843"/>
        </ext>
      </extLst>
    </bk>
    <bk>
      <extLst>
        <ext uri="{3e2802c4-a4d2-4d8b-9148-e3be6c30e623}">
          <xlrd:rvb i="15844"/>
        </ext>
      </extLst>
    </bk>
    <bk>
      <extLst>
        <ext uri="{3e2802c4-a4d2-4d8b-9148-e3be6c30e623}">
          <xlrd:rvb i="15845"/>
        </ext>
      </extLst>
    </bk>
    <bk>
      <extLst>
        <ext uri="{3e2802c4-a4d2-4d8b-9148-e3be6c30e623}">
          <xlrd:rvb i="15846"/>
        </ext>
      </extLst>
    </bk>
    <bk>
      <extLst>
        <ext uri="{3e2802c4-a4d2-4d8b-9148-e3be6c30e623}">
          <xlrd:rvb i="15847"/>
        </ext>
      </extLst>
    </bk>
    <bk>
      <extLst>
        <ext uri="{3e2802c4-a4d2-4d8b-9148-e3be6c30e623}">
          <xlrd:rvb i="15848"/>
        </ext>
      </extLst>
    </bk>
    <bk>
      <extLst>
        <ext uri="{3e2802c4-a4d2-4d8b-9148-e3be6c30e623}">
          <xlrd:rvb i="15849"/>
        </ext>
      </extLst>
    </bk>
    <bk>
      <extLst>
        <ext uri="{3e2802c4-a4d2-4d8b-9148-e3be6c30e623}">
          <xlrd:rvb i="15850"/>
        </ext>
      </extLst>
    </bk>
    <bk>
      <extLst>
        <ext uri="{3e2802c4-a4d2-4d8b-9148-e3be6c30e623}">
          <xlrd:rvb i="15851"/>
        </ext>
      </extLst>
    </bk>
    <bk>
      <extLst>
        <ext uri="{3e2802c4-a4d2-4d8b-9148-e3be6c30e623}">
          <xlrd:rvb i="15852"/>
        </ext>
      </extLst>
    </bk>
    <bk>
      <extLst>
        <ext uri="{3e2802c4-a4d2-4d8b-9148-e3be6c30e623}">
          <xlrd:rvb i="15853"/>
        </ext>
      </extLst>
    </bk>
    <bk>
      <extLst>
        <ext uri="{3e2802c4-a4d2-4d8b-9148-e3be6c30e623}">
          <xlrd:rvb i="15854"/>
        </ext>
      </extLst>
    </bk>
    <bk>
      <extLst>
        <ext uri="{3e2802c4-a4d2-4d8b-9148-e3be6c30e623}">
          <xlrd:rvb i="15855"/>
        </ext>
      </extLst>
    </bk>
    <bk>
      <extLst>
        <ext uri="{3e2802c4-a4d2-4d8b-9148-e3be6c30e623}">
          <xlrd:rvb i="15856"/>
        </ext>
      </extLst>
    </bk>
    <bk>
      <extLst>
        <ext uri="{3e2802c4-a4d2-4d8b-9148-e3be6c30e623}">
          <xlrd:rvb i="15857"/>
        </ext>
      </extLst>
    </bk>
    <bk>
      <extLst>
        <ext uri="{3e2802c4-a4d2-4d8b-9148-e3be6c30e623}">
          <xlrd:rvb i="15858"/>
        </ext>
      </extLst>
    </bk>
    <bk>
      <extLst>
        <ext uri="{3e2802c4-a4d2-4d8b-9148-e3be6c30e623}">
          <xlrd:rvb i="15859"/>
        </ext>
      </extLst>
    </bk>
    <bk>
      <extLst>
        <ext uri="{3e2802c4-a4d2-4d8b-9148-e3be6c30e623}">
          <xlrd:rvb i="15860"/>
        </ext>
      </extLst>
    </bk>
    <bk>
      <extLst>
        <ext uri="{3e2802c4-a4d2-4d8b-9148-e3be6c30e623}">
          <xlrd:rvb i="15861"/>
        </ext>
      </extLst>
    </bk>
    <bk>
      <extLst>
        <ext uri="{3e2802c4-a4d2-4d8b-9148-e3be6c30e623}">
          <xlrd:rvb i="15862"/>
        </ext>
      </extLst>
    </bk>
    <bk>
      <extLst>
        <ext uri="{3e2802c4-a4d2-4d8b-9148-e3be6c30e623}">
          <xlrd:rvb i="15863"/>
        </ext>
      </extLst>
    </bk>
    <bk>
      <extLst>
        <ext uri="{3e2802c4-a4d2-4d8b-9148-e3be6c30e623}">
          <xlrd:rvb i="15864"/>
        </ext>
      </extLst>
    </bk>
    <bk>
      <extLst>
        <ext uri="{3e2802c4-a4d2-4d8b-9148-e3be6c30e623}">
          <xlrd:rvb i="15865"/>
        </ext>
      </extLst>
    </bk>
    <bk>
      <extLst>
        <ext uri="{3e2802c4-a4d2-4d8b-9148-e3be6c30e623}">
          <xlrd:rvb i="15866"/>
        </ext>
      </extLst>
    </bk>
    <bk>
      <extLst>
        <ext uri="{3e2802c4-a4d2-4d8b-9148-e3be6c30e623}">
          <xlrd:rvb i="15867"/>
        </ext>
      </extLst>
    </bk>
    <bk>
      <extLst>
        <ext uri="{3e2802c4-a4d2-4d8b-9148-e3be6c30e623}">
          <xlrd:rvb i="15868"/>
        </ext>
      </extLst>
    </bk>
    <bk>
      <extLst>
        <ext uri="{3e2802c4-a4d2-4d8b-9148-e3be6c30e623}">
          <xlrd:rvb i="15869"/>
        </ext>
      </extLst>
    </bk>
    <bk>
      <extLst>
        <ext uri="{3e2802c4-a4d2-4d8b-9148-e3be6c30e623}">
          <xlrd:rvb i="15870"/>
        </ext>
      </extLst>
    </bk>
    <bk>
      <extLst>
        <ext uri="{3e2802c4-a4d2-4d8b-9148-e3be6c30e623}">
          <xlrd:rvb i="15871"/>
        </ext>
      </extLst>
    </bk>
    <bk>
      <extLst>
        <ext uri="{3e2802c4-a4d2-4d8b-9148-e3be6c30e623}">
          <xlrd:rvb i="15872"/>
        </ext>
      </extLst>
    </bk>
    <bk>
      <extLst>
        <ext uri="{3e2802c4-a4d2-4d8b-9148-e3be6c30e623}">
          <xlrd:rvb i="15873"/>
        </ext>
      </extLst>
    </bk>
    <bk>
      <extLst>
        <ext uri="{3e2802c4-a4d2-4d8b-9148-e3be6c30e623}">
          <xlrd:rvb i="15874"/>
        </ext>
      </extLst>
    </bk>
    <bk>
      <extLst>
        <ext uri="{3e2802c4-a4d2-4d8b-9148-e3be6c30e623}">
          <xlrd:rvb i="15875"/>
        </ext>
      </extLst>
    </bk>
    <bk>
      <extLst>
        <ext uri="{3e2802c4-a4d2-4d8b-9148-e3be6c30e623}">
          <xlrd:rvb i="15876"/>
        </ext>
      </extLst>
    </bk>
    <bk>
      <extLst>
        <ext uri="{3e2802c4-a4d2-4d8b-9148-e3be6c30e623}">
          <xlrd:rvb i="15877"/>
        </ext>
      </extLst>
    </bk>
    <bk>
      <extLst>
        <ext uri="{3e2802c4-a4d2-4d8b-9148-e3be6c30e623}">
          <xlrd:rvb i="15878"/>
        </ext>
      </extLst>
    </bk>
    <bk>
      <extLst>
        <ext uri="{3e2802c4-a4d2-4d8b-9148-e3be6c30e623}">
          <xlrd:rvb i="15879"/>
        </ext>
      </extLst>
    </bk>
    <bk>
      <extLst>
        <ext uri="{3e2802c4-a4d2-4d8b-9148-e3be6c30e623}">
          <xlrd:rvb i="15880"/>
        </ext>
      </extLst>
    </bk>
    <bk>
      <extLst>
        <ext uri="{3e2802c4-a4d2-4d8b-9148-e3be6c30e623}">
          <xlrd:rvb i="15881"/>
        </ext>
      </extLst>
    </bk>
    <bk>
      <extLst>
        <ext uri="{3e2802c4-a4d2-4d8b-9148-e3be6c30e623}">
          <xlrd:rvb i="15882"/>
        </ext>
      </extLst>
    </bk>
    <bk>
      <extLst>
        <ext uri="{3e2802c4-a4d2-4d8b-9148-e3be6c30e623}">
          <xlrd:rvb i="15883"/>
        </ext>
      </extLst>
    </bk>
    <bk>
      <extLst>
        <ext uri="{3e2802c4-a4d2-4d8b-9148-e3be6c30e623}">
          <xlrd:rvb i="15884"/>
        </ext>
      </extLst>
    </bk>
    <bk>
      <extLst>
        <ext uri="{3e2802c4-a4d2-4d8b-9148-e3be6c30e623}">
          <xlrd:rvb i="15885"/>
        </ext>
      </extLst>
    </bk>
    <bk>
      <extLst>
        <ext uri="{3e2802c4-a4d2-4d8b-9148-e3be6c30e623}">
          <xlrd:rvb i="15886"/>
        </ext>
      </extLst>
    </bk>
    <bk>
      <extLst>
        <ext uri="{3e2802c4-a4d2-4d8b-9148-e3be6c30e623}">
          <xlrd:rvb i="15887"/>
        </ext>
      </extLst>
    </bk>
    <bk>
      <extLst>
        <ext uri="{3e2802c4-a4d2-4d8b-9148-e3be6c30e623}">
          <xlrd:rvb i="15888"/>
        </ext>
      </extLst>
    </bk>
    <bk>
      <extLst>
        <ext uri="{3e2802c4-a4d2-4d8b-9148-e3be6c30e623}">
          <xlrd:rvb i="15889"/>
        </ext>
      </extLst>
    </bk>
    <bk>
      <extLst>
        <ext uri="{3e2802c4-a4d2-4d8b-9148-e3be6c30e623}">
          <xlrd:rvb i="15890"/>
        </ext>
      </extLst>
    </bk>
    <bk>
      <extLst>
        <ext uri="{3e2802c4-a4d2-4d8b-9148-e3be6c30e623}">
          <xlrd:rvb i="15891"/>
        </ext>
      </extLst>
    </bk>
    <bk>
      <extLst>
        <ext uri="{3e2802c4-a4d2-4d8b-9148-e3be6c30e623}">
          <xlrd:rvb i="15892"/>
        </ext>
      </extLst>
    </bk>
    <bk>
      <extLst>
        <ext uri="{3e2802c4-a4d2-4d8b-9148-e3be6c30e623}">
          <xlrd:rvb i="15893"/>
        </ext>
      </extLst>
    </bk>
    <bk>
      <extLst>
        <ext uri="{3e2802c4-a4d2-4d8b-9148-e3be6c30e623}">
          <xlrd:rvb i="15894"/>
        </ext>
      </extLst>
    </bk>
    <bk>
      <extLst>
        <ext uri="{3e2802c4-a4d2-4d8b-9148-e3be6c30e623}">
          <xlrd:rvb i="15895"/>
        </ext>
      </extLst>
    </bk>
    <bk>
      <extLst>
        <ext uri="{3e2802c4-a4d2-4d8b-9148-e3be6c30e623}">
          <xlrd:rvb i="15896"/>
        </ext>
      </extLst>
    </bk>
    <bk>
      <extLst>
        <ext uri="{3e2802c4-a4d2-4d8b-9148-e3be6c30e623}">
          <xlrd:rvb i="15897"/>
        </ext>
      </extLst>
    </bk>
    <bk>
      <extLst>
        <ext uri="{3e2802c4-a4d2-4d8b-9148-e3be6c30e623}">
          <xlrd:rvb i="15898"/>
        </ext>
      </extLst>
    </bk>
    <bk>
      <extLst>
        <ext uri="{3e2802c4-a4d2-4d8b-9148-e3be6c30e623}">
          <xlrd:rvb i="15899"/>
        </ext>
      </extLst>
    </bk>
    <bk>
      <extLst>
        <ext uri="{3e2802c4-a4d2-4d8b-9148-e3be6c30e623}">
          <xlrd:rvb i="15900"/>
        </ext>
      </extLst>
    </bk>
    <bk>
      <extLst>
        <ext uri="{3e2802c4-a4d2-4d8b-9148-e3be6c30e623}">
          <xlrd:rvb i="15901"/>
        </ext>
      </extLst>
    </bk>
    <bk>
      <extLst>
        <ext uri="{3e2802c4-a4d2-4d8b-9148-e3be6c30e623}">
          <xlrd:rvb i="15902"/>
        </ext>
      </extLst>
    </bk>
    <bk>
      <extLst>
        <ext uri="{3e2802c4-a4d2-4d8b-9148-e3be6c30e623}">
          <xlrd:rvb i="15903"/>
        </ext>
      </extLst>
    </bk>
    <bk>
      <extLst>
        <ext uri="{3e2802c4-a4d2-4d8b-9148-e3be6c30e623}">
          <xlrd:rvb i="15904"/>
        </ext>
      </extLst>
    </bk>
    <bk>
      <extLst>
        <ext uri="{3e2802c4-a4d2-4d8b-9148-e3be6c30e623}">
          <xlrd:rvb i="15905"/>
        </ext>
      </extLst>
    </bk>
    <bk>
      <extLst>
        <ext uri="{3e2802c4-a4d2-4d8b-9148-e3be6c30e623}">
          <xlrd:rvb i="15906"/>
        </ext>
      </extLst>
    </bk>
    <bk>
      <extLst>
        <ext uri="{3e2802c4-a4d2-4d8b-9148-e3be6c30e623}">
          <xlrd:rvb i="15907"/>
        </ext>
      </extLst>
    </bk>
    <bk>
      <extLst>
        <ext uri="{3e2802c4-a4d2-4d8b-9148-e3be6c30e623}">
          <xlrd:rvb i="15908"/>
        </ext>
      </extLst>
    </bk>
    <bk>
      <extLst>
        <ext uri="{3e2802c4-a4d2-4d8b-9148-e3be6c30e623}">
          <xlrd:rvb i="15909"/>
        </ext>
      </extLst>
    </bk>
    <bk>
      <extLst>
        <ext uri="{3e2802c4-a4d2-4d8b-9148-e3be6c30e623}">
          <xlrd:rvb i="15910"/>
        </ext>
      </extLst>
    </bk>
    <bk>
      <extLst>
        <ext uri="{3e2802c4-a4d2-4d8b-9148-e3be6c30e623}">
          <xlrd:rvb i="15911"/>
        </ext>
      </extLst>
    </bk>
    <bk>
      <extLst>
        <ext uri="{3e2802c4-a4d2-4d8b-9148-e3be6c30e623}">
          <xlrd:rvb i="15912"/>
        </ext>
      </extLst>
    </bk>
    <bk>
      <extLst>
        <ext uri="{3e2802c4-a4d2-4d8b-9148-e3be6c30e623}">
          <xlrd:rvb i="15913"/>
        </ext>
      </extLst>
    </bk>
    <bk>
      <extLst>
        <ext uri="{3e2802c4-a4d2-4d8b-9148-e3be6c30e623}">
          <xlrd:rvb i="15914"/>
        </ext>
      </extLst>
    </bk>
    <bk>
      <extLst>
        <ext uri="{3e2802c4-a4d2-4d8b-9148-e3be6c30e623}">
          <xlrd:rvb i="15915"/>
        </ext>
      </extLst>
    </bk>
    <bk>
      <extLst>
        <ext uri="{3e2802c4-a4d2-4d8b-9148-e3be6c30e623}">
          <xlrd:rvb i="15916"/>
        </ext>
      </extLst>
    </bk>
    <bk>
      <extLst>
        <ext uri="{3e2802c4-a4d2-4d8b-9148-e3be6c30e623}">
          <xlrd:rvb i="15917"/>
        </ext>
      </extLst>
    </bk>
    <bk>
      <extLst>
        <ext uri="{3e2802c4-a4d2-4d8b-9148-e3be6c30e623}">
          <xlrd:rvb i="15918"/>
        </ext>
      </extLst>
    </bk>
    <bk>
      <extLst>
        <ext uri="{3e2802c4-a4d2-4d8b-9148-e3be6c30e623}">
          <xlrd:rvb i="15919"/>
        </ext>
      </extLst>
    </bk>
    <bk>
      <extLst>
        <ext uri="{3e2802c4-a4d2-4d8b-9148-e3be6c30e623}">
          <xlrd:rvb i="15920"/>
        </ext>
      </extLst>
    </bk>
    <bk>
      <extLst>
        <ext uri="{3e2802c4-a4d2-4d8b-9148-e3be6c30e623}">
          <xlrd:rvb i="15921"/>
        </ext>
      </extLst>
    </bk>
    <bk>
      <extLst>
        <ext uri="{3e2802c4-a4d2-4d8b-9148-e3be6c30e623}">
          <xlrd:rvb i="15922"/>
        </ext>
      </extLst>
    </bk>
    <bk>
      <extLst>
        <ext uri="{3e2802c4-a4d2-4d8b-9148-e3be6c30e623}">
          <xlrd:rvb i="15923"/>
        </ext>
      </extLst>
    </bk>
    <bk>
      <extLst>
        <ext uri="{3e2802c4-a4d2-4d8b-9148-e3be6c30e623}">
          <xlrd:rvb i="15924"/>
        </ext>
      </extLst>
    </bk>
    <bk>
      <extLst>
        <ext uri="{3e2802c4-a4d2-4d8b-9148-e3be6c30e623}">
          <xlrd:rvb i="15925"/>
        </ext>
      </extLst>
    </bk>
    <bk>
      <extLst>
        <ext uri="{3e2802c4-a4d2-4d8b-9148-e3be6c30e623}">
          <xlrd:rvb i="15926"/>
        </ext>
      </extLst>
    </bk>
    <bk>
      <extLst>
        <ext uri="{3e2802c4-a4d2-4d8b-9148-e3be6c30e623}">
          <xlrd:rvb i="15927"/>
        </ext>
      </extLst>
    </bk>
    <bk>
      <extLst>
        <ext uri="{3e2802c4-a4d2-4d8b-9148-e3be6c30e623}">
          <xlrd:rvb i="15928"/>
        </ext>
      </extLst>
    </bk>
    <bk>
      <extLst>
        <ext uri="{3e2802c4-a4d2-4d8b-9148-e3be6c30e623}">
          <xlrd:rvb i="15929"/>
        </ext>
      </extLst>
    </bk>
    <bk>
      <extLst>
        <ext uri="{3e2802c4-a4d2-4d8b-9148-e3be6c30e623}">
          <xlrd:rvb i="15930"/>
        </ext>
      </extLst>
    </bk>
    <bk>
      <extLst>
        <ext uri="{3e2802c4-a4d2-4d8b-9148-e3be6c30e623}">
          <xlrd:rvb i="15931"/>
        </ext>
      </extLst>
    </bk>
    <bk>
      <extLst>
        <ext uri="{3e2802c4-a4d2-4d8b-9148-e3be6c30e623}">
          <xlrd:rvb i="15932"/>
        </ext>
      </extLst>
    </bk>
    <bk>
      <extLst>
        <ext uri="{3e2802c4-a4d2-4d8b-9148-e3be6c30e623}">
          <xlrd:rvb i="15933"/>
        </ext>
      </extLst>
    </bk>
    <bk>
      <extLst>
        <ext uri="{3e2802c4-a4d2-4d8b-9148-e3be6c30e623}">
          <xlrd:rvb i="15934"/>
        </ext>
      </extLst>
    </bk>
    <bk>
      <extLst>
        <ext uri="{3e2802c4-a4d2-4d8b-9148-e3be6c30e623}">
          <xlrd:rvb i="15935"/>
        </ext>
      </extLst>
    </bk>
    <bk>
      <extLst>
        <ext uri="{3e2802c4-a4d2-4d8b-9148-e3be6c30e623}">
          <xlrd:rvb i="15936"/>
        </ext>
      </extLst>
    </bk>
    <bk>
      <extLst>
        <ext uri="{3e2802c4-a4d2-4d8b-9148-e3be6c30e623}">
          <xlrd:rvb i="15937"/>
        </ext>
      </extLst>
    </bk>
    <bk>
      <extLst>
        <ext uri="{3e2802c4-a4d2-4d8b-9148-e3be6c30e623}">
          <xlrd:rvb i="15938"/>
        </ext>
      </extLst>
    </bk>
    <bk>
      <extLst>
        <ext uri="{3e2802c4-a4d2-4d8b-9148-e3be6c30e623}">
          <xlrd:rvb i="15939"/>
        </ext>
      </extLst>
    </bk>
    <bk>
      <extLst>
        <ext uri="{3e2802c4-a4d2-4d8b-9148-e3be6c30e623}">
          <xlrd:rvb i="15940"/>
        </ext>
      </extLst>
    </bk>
    <bk>
      <extLst>
        <ext uri="{3e2802c4-a4d2-4d8b-9148-e3be6c30e623}">
          <xlrd:rvb i="15941"/>
        </ext>
      </extLst>
    </bk>
    <bk>
      <extLst>
        <ext uri="{3e2802c4-a4d2-4d8b-9148-e3be6c30e623}">
          <xlrd:rvb i="15942"/>
        </ext>
      </extLst>
    </bk>
    <bk>
      <extLst>
        <ext uri="{3e2802c4-a4d2-4d8b-9148-e3be6c30e623}">
          <xlrd:rvb i="15943"/>
        </ext>
      </extLst>
    </bk>
    <bk>
      <extLst>
        <ext uri="{3e2802c4-a4d2-4d8b-9148-e3be6c30e623}">
          <xlrd:rvb i="15944"/>
        </ext>
      </extLst>
    </bk>
    <bk>
      <extLst>
        <ext uri="{3e2802c4-a4d2-4d8b-9148-e3be6c30e623}">
          <xlrd:rvb i="15945"/>
        </ext>
      </extLst>
    </bk>
    <bk>
      <extLst>
        <ext uri="{3e2802c4-a4d2-4d8b-9148-e3be6c30e623}">
          <xlrd:rvb i="15946"/>
        </ext>
      </extLst>
    </bk>
    <bk>
      <extLst>
        <ext uri="{3e2802c4-a4d2-4d8b-9148-e3be6c30e623}">
          <xlrd:rvb i="15947"/>
        </ext>
      </extLst>
    </bk>
    <bk>
      <extLst>
        <ext uri="{3e2802c4-a4d2-4d8b-9148-e3be6c30e623}">
          <xlrd:rvb i="15948"/>
        </ext>
      </extLst>
    </bk>
    <bk>
      <extLst>
        <ext uri="{3e2802c4-a4d2-4d8b-9148-e3be6c30e623}">
          <xlrd:rvb i="15949"/>
        </ext>
      </extLst>
    </bk>
    <bk>
      <extLst>
        <ext uri="{3e2802c4-a4d2-4d8b-9148-e3be6c30e623}">
          <xlrd:rvb i="15950"/>
        </ext>
      </extLst>
    </bk>
    <bk>
      <extLst>
        <ext uri="{3e2802c4-a4d2-4d8b-9148-e3be6c30e623}">
          <xlrd:rvb i="15951"/>
        </ext>
      </extLst>
    </bk>
    <bk>
      <extLst>
        <ext uri="{3e2802c4-a4d2-4d8b-9148-e3be6c30e623}">
          <xlrd:rvb i="15952"/>
        </ext>
      </extLst>
    </bk>
    <bk>
      <extLst>
        <ext uri="{3e2802c4-a4d2-4d8b-9148-e3be6c30e623}">
          <xlrd:rvb i="15953"/>
        </ext>
      </extLst>
    </bk>
    <bk>
      <extLst>
        <ext uri="{3e2802c4-a4d2-4d8b-9148-e3be6c30e623}">
          <xlrd:rvb i="15954"/>
        </ext>
      </extLst>
    </bk>
    <bk>
      <extLst>
        <ext uri="{3e2802c4-a4d2-4d8b-9148-e3be6c30e623}">
          <xlrd:rvb i="15955"/>
        </ext>
      </extLst>
    </bk>
    <bk>
      <extLst>
        <ext uri="{3e2802c4-a4d2-4d8b-9148-e3be6c30e623}">
          <xlrd:rvb i="15956"/>
        </ext>
      </extLst>
    </bk>
    <bk>
      <extLst>
        <ext uri="{3e2802c4-a4d2-4d8b-9148-e3be6c30e623}">
          <xlrd:rvb i="15957"/>
        </ext>
      </extLst>
    </bk>
    <bk>
      <extLst>
        <ext uri="{3e2802c4-a4d2-4d8b-9148-e3be6c30e623}">
          <xlrd:rvb i="15958"/>
        </ext>
      </extLst>
    </bk>
    <bk>
      <extLst>
        <ext uri="{3e2802c4-a4d2-4d8b-9148-e3be6c30e623}">
          <xlrd:rvb i="15959"/>
        </ext>
      </extLst>
    </bk>
    <bk>
      <extLst>
        <ext uri="{3e2802c4-a4d2-4d8b-9148-e3be6c30e623}">
          <xlrd:rvb i="15960"/>
        </ext>
      </extLst>
    </bk>
    <bk>
      <extLst>
        <ext uri="{3e2802c4-a4d2-4d8b-9148-e3be6c30e623}">
          <xlrd:rvb i="15961"/>
        </ext>
      </extLst>
    </bk>
    <bk>
      <extLst>
        <ext uri="{3e2802c4-a4d2-4d8b-9148-e3be6c30e623}">
          <xlrd:rvb i="15962"/>
        </ext>
      </extLst>
    </bk>
    <bk>
      <extLst>
        <ext uri="{3e2802c4-a4d2-4d8b-9148-e3be6c30e623}">
          <xlrd:rvb i="15963"/>
        </ext>
      </extLst>
    </bk>
    <bk>
      <extLst>
        <ext uri="{3e2802c4-a4d2-4d8b-9148-e3be6c30e623}">
          <xlrd:rvb i="15964"/>
        </ext>
      </extLst>
    </bk>
    <bk>
      <extLst>
        <ext uri="{3e2802c4-a4d2-4d8b-9148-e3be6c30e623}">
          <xlrd:rvb i="15965"/>
        </ext>
      </extLst>
    </bk>
    <bk>
      <extLst>
        <ext uri="{3e2802c4-a4d2-4d8b-9148-e3be6c30e623}">
          <xlrd:rvb i="15966"/>
        </ext>
      </extLst>
    </bk>
    <bk>
      <extLst>
        <ext uri="{3e2802c4-a4d2-4d8b-9148-e3be6c30e623}">
          <xlrd:rvb i="15967"/>
        </ext>
      </extLst>
    </bk>
    <bk>
      <extLst>
        <ext uri="{3e2802c4-a4d2-4d8b-9148-e3be6c30e623}">
          <xlrd:rvb i="15968"/>
        </ext>
      </extLst>
    </bk>
    <bk>
      <extLst>
        <ext uri="{3e2802c4-a4d2-4d8b-9148-e3be6c30e623}">
          <xlrd:rvb i="15969"/>
        </ext>
      </extLst>
    </bk>
    <bk>
      <extLst>
        <ext uri="{3e2802c4-a4d2-4d8b-9148-e3be6c30e623}">
          <xlrd:rvb i="15970"/>
        </ext>
      </extLst>
    </bk>
    <bk>
      <extLst>
        <ext uri="{3e2802c4-a4d2-4d8b-9148-e3be6c30e623}">
          <xlrd:rvb i="15971"/>
        </ext>
      </extLst>
    </bk>
    <bk>
      <extLst>
        <ext uri="{3e2802c4-a4d2-4d8b-9148-e3be6c30e623}">
          <xlrd:rvb i="15972"/>
        </ext>
      </extLst>
    </bk>
    <bk>
      <extLst>
        <ext uri="{3e2802c4-a4d2-4d8b-9148-e3be6c30e623}">
          <xlrd:rvb i="15973"/>
        </ext>
      </extLst>
    </bk>
    <bk>
      <extLst>
        <ext uri="{3e2802c4-a4d2-4d8b-9148-e3be6c30e623}">
          <xlrd:rvb i="15974"/>
        </ext>
      </extLst>
    </bk>
    <bk>
      <extLst>
        <ext uri="{3e2802c4-a4d2-4d8b-9148-e3be6c30e623}">
          <xlrd:rvb i="15975"/>
        </ext>
      </extLst>
    </bk>
    <bk>
      <extLst>
        <ext uri="{3e2802c4-a4d2-4d8b-9148-e3be6c30e623}">
          <xlrd:rvb i="15976"/>
        </ext>
      </extLst>
    </bk>
    <bk>
      <extLst>
        <ext uri="{3e2802c4-a4d2-4d8b-9148-e3be6c30e623}">
          <xlrd:rvb i="15977"/>
        </ext>
      </extLst>
    </bk>
    <bk>
      <extLst>
        <ext uri="{3e2802c4-a4d2-4d8b-9148-e3be6c30e623}">
          <xlrd:rvb i="15978"/>
        </ext>
      </extLst>
    </bk>
    <bk>
      <extLst>
        <ext uri="{3e2802c4-a4d2-4d8b-9148-e3be6c30e623}">
          <xlrd:rvb i="15979"/>
        </ext>
      </extLst>
    </bk>
    <bk>
      <extLst>
        <ext uri="{3e2802c4-a4d2-4d8b-9148-e3be6c30e623}">
          <xlrd:rvb i="15980"/>
        </ext>
      </extLst>
    </bk>
    <bk>
      <extLst>
        <ext uri="{3e2802c4-a4d2-4d8b-9148-e3be6c30e623}">
          <xlrd:rvb i="15981"/>
        </ext>
      </extLst>
    </bk>
    <bk>
      <extLst>
        <ext uri="{3e2802c4-a4d2-4d8b-9148-e3be6c30e623}">
          <xlrd:rvb i="15982"/>
        </ext>
      </extLst>
    </bk>
    <bk>
      <extLst>
        <ext uri="{3e2802c4-a4d2-4d8b-9148-e3be6c30e623}">
          <xlrd:rvb i="15983"/>
        </ext>
      </extLst>
    </bk>
    <bk>
      <extLst>
        <ext uri="{3e2802c4-a4d2-4d8b-9148-e3be6c30e623}">
          <xlrd:rvb i="15984"/>
        </ext>
      </extLst>
    </bk>
    <bk>
      <extLst>
        <ext uri="{3e2802c4-a4d2-4d8b-9148-e3be6c30e623}">
          <xlrd:rvb i="15985"/>
        </ext>
      </extLst>
    </bk>
    <bk>
      <extLst>
        <ext uri="{3e2802c4-a4d2-4d8b-9148-e3be6c30e623}">
          <xlrd:rvb i="15986"/>
        </ext>
      </extLst>
    </bk>
    <bk>
      <extLst>
        <ext uri="{3e2802c4-a4d2-4d8b-9148-e3be6c30e623}">
          <xlrd:rvb i="15987"/>
        </ext>
      </extLst>
    </bk>
    <bk>
      <extLst>
        <ext uri="{3e2802c4-a4d2-4d8b-9148-e3be6c30e623}">
          <xlrd:rvb i="15988"/>
        </ext>
      </extLst>
    </bk>
    <bk>
      <extLst>
        <ext uri="{3e2802c4-a4d2-4d8b-9148-e3be6c30e623}">
          <xlrd:rvb i="15989"/>
        </ext>
      </extLst>
    </bk>
    <bk>
      <extLst>
        <ext uri="{3e2802c4-a4d2-4d8b-9148-e3be6c30e623}">
          <xlrd:rvb i="15990"/>
        </ext>
      </extLst>
    </bk>
    <bk>
      <extLst>
        <ext uri="{3e2802c4-a4d2-4d8b-9148-e3be6c30e623}">
          <xlrd:rvb i="15991"/>
        </ext>
      </extLst>
    </bk>
    <bk>
      <extLst>
        <ext uri="{3e2802c4-a4d2-4d8b-9148-e3be6c30e623}">
          <xlrd:rvb i="15992"/>
        </ext>
      </extLst>
    </bk>
    <bk>
      <extLst>
        <ext uri="{3e2802c4-a4d2-4d8b-9148-e3be6c30e623}">
          <xlrd:rvb i="15993"/>
        </ext>
      </extLst>
    </bk>
    <bk>
      <extLst>
        <ext uri="{3e2802c4-a4d2-4d8b-9148-e3be6c30e623}">
          <xlrd:rvb i="15994"/>
        </ext>
      </extLst>
    </bk>
    <bk>
      <extLst>
        <ext uri="{3e2802c4-a4d2-4d8b-9148-e3be6c30e623}">
          <xlrd:rvb i="15995"/>
        </ext>
      </extLst>
    </bk>
    <bk>
      <extLst>
        <ext uri="{3e2802c4-a4d2-4d8b-9148-e3be6c30e623}">
          <xlrd:rvb i="15996"/>
        </ext>
      </extLst>
    </bk>
    <bk>
      <extLst>
        <ext uri="{3e2802c4-a4d2-4d8b-9148-e3be6c30e623}">
          <xlrd:rvb i="15997"/>
        </ext>
      </extLst>
    </bk>
    <bk>
      <extLst>
        <ext uri="{3e2802c4-a4d2-4d8b-9148-e3be6c30e623}">
          <xlrd:rvb i="15998"/>
        </ext>
      </extLst>
    </bk>
    <bk>
      <extLst>
        <ext uri="{3e2802c4-a4d2-4d8b-9148-e3be6c30e623}">
          <xlrd:rvb i="15999"/>
        </ext>
      </extLst>
    </bk>
    <bk>
      <extLst>
        <ext uri="{3e2802c4-a4d2-4d8b-9148-e3be6c30e623}">
          <xlrd:rvb i="16000"/>
        </ext>
      </extLst>
    </bk>
    <bk>
      <extLst>
        <ext uri="{3e2802c4-a4d2-4d8b-9148-e3be6c30e623}">
          <xlrd:rvb i="16001"/>
        </ext>
      </extLst>
    </bk>
    <bk>
      <extLst>
        <ext uri="{3e2802c4-a4d2-4d8b-9148-e3be6c30e623}">
          <xlrd:rvb i="16002"/>
        </ext>
      </extLst>
    </bk>
    <bk>
      <extLst>
        <ext uri="{3e2802c4-a4d2-4d8b-9148-e3be6c30e623}">
          <xlrd:rvb i="16003"/>
        </ext>
      </extLst>
    </bk>
    <bk>
      <extLst>
        <ext uri="{3e2802c4-a4d2-4d8b-9148-e3be6c30e623}">
          <xlrd:rvb i="16004"/>
        </ext>
      </extLst>
    </bk>
    <bk>
      <extLst>
        <ext uri="{3e2802c4-a4d2-4d8b-9148-e3be6c30e623}">
          <xlrd:rvb i="16005"/>
        </ext>
      </extLst>
    </bk>
    <bk>
      <extLst>
        <ext uri="{3e2802c4-a4d2-4d8b-9148-e3be6c30e623}">
          <xlrd:rvb i="16006"/>
        </ext>
      </extLst>
    </bk>
    <bk>
      <extLst>
        <ext uri="{3e2802c4-a4d2-4d8b-9148-e3be6c30e623}">
          <xlrd:rvb i="16007"/>
        </ext>
      </extLst>
    </bk>
    <bk>
      <extLst>
        <ext uri="{3e2802c4-a4d2-4d8b-9148-e3be6c30e623}">
          <xlrd:rvb i="16008"/>
        </ext>
      </extLst>
    </bk>
    <bk>
      <extLst>
        <ext uri="{3e2802c4-a4d2-4d8b-9148-e3be6c30e623}">
          <xlrd:rvb i="16009"/>
        </ext>
      </extLst>
    </bk>
    <bk>
      <extLst>
        <ext uri="{3e2802c4-a4d2-4d8b-9148-e3be6c30e623}">
          <xlrd:rvb i="16010"/>
        </ext>
      </extLst>
    </bk>
    <bk>
      <extLst>
        <ext uri="{3e2802c4-a4d2-4d8b-9148-e3be6c30e623}">
          <xlrd:rvb i="16011"/>
        </ext>
      </extLst>
    </bk>
    <bk>
      <extLst>
        <ext uri="{3e2802c4-a4d2-4d8b-9148-e3be6c30e623}">
          <xlrd:rvb i="16012"/>
        </ext>
      </extLst>
    </bk>
    <bk>
      <extLst>
        <ext uri="{3e2802c4-a4d2-4d8b-9148-e3be6c30e623}">
          <xlrd:rvb i="16013"/>
        </ext>
      </extLst>
    </bk>
    <bk>
      <extLst>
        <ext uri="{3e2802c4-a4d2-4d8b-9148-e3be6c30e623}">
          <xlrd:rvb i="16014"/>
        </ext>
      </extLst>
    </bk>
    <bk>
      <extLst>
        <ext uri="{3e2802c4-a4d2-4d8b-9148-e3be6c30e623}">
          <xlrd:rvb i="16015"/>
        </ext>
      </extLst>
    </bk>
    <bk>
      <extLst>
        <ext uri="{3e2802c4-a4d2-4d8b-9148-e3be6c30e623}">
          <xlrd:rvb i="16016"/>
        </ext>
      </extLst>
    </bk>
    <bk>
      <extLst>
        <ext uri="{3e2802c4-a4d2-4d8b-9148-e3be6c30e623}">
          <xlrd:rvb i="16017"/>
        </ext>
      </extLst>
    </bk>
    <bk>
      <extLst>
        <ext uri="{3e2802c4-a4d2-4d8b-9148-e3be6c30e623}">
          <xlrd:rvb i="16018"/>
        </ext>
      </extLst>
    </bk>
    <bk>
      <extLst>
        <ext uri="{3e2802c4-a4d2-4d8b-9148-e3be6c30e623}">
          <xlrd:rvb i="16019"/>
        </ext>
      </extLst>
    </bk>
    <bk>
      <extLst>
        <ext uri="{3e2802c4-a4d2-4d8b-9148-e3be6c30e623}">
          <xlrd:rvb i="16020"/>
        </ext>
      </extLst>
    </bk>
    <bk>
      <extLst>
        <ext uri="{3e2802c4-a4d2-4d8b-9148-e3be6c30e623}">
          <xlrd:rvb i="16021"/>
        </ext>
      </extLst>
    </bk>
    <bk>
      <extLst>
        <ext uri="{3e2802c4-a4d2-4d8b-9148-e3be6c30e623}">
          <xlrd:rvb i="16022"/>
        </ext>
      </extLst>
    </bk>
    <bk>
      <extLst>
        <ext uri="{3e2802c4-a4d2-4d8b-9148-e3be6c30e623}">
          <xlrd:rvb i="16023"/>
        </ext>
      </extLst>
    </bk>
    <bk>
      <extLst>
        <ext uri="{3e2802c4-a4d2-4d8b-9148-e3be6c30e623}">
          <xlrd:rvb i="16024"/>
        </ext>
      </extLst>
    </bk>
    <bk>
      <extLst>
        <ext uri="{3e2802c4-a4d2-4d8b-9148-e3be6c30e623}">
          <xlrd:rvb i="16025"/>
        </ext>
      </extLst>
    </bk>
    <bk>
      <extLst>
        <ext uri="{3e2802c4-a4d2-4d8b-9148-e3be6c30e623}">
          <xlrd:rvb i="16026"/>
        </ext>
      </extLst>
    </bk>
    <bk>
      <extLst>
        <ext uri="{3e2802c4-a4d2-4d8b-9148-e3be6c30e623}">
          <xlrd:rvb i="16027"/>
        </ext>
      </extLst>
    </bk>
    <bk>
      <extLst>
        <ext uri="{3e2802c4-a4d2-4d8b-9148-e3be6c30e623}">
          <xlrd:rvb i="16028"/>
        </ext>
      </extLst>
    </bk>
    <bk>
      <extLst>
        <ext uri="{3e2802c4-a4d2-4d8b-9148-e3be6c30e623}">
          <xlrd:rvb i="16029"/>
        </ext>
      </extLst>
    </bk>
    <bk>
      <extLst>
        <ext uri="{3e2802c4-a4d2-4d8b-9148-e3be6c30e623}">
          <xlrd:rvb i="16030"/>
        </ext>
      </extLst>
    </bk>
    <bk>
      <extLst>
        <ext uri="{3e2802c4-a4d2-4d8b-9148-e3be6c30e623}">
          <xlrd:rvb i="16031"/>
        </ext>
      </extLst>
    </bk>
    <bk>
      <extLst>
        <ext uri="{3e2802c4-a4d2-4d8b-9148-e3be6c30e623}">
          <xlrd:rvb i="16032"/>
        </ext>
      </extLst>
    </bk>
    <bk>
      <extLst>
        <ext uri="{3e2802c4-a4d2-4d8b-9148-e3be6c30e623}">
          <xlrd:rvb i="16033"/>
        </ext>
      </extLst>
    </bk>
    <bk>
      <extLst>
        <ext uri="{3e2802c4-a4d2-4d8b-9148-e3be6c30e623}">
          <xlrd:rvb i="16034"/>
        </ext>
      </extLst>
    </bk>
    <bk>
      <extLst>
        <ext uri="{3e2802c4-a4d2-4d8b-9148-e3be6c30e623}">
          <xlrd:rvb i="16035"/>
        </ext>
      </extLst>
    </bk>
    <bk>
      <extLst>
        <ext uri="{3e2802c4-a4d2-4d8b-9148-e3be6c30e623}">
          <xlrd:rvb i="16036"/>
        </ext>
      </extLst>
    </bk>
    <bk>
      <extLst>
        <ext uri="{3e2802c4-a4d2-4d8b-9148-e3be6c30e623}">
          <xlrd:rvb i="16037"/>
        </ext>
      </extLst>
    </bk>
    <bk>
      <extLst>
        <ext uri="{3e2802c4-a4d2-4d8b-9148-e3be6c30e623}">
          <xlrd:rvb i="16038"/>
        </ext>
      </extLst>
    </bk>
    <bk>
      <extLst>
        <ext uri="{3e2802c4-a4d2-4d8b-9148-e3be6c30e623}">
          <xlrd:rvb i="16039"/>
        </ext>
      </extLst>
    </bk>
    <bk>
      <extLst>
        <ext uri="{3e2802c4-a4d2-4d8b-9148-e3be6c30e623}">
          <xlrd:rvb i="16040"/>
        </ext>
      </extLst>
    </bk>
    <bk>
      <extLst>
        <ext uri="{3e2802c4-a4d2-4d8b-9148-e3be6c30e623}">
          <xlrd:rvb i="16041"/>
        </ext>
      </extLst>
    </bk>
    <bk>
      <extLst>
        <ext uri="{3e2802c4-a4d2-4d8b-9148-e3be6c30e623}">
          <xlrd:rvb i="16042"/>
        </ext>
      </extLst>
    </bk>
    <bk>
      <extLst>
        <ext uri="{3e2802c4-a4d2-4d8b-9148-e3be6c30e623}">
          <xlrd:rvb i="16043"/>
        </ext>
      </extLst>
    </bk>
    <bk>
      <extLst>
        <ext uri="{3e2802c4-a4d2-4d8b-9148-e3be6c30e623}">
          <xlrd:rvb i="16044"/>
        </ext>
      </extLst>
    </bk>
    <bk>
      <extLst>
        <ext uri="{3e2802c4-a4d2-4d8b-9148-e3be6c30e623}">
          <xlrd:rvb i="16045"/>
        </ext>
      </extLst>
    </bk>
    <bk>
      <extLst>
        <ext uri="{3e2802c4-a4d2-4d8b-9148-e3be6c30e623}">
          <xlrd:rvb i="16046"/>
        </ext>
      </extLst>
    </bk>
    <bk>
      <extLst>
        <ext uri="{3e2802c4-a4d2-4d8b-9148-e3be6c30e623}">
          <xlrd:rvb i="16047"/>
        </ext>
      </extLst>
    </bk>
    <bk>
      <extLst>
        <ext uri="{3e2802c4-a4d2-4d8b-9148-e3be6c30e623}">
          <xlrd:rvb i="16048"/>
        </ext>
      </extLst>
    </bk>
    <bk>
      <extLst>
        <ext uri="{3e2802c4-a4d2-4d8b-9148-e3be6c30e623}">
          <xlrd:rvb i="16049"/>
        </ext>
      </extLst>
    </bk>
    <bk>
      <extLst>
        <ext uri="{3e2802c4-a4d2-4d8b-9148-e3be6c30e623}">
          <xlrd:rvb i="16050"/>
        </ext>
      </extLst>
    </bk>
    <bk>
      <extLst>
        <ext uri="{3e2802c4-a4d2-4d8b-9148-e3be6c30e623}">
          <xlrd:rvb i="16051"/>
        </ext>
      </extLst>
    </bk>
    <bk>
      <extLst>
        <ext uri="{3e2802c4-a4d2-4d8b-9148-e3be6c30e623}">
          <xlrd:rvb i="16052"/>
        </ext>
      </extLst>
    </bk>
    <bk>
      <extLst>
        <ext uri="{3e2802c4-a4d2-4d8b-9148-e3be6c30e623}">
          <xlrd:rvb i="16053"/>
        </ext>
      </extLst>
    </bk>
    <bk>
      <extLst>
        <ext uri="{3e2802c4-a4d2-4d8b-9148-e3be6c30e623}">
          <xlrd:rvb i="16054"/>
        </ext>
      </extLst>
    </bk>
    <bk>
      <extLst>
        <ext uri="{3e2802c4-a4d2-4d8b-9148-e3be6c30e623}">
          <xlrd:rvb i="16055"/>
        </ext>
      </extLst>
    </bk>
    <bk>
      <extLst>
        <ext uri="{3e2802c4-a4d2-4d8b-9148-e3be6c30e623}">
          <xlrd:rvb i="16056"/>
        </ext>
      </extLst>
    </bk>
    <bk>
      <extLst>
        <ext uri="{3e2802c4-a4d2-4d8b-9148-e3be6c30e623}">
          <xlrd:rvb i="16057"/>
        </ext>
      </extLst>
    </bk>
    <bk>
      <extLst>
        <ext uri="{3e2802c4-a4d2-4d8b-9148-e3be6c30e623}">
          <xlrd:rvb i="16058"/>
        </ext>
      </extLst>
    </bk>
    <bk>
      <extLst>
        <ext uri="{3e2802c4-a4d2-4d8b-9148-e3be6c30e623}">
          <xlrd:rvb i="16059"/>
        </ext>
      </extLst>
    </bk>
    <bk>
      <extLst>
        <ext uri="{3e2802c4-a4d2-4d8b-9148-e3be6c30e623}">
          <xlrd:rvb i="16060"/>
        </ext>
      </extLst>
    </bk>
    <bk>
      <extLst>
        <ext uri="{3e2802c4-a4d2-4d8b-9148-e3be6c30e623}">
          <xlrd:rvb i="16061"/>
        </ext>
      </extLst>
    </bk>
    <bk>
      <extLst>
        <ext uri="{3e2802c4-a4d2-4d8b-9148-e3be6c30e623}">
          <xlrd:rvb i="16062"/>
        </ext>
      </extLst>
    </bk>
    <bk>
      <extLst>
        <ext uri="{3e2802c4-a4d2-4d8b-9148-e3be6c30e623}">
          <xlrd:rvb i="16063"/>
        </ext>
      </extLst>
    </bk>
    <bk>
      <extLst>
        <ext uri="{3e2802c4-a4d2-4d8b-9148-e3be6c30e623}">
          <xlrd:rvb i="16064"/>
        </ext>
      </extLst>
    </bk>
    <bk>
      <extLst>
        <ext uri="{3e2802c4-a4d2-4d8b-9148-e3be6c30e623}">
          <xlrd:rvb i="16065"/>
        </ext>
      </extLst>
    </bk>
    <bk>
      <extLst>
        <ext uri="{3e2802c4-a4d2-4d8b-9148-e3be6c30e623}">
          <xlrd:rvb i="16066"/>
        </ext>
      </extLst>
    </bk>
    <bk>
      <extLst>
        <ext uri="{3e2802c4-a4d2-4d8b-9148-e3be6c30e623}">
          <xlrd:rvb i="16067"/>
        </ext>
      </extLst>
    </bk>
    <bk>
      <extLst>
        <ext uri="{3e2802c4-a4d2-4d8b-9148-e3be6c30e623}">
          <xlrd:rvb i="16068"/>
        </ext>
      </extLst>
    </bk>
    <bk>
      <extLst>
        <ext uri="{3e2802c4-a4d2-4d8b-9148-e3be6c30e623}">
          <xlrd:rvb i="16069"/>
        </ext>
      </extLst>
    </bk>
    <bk>
      <extLst>
        <ext uri="{3e2802c4-a4d2-4d8b-9148-e3be6c30e623}">
          <xlrd:rvb i="16070"/>
        </ext>
      </extLst>
    </bk>
    <bk>
      <extLst>
        <ext uri="{3e2802c4-a4d2-4d8b-9148-e3be6c30e623}">
          <xlrd:rvb i="16071"/>
        </ext>
      </extLst>
    </bk>
    <bk>
      <extLst>
        <ext uri="{3e2802c4-a4d2-4d8b-9148-e3be6c30e623}">
          <xlrd:rvb i="16072"/>
        </ext>
      </extLst>
    </bk>
    <bk>
      <extLst>
        <ext uri="{3e2802c4-a4d2-4d8b-9148-e3be6c30e623}">
          <xlrd:rvb i="16073"/>
        </ext>
      </extLst>
    </bk>
    <bk>
      <extLst>
        <ext uri="{3e2802c4-a4d2-4d8b-9148-e3be6c30e623}">
          <xlrd:rvb i="16074"/>
        </ext>
      </extLst>
    </bk>
    <bk>
      <extLst>
        <ext uri="{3e2802c4-a4d2-4d8b-9148-e3be6c30e623}">
          <xlrd:rvb i="16075"/>
        </ext>
      </extLst>
    </bk>
    <bk>
      <extLst>
        <ext uri="{3e2802c4-a4d2-4d8b-9148-e3be6c30e623}">
          <xlrd:rvb i="16076"/>
        </ext>
      </extLst>
    </bk>
    <bk>
      <extLst>
        <ext uri="{3e2802c4-a4d2-4d8b-9148-e3be6c30e623}">
          <xlrd:rvb i="16077"/>
        </ext>
      </extLst>
    </bk>
    <bk>
      <extLst>
        <ext uri="{3e2802c4-a4d2-4d8b-9148-e3be6c30e623}">
          <xlrd:rvb i="16078"/>
        </ext>
      </extLst>
    </bk>
    <bk>
      <extLst>
        <ext uri="{3e2802c4-a4d2-4d8b-9148-e3be6c30e623}">
          <xlrd:rvb i="16079"/>
        </ext>
      </extLst>
    </bk>
    <bk>
      <extLst>
        <ext uri="{3e2802c4-a4d2-4d8b-9148-e3be6c30e623}">
          <xlrd:rvb i="16080"/>
        </ext>
      </extLst>
    </bk>
    <bk>
      <extLst>
        <ext uri="{3e2802c4-a4d2-4d8b-9148-e3be6c30e623}">
          <xlrd:rvb i="16081"/>
        </ext>
      </extLst>
    </bk>
    <bk>
      <extLst>
        <ext uri="{3e2802c4-a4d2-4d8b-9148-e3be6c30e623}">
          <xlrd:rvb i="16082"/>
        </ext>
      </extLst>
    </bk>
    <bk>
      <extLst>
        <ext uri="{3e2802c4-a4d2-4d8b-9148-e3be6c30e623}">
          <xlrd:rvb i="16083"/>
        </ext>
      </extLst>
    </bk>
    <bk>
      <extLst>
        <ext uri="{3e2802c4-a4d2-4d8b-9148-e3be6c30e623}">
          <xlrd:rvb i="16084"/>
        </ext>
      </extLst>
    </bk>
    <bk>
      <extLst>
        <ext uri="{3e2802c4-a4d2-4d8b-9148-e3be6c30e623}">
          <xlrd:rvb i="16085"/>
        </ext>
      </extLst>
    </bk>
    <bk>
      <extLst>
        <ext uri="{3e2802c4-a4d2-4d8b-9148-e3be6c30e623}">
          <xlrd:rvb i="16086"/>
        </ext>
      </extLst>
    </bk>
    <bk>
      <extLst>
        <ext uri="{3e2802c4-a4d2-4d8b-9148-e3be6c30e623}">
          <xlrd:rvb i="16087"/>
        </ext>
      </extLst>
    </bk>
    <bk>
      <extLst>
        <ext uri="{3e2802c4-a4d2-4d8b-9148-e3be6c30e623}">
          <xlrd:rvb i="16088"/>
        </ext>
      </extLst>
    </bk>
    <bk>
      <extLst>
        <ext uri="{3e2802c4-a4d2-4d8b-9148-e3be6c30e623}">
          <xlrd:rvb i="16089"/>
        </ext>
      </extLst>
    </bk>
    <bk>
      <extLst>
        <ext uri="{3e2802c4-a4d2-4d8b-9148-e3be6c30e623}">
          <xlrd:rvb i="16090"/>
        </ext>
      </extLst>
    </bk>
    <bk>
      <extLst>
        <ext uri="{3e2802c4-a4d2-4d8b-9148-e3be6c30e623}">
          <xlrd:rvb i="16091"/>
        </ext>
      </extLst>
    </bk>
    <bk>
      <extLst>
        <ext uri="{3e2802c4-a4d2-4d8b-9148-e3be6c30e623}">
          <xlrd:rvb i="16092"/>
        </ext>
      </extLst>
    </bk>
    <bk>
      <extLst>
        <ext uri="{3e2802c4-a4d2-4d8b-9148-e3be6c30e623}">
          <xlrd:rvb i="16093"/>
        </ext>
      </extLst>
    </bk>
    <bk>
      <extLst>
        <ext uri="{3e2802c4-a4d2-4d8b-9148-e3be6c30e623}">
          <xlrd:rvb i="16094"/>
        </ext>
      </extLst>
    </bk>
    <bk>
      <extLst>
        <ext uri="{3e2802c4-a4d2-4d8b-9148-e3be6c30e623}">
          <xlrd:rvb i="16095"/>
        </ext>
      </extLst>
    </bk>
    <bk>
      <extLst>
        <ext uri="{3e2802c4-a4d2-4d8b-9148-e3be6c30e623}">
          <xlrd:rvb i="16096"/>
        </ext>
      </extLst>
    </bk>
    <bk>
      <extLst>
        <ext uri="{3e2802c4-a4d2-4d8b-9148-e3be6c30e623}">
          <xlrd:rvb i="16097"/>
        </ext>
      </extLst>
    </bk>
    <bk>
      <extLst>
        <ext uri="{3e2802c4-a4d2-4d8b-9148-e3be6c30e623}">
          <xlrd:rvb i="16098"/>
        </ext>
      </extLst>
    </bk>
    <bk>
      <extLst>
        <ext uri="{3e2802c4-a4d2-4d8b-9148-e3be6c30e623}">
          <xlrd:rvb i="16099"/>
        </ext>
      </extLst>
    </bk>
    <bk>
      <extLst>
        <ext uri="{3e2802c4-a4d2-4d8b-9148-e3be6c30e623}">
          <xlrd:rvb i="16100"/>
        </ext>
      </extLst>
    </bk>
    <bk>
      <extLst>
        <ext uri="{3e2802c4-a4d2-4d8b-9148-e3be6c30e623}">
          <xlrd:rvb i="16101"/>
        </ext>
      </extLst>
    </bk>
    <bk>
      <extLst>
        <ext uri="{3e2802c4-a4d2-4d8b-9148-e3be6c30e623}">
          <xlrd:rvb i="16102"/>
        </ext>
      </extLst>
    </bk>
    <bk>
      <extLst>
        <ext uri="{3e2802c4-a4d2-4d8b-9148-e3be6c30e623}">
          <xlrd:rvb i="16103"/>
        </ext>
      </extLst>
    </bk>
    <bk>
      <extLst>
        <ext uri="{3e2802c4-a4d2-4d8b-9148-e3be6c30e623}">
          <xlrd:rvb i="16104"/>
        </ext>
      </extLst>
    </bk>
    <bk>
      <extLst>
        <ext uri="{3e2802c4-a4d2-4d8b-9148-e3be6c30e623}">
          <xlrd:rvb i="16105"/>
        </ext>
      </extLst>
    </bk>
    <bk>
      <extLst>
        <ext uri="{3e2802c4-a4d2-4d8b-9148-e3be6c30e623}">
          <xlrd:rvb i="16106"/>
        </ext>
      </extLst>
    </bk>
    <bk>
      <extLst>
        <ext uri="{3e2802c4-a4d2-4d8b-9148-e3be6c30e623}">
          <xlrd:rvb i="16107"/>
        </ext>
      </extLst>
    </bk>
    <bk>
      <extLst>
        <ext uri="{3e2802c4-a4d2-4d8b-9148-e3be6c30e623}">
          <xlrd:rvb i="16108"/>
        </ext>
      </extLst>
    </bk>
    <bk>
      <extLst>
        <ext uri="{3e2802c4-a4d2-4d8b-9148-e3be6c30e623}">
          <xlrd:rvb i="16109"/>
        </ext>
      </extLst>
    </bk>
    <bk>
      <extLst>
        <ext uri="{3e2802c4-a4d2-4d8b-9148-e3be6c30e623}">
          <xlrd:rvb i="16110"/>
        </ext>
      </extLst>
    </bk>
    <bk>
      <extLst>
        <ext uri="{3e2802c4-a4d2-4d8b-9148-e3be6c30e623}">
          <xlrd:rvb i="16111"/>
        </ext>
      </extLst>
    </bk>
    <bk>
      <extLst>
        <ext uri="{3e2802c4-a4d2-4d8b-9148-e3be6c30e623}">
          <xlrd:rvb i="16112"/>
        </ext>
      </extLst>
    </bk>
    <bk>
      <extLst>
        <ext uri="{3e2802c4-a4d2-4d8b-9148-e3be6c30e623}">
          <xlrd:rvb i="16113"/>
        </ext>
      </extLst>
    </bk>
    <bk>
      <extLst>
        <ext uri="{3e2802c4-a4d2-4d8b-9148-e3be6c30e623}">
          <xlrd:rvb i="16114"/>
        </ext>
      </extLst>
    </bk>
    <bk>
      <extLst>
        <ext uri="{3e2802c4-a4d2-4d8b-9148-e3be6c30e623}">
          <xlrd:rvb i="16115"/>
        </ext>
      </extLst>
    </bk>
    <bk>
      <extLst>
        <ext uri="{3e2802c4-a4d2-4d8b-9148-e3be6c30e623}">
          <xlrd:rvb i="16116"/>
        </ext>
      </extLst>
    </bk>
    <bk>
      <extLst>
        <ext uri="{3e2802c4-a4d2-4d8b-9148-e3be6c30e623}">
          <xlrd:rvb i="16117"/>
        </ext>
      </extLst>
    </bk>
    <bk>
      <extLst>
        <ext uri="{3e2802c4-a4d2-4d8b-9148-e3be6c30e623}">
          <xlrd:rvb i="16118"/>
        </ext>
      </extLst>
    </bk>
    <bk>
      <extLst>
        <ext uri="{3e2802c4-a4d2-4d8b-9148-e3be6c30e623}">
          <xlrd:rvb i="16119"/>
        </ext>
      </extLst>
    </bk>
    <bk>
      <extLst>
        <ext uri="{3e2802c4-a4d2-4d8b-9148-e3be6c30e623}">
          <xlrd:rvb i="16120"/>
        </ext>
      </extLst>
    </bk>
    <bk>
      <extLst>
        <ext uri="{3e2802c4-a4d2-4d8b-9148-e3be6c30e623}">
          <xlrd:rvb i="16121"/>
        </ext>
      </extLst>
    </bk>
    <bk>
      <extLst>
        <ext uri="{3e2802c4-a4d2-4d8b-9148-e3be6c30e623}">
          <xlrd:rvb i="16122"/>
        </ext>
      </extLst>
    </bk>
    <bk>
      <extLst>
        <ext uri="{3e2802c4-a4d2-4d8b-9148-e3be6c30e623}">
          <xlrd:rvb i="16123"/>
        </ext>
      </extLst>
    </bk>
    <bk>
      <extLst>
        <ext uri="{3e2802c4-a4d2-4d8b-9148-e3be6c30e623}">
          <xlrd:rvb i="16124"/>
        </ext>
      </extLst>
    </bk>
    <bk>
      <extLst>
        <ext uri="{3e2802c4-a4d2-4d8b-9148-e3be6c30e623}">
          <xlrd:rvb i="16125"/>
        </ext>
      </extLst>
    </bk>
    <bk>
      <extLst>
        <ext uri="{3e2802c4-a4d2-4d8b-9148-e3be6c30e623}">
          <xlrd:rvb i="16126"/>
        </ext>
      </extLst>
    </bk>
    <bk>
      <extLst>
        <ext uri="{3e2802c4-a4d2-4d8b-9148-e3be6c30e623}">
          <xlrd:rvb i="16127"/>
        </ext>
      </extLst>
    </bk>
    <bk>
      <extLst>
        <ext uri="{3e2802c4-a4d2-4d8b-9148-e3be6c30e623}">
          <xlrd:rvb i="16128"/>
        </ext>
      </extLst>
    </bk>
    <bk>
      <extLst>
        <ext uri="{3e2802c4-a4d2-4d8b-9148-e3be6c30e623}">
          <xlrd:rvb i="16129"/>
        </ext>
      </extLst>
    </bk>
    <bk>
      <extLst>
        <ext uri="{3e2802c4-a4d2-4d8b-9148-e3be6c30e623}">
          <xlrd:rvb i="16130"/>
        </ext>
      </extLst>
    </bk>
    <bk>
      <extLst>
        <ext uri="{3e2802c4-a4d2-4d8b-9148-e3be6c30e623}">
          <xlrd:rvb i="16131"/>
        </ext>
      </extLst>
    </bk>
    <bk>
      <extLst>
        <ext uri="{3e2802c4-a4d2-4d8b-9148-e3be6c30e623}">
          <xlrd:rvb i="16132"/>
        </ext>
      </extLst>
    </bk>
    <bk>
      <extLst>
        <ext uri="{3e2802c4-a4d2-4d8b-9148-e3be6c30e623}">
          <xlrd:rvb i="16133"/>
        </ext>
      </extLst>
    </bk>
    <bk>
      <extLst>
        <ext uri="{3e2802c4-a4d2-4d8b-9148-e3be6c30e623}">
          <xlrd:rvb i="16134"/>
        </ext>
      </extLst>
    </bk>
    <bk>
      <extLst>
        <ext uri="{3e2802c4-a4d2-4d8b-9148-e3be6c30e623}">
          <xlrd:rvb i="16135"/>
        </ext>
      </extLst>
    </bk>
    <bk>
      <extLst>
        <ext uri="{3e2802c4-a4d2-4d8b-9148-e3be6c30e623}">
          <xlrd:rvb i="16136"/>
        </ext>
      </extLst>
    </bk>
    <bk>
      <extLst>
        <ext uri="{3e2802c4-a4d2-4d8b-9148-e3be6c30e623}">
          <xlrd:rvb i="16137"/>
        </ext>
      </extLst>
    </bk>
    <bk>
      <extLst>
        <ext uri="{3e2802c4-a4d2-4d8b-9148-e3be6c30e623}">
          <xlrd:rvb i="16138"/>
        </ext>
      </extLst>
    </bk>
    <bk>
      <extLst>
        <ext uri="{3e2802c4-a4d2-4d8b-9148-e3be6c30e623}">
          <xlrd:rvb i="16139"/>
        </ext>
      </extLst>
    </bk>
    <bk>
      <extLst>
        <ext uri="{3e2802c4-a4d2-4d8b-9148-e3be6c30e623}">
          <xlrd:rvb i="16140"/>
        </ext>
      </extLst>
    </bk>
    <bk>
      <extLst>
        <ext uri="{3e2802c4-a4d2-4d8b-9148-e3be6c30e623}">
          <xlrd:rvb i="16141"/>
        </ext>
      </extLst>
    </bk>
    <bk>
      <extLst>
        <ext uri="{3e2802c4-a4d2-4d8b-9148-e3be6c30e623}">
          <xlrd:rvb i="16142"/>
        </ext>
      </extLst>
    </bk>
    <bk>
      <extLst>
        <ext uri="{3e2802c4-a4d2-4d8b-9148-e3be6c30e623}">
          <xlrd:rvb i="16143"/>
        </ext>
      </extLst>
    </bk>
    <bk>
      <extLst>
        <ext uri="{3e2802c4-a4d2-4d8b-9148-e3be6c30e623}">
          <xlrd:rvb i="16144"/>
        </ext>
      </extLst>
    </bk>
    <bk>
      <extLst>
        <ext uri="{3e2802c4-a4d2-4d8b-9148-e3be6c30e623}">
          <xlrd:rvb i="16145"/>
        </ext>
      </extLst>
    </bk>
    <bk>
      <extLst>
        <ext uri="{3e2802c4-a4d2-4d8b-9148-e3be6c30e623}">
          <xlrd:rvb i="16146"/>
        </ext>
      </extLst>
    </bk>
    <bk>
      <extLst>
        <ext uri="{3e2802c4-a4d2-4d8b-9148-e3be6c30e623}">
          <xlrd:rvb i="16147"/>
        </ext>
      </extLst>
    </bk>
    <bk>
      <extLst>
        <ext uri="{3e2802c4-a4d2-4d8b-9148-e3be6c30e623}">
          <xlrd:rvb i="16148"/>
        </ext>
      </extLst>
    </bk>
    <bk>
      <extLst>
        <ext uri="{3e2802c4-a4d2-4d8b-9148-e3be6c30e623}">
          <xlrd:rvb i="16149"/>
        </ext>
      </extLst>
    </bk>
    <bk>
      <extLst>
        <ext uri="{3e2802c4-a4d2-4d8b-9148-e3be6c30e623}">
          <xlrd:rvb i="16150"/>
        </ext>
      </extLst>
    </bk>
    <bk>
      <extLst>
        <ext uri="{3e2802c4-a4d2-4d8b-9148-e3be6c30e623}">
          <xlrd:rvb i="16151"/>
        </ext>
      </extLst>
    </bk>
    <bk>
      <extLst>
        <ext uri="{3e2802c4-a4d2-4d8b-9148-e3be6c30e623}">
          <xlrd:rvb i="16152"/>
        </ext>
      </extLst>
    </bk>
    <bk>
      <extLst>
        <ext uri="{3e2802c4-a4d2-4d8b-9148-e3be6c30e623}">
          <xlrd:rvb i="16153"/>
        </ext>
      </extLst>
    </bk>
    <bk>
      <extLst>
        <ext uri="{3e2802c4-a4d2-4d8b-9148-e3be6c30e623}">
          <xlrd:rvb i="16154"/>
        </ext>
      </extLst>
    </bk>
    <bk>
      <extLst>
        <ext uri="{3e2802c4-a4d2-4d8b-9148-e3be6c30e623}">
          <xlrd:rvb i="16155"/>
        </ext>
      </extLst>
    </bk>
    <bk>
      <extLst>
        <ext uri="{3e2802c4-a4d2-4d8b-9148-e3be6c30e623}">
          <xlrd:rvb i="16156"/>
        </ext>
      </extLst>
    </bk>
    <bk>
      <extLst>
        <ext uri="{3e2802c4-a4d2-4d8b-9148-e3be6c30e623}">
          <xlrd:rvb i="16157"/>
        </ext>
      </extLst>
    </bk>
    <bk>
      <extLst>
        <ext uri="{3e2802c4-a4d2-4d8b-9148-e3be6c30e623}">
          <xlrd:rvb i="16158"/>
        </ext>
      </extLst>
    </bk>
    <bk>
      <extLst>
        <ext uri="{3e2802c4-a4d2-4d8b-9148-e3be6c30e623}">
          <xlrd:rvb i="16159"/>
        </ext>
      </extLst>
    </bk>
    <bk>
      <extLst>
        <ext uri="{3e2802c4-a4d2-4d8b-9148-e3be6c30e623}">
          <xlrd:rvb i="16160"/>
        </ext>
      </extLst>
    </bk>
    <bk>
      <extLst>
        <ext uri="{3e2802c4-a4d2-4d8b-9148-e3be6c30e623}">
          <xlrd:rvb i="16161"/>
        </ext>
      </extLst>
    </bk>
    <bk>
      <extLst>
        <ext uri="{3e2802c4-a4d2-4d8b-9148-e3be6c30e623}">
          <xlrd:rvb i="16162"/>
        </ext>
      </extLst>
    </bk>
    <bk>
      <extLst>
        <ext uri="{3e2802c4-a4d2-4d8b-9148-e3be6c30e623}">
          <xlrd:rvb i="16163"/>
        </ext>
      </extLst>
    </bk>
    <bk>
      <extLst>
        <ext uri="{3e2802c4-a4d2-4d8b-9148-e3be6c30e623}">
          <xlrd:rvb i="16164"/>
        </ext>
      </extLst>
    </bk>
    <bk>
      <extLst>
        <ext uri="{3e2802c4-a4d2-4d8b-9148-e3be6c30e623}">
          <xlrd:rvb i="16165"/>
        </ext>
      </extLst>
    </bk>
    <bk>
      <extLst>
        <ext uri="{3e2802c4-a4d2-4d8b-9148-e3be6c30e623}">
          <xlrd:rvb i="16166"/>
        </ext>
      </extLst>
    </bk>
    <bk>
      <extLst>
        <ext uri="{3e2802c4-a4d2-4d8b-9148-e3be6c30e623}">
          <xlrd:rvb i="16167"/>
        </ext>
      </extLst>
    </bk>
    <bk>
      <extLst>
        <ext uri="{3e2802c4-a4d2-4d8b-9148-e3be6c30e623}">
          <xlrd:rvb i="16168"/>
        </ext>
      </extLst>
    </bk>
    <bk>
      <extLst>
        <ext uri="{3e2802c4-a4d2-4d8b-9148-e3be6c30e623}">
          <xlrd:rvb i="16169"/>
        </ext>
      </extLst>
    </bk>
    <bk>
      <extLst>
        <ext uri="{3e2802c4-a4d2-4d8b-9148-e3be6c30e623}">
          <xlrd:rvb i="16170"/>
        </ext>
      </extLst>
    </bk>
    <bk>
      <extLst>
        <ext uri="{3e2802c4-a4d2-4d8b-9148-e3be6c30e623}">
          <xlrd:rvb i="16171"/>
        </ext>
      </extLst>
    </bk>
    <bk>
      <extLst>
        <ext uri="{3e2802c4-a4d2-4d8b-9148-e3be6c30e623}">
          <xlrd:rvb i="16172"/>
        </ext>
      </extLst>
    </bk>
    <bk>
      <extLst>
        <ext uri="{3e2802c4-a4d2-4d8b-9148-e3be6c30e623}">
          <xlrd:rvb i="16173"/>
        </ext>
      </extLst>
    </bk>
    <bk>
      <extLst>
        <ext uri="{3e2802c4-a4d2-4d8b-9148-e3be6c30e623}">
          <xlrd:rvb i="16174"/>
        </ext>
      </extLst>
    </bk>
    <bk>
      <extLst>
        <ext uri="{3e2802c4-a4d2-4d8b-9148-e3be6c30e623}">
          <xlrd:rvb i="16175"/>
        </ext>
      </extLst>
    </bk>
    <bk>
      <extLst>
        <ext uri="{3e2802c4-a4d2-4d8b-9148-e3be6c30e623}">
          <xlrd:rvb i="16176"/>
        </ext>
      </extLst>
    </bk>
    <bk>
      <extLst>
        <ext uri="{3e2802c4-a4d2-4d8b-9148-e3be6c30e623}">
          <xlrd:rvb i="16177"/>
        </ext>
      </extLst>
    </bk>
    <bk>
      <extLst>
        <ext uri="{3e2802c4-a4d2-4d8b-9148-e3be6c30e623}">
          <xlrd:rvb i="16178"/>
        </ext>
      </extLst>
    </bk>
    <bk>
      <extLst>
        <ext uri="{3e2802c4-a4d2-4d8b-9148-e3be6c30e623}">
          <xlrd:rvb i="16179"/>
        </ext>
      </extLst>
    </bk>
    <bk>
      <extLst>
        <ext uri="{3e2802c4-a4d2-4d8b-9148-e3be6c30e623}">
          <xlrd:rvb i="16180"/>
        </ext>
      </extLst>
    </bk>
    <bk>
      <extLst>
        <ext uri="{3e2802c4-a4d2-4d8b-9148-e3be6c30e623}">
          <xlrd:rvb i="16181"/>
        </ext>
      </extLst>
    </bk>
    <bk>
      <extLst>
        <ext uri="{3e2802c4-a4d2-4d8b-9148-e3be6c30e623}">
          <xlrd:rvb i="16182"/>
        </ext>
      </extLst>
    </bk>
    <bk>
      <extLst>
        <ext uri="{3e2802c4-a4d2-4d8b-9148-e3be6c30e623}">
          <xlrd:rvb i="16183"/>
        </ext>
      </extLst>
    </bk>
    <bk>
      <extLst>
        <ext uri="{3e2802c4-a4d2-4d8b-9148-e3be6c30e623}">
          <xlrd:rvb i="16184"/>
        </ext>
      </extLst>
    </bk>
    <bk>
      <extLst>
        <ext uri="{3e2802c4-a4d2-4d8b-9148-e3be6c30e623}">
          <xlrd:rvb i="16185"/>
        </ext>
      </extLst>
    </bk>
    <bk>
      <extLst>
        <ext uri="{3e2802c4-a4d2-4d8b-9148-e3be6c30e623}">
          <xlrd:rvb i="16186"/>
        </ext>
      </extLst>
    </bk>
    <bk>
      <extLst>
        <ext uri="{3e2802c4-a4d2-4d8b-9148-e3be6c30e623}">
          <xlrd:rvb i="16187"/>
        </ext>
      </extLst>
    </bk>
    <bk>
      <extLst>
        <ext uri="{3e2802c4-a4d2-4d8b-9148-e3be6c30e623}">
          <xlrd:rvb i="16188"/>
        </ext>
      </extLst>
    </bk>
    <bk>
      <extLst>
        <ext uri="{3e2802c4-a4d2-4d8b-9148-e3be6c30e623}">
          <xlrd:rvb i="16189"/>
        </ext>
      </extLst>
    </bk>
    <bk>
      <extLst>
        <ext uri="{3e2802c4-a4d2-4d8b-9148-e3be6c30e623}">
          <xlrd:rvb i="16190"/>
        </ext>
      </extLst>
    </bk>
    <bk>
      <extLst>
        <ext uri="{3e2802c4-a4d2-4d8b-9148-e3be6c30e623}">
          <xlrd:rvb i="16191"/>
        </ext>
      </extLst>
    </bk>
    <bk>
      <extLst>
        <ext uri="{3e2802c4-a4d2-4d8b-9148-e3be6c30e623}">
          <xlrd:rvb i="16192"/>
        </ext>
      </extLst>
    </bk>
    <bk>
      <extLst>
        <ext uri="{3e2802c4-a4d2-4d8b-9148-e3be6c30e623}">
          <xlrd:rvb i="16193"/>
        </ext>
      </extLst>
    </bk>
    <bk>
      <extLst>
        <ext uri="{3e2802c4-a4d2-4d8b-9148-e3be6c30e623}">
          <xlrd:rvb i="16194"/>
        </ext>
      </extLst>
    </bk>
    <bk>
      <extLst>
        <ext uri="{3e2802c4-a4d2-4d8b-9148-e3be6c30e623}">
          <xlrd:rvb i="16195"/>
        </ext>
      </extLst>
    </bk>
    <bk>
      <extLst>
        <ext uri="{3e2802c4-a4d2-4d8b-9148-e3be6c30e623}">
          <xlrd:rvb i="16196"/>
        </ext>
      </extLst>
    </bk>
    <bk>
      <extLst>
        <ext uri="{3e2802c4-a4d2-4d8b-9148-e3be6c30e623}">
          <xlrd:rvb i="16197"/>
        </ext>
      </extLst>
    </bk>
    <bk>
      <extLst>
        <ext uri="{3e2802c4-a4d2-4d8b-9148-e3be6c30e623}">
          <xlrd:rvb i="16198"/>
        </ext>
      </extLst>
    </bk>
    <bk>
      <extLst>
        <ext uri="{3e2802c4-a4d2-4d8b-9148-e3be6c30e623}">
          <xlrd:rvb i="16199"/>
        </ext>
      </extLst>
    </bk>
    <bk>
      <extLst>
        <ext uri="{3e2802c4-a4d2-4d8b-9148-e3be6c30e623}">
          <xlrd:rvb i="16200"/>
        </ext>
      </extLst>
    </bk>
    <bk>
      <extLst>
        <ext uri="{3e2802c4-a4d2-4d8b-9148-e3be6c30e623}">
          <xlrd:rvb i="16201"/>
        </ext>
      </extLst>
    </bk>
    <bk>
      <extLst>
        <ext uri="{3e2802c4-a4d2-4d8b-9148-e3be6c30e623}">
          <xlrd:rvb i="16202"/>
        </ext>
      </extLst>
    </bk>
    <bk>
      <extLst>
        <ext uri="{3e2802c4-a4d2-4d8b-9148-e3be6c30e623}">
          <xlrd:rvb i="16203"/>
        </ext>
      </extLst>
    </bk>
    <bk>
      <extLst>
        <ext uri="{3e2802c4-a4d2-4d8b-9148-e3be6c30e623}">
          <xlrd:rvb i="16204"/>
        </ext>
      </extLst>
    </bk>
    <bk>
      <extLst>
        <ext uri="{3e2802c4-a4d2-4d8b-9148-e3be6c30e623}">
          <xlrd:rvb i="16205"/>
        </ext>
      </extLst>
    </bk>
    <bk>
      <extLst>
        <ext uri="{3e2802c4-a4d2-4d8b-9148-e3be6c30e623}">
          <xlrd:rvb i="16206"/>
        </ext>
      </extLst>
    </bk>
    <bk>
      <extLst>
        <ext uri="{3e2802c4-a4d2-4d8b-9148-e3be6c30e623}">
          <xlrd:rvb i="16207"/>
        </ext>
      </extLst>
    </bk>
    <bk>
      <extLst>
        <ext uri="{3e2802c4-a4d2-4d8b-9148-e3be6c30e623}">
          <xlrd:rvb i="16208"/>
        </ext>
      </extLst>
    </bk>
    <bk>
      <extLst>
        <ext uri="{3e2802c4-a4d2-4d8b-9148-e3be6c30e623}">
          <xlrd:rvb i="16209"/>
        </ext>
      </extLst>
    </bk>
    <bk>
      <extLst>
        <ext uri="{3e2802c4-a4d2-4d8b-9148-e3be6c30e623}">
          <xlrd:rvb i="16210"/>
        </ext>
      </extLst>
    </bk>
    <bk>
      <extLst>
        <ext uri="{3e2802c4-a4d2-4d8b-9148-e3be6c30e623}">
          <xlrd:rvb i="16211"/>
        </ext>
      </extLst>
    </bk>
    <bk>
      <extLst>
        <ext uri="{3e2802c4-a4d2-4d8b-9148-e3be6c30e623}">
          <xlrd:rvb i="16212"/>
        </ext>
      </extLst>
    </bk>
    <bk>
      <extLst>
        <ext uri="{3e2802c4-a4d2-4d8b-9148-e3be6c30e623}">
          <xlrd:rvb i="16213"/>
        </ext>
      </extLst>
    </bk>
    <bk>
      <extLst>
        <ext uri="{3e2802c4-a4d2-4d8b-9148-e3be6c30e623}">
          <xlrd:rvb i="16214"/>
        </ext>
      </extLst>
    </bk>
    <bk>
      <extLst>
        <ext uri="{3e2802c4-a4d2-4d8b-9148-e3be6c30e623}">
          <xlrd:rvb i="16215"/>
        </ext>
      </extLst>
    </bk>
    <bk>
      <extLst>
        <ext uri="{3e2802c4-a4d2-4d8b-9148-e3be6c30e623}">
          <xlrd:rvb i="16216"/>
        </ext>
      </extLst>
    </bk>
    <bk>
      <extLst>
        <ext uri="{3e2802c4-a4d2-4d8b-9148-e3be6c30e623}">
          <xlrd:rvb i="16217"/>
        </ext>
      </extLst>
    </bk>
    <bk>
      <extLst>
        <ext uri="{3e2802c4-a4d2-4d8b-9148-e3be6c30e623}">
          <xlrd:rvb i="16218"/>
        </ext>
      </extLst>
    </bk>
    <bk>
      <extLst>
        <ext uri="{3e2802c4-a4d2-4d8b-9148-e3be6c30e623}">
          <xlrd:rvb i="16219"/>
        </ext>
      </extLst>
    </bk>
    <bk>
      <extLst>
        <ext uri="{3e2802c4-a4d2-4d8b-9148-e3be6c30e623}">
          <xlrd:rvb i="16220"/>
        </ext>
      </extLst>
    </bk>
    <bk>
      <extLst>
        <ext uri="{3e2802c4-a4d2-4d8b-9148-e3be6c30e623}">
          <xlrd:rvb i="16221"/>
        </ext>
      </extLst>
    </bk>
    <bk>
      <extLst>
        <ext uri="{3e2802c4-a4d2-4d8b-9148-e3be6c30e623}">
          <xlrd:rvb i="16222"/>
        </ext>
      </extLst>
    </bk>
    <bk>
      <extLst>
        <ext uri="{3e2802c4-a4d2-4d8b-9148-e3be6c30e623}">
          <xlrd:rvb i="16223"/>
        </ext>
      </extLst>
    </bk>
    <bk>
      <extLst>
        <ext uri="{3e2802c4-a4d2-4d8b-9148-e3be6c30e623}">
          <xlrd:rvb i="16224"/>
        </ext>
      </extLst>
    </bk>
    <bk>
      <extLst>
        <ext uri="{3e2802c4-a4d2-4d8b-9148-e3be6c30e623}">
          <xlrd:rvb i="16225"/>
        </ext>
      </extLst>
    </bk>
    <bk>
      <extLst>
        <ext uri="{3e2802c4-a4d2-4d8b-9148-e3be6c30e623}">
          <xlrd:rvb i="16226"/>
        </ext>
      </extLst>
    </bk>
    <bk>
      <extLst>
        <ext uri="{3e2802c4-a4d2-4d8b-9148-e3be6c30e623}">
          <xlrd:rvb i="16227"/>
        </ext>
      </extLst>
    </bk>
    <bk>
      <extLst>
        <ext uri="{3e2802c4-a4d2-4d8b-9148-e3be6c30e623}">
          <xlrd:rvb i="16228"/>
        </ext>
      </extLst>
    </bk>
    <bk>
      <extLst>
        <ext uri="{3e2802c4-a4d2-4d8b-9148-e3be6c30e623}">
          <xlrd:rvb i="16229"/>
        </ext>
      </extLst>
    </bk>
    <bk>
      <extLst>
        <ext uri="{3e2802c4-a4d2-4d8b-9148-e3be6c30e623}">
          <xlrd:rvb i="16230"/>
        </ext>
      </extLst>
    </bk>
    <bk>
      <extLst>
        <ext uri="{3e2802c4-a4d2-4d8b-9148-e3be6c30e623}">
          <xlrd:rvb i="16231"/>
        </ext>
      </extLst>
    </bk>
    <bk>
      <extLst>
        <ext uri="{3e2802c4-a4d2-4d8b-9148-e3be6c30e623}">
          <xlrd:rvb i="16232"/>
        </ext>
      </extLst>
    </bk>
    <bk>
      <extLst>
        <ext uri="{3e2802c4-a4d2-4d8b-9148-e3be6c30e623}">
          <xlrd:rvb i="16233"/>
        </ext>
      </extLst>
    </bk>
    <bk>
      <extLst>
        <ext uri="{3e2802c4-a4d2-4d8b-9148-e3be6c30e623}">
          <xlrd:rvb i="16234"/>
        </ext>
      </extLst>
    </bk>
    <bk>
      <extLst>
        <ext uri="{3e2802c4-a4d2-4d8b-9148-e3be6c30e623}">
          <xlrd:rvb i="16235"/>
        </ext>
      </extLst>
    </bk>
    <bk>
      <extLst>
        <ext uri="{3e2802c4-a4d2-4d8b-9148-e3be6c30e623}">
          <xlrd:rvb i="16236"/>
        </ext>
      </extLst>
    </bk>
    <bk>
      <extLst>
        <ext uri="{3e2802c4-a4d2-4d8b-9148-e3be6c30e623}">
          <xlrd:rvb i="16237"/>
        </ext>
      </extLst>
    </bk>
    <bk>
      <extLst>
        <ext uri="{3e2802c4-a4d2-4d8b-9148-e3be6c30e623}">
          <xlrd:rvb i="16238"/>
        </ext>
      </extLst>
    </bk>
    <bk>
      <extLst>
        <ext uri="{3e2802c4-a4d2-4d8b-9148-e3be6c30e623}">
          <xlrd:rvb i="16239"/>
        </ext>
      </extLst>
    </bk>
    <bk>
      <extLst>
        <ext uri="{3e2802c4-a4d2-4d8b-9148-e3be6c30e623}">
          <xlrd:rvb i="16240"/>
        </ext>
      </extLst>
    </bk>
    <bk>
      <extLst>
        <ext uri="{3e2802c4-a4d2-4d8b-9148-e3be6c30e623}">
          <xlrd:rvb i="16241"/>
        </ext>
      </extLst>
    </bk>
    <bk>
      <extLst>
        <ext uri="{3e2802c4-a4d2-4d8b-9148-e3be6c30e623}">
          <xlrd:rvb i="16242"/>
        </ext>
      </extLst>
    </bk>
    <bk>
      <extLst>
        <ext uri="{3e2802c4-a4d2-4d8b-9148-e3be6c30e623}">
          <xlrd:rvb i="16243"/>
        </ext>
      </extLst>
    </bk>
    <bk>
      <extLst>
        <ext uri="{3e2802c4-a4d2-4d8b-9148-e3be6c30e623}">
          <xlrd:rvb i="16244"/>
        </ext>
      </extLst>
    </bk>
    <bk>
      <extLst>
        <ext uri="{3e2802c4-a4d2-4d8b-9148-e3be6c30e623}">
          <xlrd:rvb i="16245"/>
        </ext>
      </extLst>
    </bk>
    <bk>
      <extLst>
        <ext uri="{3e2802c4-a4d2-4d8b-9148-e3be6c30e623}">
          <xlrd:rvb i="16246"/>
        </ext>
      </extLst>
    </bk>
    <bk>
      <extLst>
        <ext uri="{3e2802c4-a4d2-4d8b-9148-e3be6c30e623}">
          <xlrd:rvb i="16247"/>
        </ext>
      </extLst>
    </bk>
    <bk>
      <extLst>
        <ext uri="{3e2802c4-a4d2-4d8b-9148-e3be6c30e623}">
          <xlrd:rvb i="16248"/>
        </ext>
      </extLst>
    </bk>
    <bk>
      <extLst>
        <ext uri="{3e2802c4-a4d2-4d8b-9148-e3be6c30e623}">
          <xlrd:rvb i="16249"/>
        </ext>
      </extLst>
    </bk>
    <bk>
      <extLst>
        <ext uri="{3e2802c4-a4d2-4d8b-9148-e3be6c30e623}">
          <xlrd:rvb i="16250"/>
        </ext>
      </extLst>
    </bk>
    <bk>
      <extLst>
        <ext uri="{3e2802c4-a4d2-4d8b-9148-e3be6c30e623}">
          <xlrd:rvb i="16251"/>
        </ext>
      </extLst>
    </bk>
    <bk>
      <extLst>
        <ext uri="{3e2802c4-a4d2-4d8b-9148-e3be6c30e623}">
          <xlrd:rvb i="16252"/>
        </ext>
      </extLst>
    </bk>
    <bk>
      <extLst>
        <ext uri="{3e2802c4-a4d2-4d8b-9148-e3be6c30e623}">
          <xlrd:rvb i="16253"/>
        </ext>
      </extLst>
    </bk>
    <bk>
      <extLst>
        <ext uri="{3e2802c4-a4d2-4d8b-9148-e3be6c30e623}">
          <xlrd:rvb i="16254"/>
        </ext>
      </extLst>
    </bk>
    <bk>
      <extLst>
        <ext uri="{3e2802c4-a4d2-4d8b-9148-e3be6c30e623}">
          <xlrd:rvb i="16255"/>
        </ext>
      </extLst>
    </bk>
    <bk>
      <extLst>
        <ext uri="{3e2802c4-a4d2-4d8b-9148-e3be6c30e623}">
          <xlrd:rvb i="16256"/>
        </ext>
      </extLst>
    </bk>
    <bk>
      <extLst>
        <ext uri="{3e2802c4-a4d2-4d8b-9148-e3be6c30e623}">
          <xlrd:rvb i="16257"/>
        </ext>
      </extLst>
    </bk>
    <bk>
      <extLst>
        <ext uri="{3e2802c4-a4d2-4d8b-9148-e3be6c30e623}">
          <xlrd:rvb i="16258"/>
        </ext>
      </extLst>
    </bk>
    <bk>
      <extLst>
        <ext uri="{3e2802c4-a4d2-4d8b-9148-e3be6c30e623}">
          <xlrd:rvb i="16259"/>
        </ext>
      </extLst>
    </bk>
    <bk>
      <extLst>
        <ext uri="{3e2802c4-a4d2-4d8b-9148-e3be6c30e623}">
          <xlrd:rvb i="16260"/>
        </ext>
      </extLst>
    </bk>
    <bk>
      <extLst>
        <ext uri="{3e2802c4-a4d2-4d8b-9148-e3be6c30e623}">
          <xlrd:rvb i="16261"/>
        </ext>
      </extLst>
    </bk>
    <bk>
      <extLst>
        <ext uri="{3e2802c4-a4d2-4d8b-9148-e3be6c30e623}">
          <xlrd:rvb i="16262"/>
        </ext>
      </extLst>
    </bk>
    <bk>
      <extLst>
        <ext uri="{3e2802c4-a4d2-4d8b-9148-e3be6c30e623}">
          <xlrd:rvb i="16263"/>
        </ext>
      </extLst>
    </bk>
    <bk>
      <extLst>
        <ext uri="{3e2802c4-a4d2-4d8b-9148-e3be6c30e623}">
          <xlrd:rvb i="16264"/>
        </ext>
      </extLst>
    </bk>
    <bk>
      <extLst>
        <ext uri="{3e2802c4-a4d2-4d8b-9148-e3be6c30e623}">
          <xlrd:rvb i="16265"/>
        </ext>
      </extLst>
    </bk>
    <bk>
      <extLst>
        <ext uri="{3e2802c4-a4d2-4d8b-9148-e3be6c30e623}">
          <xlrd:rvb i="16266"/>
        </ext>
      </extLst>
    </bk>
    <bk>
      <extLst>
        <ext uri="{3e2802c4-a4d2-4d8b-9148-e3be6c30e623}">
          <xlrd:rvb i="16267"/>
        </ext>
      </extLst>
    </bk>
    <bk>
      <extLst>
        <ext uri="{3e2802c4-a4d2-4d8b-9148-e3be6c30e623}">
          <xlrd:rvb i="16268"/>
        </ext>
      </extLst>
    </bk>
    <bk>
      <extLst>
        <ext uri="{3e2802c4-a4d2-4d8b-9148-e3be6c30e623}">
          <xlrd:rvb i="16269"/>
        </ext>
      </extLst>
    </bk>
    <bk>
      <extLst>
        <ext uri="{3e2802c4-a4d2-4d8b-9148-e3be6c30e623}">
          <xlrd:rvb i="16270"/>
        </ext>
      </extLst>
    </bk>
    <bk>
      <extLst>
        <ext uri="{3e2802c4-a4d2-4d8b-9148-e3be6c30e623}">
          <xlrd:rvb i="16271"/>
        </ext>
      </extLst>
    </bk>
    <bk>
      <extLst>
        <ext uri="{3e2802c4-a4d2-4d8b-9148-e3be6c30e623}">
          <xlrd:rvb i="16272"/>
        </ext>
      </extLst>
    </bk>
    <bk>
      <extLst>
        <ext uri="{3e2802c4-a4d2-4d8b-9148-e3be6c30e623}">
          <xlrd:rvb i="16273"/>
        </ext>
      </extLst>
    </bk>
    <bk>
      <extLst>
        <ext uri="{3e2802c4-a4d2-4d8b-9148-e3be6c30e623}">
          <xlrd:rvb i="16274"/>
        </ext>
      </extLst>
    </bk>
    <bk>
      <extLst>
        <ext uri="{3e2802c4-a4d2-4d8b-9148-e3be6c30e623}">
          <xlrd:rvb i="16275"/>
        </ext>
      </extLst>
    </bk>
    <bk>
      <extLst>
        <ext uri="{3e2802c4-a4d2-4d8b-9148-e3be6c30e623}">
          <xlrd:rvb i="16276"/>
        </ext>
      </extLst>
    </bk>
    <bk>
      <extLst>
        <ext uri="{3e2802c4-a4d2-4d8b-9148-e3be6c30e623}">
          <xlrd:rvb i="16277"/>
        </ext>
      </extLst>
    </bk>
    <bk>
      <extLst>
        <ext uri="{3e2802c4-a4d2-4d8b-9148-e3be6c30e623}">
          <xlrd:rvb i="16278"/>
        </ext>
      </extLst>
    </bk>
    <bk>
      <extLst>
        <ext uri="{3e2802c4-a4d2-4d8b-9148-e3be6c30e623}">
          <xlrd:rvb i="16279"/>
        </ext>
      </extLst>
    </bk>
    <bk>
      <extLst>
        <ext uri="{3e2802c4-a4d2-4d8b-9148-e3be6c30e623}">
          <xlrd:rvb i="16280"/>
        </ext>
      </extLst>
    </bk>
    <bk>
      <extLst>
        <ext uri="{3e2802c4-a4d2-4d8b-9148-e3be6c30e623}">
          <xlrd:rvb i="16281"/>
        </ext>
      </extLst>
    </bk>
    <bk>
      <extLst>
        <ext uri="{3e2802c4-a4d2-4d8b-9148-e3be6c30e623}">
          <xlrd:rvb i="16282"/>
        </ext>
      </extLst>
    </bk>
    <bk>
      <extLst>
        <ext uri="{3e2802c4-a4d2-4d8b-9148-e3be6c30e623}">
          <xlrd:rvb i="16283"/>
        </ext>
      </extLst>
    </bk>
    <bk>
      <extLst>
        <ext uri="{3e2802c4-a4d2-4d8b-9148-e3be6c30e623}">
          <xlrd:rvb i="16284"/>
        </ext>
      </extLst>
    </bk>
    <bk>
      <extLst>
        <ext uri="{3e2802c4-a4d2-4d8b-9148-e3be6c30e623}">
          <xlrd:rvb i="16285"/>
        </ext>
      </extLst>
    </bk>
    <bk>
      <extLst>
        <ext uri="{3e2802c4-a4d2-4d8b-9148-e3be6c30e623}">
          <xlrd:rvb i="16286"/>
        </ext>
      </extLst>
    </bk>
    <bk>
      <extLst>
        <ext uri="{3e2802c4-a4d2-4d8b-9148-e3be6c30e623}">
          <xlrd:rvb i="16287"/>
        </ext>
      </extLst>
    </bk>
    <bk>
      <extLst>
        <ext uri="{3e2802c4-a4d2-4d8b-9148-e3be6c30e623}">
          <xlrd:rvb i="16288"/>
        </ext>
      </extLst>
    </bk>
    <bk>
      <extLst>
        <ext uri="{3e2802c4-a4d2-4d8b-9148-e3be6c30e623}">
          <xlrd:rvb i="16289"/>
        </ext>
      </extLst>
    </bk>
    <bk>
      <extLst>
        <ext uri="{3e2802c4-a4d2-4d8b-9148-e3be6c30e623}">
          <xlrd:rvb i="16290"/>
        </ext>
      </extLst>
    </bk>
    <bk>
      <extLst>
        <ext uri="{3e2802c4-a4d2-4d8b-9148-e3be6c30e623}">
          <xlrd:rvb i="16291"/>
        </ext>
      </extLst>
    </bk>
    <bk>
      <extLst>
        <ext uri="{3e2802c4-a4d2-4d8b-9148-e3be6c30e623}">
          <xlrd:rvb i="16292"/>
        </ext>
      </extLst>
    </bk>
    <bk>
      <extLst>
        <ext uri="{3e2802c4-a4d2-4d8b-9148-e3be6c30e623}">
          <xlrd:rvb i="16293"/>
        </ext>
      </extLst>
    </bk>
    <bk>
      <extLst>
        <ext uri="{3e2802c4-a4d2-4d8b-9148-e3be6c30e623}">
          <xlrd:rvb i="16294"/>
        </ext>
      </extLst>
    </bk>
    <bk>
      <extLst>
        <ext uri="{3e2802c4-a4d2-4d8b-9148-e3be6c30e623}">
          <xlrd:rvb i="16295"/>
        </ext>
      </extLst>
    </bk>
    <bk>
      <extLst>
        <ext uri="{3e2802c4-a4d2-4d8b-9148-e3be6c30e623}">
          <xlrd:rvb i="16296"/>
        </ext>
      </extLst>
    </bk>
    <bk>
      <extLst>
        <ext uri="{3e2802c4-a4d2-4d8b-9148-e3be6c30e623}">
          <xlrd:rvb i="16297"/>
        </ext>
      </extLst>
    </bk>
    <bk>
      <extLst>
        <ext uri="{3e2802c4-a4d2-4d8b-9148-e3be6c30e623}">
          <xlrd:rvb i="16298"/>
        </ext>
      </extLst>
    </bk>
    <bk>
      <extLst>
        <ext uri="{3e2802c4-a4d2-4d8b-9148-e3be6c30e623}">
          <xlrd:rvb i="16299"/>
        </ext>
      </extLst>
    </bk>
    <bk>
      <extLst>
        <ext uri="{3e2802c4-a4d2-4d8b-9148-e3be6c30e623}">
          <xlrd:rvb i="16300"/>
        </ext>
      </extLst>
    </bk>
    <bk>
      <extLst>
        <ext uri="{3e2802c4-a4d2-4d8b-9148-e3be6c30e623}">
          <xlrd:rvb i="16301"/>
        </ext>
      </extLst>
    </bk>
    <bk>
      <extLst>
        <ext uri="{3e2802c4-a4d2-4d8b-9148-e3be6c30e623}">
          <xlrd:rvb i="16302"/>
        </ext>
      </extLst>
    </bk>
    <bk>
      <extLst>
        <ext uri="{3e2802c4-a4d2-4d8b-9148-e3be6c30e623}">
          <xlrd:rvb i="16303"/>
        </ext>
      </extLst>
    </bk>
    <bk>
      <extLst>
        <ext uri="{3e2802c4-a4d2-4d8b-9148-e3be6c30e623}">
          <xlrd:rvb i="16304"/>
        </ext>
      </extLst>
    </bk>
    <bk>
      <extLst>
        <ext uri="{3e2802c4-a4d2-4d8b-9148-e3be6c30e623}">
          <xlrd:rvb i="16305"/>
        </ext>
      </extLst>
    </bk>
    <bk>
      <extLst>
        <ext uri="{3e2802c4-a4d2-4d8b-9148-e3be6c30e623}">
          <xlrd:rvb i="16306"/>
        </ext>
      </extLst>
    </bk>
    <bk>
      <extLst>
        <ext uri="{3e2802c4-a4d2-4d8b-9148-e3be6c30e623}">
          <xlrd:rvb i="16307"/>
        </ext>
      </extLst>
    </bk>
    <bk>
      <extLst>
        <ext uri="{3e2802c4-a4d2-4d8b-9148-e3be6c30e623}">
          <xlrd:rvb i="16308"/>
        </ext>
      </extLst>
    </bk>
    <bk>
      <extLst>
        <ext uri="{3e2802c4-a4d2-4d8b-9148-e3be6c30e623}">
          <xlrd:rvb i="16309"/>
        </ext>
      </extLst>
    </bk>
    <bk>
      <extLst>
        <ext uri="{3e2802c4-a4d2-4d8b-9148-e3be6c30e623}">
          <xlrd:rvb i="16310"/>
        </ext>
      </extLst>
    </bk>
    <bk>
      <extLst>
        <ext uri="{3e2802c4-a4d2-4d8b-9148-e3be6c30e623}">
          <xlrd:rvb i="16311"/>
        </ext>
      </extLst>
    </bk>
    <bk>
      <extLst>
        <ext uri="{3e2802c4-a4d2-4d8b-9148-e3be6c30e623}">
          <xlrd:rvb i="16312"/>
        </ext>
      </extLst>
    </bk>
    <bk>
      <extLst>
        <ext uri="{3e2802c4-a4d2-4d8b-9148-e3be6c30e623}">
          <xlrd:rvb i="16313"/>
        </ext>
      </extLst>
    </bk>
    <bk>
      <extLst>
        <ext uri="{3e2802c4-a4d2-4d8b-9148-e3be6c30e623}">
          <xlrd:rvb i="16314"/>
        </ext>
      </extLst>
    </bk>
    <bk>
      <extLst>
        <ext uri="{3e2802c4-a4d2-4d8b-9148-e3be6c30e623}">
          <xlrd:rvb i="16315"/>
        </ext>
      </extLst>
    </bk>
    <bk>
      <extLst>
        <ext uri="{3e2802c4-a4d2-4d8b-9148-e3be6c30e623}">
          <xlrd:rvb i="16316"/>
        </ext>
      </extLst>
    </bk>
    <bk>
      <extLst>
        <ext uri="{3e2802c4-a4d2-4d8b-9148-e3be6c30e623}">
          <xlrd:rvb i="16317"/>
        </ext>
      </extLst>
    </bk>
    <bk>
      <extLst>
        <ext uri="{3e2802c4-a4d2-4d8b-9148-e3be6c30e623}">
          <xlrd:rvb i="16318"/>
        </ext>
      </extLst>
    </bk>
    <bk>
      <extLst>
        <ext uri="{3e2802c4-a4d2-4d8b-9148-e3be6c30e623}">
          <xlrd:rvb i="16319"/>
        </ext>
      </extLst>
    </bk>
    <bk>
      <extLst>
        <ext uri="{3e2802c4-a4d2-4d8b-9148-e3be6c30e623}">
          <xlrd:rvb i="16320"/>
        </ext>
      </extLst>
    </bk>
    <bk>
      <extLst>
        <ext uri="{3e2802c4-a4d2-4d8b-9148-e3be6c30e623}">
          <xlrd:rvb i="16321"/>
        </ext>
      </extLst>
    </bk>
    <bk>
      <extLst>
        <ext uri="{3e2802c4-a4d2-4d8b-9148-e3be6c30e623}">
          <xlrd:rvb i="16322"/>
        </ext>
      </extLst>
    </bk>
    <bk>
      <extLst>
        <ext uri="{3e2802c4-a4d2-4d8b-9148-e3be6c30e623}">
          <xlrd:rvb i="16323"/>
        </ext>
      </extLst>
    </bk>
    <bk>
      <extLst>
        <ext uri="{3e2802c4-a4d2-4d8b-9148-e3be6c30e623}">
          <xlrd:rvb i="16324"/>
        </ext>
      </extLst>
    </bk>
    <bk>
      <extLst>
        <ext uri="{3e2802c4-a4d2-4d8b-9148-e3be6c30e623}">
          <xlrd:rvb i="16325"/>
        </ext>
      </extLst>
    </bk>
    <bk>
      <extLst>
        <ext uri="{3e2802c4-a4d2-4d8b-9148-e3be6c30e623}">
          <xlrd:rvb i="16326"/>
        </ext>
      </extLst>
    </bk>
    <bk>
      <extLst>
        <ext uri="{3e2802c4-a4d2-4d8b-9148-e3be6c30e623}">
          <xlrd:rvb i="16327"/>
        </ext>
      </extLst>
    </bk>
    <bk>
      <extLst>
        <ext uri="{3e2802c4-a4d2-4d8b-9148-e3be6c30e623}">
          <xlrd:rvb i="16328"/>
        </ext>
      </extLst>
    </bk>
    <bk>
      <extLst>
        <ext uri="{3e2802c4-a4d2-4d8b-9148-e3be6c30e623}">
          <xlrd:rvb i="16329"/>
        </ext>
      </extLst>
    </bk>
    <bk>
      <extLst>
        <ext uri="{3e2802c4-a4d2-4d8b-9148-e3be6c30e623}">
          <xlrd:rvb i="16330"/>
        </ext>
      </extLst>
    </bk>
    <bk>
      <extLst>
        <ext uri="{3e2802c4-a4d2-4d8b-9148-e3be6c30e623}">
          <xlrd:rvb i="16331"/>
        </ext>
      </extLst>
    </bk>
    <bk>
      <extLst>
        <ext uri="{3e2802c4-a4d2-4d8b-9148-e3be6c30e623}">
          <xlrd:rvb i="16332"/>
        </ext>
      </extLst>
    </bk>
    <bk>
      <extLst>
        <ext uri="{3e2802c4-a4d2-4d8b-9148-e3be6c30e623}">
          <xlrd:rvb i="16333"/>
        </ext>
      </extLst>
    </bk>
    <bk>
      <extLst>
        <ext uri="{3e2802c4-a4d2-4d8b-9148-e3be6c30e623}">
          <xlrd:rvb i="16334"/>
        </ext>
      </extLst>
    </bk>
    <bk>
      <extLst>
        <ext uri="{3e2802c4-a4d2-4d8b-9148-e3be6c30e623}">
          <xlrd:rvb i="16335"/>
        </ext>
      </extLst>
    </bk>
    <bk>
      <extLst>
        <ext uri="{3e2802c4-a4d2-4d8b-9148-e3be6c30e623}">
          <xlrd:rvb i="16336"/>
        </ext>
      </extLst>
    </bk>
    <bk>
      <extLst>
        <ext uri="{3e2802c4-a4d2-4d8b-9148-e3be6c30e623}">
          <xlrd:rvb i="16337"/>
        </ext>
      </extLst>
    </bk>
    <bk>
      <extLst>
        <ext uri="{3e2802c4-a4d2-4d8b-9148-e3be6c30e623}">
          <xlrd:rvb i="16338"/>
        </ext>
      </extLst>
    </bk>
    <bk>
      <extLst>
        <ext uri="{3e2802c4-a4d2-4d8b-9148-e3be6c30e623}">
          <xlrd:rvb i="16339"/>
        </ext>
      </extLst>
    </bk>
    <bk>
      <extLst>
        <ext uri="{3e2802c4-a4d2-4d8b-9148-e3be6c30e623}">
          <xlrd:rvb i="16340"/>
        </ext>
      </extLst>
    </bk>
    <bk>
      <extLst>
        <ext uri="{3e2802c4-a4d2-4d8b-9148-e3be6c30e623}">
          <xlrd:rvb i="16341"/>
        </ext>
      </extLst>
    </bk>
    <bk>
      <extLst>
        <ext uri="{3e2802c4-a4d2-4d8b-9148-e3be6c30e623}">
          <xlrd:rvb i="16342"/>
        </ext>
      </extLst>
    </bk>
    <bk>
      <extLst>
        <ext uri="{3e2802c4-a4d2-4d8b-9148-e3be6c30e623}">
          <xlrd:rvb i="16343"/>
        </ext>
      </extLst>
    </bk>
    <bk>
      <extLst>
        <ext uri="{3e2802c4-a4d2-4d8b-9148-e3be6c30e623}">
          <xlrd:rvb i="16344"/>
        </ext>
      </extLst>
    </bk>
    <bk>
      <extLst>
        <ext uri="{3e2802c4-a4d2-4d8b-9148-e3be6c30e623}">
          <xlrd:rvb i="16345"/>
        </ext>
      </extLst>
    </bk>
    <bk>
      <extLst>
        <ext uri="{3e2802c4-a4d2-4d8b-9148-e3be6c30e623}">
          <xlrd:rvb i="16346"/>
        </ext>
      </extLst>
    </bk>
    <bk>
      <extLst>
        <ext uri="{3e2802c4-a4d2-4d8b-9148-e3be6c30e623}">
          <xlrd:rvb i="16347"/>
        </ext>
      </extLst>
    </bk>
    <bk>
      <extLst>
        <ext uri="{3e2802c4-a4d2-4d8b-9148-e3be6c30e623}">
          <xlrd:rvb i="16348"/>
        </ext>
      </extLst>
    </bk>
    <bk>
      <extLst>
        <ext uri="{3e2802c4-a4d2-4d8b-9148-e3be6c30e623}">
          <xlrd:rvb i="16349"/>
        </ext>
      </extLst>
    </bk>
    <bk>
      <extLst>
        <ext uri="{3e2802c4-a4d2-4d8b-9148-e3be6c30e623}">
          <xlrd:rvb i="16350"/>
        </ext>
      </extLst>
    </bk>
    <bk>
      <extLst>
        <ext uri="{3e2802c4-a4d2-4d8b-9148-e3be6c30e623}">
          <xlrd:rvb i="16351"/>
        </ext>
      </extLst>
    </bk>
    <bk>
      <extLst>
        <ext uri="{3e2802c4-a4d2-4d8b-9148-e3be6c30e623}">
          <xlrd:rvb i="16352"/>
        </ext>
      </extLst>
    </bk>
    <bk>
      <extLst>
        <ext uri="{3e2802c4-a4d2-4d8b-9148-e3be6c30e623}">
          <xlrd:rvb i="16353"/>
        </ext>
      </extLst>
    </bk>
    <bk>
      <extLst>
        <ext uri="{3e2802c4-a4d2-4d8b-9148-e3be6c30e623}">
          <xlrd:rvb i="16354"/>
        </ext>
      </extLst>
    </bk>
    <bk>
      <extLst>
        <ext uri="{3e2802c4-a4d2-4d8b-9148-e3be6c30e623}">
          <xlrd:rvb i="16355"/>
        </ext>
      </extLst>
    </bk>
    <bk>
      <extLst>
        <ext uri="{3e2802c4-a4d2-4d8b-9148-e3be6c30e623}">
          <xlrd:rvb i="16356"/>
        </ext>
      </extLst>
    </bk>
    <bk>
      <extLst>
        <ext uri="{3e2802c4-a4d2-4d8b-9148-e3be6c30e623}">
          <xlrd:rvb i="16357"/>
        </ext>
      </extLst>
    </bk>
    <bk>
      <extLst>
        <ext uri="{3e2802c4-a4d2-4d8b-9148-e3be6c30e623}">
          <xlrd:rvb i="16358"/>
        </ext>
      </extLst>
    </bk>
    <bk>
      <extLst>
        <ext uri="{3e2802c4-a4d2-4d8b-9148-e3be6c30e623}">
          <xlrd:rvb i="16359"/>
        </ext>
      </extLst>
    </bk>
    <bk>
      <extLst>
        <ext uri="{3e2802c4-a4d2-4d8b-9148-e3be6c30e623}">
          <xlrd:rvb i="16360"/>
        </ext>
      </extLst>
    </bk>
    <bk>
      <extLst>
        <ext uri="{3e2802c4-a4d2-4d8b-9148-e3be6c30e623}">
          <xlrd:rvb i="16361"/>
        </ext>
      </extLst>
    </bk>
    <bk>
      <extLst>
        <ext uri="{3e2802c4-a4d2-4d8b-9148-e3be6c30e623}">
          <xlrd:rvb i="16362"/>
        </ext>
      </extLst>
    </bk>
    <bk>
      <extLst>
        <ext uri="{3e2802c4-a4d2-4d8b-9148-e3be6c30e623}">
          <xlrd:rvb i="16363"/>
        </ext>
      </extLst>
    </bk>
    <bk>
      <extLst>
        <ext uri="{3e2802c4-a4d2-4d8b-9148-e3be6c30e623}">
          <xlrd:rvb i="16364"/>
        </ext>
      </extLst>
    </bk>
    <bk>
      <extLst>
        <ext uri="{3e2802c4-a4d2-4d8b-9148-e3be6c30e623}">
          <xlrd:rvb i="16365"/>
        </ext>
      </extLst>
    </bk>
    <bk>
      <extLst>
        <ext uri="{3e2802c4-a4d2-4d8b-9148-e3be6c30e623}">
          <xlrd:rvb i="16366"/>
        </ext>
      </extLst>
    </bk>
    <bk>
      <extLst>
        <ext uri="{3e2802c4-a4d2-4d8b-9148-e3be6c30e623}">
          <xlrd:rvb i="16367"/>
        </ext>
      </extLst>
    </bk>
    <bk>
      <extLst>
        <ext uri="{3e2802c4-a4d2-4d8b-9148-e3be6c30e623}">
          <xlrd:rvb i="16368"/>
        </ext>
      </extLst>
    </bk>
    <bk>
      <extLst>
        <ext uri="{3e2802c4-a4d2-4d8b-9148-e3be6c30e623}">
          <xlrd:rvb i="16369"/>
        </ext>
      </extLst>
    </bk>
    <bk>
      <extLst>
        <ext uri="{3e2802c4-a4d2-4d8b-9148-e3be6c30e623}">
          <xlrd:rvb i="16370"/>
        </ext>
      </extLst>
    </bk>
    <bk>
      <extLst>
        <ext uri="{3e2802c4-a4d2-4d8b-9148-e3be6c30e623}">
          <xlrd:rvb i="16371"/>
        </ext>
      </extLst>
    </bk>
    <bk>
      <extLst>
        <ext uri="{3e2802c4-a4d2-4d8b-9148-e3be6c30e623}">
          <xlrd:rvb i="16372"/>
        </ext>
      </extLst>
    </bk>
    <bk>
      <extLst>
        <ext uri="{3e2802c4-a4d2-4d8b-9148-e3be6c30e623}">
          <xlrd:rvb i="16373"/>
        </ext>
      </extLst>
    </bk>
    <bk>
      <extLst>
        <ext uri="{3e2802c4-a4d2-4d8b-9148-e3be6c30e623}">
          <xlrd:rvb i="16374"/>
        </ext>
      </extLst>
    </bk>
    <bk>
      <extLst>
        <ext uri="{3e2802c4-a4d2-4d8b-9148-e3be6c30e623}">
          <xlrd:rvb i="16375"/>
        </ext>
      </extLst>
    </bk>
    <bk>
      <extLst>
        <ext uri="{3e2802c4-a4d2-4d8b-9148-e3be6c30e623}">
          <xlrd:rvb i="16376"/>
        </ext>
      </extLst>
    </bk>
    <bk>
      <extLst>
        <ext uri="{3e2802c4-a4d2-4d8b-9148-e3be6c30e623}">
          <xlrd:rvb i="16377"/>
        </ext>
      </extLst>
    </bk>
    <bk>
      <extLst>
        <ext uri="{3e2802c4-a4d2-4d8b-9148-e3be6c30e623}">
          <xlrd:rvb i="16378"/>
        </ext>
      </extLst>
    </bk>
    <bk>
      <extLst>
        <ext uri="{3e2802c4-a4d2-4d8b-9148-e3be6c30e623}">
          <xlrd:rvb i="16379"/>
        </ext>
      </extLst>
    </bk>
    <bk>
      <extLst>
        <ext uri="{3e2802c4-a4d2-4d8b-9148-e3be6c30e623}">
          <xlrd:rvb i="16380"/>
        </ext>
      </extLst>
    </bk>
    <bk>
      <extLst>
        <ext uri="{3e2802c4-a4d2-4d8b-9148-e3be6c30e623}">
          <xlrd:rvb i="16381"/>
        </ext>
      </extLst>
    </bk>
    <bk>
      <extLst>
        <ext uri="{3e2802c4-a4d2-4d8b-9148-e3be6c30e623}">
          <xlrd:rvb i="16382"/>
        </ext>
      </extLst>
    </bk>
    <bk>
      <extLst>
        <ext uri="{3e2802c4-a4d2-4d8b-9148-e3be6c30e623}">
          <xlrd:rvb i="16383"/>
        </ext>
      </extLst>
    </bk>
    <bk>
      <extLst>
        <ext uri="{3e2802c4-a4d2-4d8b-9148-e3be6c30e623}">
          <xlrd:rvb i="16384"/>
        </ext>
      </extLst>
    </bk>
    <bk>
      <extLst>
        <ext uri="{3e2802c4-a4d2-4d8b-9148-e3be6c30e623}">
          <xlrd:rvb i="16385"/>
        </ext>
      </extLst>
    </bk>
    <bk>
      <extLst>
        <ext uri="{3e2802c4-a4d2-4d8b-9148-e3be6c30e623}">
          <xlrd:rvb i="16386"/>
        </ext>
      </extLst>
    </bk>
    <bk>
      <extLst>
        <ext uri="{3e2802c4-a4d2-4d8b-9148-e3be6c30e623}">
          <xlrd:rvb i="16387"/>
        </ext>
      </extLst>
    </bk>
    <bk>
      <extLst>
        <ext uri="{3e2802c4-a4d2-4d8b-9148-e3be6c30e623}">
          <xlrd:rvb i="16388"/>
        </ext>
      </extLst>
    </bk>
    <bk>
      <extLst>
        <ext uri="{3e2802c4-a4d2-4d8b-9148-e3be6c30e623}">
          <xlrd:rvb i="16389"/>
        </ext>
      </extLst>
    </bk>
    <bk>
      <extLst>
        <ext uri="{3e2802c4-a4d2-4d8b-9148-e3be6c30e623}">
          <xlrd:rvb i="16390"/>
        </ext>
      </extLst>
    </bk>
    <bk>
      <extLst>
        <ext uri="{3e2802c4-a4d2-4d8b-9148-e3be6c30e623}">
          <xlrd:rvb i="16391"/>
        </ext>
      </extLst>
    </bk>
    <bk>
      <extLst>
        <ext uri="{3e2802c4-a4d2-4d8b-9148-e3be6c30e623}">
          <xlrd:rvb i="16392"/>
        </ext>
      </extLst>
    </bk>
    <bk>
      <extLst>
        <ext uri="{3e2802c4-a4d2-4d8b-9148-e3be6c30e623}">
          <xlrd:rvb i="16393"/>
        </ext>
      </extLst>
    </bk>
    <bk>
      <extLst>
        <ext uri="{3e2802c4-a4d2-4d8b-9148-e3be6c30e623}">
          <xlrd:rvb i="16394"/>
        </ext>
      </extLst>
    </bk>
    <bk>
      <extLst>
        <ext uri="{3e2802c4-a4d2-4d8b-9148-e3be6c30e623}">
          <xlrd:rvb i="16395"/>
        </ext>
      </extLst>
    </bk>
    <bk>
      <extLst>
        <ext uri="{3e2802c4-a4d2-4d8b-9148-e3be6c30e623}">
          <xlrd:rvb i="16396"/>
        </ext>
      </extLst>
    </bk>
    <bk>
      <extLst>
        <ext uri="{3e2802c4-a4d2-4d8b-9148-e3be6c30e623}">
          <xlrd:rvb i="16397"/>
        </ext>
      </extLst>
    </bk>
    <bk>
      <extLst>
        <ext uri="{3e2802c4-a4d2-4d8b-9148-e3be6c30e623}">
          <xlrd:rvb i="16398"/>
        </ext>
      </extLst>
    </bk>
    <bk>
      <extLst>
        <ext uri="{3e2802c4-a4d2-4d8b-9148-e3be6c30e623}">
          <xlrd:rvb i="16399"/>
        </ext>
      </extLst>
    </bk>
    <bk>
      <extLst>
        <ext uri="{3e2802c4-a4d2-4d8b-9148-e3be6c30e623}">
          <xlrd:rvb i="16400"/>
        </ext>
      </extLst>
    </bk>
    <bk>
      <extLst>
        <ext uri="{3e2802c4-a4d2-4d8b-9148-e3be6c30e623}">
          <xlrd:rvb i="16401"/>
        </ext>
      </extLst>
    </bk>
    <bk>
      <extLst>
        <ext uri="{3e2802c4-a4d2-4d8b-9148-e3be6c30e623}">
          <xlrd:rvb i="16402"/>
        </ext>
      </extLst>
    </bk>
    <bk>
      <extLst>
        <ext uri="{3e2802c4-a4d2-4d8b-9148-e3be6c30e623}">
          <xlrd:rvb i="16403"/>
        </ext>
      </extLst>
    </bk>
    <bk>
      <extLst>
        <ext uri="{3e2802c4-a4d2-4d8b-9148-e3be6c30e623}">
          <xlrd:rvb i="16404"/>
        </ext>
      </extLst>
    </bk>
    <bk>
      <extLst>
        <ext uri="{3e2802c4-a4d2-4d8b-9148-e3be6c30e623}">
          <xlrd:rvb i="16405"/>
        </ext>
      </extLst>
    </bk>
    <bk>
      <extLst>
        <ext uri="{3e2802c4-a4d2-4d8b-9148-e3be6c30e623}">
          <xlrd:rvb i="16406"/>
        </ext>
      </extLst>
    </bk>
    <bk>
      <extLst>
        <ext uri="{3e2802c4-a4d2-4d8b-9148-e3be6c30e623}">
          <xlrd:rvb i="16407"/>
        </ext>
      </extLst>
    </bk>
    <bk>
      <extLst>
        <ext uri="{3e2802c4-a4d2-4d8b-9148-e3be6c30e623}">
          <xlrd:rvb i="16408"/>
        </ext>
      </extLst>
    </bk>
    <bk>
      <extLst>
        <ext uri="{3e2802c4-a4d2-4d8b-9148-e3be6c30e623}">
          <xlrd:rvb i="16409"/>
        </ext>
      </extLst>
    </bk>
    <bk>
      <extLst>
        <ext uri="{3e2802c4-a4d2-4d8b-9148-e3be6c30e623}">
          <xlrd:rvb i="16410"/>
        </ext>
      </extLst>
    </bk>
    <bk>
      <extLst>
        <ext uri="{3e2802c4-a4d2-4d8b-9148-e3be6c30e623}">
          <xlrd:rvb i="16411"/>
        </ext>
      </extLst>
    </bk>
    <bk>
      <extLst>
        <ext uri="{3e2802c4-a4d2-4d8b-9148-e3be6c30e623}">
          <xlrd:rvb i="16412"/>
        </ext>
      </extLst>
    </bk>
    <bk>
      <extLst>
        <ext uri="{3e2802c4-a4d2-4d8b-9148-e3be6c30e623}">
          <xlrd:rvb i="16413"/>
        </ext>
      </extLst>
    </bk>
    <bk>
      <extLst>
        <ext uri="{3e2802c4-a4d2-4d8b-9148-e3be6c30e623}">
          <xlrd:rvb i="16414"/>
        </ext>
      </extLst>
    </bk>
    <bk>
      <extLst>
        <ext uri="{3e2802c4-a4d2-4d8b-9148-e3be6c30e623}">
          <xlrd:rvb i="16415"/>
        </ext>
      </extLst>
    </bk>
    <bk>
      <extLst>
        <ext uri="{3e2802c4-a4d2-4d8b-9148-e3be6c30e623}">
          <xlrd:rvb i="16416"/>
        </ext>
      </extLst>
    </bk>
    <bk>
      <extLst>
        <ext uri="{3e2802c4-a4d2-4d8b-9148-e3be6c30e623}">
          <xlrd:rvb i="16417"/>
        </ext>
      </extLst>
    </bk>
    <bk>
      <extLst>
        <ext uri="{3e2802c4-a4d2-4d8b-9148-e3be6c30e623}">
          <xlrd:rvb i="16418"/>
        </ext>
      </extLst>
    </bk>
    <bk>
      <extLst>
        <ext uri="{3e2802c4-a4d2-4d8b-9148-e3be6c30e623}">
          <xlrd:rvb i="16419"/>
        </ext>
      </extLst>
    </bk>
    <bk>
      <extLst>
        <ext uri="{3e2802c4-a4d2-4d8b-9148-e3be6c30e623}">
          <xlrd:rvb i="16420"/>
        </ext>
      </extLst>
    </bk>
    <bk>
      <extLst>
        <ext uri="{3e2802c4-a4d2-4d8b-9148-e3be6c30e623}">
          <xlrd:rvb i="16421"/>
        </ext>
      </extLst>
    </bk>
    <bk>
      <extLst>
        <ext uri="{3e2802c4-a4d2-4d8b-9148-e3be6c30e623}">
          <xlrd:rvb i="16422"/>
        </ext>
      </extLst>
    </bk>
    <bk>
      <extLst>
        <ext uri="{3e2802c4-a4d2-4d8b-9148-e3be6c30e623}">
          <xlrd:rvb i="16423"/>
        </ext>
      </extLst>
    </bk>
    <bk>
      <extLst>
        <ext uri="{3e2802c4-a4d2-4d8b-9148-e3be6c30e623}">
          <xlrd:rvb i="16424"/>
        </ext>
      </extLst>
    </bk>
    <bk>
      <extLst>
        <ext uri="{3e2802c4-a4d2-4d8b-9148-e3be6c30e623}">
          <xlrd:rvb i="16425"/>
        </ext>
      </extLst>
    </bk>
    <bk>
      <extLst>
        <ext uri="{3e2802c4-a4d2-4d8b-9148-e3be6c30e623}">
          <xlrd:rvb i="16426"/>
        </ext>
      </extLst>
    </bk>
    <bk>
      <extLst>
        <ext uri="{3e2802c4-a4d2-4d8b-9148-e3be6c30e623}">
          <xlrd:rvb i="16427"/>
        </ext>
      </extLst>
    </bk>
    <bk>
      <extLst>
        <ext uri="{3e2802c4-a4d2-4d8b-9148-e3be6c30e623}">
          <xlrd:rvb i="16428"/>
        </ext>
      </extLst>
    </bk>
    <bk>
      <extLst>
        <ext uri="{3e2802c4-a4d2-4d8b-9148-e3be6c30e623}">
          <xlrd:rvb i="16429"/>
        </ext>
      </extLst>
    </bk>
    <bk>
      <extLst>
        <ext uri="{3e2802c4-a4d2-4d8b-9148-e3be6c30e623}">
          <xlrd:rvb i="16430"/>
        </ext>
      </extLst>
    </bk>
    <bk>
      <extLst>
        <ext uri="{3e2802c4-a4d2-4d8b-9148-e3be6c30e623}">
          <xlrd:rvb i="16431"/>
        </ext>
      </extLst>
    </bk>
    <bk>
      <extLst>
        <ext uri="{3e2802c4-a4d2-4d8b-9148-e3be6c30e623}">
          <xlrd:rvb i="16432"/>
        </ext>
      </extLst>
    </bk>
    <bk>
      <extLst>
        <ext uri="{3e2802c4-a4d2-4d8b-9148-e3be6c30e623}">
          <xlrd:rvb i="16433"/>
        </ext>
      </extLst>
    </bk>
    <bk>
      <extLst>
        <ext uri="{3e2802c4-a4d2-4d8b-9148-e3be6c30e623}">
          <xlrd:rvb i="16434"/>
        </ext>
      </extLst>
    </bk>
    <bk>
      <extLst>
        <ext uri="{3e2802c4-a4d2-4d8b-9148-e3be6c30e623}">
          <xlrd:rvb i="16435"/>
        </ext>
      </extLst>
    </bk>
    <bk>
      <extLst>
        <ext uri="{3e2802c4-a4d2-4d8b-9148-e3be6c30e623}">
          <xlrd:rvb i="16436"/>
        </ext>
      </extLst>
    </bk>
    <bk>
      <extLst>
        <ext uri="{3e2802c4-a4d2-4d8b-9148-e3be6c30e623}">
          <xlrd:rvb i="16437"/>
        </ext>
      </extLst>
    </bk>
    <bk>
      <extLst>
        <ext uri="{3e2802c4-a4d2-4d8b-9148-e3be6c30e623}">
          <xlrd:rvb i="16438"/>
        </ext>
      </extLst>
    </bk>
    <bk>
      <extLst>
        <ext uri="{3e2802c4-a4d2-4d8b-9148-e3be6c30e623}">
          <xlrd:rvb i="16439"/>
        </ext>
      </extLst>
    </bk>
    <bk>
      <extLst>
        <ext uri="{3e2802c4-a4d2-4d8b-9148-e3be6c30e623}">
          <xlrd:rvb i="16440"/>
        </ext>
      </extLst>
    </bk>
    <bk>
      <extLst>
        <ext uri="{3e2802c4-a4d2-4d8b-9148-e3be6c30e623}">
          <xlrd:rvb i="16441"/>
        </ext>
      </extLst>
    </bk>
    <bk>
      <extLst>
        <ext uri="{3e2802c4-a4d2-4d8b-9148-e3be6c30e623}">
          <xlrd:rvb i="16442"/>
        </ext>
      </extLst>
    </bk>
    <bk>
      <extLst>
        <ext uri="{3e2802c4-a4d2-4d8b-9148-e3be6c30e623}">
          <xlrd:rvb i="16443"/>
        </ext>
      </extLst>
    </bk>
    <bk>
      <extLst>
        <ext uri="{3e2802c4-a4d2-4d8b-9148-e3be6c30e623}">
          <xlrd:rvb i="16444"/>
        </ext>
      </extLst>
    </bk>
    <bk>
      <extLst>
        <ext uri="{3e2802c4-a4d2-4d8b-9148-e3be6c30e623}">
          <xlrd:rvb i="16445"/>
        </ext>
      </extLst>
    </bk>
    <bk>
      <extLst>
        <ext uri="{3e2802c4-a4d2-4d8b-9148-e3be6c30e623}">
          <xlrd:rvb i="16446"/>
        </ext>
      </extLst>
    </bk>
    <bk>
      <extLst>
        <ext uri="{3e2802c4-a4d2-4d8b-9148-e3be6c30e623}">
          <xlrd:rvb i="16447"/>
        </ext>
      </extLst>
    </bk>
    <bk>
      <extLst>
        <ext uri="{3e2802c4-a4d2-4d8b-9148-e3be6c30e623}">
          <xlrd:rvb i="16448"/>
        </ext>
      </extLst>
    </bk>
    <bk>
      <extLst>
        <ext uri="{3e2802c4-a4d2-4d8b-9148-e3be6c30e623}">
          <xlrd:rvb i="16449"/>
        </ext>
      </extLst>
    </bk>
    <bk>
      <extLst>
        <ext uri="{3e2802c4-a4d2-4d8b-9148-e3be6c30e623}">
          <xlrd:rvb i="16450"/>
        </ext>
      </extLst>
    </bk>
    <bk>
      <extLst>
        <ext uri="{3e2802c4-a4d2-4d8b-9148-e3be6c30e623}">
          <xlrd:rvb i="16451"/>
        </ext>
      </extLst>
    </bk>
    <bk>
      <extLst>
        <ext uri="{3e2802c4-a4d2-4d8b-9148-e3be6c30e623}">
          <xlrd:rvb i="16452"/>
        </ext>
      </extLst>
    </bk>
    <bk>
      <extLst>
        <ext uri="{3e2802c4-a4d2-4d8b-9148-e3be6c30e623}">
          <xlrd:rvb i="16453"/>
        </ext>
      </extLst>
    </bk>
    <bk>
      <extLst>
        <ext uri="{3e2802c4-a4d2-4d8b-9148-e3be6c30e623}">
          <xlrd:rvb i="16454"/>
        </ext>
      </extLst>
    </bk>
    <bk>
      <extLst>
        <ext uri="{3e2802c4-a4d2-4d8b-9148-e3be6c30e623}">
          <xlrd:rvb i="16455"/>
        </ext>
      </extLst>
    </bk>
    <bk>
      <extLst>
        <ext uri="{3e2802c4-a4d2-4d8b-9148-e3be6c30e623}">
          <xlrd:rvb i="16456"/>
        </ext>
      </extLst>
    </bk>
    <bk>
      <extLst>
        <ext uri="{3e2802c4-a4d2-4d8b-9148-e3be6c30e623}">
          <xlrd:rvb i="16457"/>
        </ext>
      </extLst>
    </bk>
    <bk>
      <extLst>
        <ext uri="{3e2802c4-a4d2-4d8b-9148-e3be6c30e623}">
          <xlrd:rvb i="16458"/>
        </ext>
      </extLst>
    </bk>
    <bk>
      <extLst>
        <ext uri="{3e2802c4-a4d2-4d8b-9148-e3be6c30e623}">
          <xlrd:rvb i="16459"/>
        </ext>
      </extLst>
    </bk>
    <bk>
      <extLst>
        <ext uri="{3e2802c4-a4d2-4d8b-9148-e3be6c30e623}">
          <xlrd:rvb i="16460"/>
        </ext>
      </extLst>
    </bk>
    <bk>
      <extLst>
        <ext uri="{3e2802c4-a4d2-4d8b-9148-e3be6c30e623}">
          <xlrd:rvb i="16461"/>
        </ext>
      </extLst>
    </bk>
    <bk>
      <extLst>
        <ext uri="{3e2802c4-a4d2-4d8b-9148-e3be6c30e623}">
          <xlrd:rvb i="16462"/>
        </ext>
      </extLst>
    </bk>
    <bk>
      <extLst>
        <ext uri="{3e2802c4-a4d2-4d8b-9148-e3be6c30e623}">
          <xlrd:rvb i="16463"/>
        </ext>
      </extLst>
    </bk>
    <bk>
      <extLst>
        <ext uri="{3e2802c4-a4d2-4d8b-9148-e3be6c30e623}">
          <xlrd:rvb i="16464"/>
        </ext>
      </extLst>
    </bk>
    <bk>
      <extLst>
        <ext uri="{3e2802c4-a4d2-4d8b-9148-e3be6c30e623}">
          <xlrd:rvb i="16465"/>
        </ext>
      </extLst>
    </bk>
    <bk>
      <extLst>
        <ext uri="{3e2802c4-a4d2-4d8b-9148-e3be6c30e623}">
          <xlrd:rvb i="16466"/>
        </ext>
      </extLst>
    </bk>
    <bk>
      <extLst>
        <ext uri="{3e2802c4-a4d2-4d8b-9148-e3be6c30e623}">
          <xlrd:rvb i="16467"/>
        </ext>
      </extLst>
    </bk>
    <bk>
      <extLst>
        <ext uri="{3e2802c4-a4d2-4d8b-9148-e3be6c30e623}">
          <xlrd:rvb i="16468"/>
        </ext>
      </extLst>
    </bk>
    <bk>
      <extLst>
        <ext uri="{3e2802c4-a4d2-4d8b-9148-e3be6c30e623}">
          <xlrd:rvb i="16469"/>
        </ext>
      </extLst>
    </bk>
    <bk>
      <extLst>
        <ext uri="{3e2802c4-a4d2-4d8b-9148-e3be6c30e623}">
          <xlrd:rvb i="16470"/>
        </ext>
      </extLst>
    </bk>
    <bk>
      <extLst>
        <ext uri="{3e2802c4-a4d2-4d8b-9148-e3be6c30e623}">
          <xlrd:rvb i="16471"/>
        </ext>
      </extLst>
    </bk>
    <bk>
      <extLst>
        <ext uri="{3e2802c4-a4d2-4d8b-9148-e3be6c30e623}">
          <xlrd:rvb i="16472"/>
        </ext>
      </extLst>
    </bk>
    <bk>
      <extLst>
        <ext uri="{3e2802c4-a4d2-4d8b-9148-e3be6c30e623}">
          <xlrd:rvb i="16473"/>
        </ext>
      </extLst>
    </bk>
    <bk>
      <extLst>
        <ext uri="{3e2802c4-a4d2-4d8b-9148-e3be6c30e623}">
          <xlrd:rvb i="16474"/>
        </ext>
      </extLst>
    </bk>
    <bk>
      <extLst>
        <ext uri="{3e2802c4-a4d2-4d8b-9148-e3be6c30e623}">
          <xlrd:rvb i="16475"/>
        </ext>
      </extLst>
    </bk>
    <bk>
      <extLst>
        <ext uri="{3e2802c4-a4d2-4d8b-9148-e3be6c30e623}">
          <xlrd:rvb i="16476"/>
        </ext>
      </extLst>
    </bk>
    <bk>
      <extLst>
        <ext uri="{3e2802c4-a4d2-4d8b-9148-e3be6c30e623}">
          <xlrd:rvb i="16477"/>
        </ext>
      </extLst>
    </bk>
    <bk>
      <extLst>
        <ext uri="{3e2802c4-a4d2-4d8b-9148-e3be6c30e623}">
          <xlrd:rvb i="16478"/>
        </ext>
      </extLst>
    </bk>
    <bk>
      <extLst>
        <ext uri="{3e2802c4-a4d2-4d8b-9148-e3be6c30e623}">
          <xlrd:rvb i="16479"/>
        </ext>
      </extLst>
    </bk>
    <bk>
      <extLst>
        <ext uri="{3e2802c4-a4d2-4d8b-9148-e3be6c30e623}">
          <xlrd:rvb i="16480"/>
        </ext>
      </extLst>
    </bk>
    <bk>
      <extLst>
        <ext uri="{3e2802c4-a4d2-4d8b-9148-e3be6c30e623}">
          <xlrd:rvb i="16481"/>
        </ext>
      </extLst>
    </bk>
    <bk>
      <extLst>
        <ext uri="{3e2802c4-a4d2-4d8b-9148-e3be6c30e623}">
          <xlrd:rvb i="16482"/>
        </ext>
      </extLst>
    </bk>
    <bk>
      <extLst>
        <ext uri="{3e2802c4-a4d2-4d8b-9148-e3be6c30e623}">
          <xlrd:rvb i="16483"/>
        </ext>
      </extLst>
    </bk>
    <bk>
      <extLst>
        <ext uri="{3e2802c4-a4d2-4d8b-9148-e3be6c30e623}">
          <xlrd:rvb i="16484"/>
        </ext>
      </extLst>
    </bk>
    <bk>
      <extLst>
        <ext uri="{3e2802c4-a4d2-4d8b-9148-e3be6c30e623}">
          <xlrd:rvb i="16485"/>
        </ext>
      </extLst>
    </bk>
    <bk>
      <extLst>
        <ext uri="{3e2802c4-a4d2-4d8b-9148-e3be6c30e623}">
          <xlrd:rvb i="16486"/>
        </ext>
      </extLst>
    </bk>
    <bk>
      <extLst>
        <ext uri="{3e2802c4-a4d2-4d8b-9148-e3be6c30e623}">
          <xlrd:rvb i="16487"/>
        </ext>
      </extLst>
    </bk>
    <bk>
      <extLst>
        <ext uri="{3e2802c4-a4d2-4d8b-9148-e3be6c30e623}">
          <xlrd:rvb i="16488"/>
        </ext>
      </extLst>
    </bk>
    <bk>
      <extLst>
        <ext uri="{3e2802c4-a4d2-4d8b-9148-e3be6c30e623}">
          <xlrd:rvb i="16489"/>
        </ext>
      </extLst>
    </bk>
    <bk>
      <extLst>
        <ext uri="{3e2802c4-a4d2-4d8b-9148-e3be6c30e623}">
          <xlrd:rvb i="16490"/>
        </ext>
      </extLst>
    </bk>
    <bk>
      <extLst>
        <ext uri="{3e2802c4-a4d2-4d8b-9148-e3be6c30e623}">
          <xlrd:rvb i="16491"/>
        </ext>
      </extLst>
    </bk>
    <bk>
      <extLst>
        <ext uri="{3e2802c4-a4d2-4d8b-9148-e3be6c30e623}">
          <xlrd:rvb i="16492"/>
        </ext>
      </extLst>
    </bk>
    <bk>
      <extLst>
        <ext uri="{3e2802c4-a4d2-4d8b-9148-e3be6c30e623}">
          <xlrd:rvb i="16493"/>
        </ext>
      </extLst>
    </bk>
    <bk>
      <extLst>
        <ext uri="{3e2802c4-a4d2-4d8b-9148-e3be6c30e623}">
          <xlrd:rvb i="16494"/>
        </ext>
      </extLst>
    </bk>
    <bk>
      <extLst>
        <ext uri="{3e2802c4-a4d2-4d8b-9148-e3be6c30e623}">
          <xlrd:rvb i="16495"/>
        </ext>
      </extLst>
    </bk>
    <bk>
      <extLst>
        <ext uri="{3e2802c4-a4d2-4d8b-9148-e3be6c30e623}">
          <xlrd:rvb i="16496"/>
        </ext>
      </extLst>
    </bk>
    <bk>
      <extLst>
        <ext uri="{3e2802c4-a4d2-4d8b-9148-e3be6c30e623}">
          <xlrd:rvb i="16497"/>
        </ext>
      </extLst>
    </bk>
    <bk>
      <extLst>
        <ext uri="{3e2802c4-a4d2-4d8b-9148-e3be6c30e623}">
          <xlrd:rvb i="16498"/>
        </ext>
      </extLst>
    </bk>
    <bk>
      <extLst>
        <ext uri="{3e2802c4-a4d2-4d8b-9148-e3be6c30e623}">
          <xlrd:rvb i="16499"/>
        </ext>
      </extLst>
    </bk>
    <bk>
      <extLst>
        <ext uri="{3e2802c4-a4d2-4d8b-9148-e3be6c30e623}">
          <xlrd:rvb i="16500"/>
        </ext>
      </extLst>
    </bk>
    <bk>
      <extLst>
        <ext uri="{3e2802c4-a4d2-4d8b-9148-e3be6c30e623}">
          <xlrd:rvb i="16501"/>
        </ext>
      </extLst>
    </bk>
    <bk>
      <extLst>
        <ext uri="{3e2802c4-a4d2-4d8b-9148-e3be6c30e623}">
          <xlrd:rvb i="16502"/>
        </ext>
      </extLst>
    </bk>
    <bk>
      <extLst>
        <ext uri="{3e2802c4-a4d2-4d8b-9148-e3be6c30e623}">
          <xlrd:rvb i="16503"/>
        </ext>
      </extLst>
    </bk>
    <bk>
      <extLst>
        <ext uri="{3e2802c4-a4d2-4d8b-9148-e3be6c30e623}">
          <xlrd:rvb i="16504"/>
        </ext>
      </extLst>
    </bk>
    <bk>
      <extLst>
        <ext uri="{3e2802c4-a4d2-4d8b-9148-e3be6c30e623}">
          <xlrd:rvb i="16505"/>
        </ext>
      </extLst>
    </bk>
    <bk>
      <extLst>
        <ext uri="{3e2802c4-a4d2-4d8b-9148-e3be6c30e623}">
          <xlrd:rvb i="16506"/>
        </ext>
      </extLst>
    </bk>
    <bk>
      <extLst>
        <ext uri="{3e2802c4-a4d2-4d8b-9148-e3be6c30e623}">
          <xlrd:rvb i="16507"/>
        </ext>
      </extLst>
    </bk>
    <bk>
      <extLst>
        <ext uri="{3e2802c4-a4d2-4d8b-9148-e3be6c30e623}">
          <xlrd:rvb i="16508"/>
        </ext>
      </extLst>
    </bk>
    <bk>
      <extLst>
        <ext uri="{3e2802c4-a4d2-4d8b-9148-e3be6c30e623}">
          <xlrd:rvb i="16509"/>
        </ext>
      </extLst>
    </bk>
    <bk>
      <extLst>
        <ext uri="{3e2802c4-a4d2-4d8b-9148-e3be6c30e623}">
          <xlrd:rvb i="16510"/>
        </ext>
      </extLst>
    </bk>
    <bk>
      <extLst>
        <ext uri="{3e2802c4-a4d2-4d8b-9148-e3be6c30e623}">
          <xlrd:rvb i="16511"/>
        </ext>
      </extLst>
    </bk>
    <bk>
      <extLst>
        <ext uri="{3e2802c4-a4d2-4d8b-9148-e3be6c30e623}">
          <xlrd:rvb i="16512"/>
        </ext>
      </extLst>
    </bk>
    <bk>
      <extLst>
        <ext uri="{3e2802c4-a4d2-4d8b-9148-e3be6c30e623}">
          <xlrd:rvb i="16513"/>
        </ext>
      </extLst>
    </bk>
    <bk>
      <extLst>
        <ext uri="{3e2802c4-a4d2-4d8b-9148-e3be6c30e623}">
          <xlrd:rvb i="16514"/>
        </ext>
      </extLst>
    </bk>
    <bk>
      <extLst>
        <ext uri="{3e2802c4-a4d2-4d8b-9148-e3be6c30e623}">
          <xlrd:rvb i="16515"/>
        </ext>
      </extLst>
    </bk>
    <bk>
      <extLst>
        <ext uri="{3e2802c4-a4d2-4d8b-9148-e3be6c30e623}">
          <xlrd:rvb i="16516"/>
        </ext>
      </extLst>
    </bk>
    <bk>
      <extLst>
        <ext uri="{3e2802c4-a4d2-4d8b-9148-e3be6c30e623}">
          <xlrd:rvb i="16517"/>
        </ext>
      </extLst>
    </bk>
    <bk>
      <extLst>
        <ext uri="{3e2802c4-a4d2-4d8b-9148-e3be6c30e623}">
          <xlrd:rvb i="16518"/>
        </ext>
      </extLst>
    </bk>
    <bk>
      <extLst>
        <ext uri="{3e2802c4-a4d2-4d8b-9148-e3be6c30e623}">
          <xlrd:rvb i="16519"/>
        </ext>
      </extLst>
    </bk>
    <bk>
      <extLst>
        <ext uri="{3e2802c4-a4d2-4d8b-9148-e3be6c30e623}">
          <xlrd:rvb i="16520"/>
        </ext>
      </extLst>
    </bk>
    <bk>
      <extLst>
        <ext uri="{3e2802c4-a4d2-4d8b-9148-e3be6c30e623}">
          <xlrd:rvb i="16521"/>
        </ext>
      </extLst>
    </bk>
    <bk>
      <extLst>
        <ext uri="{3e2802c4-a4d2-4d8b-9148-e3be6c30e623}">
          <xlrd:rvb i="16522"/>
        </ext>
      </extLst>
    </bk>
    <bk>
      <extLst>
        <ext uri="{3e2802c4-a4d2-4d8b-9148-e3be6c30e623}">
          <xlrd:rvb i="16523"/>
        </ext>
      </extLst>
    </bk>
    <bk>
      <extLst>
        <ext uri="{3e2802c4-a4d2-4d8b-9148-e3be6c30e623}">
          <xlrd:rvb i="16524"/>
        </ext>
      </extLst>
    </bk>
    <bk>
      <extLst>
        <ext uri="{3e2802c4-a4d2-4d8b-9148-e3be6c30e623}">
          <xlrd:rvb i="16525"/>
        </ext>
      </extLst>
    </bk>
    <bk>
      <extLst>
        <ext uri="{3e2802c4-a4d2-4d8b-9148-e3be6c30e623}">
          <xlrd:rvb i="16526"/>
        </ext>
      </extLst>
    </bk>
    <bk>
      <extLst>
        <ext uri="{3e2802c4-a4d2-4d8b-9148-e3be6c30e623}">
          <xlrd:rvb i="16527"/>
        </ext>
      </extLst>
    </bk>
    <bk>
      <extLst>
        <ext uri="{3e2802c4-a4d2-4d8b-9148-e3be6c30e623}">
          <xlrd:rvb i="16528"/>
        </ext>
      </extLst>
    </bk>
    <bk>
      <extLst>
        <ext uri="{3e2802c4-a4d2-4d8b-9148-e3be6c30e623}">
          <xlrd:rvb i="16529"/>
        </ext>
      </extLst>
    </bk>
    <bk>
      <extLst>
        <ext uri="{3e2802c4-a4d2-4d8b-9148-e3be6c30e623}">
          <xlrd:rvb i="16530"/>
        </ext>
      </extLst>
    </bk>
    <bk>
      <extLst>
        <ext uri="{3e2802c4-a4d2-4d8b-9148-e3be6c30e623}">
          <xlrd:rvb i="16531"/>
        </ext>
      </extLst>
    </bk>
    <bk>
      <extLst>
        <ext uri="{3e2802c4-a4d2-4d8b-9148-e3be6c30e623}">
          <xlrd:rvb i="16532"/>
        </ext>
      </extLst>
    </bk>
    <bk>
      <extLst>
        <ext uri="{3e2802c4-a4d2-4d8b-9148-e3be6c30e623}">
          <xlrd:rvb i="16533"/>
        </ext>
      </extLst>
    </bk>
    <bk>
      <extLst>
        <ext uri="{3e2802c4-a4d2-4d8b-9148-e3be6c30e623}">
          <xlrd:rvb i="16534"/>
        </ext>
      </extLst>
    </bk>
    <bk>
      <extLst>
        <ext uri="{3e2802c4-a4d2-4d8b-9148-e3be6c30e623}">
          <xlrd:rvb i="16535"/>
        </ext>
      </extLst>
    </bk>
    <bk>
      <extLst>
        <ext uri="{3e2802c4-a4d2-4d8b-9148-e3be6c30e623}">
          <xlrd:rvb i="16536"/>
        </ext>
      </extLst>
    </bk>
    <bk>
      <extLst>
        <ext uri="{3e2802c4-a4d2-4d8b-9148-e3be6c30e623}">
          <xlrd:rvb i="16537"/>
        </ext>
      </extLst>
    </bk>
    <bk>
      <extLst>
        <ext uri="{3e2802c4-a4d2-4d8b-9148-e3be6c30e623}">
          <xlrd:rvb i="16538"/>
        </ext>
      </extLst>
    </bk>
    <bk>
      <extLst>
        <ext uri="{3e2802c4-a4d2-4d8b-9148-e3be6c30e623}">
          <xlrd:rvb i="16539"/>
        </ext>
      </extLst>
    </bk>
    <bk>
      <extLst>
        <ext uri="{3e2802c4-a4d2-4d8b-9148-e3be6c30e623}">
          <xlrd:rvb i="16540"/>
        </ext>
      </extLst>
    </bk>
    <bk>
      <extLst>
        <ext uri="{3e2802c4-a4d2-4d8b-9148-e3be6c30e623}">
          <xlrd:rvb i="16541"/>
        </ext>
      </extLst>
    </bk>
    <bk>
      <extLst>
        <ext uri="{3e2802c4-a4d2-4d8b-9148-e3be6c30e623}">
          <xlrd:rvb i="16542"/>
        </ext>
      </extLst>
    </bk>
    <bk>
      <extLst>
        <ext uri="{3e2802c4-a4d2-4d8b-9148-e3be6c30e623}">
          <xlrd:rvb i="16543"/>
        </ext>
      </extLst>
    </bk>
    <bk>
      <extLst>
        <ext uri="{3e2802c4-a4d2-4d8b-9148-e3be6c30e623}">
          <xlrd:rvb i="16544"/>
        </ext>
      </extLst>
    </bk>
    <bk>
      <extLst>
        <ext uri="{3e2802c4-a4d2-4d8b-9148-e3be6c30e623}">
          <xlrd:rvb i="16545"/>
        </ext>
      </extLst>
    </bk>
    <bk>
      <extLst>
        <ext uri="{3e2802c4-a4d2-4d8b-9148-e3be6c30e623}">
          <xlrd:rvb i="16546"/>
        </ext>
      </extLst>
    </bk>
    <bk>
      <extLst>
        <ext uri="{3e2802c4-a4d2-4d8b-9148-e3be6c30e623}">
          <xlrd:rvb i="16547"/>
        </ext>
      </extLst>
    </bk>
    <bk>
      <extLst>
        <ext uri="{3e2802c4-a4d2-4d8b-9148-e3be6c30e623}">
          <xlrd:rvb i="16548"/>
        </ext>
      </extLst>
    </bk>
    <bk>
      <extLst>
        <ext uri="{3e2802c4-a4d2-4d8b-9148-e3be6c30e623}">
          <xlrd:rvb i="16549"/>
        </ext>
      </extLst>
    </bk>
    <bk>
      <extLst>
        <ext uri="{3e2802c4-a4d2-4d8b-9148-e3be6c30e623}">
          <xlrd:rvb i="16550"/>
        </ext>
      </extLst>
    </bk>
    <bk>
      <extLst>
        <ext uri="{3e2802c4-a4d2-4d8b-9148-e3be6c30e623}">
          <xlrd:rvb i="16551"/>
        </ext>
      </extLst>
    </bk>
    <bk>
      <extLst>
        <ext uri="{3e2802c4-a4d2-4d8b-9148-e3be6c30e623}">
          <xlrd:rvb i="16552"/>
        </ext>
      </extLst>
    </bk>
    <bk>
      <extLst>
        <ext uri="{3e2802c4-a4d2-4d8b-9148-e3be6c30e623}">
          <xlrd:rvb i="16553"/>
        </ext>
      </extLst>
    </bk>
    <bk>
      <extLst>
        <ext uri="{3e2802c4-a4d2-4d8b-9148-e3be6c30e623}">
          <xlrd:rvb i="16554"/>
        </ext>
      </extLst>
    </bk>
    <bk>
      <extLst>
        <ext uri="{3e2802c4-a4d2-4d8b-9148-e3be6c30e623}">
          <xlrd:rvb i="16555"/>
        </ext>
      </extLst>
    </bk>
    <bk>
      <extLst>
        <ext uri="{3e2802c4-a4d2-4d8b-9148-e3be6c30e623}">
          <xlrd:rvb i="16556"/>
        </ext>
      </extLst>
    </bk>
    <bk>
      <extLst>
        <ext uri="{3e2802c4-a4d2-4d8b-9148-e3be6c30e623}">
          <xlrd:rvb i="16557"/>
        </ext>
      </extLst>
    </bk>
    <bk>
      <extLst>
        <ext uri="{3e2802c4-a4d2-4d8b-9148-e3be6c30e623}">
          <xlrd:rvb i="16558"/>
        </ext>
      </extLst>
    </bk>
    <bk>
      <extLst>
        <ext uri="{3e2802c4-a4d2-4d8b-9148-e3be6c30e623}">
          <xlrd:rvb i="16559"/>
        </ext>
      </extLst>
    </bk>
    <bk>
      <extLst>
        <ext uri="{3e2802c4-a4d2-4d8b-9148-e3be6c30e623}">
          <xlrd:rvb i="16560"/>
        </ext>
      </extLst>
    </bk>
    <bk>
      <extLst>
        <ext uri="{3e2802c4-a4d2-4d8b-9148-e3be6c30e623}">
          <xlrd:rvb i="16561"/>
        </ext>
      </extLst>
    </bk>
    <bk>
      <extLst>
        <ext uri="{3e2802c4-a4d2-4d8b-9148-e3be6c30e623}">
          <xlrd:rvb i="16562"/>
        </ext>
      </extLst>
    </bk>
    <bk>
      <extLst>
        <ext uri="{3e2802c4-a4d2-4d8b-9148-e3be6c30e623}">
          <xlrd:rvb i="16563"/>
        </ext>
      </extLst>
    </bk>
    <bk>
      <extLst>
        <ext uri="{3e2802c4-a4d2-4d8b-9148-e3be6c30e623}">
          <xlrd:rvb i="16564"/>
        </ext>
      </extLst>
    </bk>
    <bk>
      <extLst>
        <ext uri="{3e2802c4-a4d2-4d8b-9148-e3be6c30e623}">
          <xlrd:rvb i="16565"/>
        </ext>
      </extLst>
    </bk>
    <bk>
      <extLst>
        <ext uri="{3e2802c4-a4d2-4d8b-9148-e3be6c30e623}">
          <xlrd:rvb i="16566"/>
        </ext>
      </extLst>
    </bk>
    <bk>
      <extLst>
        <ext uri="{3e2802c4-a4d2-4d8b-9148-e3be6c30e623}">
          <xlrd:rvb i="16567"/>
        </ext>
      </extLst>
    </bk>
    <bk>
      <extLst>
        <ext uri="{3e2802c4-a4d2-4d8b-9148-e3be6c30e623}">
          <xlrd:rvb i="16568"/>
        </ext>
      </extLst>
    </bk>
    <bk>
      <extLst>
        <ext uri="{3e2802c4-a4d2-4d8b-9148-e3be6c30e623}">
          <xlrd:rvb i="16569"/>
        </ext>
      </extLst>
    </bk>
    <bk>
      <extLst>
        <ext uri="{3e2802c4-a4d2-4d8b-9148-e3be6c30e623}">
          <xlrd:rvb i="16570"/>
        </ext>
      </extLst>
    </bk>
    <bk>
      <extLst>
        <ext uri="{3e2802c4-a4d2-4d8b-9148-e3be6c30e623}">
          <xlrd:rvb i="16571"/>
        </ext>
      </extLst>
    </bk>
    <bk>
      <extLst>
        <ext uri="{3e2802c4-a4d2-4d8b-9148-e3be6c30e623}">
          <xlrd:rvb i="16572"/>
        </ext>
      </extLst>
    </bk>
    <bk>
      <extLst>
        <ext uri="{3e2802c4-a4d2-4d8b-9148-e3be6c30e623}">
          <xlrd:rvb i="16573"/>
        </ext>
      </extLst>
    </bk>
    <bk>
      <extLst>
        <ext uri="{3e2802c4-a4d2-4d8b-9148-e3be6c30e623}">
          <xlrd:rvb i="16574"/>
        </ext>
      </extLst>
    </bk>
    <bk>
      <extLst>
        <ext uri="{3e2802c4-a4d2-4d8b-9148-e3be6c30e623}">
          <xlrd:rvb i="16575"/>
        </ext>
      </extLst>
    </bk>
    <bk>
      <extLst>
        <ext uri="{3e2802c4-a4d2-4d8b-9148-e3be6c30e623}">
          <xlrd:rvb i="16576"/>
        </ext>
      </extLst>
    </bk>
    <bk>
      <extLst>
        <ext uri="{3e2802c4-a4d2-4d8b-9148-e3be6c30e623}">
          <xlrd:rvb i="16577"/>
        </ext>
      </extLst>
    </bk>
    <bk>
      <extLst>
        <ext uri="{3e2802c4-a4d2-4d8b-9148-e3be6c30e623}">
          <xlrd:rvb i="16578"/>
        </ext>
      </extLst>
    </bk>
    <bk>
      <extLst>
        <ext uri="{3e2802c4-a4d2-4d8b-9148-e3be6c30e623}">
          <xlrd:rvb i="16579"/>
        </ext>
      </extLst>
    </bk>
    <bk>
      <extLst>
        <ext uri="{3e2802c4-a4d2-4d8b-9148-e3be6c30e623}">
          <xlrd:rvb i="16580"/>
        </ext>
      </extLst>
    </bk>
    <bk>
      <extLst>
        <ext uri="{3e2802c4-a4d2-4d8b-9148-e3be6c30e623}">
          <xlrd:rvb i="16581"/>
        </ext>
      </extLst>
    </bk>
    <bk>
      <extLst>
        <ext uri="{3e2802c4-a4d2-4d8b-9148-e3be6c30e623}">
          <xlrd:rvb i="16582"/>
        </ext>
      </extLst>
    </bk>
    <bk>
      <extLst>
        <ext uri="{3e2802c4-a4d2-4d8b-9148-e3be6c30e623}">
          <xlrd:rvb i="16583"/>
        </ext>
      </extLst>
    </bk>
    <bk>
      <extLst>
        <ext uri="{3e2802c4-a4d2-4d8b-9148-e3be6c30e623}">
          <xlrd:rvb i="16584"/>
        </ext>
      </extLst>
    </bk>
    <bk>
      <extLst>
        <ext uri="{3e2802c4-a4d2-4d8b-9148-e3be6c30e623}">
          <xlrd:rvb i="16585"/>
        </ext>
      </extLst>
    </bk>
    <bk>
      <extLst>
        <ext uri="{3e2802c4-a4d2-4d8b-9148-e3be6c30e623}">
          <xlrd:rvb i="16586"/>
        </ext>
      </extLst>
    </bk>
    <bk>
      <extLst>
        <ext uri="{3e2802c4-a4d2-4d8b-9148-e3be6c30e623}">
          <xlrd:rvb i="16587"/>
        </ext>
      </extLst>
    </bk>
    <bk>
      <extLst>
        <ext uri="{3e2802c4-a4d2-4d8b-9148-e3be6c30e623}">
          <xlrd:rvb i="16588"/>
        </ext>
      </extLst>
    </bk>
    <bk>
      <extLst>
        <ext uri="{3e2802c4-a4d2-4d8b-9148-e3be6c30e623}">
          <xlrd:rvb i="16589"/>
        </ext>
      </extLst>
    </bk>
    <bk>
      <extLst>
        <ext uri="{3e2802c4-a4d2-4d8b-9148-e3be6c30e623}">
          <xlrd:rvb i="16590"/>
        </ext>
      </extLst>
    </bk>
    <bk>
      <extLst>
        <ext uri="{3e2802c4-a4d2-4d8b-9148-e3be6c30e623}">
          <xlrd:rvb i="16591"/>
        </ext>
      </extLst>
    </bk>
    <bk>
      <extLst>
        <ext uri="{3e2802c4-a4d2-4d8b-9148-e3be6c30e623}">
          <xlrd:rvb i="16592"/>
        </ext>
      </extLst>
    </bk>
    <bk>
      <extLst>
        <ext uri="{3e2802c4-a4d2-4d8b-9148-e3be6c30e623}">
          <xlrd:rvb i="16593"/>
        </ext>
      </extLst>
    </bk>
    <bk>
      <extLst>
        <ext uri="{3e2802c4-a4d2-4d8b-9148-e3be6c30e623}">
          <xlrd:rvb i="16594"/>
        </ext>
      </extLst>
    </bk>
    <bk>
      <extLst>
        <ext uri="{3e2802c4-a4d2-4d8b-9148-e3be6c30e623}">
          <xlrd:rvb i="16595"/>
        </ext>
      </extLst>
    </bk>
    <bk>
      <extLst>
        <ext uri="{3e2802c4-a4d2-4d8b-9148-e3be6c30e623}">
          <xlrd:rvb i="16596"/>
        </ext>
      </extLst>
    </bk>
    <bk>
      <extLst>
        <ext uri="{3e2802c4-a4d2-4d8b-9148-e3be6c30e623}">
          <xlrd:rvb i="16597"/>
        </ext>
      </extLst>
    </bk>
    <bk>
      <extLst>
        <ext uri="{3e2802c4-a4d2-4d8b-9148-e3be6c30e623}">
          <xlrd:rvb i="16598"/>
        </ext>
      </extLst>
    </bk>
    <bk>
      <extLst>
        <ext uri="{3e2802c4-a4d2-4d8b-9148-e3be6c30e623}">
          <xlrd:rvb i="16599"/>
        </ext>
      </extLst>
    </bk>
    <bk>
      <extLst>
        <ext uri="{3e2802c4-a4d2-4d8b-9148-e3be6c30e623}">
          <xlrd:rvb i="16600"/>
        </ext>
      </extLst>
    </bk>
    <bk>
      <extLst>
        <ext uri="{3e2802c4-a4d2-4d8b-9148-e3be6c30e623}">
          <xlrd:rvb i="16601"/>
        </ext>
      </extLst>
    </bk>
    <bk>
      <extLst>
        <ext uri="{3e2802c4-a4d2-4d8b-9148-e3be6c30e623}">
          <xlrd:rvb i="16602"/>
        </ext>
      </extLst>
    </bk>
    <bk>
      <extLst>
        <ext uri="{3e2802c4-a4d2-4d8b-9148-e3be6c30e623}">
          <xlrd:rvb i="16603"/>
        </ext>
      </extLst>
    </bk>
    <bk>
      <extLst>
        <ext uri="{3e2802c4-a4d2-4d8b-9148-e3be6c30e623}">
          <xlrd:rvb i="16604"/>
        </ext>
      </extLst>
    </bk>
    <bk>
      <extLst>
        <ext uri="{3e2802c4-a4d2-4d8b-9148-e3be6c30e623}">
          <xlrd:rvb i="16605"/>
        </ext>
      </extLst>
    </bk>
    <bk>
      <extLst>
        <ext uri="{3e2802c4-a4d2-4d8b-9148-e3be6c30e623}">
          <xlrd:rvb i="16606"/>
        </ext>
      </extLst>
    </bk>
    <bk>
      <extLst>
        <ext uri="{3e2802c4-a4d2-4d8b-9148-e3be6c30e623}">
          <xlrd:rvb i="16607"/>
        </ext>
      </extLst>
    </bk>
    <bk>
      <extLst>
        <ext uri="{3e2802c4-a4d2-4d8b-9148-e3be6c30e623}">
          <xlrd:rvb i="16608"/>
        </ext>
      </extLst>
    </bk>
    <bk>
      <extLst>
        <ext uri="{3e2802c4-a4d2-4d8b-9148-e3be6c30e623}">
          <xlrd:rvb i="16609"/>
        </ext>
      </extLst>
    </bk>
    <bk>
      <extLst>
        <ext uri="{3e2802c4-a4d2-4d8b-9148-e3be6c30e623}">
          <xlrd:rvb i="16610"/>
        </ext>
      </extLst>
    </bk>
    <bk>
      <extLst>
        <ext uri="{3e2802c4-a4d2-4d8b-9148-e3be6c30e623}">
          <xlrd:rvb i="16611"/>
        </ext>
      </extLst>
    </bk>
    <bk>
      <extLst>
        <ext uri="{3e2802c4-a4d2-4d8b-9148-e3be6c30e623}">
          <xlrd:rvb i="16612"/>
        </ext>
      </extLst>
    </bk>
    <bk>
      <extLst>
        <ext uri="{3e2802c4-a4d2-4d8b-9148-e3be6c30e623}">
          <xlrd:rvb i="16613"/>
        </ext>
      </extLst>
    </bk>
    <bk>
      <extLst>
        <ext uri="{3e2802c4-a4d2-4d8b-9148-e3be6c30e623}">
          <xlrd:rvb i="16614"/>
        </ext>
      </extLst>
    </bk>
    <bk>
      <extLst>
        <ext uri="{3e2802c4-a4d2-4d8b-9148-e3be6c30e623}">
          <xlrd:rvb i="16615"/>
        </ext>
      </extLst>
    </bk>
    <bk>
      <extLst>
        <ext uri="{3e2802c4-a4d2-4d8b-9148-e3be6c30e623}">
          <xlrd:rvb i="16616"/>
        </ext>
      </extLst>
    </bk>
    <bk>
      <extLst>
        <ext uri="{3e2802c4-a4d2-4d8b-9148-e3be6c30e623}">
          <xlrd:rvb i="16617"/>
        </ext>
      </extLst>
    </bk>
    <bk>
      <extLst>
        <ext uri="{3e2802c4-a4d2-4d8b-9148-e3be6c30e623}">
          <xlrd:rvb i="16618"/>
        </ext>
      </extLst>
    </bk>
    <bk>
      <extLst>
        <ext uri="{3e2802c4-a4d2-4d8b-9148-e3be6c30e623}">
          <xlrd:rvb i="16619"/>
        </ext>
      </extLst>
    </bk>
    <bk>
      <extLst>
        <ext uri="{3e2802c4-a4d2-4d8b-9148-e3be6c30e623}">
          <xlrd:rvb i="16620"/>
        </ext>
      </extLst>
    </bk>
    <bk>
      <extLst>
        <ext uri="{3e2802c4-a4d2-4d8b-9148-e3be6c30e623}">
          <xlrd:rvb i="16621"/>
        </ext>
      </extLst>
    </bk>
    <bk>
      <extLst>
        <ext uri="{3e2802c4-a4d2-4d8b-9148-e3be6c30e623}">
          <xlrd:rvb i="16622"/>
        </ext>
      </extLst>
    </bk>
    <bk>
      <extLst>
        <ext uri="{3e2802c4-a4d2-4d8b-9148-e3be6c30e623}">
          <xlrd:rvb i="16623"/>
        </ext>
      </extLst>
    </bk>
    <bk>
      <extLst>
        <ext uri="{3e2802c4-a4d2-4d8b-9148-e3be6c30e623}">
          <xlrd:rvb i="16624"/>
        </ext>
      </extLst>
    </bk>
    <bk>
      <extLst>
        <ext uri="{3e2802c4-a4d2-4d8b-9148-e3be6c30e623}">
          <xlrd:rvb i="16625"/>
        </ext>
      </extLst>
    </bk>
    <bk>
      <extLst>
        <ext uri="{3e2802c4-a4d2-4d8b-9148-e3be6c30e623}">
          <xlrd:rvb i="16626"/>
        </ext>
      </extLst>
    </bk>
    <bk>
      <extLst>
        <ext uri="{3e2802c4-a4d2-4d8b-9148-e3be6c30e623}">
          <xlrd:rvb i="16627"/>
        </ext>
      </extLst>
    </bk>
    <bk>
      <extLst>
        <ext uri="{3e2802c4-a4d2-4d8b-9148-e3be6c30e623}">
          <xlrd:rvb i="16628"/>
        </ext>
      </extLst>
    </bk>
    <bk>
      <extLst>
        <ext uri="{3e2802c4-a4d2-4d8b-9148-e3be6c30e623}">
          <xlrd:rvb i="16629"/>
        </ext>
      </extLst>
    </bk>
    <bk>
      <extLst>
        <ext uri="{3e2802c4-a4d2-4d8b-9148-e3be6c30e623}">
          <xlrd:rvb i="16630"/>
        </ext>
      </extLst>
    </bk>
    <bk>
      <extLst>
        <ext uri="{3e2802c4-a4d2-4d8b-9148-e3be6c30e623}">
          <xlrd:rvb i="16631"/>
        </ext>
      </extLst>
    </bk>
    <bk>
      <extLst>
        <ext uri="{3e2802c4-a4d2-4d8b-9148-e3be6c30e623}">
          <xlrd:rvb i="16632"/>
        </ext>
      </extLst>
    </bk>
    <bk>
      <extLst>
        <ext uri="{3e2802c4-a4d2-4d8b-9148-e3be6c30e623}">
          <xlrd:rvb i="16633"/>
        </ext>
      </extLst>
    </bk>
    <bk>
      <extLst>
        <ext uri="{3e2802c4-a4d2-4d8b-9148-e3be6c30e623}">
          <xlrd:rvb i="16634"/>
        </ext>
      </extLst>
    </bk>
    <bk>
      <extLst>
        <ext uri="{3e2802c4-a4d2-4d8b-9148-e3be6c30e623}">
          <xlrd:rvb i="16635"/>
        </ext>
      </extLst>
    </bk>
    <bk>
      <extLst>
        <ext uri="{3e2802c4-a4d2-4d8b-9148-e3be6c30e623}">
          <xlrd:rvb i="16636"/>
        </ext>
      </extLst>
    </bk>
    <bk>
      <extLst>
        <ext uri="{3e2802c4-a4d2-4d8b-9148-e3be6c30e623}">
          <xlrd:rvb i="16637"/>
        </ext>
      </extLst>
    </bk>
    <bk>
      <extLst>
        <ext uri="{3e2802c4-a4d2-4d8b-9148-e3be6c30e623}">
          <xlrd:rvb i="16638"/>
        </ext>
      </extLst>
    </bk>
    <bk>
      <extLst>
        <ext uri="{3e2802c4-a4d2-4d8b-9148-e3be6c30e623}">
          <xlrd:rvb i="16639"/>
        </ext>
      </extLst>
    </bk>
    <bk>
      <extLst>
        <ext uri="{3e2802c4-a4d2-4d8b-9148-e3be6c30e623}">
          <xlrd:rvb i="16640"/>
        </ext>
      </extLst>
    </bk>
    <bk>
      <extLst>
        <ext uri="{3e2802c4-a4d2-4d8b-9148-e3be6c30e623}">
          <xlrd:rvb i="16641"/>
        </ext>
      </extLst>
    </bk>
    <bk>
      <extLst>
        <ext uri="{3e2802c4-a4d2-4d8b-9148-e3be6c30e623}">
          <xlrd:rvb i="16642"/>
        </ext>
      </extLst>
    </bk>
    <bk>
      <extLst>
        <ext uri="{3e2802c4-a4d2-4d8b-9148-e3be6c30e623}">
          <xlrd:rvb i="16643"/>
        </ext>
      </extLst>
    </bk>
    <bk>
      <extLst>
        <ext uri="{3e2802c4-a4d2-4d8b-9148-e3be6c30e623}">
          <xlrd:rvb i="16644"/>
        </ext>
      </extLst>
    </bk>
    <bk>
      <extLst>
        <ext uri="{3e2802c4-a4d2-4d8b-9148-e3be6c30e623}">
          <xlrd:rvb i="16645"/>
        </ext>
      </extLst>
    </bk>
    <bk>
      <extLst>
        <ext uri="{3e2802c4-a4d2-4d8b-9148-e3be6c30e623}">
          <xlrd:rvb i="16646"/>
        </ext>
      </extLst>
    </bk>
    <bk>
      <extLst>
        <ext uri="{3e2802c4-a4d2-4d8b-9148-e3be6c30e623}">
          <xlrd:rvb i="16647"/>
        </ext>
      </extLst>
    </bk>
    <bk>
      <extLst>
        <ext uri="{3e2802c4-a4d2-4d8b-9148-e3be6c30e623}">
          <xlrd:rvb i="16648"/>
        </ext>
      </extLst>
    </bk>
    <bk>
      <extLst>
        <ext uri="{3e2802c4-a4d2-4d8b-9148-e3be6c30e623}">
          <xlrd:rvb i="16649"/>
        </ext>
      </extLst>
    </bk>
    <bk>
      <extLst>
        <ext uri="{3e2802c4-a4d2-4d8b-9148-e3be6c30e623}">
          <xlrd:rvb i="16650"/>
        </ext>
      </extLst>
    </bk>
    <bk>
      <extLst>
        <ext uri="{3e2802c4-a4d2-4d8b-9148-e3be6c30e623}">
          <xlrd:rvb i="16651"/>
        </ext>
      </extLst>
    </bk>
    <bk>
      <extLst>
        <ext uri="{3e2802c4-a4d2-4d8b-9148-e3be6c30e623}">
          <xlrd:rvb i="16652"/>
        </ext>
      </extLst>
    </bk>
    <bk>
      <extLst>
        <ext uri="{3e2802c4-a4d2-4d8b-9148-e3be6c30e623}">
          <xlrd:rvb i="16653"/>
        </ext>
      </extLst>
    </bk>
    <bk>
      <extLst>
        <ext uri="{3e2802c4-a4d2-4d8b-9148-e3be6c30e623}">
          <xlrd:rvb i="16654"/>
        </ext>
      </extLst>
    </bk>
    <bk>
      <extLst>
        <ext uri="{3e2802c4-a4d2-4d8b-9148-e3be6c30e623}">
          <xlrd:rvb i="16655"/>
        </ext>
      </extLst>
    </bk>
    <bk>
      <extLst>
        <ext uri="{3e2802c4-a4d2-4d8b-9148-e3be6c30e623}">
          <xlrd:rvb i="16656"/>
        </ext>
      </extLst>
    </bk>
    <bk>
      <extLst>
        <ext uri="{3e2802c4-a4d2-4d8b-9148-e3be6c30e623}">
          <xlrd:rvb i="16657"/>
        </ext>
      </extLst>
    </bk>
    <bk>
      <extLst>
        <ext uri="{3e2802c4-a4d2-4d8b-9148-e3be6c30e623}">
          <xlrd:rvb i="16658"/>
        </ext>
      </extLst>
    </bk>
    <bk>
      <extLst>
        <ext uri="{3e2802c4-a4d2-4d8b-9148-e3be6c30e623}">
          <xlrd:rvb i="16659"/>
        </ext>
      </extLst>
    </bk>
    <bk>
      <extLst>
        <ext uri="{3e2802c4-a4d2-4d8b-9148-e3be6c30e623}">
          <xlrd:rvb i="16660"/>
        </ext>
      </extLst>
    </bk>
    <bk>
      <extLst>
        <ext uri="{3e2802c4-a4d2-4d8b-9148-e3be6c30e623}">
          <xlrd:rvb i="16661"/>
        </ext>
      </extLst>
    </bk>
    <bk>
      <extLst>
        <ext uri="{3e2802c4-a4d2-4d8b-9148-e3be6c30e623}">
          <xlrd:rvb i="16662"/>
        </ext>
      </extLst>
    </bk>
    <bk>
      <extLst>
        <ext uri="{3e2802c4-a4d2-4d8b-9148-e3be6c30e623}">
          <xlrd:rvb i="16663"/>
        </ext>
      </extLst>
    </bk>
    <bk>
      <extLst>
        <ext uri="{3e2802c4-a4d2-4d8b-9148-e3be6c30e623}">
          <xlrd:rvb i="16664"/>
        </ext>
      </extLst>
    </bk>
    <bk>
      <extLst>
        <ext uri="{3e2802c4-a4d2-4d8b-9148-e3be6c30e623}">
          <xlrd:rvb i="16665"/>
        </ext>
      </extLst>
    </bk>
    <bk>
      <extLst>
        <ext uri="{3e2802c4-a4d2-4d8b-9148-e3be6c30e623}">
          <xlrd:rvb i="16666"/>
        </ext>
      </extLst>
    </bk>
    <bk>
      <extLst>
        <ext uri="{3e2802c4-a4d2-4d8b-9148-e3be6c30e623}">
          <xlrd:rvb i="16667"/>
        </ext>
      </extLst>
    </bk>
    <bk>
      <extLst>
        <ext uri="{3e2802c4-a4d2-4d8b-9148-e3be6c30e623}">
          <xlrd:rvb i="16668"/>
        </ext>
      </extLst>
    </bk>
    <bk>
      <extLst>
        <ext uri="{3e2802c4-a4d2-4d8b-9148-e3be6c30e623}">
          <xlrd:rvb i="16669"/>
        </ext>
      </extLst>
    </bk>
    <bk>
      <extLst>
        <ext uri="{3e2802c4-a4d2-4d8b-9148-e3be6c30e623}">
          <xlrd:rvb i="16670"/>
        </ext>
      </extLst>
    </bk>
    <bk>
      <extLst>
        <ext uri="{3e2802c4-a4d2-4d8b-9148-e3be6c30e623}">
          <xlrd:rvb i="16671"/>
        </ext>
      </extLst>
    </bk>
    <bk>
      <extLst>
        <ext uri="{3e2802c4-a4d2-4d8b-9148-e3be6c30e623}">
          <xlrd:rvb i="16672"/>
        </ext>
      </extLst>
    </bk>
    <bk>
      <extLst>
        <ext uri="{3e2802c4-a4d2-4d8b-9148-e3be6c30e623}">
          <xlrd:rvb i="16673"/>
        </ext>
      </extLst>
    </bk>
    <bk>
      <extLst>
        <ext uri="{3e2802c4-a4d2-4d8b-9148-e3be6c30e623}">
          <xlrd:rvb i="16674"/>
        </ext>
      </extLst>
    </bk>
    <bk>
      <extLst>
        <ext uri="{3e2802c4-a4d2-4d8b-9148-e3be6c30e623}">
          <xlrd:rvb i="16675"/>
        </ext>
      </extLst>
    </bk>
    <bk>
      <extLst>
        <ext uri="{3e2802c4-a4d2-4d8b-9148-e3be6c30e623}">
          <xlrd:rvb i="16676"/>
        </ext>
      </extLst>
    </bk>
    <bk>
      <extLst>
        <ext uri="{3e2802c4-a4d2-4d8b-9148-e3be6c30e623}">
          <xlrd:rvb i="16677"/>
        </ext>
      </extLst>
    </bk>
    <bk>
      <extLst>
        <ext uri="{3e2802c4-a4d2-4d8b-9148-e3be6c30e623}">
          <xlrd:rvb i="16678"/>
        </ext>
      </extLst>
    </bk>
    <bk>
      <extLst>
        <ext uri="{3e2802c4-a4d2-4d8b-9148-e3be6c30e623}">
          <xlrd:rvb i="16679"/>
        </ext>
      </extLst>
    </bk>
    <bk>
      <extLst>
        <ext uri="{3e2802c4-a4d2-4d8b-9148-e3be6c30e623}">
          <xlrd:rvb i="16680"/>
        </ext>
      </extLst>
    </bk>
    <bk>
      <extLst>
        <ext uri="{3e2802c4-a4d2-4d8b-9148-e3be6c30e623}">
          <xlrd:rvb i="16681"/>
        </ext>
      </extLst>
    </bk>
    <bk>
      <extLst>
        <ext uri="{3e2802c4-a4d2-4d8b-9148-e3be6c30e623}">
          <xlrd:rvb i="16682"/>
        </ext>
      </extLst>
    </bk>
    <bk>
      <extLst>
        <ext uri="{3e2802c4-a4d2-4d8b-9148-e3be6c30e623}">
          <xlrd:rvb i="16683"/>
        </ext>
      </extLst>
    </bk>
    <bk>
      <extLst>
        <ext uri="{3e2802c4-a4d2-4d8b-9148-e3be6c30e623}">
          <xlrd:rvb i="16684"/>
        </ext>
      </extLst>
    </bk>
    <bk>
      <extLst>
        <ext uri="{3e2802c4-a4d2-4d8b-9148-e3be6c30e623}">
          <xlrd:rvb i="16685"/>
        </ext>
      </extLst>
    </bk>
    <bk>
      <extLst>
        <ext uri="{3e2802c4-a4d2-4d8b-9148-e3be6c30e623}">
          <xlrd:rvb i="16686"/>
        </ext>
      </extLst>
    </bk>
    <bk>
      <extLst>
        <ext uri="{3e2802c4-a4d2-4d8b-9148-e3be6c30e623}">
          <xlrd:rvb i="16687"/>
        </ext>
      </extLst>
    </bk>
    <bk>
      <extLst>
        <ext uri="{3e2802c4-a4d2-4d8b-9148-e3be6c30e623}">
          <xlrd:rvb i="16688"/>
        </ext>
      </extLst>
    </bk>
    <bk>
      <extLst>
        <ext uri="{3e2802c4-a4d2-4d8b-9148-e3be6c30e623}">
          <xlrd:rvb i="16689"/>
        </ext>
      </extLst>
    </bk>
    <bk>
      <extLst>
        <ext uri="{3e2802c4-a4d2-4d8b-9148-e3be6c30e623}">
          <xlrd:rvb i="16690"/>
        </ext>
      </extLst>
    </bk>
    <bk>
      <extLst>
        <ext uri="{3e2802c4-a4d2-4d8b-9148-e3be6c30e623}">
          <xlrd:rvb i="16691"/>
        </ext>
      </extLst>
    </bk>
    <bk>
      <extLst>
        <ext uri="{3e2802c4-a4d2-4d8b-9148-e3be6c30e623}">
          <xlrd:rvb i="16692"/>
        </ext>
      </extLst>
    </bk>
    <bk>
      <extLst>
        <ext uri="{3e2802c4-a4d2-4d8b-9148-e3be6c30e623}">
          <xlrd:rvb i="16693"/>
        </ext>
      </extLst>
    </bk>
    <bk>
      <extLst>
        <ext uri="{3e2802c4-a4d2-4d8b-9148-e3be6c30e623}">
          <xlrd:rvb i="16694"/>
        </ext>
      </extLst>
    </bk>
    <bk>
      <extLst>
        <ext uri="{3e2802c4-a4d2-4d8b-9148-e3be6c30e623}">
          <xlrd:rvb i="16695"/>
        </ext>
      </extLst>
    </bk>
    <bk>
      <extLst>
        <ext uri="{3e2802c4-a4d2-4d8b-9148-e3be6c30e623}">
          <xlrd:rvb i="16696"/>
        </ext>
      </extLst>
    </bk>
    <bk>
      <extLst>
        <ext uri="{3e2802c4-a4d2-4d8b-9148-e3be6c30e623}">
          <xlrd:rvb i="16697"/>
        </ext>
      </extLst>
    </bk>
    <bk>
      <extLst>
        <ext uri="{3e2802c4-a4d2-4d8b-9148-e3be6c30e623}">
          <xlrd:rvb i="16698"/>
        </ext>
      </extLst>
    </bk>
    <bk>
      <extLst>
        <ext uri="{3e2802c4-a4d2-4d8b-9148-e3be6c30e623}">
          <xlrd:rvb i="16699"/>
        </ext>
      </extLst>
    </bk>
    <bk>
      <extLst>
        <ext uri="{3e2802c4-a4d2-4d8b-9148-e3be6c30e623}">
          <xlrd:rvb i="16700"/>
        </ext>
      </extLst>
    </bk>
    <bk>
      <extLst>
        <ext uri="{3e2802c4-a4d2-4d8b-9148-e3be6c30e623}">
          <xlrd:rvb i="16701"/>
        </ext>
      </extLst>
    </bk>
    <bk>
      <extLst>
        <ext uri="{3e2802c4-a4d2-4d8b-9148-e3be6c30e623}">
          <xlrd:rvb i="16702"/>
        </ext>
      </extLst>
    </bk>
    <bk>
      <extLst>
        <ext uri="{3e2802c4-a4d2-4d8b-9148-e3be6c30e623}">
          <xlrd:rvb i="16703"/>
        </ext>
      </extLst>
    </bk>
    <bk>
      <extLst>
        <ext uri="{3e2802c4-a4d2-4d8b-9148-e3be6c30e623}">
          <xlrd:rvb i="16704"/>
        </ext>
      </extLst>
    </bk>
    <bk>
      <extLst>
        <ext uri="{3e2802c4-a4d2-4d8b-9148-e3be6c30e623}">
          <xlrd:rvb i="16705"/>
        </ext>
      </extLst>
    </bk>
    <bk>
      <extLst>
        <ext uri="{3e2802c4-a4d2-4d8b-9148-e3be6c30e623}">
          <xlrd:rvb i="16706"/>
        </ext>
      </extLst>
    </bk>
    <bk>
      <extLst>
        <ext uri="{3e2802c4-a4d2-4d8b-9148-e3be6c30e623}">
          <xlrd:rvb i="16707"/>
        </ext>
      </extLst>
    </bk>
    <bk>
      <extLst>
        <ext uri="{3e2802c4-a4d2-4d8b-9148-e3be6c30e623}">
          <xlrd:rvb i="16708"/>
        </ext>
      </extLst>
    </bk>
    <bk>
      <extLst>
        <ext uri="{3e2802c4-a4d2-4d8b-9148-e3be6c30e623}">
          <xlrd:rvb i="16709"/>
        </ext>
      </extLst>
    </bk>
    <bk>
      <extLst>
        <ext uri="{3e2802c4-a4d2-4d8b-9148-e3be6c30e623}">
          <xlrd:rvb i="16710"/>
        </ext>
      </extLst>
    </bk>
    <bk>
      <extLst>
        <ext uri="{3e2802c4-a4d2-4d8b-9148-e3be6c30e623}">
          <xlrd:rvb i="16711"/>
        </ext>
      </extLst>
    </bk>
    <bk>
      <extLst>
        <ext uri="{3e2802c4-a4d2-4d8b-9148-e3be6c30e623}">
          <xlrd:rvb i="16712"/>
        </ext>
      </extLst>
    </bk>
    <bk>
      <extLst>
        <ext uri="{3e2802c4-a4d2-4d8b-9148-e3be6c30e623}">
          <xlrd:rvb i="16713"/>
        </ext>
      </extLst>
    </bk>
    <bk>
      <extLst>
        <ext uri="{3e2802c4-a4d2-4d8b-9148-e3be6c30e623}">
          <xlrd:rvb i="16714"/>
        </ext>
      </extLst>
    </bk>
    <bk>
      <extLst>
        <ext uri="{3e2802c4-a4d2-4d8b-9148-e3be6c30e623}">
          <xlrd:rvb i="16715"/>
        </ext>
      </extLst>
    </bk>
    <bk>
      <extLst>
        <ext uri="{3e2802c4-a4d2-4d8b-9148-e3be6c30e623}">
          <xlrd:rvb i="16716"/>
        </ext>
      </extLst>
    </bk>
    <bk>
      <extLst>
        <ext uri="{3e2802c4-a4d2-4d8b-9148-e3be6c30e623}">
          <xlrd:rvb i="16717"/>
        </ext>
      </extLst>
    </bk>
    <bk>
      <extLst>
        <ext uri="{3e2802c4-a4d2-4d8b-9148-e3be6c30e623}">
          <xlrd:rvb i="16718"/>
        </ext>
      </extLst>
    </bk>
    <bk>
      <extLst>
        <ext uri="{3e2802c4-a4d2-4d8b-9148-e3be6c30e623}">
          <xlrd:rvb i="16719"/>
        </ext>
      </extLst>
    </bk>
    <bk>
      <extLst>
        <ext uri="{3e2802c4-a4d2-4d8b-9148-e3be6c30e623}">
          <xlrd:rvb i="16720"/>
        </ext>
      </extLst>
    </bk>
    <bk>
      <extLst>
        <ext uri="{3e2802c4-a4d2-4d8b-9148-e3be6c30e623}">
          <xlrd:rvb i="16721"/>
        </ext>
      </extLst>
    </bk>
    <bk>
      <extLst>
        <ext uri="{3e2802c4-a4d2-4d8b-9148-e3be6c30e623}">
          <xlrd:rvb i="16722"/>
        </ext>
      </extLst>
    </bk>
    <bk>
      <extLst>
        <ext uri="{3e2802c4-a4d2-4d8b-9148-e3be6c30e623}">
          <xlrd:rvb i="16723"/>
        </ext>
      </extLst>
    </bk>
    <bk>
      <extLst>
        <ext uri="{3e2802c4-a4d2-4d8b-9148-e3be6c30e623}">
          <xlrd:rvb i="16724"/>
        </ext>
      </extLst>
    </bk>
    <bk>
      <extLst>
        <ext uri="{3e2802c4-a4d2-4d8b-9148-e3be6c30e623}">
          <xlrd:rvb i="16725"/>
        </ext>
      </extLst>
    </bk>
    <bk>
      <extLst>
        <ext uri="{3e2802c4-a4d2-4d8b-9148-e3be6c30e623}">
          <xlrd:rvb i="16726"/>
        </ext>
      </extLst>
    </bk>
    <bk>
      <extLst>
        <ext uri="{3e2802c4-a4d2-4d8b-9148-e3be6c30e623}">
          <xlrd:rvb i="16727"/>
        </ext>
      </extLst>
    </bk>
    <bk>
      <extLst>
        <ext uri="{3e2802c4-a4d2-4d8b-9148-e3be6c30e623}">
          <xlrd:rvb i="16728"/>
        </ext>
      </extLst>
    </bk>
    <bk>
      <extLst>
        <ext uri="{3e2802c4-a4d2-4d8b-9148-e3be6c30e623}">
          <xlrd:rvb i="16729"/>
        </ext>
      </extLst>
    </bk>
    <bk>
      <extLst>
        <ext uri="{3e2802c4-a4d2-4d8b-9148-e3be6c30e623}">
          <xlrd:rvb i="16730"/>
        </ext>
      </extLst>
    </bk>
    <bk>
      <extLst>
        <ext uri="{3e2802c4-a4d2-4d8b-9148-e3be6c30e623}">
          <xlrd:rvb i="16731"/>
        </ext>
      </extLst>
    </bk>
    <bk>
      <extLst>
        <ext uri="{3e2802c4-a4d2-4d8b-9148-e3be6c30e623}">
          <xlrd:rvb i="16732"/>
        </ext>
      </extLst>
    </bk>
    <bk>
      <extLst>
        <ext uri="{3e2802c4-a4d2-4d8b-9148-e3be6c30e623}">
          <xlrd:rvb i="16733"/>
        </ext>
      </extLst>
    </bk>
    <bk>
      <extLst>
        <ext uri="{3e2802c4-a4d2-4d8b-9148-e3be6c30e623}">
          <xlrd:rvb i="16734"/>
        </ext>
      </extLst>
    </bk>
    <bk>
      <extLst>
        <ext uri="{3e2802c4-a4d2-4d8b-9148-e3be6c30e623}">
          <xlrd:rvb i="16735"/>
        </ext>
      </extLst>
    </bk>
    <bk>
      <extLst>
        <ext uri="{3e2802c4-a4d2-4d8b-9148-e3be6c30e623}">
          <xlrd:rvb i="16736"/>
        </ext>
      </extLst>
    </bk>
    <bk>
      <extLst>
        <ext uri="{3e2802c4-a4d2-4d8b-9148-e3be6c30e623}">
          <xlrd:rvb i="16737"/>
        </ext>
      </extLst>
    </bk>
    <bk>
      <extLst>
        <ext uri="{3e2802c4-a4d2-4d8b-9148-e3be6c30e623}">
          <xlrd:rvb i="16738"/>
        </ext>
      </extLst>
    </bk>
    <bk>
      <extLst>
        <ext uri="{3e2802c4-a4d2-4d8b-9148-e3be6c30e623}">
          <xlrd:rvb i="16739"/>
        </ext>
      </extLst>
    </bk>
    <bk>
      <extLst>
        <ext uri="{3e2802c4-a4d2-4d8b-9148-e3be6c30e623}">
          <xlrd:rvb i="16740"/>
        </ext>
      </extLst>
    </bk>
    <bk>
      <extLst>
        <ext uri="{3e2802c4-a4d2-4d8b-9148-e3be6c30e623}">
          <xlrd:rvb i="16741"/>
        </ext>
      </extLst>
    </bk>
    <bk>
      <extLst>
        <ext uri="{3e2802c4-a4d2-4d8b-9148-e3be6c30e623}">
          <xlrd:rvb i="16742"/>
        </ext>
      </extLst>
    </bk>
    <bk>
      <extLst>
        <ext uri="{3e2802c4-a4d2-4d8b-9148-e3be6c30e623}">
          <xlrd:rvb i="16743"/>
        </ext>
      </extLst>
    </bk>
    <bk>
      <extLst>
        <ext uri="{3e2802c4-a4d2-4d8b-9148-e3be6c30e623}">
          <xlrd:rvb i="16744"/>
        </ext>
      </extLst>
    </bk>
    <bk>
      <extLst>
        <ext uri="{3e2802c4-a4d2-4d8b-9148-e3be6c30e623}">
          <xlrd:rvb i="16745"/>
        </ext>
      </extLst>
    </bk>
    <bk>
      <extLst>
        <ext uri="{3e2802c4-a4d2-4d8b-9148-e3be6c30e623}">
          <xlrd:rvb i="16746"/>
        </ext>
      </extLst>
    </bk>
    <bk>
      <extLst>
        <ext uri="{3e2802c4-a4d2-4d8b-9148-e3be6c30e623}">
          <xlrd:rvb i="16747"/>
        </ext>
      </extLst>
    </bk>
    <bk>
      <extLst>
        <ext uri="{3e2802c4-a4d2-4d8b-9148-e3be6c30e623}">
          <xlrd:rvb i="16748"/>
        </ext>
      </extLst>
    </bk>
    <bk>
      <extLst>
        <ext uri="{3e2802c4-a4d2-4d8b-9148-e3be6c30e623}">
          <xlrd:rvb i="16749"/>
        </ext>
      </extLst>
    </bk>
    <bk>
      <extLst>
        <ext uri="{3e2802c4-a4d2-4d8b-9148-e3be6c30e623}">
          <xlrd:rvb i="16750"/>
        </ext>
      </extLst>
    </bk>
    <bk>
      <extLst>
        <ext uri="{3e2802c4-a4d2-4d8b-9148-e3be6c30e623}">
          <xlrd:rvb i="16751"/>
        </ext>
      </extLst>
    </bk>
    <bk>
      <extLst>
        <ext uri="{3e2802c4-a4d2-4d8b-9148-e3be6c30e623}">
          <xlrd:rvb i="16752"/>
        </ext>
      </extLst>
    </bk>
    <bk>
      <extLst>
        <ext uri="{3e2802c4-a4d2-4d8b-9148-e3be6c30e623}">
          <xlrd:rvb i="16753"/>
        </ext>
      </extLst>
    </bk>
    <bk>
      <extLst>
        <ext uri="{3e2802c4-a4d2-4d8b-9148-e3be6c30e623}">
          <xlrd:rvb i="16754"/>
        </ext>
      </extLst>
    </bk>
    <bk>
      <extLst>
        <ext uri="{3e2802c4-a4d2-4d8b-9148-e3be6c30e623}">
          <xlrd:rvb i="16755"/>
        </ext>
      </extLst>
    </bk>
    <bk>
      <extLst>
        <ext uri="{3e2802c4-a4d2-4d8b-9148-e3be6c30e623}">
          <xlrd:rvb i="16756"/>
        </ext>
      </extLst>
    </bk>
    <bk>
      <extLst>
        <ext uri="{3e2802c4-a4d2-4d8b-9148-e3be6c30e623}">
          <xlrd:rvb i="16757"/>
        </ext>
      </extLst>
    </bk>
    <bk>
      <extLst>
        <ext uri="{3e2802c4-a4d2-4d8b-9148-e3be6c30e623}">
          <xlrd:rvb i="16758"/>
        </ext>
      </extLst>
    </bk>
    <bk>
      <extLst>
        <ext uri="{3e2802c4-a4d2-4d8b-9148-e3be6c30e623}">
          <xlrd:rvb i="16759"/>
        </ext>
      </extLst>
    </bk>
    <bk>
      <extLst>
        <ext uri="{3e2802c4-a4d2-4d8b-9148-e3be6c30e623}">
          <xlrd:rvb i="16760"/>
        </ext>
      </extLst>
    </bk>
    <bk>
      <extLst>
        <ext uri="{3e2802c4-a4d2-4d8b-9148-e3be6c30e623}">
          <xlrd:rvb i="16761"/>
        </ext>
      </extLst>
    </bk>
    <bk>
      <extLst>
        <ext uri="{3e2802c4-a4d2-4d8b-9148-e3be6c30e623}">
          <xlrd:rvb i="16762"/>
        </ext>
      </extLst>
    </bk>
    <bk>
      <extLst>
        <ext uri="{3e2802c4-a4d2-4d8b-9148-e3be6c30e623}">
          <xlrd:rvb i="16763"/>
        </ext>
      </extLst>
    </bk>
    <bk>
      <extLst>
        <ext uri="{3e2802c4-a4d2-4d8b-9148-e3be6c30e623}">
          <xlrd:rvb i="16764"/>
        </ext>
      </extLst>
    </bk>
    <bk>
      <extLst>
        <ext uri="{3e2802c4-a4d2-4d8b-9148-e3be6c30e623}">
          <xlrd:rvb i="16765"/>
        </ext>
      </extLst>
    </bk>
    <bk>
      <extLst>
        <ext uri="{3e2802c4-a4d2-4d8b-9148-e3be6c30e623}">
          <xlrd:rvb i="16766"/>
        </ext>
      </extLst>
    </bk>
    <bk>
      <extLst>
        <ext uri="{3e2802c4-a4d2-4d8b-9148-e3be6c30e623}">
          <xlrd:rvb i="16767"/>
        </ext>
      </extLst>
    </bk>
    <bk>
      <extLst>
        <ext uri="{3e2802c4-a4d2-4d8b-9148-e3be6c30e623}">
          <xlrd:rvb i="16768"/>
        </ext>
      </extLst>
    </bk>
    <bk>
      <extLst>
        <ext uri="{3e2802c4-a4d2-4d8b-9148-e3be6c30e623}">
          <xlrd:rvb i="16769"/>
        </ext>
      </extLst>
    </bk>
    <bk>
      <extLst>
        <ext uri="{3e2802c4-a4d2-4d8b-9148-e3be6c30e623}">
          <xlrd:rvb i="16770"/>
        </ext>
      </extLst>
    </bk>
    <bk>
      <extLst>
        <ext uri="{3e2802c4-a4d2-4d8b-9148-e3be6c30e623}">
          <xlrd:rvb i="16771"/>
        </ext>
      </extLst>
    </bk>
    <bk>
      <extLst>
        <ext uri="{3e2802c4-a4d2-4d8b-9148-e3be6c30e623}">
          <xlrd:rvb i="16772"/>
        </ext>
      </extLst>
    </bk>
    <bk>
      <extLst>
        <ext uri="{3e2802c4-a4d2-4d8b-9148-e3be6c30e623}">
          <xlrd:rvb i="16773"/>
        </ext>
      </extLst>
    </bk>
    <bk>
      <extLst>
        <ext uri="{3e2802c4-a4d2-4d8b-9148-e3be6c30e623}">
          <xlrd:rvb i="16774"/>
        </ext>
      </extLst>
    </bk>
    <bk>
      <extLst>
        <ext uri="{3e2802c4-a4d2-4d8b-9148-e3be6c30e623}">
          <xlrd:rvb i="16775"/>
        </ext>
      </extLst>
    </bk>
    <bk>
      <extLst>
        <ext uri="{3e2802c4-a4d2-4d8b-9148-e3be6c30e623}">
          <xlrd:rvb i="16776"/>
        </ext>
      </extLst>
    </bk>
    <bk>
      <extLst>
        <ext uri="{3e2802c4-a4d2-4d8b-9148-e3be6c30e623}">
          <xlrd:rvb i="16777"/>
        </ext>
      </extLst>
    </bk>
    <bk>
      <extLst>
        <ext uri="{3e2802c4-a4d2-4d8b-9148-e3be6c30e623}">
          <xlrd:rvb i="16778"/>
        </ext>
      </extLst>
    </bk>
    <bk>
      <extLst>
        <ext uri="{3e2802c4-a4d2-4d8b-9148-e3be6c30e623}">
          <xlrd:rvb i="16779"/>
        </ext>
      </extLst>
    </bk>
    <bk>
      <extLst>
        <ext uri="{3e2802c4-a4d2-4d8b-9148-e3be6c30e623}">
          <xlrd:rvb i="16780"/>
        </ext>
      </extLst>
    </bk>
    <bk>
      <extLst>
        <ext uri="{3e2802c4-a4d2-4d8b-9148-e3be6c30e623}">
          <xlrd:rvb i="16781"/>
        </ext>
      </extLst>
    </bk>
    <bk>
      <extLst>
        <ext uri="{3e2802c4-a4d2-4d8b-9148-e3be6c30e623}">
          <xlrd:rvb i="16782"/>
        </ext>
      </extLst>
    </bk>
    <bk>
      <extLst>
        <ext uri="{3e2802c4-a4d2-4d8b-9148-e3be6c30e623}">
          <xlrd:rvb i="16783"/>
        </ext>
      </extLst>
    </bk>
    <bk>
      <extLst>
        <ext uri="{3e2802c4-a4d2-4d8b-9148-e3be6c30e623}">
          <xlrd:rvb i="16784"/>
        </ext>
      </extLst>
    </bk>
    <bk>
      <extLst>
        <ext uri="{3e2802c4-a4d2-4d8b-9148-e3be6c30e623}">
          <xlrd:rvb i="16785"/>
        </ext>
      </extLst>
    </bk>
    <bk>
      <extLst>
        <ext uri="{3e2802c4-a4d2-4d8b-9148-e3be6c30e623}">
          <xlrd:rvb i="16786"/>
        </ext>
      </extLst>
    </bk>
    <bk>
      <extLst>
        <ext uri="{3e2802c4-a4d2-4d8b-9148-e3be6c30e623}">
          <xlrd:rvb i="16787"/>
        </ext>
      </extLst>
    </bk>
    <bk>
      <extLst>
        <ext uri="{3e2802c4-a4d2-4d8b-9148-e3be6c30e623}">
          <xlrd:rvb i="16788"/>
        </ext>
      </extLst>
    </bk>
    <bk>
      <extLst>
        <ext uri="{3e2802c4-a4d2-4d8b-9148-e3be6c30e623}">
          <xlrd:rvb i="16789"/>
        </ext>
      </extLst>
    </bk>
    <bk>
      <extLst>
        <ext uri="{3e2802c4-a4d2-4d8b-9148-e3be6c30e623}">
          <xlrd:rvb i="16790"/>
        </ext>
      </extLst>
    </bk>
    <bk>
      <extLst>
        <ext uri="{3e2802c4-a4d2-4d8b-9148-e3be6c30e623}">
          <xlrd:rvb i="16791"/>
        </ext>
      </extLst>
    </bk>
    <bk>
      <extLst>
        <ext uri="{3e2802c4-a4d2-4d8b-9148-e3be6c30e623}">
          <xlrd:rvb i="16792"/>
        </ext>
      </extLst>
    </bk>
    <bk>
      <extLst>
        <ext uri="{3e2802c4-a4d2-4d8b-9148-e3be6c30e623}">
          <xlrd:rvb i="16793"/>
        </ext>
      </extLst>
    </bk>
    <bk>
      <extLst>
        <ext uri="{3e2802c4-a4d2-4d8b-9148-e3be6c30e623}">
          <xlrd:rvb i="16794"/>
        </ext>
      </extLst>
    </bk>
    <bk>
      <extLst>
        <ext uri="{3e2802c4-a4d2-4d8b-9148-e3be6c30e623}">
          <xlrd:rvb i="16795"/>
        </ext>
      </extLst>
    </bk>
    <bk>
      <extLst>
        <ext uri="{3e2802c4-a4d2-4d8b-9148-e3be6c30e623}">
          <xlrd:rvb i="16796"/>
        </ext>
      </extLst>
    </bk>
    <bk>
      <extLst>
        <ext uri="{3e2802c4-a4d2-4d8b-9148-e3be6c30e623}">
          <xlrd:rvb i="16797"/>
        </ext>
      </extLst>
    </bk>
    <bk>
      <extLst>
        <ext uri="{3e2802c4-a4d2-4d8b-9148-e3be6c30e623}">
          <xlrd:rvb i="16798"/>
        </ext>
      </extLst>
    </bk>
    <bk>
      <extLst>
        <ext uri="{3e2802c4-a4d2-4d8b-9148-e3be6c30e623}">
          <xlrd:rvb i="16799"/>
        </ext>
      </extLst>
    </bk>
    <bk>
      <extLst>
        <ext uri="{3e2802c4-a4d2-4d8b-9148-e3be6c30e623}">
          <xlrd:rvb i="16800"/>
        </ext>
      </extLst>
    </bk>
    <bk>
      <extLst>
        <ext uri="{3e2802c4-a4d2-4d8b-9148-e3be6c30e623}">
          <xlrd:rvb i="16801"/>
        </ext>
      </extLst>
    </bk>
    <bk>
      <extLst>
        <ext uri="{3e2802c4-a4d2-4d8b-9148-e3be6c30e623}">
          <xlrd:rvb i="16802"/>
        </ext>
      </extLst>
    </bk>
    <bk>
      <extLst>
        <ext uri="{3e2802c4-a4d2-4d8b-9148-e3be6c30e623}">
          <xlrd:rvb i="16803"/>
        </ext>
      </extLst>
    </bk>
    <bk>
      <extLst>
        <ext uri="{3e2802c4-a4d2-4d8b-9148-e3be6c30e623}">
          <xlrd:rvb i="16804"/>
        </ext>
      </extLst>
    </bk>
    <bk>
      <extLst>
        <ext uri="{3e2802c4-a4d2-4d8b-9148-e3be6c30e623}">
          <xlrd:rvb i="16805"/>
        </ext>
      </extLst>
    </bk>
    <bk>
      <extLst>
        <ext uri="{3e2802c4-a4d2-4d8b-9148-e3be6c30e623}">
          <xlrd:rvb i="16806"/>
        </ext>
      </extLst>
    </bk>
    <bk>
      <extLst>
        <ext uri="{3e2802c4-a4d2-4d8b-9148-e3be6c30e623}">
          <xlrd:rvb i="16807"/>
        </ext>
      </extLst>
    </bk>
    <bk>
      <extLst>
        <ext uri="{3e2802c4-a4d2-4d8b-9148-e3be6c30e623}">
          <xlrd:rvb i="16808"/>
        </ext>
      </extLst>
    </bk>
    <bk>
      <extLst>
        <ext uri="{3e2802c4-a4d2-4d8b-9148-e3be6c30e623}">
          <xlrd:rvb i="16809"/>
        </ext>
      </extLst>
    </bk>
    <bk>
      <extLst>
        <ext uri="{3e2802c4-a4d2-4d8b-9148-e3be6c30e623}">
          <xlrd:rvb i="16810"/>
        </ext>
      </extLst>
    </bk>
    <bk>
      <extLst>
        <ext uri="{3e2802c4-a4d2-4d8b-9148-e3be6c30e623}">
          <xlrd:rvb i="16811"/>
        </ext>
      </extLst>
    </bk>
    <bk>
      <extLst>
        <ext uri="{3e2802c4-a4d2-4d8b-9148-e3be6c30e623}">
          <xlrd:rvb i="16812"/>
        </ext>
      </extLst>
    </bk>
    <bk>
      <extLst>
        <ext uri="{3e2802c4-a4d2-4d8b-9148-e3be6c30e623}">
          <xlrd:rvb i="16813"/>
        </ext>
      </extLst>
    </bk>
    <bk>
      <extLst>
        <ext uri="{3e2802c4-a4d2-4d8b-9148-e3be6c30e623}">
          <xlrd:rvb i="16814"/>
        </ext>
      </extLst>
    </bk>
    <bk>
      <extLst>
        <ext uri="{3e2802c4-a4d2-4d8b-9148-e3be6c30e623}">
          <xlrd:rvb i="16815"/>
        </ext>
      </extLst>
    </bk>
    <bk>
      <extLst>
        <ext uri="{3e2802c4-a4d2-4d8b-9148-e3be6c30e623}">
          <xlrd:rvb i="16816"/>
        </ext>
      </extLst>
    </bk>
    <bk>
      <extLst>
        <ext uri="{3e2802c4-a4d2-4d8b-9148-e3be6c30e623}">
          <xlrd:rvb i="16817"/>
        </ext>
      </extLst>
    </bk>
    <bk>
      <extLst>
        <ext uri="{3e2802c4-a4d2-4d8b-9148-e3be6c30e623}">
          <xlrd:rvb i="16818"/>
        </ext>
      </extLst>
    </bk>
    <bk>
      <extLst>
        <ext uri="{3e2802c4-a4d2-4d8b-9148-e3be6c30e623}">
          <xlrd:rvb i="16819"/>
        </ext>
      </extLst>
    </bk>
    <bk>
      <extLst>
        <ext uri="{3e2802c4-a4d2-4d8b-9148-e3be6c30e623}">
          <xlrd:rvb i="16820"/>
        </ext>
      </extLst>
    </bk>
    <bk>
      <extLst>
        <ext uri="{3e2802c4-a4d2-4d8b-9148-e3be6c30e623}">
          <xlrd:rvb i="16821"/>
        </ext>
      </extLst>
    </bk>
    <bk>
      <extLst>
        <ext uri="{3e2802c4-a4d2-4d8b-9148-e3be6c30e623}">
          <xlrd:rvb i="16822"/>
        </ext>
      </extLst>
    </bk>
    <bk>
      <extLst>
        <ext uri="{3e2802c4-a4d2-4d8b-9148-e3be6c30e623}">
          <xlrd:rvb i="16823"/>
        </ext>
      </extLst>
    </bk>
    <bk>
      <extLst>
        <ext uri="{3e2802c4-a4d2-4d8b-9148-e3be6c30e623}">
          <xlrd:rvb i="16824"/>
        </ext>
      </extLst>
    </bk>
    <bk>
      <extLst>
        <ext uri="{3e2802c4-a4d2-4d8b-9148-e3be6c30e623}">
          <xlrd:rvb i="16825"/>
        </ext>
      </extLst>
    </bk>
    <bk>
      <extLst>
        <ext uri="{3e2802c4-a4d2-4d8b-9148-e3be6c30e623}">
          <xlrd:rvb i="16826"/>
        </ext>
      </extLst>
    </bk>
    <bk>
      <extLst>
        <ext uri="{3e2802c4-a4d2-4d8b-9148-e3be6c30e623}">
          <xlrd:rvb i="16827"/>
        </ext>
      </extLst>
    </bk>
    <bk>
      <extLst>
        <ext uri="{3e2802c4-a4d2-4d8b-9148-e3be6c30e623}">
          <xlrd:rvb i="16828"/>
        </ext>
      </extLst>
    </bk>
    <bk>
      <extLst>
        <ext uri="{3e2802c4-a4d2-4d8b-9148-e3be6c30e623}">
          <xlrd:rvb i="16829"/>
        </ext>
      </extLst>
    </bk>
    <bk>
      <extLst>
        <ext uri="{3e2802c4-a4d2-4d8b-9148-e3be6c30e623}">
          <xlrd:rvb i="16830"/>
        </ext>
      </extLst>
    </bk>
    <bk>
      <extLst>
        <ext uri="{3e2802c4-a4d2-4d8b-9148-e3be6c30e623}">
          <xlrd:rvb i="16831"/>
        </ext>
      </extLst>
    </bk>
    <bk>
      <extLst>
        <ext uri="{3e2802c4-a4d2-4d8b-9148-e3be6c30e623}">
          <xlrd:rvb i="16832"/>
        </ext>
      </extLst>
    </bk>
    <bk>
      <extLst>
        <ext uri="{3e2802c4-a4d2-4d8b-9148-e3be6c30e623}">
          <xlrd:rvb i="16833"/>
        </ext>
      </extLst>
    </bk>
    <bk>
      <extLst>
        <ext uri="{3e2802c4-a4d2-4d8b-9148-e3be6c30e623}">
          <xlrd:rvb i="16834"/>
        </ext>
      </extLst>
    </bk>
    <bk>
      <extLst>
        <ext uri="{3e2802c4-a4d2-4d8b-9148-e3be6c30e623}">
          <xlrd:rvb i="16835"/>
        </ext>
      </extLst>
    </bk>
    <bk>
      <extLst>
        <ext uri="{3e2802c4-a4d2-4d8b-9148-e3be6c30e623}">
          <xlrd:rvb i="16836"/>
        </ext>
      </extLst>
    </bk>
    <bk>
      <extLst>
        <ext uri="{3e2802c4-a4d2-4d8b-9148-e3be6c30e623}">
          <xlrd:rvb i="16837"/>
        </ext>
      </extLst>
    </bk>
    <bk>
      <extLst>
        <ext uri="{3e2802c4-a4d2-4d8b-9148-e3be6c30e623}">
          <xlrd:rvb i="16838"/>
        </ext>
      </extLst>
    </bk>
    <bk>
      <extLst>
        <ext uri="{3e2802c4-a4d2-4d8b-9148-e3be6c30e623}">
          <xlrd:rvb i="16839"/>
        </ext>
      </extLst>
    </bk>
    <bk>
      <extLst>
        <ext uri="{3e2802c4-a4d2-4d8b-9148-e3be6c30e623}">
          <xlrd:rvb i="16840"/>
        </ext>
      </extLst>
    </bk>
    <bk>
      <extLst>
        <ext uri="{3e2802c4-a4d2-4d8b-9148-e3be6c30e623}">
          <xlrd:rvb i="16841"/>
        </ext>
      </extLst>
    </bk>
    <bk>
      <extLst>
        <ext uri="{3e2802c4-a4d2-4d8b-9148-e3be6c30e623}">
          <xlrd:rvb i="16842"/>
        </ext>
      </extLst>
    </bk>
    <bk>
      <extLst>
        <ext uri="{3e2802c4-a4d2-4d8b-9148-e3be6c30e623}">
          <xlrd:rvb i="16843"/>
        </ext>
      </extLst>
    </bk>
    <bk>
      <extLst>
        <ext uri="{3e2802c4-a4d2-4d8b-9148-e3be6c30e623}">
          <xlrd:rvb i="16844"/>
        </ext>
      </extLst>
    </bk>
    <bk>
      <extLst>
        <ext uri="{3e2802c4-a4d2-4d8b-9148-e3be6c30e623}">
          <xlrd:rvb i="16845"/>
        </ext>
      </extLst>
    </bk>
    <bk>
      <extLst>
        <ext uri="{3e2802c4-a4d2-4d8b-9148-e3be6c30e623}">
          <xlrd:rvb i="16846"/>
        </ext>
      </extLst>
    </bk>
    <bk>
      <extLst>
        <ext uri="{3e2802c4-a4d2-4d8b-9148-e3be6c30e623}">
          <xlrd:rvb i="16847"/>
        </ext>
      </extLst>
    </bk>
    <bk>
      <extLst>
        <ext uri="{3e2802c4-a4d2-4d8b-9148-e3be6c30e623}">
          <xlrd:rvb i="16848"/>
        </ext>
      </extLst>
    </bk>
    <bk>
      <extLst>
        <ext uri="{3e2802c4-a4d2-4d8b-9148-e3be6c30e623}">
          <xlrd:rvb i="16849"/>
        </ext>
      </extLst>
    </bk>
    <bk>
      <extLst>
        <ext uri="{3e2802c4-a4d2-4d8b-9148-e3be6c30e623}">
          <xlrd:rvb i="16850"/>
        </ext>
      </extLst>
    </bk>
    <bk>
      <extLst>
        <ext uri="{3e2802c4-a4d2-4d8b-9148-e3be6c30e623}">
          <xlrd:rvb i="16851"/>
        </ext>
      </extLst>
    </bk>
    <bk>
      <extLst>
        <ext uri="{3e2802c4-a4d2-4d8b-9148-e3be6c30e623}">
          <xlrd:rvb i="16852"/>
        </ext>
      </extLst>
    </bk>
    <bk>
      <extLst>
        <ext uri="{3e2802c4-a4d2-4d8b-9148-e3be6c30e623}">
          <xlrd:rvb i="16853"/>
        </ext>
      </extLst>
    </bk>
    <bk>
      <extLst>
        <ext uri="{3e2802c4-a4d2-4d8b-9148-e3be6c30e623}">
          <xlrd:rvb i="16854"/>
        </ext>
      </extLst>
    </bk>
    <bk>
      <extLst>
        <ext uri="{3e2802c4-a4d2-4d8b-9148-e3be6c30e623}">
          <xlrd:rvb i="16855"/>
        </ext>
      </extLst>
    </bk>
    <bk>
      <extLst>
        <ext uri="{3e2802c4-a4d2-4d8b-9148-e3be6c30e623}">
          <xlrd:rvb i="16856"/>
        </ext>
      </extLst>
    </bk>
    <bk>
      <extLst>
        <ext uri="{3e2802c4-a4d2-4d8b-9148-e3be6c30e623}">
          <xlrd:rvb i="16857"/>
        </ext>
      </extLst>
    </bk>
    <bk>
      <extLst>
        <ext uri="{3e2802c4-a4d2-4d8b-9148-e3be6c30e623}">
          <xlrd:rvb i="16858"/>
        </ext>
      </extLst>
    </bk>
    <bk>
      <extLst>
        <ext uri="{3e2802c4-a4d2-4d8b-9148-e3be6c30e623}">
          <xlrd:rvb i="16859"/>
        </ext>
      </extLst>
    </bk>
    <bk>
      <extLst>
        <ext uri="{3e2802c4-a4d2-4d8b-9148-e3be6c30e623}">
          <xlrd:rvb i="16860"/>
        </ext>
      </extLst>
    </bk>
    <bk>
      <extLst>
        <ext uri="{3e2802c4-a4d2-4d8b-9148-e3be6c30e623}">
          <xlrd:rvb i="16861"/>
        </ext>
      </extLst>
    </bk>
    <bk>
      <extLst>
        <ext uri="{3e2802c4-a4d2-4d8b-9148-e3be6c30e623}">
          <xlrd:rvb i="16862"/>
        </ext>
      </extLst>
    </bk>
    <bk>
      <extLst>
        <ext uri="{3e2802c4-a4d2-4d8b-9148-e3be6c30e623}">
          <xlrd:rvb i="16863"/>
        </ext>
      </extLst>
    </bk>
    <bk>
      <extLst>
        <ext uri="{3e2802c4-a4d2-4d8b-9148-e3be6c30e623}">
          <xlrd:rvb i="16864"/>
        </ext>
      </extLst>
    </bk>
    <bk>
      <extLst>
        <ext uri="{3e2802c4-a4d2-4d8b-9148-e3be6c30e623}">
          <xlrd:rvb i="16865"/>
        </ext>
      </extLst>
    </bk>
    <bk>
      <extLst>
        <ext uri="{3e2802c4-a4d2-4d8b-9148-e3be6c30e623}">
          <xlrd:rvb i="16866"/>
        </ext>
      </extLst>
    </bk>
    <bk>
      <extLst>
        <ext uri="{3e2802c4-a4d2-4d8b-9148-e3be6c30e623}">
          <xlrd:rvb i="16867"/>
        </ext>
      </extLst>
    </bk>
    <bk>
      <extLst>
        <ext uri="{3e2802c4-a4d2-4d8b-9148-e3be6c30e623}">
          <xlrd:rvb i="16868"/>
        </ext>
      </extLst>
    </bk>
    <bk>
      <extLst>
        <ext uri="{3e2802c4-a4d2-4d8b-9148-e3be6c30e623}">
          <xlrd:rvb i="16869"/>
        </ext>
      </extLst>
    </bk>
    <bk>
      <extLst>
        <ext uri="{3e2802c4-a4d2-4d8b-9148-e3be6c30e623}">
          <xlrd:rvb i="16870"/>
        </ext>
      </extLst>
    </bk>
    <bk>
      <extLst>
        <ext uri="{3e2802c4-a4d2-4d8b-9148-e3be6c30e623}">
          <xlrd:rvb i="16871"/>
        </ext>
      </extLst>
    </bk>
    <bk>
      <extLst>
        <ext uri="{3e2802c4-a4d2-4d8b-9148-e3be6c30e623}">
          <xlrd:rvb i="16872"/>
        </ext>
      </extLst>
    </bk>
    <bk>
      <extLst>
        <ext uri="{3e2802c4-a4d2-4d8b-9148-e3be6c30e623}">
          <xlrd:rvb i="16873"/>
        </ext>
      </extLst>
    </bk>
    <bk>
      <extLst>
        <ext uri="{3e2802c4-a4d2-4d8b-9148-e3be6c30e623}">
          <xlrd:rvb i="16874"/>
        </ext>
      </extLst>
    </bk>
    <bk>
      <extLst>
        <ext uri="{3e2802c4-a4d2-4d8b-9148-e3be6c30e623}">
          <xlrd:rvb i="16875"/>
        </ext>
      </extLst>
    </bk>
    <bk>
      <extLst>
        <ext uri="{3e2802c4-a4d2-4d8b-9148-e3be6c30e623}">
          <xlrd:rvb i="16876"/>
        </ext>
      </extLst>
    </bk>
    <bk>
      <extLst>
        <ext uri="{3e2802c4-a4d2-4d8b-9148-e3be6c30e623}">
          <xlrd:rvb i="16877"/>
        </ext>
      </extLst>
    </bk>
    <bk>
      <extLst>
        <ext uri="{3e2802c4-a4d2-4d8b-9148-e3be6c30e623}">
          <xlrd:rvb i="16878"/>
        </ext>
      </extLst>
    </bk>
    <bk>
      <extLst>
        <ext uri="{3e2802c4-a4d2-4d8b-9148-e3be6c30e623}">
          <xlrd:rvb i="16879"/>
        </ext>
      </extLst>
    </bk>
    <bk>
      <extLst>
        <ext uri="{3e2802c4-a4d2-4d8b-9148-e3be6c30e623}">
          <xlrd:rvb i="16880"/>
        </ext>
      </extLst>
    </bk>
    <bk>
      <extLst>
        <ext uri="{3e2802c4-a4d2-4d8b-9148-e3be6c30e623}">
          <xlrd:rvb i="16881"/>
        </ext>
      </extLst>
    </bk>
    <bk>
      <extLst>
        <ext uri="{3e2802c4-a4d2-4d8b-9148-e3be6c30e623}">
          <xlrd:rvb i="16882"/>
        </ext>
      </extLst>
    </bk>
    <bk>
      <extLst>
        <ext uri="{3e2802c4-a4d2-4d8b-9148-e3be6c30e623}">
          <xlrd:rvb i="16883"/>
        </ext>
      </extLst>
    </bk>
    <bk>
      <extLst>
        <ext uri="{3e2802c4-a4d2-4d8b-9148-e3be6c30e623}">
          <xlrd:rvb i="16884"/>
        </ext>
      </extLst>
    </bk>
    <bk>
      <extLst>
        <ext uri="{3e2802c4-a4d2-4d8b-9148-e3be6c30e623}">
          <xlrd:rvb i="16885"/>
        </ext>
      </extLst>
    </bk>
    <bk>
      <extLst>
        <ext uri="{3e2802c4-a4d2-4d8b-9148-e3be6c30e623}">
          <xlrd:rvb i="16886"/>
        </ext>
      </extLst>
    </bk>
    <bk>
      <extLst>
        <ext uri="{3e2802c4-a4d2-4d8b-9148-e3be6c30e623}">
          <xlrd:rvb i="16887"/>
        </ext>
      </extLst>
    </bk>
    <bk>
      <extLst>
        <ext uri="{3e2802c4-a4d2-4d8b-9148-e3be6c30e623}">
          <xlrd:rvb i="16888"/>
        </ext>
      </extLst>
    </bk>
    <bk>
      <extLst>
        <ext uri="{3e2802c4-a4d2-4d8b-9148-e3be6c30e623}">
          <xlrd:rvb i="16889"/>
        </ext>
      </extLst>
    </bk>
    <bk>
      <extLst>
        <ext uri="{3e2802c4-a4d2-4d8b-9148-e3be6c30e623}">
          <xlrd:rvb i="16890"/>
        </ext>
      </extLst>
    </bk>
    <bk>
      <extLst>
        <ext uri="{3e2802c4-a4d2-4d8b-9148-e3be6c30e623}">
          <xlrd:rvb i="16891"/>
        </ext>
      </extLst>
    </bk>
    <bk>
      <extLst>
        <ext uri="{3e2802c4-a4d2-4d8b-9148-e3be6c30e623}">
          <xlrd:rvb i="16892"/>
        </ext>
      </extLst>
    </bk>
    <bk>
      <extLst>
        <ext uri="{3e2802c4-a4d2-4d8b-9148-e3be6c30e623}">
          <xlrd:rvb i="16893"/>
        </ext>
      </extLst>
    </bk>
    <bk>
      <extLst>
        <ext uri="{3e2802c4-a4d2-4d8b-9148-e3be6c30e623}">
          <xlrd:rvb i="16894"/>
        </ext>
      </extLst>
    </bk>
    <bk>
      <extLst>
        <ext uri="{3e2802c4-a4d2-4d8b-9148-e3be6c30e623}">
          <xlrd:rvb i="16895"/>
        </ext>
      </extLst>
    </bk>
    <bk>
      <extLst>
        <ext uri="{3e2802c4-a4d2-4d8b-9148-e3be6c30e623}">
          <xlrd:rvb i="16896"/>
        </ext>
      </extLst>
    </bk>
    <bk>
      <extLst>
        <ext uri="{3e2802c4-a4d2-4d8b-9148-e3be6c30e623}">
          <xlrd:rvb i="16897"/>
        </ext>
      </extLst>
    </bk>
    <bk>
      <extLst>
        <ext uri="{3e2802c4-a4d2-4d8b-9148-e3be6c30e623}">
          <xlrd:rvb i="16898"/>
        </ext>
      </extLst>
    </bk>
    <bk>
      <extLst>
        <ext uri="{3e2802c4-a4d2-4d8b-9148-e3be6c30e623}">
          <xlrd:rvb i="16899"/>
        </ext>
      </extLst>
    </bk>
    <bk>
      <extLst>
        <ext uri="{3e2802c4-a4d2-4d8b-9148-e3be6c30e623}">
          <xlrd:rvb i="16900"/>
        </ext>
      </extLst>
    </bk>
    <bk>
      <extLst>
        <ext uri="{3e2802c4-a4d2-4d8b-9148-e3be6c30e623}">
          <xlrd:rvb i="16901"/>
        </ext>
      </extLst>
    </bk>
    <bk>
      <extLst>
        <ext uri="{3e2802c4-a4d2-4d8b-9148-e3be6c30e623}">
          <xlrd:rvb i="16902"/>
        </ext>
      </extLst>
    </bk>
    <bk>
      <extLst>
        <ext uri="{3e2802c4-a4d2-4d8b-9148-e3be6c30e623}">
          <xlrd:rvb i="16903"/>
        </ext>
      </extLst>
    </bk>
    <bk>
      <extLst>
        <ext uri="{3e2802c4-a4d2-4d8b-9148-e3be6c30e623}">
          <xlrd:rvb i="16904"/>
        </ext>
      </extLst>
    </bk>
    <bk>
      <extLst>
        <ext uri="{3e2802c4-a4d2-4d8b-9148-e3be6c30e623}">
          <xlrd:rvb i="16905"/>
        </ext>
      </extLst>
    </bk>
    <bk>
      <extLst>
        <ext uri="{3e2802c4-a4d2-4d8b-9148-e3be6c30e623}">
          <xlrd:rvb i="16906"/>
        </ext>
      </extLst>
    </bk>
    <bk>
      <extLst>
        <ext uri="{3e2802c4-a4d2-4d8b-9148-e3be6c30e623}">
          <xlrd:rvb i="16907"/>
        </ext>
      </extLst>
    </bk>
    <bk>
      <extLst>
        <ext uri="{3e2802c4-a4d2-4d8b-9148-e3be6c30e623}">
          <xlrd:rvb i="16908"/>
        </ext>
      </extLst>
    </bk>
    <bk>
      <extLst>
        <ext uri="{3e2802c4-a4d2-4d8b-9148-e3be6c30e623}">
          <xlrd:rvb i="16909"/>
        </ext>
      </extLst>
    </bk>
    <bk>
      <extLst>
        <ext uri="{3e2802c4-a4d2-4d8b-9148-e3be6c30e623}">
          <xlrd:rvb i="16910"/>
        </ext>
      </extLst>
    </bk>
    <bk>
      <extLst>
        <ext uri="{3e2802c4-a4d2-4d8b-9148-e3be6c30e623}">
          <xlrd:rvb i="16911"/>
        </ext>
      </extLst>
    </bk>
    <bk>
      <extLst>
        <ext uri="{3e2802c4-a4d2-4d8b-9148-e3be6c30e623}">
          <xlrd:rvb i="16912"/>
        </ext>
      </extLst>
    </bk>
    <bk>
      <extLst>
        <ext uri="{3e2802c4-a4d2-4d8b-9148-e3be6c30e623}">
          <xlrd:rvb i="16913"/>
        </ext>
      </extLst>
    </bk>
    <bk>
      <extLst>
        <ext uri="{3e2802c4-a4d2-4d8b-9148-e3be6c30e623}">
          <xlrd:rvb i="16914"/>
        </ext>
      </extLst>
    </bk>
    <bk>
      <extLst>
        <ext uri="{3e2802c4-a4d2-4d8b-9148-e3be6c30e623}">
          <xlrd:rvb i="16915"/>
        </ext>
      </extLst>
    </bk>
    <bk>
      <extLst>
        <ext uri="{3e2802c4-a4d2-4d8b-9148-e3be6c30e623}">
          <xlrd:rvb i="16916"/>
        </ext>
      </extLst>
    </bk>
    <bk>
      <extLst>
        <ext uri="{3e2802c4-a4d2-4d8b-9148-e3be6c30e623}">
          <xlrd:rvb i="16917"/>
        </ext>
      </extLst>
    </bk>
    <bk>
      <extLst>
        <ext uri="{3e2802c4-a4d2-4d8b-9148-e3be6c30e623}">
          <xlrd:rvb i="16918"/>
        </ext>
      </extLst>
    </bk>
    <bk>
      <extLst>
        <ext uri="{3e2802c4-a4d2-4d8b-9148-e3be6c30e623}">
          <xlrd:rvb i="16919"/>
        </ext>
      </extLst>
    </bk>
    <bk>
      <extLst>
        <ext uri="{3e2802c4-a4d2-4d8b-9148-e3be6c30e623}">
          <xlrd:rvb i="16920"/>
        </ext>
      </extLst>
    </bk>
    <bk>
      <extLst>
        <ext uri="{3e2802c4-a4d2-4d8b-9148-e3be6c30e623}">
          <xlrd:rvb i="16921"/>
        </ext>
      </extLst>
    </bk>
    <bk>
      <extLst>
        <ext uri="{3e2802c4-a4d2-4d8b-9148-e3be6c30e623}">
          <xlrd:rvb i="16922"/>
        </ext>
      </extLst>
    </bk>
    <bk>
      <extLst>
        <ext uri="{3e2802c4-a4d2-4d8b-9148-e3be6c30e623}">
          <xlrd:rvb i="16923"/>
        </ext>
      </extLst>
    </bk>
    <bk>
      <extLst>
        <ext uri="{3e2802c4-a4d2-4d8b-9148-e3be6c30e623}">
          <xlrd:rvb i="16924"/>
        </ext>
      </extLst>
    </bk>
    <bk>
      <extLst>
        <ext uri="{3e2802c4-a4d2-4d8b-9148-e3be6c30e623}">
          <xlrd:rvb i="16925"/>
        </ext>
      </extLst>
    </bk>
    <bk>
      <extLst>
        <ext uri="{3e2802c4-a4d2-4d8b-9148-e3be6c30e623}">
          <xlrd:rvb i="16926"/>
        </ext>
      </extLst>
    </bk>
    <bk>
      <extLst>
        <ext uri="{3e2802c4-a4d2-4d8b-9148-e3be6c30e623}">
          <xlrd:rvb i="16927"/>
        </ext>
      </extLst>
    </bk>
    <bk>
      <extLst>
        <ext uri="{3e2802c4-a4d2-4d8b-9148-e3be6c30e623}">
          <xlrd:rvb i="16928"/>
        </ext>
      </extLst>
    </bk>
    <bk>
      <extLst>
        <ext uri="{3e2802c4-a4d2-4d8b-9148-e3be6c30e623}">
          <xlrd:rvb i="16929"/>
        </ext>
      </extLst>
    </bk>
    <bk>
      <extLst>
        <ext uri="{3e2802c4-a4d2-4d8b-9148-e3be6c30e623}">
          <xlrd:rvb i="16930"/>
        </ext>
      </extLst>
    </bk>
    <bk>
      <extLst>
        <ext uri="{3e2802c4-a4d2-4d8b-9148-e3be6c30e623}">
          <xlrd:rvb i="16931"/>
        </ext>
      </extLst>
    </bk>
    <bk>
      <extLst>
        <ext uri="{3e2802c4-a4d2-4d8b-9148-e3be6c30e623}">
          <xlrd:rvb i="16932"/>
        </ext>
      </extLst>
    </bk>
    <bk>
      <extLst>
        <ext uri="{3e2802c4-a4d2-4d8b-9148-e3be6c30e623}">
          <xlrd:rvb i="16933"/>
        </ext>
      </extLst>
    </bk>
    <bk>
      <extLst>
        <ext uri="{3e2802c4-a4d2-4d8b-9148-e3be6c30e623}">
          <xlrd:rvb i="16934"/>
        </ext>
      </extLst>
    </bk>
    <bk>
      <extLst>
        <ext uri="{3e2802c4-a4d2-4d8b-9148-e3be6c30e623}">
          <xlrd:rvb i="16935"/>
        </ext>
      </extLst>
    </bk>
    <bk>
      <extLst>
        <ext uri="{3e2802c4-a4d2-4d8b-9148-e3be6c30e623}">
          <xlrd:rvb i="16936"/>
        </ext>
      </extLst>
    </bk>
    <bk>
      <extLst>
        <ext uri="{3e2802c4-a4d2-4d8b-9148-e3be6c30e623}">
          <xlrd:rvb i="16937"/>
        </ext>
      </extLst>
    </bk>
    <bk>
      <extLst>
        <ext uri="{3e2802c4-a4d2-4d8b-9148-e3be6c30e623}">
          <xlrd:rvb i="16938"/>
        </ext>
      </extLst>
    </bk>
    <bk>
      <extLst>
        <ext uri="{3e2802c4-a4d2-4d8b-9148-e3be6c30e623}">
          <xlrd:rvb i="16939"/>
        </ext>
      </extLst>
    </bk>
    <bk>
      <extLst>
        <ext uri="{3e2802c4-a4d2-4d8b-9148-e3be6c30e623}">
          <xlrd:rvb i="16940"/>
        </ext>
      </extLst>
    </bk>
    <bk>
      <extLst>
        <ext uri="{3e2802c4-a4d2-4d8b-9148-e3be6c30e623}">
          <xlrd:rvb i="16941"/>
        </ext>
      </extLst>
    </bk>
    <bk>
      <extLst>
        <ext uri="{3e2802c4-a4d2-4d8b-9148-e3be6c30e623}">
          <xlrd:rvb i="16942"/>
        </ext>
      </extLst>
    </bk>
    <bk>
      <extLst>
        <ext uri="{3e2802c4-a4d2-4d8b-9148-e3be6c30e623}">
          <xlrd:rvb i="16943"/>
        </ext>
      </extLst>
    </bk>
    <bk>
      <extLst>
        <ext uri="{3e2802c4-a4d2-4d8b-9148-e3be6c30e623}">
          <xlrd:rvb i="16944"/>
        </ext>
      </extLst>
    </bk>
    <bk>
      <extLst>
        <ext uri="{3e2802c4-a4d2-4d8b-9148-e3be6c30e623}">
          <xlrd:rvb i="16945"/>
        </ext>
      </extLst>
    </bk>
    <bk>
      <extLst>
        <ext uri="{3e2802c4-a4d2-4d8b-9148-e3be6c30e623}">
          <xlrd:rvb i="16946"/>
        </ext>
      </extLst>
    </bk>
    <bk>
      <extLst>
        <ext uri="{3e2802c4-a4d2-4d8b-9148-e3be6c30e623}">
          <xlrd:rvb i="16947"/>
        </ext>
      </extLst>
    </bk>
    <bk>
      <extLst>
        <ext uri="{3e2802c4-a4d2-4d8b-9148-e3be6c30e623}">
          <xlrd:rvb i="16948"/>
        </ext>
      </extLst>
    </bk>
    <bk>
      <extLst>
        <ext uri="{3e2802c4-a4d2-4d8b-9148-e3be6c30e623}">
          <xlrd:rvb i="16949"/>
        </ext>
      </extLst>
    </bk>
    <bk>
      <extLst>
        <ext uri="{3e2802c4-a4d2-4d8b-9148-e3be6c30e623}">
          <xlrd:rvb i="16950"/>
        </ext>
      </extLst>
    </bk>
    <bk>
      <extLst>
        <ext uri="{3e2802c4-a4d2-4d8b-9148-e3be6c30e623}">
          <xlrd:rvb i="16951"/>
        </ext>
      </extLst>
    </bk>
    <bk>
      <extLst>
        <ext uri="{3e2802c4-a4d2-4d8b-9148-e3be6c30e623}">
          <xlrd:rvb i="16952"/>
        </ext>
      </extLst>
    </bk>
    <bk>
      <extLst>
        <ext uri="{3e2802c4-a4d2-4d8b-9148-e3be6c30e623}">
          <xlrd:rvb i="16953"/>
        </ext>
      </extLst>
    </bk>
    <bk>
      <extLst>
        <ext uri="{3e2802c4-a4d2-4d8b-9148-e3be6c30e623}">
          <xlrd:rvb i="16954"/>
        </ext>
      </extLst>
    </bk>
    <bk>
      <extLst>
        <ext uri="{3e2802c4-a4d2-4d8b-9148-e3be6c30e623}">
          <xlrd:rvb i="16955"/>
        </ext>
      </extLst>
    </bk>
    <bk>
      <extLst>
        <ext uri="{3e2802c4-a4d2-4d8b-9148-e3be6c30e623}">
          <xlrd:rvb i="16956"/>
        </ext>
      </extLst>
    </bk>
    <bk>
      <extLst>
        <ext uri="{3e2802c4-a4d2-4d8b-9148-e3be6c30e623}">
          <xlrd:rvb i="16957"/>
        </ext>
      </extLst>
    </bk>
    <bk>
      <extLst>
        <ext uri="{3e2802c4-a4d2-4d8b-9148-e3be6c30e623}">
          <xlrd:rvb i="16958"/>
        </ext>
      </extLst>
    </bk>
    <bk>
      <extLst>
        <ext uri="{3e2802c4-a4d2-4d8b-9148-e3be6c30e623}">
          <xlrd:rvb i="16959"/>
        </ext>
      </extLst>
    </bk>
    <bk>
      <extLst>
        <ext uri="{3e2802c4-a4d2-4d8b-9148-e3be6c30e623}">
          <xlrd:rvb i="16960"/>
        </ext>
      </extLst>
    </bk>
    <bk>
      <extLst>
        <ext uri="{3e2802c4-a4d2-4d8b-9148-e3be6c30e623}">
          <xlrd:rvb i="16961"/>
        </ext>
      </extLst>
    </bk>
    <bk>
      <extLst>
        <ext uri="{3e2802c4-a4d2-4d8b-9148-e3be6c30e623}">
          <xlrd:rvb i="16962"/>
        </ext>
      </extLst>
    </bk>
    <bk>
      <extLst>
        <ext uri="{3e2802c4-a4d2-4d8b-9148-e3be6c30e623}">
          <xlrd:rvb i="16963"/>
        </ext>
      </extLst>
    </bk>
    <bk>
      <extLst>
        <ext uri="{3e2802c4-a4d2-4d8b-9148-e3be6c30e623}">
          <xlrd:rvb i="16964"/>
        </ext>
      </extLst>
    </bk>
    <bk>
      <extLst>
        <ext uri="{3e2802c4-a4d2-4d8b-9148-e3be6c30e623}">
          <xlrd:rvb i="16965"/>
        </ext>
      </extLst>
    </bk>
    <bk>
      <extLst>
        <ext uri="{3e2802c4-a4d2-4d8b-9148-e3be6c30e623}">
          <xlrd:rvb i="16966"/>
        </ext>
      </extLst>
    </bk>
    <bk>
      <extLst>
        <ext uri="{3e2802c4-a4d2-4d8b-9148-e3be6c30e623}">
          <xlrd:rvb i="16967"/>
        </ext>
      </extLst>
    </bk>
    <bk>
      <extLst>
        <ext uri="{3e2802c4-a4d2-4d8b-9148-e3be6c30e623}">
          <xlrd:rvb i="16968"/>
        </ext>
      </extLst>
    </bk>
    <bk>
      <extLst>
        <ext uri="{3e2802c4-a4d2-4d8b-9148-e3be6c30e623}">
          <xlrd:rvb i="16969"/>
        </ext>
      </extLst>
    </bk>
    <bk>
      <extLst>
        <ext uri="{3e2802c4-a4d2-4d8b-9148-e3be6c30e623}">
          <xlrd:rvb i="16970"/>
        </ext>
      </extLst>
    </bk>
    <bk>
      <extLst>
        <ext uri="{3e2802c4-a4d2-4d8b-9148-e3be6c30e623}">
          <xlrd:rvb i="16971"/>
        </ext>
      </extLst>
    </bk>
    <bk>
      <extLst>
        <ext uri="{3e2802c4-a4d2-4d8b-9148-e3be6c30e623}">
          <xlrd:rvb i="16972"/>
        </ext>
      </extLst>
    </bk>
    <bk>
      <extLst>
        <ext uri="{3e2802c4-a4d2-4d8b-9148-e3be6c30e623}">
          <xlrd:rvb i="16973"/>
        </ext>
      </extLst>
    </bk>
    <bk>
      <extLst>
        <ext uri="{3e2802c4-a4d2-4d8b-9148-e3be6c30e623}">
          <xlrd:rvb i="16974"/>
        </ext>
      </extLst>
    </bk>
    <bk>
      <extLst>
        <ext uri="{3e2802c4-a4d2-4d8b-9148-e3be6c30e623}">
          <xlrd:rvb i="16975"/>
        </ext>
      </extLst>
    </bk>
    <bk>
      <extLst>
        <ext uri="{3e2802c4-a4d2-4d8b-9148-e3be6c30e623}">
          <xlrd:rvb i="16976"/>
        </ext>
      </extLst>
    </bk>
    <bk>
      <extLst>
        <ext uri="{3e2802c4-a4d2-4d8b-9148-e3be6c30e623}">
          <xlrd:rvb i="16977"/>
        </ext>
      </extLst>
    </bk>
    <bk>
      <extLst>
        <ext uri="{3e2802c4-a4d2-4d8b-9148-e3be6c30e623}">
          <xlrd:rvb i="16978"/>
        </ext>
      </extLst>
    </bk>
    <bk>
      <extLst>
        <ext uri="{3e2802c4-a4d2-4d8b-9148-e3be6c30e623}">
          <xlrd:rvb i="16979"/>
        </ext>
      </extLst>
    </bk>
    <bk>
      <extLst>
        <ext uri="{3e2802c4-a4d2-4d8b-9148-e3be6c30e623}">
          <xlrd:rvb i="16980"/>
        </ext>
      </extLst>
    </bk>
    <bk>
      <extLst>
        <ext uri="{3e2802c4-a4d2-4d8b-9148-e3be6c30e623}">
          <xlrd:rvb i="16981"/>
        </ext>
      </extLst>
    </bk>
    <bk>
      <extLst>
        <ext uri="{3e2802c4-a4d2-4d8b-9148-e3be6c30e623}">
          <xlrd:rvb i="16982"/>
        </ext>
      </extLst>
    </bk>
    <bk>
      <extLst>
        <ext uri="{3e2802c4-a4d2-4d8b-9148-e3be6c30e623}">
          <xlrd:rvb i="16983"/>
        </ext>
      </extLst>
    </bk>
    <bk>
      <extLst>
        <ext uri="{3e2802c4-a4d2-4d8b-9148-e3be6c30e623}">
          <xlrd:rvb i="16984"/>
        </ext>
      </extLst>
    </bk>
    <bk>
      <extLst>
        <ext uri="{3e2802c4-a4d2-4d8b-9148-e3be6c30e623}">
          <xlrd:rvb i="16985"/>
        </ext>
      </extLst>
    </bk>
    <bk>
      <extLst>
        <ext uri="{3e2802c4-a4d2-4d8b-9148-e3be6c30e623}">
          <xlrd:rvb i="16986"/>
        </ext>
      </extLst>
    </bk>
    <bk>
      <extLst>
        <ext uri="{3e2802c4-a4d2-4d8b-9148-e3be6c30e623}">
          <xlrd:rvb i="16987"/>
        </ext>
      </extLst>
    </bk>
    <bk>
      <extLst>
        <ext uri="{3e2802c4-a4d2-4d8b-9148-e3be6c30e623}">
          <xlrd:rvb i="16988"/>
        </ext>
      </extLst>
    </bk>
    <bk>
      <extLst>
        <ext uri="{3e2802c4-a4d2-4d8b-9148-e3be6c30e623}">
          <xlrd:rvb i="16989"/>
        </ext>
      </extLst>
    </bk>
    <bk>
      <extLst>
        <ext uri="{3e2802c4-a4d2-4d8b-9148-e3be6c30e623}">
          <xlrd:rvb i="16990"/>
        </ext>
      </extLst>
    </bk>
    <bk>
      <extLst>
        <ext uri="{3e2802c4-a4d2-4d8b-9148-e3be6c30e623}">
          <xlrd:rvb i="16991"/>
        </ext>
      </extLst>
    </bk>
    <bk>
      <extLst>
        <ext uri="{3e2802c4-a4d2-4d8b-9148-e3be6c30e623}">
          <xlrd:rvb i="16992"/>
        </ext>
      </extLst>
    </bk>
    <bk>
      <extLst>
        <ext uri="{3e2802c4-a4d2-4d8b-9148-e3be6c30e623}">
          <xlrd:rvb i="16993"/>
        </ext>
      </extLst>
    </bk>
    <bk>
      <extLst>
        <ext uri="{3e2802c4-a4d2-4d8b-9148-e3be6c30e623}">
          <xlrd:rvb i="16994"/>
        </ext>
      </extLst>
    </bk>
    <bk>
      <extLst>
        <ext uri="{3e2802c4-a4d2-4d8b-9148-e3be6c30e623}">
          <xlrd:rvb i="16995"/>
        </ext>
      </extLst>
    </bk>
    <bk>
      <extLst>
        <ext uri="{3e2802c4-a4d2-4d8b-9148-e3be6c30e623}">
          <xlrd:rvb i="16996"/>
        </ext>
      </extLst>
    </bk>
    <bk>
      <extLst>
        <ext uri="{3e2802c4-a4d2-4d8b-9148-e3be6c30e623}">
          <xlrd:rvb i="16997"/>
        </ext>
      </extLst>
    </bk>
    <bk>
      <extLst>
        <ext uri="{3e2802c4-a4d2-4d8b-9148-e3be6c30e623}">
          <xlrd:rvb i="16998"/>
        </ext>
      </extLst>
    </bk>
    <bk>
      <extLst>
        <ext uri="{3e2802c4-a4d2-4d8b-9148-e3be6c30e623}">
          <xlrd:rvb i="16999"/>
        </ext>
      </extLst>
    </bk>
    <bk>
      <extLst>
        <ext uri="{3e2802c4-a4d2-4d8b-9148-e3be6c30e623}">
          <xlrd:rvb i="17000"/>
        </ext>
      </extLst>
    </bk>
    <bk>
      <extLst>
        <ext uri="{3e2802c4-a4d2-4d8b-9148-e3be6c30e623}">
          <xlrd:rvb i="17001"/>
        </ext>
      </extLst>
    </bk>
    <bk>
      <extLst>
        <ext uri="{3e2802c4-a4d2-4d8b-9148-e3be6c30e623}">
          <xlrd:rvb i="17002"/>
        </ext>
      </extLst>
    </bk>
    <bk>
      <extLst>
        <ext uri="{3e2802c4-a4d2-4d8b-9148-e3be6c30e623}">
          <xlrd:rvb i="17003"/>
        </ext>
      </extLst>
    </bk>
    <bk>
      <extLst>
        <ext uri="{3e2802c4-a4d2-4d8b-9148-e3be6c30e623}">
          <xlrd:rvb i="17004"/>
        </ext>
      </extLst>
    </bk>
    <bk>
      <extLst>
        <ext uri="{3e2802c4-a4d2-4d8b-9148-e3be6c30e623}">
          <xlrd:rvb i="17005"/>
        </ext>
      </extLst>
    </bk>
    <bk>
      <extLst>
        <ext uri="{3e2802c4-a4d2-4d8b-9148-e3be6c30e623}">
          <xlrd:rvb i="17006"/>
        </ext>
      </extLst>
    </bk>
    <bk>
      <extLst>
        <ext uri="{3e2802c4-a4d2-4d8b-9148-e3be6c30e623}">
          <xlrd:rvb i="17007"/>
        </ext>
      </extLst>
    </bk>
    <bk>
      <extLst>
        <ext uri="{3e2802c4-a4d2-4d8b-9148-e3be6c30e623}">
          <xlrd:rvb i="17008"/>
        </ext>
      </extLst>
    </bk>
    <bk>
      <extLst>
        <ext uri="{3e2802c4-a4d2-4d8b-9148-e3be6c30e623}">
          <xlrd:rvb i="17009"/>
        </ext>
      </extLst>
    </bk>
    <bk>
      <extLst>
        <ext uri="{3e2802c4-a4d2-4d8b-9148-e3be6c30e623}">
          <xlrd:rvb i="17010"/>
        </ext>
      </extLst>
    </bk>
    <bk>
      <extLst>
        <ext uri="{3e2802c4-a4d2-4d8b-9148-e3be6c30e623}">
          <xlrd:rvb i="17011"/>
        </ext>
      </extLst>
    </bk>
    <bk>
      <extLst>
        <ext uri="{3e2802c4-a4d2-4d8b-9148-e3be6c30e623}">
          <xlrd:rvb i="17012"/>
        </ext>
      </extLst>
    </bk>
    <bk>
      <extLst>
        <ext uri="{3e2802c4-a4d2-4d8b-9148-e3be6c30e623}">
          <xlrd:rvb i="17013"/>
        </ext>
      </extLst>
    </bk>
    <bk>
      <extLst>
        <ext uri="{3e2802c4-a4d2-4d8b-9148-e3be6c30e623}">
          <xlrd:rvb i="17014"/>
        </ext>
      </extLst>
    </bk>
    <bk>
      <extLst>
        <ext uri="{3e2802c4-a4d2-4d8b-9148-e3be6c30e623}">
          <xlrd:rvb i="17015"/>
        </ext>
      </extLst>
    </bk>
    <bk>
      <extLst>
        <ext uri="{3e2802c4-a4d2-4d8b-9148-e3be6c30e623}">
          <xlrd:rvb i="17016"/>
        </ext>
      </extLst>
    </bk>
    <bk>
      <extLst>
        <ext uri="{3e2802c4-a4d2-4d8b-9148-e3be6c30e623}">
          <xlrd:rvb i="17017"/>
        </ext>
      </extLst>
    </bk>
    <bk>
      <extLst>
        <ext uri="{3e2802c4-a4d2-4d8b-9148-e3be6c30e623}">
          <xlrd:rvb i="17018"/>
        </ext>
      </extLst>
    </bk>
    <bk>
      <extLst>
        <ext uri="{3e2802c4-a4d2-4d8b-9148-e3be6c30e623}">
          <xlrd:rvb i="17019"/>
        </ext>
      </extLst>
    </bk>
    <bk>
      <extLst>
        <ext uri="{3e2802c4-a4d2-4d8b-9148-e3be6c30e623}">
          <xlrd:rvb i="17020"/>
        </ext>
      </extLst>
    </bk>
    <bk>
      <extLst>
        <ext uri="{3e2802c4-a4d2-4d8b-9148-e3be6c30e623}">
          <xlrd:rvb i="17021"/>
        </ext>
      </extLst>
    </bk>
    <bk>
      <extLst>
        <ext uri="{3e2802c4-a4d2-4d8b-9148-e3be6c30e623}">
          <xlrd:rvb i="17022"/>
        </ext>
      </extLst>
    </bk>
    <bk>
      <extLst>
        <ext uri="{3e2802c4-a4d2-4d8b-9148-e3be6c30e623}">
          <xlrd:rvb i="17023"/>
        </ext>
      </extLst>
    </bk>
    <bk>
      <extLst>
        <ext uri="{3e2802c4-a4d2-4d8b-9148-e3be6c30e623}">
          <xlrd:rvb i="17024"/>
        </ext>
      </extLst>
    </bk>
    <bk>
      <extLst>
        <ext uri="{3e2802c4-a4d2-4d8b-9148-e3be6c30e623}">
          <xlrd:rvb i="17025"/>
        </ext>
      </extLst>
    </bk>
    <bk>
      <extLst>
        <ext uri="{3e2802c4-a4d2-4d8b-9148-e3be6c30e623}">
          <xlrd:rvb i="17026"/>
        </ext>
      </extLst>
    </bk>
    <bk>
      <extLst>
        <ext uri="{3e2802c4-a4d2-4d8b-9148-e3be6c30e623}">
          <xlrd:rvb i="17027"/>
        </ext>
      </extLst>
    </bk>
    <bk>
      <extLst>
        <ext uri="{3e2802c4-a4d2-4d8b-9148-e3be6c30e623}">
          <xlrd:rvb i="17028"/>
        </ext>
      </extLst>
    </bk>
    <bk>
      <extLst>
        <ext uri="{3e2802c4-a4d2-4d8b-9148-e3be6c30e623}">
          <xlrd:rvb i="17029"/>
        </ext>
      </extLst>
    </bk>
    <bk>
      <extLst>
        <ext uri="{3e2802c4-a4d2-4d8b-9148-e3be6c30e623}">
          <xlrd:rvb i="17030"/>
        </ext>
      </extLst>
    </bk>
    <bk>
      <extLst>
        <ext uri="{3e2802c4-a4d2-4d8b-9148-e3be6c30e623}">
          <xlrd:rvb i="17031"/>
        </ext>
      </extLst>
    </bk>
    <bk>
      <extLst>
        <ext uri="{3e2802c4-a4d2-4d8b-9148-e3be6c30e623}">
          <xlrd:rvb i="17032"/>
        </ext>
      </extLst>
    </bk>
    <bk>
      <extLst>
        <ext uri="{3e2802c4-a4d2-4d8b-9148-e3be6c30e623}">
          <xlrd:rvb i="17033"/>
        </ext>
      </extLst>
    </bk>
    <bk>
      <extLst>
        <ext uri="{3e2802c4-a4d2-4d8b-9148-e3be6c30e623}">
          <xlrd:rvb i="17034"/>
        </ext>
      </extLst>
    </bk>
    <bk>
      <extLst>
        <ext uri="{3e2802c4-a4d2-4d8b-9148-e3be6c30e623}">
          <xlrd:rvb i="17035"/>
        </ext>
      </extLst>
    </bk>
    <bk>
      <extLst>
        <ext uri="{3e2802c4-a4d2-4d8b-9148-e3be6c30e623}">
          <xlrd:rvb i="17036"/>
        </ext>
      </extLst>
    </bk>
    <bk>
      <extLst>
        <ext uri="{3e2802c4-a4d2-4d8b-9148-e3be6c30e623}">
          <xlrd:rvb i="17037"/>
        </ext>
      </extLst>
    </bk>
    <bk>
      <extLst>
        <ext uri="{3e2802c4-a4d2-4d8b-9148-e3be6c30e623}">
          <xlrd:rvb i="17038"/>
        </ext>
      </extLst>
    </bk>
    <bk>
      <extLst>
        <ext uri="{3e2802c4-a4d2-4d8b-9148-e3be6c30e623}">
          <xlrd:rvb i="17039"/>
        </ext>
      </extLst>
    </bk>
    <bk>
      <extLst>
        <ext uri="{3e2802c4-a4d2-4d8b-9148-e3be6c30e623}">
          <xlrd:rvb i="17040"/>
        </ext>
      </extLst>
    </bk>
    <bk>
      <extLst>
        <ext uri="{3e2802c4-a4d2-4d8b-9148-e3be6c30e623}">
          <xlrd:rvb i="17041"/>
        </ext>
      </extLst>
    </bk>
    <bk>
      <extLst>
        <ext uri="{3e2802c4-a4d2-4d8b-9148-e3be6c30e623}">
          <xlrd:rvb i="17042"/>
        </ext>
      </extLst>
    </bk>
    <bk>
      <extLst>
        <ext uri="{3e2802c4-a4d2-4d8b-9148-e3be6c30e623}">
          <xlrd:rvb i="17043"/>
        </ext>
      </extLst>
    </bk>
    <bk>
      <extLst>
        <ext uri="{3e2802c4-a4d2-4d8b-9148-e3be6c30e623}">
          <xlrd:rvb i="17044"/>
        </ext>
      </extLst>
    </bk>
    <bk>
      <extLst>
        <ext uri="{3e2802c4-a4d2-4d8b-9148-e3be6c30e623}">
          <xlrd:rvb i="17045"/>
        </ext>
      </extLst>
    </bk>
    <bk>
      <extLst>
        <ext uri="{3e2802c4-a4d2-4d8b-9148-e3be6c30e623}">
          <xlrd:rvb i="17046"/>
        </ext>
      </extLst>
    </bk>
    <bk>
      <extLst>
        <ext uri="{3e2802c4-a4d2-4d8b-9148-e3be6c30e623}">
          <xlrd:rvb i="17047"/>
        </ext>
      </extLst>
    </bk>
    <bk>
      <extLst>
        <ext uri="{3e2802c4-a4d2-4d8b-9148-e3be6c30e623}">
          <xlrd:rvb i="17048"/>
        </ext>
      </extLst>
    </bk>
    <bk>
      <extLst>
        <ext uri="{3e2802c4-a4d2-4d8b-9148-e3be6c30e623}">
          <xlrd:rvb i="17049"/>
        </ext>
      </extLst>
    </bk>
    <bk>
      <extLst>
        <ext uri="{3e2802c4-a4d2-4d8b-9148-e3be6c30e623}">
          <xlrd:rvb i="17050"/>
        </ext>
      </extLst>
    </bk>
    <bk>
      <extLst>
        <ext uri="{3e2802c4-a4d2-4d8b-9148-e3be6c30e623}">
          <xlrd:rvb i="17051"/>
        </ext>
      </extLst>
    </bk>
    <bk>
      <extLst>
        <ext uri="{3e2802c4-a4d2-4d8b-9148-e3be6c30e623}">
          <xlrd:rvb i="17052"/>
        </ext>
      </extLst>
    </bk>
    <bk>
      <extLst>
        <ext uri="{3e2802c4-a4d2-4d8b-9148-e3be6c30e623}">
          <xlrd:rvb i="17053"/>
        </ext>
      </extLst>
    </bk>
    <bk>
      <extLst>
        <ext uri="{3e2802c4-a4d2-4d8b-9148-e3be6c30e623}">
          <xlrd:rvb i="17054"/>
        </ext>
      </extLst>
    </bk>
    <bk>
      <extLst>
        <ext uri="{3e2802c4-a4d2-4d8b-9148-e3be6c30e623}">
          <xlrd:rvb i="17055"/>
        </ext>
      </extLst>
    </bk>
    <bk>
      <extLst>
        <ext uri="{3e2802c4-a4d2-4d8b-9148-e3be6c30e623}">
          <xlrd:rvb i="17056"/>
        </ext>
      </extLst>
    </bk>
    <bk>
      <extLst>
        <ext uri="{3e2802c4-a4d2-4d8b-9148-e3be6c30e623}">
          <xlrd:rvb i="17057"/>
        </ext>
      </extLst>
    </bk>
    <bk>
      <extLst>
        <ext uri="{3e2802c4-a4d2-4d8b-9148-e3be6c30e623}">
          <xlrd:rvb i="17058"/>
        </ext>
      </extLst>
    </bk>
    <bk>
      <extLst>
        <ext uri="{3e2802c4-a4d2-4d8b-9148-e3be6c30e623}">
          <xlrd:rvb i="17059"/>
        </ext>
      </extLst>
    </bk>
    <bk>
      <extLst>
        <ext uri="{3e2802c4-a4d2-4d8b-9148-e3be6c30e623}">
          <xlrd:rvb i="17060"/>
        </ext>
      </extLst>
    </bk>
    <bk>
      <extLst>
        <ext uri="{3e2802c4-a4d2-4d8b-9148-e3be6c30e623}">
          <xlrd:rvb i="17061"/>
        </ext>
      </extLst>
    </bk>
    <bk>
      <extLst>
        <ext uri="{3e2802c4-a4d2-4d8b-9148-e3be6c30e623}">
          <xlrd:rvb i="17062"/>
        </ext>
      </extLst>
    </bk>
    <bk>
      <extLst>
        <ext uri="{3e2802c4-a4d2-4d8b-9148-e3be6c30e623}">
          <xlrd:rvb i="17063"/>
        </ext>
      </extLst>
    </bk>
    <bk>
      <extLst>
        <ext uri="{3e2802c4-a4d2-4d8b-9148-e3be6c30e623}">
          <xlrd:rvb i="17064"/>
        </ext>
      </extLst>
    </bk>
    <bk>
      <extLst>
        <ext uri="{3e2802c4-a4d2-4d8b-9148-e3be6c30e623}">
          <xlrd:rvb i="17065"/>
        </ext>
      </extLst>
    </bk>
    <bk>
      <extLst>
        <ext uri="{3e2802c4-a4d2-4d8b-9148-e3be6c30e623}">
          <xlrd:rvb i="17066"/>
        </ext>
      </extLst>
    </bk>
    <bk>
      <extLst>
        <ext uri="{3e2802c4-a4d2-4d8b-9148-e3be6c30e623}">
          <xlrd:rvb i="17067"/>
        </ext>
      </extLst>
    </bk>
    <bk>
      <extLst>
        <ext uri="{3e2802c4-a4d2-4d8b-9148-e3be6c30e623}">
          <xlrd:rvb i="17068"/>
        </ext>
      </extLst>
    </bk>
    <bk>
      <extLst>
        <ext uri="{3e2802c4-a4d2-4d8b-9148-e3be6c30e623}">
          <xlrd:rvb i="17069"/>
        </ext>
      </extLst>
    </bk>
    <bk>
      <extLst>
        <ext uri="{3e2802c4-a4d2-4d8b-9148-e3be6c30e623}">
          <xlrd:rvb i="17070"/>
        </ext>
      </extLst>
    </bk>
    <bk>
      <extLst>
        <ext uri="{3e2802c4-a4d2-4d8b-9148-e3be6c30e623}">
          <xlrd:rvb i="17071"/>
        </ext>
      </extLst>
    </bk>
    <bk>
      <extLst>
        <ext uri="{3e2802c4-a4d2-4d8b-9148-e3be6c30e623}">
          <xlrd:rvb i="17072"/>
        </ext>
      </extLst>
    </bk>
    <bk>
      <extLst>
        <ext uri="{3e2802c4-a4d2-4d8b-9148-e3be6c30e623}">
          <xlrd:rvb i="17073"/>
        </ext>
      </extLst>
    </bk>
    <bk>
      <extLst>
        <ext uri="{3e2802c4-a4d2-4d8b-9148-e3be6c30e623}">
          <xlrd:rvb i="17074"/>
        </ext>
      </extLst>
    </bk>
    <bk>
      <extLst>
        <ext uri="{3e2802c4-a4d2-4d8b-9148-e3be6c30e623}">
          <xlrd:rvb i="17075"/>
        </ext>
      </extLst>
    </bk>
    <bk>
      <extLst>
        <ext uri="{3e2802c4-a4d2-4d8b-9148-e3be6c30e623}">
          <xlrd:rvb i="17076"/>
        </ext>
      </extLst>
    </bk>
    <bk>
      <extLst>
        <ext uri="{3e2802c4-a4d2-4d8b-9148-e3be6c30e623}">
          <xlrd:rvb i="17077"/>
        </ext>
      </extLst>
    </bk>
    <bk>
      <extLst>
        <ext uri="{3e2802c4-a4d2-4d8b-9148-e3be6c30e623}">
          <xlrd:rvb i="17078"/>
        </ext>
      </extLst>
    </bk>
    <bk>
      <extLst>
        <ext uri="{3e2802c4-a4d2-4d8b-9148-e3be6c30e623}">
          <xlrd:rvb i="17079"/>
        </ext>
      </extLst>
    </bk>
    <bk>
      <extLst>
        <ext uri="{3e2802c4-a4d2-4d8b-9148-e3be6c30e623}">
          <xlrd:rvb i="17080"/>
        </ext>
      </extLst>
    </bk>
    <bk>
      <extLst>
        <ext uri="{3e2802c4-a4d2-4d8b-9148-e3be6c30e623}">
          <xlrd:rvb i="17081"/>
        </ext>
      </extLst>
    </bk>
    <bk>
      <extLst>
        <ext uri="{3e2802c4-a4d2-4d8b-9148-e3be6c30e623}">
          <xlrd:rvb i="17082"/>
        </ext>
      </extLst>
    </bk>
    <bk>
      <extLst>
        <ext uri="{3e2802c4-a4d2-4d8b-9148-e3be6c30e623}">
          <xlrd:rvb i="17083"/>
        </ext>
      </extLst>
    </bk>
    <bk>
      <extLst>
        <ext uri="{3e2802c4-a4d2-4d8b-9148-e3be6c30e623}">
          <xlrd:rvb i="17084"/>
        </ext>
      </extLst>
    </bk>
    <bk>
      <extLst>
        <ext uri="{3e2802c4-a4d2-4d8b-9148-e3be6c30e623}">
          <xlrd:rvb i="17085"/>
        </ext>
      </extLst>
    </bk>
    <bk>
      <extLst>
        <ext uri="{3e2802c4-a4d2-4d8b-9148-e3be6c30e623}">
          <xlrd:rvb i="17086"/>
        </ext>
      </extLst>
    </bk>
    <bk>
      <extLst>
        <ext uri="{3e2802c4-a4d2-4d8b-9148-e3be6c30e623}">
          <xlrd:rvb i="17087"/>
        </ext>
      </extLst>
    </bk>
    <bk>
      <extLst>
        <ext uri="{3e2802c4-a4d2-4d8b-9148-e3be6c30e623}">
          <xlrd:rvb i="17088"/>
        </ext>
      </extLst>
    </bk>
    <bk>
      <extLst>
        <ext uri="{3e2802c4-a4d2-4d8b-9148-e3be6c30e623}">
          <xlrd:rvb i="17089"/>
        </ext>
      </extLst>
    </bk>
    <bk>
      <extLst>
        <ext uri="{3e2802c4-a4d2-4d8b-9148-e3be6c30e623}">
          <xlrd:rvb i="17090"/>
        </ext>
      </extLst>
    </bk>
    <bk>
      <extLst>
        <ext uri="{3e2802c4-a4d2-4d8b-9148-e3be6c30e623}">
          <xlrd:rvb i="17091"/>
        </ext>
      </extLst>
    </bk>
    <bk>
      <extLst>
        <ext uri="{3e2802c4-a4d2-4d8b-9148-e3be6c30e623}">
          <xlrd:rvb i="17092"/>
        </ext>
      </extLst>
    </bk>
    <bk>
      <extLst>
        <ext uri="{3e2802c4-a4d2-4d8b-9148-e3be6c30e623}">
          <xlrd:rvb i="17093"/>
        </ext>
      </extLst>
    </bk>
    <bk>
      <extLst>
        <ext uri="{3e2802c4-a4d2-4d8b-9148-e3be6c30e623}">
          <xlrd:rvb i="17094"/>
        </ext>
      </extLst>
    </bk>
    <bk>
      <extLst>
        <ext uri="{3e2802c4-a4d2-4d8b-9148-e3be6c30e623}">
          <xlrd:rvb i="17095"/>
        </ext>
      </extLst>
    </bk>
    <bk>
      <extLst>
        <ext uri="{3e2802c4-a4d2-4d8b-9148-e3be6c30e623}">
          <xlrd:rvb i="17096"/>
        </ext>
      </extLst>
    </bk>
    <bk>
      <extLst>
        <ext uri="{3e2802c4-a4d2-4d8b-9148-e3be6c30e623}">
          <xlrd:rvb i="17097"/>
        </ext>
      </extLst>
    </bk>
    <bk>
      <extLst>
        <ext uri="{3e2802c4-a4d2-4d8b-9148-e3be6c30e623}">
          <xlrd:rvb i="17098"/>
        </ext>
      </extLst>
    </bk>
    <bk>
      <extLst>
        <ext uri="{3e2802c4-a4d2-4d8b-9148-e3be6c30e623}">
          <xlrd:rvb i="17099"/>
        </ext>
      </extLst>
    </bk>
    <bk>
      <extLst>
        <ext uri="{3e2802c4-a4d2-4d8b-9148-e3be6c30e623}">
          <xlrd:rvb i="17100"/>
        </ext>
      </extLst>
    </bk>
    <bk>
      <extLst>
        <ext uri="{3e2802c4-a4d2-4d8b-9148-e3be6c30e623}">
          <xlrd:rvb i="17101"/>
        </ext>
      </extLst>
    </bk>
    <bk>
      <extLst>
        <ext uri="{3e2802c4-a4d2-4d8b-9148-e3be6c30e623}">
          <xlrd:rvb i="17102"/>
        </ext>
      </extLst>
    </bk>
    <bk>
      <extLst>
        <ext uri="{3e2802c4-a4d2-4d8b-9148-e3be6c30e623}">
          <xlrd:rvb i="17103"/>
        </ext>
      </extLst>
    </bk>
    <bk>
      <extLst>
        <ext uri="{3e2802c4-a4d2-4d8b-9148-e3be6c30e623}">
          <xlrd:rvb i="17104"/>
        </ext>
      </extLst>
    </bk>
    <bk>
      <extLst>
        <ext uri="{3e2802c4-a4d2-4d8b-9148-e3be6c30e623}">
          <xlrd:rvb i="17105"/>
        </ext>
      </extLst>
    </bk>
    <bk>
      <extLst>
        <ext uri="{3e2802c4-a4d2-4d8b-9148-e3be6c30e623}">
          <xlrd:rvb i="17106"/>
        </ext>
      </extLst>
    </bk>
    <bk>
      <extLst>
        <ext uri="{3e2802c4-a4d2-4d8b-9148-e3be6c30e623}">
          <xlrd:rvb i="17107"/>
        </ext>
      </extLst>
    </bk>
    <bk>
      <extLst>
        <ext uri="{3e2802c4-a4d2-4d8b-9148-e3be6c30e623}">
          <xlrd:rvb i="17108"/>
        </ext>
      </extLst>
    </bk>
    <bk>
      <extLst>
        <ext uri="{3e2802c4-a4d2-4d8b-9148-e3be6c30e623}">
          <xlrd:rvb i="17109"/>
        </ext>
      </extLst>
    </bk>
    <bk>
      <extLst>
        <ext uri="{3e2802c4-a4d2-4d8b-9148-e3be6c30e623}">
          <xlrd:rvb i="17110"/>
        </ext>
      </extLst>
    </bk>
    <bk>
      <extLst>
        <ext uri="{3e2802c4-a4d2-4d8b-9148-e3be6c30e623}">
          <xlrd:rvb i="17111"/>
        </ext>
      </extLst>
    </bk>
    <bk>
      <extLst>
        <ext uri="{3e2802c4-a4d2-4d8b-9148-e3be6c30e623}">
          <xlrd:rvb i="17112"/>
        </ext>
      </extLst>
    </bk>
    <bk>
      <extLst>
        <ext uri="{3e2802c4-a4d2-4d8b-9148-e3be6c30e623}">
          <xlrd:rvb i="17113"/>
        </ext>
      </extLst>
    </bk>
    <bk>
      <extLst>
        <ext uri="{3e2802c4-a4d2-4d8b-9148-e3be6c30e623}">
          <xlrd:rvb i="17114"/>
        </ext>
      </extLst>
    </bk>
    <bk>
      <extLst>
        <ext uri="{3e2802c4-a4d2-4d8b-9148-e3be6c30e623}">
          <xlrd:rvb i="17115"/>
        </ext>
      </extLst>
    </bk>
    <bk>
      <extLst>
        <ext uri="{3e2802c4-a4d2-4d8b-9148-e3be6c30e623}">
          <xlrd:rvb i="17116"/>
        </ext>
      </extLst>
    </bk>
    <bk>
      <extLst>
        <ext uri="{3e2802c4-a4d2-4d8b-9148-e3be6c30e623}">
          <xlrd:rvb i="17117"/>
        </ext>
      </extLst>
    </bk>
    <bk>
      <extLst>
        <ext uri="{3e2802c4-a4d2-4d8b-9148-e3be6c30e623}">
          <xlrd:rvb i="17118"/>
        </ext>
      </extLst>
    </bk>
    <bk>
      <extLst>
        <ext uri="{3e2802c4-a4d2-4d8b-9148-e3be6c30e623}">
          <xlrd:rvb i="17119"/>
        </ext>
      </extLst>
    </bk>
    <bk>
      <extLst>
        <ext uri="{3e2802c4-a4d2-4d8b-9148-e3be6c30e623}">
          <xlrd:rvb i="17120"/>
        </ext>
      </extLst>
    </bk>
    <bk>
      <extLst>
        <ext uri="{3e2802c4-a4d2-4d8b-9148-e3be6c30e623}">
          <xlrd:rvb i="17121"/>
        </ext>
      </extLst>
    </bk>
    <bk>
      <extLst>
        <ext uri="{3e2802c4-a4d2-4d8b-9148-e3be6c30e623}">
          <xlrd:rvb i="17122"/>
        </ext>
      </extLst>
    </bk>
    <bk>
      <extLst>
        <ext uri="{3e2802c4-a4d2-4d8b-9148-e3be6c30e623}">
          <xlrd:rvb i="17123"/>
        </ext>
      </extLst>
    </bk>
    <bk>
      <extLst>
        <ext uri="{3e2802c4-a4d2-4d8b-9148-e3be6c30e623}">
          <xlrd:rvb i="17124"/>
        </ext>
      </extLst>
    </bk>
    <bk>
      <extLst>
        <ext uri="{3e2802c4-a4d2-4d8b-9148-e3be6c30e623}">
          <xlrd:rvb i="17125"/>
        </ext>
      </extLst>
    </bk>
    <bk>
      <extLst>
        <ext uri="{3e2802c4-a4d2-4d8b-9148-e3be6c30e623}">
          <xlrd:rvb i="17126"/>
        </ext>
      </extLst>
    </bk>
    <bk>
      <extLst>
        <ext uri="{3e2802c4-a4d2-4d8b-9148-e3be6c30e623}">
          <xlrd:rvb i="17127"/>
        </ext>
      </extLst>
    </bk>
    <bk>
      <extLst>
        <ext uri="{3e2802c4-a4d2-4d8b-9148-e3be6c30e623}">
          <xlrd:rvb i="17128"/>
        </ext>
      </extLst>
    </bk>
    <bk>
      <extLst>
        <ext uri="{3e2802c4-a4d2-4d8b-9148-e3be6c30e623}">
          <xlrd:rvb i="17129"/>
        </ext>
      </extLst>
    </bk>
    <bk>
      <extLst>
        <ext uri="{3e2802c4-a4d2-4d8b-9148-e3be6c30e623}">
          <xlrd:rvb i="17130"/>
        </ext>
      </extLst>
    </bk>
    <bk>
      <extLst>
        <ext uri="{3e2802c4-a4d2-4d8b-9148-e3be6c30e623}">
          <xlrd:rvb i="17131"/>
        </ext>
      </extLst>
    </bk>
    <bk>
      <extLst>
        <ext uri="{3e2802c4-a4d2-4d8b-9148-e3be6c30e623}">
          <xlrd:rvb i="17132"/>
        </ext>
      </extLst>
    </bk>
    <bk>
      <extLst>
        <ext uri="{3e2802c4-a4d2-4d8b-9148-e3be6c30e623}">
          <xlrd:rvb i="17133"/>
        </ext>
      </extLst>
    </bk>
    <bk>
      <extLst>
        <ext uri="{3e2802c4-a4d2-4d8b-9148-e3be6c30e623}">
          <xlrd:rvb i="17134"/>
        </ext>
      </extLst>
    </bk>
    <bk>
      <extLst>
        <ext uri="{3e2802c4-a4d2-4d8b-9148-e3be6c30e623}">
          <xlrd:rvb i="17135"/>
        </ext>
      </extLst>
    </bk>
    <bk>
      <extLst>
        <ext uri="{3e2802c4-a4d2-4d8b-9148-e3be6c30e623}">
          <xlrd:rvb i="17136"/>
        </ext>
      </extLst>
    </bk>
    <bk>
      <extLst>
        <ext uri="{3e2802c4-a4d2-4d8b-9148-e3be6c30e623}">
          <xlrd:rvb i="17137"/>
        </ext>
      </extLst>
    </bk>
    <bk>
      <extLst>
        <ext uri="{3e2802c4-a4d2-4d8b-9148-e3be6c30e623}">
          <xlrd:rvb i="17138"/>
        </ext>
      </extLst>
    </bk>
    <bk>
      <extLst>
        <ext uri="{3e2802c4-a4d2-4d8b-9148-e3be6c30e623}">
          <xlrd:rvb i="17139"/>
        </ext>
      </extLst>
    </bk>
    <bk>
      <extLst>
        <ext uri="{3e2802c4-a4d2-4d8b-9148-e3be6c30e623}">
          <xlrd:rvb i="17140"/>
        </ext>
      </extLst>
    </bk>
    <bk>
      <extLst>
        <ext uri="{3e2802c4-a4d2-4d8b-9148-e3be6c30e623}">
          <xlrd:rvb i="17141"/>
        </ext>
      </extLst>
    </bk>
    <bk>
      <extLst>
        <ext uri="{3e2802c4-a4d2-4d8b-9148-e3be6c30e623}">
          <xlrd:rvb i="17142"/>
        </ext>
      </extLst>
    </bk>
    <bk>
      <extLst>
        <ext uri="{3e2802c4-a4d2-4d8b-9148-e3be6c30e623}">
          <xlrd:rvb i="17143"/>
        </ext>
      </extLst>
    </bk>
    <bk>
      <extLst>
        <ext uri="{3e2802c4-a4d2-4d8b-9148-e3be6c30e623}">
          <xlrd:rvb i="17144"/>
        </ext>
      </extLst>
    </bk>
    <bk>
      <extLst>
        <ext uri="{3e2802c4-a4d2-4d8b-9148-e3be6c30e623}">
          <xlrd:rvb i="17145"/>
        </ext>
      </extLst>
    </bk>
    <bk>
      <extLst>
        <ext uri="{3e2802c4-a4d2-4d8b-9148-e3be6c30e623}">
          <xlrd:rvb i="17146"/>
        </ext>
      </extLst>
    </bk>
    <bk>
      <extLst>
        <ext uri="{3e2802c4-a4d2-4d8b-9148-e3be6c30e623}">
          <xlrd:rvb i="17147"/>
        </ext>
      </extLst>
    </bk>
    <bk>
      <extLst>
        <ext uri="{3e2802c4-a4d2-4d8b-9148-e3be6c30e623}">
          <xlrd:rvb i="17148"/>
        </ext>
      </extLst>
    </bk>
    <bk>
      <extLst>
        <ext uri="{3e2802c4-a4d2-4d8b-9148-e3be6c30e623}">
          <xlrd:rvb i="17149"/>
        </ext>
      </extLst>
    </bk>
    <bk>
      <extLst>
        <ext uri="{3e2802c4-a4d2-4d8b-9148-e3be6c30e623}">
          <xlrd:rvb i="17150"/>
        </ext>
      </extLst>
    </bk>
    <bk>
      <extLst>
        <ext uri="{3e2802c4-a4d2-4d8b-9148-e3be6c30e623}">
          <xlrd:rvb i="17151"/>
        </ext>
      </extLst>
    </bk>
    <bk>
      <extLst>
        <ext uri="{3e2802c4-a4d2-4d8b-9148-e3be6c30e623}">
          <xlrd:rvb i="17152"/>
        </ext>
      </extLst>
    </bk>
    <bk>
      <extLst>
        <ext uri="{3e2802c4-a4d2-4d8b-9148-e3be6c30e623}">
          <xlrd:rvb i="17153"/>
        </ext>
      </extLst>
    </bk>
    <bk>
      <extLst>
        <ext uri="{3e2802c4-a4d2-4d8b-9148-e3be6c30e623}">
          <xlrd:rvb i="17154"/>
        </ext>
      </extLst>
    </bk>
    <bk>
      <extLst>
        <ext uri="{3e2802c4-a4d2-4d8b-9148-e3be6c30e623}">
          <xlrd:rvb i="17155"/>
        </ext>
      </extLst>
    </bk>
    <bk>
      <extLst>
        <ext uri="{3e2802c4-a4d2-4d8b-9148-e3be6c30e623}">
          <xlrd:rvb i="17156"/>
        </ext>
      </extLst>
    </bk>
    <bk>
      <extLst>
        <ext uri="{3e2802c4-a4d2-4d8b-9148-e3be6c30e623}">
          <xlrd:rvb i="17157"/>
        </ext>
      </extLst>
    </bk>
    <bk>
      <extLst>
        <ext uri="{3e2802c4-a4d2-4d8b-9148-e3be6c30e623}">
          <xlrd:rvb i="17158"/>
        </ext>
      </extLst>
    </bk>
    <bk>
      <extLst>
        <ext uri="{3e2802c4-a4d2-4d8b-9148-e3be6c30e623}">
          <xlrd:rvb i="17159"/>
        </ext>
      </extLst>
    </bk>
    <bk>
      <extLst>
        <ext uri="{3e2802c4-a4d2-4d8b-9148-e3be6c30e623}">
          <xlrd:rvb i="17160"/>
        </ext>
      </extLst>
    </bk>
    <bk>
      <extLst>
        <ext uri="{3e2802c4-a4d2-4d8b-9148-e3be6c30e623}">
          <xlrd:rvb i="17161"/>
        </ext>
      </extLst>
    </bk>
    <bk>
      <extLst>
        <ext uri="{3e2802c4-a4d2-4d8b-9148-e3be6c30e623}">
          <xlrd:rvb i="17162"/>
        </ext>
      </extLst>
    </bk>
    <bk>
      <extLst>
        <ext uri="{3e2802c4-a4d2-4d8b-9148-e3be6c30e623}">
          <xlrd:rvb i="17163"/>
        </ext>
      </extLst>
    </bk>
    <bk>
      <extLst>
        <ext uri="{3e2802c4-a4d2-4d8b-9148-e3be6c30e623}">
          <xlrd:rvb i="17164"/>
        </ext>
      </extLst>
    </bk>
    <bk>
      <extLst>
        <ext uri="{3e2802c4-a4d2-4d8b-9148-e3be6c30e623}">
          <xlrd:rvb i="17165"/>
        </ext>
      </extLst>
    </bk>
    <bk>
      <extLst>
        <ext uri="{3e2802c4-a4d2-4d8b-9148-e3be6c30e623}">
          <xlrd:rvb i="17166"/>
        </ext>
      </extLst>
    </bk>
    <bk>
      <extLst>
        <ext uri="{3e2802c4-a4d2-4d8b-9148-e3be6c30e623}">
          <xlrd:rvb i="17167"/>
        </ext>
      </extLst>
    </bk>
    <bk>
      <extLst>
        <ext uri="{3e2802c4-a4d2-4d8b-9148-e3be6c30e623}">
          <xlrd:rvb i="17168"/>
        </ext>
      </extLst>
    </bk>
    <bk>
      <extLst>
        <ext uri="{3e2802c4-a4d2-4d8b-9148-e3be6c30e623}">
          <xlrd:rvb i="17169"/>
        </ext>
      </extLst>
    </bk>
    <bk>
      <extLst>
        <ext uri="{3e2802c4-a4d2-4d8b-9148-e3be6c30e623}">
          <xlrd:rvb i="17170"/>
        </ext>
      </extLst>
    </bk>
    <bk>
      <extLst>
        <ext uri="{3e2802c4-a4d2-4d8b-9148-e3be6c30e623}">
          <xlrd:rvb i="17171"/>
        </ext>
      </extLst>
    </bk>
    <bk>
      <extLst>
        <ext uri="{3e2802c4-a4d2-4d8b-9148-e3be6c30e623}">
          <xlrd:rvb i="17172"/>
        </ext>
      </extLst>
    </bk>
    <bk>
      <extLst>
        <ext uri="{3e2802c4-a4d2-4d8b-9148-e3be6c30e623}">
          <xlrd:rvb i="17173"/>
        </ext>
      </extLst>
    </bk>
    <bk>
      <extLst>
        <ext uri="{3e2802c4-a4d2-4d8b-9148-e3be6c30e623}">
          <xlrd:rvb i="17174"/>
        </ext>
      </extLst>
    </bk>
    <bk>
      <extLst>
        <ext uri="{3e2802c4-a4d2-4d8b-9148-e3be6c30e623}">
          <xlrd:rvb i="17175"/>
        </ext>
      </extLst>
    </bk>
    <bk>
      <extLst>
        <ext uri="{3e2802c4-a4d2-4d8b-9148-e3be6c30e623}">
          <xlrd:rvb i="17176"/>
        </ext>
      </extLst>
    </bk>
    <bk>
      <extLst>
        <ext uri="{3e2802c4-a4d2-4d8b-9148-e3be6c30e623}">
          <xlrd:rvb i="17177"/>
        </ext>
      </extLst>
    </bk>
    <bk>
      <extLst>
        <ext uri="{3e2802c4-a4d2-4d8b-9148-e3be6c30e623}">
          <xlrd:rvb i="17178"/>
        </ext>
      </extLst>
    </bk>
    <bk>
      <extLst>
        <ext uri="{3e2802c4-a4d2-4d8b-9148-e3be6c30e623}">
          <xlrd:rvb i="17179"/>
        </ext>
      </extLst>
    </bk>
    <bk>
      <extLst>
        <ext uri="{3e2802c4-a4d2-4d8b-9148-e3be6c30e623}">
          <xlrd:rvb i="17180"/>
        </ext>
      </extLst>
    </bk>
    <bk>
      <extLst>
        <ext uri="{3e2802c4-a4d2-4d8b-9148-e3be6c30e623}">
          <xlrd:rvb i="17181"/>
        </ext>
      </extLst>
    </bk>
    <bk>
      <extLst>
        <ext uri="{3e2802c4-a4d2-4d8b-9148-e3be6c30e623}">
          <xlrd:rvb i="17182"/>
        </ext>
      </extLst>
    </bk>
    <bk>
      <extLst>
        <ext uri="{3e2802c4-a4d2-4d8b-9148-e3be6c30e623}">
          <xlrd:rvb i="17183"/>
        </ext>
      </extLst>
    </bk>
    <bk>
      <extLst>
        <ext uri="{3e2802c4-a4d2-4d8b-9148-e3be6c30e623}">
          <xlrd:rvb i="17184"/>
        </ext>
      </extLst>
    </bk>
    <bk>
      <extLst>
        <ext uri="{3e2802c4-a4d2-4d8b-9148-e3be6c30e623}">
          <xlrd:rvb i="17185"/>
        </ext>
      </extLst>
    </bk>
    <bk>
      <extLst>
        <ext uri="{3e2802c4-a4d2-4d8b-9148-e3be6c30e623}">
          <xlrd:rvb i="17186"/>
        </ext>
      </extLst>
    </bk>
    <bk>
      <extLst>
        <ext uri="{3e2802c4-a4d2-4d8b-9148-e3be6c30e623}">
          <xlrd:rvb i="17187"/>
        </ext>
      </extLst>
    </bk>
    <bk>
      <extLst>
        <ext uri="{3e2802c4-a4d2-4d8b-9148-e3be6c30e623}">
          <xlrd:rvb i="17188"/>
        </ext>
      </extLst>
    </bk>
    <bk>
      <extLst>
        <ext uri="{3e2802c4-a4d2-4d8b-9148-e3be6c30e623}">
          <xlrd:rvb i="17189"/>
        </ext>
      </extLst>
    </bk>
    <bk>
      <extLst>
        <ext uri="{3e2802c4-a4d2-4d8b-9148-e3be6c30e623}">
          <xlrd:rvb i="17190"/>
        </ext>
      </extLst>
    </bk>
    <bk>
      <extLst>
        <ext uri="{3e2802c4-a4d2-4d8b-9148-e3be6c30e623}">
          <xlrd:rvb i="17191"/>
        </ext>
      </extLst>
    </bk>
    <bk>
      <extLst>
        <ext uri="{3e2802c4-a4d2-4d8b-9148-e3be6c30e623}">
          <xlrd:rvb i="17192"/>
        </ext>
      </extLst>
    </bk>
    <bk>
      <extLst>
        <ext uri="{3e2802c4-a4d2-4d8b-9148-e3be6c30e623}">
          <xlrd:rvb i="17193"/>
        </ext>
      </extLst>
    </bk>
    <bk>
      <extLst>
        <ext uri="{3e2802c4-a4d2-4d8b-9148-e3be6c30e623}">
          <xlrd:rvb i="17194"/>
        </ext>
      </extLst>
    </bk>
    <bk>
      <extLst>
        <ext uri="{3e2802c4-a4d2-4d8b-9148-e3be6c30e623}">
          <xlrd:rvb i="17195"/>
        </ext>
      </extLst>
    </bk>
    <bk>
      <extLst>
        <ext uri="{3e2802c4-a4d2-4d8b-9148-e3be6c30e623}">
          <xlrd:rvb i="17196"/>
        </ext>
      </extLst>
    </bk>
    <bk>
      <extLst>
        <ext uri="{3e2802c4-a4d2-4d8b-9148-e3be6c30e623}">
          <xlrd:rvb i="17197"/>
        </ext>
      </extLst>
    </bk>
    <bk>
      <extLst>
        <ext uri="{3e2802c4-a4d2-4d8b-9148-e3be6c30e623}">
          <xlrd:rvb i="17198"/>
        </ext>
      </extLst>
    </bk>
    <bk>
      <extLst>
        <ext uri="{3e2802c4-a4d2-4d8b-9148-e3be6c30e623}">
          <xlrd:rvb i="17199"/>
        </ext>
      </extLst>
    </bk>
    <bk>
      <extLst>
        <ext uri="{3e2802c4-a4d2-4d8b-9148-e3be6c30e623}">
          <xlrd:rvb i="17200"/>
        </ext>
      </extLst>
    </bk>
    <bk>
      <extLst>
        <ext uri="{3e2802c4-a4d2-4d8b-9148-e3be6c30e623}">
          <xlrd:rvb i="17201"/>
        </ext>
      </extLst>
    </bk>
    <bk>
      <extLst>
        <ext uri="{3e2802c4-a4d2-4d8b-9148-e3be6c30e623}">
          <xlrd:rvb i="17202"/>
        </ext>
      </extLst>
    </bk>
    <bk>
      <extLst>
        <ext uri="{3e2802c4-a4d2-4d8b-9148-e3be6c30e623}">
          <xlrd:rvb i="17203"/>
        </ext>
      </extLst>
    </bk>
    <bk>
      <extLst>
        <ext uri="{3e2802c4-a4d2-4d8b-9148-e3be6c30e623}">
          <xlrd:rvb i="17204"/>
        </ext>
      </extLst>
    </bk>
    <bk>
      <extLst>
        <ext uri="{3e2802c4-a4d2-4d8b-9148-e3be6c30e623}">
          <xlrd:rvb i="17205"/>
        </ext>
      </extLst>
    </bk>
    <bk>
      <extLst>
        <ext uri="{3e2802c4-a4d2-4d8b-9148-e3be6c30e623}">
          <xlrd:rvb i="17206"/>
        </ext>
      </extLst>
    </bk>
    <bk>
      <extLst>
        <ext uri="{3e2802c4-a4d2-4d8b-9148-e3be6c30e623}">
          <xlrd:rvb i="17207"/>
        </ext>
      </extLst>
    </bk>
    <bk>
      <extLst>
        <ext uri="{3e2802c4-a4d2-4d8b-9148-e3be6c30e623}">
          <xlrd:rvb i="17208"/>
        </ext>
      </extLst>
    </bk>
    <bk>
      <extLst>
        <ext uri="{3e2802c4-a4d2-4d8b-9148-e3be6c30e623}">
          <xlrd:rvb i="17209"/>
        </ext>
      </extLst>
    </bk>
    <bk>
      <extLst>
        <ext uri="{3e2802c4-a4d2-4d8b-9148-e3be6c30e623}">
          <xlrd:rvb i="17210"/>
        </ext>
      </extLst>
    </bk>
    <bk>
      <extLst>
        <ext uri="{3e2802c4-a4d2-4d8b-9148-e3be6c30e623}">
          <xlrd:rvb i="17211"/>
        </ext>
      </extLst>
    </bk>
    <bk>
      <extLst>
        <ext uri="{3e2802c4-a4d2-4d8b-9148-e3be6c30e623}">
          <xlrd:rvb i="17212"/>
        </ext>
      </extLst>
    </bk>
    <bk>
      <extLst>
        <ext uri="{3e2802c4-a4d2-4d8b-9148-e3be6c30e623}">
          <xlrd:rvb i="17213"/>
        </ext>
      </extLst>
    </bk>
    <bk>
      <extLst>
        <ext uri="{3e2802c4-a4d2-4d8b-9148-e3be6c30e623}">
          <xlrd:rvb i="17214"/>
        </ext>
      </extLst>
    </bk>
    <bk>
      <extLst>
        <ext uri="{3e2802c4-a4d2-4d8b-9148-e3be6c30e623}">
          <xlrd:rvb i="17215"/>
        </ext>
      </extLst>
    </bk>
    <bk>
      <extLst>
        <ext uri="{3e2802c4-a4d2-4d8b-9148-e3be6c30e623}">
          <xlrd:rvb i="17216"/>
        </ext>
      </extLst>
    </bk>
    <bk>
      <extLst>
        <ext uri="{3e2802c4-a4d2-4d8b-9148-e3be6c30e623}">
          <xlrd:rvb i="17217"/>
        </ext>
      </extLst>
    </bk>
    <bk>
      <extLst>
        <ext uri="{3e2802c4-a4d2-4d8b-9148-e3be6c30e623}">
          <xlrd:rvb i="17218"/>
        </ext>
      </extLst>
    </bk>
    <bk>
      <extLst>
        <ext uri="{3e2802c4-a4d2-4d8b-9148-e3be6c30e623}">
          <xlrd:rvb i="17219"/>
        </ext>
      </extLst>
    </bk>
    <bk>
      <extLst>
        <ext uri="{3e2802c4-a4d2-4d8b-9148-e3be6c30e623}">
          <xlrd:rvb i="17220"/>
        </ext>
      </extLst>
    </bk>
    <bk>
      <extLst>
        <ext uri="{3e2802c4-a4d2-4d8b-9148-e3be6c30e623}">
          <xlrd:rvb i="17221"/>
        </ext>
      </extLst>
    </bk>
    <bk>
      <extLst>
        <ext uri="{3e2802c4-a4d2-4d8b-9148-e3be6c30e623}">
          <xlrd:rvb i="17222"/>
        </ext>
      </extLst>
    </bk>
    <bk>
      <extLst>
        <ext uri="{3e2802c4-a4d2-4d8b-9148-e3be6c30e623}">
          <xlrd:rvb i="17223"/>
        </ext>
      </extLst>
    </bk>
    <bk>
      <extLst>
        <ext uri="{3e2802c4-a4d2-4d8b-9148-e3be6c30e623}">
          <xlrd:rvb i="17224"/>
        </ext>
      </extLst>
    </bk>
    <bk>
      <extLst>
        <ext uri="{3e2802c4-a4d2-4d8b-9148-e3be6c30e623}">
          <xlrd:rvb i="17225"/>
        </ext>
      </extLst>
    </bk>
    <bk>
      <extLst>
        <ext uri="{3e2802c4-a4d2-4d8b-9148-e3be6c30e623}">
          <xlrd:rvb i="17226"/>
        </ext>
      </extLst>
    </bk>
    <bk>
      <extLst>
        <ext uri="{3e2802c4-a4d2-4d8b-9148-e3be6c30e623}">
          <xlrd:rvb i="17227"/>
        </ext>
      </extLst>
    </bk>
    <bk>
      <extLst>
        <ext uri="{3e2802c4-a4d2-4d8b-9148-e3be6c30e623}">
          <xlrd:rvb i="17228"/>
        </ext>
      </extLst>
    </bk>
    <bk>
      <extLst>
        <ext uri="{3e2802c4-a4d2-4d8b-9148-e3be6c30e623}">
          <xlrd:rvb i="17229"/>
        </ext>
      </extLst>
    </bk>
    <bk>
      <extLst>
        <ext uri="{3e2802c4-a4d2-4d8b-9148-e3be6c30e623}">
          <xlrd:rvb i="17230"/>
        </ext>
      </extLst>
    </bk>
    <bk>
      <extLst>
        <ext uri="{3e2802c4-a4d2-4d8b-9148-e3be6c30e623}">
          <xlrd:rvb i="17231"/>
        </ext>
      </extLst>
    </bk>
    <bk>
      <extLst>
        <ext uri="{3e2802c4-a4d2-4d8b-9148-e3be6c30e623}">
          <xlrd:rvb i="17232"/>
        </ext>
      </extLst>
    </bk>
    <bk>
      <extLst>
        <ext uri="{3e2802c4-a4d2-4d8b-9148-e3be6c30e623}">
          <xlrd:rvb i="17233"/>
        </ext>
      </extLst>
    </bk>
    <bk>
      <extLst>
        <ext uri="{3e2802c4-a4d2-4d8b-9148-e3be6c30e623}">
          <xlrd:rvb i="17234"/>
        </ext>
      </extLst>
    </bk>
    <bk>
      <extLst>
        <ext uri="{3e2802c4-a4d2-4d8b-9148-e3be6c30e623}">
          <xlrd:rvb i="17235"/>
        </ext>
      </extLst>
    </bk>
    <bk>
      <extLst>
        <ext uri="{3e2802c4-a4d2-4d8b-9148-e3be6c30e623}">
          <xlrd:rvb i="17236"/>
        </ext>
      </extLst>
    </bk>
    <bk>
      <extLst>
        <ext uri="{3e2802c4-a4d2-4d8b-9148-e3be6c30e623}">
          <xlrd:rvb i="17237"/>
        </ext>
      </extLst>
    </bk>
    <bk>
      <extLst>
        <ext uri="{3e2802c4-a4d2-4d8b-9148-e3be6c30e623}">
          <xlrd:rvb i="17238"/>
        </ext>
      </extLst>
    </bk>
    <bk>
      <extLst>
        <ext uri="{3e2802c4-a4d2-4d8b-9148-e3be6c30e623}">
          <xlrd:rvb i="17239"/>
        </ext>
      </extLst>
    </bk>
    <bk>
      <extLst>
        <ext uri="{3e2802c4-a4d2-4d8b-9148-e3be6c30e623}">
          <xlrd:rvb i="17240"/>
        </ext>
      </extLst>
    </bk>
    <bk>
      <extLst>
        <ext uri="{3e2802c4-a4d2-4d8b-9148-e3be6c30e623}">
          <xlrd:rvb i="17241"/>
        </ext>
      </extLst>
    </bk>
    <bk>
      <extLst>
        <ext uri="{3e2802c4-a4d2-4d8b-9148-e3be6c30e623}">
          <xlrd:rvb i="17242"/>
        </ext>
      </extLst>
    </bk>
    <bk>
      <extLst>
        <ext uri="{3e2802c4-a4d2-4d8b-9148-e3be6c30e623}">
          <xlrd:rvb i="17243"/>
        </ext>
      </extLst>
    </bk>
    <bk>
      <extLst>
        <ext uri="{3e2802c4-a4d2-4d8b-9148-e3be6c30e623}">
          <xlrd:rvb i="17244"/>
        </ext>
      </extLst>
    </bk>
    <bk>
      <extLst>
        <ext uri="{3e2802c4-a4d2-4d8b-9148-e3be6c30e623}">
          <xlrd:rvb i="17245"/>
        </ext>
      </extLst>
    </bk>
    <bk>
      <extLst>
        <ext uri="{3e2802c4-a4d2-4d8b-9148-e3be6c30e623}">
          <xlrd:rvb i="17246"/>
        </ext>
      </extLst>
    </bk>
    <bk>
      <extLst>
        <ext uri="{3e2802c4-a4d2-4d8b-9148-e3be6c30e623}">
          <xlrd:rvb i="17247"/>
        </ext>
      </extLst>
    </bk>
    <bk>
      <extLst>
        <ext uri="{3e2802c4-a4d2-4d8b-9148-e3be6c30e623}">
          <xlrd:rvb i="17248"/>
        </ext>
      </extLst>
    </bk>
    <bk>
      <extLst>
        <ext uri="{3e2802c4-a4d2-4d8b-9148-e3be6c30e623}">
          <xlrd:rvb i="17249"/>
        </ext>
      </extLst>
    </bk>
    <bk>
      <extLst>
        <ext uri="{3e2802c4-a4d2-4d8b-9148-e3be6c30e623}">
          <xlrd:rvb i="17250"/>
        </ext>
      </extLst>
    </bk>
    <bk>
      <extLst>
        <ext uri="{3e2802c4-a4d2-4d8b-9148-e3be6c30e623}">
          <xlrd:rvb i="17251"/>
        </ext>
      </extLst>
    </bk>
    <bk>
      <extLst>
        <ext uri="{3e2802c4-a4d2-4d8b-9148-e3be6c30e623}">
          <xlrd:rvb i="17252"/>
        </ext>
      </extLst>
    </bk>
    <bk>
      <extLst>
        <ext uri="{3e2802c4-a4d2-4d8b-9148-e3be6c30e623}">
          <xlrd:rvb i="17253"/>
        </ext>
      </extLst>
    </bk>
    <bk>
      <extLst>
        <ext uri="{3e2802c4-a4d2-4d8b-9148-e3be6c30e623}">
          <xlrd:rvb i="17254"/>
        </ext>
      </extLst>
    </bk>
    <bk>
      <extLst>
        <ext uri="{3e2802c4-a4d2-4d8b-9148-e3be6c30e623}">
          <xlrd:rvb i="17255"/>
        </ext>
      </extLst>
    </bk>
    <bk>
      <extLst>
        <ext uri="{3e2802c4-a4d2-4d8b-9148-e3be6c30e623}">
          <xlrd:rvb i="17256"/>
        </ext>
      </extLst>
    </bk>
    <bk>
      <extLst>
        <ext uri="{3e2802c4-a4d2-4d8b-9148-e3be6c30e623}">
          <xlrd:rvb i="17257"/>
        </ext>
      </extLst>
    </bk>
    <bk>
      <extLst>
        <ext uri="{3e2802c4-a4d2-4d8b-9148-e3be6c30e623}">
          <xlrd:rvb i="17258"/>
        </ext>
      </extLst>
    </bk>
    <bk>
      <extLst>
        <ext uri="{3e2802c4-a4d2-4d8b-9148-e3be6c30e623}">
          <xlrd:rvb i="17259"/>
        </ext>
      </extLst>
    </bk>
    <bk>
      <extLst>
        <ext uri="{3e2802c4-a4d2-4d8b-9148-e3be6c30e623}">
          <xlrd:rvb i="17260"/>
        </ext>
      </extLst>
    </bk>
    <bk>
      <extLst>
        <ext uri="{3e2802c4-a4d2-4d8b-9148-e3be6c30e623}">
          <xlrd:rvb i="17261"/>
        </ext>
      </extLst>
    </bk>
    <bk>
      <extLst>
        <ext uri="{3e2802c4-a4d2-4d8b-9148-e3be6c30e623}">
          <xlrd:rvb i="17262"/>
        </ext>
      </extLst>
    </bk>
    <bk>
      <extLst>
        <ext uri="{3e2802c4-a4d2-4d8b-9148-e3be6c30e623}">
          <xlrd:rvb i="17263"/>
        </ext>
      </extLst>
    </bk>
    <bk>
      <extLst>
        <ext uri="{3e2802c4-a4d2-4d8b-9148-e3be6c30e623}">
          <xlrd:rvb i="17264"/>
        </ext>
      </extLst>
    </bk>
    <bk>
      <extLst>
        <ext uri="{3e2802c4-a4d2-4d8b-9148-e3be6c30e623}">
          <xlrd:rvb i="17265"/>
        </ext>
      </extLst>
    </bk>
    <bk>
      <extLst>
        <ext uri="{3e2802c4-a4d2-4d8b-9148-e3be6c30e623}">
          <xlrd:rvb i="17266"/>
        </ext>
      </extLst>
    </bk>
    <bk>
      <extLst>
        <ext uri="{3e2802c4-a4d2-4d8b-9148-e3be6c30e623}">
          <xlrd:rvb i="17267"/>
        </ext>
      </extLst>
    </bk>
    <bk>
      <extLst>
        <ext uri="{3e2802c4-a4d2-4d8b-9148-e3be6c30e623}">
          <xlrd:rvb i="17268"/>
        </ext>
      </extLst>
    </bk>
    <bk>
      <extLst>
        <ext uri="{3e2802c4-a4d2-4d8b-9148-e3be6c30e623}">
          <xlrd:rvb i="17269"/>
        </ext>
      </extLst>
    </bk>
    <bk>
      <extLst>
        <ext uri="{3e2802c4-a4d2-4d8b-9148-e3be6c30e623}">
          <xlrd:rvb i="17270"/>
        </ext>
      </extLst>
    </bk>
    <bk>
      <extLst>
        <ext uri="{3e2802c4-a4d2-4d8b-9148-e3be6c30e623}">
          <xlrd:rvb i="17271"/>
        </ext>
      </extLst>
    </bk>
    <bk>
      <extLst>
        <ext uri="{3e2802c4-a4d2-4d8b-9148-e3be6c30e623}">
          <xlrd:rvb i="17272"/>
        </ext>
      </extLst>
    </bk>
    <bk>
      <extLst>
        <ext uri="{3e2802c4-a4d2-4d8b-9148-e3be6c30e623}">
          <xlrd:rvb i="17273"/>
        </ext>
      </extLst>
    </bk>
    <bk>
      <extLst>
        <ext uri="{3e2802c4-a4d2-4d8b-9148-e3be6c30e623}">
          <xlrd:rvb i="17274"/>
        </ext>
      </extLst>
    </bk>
    <bk>
      <extLst>
        <ext uri="{3e2802c4-a4d2-4d8b-9148-e3be6c30e623}">
          <xlrd:rvb i="17275"/>
        </ext>
      </extLst>
    </bk>
    <bk>
      <extLst>
        <ext uri="{3e2802c4-a4d2-4d8b-9148-e3be6c30e623}">
          <xlrd:rvb i="17276"/>
        </ext>
      </extLst>
    </bk>
    <bk>
      <extLst>
        <ext uri="{3e2802c4-a4d2-4d8b-9148-e3be6c30e623}">
          <xlrd:rvb i="17277"/>
        </ext>
      </extLst>
    </bk>
    <bk>
      <extLst>
        <ext uri="{3e2802c4-a4d2-4d8b-9148-e3be6c30e623}">
          <xlrd:rvb i="17278"/>
        </ext>
      </extLst>
    </bk>
    <bk>
      <extLst>
        <ext uri="{3e2802c4-a4d2-4d8b-9148-e3be6c30e623}">
          <xlrd:rvb i="17279"/>
        </ext>
      </extLst>
    </bk>
    <bk>
      <extLst>
        <ext uri="{3e2802c4-a4d2-4d8b-9148-e3be6c30e623}">
          <xlrd:rvb i="17280"/>
        </ext>
      </extLst>
    </bk>
    <bk>
      <extLst>
        <ext uri="{3e2802c4-a4d2-4d8b-9148-e3be6c30e623}">
          <xlrd:rvb i="17281"/>
        </ext>
      </extLst>
    </bk>
    <bk>
      <extLst>
        <ext uri="{3e2802c4-a4d2-4d8b-9148-e3be6c30e623}">
          <xlrd:rvb i="17282"/>
        </ext>
      </extLst>
    </bk>
    <bk>
      <extLst>
        <ext uri="{3e2802c4-a4d2-4d8b-9148-e3be6c30e623}">
          <xlrd:rvb i="17283"/>
        </ext>
      </extLst>
    </bk>
    <bk>
      <extLst>
        <ext uri="{3e2802c4-a4d2-4d8b-9148-e3be6c30e623}">
          <xlrd:rvb i="17284"/>
        </ext>
      </extLst>
    </bk>
    <bk>
      <extLst>
        <ext uri="{3e2802c4-a4d2-4d8b-9148-e3be6c30e623}">
          <xlrd:rvb i="17285"/>
        </ext>
      </extLst>
    </bk>
    <bk>
      <extLst>
        <ext uri="{3e2802c4-a4d2-4d8b-9148-e3be6c30e623}">
          <xlrd:rvb i="17286"/>
        </ext>
      </extLst>
    </bk>
    <bk>
      <extLst>
        <ext uri="{3e2802c4-a4d2-4d8b-9148-e3be6c30e623}">
          <xlrd:rvb i="17287"/>
        </ext>
      </extLst>
    </bk>
    <bk>
      <extLst>
        <ext uri="{3e2802c4-a4d2-4d8b-9148-e3be6c30e623}">
          <xlrd:rvb i="17288"/>
        </ext>
      </extLst>
    </bk>
    <bk>
      <extLst>
        <ext uri="{3e2802c4-a4d2-4d8b-9148-e3be6c30e623}">
          <xlrd:rvb i="17289"/>
        </ext>
      </extLst>
    </bk>
    <bk>
      <extLst>
        <ext uri="{3e2802c4-a4d2-4d8b-9148-e3be6c30e623}">
          <xlrd:rvb i="17290"/>
        </ext>
      </extLst>
    </bk>
    <bk>
      <extLst>
        <ext uri="{3e2802c4-a4d2-4d8b-9148-e3be6c30e623}">
          <xlrd:rvb i="17291"/>
        </ext>
      </extLst>
    </bk>
    <bk>
      <extLst>
        <ext uri="{3e2802c4-a4d2-4d8b-9148-e3be6c30e623}">
          <xlrd:rvb i="17292"/>
        </ext>
      </extLst>
    </bk>
    <bk>
      <extLst>
        <ext uri="{3e2802c4-a4d2-4d8b-9148-e3be6c30e623}">
          <xlrd:rvb i="17293"/>
        </ext>
      </extLst>
    </bk>
    <bk>
      <extLst>
        <ext uri="{3e2802c4-a4d2-4d8b-9148-e3be6c30e623}">
          <xlrd:rvb i="17294"/>
        </ext>
      </extLst>
    </bk>
    <bk>
      <extLst>
        <ext uri="{3e2802c4-a4d2-4d8b-9148-e3be6c30e623}">
          <xlrd:rvb i="17295"/>
        </ext>
      </extLst>
    </bk>
    <bk>
      <extLst>
        <ext uri="{3e2802c4-a4d2-4d8b-9148-e3be6c30e623}">
          <xlrd:rvb i="17296"/>
        </ext>
      </extLst>
    </bk>
    <bk>
      <extLst>
        <ext uri="{3e2802c4-a4d2-4d8b-9148-e3be6c30e623}">
          <xlrd:rvb i="17297"/>
        </ext>
      </extLst>
    </bk>
    <bk>
      <extLst>
        <ext uri="{3e2802c4-a4d2-4d8b-9148-e3be6c30e623}">
          <xlrd:rvb i="17298"/>
        </ext>
      </extLst>
    </bk>
    <bk>
      <extLst>
        <ext uri="{3e2802c4-a4d2-4d8b-9148-e3be6c30e623}">
          <xlrd:rvb i="17299"/>
        </ext>
      </extLst>
    </bk>
    <bk>
      <extLst>
        <ext uri="{3e2802c4-a4d2-4d8b-9148-e3be6c30e623}">
          <xlrd:rvb i="17300"/>
        </ext>
      </extLst>
    </bk>
    <bk>
      <extLst>
        <ext uri="{3e2802c4-a4d2-4d8b-9148-e3be6c30e623}">
          <xlrd:rvb i="17301"/>
        </ext>
      </extLst>
    </bk>
    <bk>
      <extLst>
        <ext uri="{3e2802c4-a4d2-4d8b-9148-e3be6c30e623}">
          <xlrd:rvb i="17302"/>
        </ext>
      </extLst>
    </bk>
    <bk>
      <extLst>
        <ext uri="{3e2802c4-a4d2-4d8b-9148-e3be6c30e623}">
          <xlrd:rvb i="17303"/>
        </ext>
      </extLst>
    </bk>
    <bk>
      <extLst>
        <ext uri="{3e2802c4-a4d2-4d8b-9148-e3be6c30e623}">
          <xlrd:rvb i="17304"/>
        </ext>
      </extLst>
    </bk>
    <bk>
      <extLst>
        <ext uri="{3e2802c4-a4d2-4d8b-9148-e3be6c30e623}">
          <xlrd:rvb i="17305"/>
        </ext>
      </extLst>
    </bk>
    <bk>
      <extLst>
        <ext uri="{3e2802c4-a4d2-4d8b-9148-e3be6c30e623}">
          <xlrd:rvb i="17306"/>
        </ext>
      </extLst>
    </bk>
    <bk>
      <extLst>
        <ext uri="{3e2802c4-a4d2-4d8b-9148-e3be6c30e623}">
          <xlrd:rvb i="17307"/>
        </ext>
      </extLst>
    </bk>
    <bk>
      <extLst>
        <ext uri="{3e2802c4-a4d2-4d8b-9148-e3be6c30e623}">
          <xlrd:rvb i="17308"/>
        </ext>
      </extLst>
    </bk>
    <bk>
      <extLst>
        <ext uri="{3e2802c4-a4d2-4d8b-9148-e3be6c30e623}">
          <xlrd:rvb i="17309"/>
        </ext>
      </extLst>
    </bk>
    <bk>
      <extLst>
        <ext uri="{3e2802c4-a4d2-4d8b-9148-e3be6c30e623}">
          <xlrd:rvb i="17310"/>
        </ext>
      </extLst>
    </bk>
    <bk>
      <extLst>
        <ext uri="{3e2802c4-a4d2-4d8b-9148-e3be6c30e623}">
          <xlrd:rvb i="17311"/>
        </ext>
      </extLst>
    </bk>
    <bk>
      <extLst>
        <ext uri="{3e2802c4-a4d2-4d8b-9148-e3be6c30e623}">
          <xlrd:rvb i="17312"/>
        </ext>
      </extLst>
    </bk>
    <bk>
      <extLst>
        <ext uri="{3e2802c4-a4d2-4d8b-9148-e3be6c30e623}">
          <xlrd:rvb i="17313"/>
        </ext>
      </extLst>
    </bk>
    <bk>
      <extLst>
        <ext uri="{3e2802c4-a4d2-4d8b-9148-e3be6c30e623}">
          <xlrd:rvb i="17314"/>
        </ext>
      </extLst>
    </bk>
    <bk>
      <extLst>
        <ext uri="{3e2802c4-a4d2-4d8b-9148-e3be6c30e623}">
          <xlrd:rvb i="17315"/>
        </ext>
      </extLst>
    </bk>
    <bk>
      <extLst>
        <ext uri="{3e2802c4-a4d2-4d8b-9148-e3be6c30e623}">
          <xlrd:rvb i="17316"/>
        </ext>
      </extLst>
    </bk>
    <bk>
      <extLst>
        <ext uri="{3e2802c4-a4d2-4d8b-9148-e3be6c30e623}">
          <xlrd:rvb i="17317"/>
        </ext>
      </extLst>
    </bk>
    <bk>
      <extLst>
        <ext uri="{3e2802c4-a4d2-4d8b-9148-e3be6c30e623}">
          <xlrd:rvb i="17318"/>
        </ext>
      </extLst>
    </bk>
    <bk>
      <extLst>
        <ext uri="{3e2802c4-a4d2-4d8b-9148-e3be6c30e623}">
          <xlrd:rvb i="17319"/>
        </ext>
      </extLst>
    </bk>
    <bk>
      <extLst>
        <ext uri="{3e2802c4-a4d2-4d8b-9148-e3be6c30e623}">
          <xlrd:rvb i="17320"/>
        </ext>
      </extLst>
    </bk>
    <bk>
      <extLst>
        <ext uri="{3e2802c4-a4d2-4d8b-9148-e3be6c30e623}">
          <xlrd:rvb i="17321"/>
        </ext>
      </extLst>
    </bk>
    <bk>
      <extLst>
        <ext uri="{3e2802c4-a4d2-4d8b-9148-e3be6c30e623}">
          <xlrd:rvb i="17322"/>
        </ext>
      </extLst>
    </bk>
    <bk>
      <extLst>
        <ext uri="{3e2802c4-a4d2-4d8b-9148-e3be6c30e623}">
          <xlrd:rvb i="17323"/>
        </ext>
      </extLst>
    </bk>
    <bk>
      <extLst>
        <ext uri="{3e2802c4-a4d2-4d8b-9148-e3be6c30e623}">
          <xlrd:rvb i="17324"/>
        </ext>
      </extLst>
    </bk>
    <bk>
      <extLst>
        <ext uri="{3e2802c4-a4d2-4d8b-9148-e3be6c30e623}">
          <xlrd:rvb i="17325"/>
        </ext>
      </extLst>
    </bk>
    <bk>
      <extLst>
        <ext uri="{3e2802c4-a4d2-4d8b-9148-e3be6c30e623}">
          <xlrd:rvb i="17326"/>
        </ext>
      </extLst>
    </bk>
    <bk>
      <extLst>
        <ext uri="{3e2802c4-a4d2-4d8b-9148-e3be6c30e623}">
          <xlrd:rvb i="17327"/>
        </ext>
      </extLst>
    </bk>
    <bk>
      <extLst>
        <ext uri="{3e2802c4-a4d2-4d8b-9148-e3be6c30e623}">
          <xlrd:rvb i="17328"/>
        </ext>
      </extLst>
    </bk>
    <bk>
      <extLst>
        <ext uri="{3e2802c4-a4d2-4d8b-9148-e3be6c30e623}">
          <xlrd:rvb i="17329"/>
        </ext>
      </extLst>
    </bk>
    <bk>
      <extLst>
        <ext uri="{3e2802c4-a4d2-4d8b-9148-e3be6c30e623}">
          <xlrd:rvb i="17330"/>
        </ext>
      </extLst>
    </bk>
    <bk>
      <extLst>
        <ext uri="{3e2802c4-a4d2-4d8b-9148-e3be6c30e623}">
          <xlrd:rvb i="17331"/>
        </ext>
      </extLst>
    </bk>
    <bk>
      <extLst>
        <ext uri="{3e2802c4-a4d2-4d8b-9148-e3be6c30e623}">
          <xlrd:rvb i="17332"/>
        </ext>
      </extLst>
    </bk>
    <bk>
      <extLst>
        <ext uri="{3e2802c4-a4d2-4d8b-9148-e3be6c30e623}">
          <xlrd:rvb i="17333"/>
        </ext>
      </extLst>
    </bk>
    <bk>
      <extLst>
        <ext uri="{3e2802c4-a4d2-4d8b-9148-e3be6c30e623}">
          <xlrd:rvb i="17334"/>
        </ext>
      </extLst>
    </bk>
    <bk>
      <extLst>
        <ext uri="{3e2802c4-a4d2-4d8b-9148-e3be6c30e623}">
          <xlrd:rvb i="17335"/>
        </ext>
      </extLst>
    </bk>
    <bk>
      <extLst>
        <ext uri="{3e2802c4-a4d2-4d8b-9148-e3be6c30e623}">
          <xlrd:rvb i="17336"/>
        </ext>
      </extLst>
    </bk>
    <bk>
      <extLst>
        <ext uri="{3e2802c4-a4d2-4d8b-9148-e3be6c30e623}">
          <xlrd:rvb i="17337"/>
        </ext>
      </extLst>
    </bk>
    <bk>
      <extLst>
        <ext uri="{3e2802c4-a4d2-4d8b-9148-e3be6c30e623}">
          <xlrd:rvb i="17338"/>
        </ext>
      </extLst>
    </bk>
    <bk>
      <extLst>
        <ext uri="{3e2802c4-a4d2-4d8b-9148-e3be6c30e623}">
          <xlrd:rvb i="17339"/>
        </ext>
      </extLst>
    </bk>
    <bk>
      <extLst>
        <ext uri="{3e2802c4-a4d2-4d8b-9148-e3be6c30e623}">
          <xlrd:rvb i="17340"/>
        </ext>
      </extLst>
    </bk>
    <bk>
      <extLst>
        <ext uri="{3e2802c4-a4d2-4d8b-9148-e3be6c30e623}">
          <xlrd:rvb i="17341"/>
        </ext>
      </extLst>
    </bk>
    <bk>
      <extLst>
        <ext uri="{3e2802c4-a4d2-4d8b-9148-e3be6c30e623}">
          <xlrd:rvb i="17342"/>
        </ext>
      </extLst>
    </bk>
    <bk>
      <extLst>
        <ext uri="{3e2802c4-a4d2-4d8b-9148-e3be6c30e623}">
          <xlrd:rvb i="17343"/>
        </ext>
      </extLst>
    </bk>
    <bk>
      <extLst>
        <ext uri="{3e2802c4-a4d2-4d8b-9148-e3be6c30e623}">
          <xlrd:rvb i="17344"/>
        </ext>
      </extLst>
    </bk>
    <bk>
      <extLst>
        <ext uri="{3e2802c4-a4d2-4d8b-9148-e3be6c30e623}">
          <xlrd:rvb i="17345"/>
        </ext>
      </extLst>
    </bk>
    <bk>
      <extLst>
        <ext uri="{3e2802c4-a4d2-4d8b-9148-e3be6c30e623}">
          <xlrd:rvb i="17346"/>
        </ext>
      </extLst>
    </bk>
    <bk>
      <extLst>
        <ext uri="{3e2802c4-a4d2-4d8b-9148-e3be6c30e623}">
          <xlrd:rvb i="17347"/>
        </ext>
      </extLst>
    </bk>
    <bk>
      <extLst>
        <ext uri="{3e2802c4-a4d2-4d8b-9148-e3be6c30e623}">
          <xlrd:rvb i="17348"/>
        </ext>
      </extLst>
    </bk>
    <bk>
      <extLst>
        <ext uri="{3e2802c4-a4d2-4d8b-9148-e3be6c30e623}">
          <xlrd:rvb i="17349"/>
        </ext>
      </extLst>
    </bk>
    <bk>
      <extLst>
        <ext uri="{3e2802c4-a4d2-4d8b-9148-e3be6c30e623}">
          <xlrd:rvb i="17350"/>
        </ext>
      </extLst>
    </bk>
    <bk>
      <extLst>
        <ext uri="{3e2802c4-a4d2-4d8b-9148-e3be6c30e623}">
          <xlrd:rvb i="17351"/>
        </ext>
      </extLst>
    </bk>
    <bk>
      <extLst>
        <ext uri="{3e2802c4-a4d2-4d8b-9148-e3be6c30e623}">
          <xlrd:rvb i="17352"/>
        </ext>
      </extLst>
    </bk>
    <bk>
      <extLst>
        <ext uri="{3e2802c4-a4d2-4d8b-9148-e3be6c30e623}">
          <xlrd:rvb i="17353"/>
        </ext>
      </extLst>
    </bk>
    <bk>
      <extLst>
        <ext uri="{3e2802c4-a4d2-4d8b-9148-e3be6c30e623}">
          <xlrd:rvb i="17354"/>
        </ext>
      </extLst>
    </bk>
    <bk>
      <extLst>
        <ext uri="{3e2802c4-a4d2-4d8b-9148-e3be6c30e623}">
          <xlrd:rvb i="17355"/>
        </ext>
      </extLst>
    </bk>
    <bk>
      <extLst>
        <ext uri="{3e2802c4-a4d2-4d8b-9148-e3be6c30e623}">
          <xlrd:rvb i="17356"/>
        </ext>
      </extLst>
    </bk>
    <bk>
      <extLst>
        <ext uri="{3e2802c4-a4d2-4d8b-9148-e3be6c30e623}">
          <xlrd:rvb i="17357"/>
        </ext>
      </extLst>
    </bk>
    <bk>
      <extLst>
        <ext uri="{3e2802c4-a4d2-4d8b-9148-e3be6c30e623}">
          <xlrd:rvb i="17358"/>
        </ext>
      </extLst>
    </bk>
    <bk>
      <extLst>
        <ext uri="{3e2802c4-a4d2-4d8b-9148-e3be6c30e623}">
          <xlrd:rvb i="17359"/>
        </ext>
      </extLst>
    </bk>
    <bk>
      <extLst>
        <ext uri="{3e2802c4-a4d2-4d8b-9148-e3be6c30e623}">
          <xlrd:rvb i="17360"/>
        </ext>
      </extLst>
    </bk>
    <bk>
      <extLst>
        <ext uri="{3e2802c4-a4d2-4d8b-9148-e3be6c30e623}">
          <xlrd:rvb i="17361"/>
        </ext>
      </extLst>
    </bk>
    <bk>
      <extLst>
        <ext uri="{3e2802c4-a4d2-4d8b-9148-e3be6c30e623}">
          <xlrd:rvb i="17362"/>
        </ext>
      </extLst>
    </bk>
    <bk>
      <extLst>
        <ext uri="{3e2802c4-a4d2-4d8b-9148-e3be6c30e623}">
          <xlrd:rvb i="17363"/>
        </ext>
      </extLst>
    </bk>
    <bk>
      <extLst>
        <ext uri="{3e2802c4-a4d2-4d8b-9148-e3be6c30e623}">
          <xlrd:rvb i="17364"/>
        </ext>
      </extLst>
    </bk>
    <bk>
      <extLst>
        <ext uri="{3e2802c4-a4d2-4d8b-9148-e3be6c30e623}">
          <xlrd:rvb i="17365"/>
        </ext>
      </extLst>
    </bk>
    <bk>
      <extLst>
        <ext uri="{3e2802c4-a4d2-4d8b-9148-e3be6c30e623}">
          <xlrd:rvb i="17366"/>
        </ext>
      </extLst>
    </bk>
    <bk>
      <extLst>
        <ext uri="{3e2802c4-a4d2-4d8b-9148-e3be6c30e623}">
          <xlrd:rvb i="17367"/>
        </ext>
      </extLst>
    </bk>
    <bk>
      <extLst>
        <ext uri="{3e2802c4-a4d2-4d8b-9148-e3be6c30e623}">
          <xlrd:rvb i="17368"/>
        </ext>
      </extLst>
    </bk>
    <bk>
      <extLst>
        <ext uri="{3e2802c4-a4d2-4d8b-9148-e3be6c30e623}">
          <xlrd:rvb i="17369"/>
        </ext>
      </extLst>
    </bk>
    <bk>
      <extLst>
        <ext uri="{3e2802c4-a4d2-4d8b-9148-e3be6c30e623}">
          <xlrd:rvb i="17370"/>
        </ext>
      </extLst>
    </bk>
    <bk>
      <extLst>
        <ext uri="{3e2802c4-a4d2-4d8b-9148-e3be6c30e623}">
          <xlrd:rvb i="17371"/>
        </ext>
      </extLst>
    </bk>
    <bk>
      <extLst>
        <ext uri="{3e2802c4-a4d2-4d8b-9148-e3be6c30e623}">
          <xlrd:rvb i="17372"/>
        </ext>
      </extLst>
    </bk>
    <bk>
      <extLst>
        <ext uri="{3e2802c4-a4d2-4d8b-9148-e3be6c30e623}">
          <xlrd:rvb i="17373"/>
        </ext>
      </extLst>
    </bk>
    <bk>
      <extLst>
        <ext uri="{3e2802c4-a4d2-4d8b-9148-e3be6c30e623}">
          <xlrd:rvb i="17374"/>
        </ext>
      </extLst>
    </bk>
    <bk>
      <extLst>
        <ext uri="{3e2802c4-a4d2-4d8b-9148-e3be6c30e623}">
          <xlrd:rvb i="17375"/>
        </ext>
      </extLst>
    </bk>
    <bk>
      <extLst>
        <ext uri="{3e2802c4-a4d2-4d8b-9148-e3be6c30e623}">
          <xlrd:rvb i="17376"/>
        </ext>
      </extLst>
    </bk>
    <bk>
      <extLst>
        <ext uri="{3e2802c4-a4d2-4d8b-9148-e3be6c30e623}">
          <xlrd:rvb i="17377"/>
        </ext>
      </extLst>
    </bk>
    <bk>
      <extLst>
        <ext uri="{3e2802c4-a4d2-4d8b-9148-e3be6c30e623}">
          <xlrd:rvb i="17378"/>
        </ext>
      </extLst>
    </bk>
    <bk>
      <extLst>
        <ext uri="{3e2802c4-a4d2-4d8b-9148-e3be6c30e623}">
          <xlrd:rvb i="17379"/>
        </ext>
      </extLst>
    </bk>
    <bk>
      <extLst>
        <ext uri="{3e2802c4-a4d2-4d8b-9148-e3be6c30e623}">
          <xlrd:rvb i="17380"/>
        </ext>
      </extLst>
    </bk>
    <bk>
      <extLst>
        <ext uri="{3e2802c4-a4d2-4d8b-9148-e3be6c30e623}">
          <xlrd:rvb i="17381"/>
        </ext>
      </extLst>
    </bk>
    <bk>
      <extLst>
        <ext uri="{3e2802c4-a4d2-4d8b-9148-e3be6c30e623}">
          <xlrd:rvb i="17382"/>
        </ext>
      </extLst>
    </bk>
    <bk>
      <extLst>
        <ext uri="{3e2802c4-a4d2-4d8b-9148-e3be6c30e623}">
          <xlrd:rvb i="17383"/>
        </ext>
      </extLst>
    </bk>
    <bk>
      <extLst>
        <ext uri="{3e2802c4-a4d2-4d8b-9148-e3be6c30e623}">
          <xlrd:rvb i="17384"/>
        </ext>
      </extLst>
    </bk>
    <bk>
      <extLst>
        <ext uri="{3e2802c4-a4d2-4d8b-9148-e3be6c30e623}">
          <xlrd:rvb i="17385"/>
        </ext>
      </extLst>
    </bk>
    <bk>
      <extLst>
        <ext uri="{3e2802c4-a4d2-4d8b-9148-e3be6c30e623}">
          <xlrd:rvb i="17386"/>
        </ext>
      </extLst>
    </bk>
    <bk>
      <extLst>
        <ext uri="{3e2802c4-a4d2-4d8b-9148-e3be6c30e623}">
          <xlrd:rvb i="17387"/>
        </ext>
      </extLst>
    </bk>
    <bk>
      <extLst>
        <ext uri="{3e2802c4-a4d2-4d8b-9148-e3be6c30e623}">
          <xlrd:rvb i="17388"/>
        </ext>
      </extLst>
    </bk>
    <bk>
      <extLst>
        <ext uri="{3e2802c4-a4d2-4d8b-9148-e3be6c30e623}">
          <xlrd:rvb i="17389"/>
        </ext>
      </extLst>
    </bk>
    <bk>
      <extLst>
        <ext uri="{3e2802c4-a4d2-4d8b-9148-e3be6c30e623}">
          <xlrd:rvb i="17390"/>
        </ext>
      </extLst>
    </bk>
    <bk>
      <extLst>
        <ext uri="{3e2802c4-a4d2-4d8b-9148-e3be6c30e623}">
          <xlrd:rvb i="17391"/>
        </ext>
      </extLst>
    </bk>
    <bk>
      <extLst>
        <ext uri="{3e2802c4-a4d2-4d8b-9148-e3be6c30e623}">
          <xlrd:rvb i="17392"/>
        </ext>
      </extLst>
    </bk>
    <bk>
      <extLst>
        <ext uri="{3e2802c4-a4d2-4d8b-9148-e3be6c30e623}">
          <xlrd:rvb i="17393"/>
        </ext>
      </extLst>
    </bk>
    <bk>
      <extLst>
        <ext uri="{3e2802c4-a4d2-4d8b-9148-e3be6c30e623}">
          <xlrd:rvb i="17394"/>
        </ext>
      </extLst>
    </bk>
    <bk>
      <extLst>
        <ext uri="{3e2802c4-a4d2-4d8b-9148-e3be6c30e623}">
          <xlrd:rvb i="17395"/>
        </ext>
      </extLst>
    </bk>
    <bk>
      <extLst>
        <ext uri="{3e2802c4-a4d2-4d8b-9148-e3be6c30e623}">
          <xlrd:rvb i="17396"/>
        </ext>
      </extLst>
    </bk>
    <bk>
      <extLst>
        <ext uri="{3e2802c4-a4d2-4d8b-9148-e3be6c30e623}">
          <xlrd:rvb i="17397"/>
        </ext>
      </extLst>
    </bk>
    <bk>
      <extLst>
        <ext uri="{3e2802c4-a4d2-4d8b-9148-e3be6c30e623}">
          <xlrd:rvb i="17398"/>
        </ext>
      </extLst>
    </bk>
    <bk>
      <extLst>
        <ext uri="{3e2802c4-a4d2-4d8b-9148-e3be6c30e623}">
          <xlrd:rvb i="17399"/>
        </ext>
      </extLst>
    </bk>
    <bk>
      <extLst>
        <ext uri="{3e2802c4-a4d2-4d8b-9148-e3be6c30e623}">
          <xlrd:rvb i="17400"/>
        </ext>
      </extLst>
    </bk>
    <bk>
      <extLst>
        <ext uri="{3e2802c4-a4d2-4d8b-9148-e3be6c30e623}">
          <xlrd:rvb i="17401"/>
        </ext>
      </extLst>
    </bk>
    <bk>
      <extLst>
        <ext uri="{3e2802c4-a4d2-4d8b-9148-e3be6c30e623}">
          <xlrd:rvb i="17402"/>
        </ext>
      </extLst>
    </bk>
    <bk>
      <extLst>
        <ext uri="{3e2802c4-a4d2-4d8b-9148-e3be6c30e623}">
          <xlrd:rvb i="17403"/>
        </ext>
      </extLst>
    </bk>
    <bk>
      <extLst>
        <ext uri="{3e2802c4-a4d2-4d8b-9148-e3be6c30e623}">
          <xlrd:rvb i="17404"/>
        </ext>
      </extLst>
    </bk>
    <bk>
      <extLst>
        <ext uri="{3e2802c4-a4d2-4d8b-9148-e3be6c30e623}">
          <xlrd:rvb i="17405"/>
        </ext>
      </extLst>
    </bk>
    <bk>
      <extLst>
        <ext uri="{3e2802c4-a4d2-4d8b-9148-e3be6c30e623}">
          <xlrd:rvb i="17406"/>
        </ext>
      </extLst>
    </bk>
    <bk>
      <extLst>
        <ext uri="{3e2802c4-a4d2-4d8b-9148-e3be6c30e623}">
          <xlrd:rvb i="17407"/>
        </ext>
      </extLst>
    </bk>
    <bk>
      <extLst>
        <ext uri="{3e2802c4-a4d2-4d8b-9148-e3be6c30e623}">
          <xlrd:rvb i="17408"/>
        </ext>
      </extLst>
    </bk>
    <bk>
      <extLst>
        <ext uri="{3e2802c4-a4d2-4d8b-9148-e3be6c30e623}">
          <xlrd:rvb i="17409"/>
        </ext>
      </extLst>
    </bk>
    <bk>
      <extLst>
        <ext uri="{3e2802c4-a4d2-4d8b-9148-e3be6c30e623}">
          <xlrd:rvb i="17410"/>
        </ext>
      </extLst>
    </bk>
    <bk>
      <extLst>
        <ext uri="{3e2802c4-a4d2-4d8b-9148-e3be6c30e623}">
          <xlrd:rvb i="17411"/>
        </ext>
      </extLst>
    </bk>
    <bk>
      <extLst>
        <ext uri="{3e2802c4-a4d2-4d8b-9148-e3be6c30e623}">
          <xlrd:rvb i="17412"/>
        </ext>
      </extLst>
    </bk>
    <bk>
      <extLst>
        <ext uri="{3e2802c4-a4d2-4d8b-9148-e3be6c30e623}">
          <xlrd:rvb i="17413"/>
        </ext>
      </extLst>
    </bk>
    <bk>
      <extLst>
        <ext uri="{3e2802c4-a4d2-4d8b-9148-e3be6c30e623}">
          <xlrd:rvb i="17414"/>
        </ext>
      </extLst>
    </bk>
    <bk>
      <extLst>
        <ext uri="{3e2802c4-a4d2-4d8b-9148-e3be6c30e623}">
          <xlrd:rvb i="17415"/>
        </ext>
      </extLst>
    </bk>
    <bk>
      <extLst>
        <ext uri="{3e2802c4-a4d2-4d8b-9148-e3be6c30e623}">
          <xlrd:rvb i="17416"/>
        </ext>
      </extLst>
    </bk>
    <bk>
      <extLst>
        <ext uri="{3e2802c4-a4d2-4d8b-9148-e3be6c30e623}">
          <xlrd:rvb i="17417"/>
        </ext>
      </extLst>
    </bk>
    <bk>
      <extLst>
        <ext uri="{3e2802c4-a4d2-4d8b-9148-e3be6c30e623}">
          <xlrd:rvb i="17418"/>
        </ext>
      </extLst>
    </bk>
    <bk>
      <extLst>
        <ext uri="{3e2802c4-a4d2-4d8b-9148-e3be6c30e623}">
          <xlrd:rvb i="17419"/>
        </ext>
      </extLst>
    </bk>
    <bk>
      <extLst>
        <ext uri="{3e2802c4-a4d2-4d8b-9148-e3be6c30e623}">
          <xlrd:rvb i="17420"/>
        </ext>
      </extLst>
    </bk>
    <bk>
      <extLst>
        <ext uri="{3e2802c4-a4d2-4d8b-9148-e3be6c30e623}">
          <xlrd:rvb i="17421"/>
        </ext>
      </extLst>
    </bk>
    <bk>
      <extLst>
        <ext uri="{3e2802c4-a4d2-4d8b-9148-e3be6c30e623}">
          <xlrd:rvb i="17422"/>
        </ext>
      </extLst>
    </bk>
    <bk>
      <extLst>
        <ext uri="{3e2802c4-a4d2-4d8b-9148-e3be6c30e623}">
          <xlrd:rvb i="17423"/>
        </ext>
      </extLst>
    </bk>
    <bk>
      <extLst>
        <ext uri="{3e2802c4-a4d2-4d8b-9148-e3be6c30e623}">
          <xlrd:rvb i="17424"/>
        </ext>
      </extLst>
    </bk>
    <bk>
      <extLst>
        <ext uri="{3e2802c4-a4d2-4d8b-9148-e3be6c30e623}">
          <xlrd:rvb i="17425"/>
        </ext>
      </extLst>
    </bk>
    <bk>
      <extLst>
        <ext uri="{3e2802c4-a4d2-4d8b-9148-e3be6c30e623}">
          <xlrd:rvb i="17426"/>
        </ext>
      </extLst>
    </bk>
    <bk>
      <extLst>
        <ext uri="{3e2802c4-a4d2-4d8b-9148-e3be6c30e623}">
          <xlrd:rvb i="17427"/>
        </ext>
      </extLst>
    </bk>
    <bk>
      <extLst>
        <ext uri="{3e2802c4-a4d2-4d8b-9148-e3be6c30e623}">
          <xlrd:rvb i="17428"/>
        </ext>
      </extLst>
    </bk>
    <bk>
      <extLst>
        <ext uri="{3e2802c4-a4d2-4d8b-9148-e3be6c30e623}">
          <xlrd:rvb i="17429"/>
        </ext>
      </extLst>
    </bk>
    <bk>
      <extLst>
        <ext uri="{3e2802c4-a4d2-4d8b-9148-e3be6c30e623}">
          <xlrd:rvb i="17430"/>
        </ext>
      </extLst>
    </bk>
    <bk>
      <extLst>
        <ext uri="{3e2802c4-a4d2-4d8b-9148-e3be6c30e623}">
          <xlrd:rvb i="17431"/>
        </ext>
      </extLst>
    </bk>
    <bk>
      <extLst>
        <ext uri="{3e2802c4-a4d2-4d8b-9148-e3be6c30e623}">
          <xlrd:rvb i="17432"/>
        </ext>
      </extLst>
    </bk>
    <bk>
      <extLst>
        <ext uri="{3e2802c4-a4d2-4d8b-9148-e3be6c30e623}">
          <xlrd:rvb i="17433"/>
        </ext>
      </extLst>
    </bk>
    <bk>
      <extLst>
        <ext uri="{3e2802c4-a4d2-4d8b-9148-e3be6c30e623}">
          <xlrd:rvb i="17434"/>
        </ext>
      </extLst>
    </bk>
    <bk>
      <extLst>
        <ext uri="{3e2802c4-a4d2-4d8b-9148-e3be6c30e623}">
          <xlrd:rvb i="17435"/>
        </ext>
      </extLst>
    </bk>
    <bk>
      <extLst>
        <ext uri="{3e2802c4-a4d2-4d8b-9148-e3be6c30e623}">
          <xlrd:rvb i="17436"/>
        </ext>
      </extLst>
    </bk>
    <bk>
      <extLst>
        <ext uri="{3e2802c4-a4d2-4d8b-9148-e3be6c30e623}">
          <xlrd:rvb i="17437"/>
        </ext>
      </extLst>
    </bk>
    <bk>
      <extLst>
        <ext uri="{3e2802c4-a4d2-4d8b-9148-e3be6c30e623}">
          <xlrd:rvb i="17438"/>
        </ext>
      </extLst>
    </bk>
    <bk>
      <extLst>
        <ext uri="{3e2802c4-a4d2-4d8b-9148-e3be6c30e623}">
          <xlrd:rvb i="17439"/>
        </ext>
      </extLst>
    </bk>
    <bk>
      <extLst>
        <ext uri="{3e2802c4-a4d2-4d8b-9148-e3be6c30e623}">
          <xlrd:rvb i="17440"/>
        </ext>
      </extLst>
    </bk>
    <bk>
      <extLst>
        <ext uri="{3e2802c4-a4d2-4d8b-9148-e3be6c30e623}">
          <xlrd:rvb i="17441"/>
        </ext>
      </extLst>
    </bk>
    <bk>
      <extLst>
        <ext uri="{3e2802c4-a4d2-4d8b-9148-e3be6c30e623}">
          <xlrd:rvb i="17442"/>
        </ext>
      </extLst>
    </bk>
    <bk>
      <extLst>
        <ext uri="{3e2802c4-a4d2-4d8b-9148-e3be6c30e623}">
          <xlrd:rvb i="17443"/>
        </ext>
      </extLst>
    </bk>
    <bk>
      <extLst>
        <ext uri="{3e2802c4-a4d2-4d8b-9148-e3be6c30e623}">
          <xlrd:rvb i="17444"/>
        </ext>
      </extLst>
    </bk>
    <bk>
      <extLst>
        <ext uri="{3e2802c4-a4d2-4d8b-9148-e3be6c30e623}">
          <xlrd:rvb i="17445"/>
        </ext>
      </extLst>
    </bk>
    <bk>
      <extLst>
        <ext uri="{3e2802c4-a4d2-4d8b-9148-e3be6c30e623}">
          <xlrd:rvb i="17446"/>
        </ext>
      </extLst>
    </bk>
    <bk>
      <extLst>
        <ext uri="{3e2802c4-a4d2-4d8b-9148-e3be6c30e623}">
          <xlrd:rvb i="17447"/>
        </ext>
      </extLst>
    </bk>
    <bk>
      <extLst>
        <ext uri="{3e2802c4-a4d2-4d8b-9148-e3be6c30e623}">
          <xlrd:rvb i="17448"/>
        </ext>
      </extLst>
    </bk>
    <bk>
      <extLst>
        <ext uri="{3e2802c4-a4d2-4d8b-9148-e3be6c30e623}">
          <xlrd:rvb i="17449"/>
        </ext>
      </extLst>
    </bk>
    <bk>
      <extLst>
        <ext uri="{3e2802c4-a4d2-4d8b-9148-e3be6c30e623}">
          <xlrd:rvb i="17450"/>
        </ext>
      </extLst>
    </bk>
    <bk>
      <extLst>
        <ext uri="{3e2802c4-a4d2-4d8b-9148-e3be6c30e623}">
          <xlrd:rvb i="17451"/>
        </ext>
      </extLst>
    </bk>
    <bk>
      <extLst>
        <ext uri="{3e2802c4-a4d2-4d8b-9148-e3be6c30e623}">
          <xlrd:rvb i="17452"/>
        </ext>
      </extLst>
    </bk>
    <bk>
      <extLst>
        <ext uri="{3e2802c4-a4d2-4d8b-9148-e3be6c30e623}">
          <xlrd:rvb i="17453"/>
        </ext>
      </extLst>
    </bk>
    <bk>
      <extLst>
        <ext uri="{3e2802c4-a4d2-4d8b-9148-e3be6c30e623}">
          <xlrd:rvb i="17454"/>
        </ext>
      </extLst>
    </bk>
    <bk>
      <extLst>
        <ext uri="{3e2802c4-a4d2-4d8b-9148-e3be6c30e623}">
          <xlrd:rvb i="17455"/>
        </ext>
      </extLst>
    </bk>
    <bk>
      <extLst>
        <ext uri="{3e2802c4-a4d2-4d8b-9148-e3be6c30e623}">
          <xlrd:rvb i="17456"/>
        </ext>
      </extLst>
    </bk>
    <bk>
      <extLst>
        <ext uri="{3e2802c4-a4d2-4d8b-9148-e3be6c30e623}">
          <xlrd:rvb i="17457"/>
        </ext>
      </extLst>
    </bk>
    <bk>
      <extLst>
        <ext uri="{3e2802c4-a4d2-4d8b-9148-e3be6c30e623}">
          <xlrd:rvb i="17458"/>
        </ext>
      </extLst>
    </bk>
    <bk>
      <extLst>
        <ext uri="{3e2802c4-a4d2-4d8b-9148-e3be6c30e623}">
          <xlrd:rvb i="17459"/>
        </ext>
      </extLst>
    </bk>
    <bk>
      <extLst>
        <ext uri="{3e2802c4-a4d2-4d8b-9148-e3be6c30e623}">
          <xlrd:rvb i="17460"/>
        </ext>
      </extLst>
    </bk>
    <bk>
      <extLst>
        <ext uri="{3e2802c4-a4d2-4d8b-9148-e3be6c30e623}">
          <xlrd:rvb i="17461"/>
        </ext>
      </extLst>
    </bk>
    <bk>
      <extLst>
        <ext uri="{3e2802c4-a4d2-4d8b-9148-e3be6c30e623}">
          <xlrd:rvb i="17462"/>
        </ext>
      </extLst>
    </bk>
    <bk>
      <extLst>
        <ext uri="{3e2802c4-a4d2-4d8b-9148-e3be6c30e623}">
          <xlrd:rvb i="17463"/>
        </ext>
      </extLst>
    </bk>
    <bk>
      <extLst>
        <ext uri="{3e2802c4-a4d2-4d8b-9148-e3be6c30e623}">
          <xlrd:rvb i="17464"/>
        </ext>
      </extLst>
    </bk>
    <bk>
      <extLst>
        <ext uri="{3e2802c4-a4d2-4d8b-9148-e3be6c30e623}">
          <xlrd:rvb i="17465"/>
        </ext>
      </extLst>
    </bk>
    <bk>
      <extLst>
        <ext uri="{3e2802c4-a4d2-4d8b-9148-e3be6c30e623}">
          <xlrd:rvb i="17466"/>
        </ext>
      </extLst>
    </bk>
    <bk>
      <extLst>
        <ext uri="{3e2802c4-a4d2-4d8b-9148-e3be6c30e623}">
          <xlrd:rvb i="17467"/>
        </ext>
      </extLst>
    </bk>
    <bk>
      <extLst>
        <ext uri="{3e2802c4-a4d2-4d8b-9148-e3be6c30e623}">
          <xlrd:rvb i="17468"/>
        </ext>
      </extLst>
    </bk>
    <bk>
      <extLst>
        <ext uri="{3e2802c4-a4d2-4d8b-9148-e3be6c30e623}">
          <xlrd:rvb i="17469"/>
        </ext>
      </extLst>
    </bk>
    <bk>
      <extLst>
        <ext uri="{3e2802c4-a4d2-4d8b-9148-e3be6c30e623}">
          <xlrd:rvb i="17470"/>
        </ext>
      </extLst>
    </bk>
    <bk>
      <extLst>
        <ext uri="{3e2802c4-a4d2-4d8b-9148-e3be6c30e623}">
          <xlrd:rvb i="17471"/>
        </ext>
      </extLst>
    </bk>
    <bk>
      <extLst>
        <ext uri="{3e2802c4-a4d2-4d8b-9148-e3be6c30e623}">
          <xlrd:rvb i="17472"/>
        </ext>
      </extLst>
    </bk>
    <bk>
      <extLst>
        <ext uri="{3e2802c4-a4d2-4d8b-9148-e3be6c30e623}">
          <xlrd:rvb i="17473"/>
        </ext>
      </extLst>
    </bk>
    <bk>
      <extLst>
        <ext uri="{3e2802c4-a4d2-4d8b-9148-e3be6c30e623}">
          <xlrd:rvb i="17474"/>
        </ext>
      </extLst>
    </bk>
    <bk>
      <extLst>
        <ext uri="{3e2802c4-a4d2-4d8b-9148-e3be6c30e623}">
          <xlrd:rvb i="17475"/>
        </ext>
      </extLst>
    </bk>
    <bk>
      <extLst>
        <ext uri="{3e2802c4-a4d2-4d8b-9148-e3be6c30e623}">
          <xlrd:rvb i="17476"/>
        </ext>
      </extLst>
    </bk>
    <bk>
      <extLst>
        <ext uri="{3e2802c4-a4d2-4d8b-9148-e3be6c30e623}">
          <xlrd:rvb i="17477"/>
        </ext>
      </extLst>
    </bk>
    <bk>
      <extLst>
        <ext uri="{3e2802c4-a4d2-4d8b-9148-e3be6c30e623}">
          <xlrd:rvb i="17478"/>
        </ext>
      </extLst>
    </bk>
    <bk>
      <extLst>
        <ext uri="{3e2802c4-a4d2-4d8b-9148-e3be6c30e623}">
          <xlrd:rvb i="17479"/>
        </ext>
      </extLst>
    </bk>
    <bk>
      <extLst>
        <ext uri="{3e2802c4-a4d2-4d8b-9148-e3be6c30e623}">
          <xlrd:rvb i="17480"/>
        </ext>
      </extLst>
    </bk>
    <bk>
      <extLst>
        <ext uri="{3e2802c4-a4d2-4d8b-9148-e3be6c30e623}">
          <xlrd:rvb i="17481"/>
        </ext>
      </extLst>
    </bk>
    <bk>
      <extLst>
        <ext uri="{3e2802c4-a4d2-4d8b-9148-e3be6c30e623}">
          <xlrd:rvb i="17482"/>
        </ext>
      </extLst>
    </bk>
    <bk>
      <extLst>
        <ext uri="{3e2802c4-a4d2-4d8b-9148-e3be6c30e623}">
          <xlrd:rvb i="17483"/>
        </ext>
      </extLst>
    </bk>
    <bk>
      <extLst>
        <ext uri="{3e2802c4-a4d2-4d8b-9148-e3be6c30e623}">
          <xlrd:rvb i="17484"/>
        </ext>
      </extLst>
    </bk>
    <bk>
      <extLst>
        <ext uri="{3e2802c4-a4d2-4d8b-9148-e3be6c30e623}">
          <xlrd:rvb i="17485"/>
        </ext>
      </extLst>
    </bk>
    <bk>
      <extLst>
        <ext uri="{3e2802c4-a4d2-4d8b-9148-e3be6c30e623}">
          <xlrd:rvb i="17486"/>
        </ext>
      </extLst>
    </bk>
    <bk>
      <extLst>
        <ext uri="{3e2802c4-a4d2-4d8b-9148-e3be6c30e623}">
          <xlrd:rvb i="17487"/>
        </ext>
      </extLst>
    </bk>
    <bk>
      <extLst>
        <ext uri="{3e2802c4-a4d2-4d8b-9148-e3be6c30e623}">
          <xlrd:rvb i="17488"/>
        </ext>
      </extLst>
    </bk>
    <bk>
      <extLst>
        <ext uri="{3e2802c4-a4d2-4d8b-9148-e3be6c30e623}">
          <xlrd:rvb i="17489"/>
        </ext>
      </extLst>
    </bk>
    <bk>
      <extLst>
        <ext uri="{3e2802c4-a4d2-4d8b-9148-e3be6c30e623}">
          <xlrd:rvb i="17490"/>
        </ext>
      </extLst>
    </bk>
    <bk>
      <extLst>
        <ext uri="{3e2802c4-a4d2-4d8b-9148-e3be6c30e623}">
          <xlrd:rvb i="17491"/>
        </ext>
      </extLst>
    </bk>
    <bk>
      <extLst>
        <ext uri="{3e2802c4-a4d2-4d8b-9148-e3be6c30e623}">
          <xlrd:rvb i="17492"/>
        </ext>
      </extLst>
    </bk>
    <bk>
      <extLst>
        <ext uri="{3e2802c4-a4d2-4d8b-9148-e3be6c30e623}">
          <xlrd:rvb i="17493"/>
        </ext>
      </extLst>
    </bk>
    <bk>
      <extLst>
        <ext uri="{3e2802c4-a4d2-4d8b-9148-e3be6c30e623}">
          <xlrd:rvb i="17494"/>
        </ext>
      </extLst>
    </bk>
    <bk>
      <extLst>
        <ext uri="{3e2802c4-a4d2-4d8b-9148-e3be6c30e623}">
          <xlrd:rvb i="17495"/>
        </ext>
      </extLst>
    </bk>
    <bk>
      <extLst>
        <ext uri="{3e2802c4-a4d2-4d8b-9148-e3be6c30e623}">
          <xlrd:rvb i="17496"/>
        </ext>
      </extLst>
    </bk>
    <bk>
      <extLst>
        <ext uri="{3e2802c4-a4d2-4d8b-9148-e3be6c30e623}">
          <xlrd:rvb i="17497"/>
        </ext>
      </extLst>
    </bk>
    <bk>
      <extLst>
        <ext uri="{3e2802c4-a4d2-4d8b-9148-e3be6c30e623}">
          <xlrd:rvb i="17498"/>
        </ext>
      </extLst>
    </bk>
    <bk>
      <extLst>
        <ext uri="{3e2802c4-a4d2-4d8b-9148-e3be6c30e623}">
          <xlrd:rvb i="17499"/>
        </ext>
      </extLst>
    </bk>
    <bk>
      <extLst>
        <ext uri="{3e2802c4-a4d2-4d8b-9148-e3be6c30e623}">
          <xlrd:rvb i="17500"/>
        </ext>
      </extLst>
    </bk>
    <bk>
      <extLst>
        <ext uri="{3e2802c4-a4d2-4d8b-9148-e3be6c30e623}">
          <xlrd:rvb i="17501"/>
        </ext>
      </extLst>
    </bk>
    <bk>
      <extLst>
        <ext uri="{3e2802c4-a4d2-4d8b-9148-e3be6c30e623}">
          <xlrd:rvb i="17502"/>
        </ext>
      </extLst>
    </bk>
    <bk>
      <extLst>
        <ext uri="{3e2802c4-a4d2-4d8b-9148-e3be6c30e623}">
          <xlrd:rvb i="17503"/>
        </ext>
      </extLst>
    </bk>
    <bk>
      <extLst>
        <ext uri="{3e2802c4-a4d2-4d8b-9148-e3be6c30e623}">
          <xlrd:rvb i="17504"/>
        </ext>
      </extLst>
    </bk>
    <bk>
      <extLst>
        <ext uri="{3e2802c4-a4d2-4d8b-9148-e3be6c30e623}">
          <xlrd:rvb i="17505"/>
        </ext>
      </extLst>
    </bk>
    <bk>
      <extLst>
        <ext uri="{3e2802c4-a4d2-4d8b-9148-e3be6c30e623}">
          <xlrd:rvb i="17506"/>
        </ext>
      </extLst>
    </bk>
    <bk>
      <extLst>
        <ext uri="{3e2802c4-a4d2-4d8b-9148-e3be6c30e623}">
          <xlrd:rvb i="17507"/>
        </ext>
      </extLst>
    </bk>
    <bk>
      <extLst>
        <ext uri="{3e2802c4-a4d2-4d8b-9148-e3be6c30e623}">
          <xlrd:rvb i="17508"/>
        </ext>
      </extLst>
    </bk>
    <bk>
      <extLst>
        <ext uri="{3e2802c4-a4d2-4d8b-9148-e3be6c30e623}">
          <xlrd:rvb i="17509"/>
        </ext>
      </extLst>
    </bk>
    <bk>
      <extLst>
        <ext uri="{3e2802c4-a4d2-4d8b-9148-e3be6c30e623}">
          <xlrd:rvb i="17510"/>
        </ext>
      </extLst>
    </bk>
    <bk>
      <extLst>
        <ext uri="{3e2802c4-a4d2-4d8b-9148-e3be6c30e623}">
          <xlrd:rvb i="17511"/>
        </ext>
      </extLst>
    </bk>
    <bk>
      <extLst>
        <ext uri="{3e2802c4-a4d2-4d8b-9148-e3be6c30e623}">
          <xlrd:rvb i="17512"/>
        </ext>
      </extLst>
    </bk>
    <bk>
      <extLst>
        <ext uri="{3e2802c4-a4d2-4d8b-9148-e3be6c30e623}">
          <xlrd:rvb i="17513"/>
        </ext>
      </extLst>
    </bk>
    <bk>
      <extLst>
        <ext uri="{3e2802c4-a4d2-4d8b-9148-e3be6c30e623}">
          <xlrd:rvb i="17514"/>
        </ext>
      </extLst>
    </bk>
    <bk>
      <extLst>
        <ext uri="{3e2802c4-a4d2-4d8b-9148-e3be6c30e623}">
          <xlrd:rvb i="17515"/>
        </ext>
      </extLst>
    </bk>
    <bk>
      <extLst>
        <ext uri="{3e2802c4-a4d2-4d8b-9148-e3be6c30e623}">
          <xlrd:rvb i="17516"/>
        </ext>
      </extLst>
    </bk>
    <bk>
      <extLst>
        <ext uri="{3e2802c4-a4d2-4d8b-9148-e3be6c30e623}">
          <xlrd:rvb i="17517"/>
        </ext>
      </extLst>
    </bk>
    <bk>
      <extLst>
        <ext uri="{3e2802c4-a4d2-4d8b-9148-e3be6c30e623}">
          <xlrd:rvb i="17518"/>
        </ext>
      </extLst>
    </bk>
    <bk>
      <extLst>
        <ext uri="{3e2802c4-a4d2-4d8b-9148-e3be6c30e623}">
          <xlrd:rvb i="17519"/>
        </ext>
      </extLst>
    </bk>
    <bk>
      <extLst>
        <ext uri="{3e2802c4-a4d2-4d8b-9148-e3be6c30e623}">
          <xlrd:rvb i="17520"/>
        </ext>
      </extLst>
    </bk>
    <bk>
      <extLst>
        <ext uri="{3e2802c4-a4d2-4d8b-9148-e3be6c30e623}">
          <xlrd:rvb i="17521"/>
        </ext>
      </extLst>
    </bk>
    <bk>
      <extLst>
        <ext uri="{3e2802c4-a4d2-4d8b-9148-e3be6c30e623}">
          <xlrd:rvb i="17522"/>
        </ext>
      </extLst>
    </bk>
    <bk>
      <extLst>
        <ext uri="{3e2802c4-a4d2-4d8b-9148-e3be6c30e623}">
          <xlrd:rvb i="17523"/>
        </ext>
      </extLst>
    </bk>
    <bk>
      <extLst>
        <ext uri="{3e2802c4-a4d2-4d8b-9148-e3be6c30e623}">
          <xlrd:rvb i="17524"/>
        </ext>
      </extLst>
    </bk>
    <bk>
      <extLst>
        <ext uri="{3e2802c4-a4d2-4d8b-9148-e3be6c30e623}">
          <xlrd:rvb i="17525"/>
        </ext>
      </extLst>
    </bk>
    <bk>
      <extLst>
        <ext uri="{3e2802c4-a4d2-4d8b-9148-e3be6c30e623}">
          <xlrd:rvb i="17526"/>
        </ext>
      </extLst>
    </bk>
    <bk>
      <extLst>
        <ext uri="{3e2802c4-a4d2-4d8b-9148-e3be6c30e623}">
          <xlrd:rvb i="17527"/>
        </ext>
      </extLst>
    </bk>
    <bk>
      <extLst>
        <ext uri="{3e2802c4-a4d2-4d8b-9148-e3be6c30e623}">
          <xlrd:rvb i="17528"/>
        </ext>
      </extLst>
    </bk>
    <bk>
      <extLst>
        <ext uri="{3e2802c4-a4d2-4d8b-9148-e3be6c30e623}">
          <xlrd:rvb i="17529"/>
        </ext>
      </extLst>
    </bk>
    <bk>
      <extLst>
        <ext uri="{3e2802c4-a4d2-4d8b-9148-e3be6c30e623}">
          <xlrd:rvb i="17530"/>
        </ext>
      </extLst>
    </bk>
    <bk>
      <extLst>
        <ext uri="{3e2802c4-a4d2-4d8b-9148-e3be6c30e623}">
          <xlrd:rvb i="17531"/>
        </ext>
      </extLst>
    </bk>
    <bk>
      <extLst>
        <ext uri="{3e2802c4-a4d2-4d8b-9148-e3be6c30e623}">
          <xlrd:rvb i="17532"/>
        </ext>
      </extLst>
    </bk>
    <bk>
      <extLst>
        <ext uri="{3e2802c4-a4d2-4d8b-9148-e3be6c30e623}">
          <xlrd:rvb i="17533"/>
        </ext>
      </extLst>
    </bk>
    <bk>
      <extLst>
        <ext uri="{3e2802c4-a4d2-4d8b-9148-e3be6c30e623}">
          <xlrd:rvb i="17534"/>
        </ext>
      </extLst>
    </bk>
    <bk>
      <extLst>
        <ext uri="{3e2802c4-a4d2-4d8b-9148-e3be6c30e623}">
          <xlrd:rvb i="17535"/>
        </ext>
      </extLst>
    </bk>
    <bk>
      <extLst>
        <ext uri="{3e2802c4-a4d2-4d8b-9148-e3be6c30e623}">
          <xlrd:rvb i="17536"/>
        </ext>
      </extLst>
    </bk>
    <bk>
      <extLst>
        <ext uri="{3e2802c4-a4d2-4d8b-9148-e3be6c30e623}">
          <xlrd:rvb i="17537"/>
        </ext>
      </extLst>
    </bk>
    <bk>
      <extLst>
        <ext uri="{3e2802c4-a4d2-4d8b-9148-e3be6c30e623}">
          <xlrd:rvb i="17538"/>
        </ext>
      </extLst>
    </bk>
    <bk>
      <extLst>
        <ext uri="{3e2802c4-a4d2-4d8b-9148-e3be6c30e623}">
          <xlrd:rvb i="17539"/>
        </ext>
      </extLst>
    </bk>
    <bk>
      <extLst>
        <ext uri="{3e2802c4-a4d2-4d8b-9148-e3be6c30e623}">
          <xlrd:rvb i="17540"/>
        </ext>
      </extLst>
    </bk>
    <bk>
      <extLst>
        <ext uri="{3e2802c4-a4d2-4d8b-9148-e3be6c30e623}">
          <xlrd:rvb i="17541"/>
        </ext>
      </extLst>
    </bk>
    <bk>
      <extLst>
        <ext uri="{3e2802c4-a4d2-4d8b-9148-e3be6c30e623}">
          <xlrd:rvb i="17542"/>
        </ext>
      </extLst>
    </bk>
    <bk>
      <extLst>
        <ext uri="{3e2802c4-a4d2-4d8b-9148-e3be6c30e623}">
          <xlrd:rvb i="17543"/>
        </ext>
      </extLst>
    </bk>
    <bk>
      <extLst>
        <ext uri="{3e2802c4-a4d2-4d8b-9148-e3be6c30e623}">
          <xlrd:rvb i="17544"/>
        </ext>
      </extLst>
    </bk>
    <bk>
      <extLst>
        <ext uri="{3e2802c4-a4d2-4d8b-9148-e3be6c30e623}">
          <xlrd:rvb i="17545"/>
        </ext>
      </extLst>
    </bk>
    <bk>
      <extLst>
        <ext uri="{3e2802c4-a4d2-4d8b-9148-e3be6c30e623}">
          <xlrd:rvb i="17546"/>
        </ext>
      </extLst>
    </bk>
    <bk>
      <extLst>
        <ext uri="{3e2802c4-a4d2-4d8b-9148-e3be6c30e623}">
          <xlrd:rvb i="17547"/>
        </ext>
      </extLst>
    </bk>
    <bk>
      <extLst>
        <ext uri="{3e2802c4-a4d2-4d8b-9148-e3be6c30e623}">
          <xlrd:rvb i="17548"/>
        </ext>
      </extLst>
    </bk>
    <bk>
      <extLst>
        <ext uri="{3e2802c4-a4d2-4d8b-9148-e3be6c30e623}">
          <xlrd:rvb i="17549"/>
        </ext>
      </extLst>
    </bk>
    <bk>
      <extLst>
        <ext uri="{3e2802c4-a4d2-4d8b-9148-e3be6c30e623}">
          <xlrd:rvb i="17550"/>
        </ext>
      </extLst>
    </bk>
    <bk>
      <extLst>
        <ext uri="{3e2802c4-a4d2-4d8b-9148-e3be6c30e623}">
          <xlrd:rvb i="17551"/>
        </ext>
      </extLst>
    </bk>
    <bk>
      <extLst>
        <ext uri="{3e2802c4-a4d2-4d8b-9148-e3be6c30e623}">
          <xlrd:rvb i="17552"/>
        </ext>
      </extLst>
    </bk>
    <bk>
      <extLst>
        <ext uri="{3e2802c4-a4d2-4d8b-9148-e3be6c30e623}">
          <xlrd:rvb i="17553"/>
        </ext>
      </extLst>
    </bk>
    <bk>
      <extLst>
        <ext uri="{3e2802c4-a4d2-4d8b-9148-e3be6c30e623}">
          <xlrd:rvb i="17554"/>
        </ext>
      </extLst>
    </bk>
    <bk>
      <extLst>
        <ext uri="{3e2802c4-a4d2-4d8b-9148-e3be6c30e623}">
          <xlrd:rvb i="17555"/>
        </ext>
      </extLst>
    </bk>
    <bk>
      <extLst>
        <ext uri="{3e2802c4-a4d2-4d8b-9148-e3be6c30e623}">
          <xlrd:rvb i="17556"/>
        </ext>
      </extLst>
    </bk>
    <bk>
      <extLst>
        <ext uri="{3e2802c4-a4d2-4d8b-9148-e3be6c30e623}">
          <xlrd:rvb i="17557"/>
        </ext>
      </extLst>
    </bk>
    <bk>
      <extLst>
        <ext uri="{3e2802c4-a4d2-4d8b-9148-e3be6c30e623}">
          <xlrd:rvb i="17558"/>
        </ext>
      </extLst>
    </bk>
    <bk>
      <extLst>
        <ext uri="{3e2802c4-a4d2-4d8b-9148-e3be6c30e623}">
          <xlrd:rvb i="17559"/>
        </ext>
      </extLst>
    </bk>
    <bk>
      <extLst>
        <ext uri="{3e2802c4-a4d2-4d8b-9148-e3be6c30e623}">
          <xlrd:rvb i="17560"/>
        </ext>
      </extLst>
    </bk>
    <bk>
      <extLst>
        <ext uri="{3e2802c4-a4d2-4d8b-9148-e3be6c30e623}">
          <xlrd:rvb i="17561"/>
        </ext>
      </extLst>
    </bk>
    <bk>
      <extLst>
        <ext uri="{3e2802c4-a4d2-4d8b-9148-e3be6c30e623}">
          <xlrd:rvb i="17562"/>
        </ext>
      </extLst>
    </bk>
    <bk>
      <extLst>
        <ext uri="{3e2802c4-a4d2-4d8b-9148-e3be6c30e623}">
          <xlrd:rvb i="17563"/>
        </ext>
      </extLst>
    </bk>
    <bk>
      <extLst>
        <ext uri="{3e2802c4-a4d2-4d8b-9148-e3be6c30e623}">
          <xlrd:rvb i="17564"/>
        </ext>
      </extLst>
    </bk>
    <bk>
      <extLst>
        <ext uri="{3e2802c4-a4d2-4d8b-9148-e3be6c30e623}">
          <xlrd:rvb i="17565"/>
        </ext>
      </extLst>
    </bk>
    <bk>
      <extLst>
        <ext uri="{3e2802c4-a4d2-4d8b-9148-e3be6c30e623}">
          <xlrd:rvb i="17566"/>
        </ext>
      </extLst>
    </bk>
    <bk>
      <extLst>
        <ext uri="{3e2802c4-a4d2-4d8b-9148-e3be6c30e623}">
          <xlrd:rvb i="17567"/>
        </ext>
      </extLst>
    </bk>
    <bk>
      <extLst>
        <ext uri="{3e2802c4-a4d2-4d8b-9148-e3be6c30e623}">
          <xlrd:rvb i="17568"/>
        </ext>
      </extLst>
    </bk>
    <bk>
      <extLst>
        <ext uri="{3e2802c4-a4d2-4d8b-9148-e3be6c30e623}">
          <xlrd:rvb i="17569"/>
        </ext>
      </extLst>
    </bk>
    <bk>
      <extLst>
        <ext uri="{3e2802c4-a4d2-4d8b-9148-e3be6c30e623}">
          <xlrd:rvb i="17570"/>
        </ext>
      </extLst>
    </bk>
    <bk>
      <extLst>
        <ext uri="{3e2802c4-a4d2-4d8b-9148-e3be6c30e623}">
          <xlrd:rvb i="17571"/>
        </ext>
      </extLst>
    </bk>
    <bk>
      <extLst>
        <ext uri="{3e2802c4-a4d2-4d8b-9148-e3be6c30e623}">
          <xlrd:rvb i="17572"/>
        </ext>
      </extLst>
    </bk>
    <bk>
      <extLst>
        <ext uri="{3e2802c4-a4d2-4d8b-9148-e3be6c30e623}">
          <xlrd:rvb i="17573"/>
        </ext>
      </extLst>
    </bk>
    <bk>
      <extLst>
        <ext uri="{3e2802c4-a4d2-4d8b-9148-e3be6c30e623}">
          <xlrd:rvb i="17574"/>
        </ext>
      </extLst>
    </bk>
    <bk>
      <extLst>
        <ext uri="{3e2802c4-a4d2-4d8b-9148-e3be6c30e623}">
          <xlrd:rvb i="17575"/>
        </ext>
      </extLst>
    </bk>
    <bk>
      <extLst>
        <ext uri="{3e2802c4-a4d2-4d8b-9148-e3be6c30e623}">
          <xlrd:rvb i="17576"/>
        </ext>
      </extLst>
    </bk>
    <bk>
      <extLst>
        <ext uri="{3e2802c4-a4d2-4d8b-9148-e3be6c30e623}">
          <xlrd:rvb i="17577"/>
        </ext>
      </extLst>
    </bk>
    <bk>
      <extLst>
        <ext uri="{3e2802c4-a4d2-4d8b-9148-e3be6c30e623}">
          <xlrd:rvb i="17578"/>
        </ext>
      </extLst>
    </bk>
    <bk>
      <extLst>
        <ext uri="{3e2802c4-a4d2-4d8b-9148-e3be6c30e623}">
          <xlrd:rvb i="17579"/>
        </ext>
      </extLst>
    </bk>
    <bk>
      <extLst>
        <ext uri="{3e2802c4-a4d2-4d8b-9148-e3be6c30e623}">
          <xlrd:rvb i="17580"/>
        </ext>
      </extLst>
    </bk>
    <bk>
      <extLst>
        <ext uri="{3e2802c4-a4d2-4d8b-9148-e3be6c30e623}">
          <xlrd:rvb i="17581"/>
        </ext>
      </extLst>
    </bk>
    <bk>
      <extLst>
        <ext uri="{3e2802c4-a4d2-4d8b-9148-e3be6c30e623}">
          <xlrd:rvb i="17582"/>
        </ext>
      </extLst>
    </bk>
    <bk>
      <extLst>
        <ext uri="{3e2802c4-a4d2-4d8b-9148-e3be6c30e623}">
          <xlrd:rvb i="17583"/>
        </ext>
      </extLst>
    </bk>
    <bk>
      <extLst>
        <ext uri="{3e2802c4-a4d2-4d8b-9148-e3be6c30e623}">
          <xlrd:rvb i="17584"/>
        </ext>
      </extLst>
    </bk>
    <bk>
      <extLst>
        <ext uri="{3e2802c4-a4d2-4d8b-9148-e3be6c30e623}">
          <xlrd:rvb i="17585"/>
        </ext>
      </extLst>
    </bk>
    <bk>
      <extLst>
        <ext uri="{3e2802c4-a4d2-4d8b-9148-e3be6c30e623}">
          <xlrd:rvb i="17586"/>
        </ext>
      </extLst>
    </bk>
    <bk>
      <extLst>
        <ext uri="{3e2802c4-a4d2-4d8b-9148-e3be6c30e623}">
          <xlrd:rvb i="17587"/>
        </ext>
      </extLst>
    </bk>
    <bk>
      <extLst>
        <ext uri="{3e2802c4-a4d2-4d8b-9148-e3be6c30e623}">
          <xlrd:rvb i="17588"/>
        </ext>
      </extLst>
    </bk>
    <bk>
      <extLst>
        <ext uri="{3e2802c4-a4d2-4d8b-9148-e3be6c30e623}">
          <xlrd:rvb i="17589"/>
        </ext>
      </extLst>
    </bk>
    <bk>
      <extLst>
        <ext uri="{3e2802c4-a4d2-4d8b-9148-e3be6c30e623}">
          <xlrd:rvb i="17590"/>
        </ext>
      </extLst>
    </bk>
    <bk>
      <extLst>
        <ext uri="{3e2802c4-a4d2-4d8b-9148-e3be6c30e623}">
          <xlrd:rvb i="17591"/>
        </ext>
      </extLst>
    </bk>
    <bk>
      <extLst>
        <ext uri="{3e2802c4-a4d2-4d8b-9148-e3be6c30e623}">
          <xlrd:rvb i="17592"/>
        </ext>
      </extLst>
    </bk>
    <bk>
      <extLst>
        <ext uri="{3e2802c4-a4d2-4d8b-9148-e3be6c30e623}">
          <xlrd:rvb i="17593"/>
        </ext>
      </extLst>
    </bk>
    <bk>
      <extLst>
        <ext uri="{3e2802c4-a4d2-4d8b-9148-e3be6c30e623}">
          <xlrd:rvb i="17594"/>
        </ext>
      </extLst>
    </bk>
    <bk>
      <extLst>
        <ext uri="{3e2802c4-a4d2-4d8b-9148-e3be6c30e623}">
          <xlrd:rvb i="17595"/>
        </ext>
      </extLst>
    </bk>
    <bk>
      <extLst>
        <ext uri="{3e2802c4-a4d2-4d8b-9148-e3be6c30e623}">
          <xlrd:rvb i="17596"/>
        </ext>
      </extLst>
    </bk>
    <bk>
      <extLst>
        <ext uri="{3e2802c4-a4d2-4d8b-9148-e3be6c30e623}">
          <xlrd:rvb i="17597"/>
        </ext>
      </extLst>
    </bk>
    <bk>
      <extLst>
        <ext uri="{3e2802c4-a4d2-4d8b-9148-e3be6c30e623}">
          <xlrd:rvb i="17598"/>
        </ext>
      </extLst>
    </bk>
    <bk>
      <extLst>
        <ext uri="{3e2802c4-a4d2-4d8b-9148-e3be6c30e623}">
          <xlrd:rvb i="17599"/>
        </ext>
      </extLst>
    </bk>
    <bk>
      <extLst>
        <ext uri="{3e2802c4-a4d2-4d8b-9148-e3be6c30e623}">
          <xlrd:rvb i="17600"/>
        </ext>
      </extLst>
    </bk>
    <bk>
      <extLst>
        <ext uri="{3e2802c4-a4d2-4d8b-9148-e3be6c30e623}">
          <xlrd:rvb i="17601"/>
        </ext>
      </extLst>
    </bk>
    <bk>
      <extLst>
        <ext uri="{3e2802c4-a4d2-4d8b-9148-e3be6c30e623}">
          <xlrd:rvb i="17602"/>
        </ext>
      </extLst>
    </bk>
    <bk>
      <extLst>
        <ext uri="{3e2802c4-a4d2-4d8b-9148-e3be6c30e623}">
          <xlrd:rvb i="17603"/>
        </ext>
      </extLst>
    </bk>
    <bk>
      <extLst>
        <ext uri="{3e2802c4-a4d2-4d8b-9148-e3be6c30e623}">
          <xlrd:rvb i="17604"/>
        </ext>
      </extLst>
    </bk>
    <bk>
      <extLst>
        <ext uri="{3e2802c4-a4d2-4d8b-9148-e3be6c30e623}">
          <xlrd:rvb i="17605"/>
        </ext>
      </extLst>
    </bk>
    <bk>
      <extLst>
        <ext uri="{3e2802c4-a4d2-4d8b-9148-e3be6c30e623}">
          <xlrd:rvb i="17606"/>
        </ext>
      </extLst>
    </bk>
    <bk>
      <extLst>
        <ext uri="{3e2802c4-a4d2-4d8b-9148-e3be6c30e623}">
          <xlrd:rvb i="17607"/>
        </ext>
      </extLst>
    </bk>
    <bk>
      <extLst>
        <ext uri="{3e2802c4-a4d2-4d8b-9148-e3be6c30e623}">
          <xlrd:rvb i="17608"/>
        </ext>
      </extLst>
    </bk>
    <bk>
      <extLst>
        <ext uri="{3e2802c4-a4d2-4d8b-9148-e3be6c30e623}">
          <xlrd:rvb i="17609"/>
        </ext>
      </extLst>
    </bk>
    <bk>
      <extLst>
        <ext uri="{3e2802c4-a4d2-4d8b-9148-e3be6c30e623}">
          <xlrd:rvb i="17610"/>
        </ext>
      </extLst>
    </bk>
    <bk>
      <extLst>
        <ext uri="{3e2802c4-a4d2-4d8b-9148-e3be6c30e623}">
          <xlrd:rvb i="17611"/>
        </ext>
      </extLst>
    </bk>
    <bk>
      <extLst>
        <ext uri="{3e2802c4-a4d2-4d8b-9148-e3be6c30e623}">
          <xlrd:rvb i="17612"/>
        </ext>
      </extLst>
    </bk>
    <bk>
      <extLst>
        <ext uri="{3e2802c4-a4d2-4d8b-9148-e3be6c30e623}">
          <xlrd:rvb i="17613"/>
        </ext>
      </extLst>
    </bk>
    <bk>
      <extLst>
        <ext uri="{3e2802c4-a4d2-4d8b-9148-e3be6c30e623}">
          <xlrd:rvb i="17614"/>
        </ext>
      </extLst>
    </bk>
    <bk>
      <extLst>
        <ext uri="{3e2802c4-a4d2-4d8b-9148-e3be6c30e623}">
          <xlrd:rvb i="17615"/>
        </ext>
      </extLst>
    </bk>
    <bk>
      <extLst>
        <ext uri="{3e2802c4-a4d2-4d8b-9148-e3be6c30e623}">
          <xlrd:rvb i="17616"/>
        </ext>
      </extLst>
    </bk>
    <bk>
      <extLst>
        <ext uri="{3e2802c4-a4d2-4d8b-9148-e3be6c30e623}">
          <xlrd:rvb i="17617"/>
        </ext>
      </extLst>
    </bk>
    <bk>
      <extLst>
        <ext uri="{3e2802c4-a4d2-4d8b-9148-e3be6c30e623}">
          <xlrd:rvb i="17618"/>
        </ext>
      </extLst>
    </bk>
    <bk>
      <extLst>
        <ext uri="{3e2802c4-a4d2-4d8b-9148-e3be6c30e623}">
          <xlrd:rvb i="17619"/>
        </ext>
      </extLst>
    </bk>
    <bk>
      <extLst>
        <ext uri="{3e2802c4-a4d2-4d8b-9148-e3be6c30e623}">
          <xlrd:rvb i="17620"/>
        </ext>
      </extLst>
    </bk>
    <bk>
      <extLst>
        <ext uri="{3e2802c4-a4d2-4d8b-9148-e3be6c30e623}">
          <xlrd:rvb i="17621"/>
        </ext>
      </extLst>
    </bk>
    <bk>
      <extLst>
        <ext uri="{3e2802c4-a4d2-4d8b-9148-e3be6c30e623}">
          <xlrd:rvb i="17622"/>
        </ext>
      </extLst>
    </bk>
    <bk>
      <extLst>
        <ext uri="{3e2802c4-a4d2-4d8b-9148-e3be6c30e623}">
          <xlrd:rvb i="17623"/>
        </ext>
      </extLst>
    </bk>
    <bk>
      <extLst>
        <ext uri="{3e2802c4-a4d2-4d8b-9148-e3be6c30e623}">
          <xlrd:rvb i="17624"/>
        </ext>
      </extLst>
    </bk>
    <bk>
      <extLst>
        <ext uri="{3e2802c4-a4d2-4d8b-9148-e3be6c30e623}">
          <xlrd:rvb i="17625"/>
        </ext>
      </extLst>
    </bk>
    <bk>
      <extLst>
        <ext uri="{3e2802c4-a4d2-4d8b-9148-e3be6c30e623}">
          <xlrd:rvb i="17626"/>
        </ext>
      </extLst>
    </bk>
    <bk>
      <extLst>
        <ext uri="{3e2802c4-a4d2-4d8b-9148-e3be6c30e623}">
          <xlrd:rvb i="17627"/>
        </ext>
      </extLst>
    </bk>
    <bk>
      <extLst>
        <ext uri="{3e2802c4-a4d2-4d8b-9148-e3be6c30e623}">
          <xlrd:rvb i="17628"/>
        </ext>
      </extLst>
    </bk>
    <bk>
      <extLst>
        <ext uri="{3e2802c4-a4d2-4d8b-9148-e3be6c30e623}">
          <xlrd:rvb i="17629"/>
        </ext>
      </extLst>
    </bk>
    <bk>
      <extLst>
        <ext uri="{3e2802c4-a4d2-4d8b-9148-e3be6c30e623}">
          <xlrd:rvb i="17630"/>
        </ext>
      </extLst>
    </bk>
    <bk>
      <extLst>
        <ext uri="{3e2802c4-a4d2-4d8b-9148-e3be6c30e623}">
          <xlrd:rvb i="17631"/>
        </ext>
      </extLst>
    </bk>
    <bk>
      <extLst>
        <ext uri="{3e2802c4-a4d2-4d8b-9148-e3be6c30e623}">
          <xlrd:rvb i="17632"/>
        </ext>
      </extLst>
    </bk>
    <bk>
      <extLst>
        <ext uri="{3e2802c4-a4d2-4d8b-9148-e3be6c30e623}">
          <xlrd:rvb i="17633"/>
        </ext>
      </extLst>
    </bk>
    <bk>
      <extLst>
        <ext uri="{3e2802c4-a4d2-4d8b-9148-e3be6c30e623}">
          <xlrd:rvb i="17634"/>
        </ext>
      </extLst>
    </bk>
    <bk>
      <extLst>
        <ext uri="{3e2802c4-a4d2-4d8b-9148-e3be6c30e623}">
          <xlrd:rvb i="17635"/>
        </ext>
      </extLst>
    </bk>
    <bk>
      <extLst>
        <ext uri="{3e2802c4-a4d2-4d8b-9148-e3be6c30e623}">
          <xlrd:rvb i="17636"/>
        </ext>
      </extLst>
    </bk>
    <bk>
      <extLst>
        <ext uri="{3e2802c4-a4d2-4d8b-9148-e3be6c30e623}">
          <xlrd:rvb i="17637"/>
        </ext>
      </extLst>
    </bk>
    <bk>
      <extLst>
        <ext uri="{3e2802c4-a4d2-4d8b-9148-e3be6c30e623}">
          <xlrd:rvb i="17638"/>
        </ext>
      </extLst>
    </bk>
    <bk>
      <extLst>
        <ext uri="{3e2802c4-a4d2-4d8b-9148-e3be6c30e623}">
          <xlrd:rvb i="17639"/>
        </ext>
      </extLst>
    </bk>
    <bk>
      <extLst>
        <ext uri="{3e2802c4-a4d2-4d8b-9148-e3be6c30e623}">
          <xlrd:rvb i="17640"/>
        </ext>
      </extLst>
    </bk>
    <bk>
      <extLst>
        <ext uri="{3e2802c4-a4d2-4d8b-9148-e3be6c30e623}">
          <xlrd:rvb i="17641"/>
        </ext>
      </extLst>
    </bk>
    <bk>
      <extLst>
        <ext uri="{3e2802c4-a4d2-4d8b-9148-e3be6c30e623}">
          <xlrd:rvb i="17642"/>
        </ext>
      </extLst>
    </bk>
    <bk>
      <extLst>
        <ext uri="{3e2802c4-a4d2-4d8b-9148-e3be6c30e623}">
          <xlrd:rvb i="17643"/>
        </ext>
      </extLst>
    </bk>
    <bk>
      <extLst>
        <ext uri="{3e2802c4-a4d2-4d8b-9148-e3be6c30e623}">
          <xlrd:rvb i="17644"/>
        </ext>
      </extLst>
    </bk>
    <bk>
      <extLst>
        <ext uri="{3e2802c4-a4d2-4d8b-9148-e3be6c30e623}">
          <xlrd:rvb i="17645"/>
        </ext>
      </extLst>
    </bk>
    <bk>
      <extLst>
        <ext uri="{3e2802c4-a4d2-4d8b-9148-e3be6c30e623}">
          <xlrd:rvb i="17646"/>
        </ext>
      </extLst>
    </bk>
    <bk>
      <extLst>
        <ext uri="{3e2802c4-a4d2-4d8b-9148-e3be6c30e623}">
          <xlrd:rvb i="17647"/>
        </ext>
      </extLst>
    </bk>
    <bk>
      <extLst>
        <ext uri="{3e2802c4-a4d2-4d8b-9148-e3be6c30e623}">
          <xlrd:rvb i="17648"/>
        </ext>
      </extLst>
    </bk>
    <bk>
      <extLst>
        <ext uri="{3e2802c4-a4d2-4d8b-9148-e3be6c30e623}">
          <xlrd:rvb i="17649"/>
        </ext>
      </extLst>
    </bk>
    <bk>
      <extLst>
        <ext uri="{3e2802c4-a4d2-4d8b-9148-e3be6c30e623}">
          <xlrd:rvb i="17650"/>
        </ext>
      </extLst>
    </bk>
    <bk>
      <extLst>
        <ext uri="{3e2802c4-a4d2-4d8b-9148-e3be6c30e623}">
          <xlrd:rvb i="17651"/>
        </ext>
      </extLst>
    </bk>
    <bk>
      <extLst>
        <ext uri="{3e2802c4-a4d2-4d8b-9148-e3be6c30e623}">
          <xlrd:rvb i="17652"/>
        </ext>
      </extLst>
    </bk>
    <bk>
      <extLst>
        <ext uri="{3e2802c4-a4d2-4d8b-9148-e3be6c30e623}">
          <xlrd:rvb i="17653"/>
        </ext>
      </extLst>
    </bk>
    <bk>
      <extLst>
        <ext uri="{3e2802c4-a4d2-4d8b-9148-e3be6c30e623}">
          <xlrd:rvb i="17654"/>
        </ext>
      </extLst>
    </bk>
    <bk>
      <extLst>
        <ext uri="{3e2802c4-a4d2-4d8b-9148-e3be6c30e623}">
          <xlrd:rvb i="17655"/>
        </ext>
      </extLst>
    </bk>
    <bk>
      <extLst>
        <ext uri="{3e2802c4-a4d2-4d8b-9148-e3be6c30e623}">
          <xlrd:rvb i="17656"/>
        </ext>
      </extLst>
    </bk>
    <bk>
      <extLst>
        <ext uri="{3e2802c4-a4d2-4d8b-9148-e3be6c30e623}">
          <xlrd:rvb i="17657"/>
        </ext>
      </extLst>
    </bk>
    <bk>
      <extLst>
        <ext uri="{3e2802c4-a4d2-4d8b-9148-e3be6c30e623}">
          <xlrd:rvb i="17658"/>
        </ext>
      </extLst>
    </bk>
    <bk>
      <extLst>
        <ext uri="{3e2802c4-a4d2-4d8b-9148-e3be6c30e623}">
          <xlrd:rvb i="17659"/>
        </ext>
      </extLst>
    </bk>
    <bk>
      <extLst>
        <ext uri="{3e2802c4-a4d2-4d8b-9148-e3be6c30e623}">
          <xlrd:rvb i="17660"/>
        </ext>
      </extLst>
    </bk>
    <bk>
      <extLst>
        <ext uri="{3e2802c4-a4d2-4d8b-9148-e3be6c30e623}">
          <xlrd:rvb i="17661"/>
        </ext>
      </extLst>
    </bk>
    <bk>
      <extLst>
        <ext uri="{3e2802c4-a4d2-4d8b-9148-e3be6c30e623}">
          <xlrd:rvb i="17662"/>
        </ext>
      </extLst>
    </bk>
    <bk>
      <extLst>
        <ext uri="{3e2802c4-a4d2-4d8b-9148-e3be6c30e623}">
          <xlrd:rvb i="17663"/>
        </ext>
      </extLst>
    </bk>
    <bk>
      <extLst>
        <ext uri="{3e2802c4-a4d2-4d8b-9148-e3be6c30e623}">
          <xlrd:rvb i="17664"/>
        </ext>
      </extLst>
    </bk>
    <bk>
      <extLst>
        <ext uri="{3e2802c4-a4d2-4d8b-9148-e3be6c30e623}">
          <xlrd:rvb i="17665"/>
        </ext>
      </extLst>
    </bk>
    <bk>
      <extLst>
        <ext uri="{3e2802c4-a4d2-4d8b-9148-e3be6c30e623}">
          <xlrd:rvb i="17666"/>
        </ext>
      </extLst>
    </bk>
    <bk>
      <extLst>
        <ext uri="{3e2802c4-a4d2-4d8b-9148-e3be6c30e623}">
          <xlrd:rvb i="17667"/>
        </ext>
      </extLst>
    </bk>
    <bk>
      <extLst>
        <ext uri="{3e2802c4-a4d2-4d8b-9148-e3be6c30e623}">
          <xlrd:rvb i="17668"/>
        </ext>
      </extLst>
    </bk>
    <bk>
      <extLst>
        <ext uri="{3e2802c4-a4d2-4d8b-9148-e3be6c30e623}">
          <xlrd:rvb i="17669"/>
        </ext>
      </extLst>
    </bk>
    <bk>
      <extLst>
        <ext uri="{3e2802c4-a4d2-4d8b-9148-e3be6c30e623}">
          <xlrd:rvb i="17670"/>
        </ext>
      </extLst>
    </bk>
    <bk>
      <extLst>
        <ext uri="{3e2802c4-a4d2-4d8b-9148-e3be6c30e623}">
          <xlrd:rvb i="17671"/>
        </ext>
      </extLst>
    </bk>
    <bk>
      <extLst>
        <ext uri="{3e2802c4-a4d2-4d8b-9148-e3be6c30e623}">
          <xlrd:rvb i="17672"/>
        </ext>
      </extLst>
    </bk>
    <bk>
      <extLst>
        <ext uri="{3e2802c4-a4d2-4d8b-9148-e3be6c30e623}">
          <xlrd:rvb i="17673"/>
        </ext>
      </extLst>
    </bk>
    <bk>
      <extLst>
        <ext uri="{3e2802c4-a4d2-4d8b-9148-e3be6c30e623}">
          <xlrd:rvb i="17674"/>
        </ext>
      </extLst>
    </bk>
    <bk>
      <extLst>
        <ext uri="{3e2802c4-a4d2-4d8b-9148-e3be6c30e623}">
          <xlrd:rvb i="17675"/>
        </ext>
      </extLst>
    </bk>
    <bk>
      <extLst>
        <ext uri="{3e2802c4-a4d2-4d8b-9148-e3be6c30e623}">
          <xlrd:rvb i="17676"/>
        </ext>
      </extLst>
    </bk>
    <bk>
      <extLst>
        <ext uri="{3e2802c4-a4d2-4d8b-9148-e3be6c30e623}">
          <xlrd:rvb i="17677"/>
        </ext>
      </extLst>
    </bk>
    <bk>
      <extLst>
        <ext uri="{3e2802c4-a4d2-4d8b-9148-e3be6c30e623}">
          <xlrd:rvb i="17678"/>
        </ext>
      </extLst>
    </bk>
    <bk>
      <extLst>
        <ext uri="{3e2802c4-a4d2-4d8b-9148-e3be6c30e623}">
          <xlrd:rvb i="17679"/>
        </ext>
      </extLst>
    </bk>
    <bk>
      <extLst>
        <ext uri="{3e2802c4-a4d2-4d8b-9148-e3be6c30e623}">
          <xlrd:rvb i="17680"/>
        </ext>
      </extLst>
    </bk>
    <bk>
      <extLst>
        <ext uri="{3e2802c4-a4d2-4d8b-9148-e3be6c30e623}">
          <xlrd:rvb i="17681"/>
        </ext>
      </extLst>
    </bk>
    <bk>
      <extLst>
        <ext uri="{3e2802c4-a4d2-4d8b-9148-e3be6c30e623}">
          <xlrd:rvb i="17682"/>
        </ext>
      </extLst>
    </bk>
    <bk>
      <extLst>
        <ext uri="{3e2802c4-a4d2-4d8b-9148-e3be6c30e623}">
          <xlrd:rvb i="17683"/>
        </ext>
      </extLst>
    </bk>
    <bk>
      <extLst>
        <ext uri="{3e2802c4-a4d2-4d8b-9148-e3be6c30e623}">
          <xlrd:rvb i="17684"/>
        </ext>
      </extLst>
    </bk>
    <bk>
      <extLst>
        <ext uri="{3e2802c4-a4d2-4d8b-9148-e3be6c30e623}">
          <xlrd:rvb i="17685"/>
        </ext>
      </extLst>
    </bk>
    <bk>
      <extLst>
        <ext uri="{3e2802c4-a4d2-4d8b-9148-e3be6c30e623}">
          <xlrd:rvb i="17686"/>
        </ext>
      </extLst>
    </bk>
    <bk>
      <extLst>
        <ext uri="{3e2802c4-a4d2-4d8b-9148-e3be6c30e623}">
          <xlrd:rvb i="17687"/>
        </ext>
      </extLst>
    </bk>
    <bk>
      <extLst>
        <ext uri="{3e2802c4-a4d2-4d8b-9148-e3be6c30e623}">
          <xlrd:rvb i="17688"/>
        </ext>
      </extLst>
    </bk>
    <bk>
      <extLst>
        <ext uri="{3e2802c4-a4d2-4d8b-9148-e3be6c30e623}">
          <xlrd:rvb i="17689"/>
        </ext>
      </extLst>
    </bk>
    <bk>
      <extLst>
        <ext uri="{3e2802c4-a4d2-4d8b-9148-e3be6c30e623}">
          <xlrd:rvb i="17690"/>
        </ext>
      </extLst>
    </bk>
    <bk>
      <extLst>
        <ext uri="{3e2802c4-a4d2-4d8b-9148-e3be6c30e623}">
          <xlrd:rvb i="17691"/>
        </ext>
      </extLst>
    </bk>
    <bk>
      <extLst>
        <ext uri="{3e2802c4-a4d2-4d8b-9148-e3be6c30e623}">
          <xlrd:rvb i="17692"/>
        </ext>
      </extLst>
    </bk>
    <bk>
      <extLst>
        <ext uri="{3e2802c4-a4d2-4d8b-9148-e3be6c30e623}">
          <xlrd:rvb i="17693"/>
        </ext>
      </extLst>
    </bk>
    <bk>
      <extLst>
        <ext uri="{3e2802c4-a4d2-4d8b-9148-e3be6c30e623}">
          <xlrd:rvb i="17694"/>
        </ext>
      </extLst>
    </bk>
    <bk>
      <extLst>
        <ext uri="{3e2802c4-a4d2-4d8b-9148-e3be6c30e623}">
          <xlrd:rvb i="17695"/>
        </ext>
      </extLst>
    </bk>
    <bk>
      <extLst>
        <ext uri="{3e2802c4-a4d2-4d8b-9148-e3be6c30e623}">
          <xlrd:rvb i="17696"/>
        </ext>
      </extLst>
    </bk>
    <bk>
      <extLst>
        <ext uri="{3e2802c4-a4d2-4d8b-9148-e3be6c30e623}">
          <xlrd:rvb i="17697"/>
        </ext>
      </extLst>
    </bk>
    <bk>
      <extLst>
        <ext uri="{3e2802c4-a4d2-4d8b-9148-e3be6c30e623}">
          <xlrd:rvb i="17698"/>
        </ext>
      </extLst>
    </bk>
    <bk>
      <extLst>
        <ext uri="{3e2802c4-a4d2-4d8b-9148-e3be6c30e623}">
          <xlrd:rvb i="17699"/>
        </ext>
      </extLst>
    </bk>
    <bk>
      <extLst>
        <ext uri="{3e2802c4-a4d2-4d8b-9148-e3be6c30e623}">
          <xlrd:rvb i="17700"/>
        </ext>
      </extLst>
    </bk>
    <bk>
      <extLst>
        <ext uri="{3e2802c4-a4d2-4d8b-9148-e3be6c30e623}">
          <xlrd:rvb i="17701"/>
        </ext>
      </extLst>
    </bk>
    <bk>
      <extLst>
        <ext uri="{3e2802c4-a4d2-4d8b-9148-e3be6c30e623}">
          <xlrd:rvb i="17702"/>
        </ext>
      </extLst>
    </bk>
    <bk>
      <extLst>
        <ext uri="{3e2802c4-a4d2-4d8b-9148-e3be6c30e623}">
          <xlrd:rvb i="17703"/>
        </ext>
      </extLst>
    </bk>
    <bk>
      <extLst>
        <ext uri="{3e2802c4-a4d2-4d8b-9148-e3be6c30e623}">
          <xlrd:rvb i="17704"/>
        </ext>
      </extLst>
    </bk>
    <bk>
      <extLst>
        <ext uri="{3e2802c4-a4d2-4d8b-9148-e3be6c30e623}">
          <xlrd:rvb i="17705"/>
        </ext>
      </extLst>
    </bk>
    <bk>
      <extLst>
        <ext uri="{3e2802c4-a4d2-4d8b-9148-e3be6c30e623}">
          <xlrd:rvb i="17706"/>
        </ext>
      </extLst>
    </bk>
    <bk>
      <extLst>
        <ext uri="{3e2802c4-a4d2-4d8b-9148-e3be6c30e623}">
          <xlrd:rvb i="17707"/>
        </ext>
      </extLst>
    </bk>
    <bk>
      <extLst>
        <ext uri="{3e2802c4-a4d2-4d8b-9148-e3be6c30e623}">
          <xlrd:rvb i="17708"/>
        </ext>
      </extLst>
    </bk>
    <bk>
      <extLst>
        <ext uri="{3e2802c4-a4d2-4d8b-9148-e3be6c30e623}">
          <xlrd:rvb i="17709"/>
        </ext>
      </extLst>
    </bk>
    <bk>
      <extLst>
        <ext uri="{3e2802c4-a4d2-4d8b-9148-e3be6c30e623}">
          <xlrd:rvb i="17710"/>
        </ext>
      </extLst>
    </bk>
    <bk>
      <extLst>
        <ext uri="{3e2802c4-a4d2-4d8b-9148-e3be6c30e623}">
          <xlrd:rvb i="17711"/>
        </ext>
      </extLst>
    </bk>
    <bk>
      <extLst>
        <ext uri="{3e2802c4-a4d2-4d8b-9148-e3be6c30e623}">
          <xlrd:rvb i="17712"/>
        </ext>
      </extLst>
    </bk>
    <bk>
      <extLst>
        <ext uri="{3e2802c4-a4d2-4d8b-9148-e3be6c30e623}">
          <xlrd:rvb i="17713"/>
        </ext>
      </extLst>
    </bk>
    <bk>
      <extLst>
        <ext uri="{3e2802c4-a4d2-4d8b-9148-e3be6c30e623}">
          <xlrd:rvb i="17714"/>
        </ext>
      </extLst>
    </bk>
    <bk>
      <extLst>
        <ext uri="{3e2802c4-a4d2-4d8b-9148-e3be6c30e623}">
          <xlrd:rvb i="17715"/>
        </ext>
      </extLst>
    </bk>
    <bk>
      <extLst>
        <ext uri="{3e2802c4-a4d2-4d8b-9148-e3be6c30e623}">
          <xlrd:rvb i="17716"/>
        </ext>
      </extLst>
    </bk>
    <bk>
      <extLst>
        <ext uri="{3e2802c4-a4d2-4d8b-9148-e3be6c30e623}">
          <xlrd:rvb i="17717"/>
        </ext>
      </extLst>
    </bk>
    <bk>
      <extLst>
        <ext uri="{3e2802c4-a4d2-4d8b-9148-e3be6c30e623}">
          <xlrd:rvb i="17718"/>
        </ext>
      </extLst>
    </bk>
    <bk>
      <extLst>
        <ext uri="{3e2802c4-a4d2-4d8b-9148-e3be6c30e623}">
          <xlrd:rvb i="17719"/>
        </ext>
      </extLst>
    </bk>
    <bk>
      <extLst>
        <ext uri="{3e2802c4-a4d2-4d8b-9148-e3be6c30e623}">
          <xlrd:rvb i="17720"/>
        </ext>
      </extLst>
    </bk>
    <bk>
      <extLst>
        <ext uri="{3e2802c4-a4d2-4d8b-9148-e3be6c30e623}">
          <xlrd:rvb i="17721"/>
        </ext>
      </extLst>
    </bk>
    <bk>
      <extLst>
        <ext uri="{3e2802c4-a4d2-4d8b-9148-e3be6c30e623}">
          <xlrd:rvb i="17722"/>
        </ext>
      </extLst>
    </bk>
    <bk>
      <extLst>
        <ext uri="{3e2802c4-a4d2-4d8b-9148-e3be6c30e623}">
          <xlrd:rvb i="17723"/>
        </ext>
      </extLst>
    </bk>
    <bk>
      <extLst>
        <ext uri="{3e2802c4-a4d2-4d8b-9148-e3be6c30e623}">
          <xlrd:rvb i="17724"/>
        </ext>
      </extLst>
    </bk>
    <bk>
      <extLst>
        <ext uri="{3e2802c4-a4d2-4d8b-9148-e3be6c30e623}">
          <xlrd:rvb i="17725"/>
        </ext>
      </extLst>
    </bk>
    <bk>
      <extLst>
        <ext uri="{3e2802c4-a4d2-4d8b-9148-e3be6c30e623}">
          <xlrd:rvb i="17726"/>
        </ext>
      </extLst>
    </bk>
    <bk>
      <extLst>
        <ext uri="{3e2802c4-a4d2-4d8b-9148-e3be6c30e623}">
          <xlrd:rvb i="17727"/>
        </ext>
      </extLst>
    </bk>
    <bk>
      <extLst>
        <ext uri="{3e2802c4-a4d2-4d8b-9148-e3be6c30e623}">
          <xlrd:rvb i="17728"/>
        </ext>
      </extLst>
    </bk>
    <bk>
      <extLst>
        <ext uri="{3e2802c4-a4d2-4d8b-9148-e3be6c30e623}">
          <xlrd:rvb i="17729"/>
        </ext>
      </extLst>
    </bk>
    <bk>
      <extLst>
        <ext uri="{3e2802c4-a4d2-4d8b-9148-e3be6c30e623}">
          <xlrd:rvb i="17730"/>
        </ext>
      </extLst>
    </bk>
    <bk>
      <extLst>
        <ext uri="{3e2802c4-a4d2-4d8b-9148-e3be6c30e623}">
          <xlrd:rvb i="17731"/>
        </ext>
      </extLst>
    </bk>
    <bk>
      <extLst>
        <ext uri="{3e2802c4-a4d2-4d8b-9148-e3be6c30e623}">
          <xlrd:rvb i="17732"/>
        </ext>
      </extLst>
    </bk>
    <bk>
      <extLst>
        <ext uri="{3e2802c4-a4d2-4d8b-9148-e3be6c30e623}">
          <xlrd:rvb i="17733"/>
        </ext>
      </extLst>
    </bk>
    <bk>
      <extLst>
        <ext uri="{3e2802c4-a4d2-4d8b-9148-e3be6c30e623}">
          <xlrd:rvb i="17734"/>
        </ext>
      </extLst>
    </bk>
    <bk>
      <extLst>
        <ext uri="{3e2802c4-a4d2-4d8b-9148-e3be6c30e623}">
          <xlrd:rvb i="17735"/>
        </ext>
      </extLst>
    </bk>
    <bk>
      <extLst>
        <ext uri="{3e2802c4-a4d2-4d8b-9148-e3be6c30e623}">
          <xlrd:rvb i="17736"/>
        </ext>
      </extLst>
    </bk>
    <bk>
      <extLst>
        <ext uri="{3e2802c4-a4d2-4d8b-9148-e3be6c30e623}">
          <xlrd:rvb i="17737"/>
        </ext>
      </extLst>
    </bk>
    <bk>
      <extLst>
        <ext uri="{3e2802c4-a4d2-4d8b-9148-e3be6c30e623}">
          <xlrd:rvb i="17738"/>
        </ext>
      </extLst>
    </bk>
    <bk>
      <extLst>
        <ext uri="{3e2802c4-a4d2-4d8b-9148-e3be6c30e623}">
          <xlrd:rvb i="17739"/>
        </ext>
      </extLst>
    </bk>
    <bk>
      <extLst>
        <ext uri="{3e2802c4-a4d2-4d8b-9148-e3be6c30e623}">
          <xlrd:rvb i="17740"/>
        </ext>
      </extLst>
    </bk>
    <bk>
      <extLst>
        <ext uri="{3e2802c4-a4d2-4d8b-9148-e3be6c30e623}">
          <xlrd:rvb i="17741"/>
        </ext>
      </extLst>
    </bk>
    <bk>
      <extLst>
        <ext uri="{3e2802c4-a4d2-4d8b-9148-e3be6c30e623}">
          <xlrd:rvb i="17742"/>
        </ext>
      </extLst>
    </bk>
    <bk>
      <extLst>
        <ext uri="{3e2802c4-a4d2-4d8b-9148-e3be6c30e623}">
          <xlrd:rvb i="17743"/>
        </ext>
      </extLst>
    </bk>
    <bk>
      <extLst>
        <ext uri="{3e2802c4-a4d2-4d8b-9148-e3be6c30e623}">
          <xlrd:rvb i="17744"/>
        </ext>
      </extLst>
    </bk>
    <bk>
      <extLst>
        <ext uri="{3e2802c4-a4d2-4d8b-9148-e3be6c30e623}">
          <xlrd:rvb i="17745"/>
        </ext>
      </extLst>
    </bk>
    <bk>
      <extLst>
        <ext uri="{3e2802c4-a4d2-4d8b-9148-e3be6c30e623}">
          <xlrd:rvb i="17746"/>
        </ext>
      </extLst>
    </bk>
    <bk>
      <extLst>
        <ext uri="{3e2802c4-a4d2-4d8b-9148-e3be6c30e623}">
          <xlrd:rvb i="17747"/>
        </ext>
      </extLst>
    </bk>
    <bk>
      <extLst>
        <ext uri="{3e2802c4-a4d2-4d8b-9148-e3be6c30e623}">
          <xlrd:rvb i="17748"/>
        </ext>
      </extLst>
    </bk>
    <bk>
      <extLst>
        <ext uri="{3e2802c4-a4d2-4d8b-9148-e3be6c30e623}">
          <xlrd:rvb i="17749"/>
        </ext>
      </extLst>
    </bk>
    <bk>
      <extLst>
        <ext uri="{3e2802c4-a4d2-4d8b-9148-e3be6c30e623}">
          <xlrd:rvb i="17750"/>
        </ext>
      </extLst>
    </bk>
    <bk>
      <extLst>
        <ext uri="{3e2802c4-a4d2-4d8b-9148-e3be6c30e623}">
          <xlrd:rvb i="17751"/>
        </ext>
      </extLst>
    </bk>
    <bk>
      <extLst>
        <ext uri="{3e2802c4-a4d2-4d8b-9148-e3be6c30e623}">
          <xlrd:rvb i="17752"/>
        </ext>
      </extLst>
    </bk>
    <bk>
      <extLst>
        <ext uri="{3e2802c4-a4d2-4d8b-9148-e3be6c30e623}">
          <xlrd:rvb i="17753"/>
        </ext>
      </extLst>
    </bk>
    <bk>
      <extLst>
        <ext uri="{3e2802c4-a4d2-4d8b-9148-e3be6c30e623}">
          <xlrd:rvb i="17754"/>
        </ext>
      </extLst>
    </bk>
    <bk>
      <extLst>
        <ext uri="{3e2802c4-a4d2-4d8b-9148-e3be6c30e623}">
          <xlrd:rvb i="17755"/>
        </ext>
      </extLst>
    </bk>
    <bk>
      <extLst>
        <ext uri="{3e2802c4-a4d2-4d8b-9148-e3be6c30e623}">
          <xlrd:rvb i="17758"/>
        </ext>
      </extLst>
    </bk>
    <bk>
      <extLst>
        <ext uri="{3e2802c4-a4d2-4d8b-9148-e3be6c30e623}">
          <xlrd:rvb i="17761"/>
        </ext>
      </extLst>
    </bk>
    <bk>
      <extLst>
        <ext uri="{3e2802c4-a4d2-4d8b-9148-e3be6c30e623}">
          <xlrd:rvb i="17762"/>
        </ext>
      </extLst>
    </bk>
    <bk>
      <extLst>
        <ext uri="{3e2802c4-a4d2-4d8b-9148-e3be6c30e623}">
          <xlrd:rvb i="17763"/>
        </ext>
      </extLst>
    </bk>
    <bk>
      <extLst>
        <ext uri="{3e2802c4-a4d2-4d8b-9148-e3be6c30e623}">
          <xlrd:rvb i="17764"/>
        </ext>
      </extLst>
    </bk>
    <bk>
      <extLst>
        <ext uri="{3e2802c4-a4d2-4d8b-9148-e3be6c30e623}">
          <xlrd:rvb i="17765"/>
        </ext>
      </extLst>
    </bk>
    <bk>
      <extLst>
        <ext uri="{3e2802c4-a4d2-4d8b-9148-e3be6c30e623}">
          <xlrd:rvb i="17766"/>
        </ext>
      </extLst>
    </bk>
    <bk>
      <extLst>
        <ext uri="{3e2802c4-a4d2-4d8b-9148-e3be6c30e623}">
          <xlrd:rvb i="17767"/>
        </ext>
      </extLst>
    </bk>
    <bk>
      <extLst>
        <ext uri="{3e2802c4-a4d2-4d8b-9148-e3be6c30e623}">
          <xlrd:rvb i="17768"/>
        </ext>
      </extLst>
    </bk>
    <bk>
      <extLst>
        <ext uri="{3e2802c4-a4d2-4d8b-9148-e3be6c30e623}">
          <xlrd:rvb i="17769"/>
        </ext>
      </extLst>
    </bk>
    <bk>
      <extLst>
        <ext uri="{3e2802c4-a4d2-4d8b-9148-e3be6c30e623}">
          <xlrd:rvb i="17770"/>
        </ext>
      </extLst>
    </bk>
    <bk>
      <extLst>
        <ext uri="{3e2802c4-a4d2-4d8b-9148-e3be6c30e623}">
          <xlrd:rvb i="17771"/>
        </ext>
      </extLst>
    </bk>
    <bk>
      <extLst>
        <ext uri="{3e2802c4-a4d2-4d8b-9148-e3be6c30e623}">
          <xlrd:rvb i="17772"/>
        </ext>
      </extLst>
    </bk>
    <bk>
      <extLst>
        <ext uri="{3e2802c4-a4d2-4d8b-9148-e3be6c30e623}">
          <xlrd:rvb i="17773"/>
        </ext>
      </extLst>
    </bk>
    <bk>
      <extLst>
        <ext uri="{3e2802c4-a4d2-4d8b-9148-e3be6c30e623}">
          <xlrd:rvb i="17774"/>
        </ext>
      </extLst>
    </bk>
    <bk>
      <extLst>
        <ext uri="{3e2802c4-a4d2-4d8b-9148-e3be6c30e623}">
          <xlrd:rvb i="17775"/>
        </ext>
      </extLst>
    </bk>
    <bk>
      <extLst>
        <ext uri="{3e2802c4-a4d2-4d8b-9148-e3be6c30e623}">
          <xlrd:rvb i="17776"/>
        </ext>
      </extLst>
    </bk>
    <bk>
      <extLst>
        <ext uri="{3e2802c4-a4d2-4d8b-9148-e3be6c30e623}">
          <xlrd:rvb i="17777"/>
        </ext>
      </extLst>
    </bk>
    <bk>
      <extLst>
        <ext uri="{3e2802c4-a4d2-4d8b-9148-e3be6c30e623}">
          <xlrd:rvb i="17778"/>
        </ext>
      </extLst>
    </bk>
    <bk>
      <extLst>
        <ext uri="{3e2802c4-a4d2-4d8b-9148-e3be6c30e623}">
          <xlrd:rvb i="17779"/>
        </ext>
      </extLst>
    </bk>
    <bk>
      <extLst>
        <ext uri="{3e2802c4-a4d2-4d8b-9148-e3be6c30e623}">
          <xlrd:rvb i="17780"/>
        </ext>
      </extLst>
    </bk>
    <bk>
      <extLst>
        <ext uri="{3e2802c4-a4d2-4d8b-9148-e3be6c30e623}">
          <xlrd:rvb i="17781"/>
        </ext>
      </extLst>
    </bk>
    <bk>
      <extLst>
        <ext uri="{3e2802c4-a4d2-4d8b-9148-e3be6c30e623}">
          <xlrd:rvb i="17782"/>
        </ext>
      </extLst>
    </bk>
    <bk>
      <extLst>
        <ext uri="{3e2802c4-a4d2-4d8b-9148-e3be6c30e623}">
          <xlrd:rvb i="17783"/>
        </ext>
      </extLst>
    </bk>
    <bk>
      <extLst>
        <ext uri="{3e2802c4-a4d2-4d8b-9148-e3be6c30e623}">
          <xlrd:rvb i="17784"/>
        </ext>
      </extLst>
    </bk>
    <bk>
      <extLst>
        <ext uri="{3e2802c4-a4d2-4d8b-9148-e3be6c30e623}">
          <xlrd:rvb i="17785"/>
        </ext>
      </extLst>
    </bk>
    <bk>
      <extLst>
        <ext uri="{3e2802c4-a4d2-4d8b-9148-e3be6c30e623}">
          <xlrd:rvb i="17786"/>
        </ext>
      </extLst>
    </bk>
    <bk>
      <extLst>
        <ext uri="{3e2802c4-a4d2-4d8b-9148-e3be6c30e623}">
          <xlrd:rvb i="17787"/>
        </ext>
      </extLst>
    </bk>
    <bk>
      <extLst>
        <ext uri="{3e2802c4-a4d2-4d8b-9148-e3be6c30e623}">
          <xlrd:rvb i="17788"/>
        </ext>
      </extLst>
    </bk>
    <bk>
      <extLst>
        <ext uri="{3e2802c4-a4d2-4d8b-9148-e3be6c30e623}">
          <xlrd:rvb i="17789"/>
        </ext>
      </extLst>
    </bk>
    <bk>
      <extLst>
        <ext uri="{3e2802c4-a4d2-4d8b-9148-e3be6c30e623}">
          <xlrd:rvb i="17790"/>
        </ext>
      </extLst>
    </bk>
    <bk>
      <extLst>
        <ext uri="{3e2802c4-a4d2-4d8b-9148-e3be6c30e623}">
          <xlrd:rvb i="17791"/>
        </ext>
      </extLst>
    </bk>
    <bk>
      <extLst>
        <ext uri="{3e2802c4-a4d2-4d8b-9148-e3be6c30e623}">
          <xlrd:rvb i="17792"/>
        </ext>
      </extLst>
    </bk>
    <bk>
      <extLst>
        <ext uri="{3e2802c4-a4d2-4d8b-9148-e3be6c30e623}">
          <xlrd:rvb i="17793"/>
        </ext>
      </extLst>
    </bk>
    <bk>
      <extLst>
        <ext uri="{3e2802c4-a4d2-4d8b-9148-e3be6c30e623}">
          <xlrd:rvb i="17794"/>
        </ext>
      </extLst>
    </bk>
    <bk>
      <extLst>
        <ext uri="{3e2802c4-a4d2-4d8b-9148-e3be6c30e623}">
          <xlrd:rvb i="17795"/>
        </ext>
      </extLst>
    </bk>
    <bk>
      <extLst>
        <ext uri="{3e2802c4-a4d2-4d8b-9148-e3be6c30e623}">
          <xlrd:rvb i="17796"/>
        </ext>
      </extLst>
    </bk>
    <bk>
      <extLst>
        <ext uri="{3e2802c4-a4d2-4d8b-9148-e3be6c30e623}">
          <xlrd:rvb i="17797"/>
        </ext>
      </extLst>
    </bk>
    <bk>
      <extLst>
        <ext uri="{3e2802c4-a4d2-4d8b-9148-e3be6c30e623}">
          <xlrd:rvb i="17798"/>
        </ext>
      </extLst>
    </bk>
    <bk>
      <extLst>
        <ext uri="{3e2802c4-a4d2-4d8b-9148-e3be6c30e623}">
          <xlrd:rvb i="17799"/>
        </ext>
      </extLst>
    </bk>
    <bk>
      <extLst>
        <ext uri="{3e2802c4-a4d2-4d8b-9148-e3be6c30e623}">
          <xlrd:rvb i="17800"/>
        </ext>
      </extLst>
    </bk>
    <bk>
      <extLst>
        <ext uri="{3e2802c4-a4d2-4d8b-9148-e3be6c30e623}">
          <xlrd:rvb i="17801"/>
        </ext>
      </extLst>
    </bk>
    <bk>
      <extLst>
        <ext uri="{3e2802c4-a4d2-4d8b-9148-e3be6c30e623}">
          <xlrd:rvb i="17802"/>
        </ext>
      </extLst>
    </bk>
    <bk>
      <extLst>
        <ext uri="{3e2802c4-a4d2-4d8b-9148-e3be6c30e623}">
          <xlrd:rvb i="17803"/>
        </ext>
      </extLst>
    </bk>
    <bk>
      <extLst>
        <ext uri="{3e2802c4-a4d2-4d8b-9148-e3be6c30e623}">
          <xlrd:rvb i="17804"/>
        </ext>
      </extLst>
    </bk>
    <bk>
      <extLst>
        <ext uri="{3e2802c4-a4d2-4d8b-9148-e3be6c30e623}">
          <xlrd:rvb i="17805"/>
        </ext>
      </extLst>
    </bk>
    <bk>
      <extLst>
        <ext uri="{3e2802c4-a4d2-4d8b-9148-e3be6c30e623}">
          <xlrd:rvb i="17806"/>
        </ext>
      </extLst>
    </bk>
    <bk>
      <extLst>
        <ext uri="{3e2802c4-a4d2-4d8b-9148-e3be6c30e623}">
          <xlrd:rvb i="17807"/>
        </ext>
      </extLst>
    </bk>
    <bk>
      <extLst>
        <ext uri="{3e2802c4-a4d2-4d8b-9148-e3be6c30e623}">
          <xlrd:rvb i="17808"/>
        </ext>
      </extLst>
    </bk>
    <bk>
      <extLst>
        <ext uri="{3e2802c4-a4d2-4d8b-9148-e3be6c30e623}">
          <xlrd:rvb i="17809"/>
        </ext>
      </extLst>
    </bk>
    <bk>
      <extLst>
        <ext uri="{3e2802c4-a4d2-4d8b-9148-e3be6c30e623}">
          <xlrd:rvb i="17810"/>
        </ext>
      </extLst>
    </bk>
    <bk>
      <extLst>
        <ext uri="{3e2802c4-a4d2-4d8b-9148-e3be6c30e623}">
          <xlrd:rvb i="17811"/>
        </ext>
      </extLst>
    </bk>
    <bk>
      <extLst>
        <ext uri="{3e2802c4-a4d2-4d8b-9148-e3be6c30e623}">
          <xlrd:rvb i="17812"/>
        </ext>
      </extLst>
    </bk>
    <bk>
      <extLst>
        <ext uri="{3e2802c4-a4d2-4d8b-9148-e3be6c30e623}">
          <xlrd:rvb i="17813"/>
        </ext>
      </extLst>
    </bk>
    <bk>
      <extLst>
        <ext uri="{3e2802c4-a4d2-4d8b-9148-e3be6c30e623}">
          <xlrd:rvb i="17814"/>
        </ext>
      </extLst>
    </bk>
    <bk>
      <extLst>
        <ext uri="{3e2802c4-a4d2-4d8b-9148-e3be6c30e623}">
          <xlrd:rvb i="17815"/>
        </ext>
      </extLst>
    </bk>
    <bk>
      <extLst>
        <ext uri="{3e2802c4-a4d2-4d8b-9148-e3be6c30e623}">
          <xlrd:rvb i="17816"/>
        </ext>
      </extLst>
    </bk>
    <bk>
      <extLst>
        <ext uri="{3e2802c4-a4d2-4d8b-9148-e3be6c30e623}">
          <xlrd:rvb i="17817"/>
        </ext>
      </extLst>
    </bk>
    <bk>
      <extLst>
        <ext uri="{3e2802c4-a4d2-4d8b-9148-e3be6c30e623}">
          <xlrd:rvb i="17818"/>
        </ext>
      </extLst>
    </bk>
    <bk>
      <extLst>
        <ext uri="{3e2802c4-a4d2-4d8b-9148-e3be6c30e623}">
          <xlrd:rvb i="17819"/>
        </ext>
      </extLst>
    </bk>
    <bk>
      <extLst>
        <ext uri="{3e2802c4-a4d2-4d8b-9148-e3be6c30e623}">
          <xlrd:rvb i="17820"/>
        </ext>
      </extLst>
    </bk>
    <bk>
      <extLst>
        <ext uri="{3e2802c4-a4d2-4d8b-9148-e3be6c30e623}">
          <xlrd:rvb i="17821"/>
        </ext>
      </extLst>
    </bk>
    <bk>
      <extLst>
        <ext uri="{3e2802c4-a4d2-4d8b-9148-e3be6c30e623}">
          <xlrd:rvb i="17822"/>
        </ext>
      </extLst>
    </bk>
    <bk>
      <extLst>
        <ext uri="{3e2802c4-a4d2-4d8b-9148-e3be6c30e623}">
          <xlrd:rvb i="17823"/>
        </ext>
      </extLst>
    </bk>
    <bk>
      <extLst>
        <ext uri="{3e2802c4-a4d2-4d8b-9148-e3be6c30e623}">
          <xlrd:rvb i="17824"/>
        </ext>
      </extLst>
    </bk>
    <bk>
      <extLst>
        <ext uri="{3e2802c4-a4d2-4d8b-9148-e3be6c30e623}">
          <xlrd:rvb i="17825"/>
        </ext>
      </extLst>
    </bk>
    <bk>
      <extLst>
        <ext uri="{3e2802c4-a4d2-4d8b-9148-e3be6c30e623}">
          <xlrd:rvb i="17826"/>
        </ext>
      </extLst>
    </bk>
    <bk>
      <extLst>
        <ext uri="{3e2802c4-a4d2-4d8b-9148-e3be6c30e623}">
          <xlrd:rvb i="17827"/>
        </ext>
      </extLst>
    </bk>
    <bk>
      <extLst>
        <ext uri="{3e2802c4-a4d2-4d8b-9148-e3be6c30e623}">
          <xlrd:rvb i="17828"/>
        </ext>
      </extLst>
    </bk>
    <bk>
      <extLst>
        <ext uri="{3e2802c4-a4d2-4d8b-9148-e3be6c30e623}">
          <xlrd:rvb i="17829"/>
        </ext>
      </extLst>
    </bk>
    <bk>
      <extLst>
        <ext uri="{3e2802c4-a4d2-4d8b-9148-e3be6c30e623}">
          <xlrd:rvb i="17830"/>
        </ext>
      </extLst>
    </bk>
    <bk>
      <extLst>
        <ext uri="{3e2802c4-a4d2-4d8b-9148-e3be6c30e623}">
          <xlrd:rvb i="17831"/>
        </ext>
      </extLst>
    </bk>
    <bk>
      <extLst>
        <ext uri="{3e2802c4-a4d2-4d8b-9148-e3be6c30e623}">
          <xlrd:rvb i="17832"/>
        </ext>
      </extLst>
    </bk>
    <bk>
      <extLst>
        <ext uri="{3e2802c4-a4d2-4d8b-9148-e3be6c30e623}">
          <xlrd:rvb i="17833"/>
        </ext>
      </extLst>
    </bk>
    <bk>
      <extLst>
        <ext uri="{3e2802c4-a4d2-4d8b-9148-e3be6c30e623}">
          <xlrd:rvb i="17834"/>
        </ext>
      </extLst>
    </bk>
    <bk>
      <extLst>
        <ext uri="{3e2802c4-a4d2-4d8b-9148-e3be6c30e623}">
          <xlrd:rvb i="17835"/>
        </ext>
      </extLst>
    </bk>
    <bk>
      <extLst>
        <ext uri="{3e2802c4-a4d2-4d8b-9148-e3be6c30e623}">
          <xlrd:rvb i="17836"/>
        </ext>
      </extLst>
    </bk>
    <bk>
      <extLst>
        <ext uri="{3e2802c4-a4d2-4d8b-9148-e3be6c30e623}">
          <xlrd:rvb i="17837"/>
        </ext>
      </extLst>
    </bk>
    <bk>
      <extLst>
        <ext uri="{3e2802c4-a4d2-4d8b-9148-e3be6c30e623}">
          <xlrd:rvb i="17838"/>
        </ext>
      </extLst>
    </bk>
    <bk>
      <extLst>
        <ext uri="{3e2802c4-a4d2-4d8b-9148-e3be6c30e623}">
          <xlrd:rvb i="17839"/>
        </ext>
      </extLst>
    </bk>
    <bk>
      <extLst>
        <ext uri="{3e2802c4-a4d2-4d8b-9148-e3be6c30e623}">
          <xlrd:rvb i="17840"/>
        </ext>
      </extLst>
    </bk>
    <bk>
      <extLst>
        <ext uri="{3e2802c4-a4d2-4d8b-9148-e3be6c30e623}">
          <xlrd:rvb i="17841"/>
        </ext>
      </extLst>
    </bk>
    <bk>
      <extLst>
        <ext uri="{3e2802c4-a4d2-4d8b-9148-e3be6c30e623}">
          <xlrd:rvb i="17842"/>
        </ext>
      </extLst>
    </bk>
    <bk>
      <extLst>
        <ext uri="{3e2802c4-a4d2-4d8b-9148-e3be6c30e623}">
          <xlrd:rvb i="17843"/>
        </ext>
      </extLst>
    </bk>
    <bk>
      <extLst>
        <ext uri="{3e2802c4-a4d2-4d8b-9148-e3be6c30e623}">
          <xlrd:rvb i="17844"/>
        </ext>
      </extLst>
    </bk>
    <bk>
      <extLst>
        <ext uri="{3e2802c4-a4d2-4d8b-9148-e3be6c30e623}">
          <xlrd:rvb i="17845"/>
        </ext>
      </extLst>
    </bk>
    <bk>
      <extLst>
        <ext uri="{3e2802c4-a4d2-4d8b-9148-e3be6c30e623}">
          <xlrd:rvb i="17846"/>
        </ext>
      </extLst>
    </bk>
    <bk>
      <extLst>
        <ext uri="{3e2802c4-a4d2-4d8b-9148-e3be6c30e623}">
          <xlrd:rvb i="17847"/>
        </ext>
      </extLst>
    </bk>
    <bk>
      <extLst>
        <ext uri="{3e2802c4-a4d2-4d8b-9148-e3be6c30e623}">
          <xlrd:rvb i="17848"/>
        </ext>
      </extLst>
    </bk>
    <bk>
      <extLst>
        <ext uri="{3e2802c4-a4d2-4d8b-9148-e3be6c30e623}">
          <xlrd:rvb i="17849"/>
        </ext>
      </extLst>
    </bk>
    <bk>
      <extLst>
        <ext uri="{3e2802c4-a4d2-4d8b-9148-e3be6c30e623}">
          <xlrd:rvb i="17850"/>
        </ext>
      </extLst>
    </bk>
    <bk>
      <extLst>
        <ext uri="{3e2802c4-a4d2-4d8b-9148-e3be6c30e623}">
          <xlrd:rvb i="17851"/>
        </ext>
      </extLst>
    </bk>
    <bk>
      <extLst>
        <ext uri="{3e2802c4-a4d2-4d8b-9148-e3be6c30e623}">
          <xlrd:rvb i="17852"/>
        </ext>
      </extLst>
    </bk>
    <bk>
      <extLst>
        <ext uri="{3e2802c4-a4d2-4d8b-9148-e3be6c30e623}">
          <xlrd:rvb i="17853"/>
        </ext>
      </extLst>
    </bk>
    <bk>
      <extLst>
        <ext uri="{3e2802c4-a4d2-4d8b-9148-e3be6c30e623}">
          <xlrd:rvb i="17854"/>
        </ext>
      </extLst>
    </bk>
    <bk>
      <extLst>
        <ext uri="{3e2802c4-a4d2-4d8b-9148-e3be6c30e623}">
          <xlrd:rvb i="17855"/>
        </ext>
      </extLst>
    </bk>
    <bk>
      <extLst>
        <ext uri="{3e2802c4-a4d2-4d8b-9148-e3be6c30e623}">
          <xlrd:rvb i="17856"/>
        </ext>
      </extLst>
    </bk>
    <bk>
      <extLst>
        <ext uri="{3e2802c4-a4d2-4d8b-9148-e3be6c30e623}">
          <xlrd:rvb i="17857"/>
        </ext>
      </extLst>
    </bk>
    <bk>
      <extLst>
        <ext uri="{3e2802c4-a4d2-4d8b-9148-e3be6c30e623}">
          <xlrd:rvb i="17858"/>
        </ext>
      </extLst>
    </bk>
    <bk>
      <extLst>
        <ext uri="{3e2802c4-a4d2-4d8b-9148-e3be6c30e623}">
          <xlrd:rvb i="17859"/>
        </ext>
      </extLst>
    </bk>
    <bk>
      <extLst>
        <ext uri="{3e2802c4-a4d2-4d8b-9148-e3be6c30e623}">
          <xlrd:rvb i="17860"/>
        </ext>
      </extLst>
    </bk>
    <bk>
      <extLst>
        <ext uri="{3e2802c4-a4d2-4d8b-9148-e3be6c30e623}">
          <xlrd:rvb i="17861"/>
        </ext>
      </extLst>
    </bk>
    <bk>
      <extLst>
        <ext uri="{3e2802c4-a4d2-4d8b-9148-e3be6c30e623}">
          <xlrd:rvb i="17862"/>
        </ext>
      </extLst>
    </bk>
    <bk>
      <extLst>
        <ext uri="{3e2802c4-a4d2-4d8b-9148-e3be6c30e623}">
          <xlrd:rvb i="17863"/>
        </ext>
      </extLst>
    </bk>
    <bk>
      <extLst>
        <ext uri="{3e2802c4-a4d2-4d8b-9148-e3be6c30e623}">
          <xlrd:rvb i="17864"/>
        </ext>
      </extLst>
    </bk>
    <bk>
      <extLst>
        <ext uri="{3e2802c4-a4d2-4d8b-9148-e3be6c30e623}">
          <xlrd:rvb i="17865"/>
        </ext>
      </extLst>
    </bk>
    <bk>
      <extLst>
        <ext uri="{3e2802c4-a4d2-4d8b-9148-e3be6c30e623}">
          <xlrd:rvb i="17866"/>
        </ext>
      </extLst>
    </bk>
    <bk>
      <extLst>
        <ext uri="{3e2802c4-a4d2-4d8b-9148-e3be6c30e623}">
          <xlrd:rvb i="17867"/>
        </ext>
      </extLst>
    </bk>
    <bk>
      <extLst>
        <ext uri="{3e2802c4-a4d2-4d8b-9148-e3be6c30e623}">
          <xlrd:rvb i="17868"/>
        </ext>
      </extLst>
    </bk>
    <bk>
      <extLst>
        <ext uri="{3e2802c4-a4d2-4d8b-9148-e3be6c30e623}">
          <xlrd:rvb i="17869"/>
        </ext>
      </extLst>
    </bk>
    <bk>
      <extLst>
        <ext uri="{3e2802c4-a4d2-4d8b-9148-e3be6c30e623}">
          <xlrd:rvb i="17870"/>
        </ext>
      </extLst>
    </bk>
    <bk>
      <extLst>
        <ext uri="{3e2802c4-a4d2-4d8b-9148-e3be6c30e623}">
          <xlrd:rvb i="17871"/>
        </ext>
      </extLst>
    </bk>
    <bk>
      <extLst>
        <ext uri="{3e2802c4-a4d2-4d8b-9148-e3be6c30e623}">
          <xlrd:rvb i="17872"/>
        </ext>
      </extLst>
    </bk>
    <bk>
      <extLst>
        <ext uri="{3e2802c4-a4d2-4d8b-9148-e3be6c30e623}">
          <xlrd:rvb i="17873"/>
        </ext>
      </extLst>
    </bk>
    <bk>
      <extLst>
        <ext uri="{3e2802c4-a4d2-4d8b-9148-e3be6c30e623}">
          <xlrd:rvb i="17874"/>
        </ext>
      </extLst>
    </bk>
    <bk>
      <extLst>
        <ext uri="{3e2802c4-a4d2-4d8b-9148-e3be6c30e623}">
          <xlrd:rvb i="17875"/>
        </ext>
      </extLst>
    </bk>
    <bk>
      <extLst>
        <ext uri="{3e2802c4-a4d2-4d8b-9148-e3be6c30e623}">
          <xlrd:rvb i="17876"/>
        </ext>
      </extLst>
    </bk>
    <bk>
      <extLst>
        <ext uri="{3e2802c4-a4d2-4d8b-9148-e3be6c30e623}">
          <xlrd:rvb i="17877"/>
        </ext>
      </extLst>
    </bk>
    <bk>
      <extLst>
        <ext uri="{3e2802c4-a4d2-4d8b-9148-e3be6c30e623}">
          <xlrd:rvb i="17878"/>
        </ext>
      </extLst>
    </bk>
    <bk>
      <extLst>
        <ext uri="{3e2802c4-a4d2-4d8b-9148-e3be6c30e623}">
          <xlrd:rvb i="17879"/>
        </ext>
      </extLst>
    </bk>
    <bk>
      <extLst>
        <ext uri="{3e2802c4-a4d2-4d8b-9148-e3be6c30e623}">
          <xlrd:rvb i="17880"/>
        </ext>
      </extLst>
    </bk>
    <bk>
      <extLst>
        <ext uri="{3e2802c4-a4d2-4d8b-9148-e3be6c30e623}">
          <xlrd:rvb i="17881"/>
        </ext>
      </extLst>
    </bk>
    <bk>
      <extLst>
        <ext uri="{3e2802c4-a4d2-4d8b-9148-e3be6c30e623}">
          <xlrd:rvb i="17882"/>
        </ext>
      </extLst>
    </bk>
    <bk>
      <extLst>
        <ext uri="{3e2802c4-a4d2-4d8b-9148-e3be6c30e623}">
          <xlrd:rvb i="17883"/>
        </ext>
      </extLst>
    </bk>
    <bk>
      <extLst>
        <ext uri="{3e2802c4-a4d2-4d8b-9148-e3be6c30e623}">
          <xlrd:rvb i="17884"/>
        </ext>
      </extLst>
    </bk>
    <bk>
      <extLst>
        <ext uri="{3e2802c4-a4d2-4d8b-9148-e3be6c30e623}">
          <xlrd:rvb i="17885"/>
        </ext>
      </extLst>
    </bk>
    <bk>
      <extLst>
        <ext uri="{3e2802c4-a4d2-4d8b-9148-e3be6c30e623}">
          <xlrd:rvb i="17886"/>
        </ext>
      </extLst>
    </bk>
    <bk>
      <extLst>
        <ext uri="{3e2802c4-a4d2-4d8b-9148-e3be6c30e623}">
          <xlrd:rvb i="17887"/>
        </ext>
      </extLst>
    </bk>
    <bk>
      <extLst>
        <ext uri="{3e2802c4-a4d2-4d8b-9148-e3be6c30e623}">
          <xlrd:rvb i="17888"/>
        </ext>
      </extLst>
    </bk>
    <bk>
      <extLst>
        <ext uri="{3e2802c4-a4d2-4d8b-9148-e3be6c30e623}">
          <xlrd:rvb i="17889"/>
        </ext>
      </extLst>
    </bk>
    <bk>
      <extLst>
        <ext uri="{3e2802c4-a4d2-4d8b-9148-e3be6c30e623}">
          <xlrd:rvb i="17890"/>
        </ext>
      </extLst>
    </bk>
    <bk>
      <extLst>
        <ext uri="{3e2802c4-a4d2-4d8b-9148-e3be6c30e623}">
          <xlrd:rvb i="17891"/>
        </ext>
      </extLst>
    </bk>
    <bk>
      <extLst>
        <ext uri="{3e2802c4-a4d2-4d8b-9148-e3be6c30e623}">
          <xlrd:rvb i="17892"/>
        </ext>
      </extLst>
    </bk>
    <bk>
      <extLst>
        <ext uri="{3e2802c4-a4d2-4d8b-9148-e3be6c30e623}">
          <xlrd:rvb i="17893"/>
        </ext>
      </extLst>
    </bk>
    <bk>
      <extLst>
        <ext uri="{3e2802c4-a4d2-4d8b-9148-e3be6c30e623}">
          <xlrd:rvb i="17894"/>
        </ext>
      </extLst>
    </bk>
    <bk>
      <extLst>
        <ext uri="{3e2802c4-a4d2-4d8b-9148-e3be6c30e623}">
          <xlrd:rvb i="17895"/>
        </ext>
      </extLst>
    </bk>
    <bk>
      <extLst>
        <ext uri="{3e2802c4-a4d2-4d8b-9148-e3be6c30e623}">
          <xlrd:rvb i="17896"/>
        </ext>
      </extLst>
    </bk>
    <bk>
      <extLst>
        <ext uri="{3e2802c4-a4d2-4d8b-9148-e3be6c30e623}">
          <xlrd:rvb i="17897"/>
        </ext>
      </extLst>
    </bk>
    <bk>
      <extLst>
        <ext uri="{3e2802c4-a4d2-4d8b-9148-e3be6c30e623}">
          <xlrd:rvb i="17898"/>
        </ext>
      </extLst>
    </bk>
    <bk>
      <extLst>
        <ext uri="{3e2802c4-a4d2-4d8b-9148-e3be6c30e623}">
          <xlrd:rvb i="17899"/>
        </ext>
      </extLst>
    </bk>
    <bk>
      <extLst>
        <ext uri="{3e2802c4-a4d2-4d8b-9148-e3be6c30e623}">
          <xlrd:rvb i="17900"/>
        </ext>
      </extLst>
    </bk>
    <bk>
      <extLst>
        <ext uri="{3e2802c4-a4d2-4d8b-9148-e3be6c30e623}">
          <xlrd:rvb i="17901"/>
        </ext>
      </extLst>
    </bk>
    <bk>
      <extLst>
        <ext uri="{3e2802c4-a4d2-4d8b-9148-e3be6c30e623}">
          <xlrd:rvb i="17902"/>
        </ext>
      </extLst>
    </bk>
    <bk>
      <extLst>
        <ext uri="{3e2802c4-a4d2-4d8b-9148-e3be6c30e623}">
          <xlrd:rvb i="17903"/>
        </ext>
      </extLst>
    </bk>
    <bk>
      <extLst>
        <ext uri="{3e2802c4-a4d2-4d8b-9148-e3be6c30e623}">
          <xlrd:rvb i="17904"/>
        </ext>
      </extLst>
    </bk>
    <bk>
      <extLst>
        <ext uri="{3e2802c4-a4d2-4d8b-9148-e3be6c30e623}">
          <xlrd:rvb i="17905"/>
        </ext>
      </extLst>
    </bk>
    <bk>
      <extLst>
        <ext uri="{3e2802c4-a4d2-4d8b-9148-e3be6c30e623}">
          <xlrd:rvb i="17906"/>
        </ext>
      </extLst>
    </bk>
    <bk>
      <extLst>
        <ext uri="{3e2802c4-a4d2-4d8b-9148-e3be6c30e623}">
          <xlrd:rvb i="17907"/>
        </ext>
      </extLst>
    </bk>
    <bk>
      <extLst>
        <ext uri="{3e2802c4-a4d2-4d8b-9148-e3be6c30e623}">
          <xlrd:rvb i="17908"/>
        </ext>
      </extLst>
    </bk>
    <bk>
      <extLst>
        <ext uri="{3e2802c4-a4d2-4d8b-9148-e3be6c30e623}">
          <xlrd:rvb i="17909"/>
        </ext>
      </extLst>
    </bk>
    <bk>
      <extLst>
        <ext uri="{3e2802c4-a4d2-4d8b-9148-e3be6c30e623}">
          <xlrd:rvb i="17910"/>
        </ext>
      </extLst>
    </bk>
    <bk>
      <extLst>
        <ext uri="{3e2802c4-a4d2-4d8b-9148-e3be6c30e623}">
          <xlrd:rvb i="17911"/>
        </ext>
      </extLst>
    </bk>
    <bk>
      <extLst>
        <ext uri="{3e2802c4-a4d2-4d8b-9148-e3be6c30e623}">
          <xlrd:rvb i="17912"/>
        </ext>
      </extLst>
    </bk>
    <bk>
      <extLst>
        <ext uri="{3e2802c4-a4d2-4d8b-9148-e3be6c30e623}">
          <xlrd:rvb i="17913"/>
        </ext>
      </extLst>
    </bk>
    <bk>
      <extLst>
        <ext uri="{3e2802c4-a4d2-4d8b-9148-e3be6c30e623}">
          <xlrd:rvb i="17914"/>
        </ext>
      </extLst>
    </bk>
    <bk>
      <extLst>
        <ext uri="{3e2802c4-a4d2-4d8b-9148-e3be6c30e623}">
          <xlrd:rvb i="17915"/>
        </ext>
      </extLst>
    </bk>
    <bk>
      <extLst>
        <ext uri="{3e2802c4-a4d2-4d8b-9148-e3be6c30e623}">
          <xlrd:rvb i="17916"/>
        </ext>
      </extLst>
    </bk>
    <bk>
      <extLst>
        <ext uri="{3e2802c4-a4d2-4d8b-9148-e3be6c30e623}">
          <xlrd:rvb i="17917"/>
        </ext>
      </extLst>
    </bk>
    <bk>
      <extLst>
        <ext uri="{3e2802c4-a4d2-4d8b-9148-e3be6c30e623}">
          <xlrd:rvb i="17918"/>
        </ext>
      </extLst>
    </bk>
    <bk>
      <extLst>
        <ext uri="{3e2802c4-a4d2-4d8b-9148-e3be6c30e623}">
          <xlrd:rvb i="17919"/>
        </ext>
      </extLst>
    </bk>
    <bk>
      <extLst>
        <ext uri="{3e2802c4-a4d2-4d8b-9148-e3be6c30e623}">
          <xlrd:rvb i="17920"/>
        </ext>
      </extLst>
    </bk>
    <bk>
      <extLst>
        <ext uri="{3e2802c4-a4d2-4d8b-9148-e3be6c30e623}">
          <xlrd:rvb i="17921"/>
        </ext>
      </extLst>
    </bk>
    <bk>
      <extLst>
        <ext uri="{3e2802c4-a4d2-4d8b-9148-e3be6c30e623}">
          <xlrd:rvb i="17922"/>
        </ext>
      </extLst>
    </bk>
    <bk>
      <extLst>
        <ext uri="{3e2802c4-a4d2-4d8b-9148-e3be6c30e623}">
          <xlrd:rvb i="17923"/>
        </ext>
      </extLst>
    </bk>
    <bk>
      <extLst>
        <ext uri="{3e2802c4-a4d2-4d8b-9148-e3be6c30e623}">
          <xlrd:rvb i="17924"/>
        </ext>
      </extLst>
    </bk>
    <bk>
      <extLst>
        <ext uri="{3e2802c4-a4d2-4d8b-9148-e3be6c30e623}">
          <xlrd:rvb i="17925"/>
        </ext>
      </extLst>
    </bk>
    <bk>
      <extLst>
        <ext uri="{3e2802c4-a4d2-4d8b-9148-e3be6c30e623}">
          <xlrd:rvb i="17926"/>
        </ext>
      </extLst>
    </bk>
    <bk>
      <extLst>
        <ext uri="{3e2802c4-a4d2-4d8b-9148-e3be6c30e623}">
          <xlrd:rvb i="17927"/>
        </ext>
      </extLst>
    </bk>
    <bk>
      <extLst>
        <ext uri="{3e2802c4-a4d2-4d8b-9148-e3be6c30e623}">
          <xlrd:rvb i="17928"/>
        </ext>
      </extLst>
    </bk>
    <bk>
      <extLst>
        <ext uri="{3e2802c4-a4d2-4d8b-9148-e3be6c30e623}">
          <xlrd:rvb i="17929"/>
        </ext>
      </extLst>
    </bk>
    <bk>
      <extLst>
        <ext uri="{3e2802c4-a4d2-4d8b-9148-e3be6c30e623}">
          <xlrd:rvb i="17930"/>
        </ext>
      </extLst>
    </bk>
    <bk>
      <extLst>
        <ext uri="{3e2802c4-a4d2-4d8b-9148-e3be6c30e623}">
          <xlrd:rvb i="17931"/>
        </ext>
      </extLst>
    </bk>
    <bk>
      <extLst>
        <ext uri="{3e2802c4-a4d2-4d8b-9148-e3be6c30e623}">
          <xlrd:rvb i="17932"/>
        </ext>
      </extLst>
    </bk>
    <bk>
      <extLst>
        <ext uri="{3e2802c4-a4d2-4d8b-9148-e3be6c30e623}">
          <xlrd:rvb i="17933"/>
        </ext>
      </extLst>
    </bk>
    <bk>
      <extLst>
        <ext uri="{3e2802c4-a4d2-4d8b-9148-e3be6c30e623}">
          <xlrd:rvb i="17934"/>
        </ext>
      </extLst>
    </bk>
    <bk>
      <extLst>
        <ext uri="{3e2802c4-a4d2-4d8b-9148-e3be6c30e623}">
          <xlrd:rvb i="17935"/>
        </ext>
      </extLst>
    </bk>
    <bk>
      <extLst>
        <ext uri="{3e2802c4-a4d2-4d8b-9148-e3be6c30e623}">
          <xlrd:rvb i="17936"/>
        </ext>
      </extLst>
    </bk>
    <bk>
      <extLst>
        <ext uri="{3e2802c4-a4d2-4d8b-9148-e3be6c30e623}">
          <xlrd:rvb i="17937"/>
        </ext>
      </extLst>
    </bk>
    <bk>
      <extLst>
        <ext uri="{3e2802c4-a4d2-4d8b-9148-e3be6c30e623}">
          <xlrd:rvb i="17938"/>
        </ext>
      </extLst>
    </bk>
    <bk>
      <extLst>
        <ext uri="{3e2802c4-a4d2-4d8b-9148-e3be6c30e623}">
          <xlrd:rvb i="17939"/>
        </ext>
      </extLst>
    </bk>
    <bk>
      <extLst>
        <ext uri="{3e2802c4-a4d2-4d8b-9148-e3be6c30e623}">
          <xlrd:rvb i="17940"/>
        </ext>
      </extLst>
    </bk>
    <bk>
      <extLst>
        <ext uri="{3e2802c4-a4d2-4d8b-9148-e3be6c30e623}">
          <xlrd:rvb i="17941"/>
        </ext>
      </extLst>
    </bk>
    <bk>
      <extLst>
        <ext uri="{3e2802c4-a4d2-4d8b-9148-e3be6c30e623}">
          <xlrd:rvb i="17942"/>
        </ext>
      </extLst>
    </bk>
    <bk>
      <extLst>
        <ext uri="{3e2802c4-a4d2-4d8b-9148-e3be6c30e623}">
          <xlrd:rvb i="17943"/>
        </ext>
      </extLst>
    </bk>
    <bk>
      <extLst>
        <ext uri="{3e2802c4-a4d2-4d8b-9148-e3be6c30e623}">
          <xlrd:rvb i="17944"/>
        </ext>
      </extLst>
    </bk>
    <bk>
      <extLst>
        <ext uri="{3e2802c4-a4d2-4d8b-9148-e3be6c30e623}">
          <xlrd:rvb i="17945"/>
        </ext>
      </extLst>
    </bk>
    <bk>
      <extLst>
        <ext uri="{3e2802c4-a4d2-4d8b-9148-e3be6c30e623}">
          <xlrd:rvb i="17946"/>
        </ext>
      </extLst>
    </bk>
    <bk>
      <extLst>
        <ext uri="{3e2802c4-a4d2-4d8b-9148-e3be6c30e623}">
          <xlrd:rvb i="17947"/>
        </ext>
      </extLst>
    </bk>
    <bk>
      <extLst>
        <ext uri="{3e2802c4-a4d2-4d8b-9148-e3be6c30e623}">
          <xlrd:rvb i="17948"/>
        </ext>
      </extLst>
    </bk>
    <bk>
      <extLst>
        <ext uri="{3e2802c4-a4d2-4d8b-9148-e3be6c30e623}">
          <xlrd:rvb i="17949"/>
        </ext>
      </extLst>
    </bk>
    <bk>
      <extLst>
        <ext uri="{3e2802c4-a4d2-4d8b-9148-e3be6c30e623}">
          <xlrd:rvb i="17950"/>
        </ext>
      </extLst>
    </bk>
    <bk>
      <extLst>
        <ext uri="{3e2802c4-a4d2-4d8b-9148-e3be6c30e623}">
          <xlrd:rvb i="17951"/>
        </ext>
      </extLst>
    </bk>
    <bk>
      <extLst>
        <ext uri="{3e2802c4-a4d2-4d8b-9148-e3be6c30e623}">
          <xlrd:rvb i="17952"/>
        </ext>
      </extLst>
    </bk>
    <bk>
      <extLst>
        <ext uri="{3e2802c4-a4d2-4d8b-9148-e3be6c30e623}">
          <xlrd:rvb i="17953"/>
        </ext>
      </extLst>
    </bk>
    <bk>
      <extLst>
        <ext uri="{3e2802c4-a4d2-4d8b-9148-e3be6c30e623}">
          <xlrd:rvb i="17954"/>
        </ext>
      </extLst>
    </bk>
    <bk>
      <extLst>
        <ext uri="{3e2802c4-a4d2-4d8b-9148-e3be6c30e623}">
          <xlrd:rvb i="17955"/>
        </ext>
      </extLst>
    </bk>
    <bk>
      <extLst>
        <ext uri="{3e2802c4-a4d2-4d8b-9148-e3be6c30e623}">
          <xlrd:rvb i="17956"/>
        </ext>
      </extLst>
    </bk>
    <bk>
      <extLst>
        <ext uri="{3e2802c4-a4d2-4d8b-9148-e3be6c30e623}">
          <xlrd:rvb i="17957"/>
        </ext>
      </extLst>
    </bk>
    <bk>
      <extLst>
        <ext uri="{3e2802c4-a4d2-4d8b-9148-e3be6c30e623}">
          <xlrd:rvb i="17958"/>
        </ext>
      </extLst>
    </bk>
    <bk>
      <extLst>
        <ext uri="{3e2802c4-a4d2-4d8b-9148-e3be6c30e623}">
          <xlrd:rvb i="17959"/>
        </ext>
      </extLst>
    </bk>
    <bk>
      <extLst>
        <ext uri="{3e2802c4-a4d2-4d8b-9148-e3be6c30e623}">
          <xlrd:rvb i="17960"/>
        </ext>
      </extLst>
    </bk>
    <bk>
      <extLst>
        <ext uri="{3e2802c4-a4d2-4d8b-9148-e3be6c30e623}">
          <xlrd:rvb i="17961"/>
        </ext>
      </extLst>
    </bk>
    <bk>
      <extLst>
        <ext uri="{3e2802c4-a4d2-4d8b-9148-e3be6c30e623}">
          <xlrd:rvb i="17962"/>
        </ext>
      </extLst>
    </bk>
    <bk>
      <extLst>
        <ext uri="{3e2802c4-a4d2-4d8b-9148-e3be6c30e623}">
          <xlrd:rvb i="17963"/>
        </ext>
      </extLst>
    </bk>
    <bk>
      <extLst>
        <ext uri="{3e2802c4-a4d2-4d8b-9148-e3be6c30e623}">
          <xlrd:rvb i="17964"/>
        </ext>
      </extLst>
    </bk>
    <bk>
      <extLst>
        <ext uri="{3e2802c4-a4d2-4d8b-9148-e3be6c30e623}">
          <xlrd:rvb i="17965"/>
        </ext>
      </extLst>
    </bk>
    <bk>
      <extLst>
        <ext uri="{3e2802c4-a4d2-4d8b-9148-e3be6c30e623}">
          <xlrd:rvb i="17966"/>
        </ext>
      </extLst>
    </bk>
    <bk>
      <extLst>
        <ext uri="{3e2802c4-a4d2-4d8b-9148-e3be6c30e623}">
          <xlrd:rvb i="17967"/>
        </ext>
      </extLst>
    </bk>
    <bk>
      <extLst>
        <ext uri="{3e2802c4-a4d2-4d8b-9148-e3be6c30e623}">
          <xlrd:rvb i="17968"/>
        </ext>
      </extLst>
    </bk>
    <bk>
      <extLst>
        <ext uri="{3e2802c4-a4d2-4d8b-9148-e3be6c30e623}">
          <xlrd:rvb i="17969"/>
        </ext>
      </extLst>
    </bk>
    <bk>
      <extLst>
        <ext uri="{3e2802c4-a4d2-4d8b-9148-e3be6c30e623}">
          <xlrd:rvb i="17970"/>
        </ext>
      </extLst>
    </bk>
    <bk>
      <extLst>
        <ext uri="{3e2802c4-a4d2-4d8b-9148-e3be6c30e623}">
          <xlrd:rvb i="17971"/>
        </ext>
      </extLst>
    </bk>
    <bk>
      <extLst>
        <ext uri="{3e2802c4-a4d2-4d8b-9148-e3be6c30e623}">
          <xlrd:rvb i="17972"/>
        </ext>
      </extLst>
    </bk>
    <bk>
      <extLst>
        <ext uri="{3e2802c4-a4d2-4d8b-9148-e3be6c30e623}">
          <xlrd:rvb i="17973"/>
        </ext>
      </extLst>
    </bk>
    <bk>
      <extLst>
        <ext uri="{3e2802c4-a4d2-4d8b-9148-e3be6c30e623}">
          <xlrd:rvb i="17974"/>
        </ext>
      </extLst>
    </bk>
    <bk>
      <extLst>
        <ext uri="{3e2802c4-a4d2-4d8b-9148-e3be6c30e623}">
          <xlrd:rvb i="17975"/>
        </ext>
      </extLst>
    </bk>
    <bk>
      <extLst>
        <ext uri="{3e2802c4-a4d2-4d8b-9148-e3be6c30e623}">
          <xlrd:rvb i="17976"/>
        </ext>
      </extLst>
    </bk>
    <bk>
      <extLst>
        <ext uri="{3e2802c4-a4d2-4d8b-9148-e3be6c30e623}">
          <xlrd:rvb i="17977"/>
        </ext>
      </extLst>
    </bk>
    <bk>
      <extLst>
        <ext uri="{3e2802c4-a4d2-4d8b-9148-e3be6c30e623}">
          <xlrd:rvb i="17978"/>
        </ext>
      </extLst>
    </bk>
    <bk>
      <extLst>
        <ext uri="{3e2802c4-a4d2-4d8b-9148-e3be6c30e623}">
          <xlrd:rvb i="17979"/>
        </ext>
      </extLst>
    </bk>
    <bk>
      <extLst>
        <ext uri="{3e2802c4-a4d2-4d8b-9148-e3be6c30e623}">
          <xlrd:rvb i="17980"/>
        </ext>
      </extLst>
    </bk>
    <bk>
      <extLst>
        <ext uri="{3e2802c4-a4d2-4d8b-9148-e3be6c30e623}">
          <xlrd:rvb i="17981"/>
        </ext>
      </extLst>
    </bk>
    <bk>
      <extLst>
        <ext uri="{3e2802c4-a4d2-4d8b-9148-e3be6c30e623}">
          <xlrd:rvb i="17982"/>
        </ext>
      </extLst>
    </bk>
    <bk>
      <extLst>
        <ext uri="{3e2802c4-a4d2-4d8b-9148-e3be6c30e623}">
          <xlrd:rvb i="17983"/>
        </ext>
      </extLst>
    </bk>
    <bk>
      <extLst>
        <ext uri="{3e2802c4-a4d2-4d8b-9148-e3be6c30e623}">
          <xlrd:rvb i="17984"/>
        </ext>
      </extLst>
    </bk>
    <bk>
      <extLst>
        <ext uri="{3e2802c4-a4d2-4d8b-9148-e3be6c30e623}">
          <xlrd:rvb i="17985"/>
        </ext>
      </extLst>
    </bk>
    <bk>
      <extLst>
        <ext uri="{3e2802c4-a4d2-4d8b-9148-e3be6c30e623}">
          <xlrd:rvb i="17986"/>
        </ext>
      </extLst>
    </bk>
    <bk>
      <extLst>
        <ext uri="{3e2802c4-a4d2-4d8b-9148-e3be6c30e623}">
          <xlrd:rvb i="17987"/>
        </ext>
      </extLst>
    </bk>
    <bk>
      <extLst>
        <ext uri="{3e2802c4-a4d2-4d8b-9148-e3be6c30e623}">
          <xlrd:rvb i="17988"/>
        </ext>
      </extLst>
    </bk>
    <bk>
      <extLst>
        <ext uri="{3e2802c4-a4d2-4d8b-9148-e3be6c30e623}">
          <xlrd:rvb i="17989"/>
        </ext>
      </extLst>
    </bk>
    <bk>
      <extLst>
        <ext uri="{3e2802c4-a4d2-4d8b-9148-e3be6c30e623}">
          <xlrd:rvb i="17990"/>
        </ext>
      </extLst>
    </bk>
    <bk>
      <extLst>
        <ext uri="{3e2802c4-a4d2-4d8b-9148-e3be6c30e623}">
          <xlrd:rvb i="17991"/>
        </ext>
      </extLst>
    </bk>
    <bk>
      <extLst>
        <ext uri="{3e2802c4-a4d2-4d8b-9148-e3be6c30e623}">
          <xlrd:rvb i="17992"/>
        </ext>
      </extLst>
    </bk>
    <bk>
      <extLst>
        <ext uri="{3e2802c4-a4d2-4d8b-9148-e3be6c30e623}">
          <xlrd:rvb i="17993"/>
        </ext>
      </extLst>
    </bk>
    <bk>
      <extLst>
        <ext uri="{3e2802c4-a4d2-4d8b-9148-e3be6c30e623}">
          <xlrd:rvb i="17994"/>
        </ext>
      </extLst>
    </bk>
    <bk>
      <extLst>
        <ext uri="{3e2802c4-a4d2-4d8b-9148-e3be6c30e623}">
          <xlrd:rvb i="17995"/>
        </ext>
      </extLst>
    </bk>
    <bk>
      <extLst>
        <ext uri="{3e2802c4-a4d2-4d8b-9148-e3be6c30e623}">
          <xlrd:rvb i="17996"/>
        </ext>
      </extLst>
    </bk>
    <bk>
      <extLst>
        <ext uri="{3e2802c4-a4d2-4d8b-9148-e3be6c30e623}">
          <xlrd:rvb i="17997"/>
        </ext>
      </extLst>
    </bk>
    <bk>
      <extLst>
        <ext uri="{3e2802c4-a4d2-4d8b-9148-e3be6c30e623}">
          <xlrd:rvb i="17998"/>
        </ext>
      </extLst>
    </bk>
    <bk>
      <extLst>
        <ext uri="{3e2802c4-a4d2-4d8b-9148-e3be6c30e623}">
          <xlrd:rvb i="17999"/>
        </ext>
      </extLst>
    </bk>
    <bk>
      <extLst>
        <ext uri="{3e2802c4-a4d2-4d8b-9148-e3be6c30e623}">
          <xlrd:rvb i="18000"/>
        </ext>
      </extLst>
    </bk>
    <bk>
      <extLst>
        <ext uri="{3e2802c4-a4d2-4d8b-9148-e3be6c30e623}">
          <xlrd:rvb i="18001"/>
        </ext>
      </extLst>
    </bk>
    <bk>
      <extLst>
        <ext uri="{3e2802c4-a4d2-4d8b-9148-e3be6c30e623}">
          <xlrd:rvb i="18002"/>
        </ext>
      </extLst>
    </bk>
    <bk>
      <extLst>
        <ext uri="{3e2802c4-a4d2-4d8b-9148-e3be6c30e623}">
          <xlrd:rvb i="18003"/>
        </ext>
      </extLst>
    </bk>
    <bk>
      <extLst>
        <ext uri="{3e2802c4-a4d2-4d8b-9148-e3be6c30e623}">
          <xlrd:rvb i="18004"/>
        </ext>
      </extLst>
    </bk>
    <bk>
      <extLst>
        <ext uri="{3e2802c4-a4d2-4d8b-9148-e3be6c30e623}">
          <xlrd:rvb i="18005"/>
        </ext>
      </extLst>
    </bk>
    <bk>
      <extLst>
        <ext uri="{3e2802c4-a4d2-4d8b-9148-e3be6c30e623}">
          <xlrd:rvb i="18006"/>
        </ext>
      </extLst>
    </bk>
    <bk>
      <extLst>
        <ext uri="{3e2802c4-a4d2-4d8b-9148-e3be6c30e623}">
          <xlrd:rvb i="18007"/>
        </ext>
      </extLst>
    </bk>
    <bk>
      <extLst>
        <ext uri="{3e2802c4-a4d2-4d8b-9148-e3be6c30e623}">
          <xlrd:rvb i="18008"/>
        </ext>
      </extLst>
    </bk>
    <bk>
      <extLst>
        <ext uri="{3e2802c4-a4d2-4d8b-9148-e3be6c30e623}">
          <xlrd:rvb i="18009"/>
        </ext>
      </extLst>
    </bk>
    <bk>
      <extLst>
        <ext uri="{3e2802c4-a4d2-4d8b-9148-e3be6c30e623}">
          <xlrd:rvb i="18010"/>
        </ext>
      </extLst>
    </bk>
    <bk>
      <extLst>
        <ext uri="{3e2802c4-a4d2-4d8b-9148-e3be6c30e623}">
          <xlrd:rvb i="18011"/>
        </ext>
      </extLst>
    </bk>
    <bk>
      <extLst>
        <ext uri="{3e2802c4-a4d2-4d8b-9148-e3be6c30e623}">
          <xlrd:rvb i="18012"/>
        </ext>
      </extLst>
    </bk>
    <bk>
      <extLst>
        <ext uri="{3e2802c4-a4d2-4d8b-9148-e3be6c30e623}">
          <xlrd:rvb i="18013"/>
        </ext>
      </extLst>
    </bk>
    <bk>
      <extLst>
        <ext uri="{3e2802c4-a4d2-4d8b-9148-e3be6c30e623}">
          <xlrd:rvb i="18014"/>
        </ext>
      </extLst>
    </bk>
    <bk>
      <extLst>
        <ext uri="{3e2802c4-a4d2-4d8b-9148-e3be6c30e623}">
          <xlrd:rvb i="18015"/>
        </ext>
      </extLst>
    </bk>
    <bk>
      <extLst>
        <ext uri="{3e2802c4-a4d2-4d8b-9148-e3be6c30e623}">
          <xlrd:rvb i="18016"/>
        </ext>
      </extLst>
    </bk>
    <bk>
      <extLst>
        <ext uri="{3e2802c4-a4d2-4d8b-9148-e3be6c30e623}">
          <xlrd:rvb i="18017"/>
        </ext>
      </extLst>
    </bk>
    <bk>
      <extLst>
        <ext uri="{3e2802c4-a4d2-4d8b-9148-e3be6c30e623}">
          <xlrd:rvb i="18018"/>
        </ext>
      </extLst>
    </bk>
    <bk>
      <extLst>
        <ext uri="{3e2802c4-a4d2-4d8b-9148-e3be6c30e623}">
          <xlrd:rvb i="18019"/>
        </ext>
      </extLst>
    </bk>
    <bk>
      <extLst>
        <ext uri="{3e2802c4-a4d2-4d8b-9148-e3be6c30e623}">
          <xlrd:rvb i="18020"/>
        </ext>
      </extLst>
    </bk>
    <bk>
      <extLst>
        <ext uri="{3e2802c4-a4d2-4d8b-9148-e3be6c30e623}">
          <xlrd:rvb i="18021"/>
        </ext>
      </extLst>
    </bk>
    <bk>
      <extLst>
        <ext uri="{3e2802c4-a4d2-4d8b-9148-e3be6c30e623}">
          <xlrd:rvb i="18022"/>
        </ext>
      </extLst>
    </bk>
    <bk>
      <extLst>
        <ext uri="{3e2802c4-a4d2-4d8b-9148-e3be6c30e623}">
          <xlrd:rvb i="18023"/>
        </ext>
      </extLst>
    </bk>
    <bk>
      <extLst>
        <ext uri="{3e2802c4-a4d2-4d8b-9148-e3be6c30e623}">
          <xlrd:rvb i="18024"/>
        </ext>
      </extLst>
    </bk>
    <bk>
      <extLst>
        <ext uri="{3e2802c4-a4d2-4d8b-9148-e3be6c30e623}">
          <xlrd:rvb i="18025"/>
        </ext>
      </extLst>
    </bk>
    <bk>
      <extLst>
        <ext uri="{3e2802c4-a4d2-4d8b-9148-e3be6c30e623}">
          <xlrd:rvb i="18026"/>
        </ext>
      </extLst>
    </bk>
    <bk>
      <extLst>
        <ext uri="{3e2802c4-a4d2-4d8b-9148-e3be6c30e623}">
          <xlrd:rvb i="18027"/>
        </ext>
      </extLst>
    </bk>
    <bk>
      <extLst>
        <ext uri="{3e2802c4-a4d2-4d8b-9148-e3be6c30e623}">
          <xlrd:rvb i="18028"/>
        </ext>
      </extLst>
    </bk>
    <bk>
      <extLst>
        <ext uri="{3e2802c4-a4d2-4d8b-9148-e3be6c30e623}">
          <xlrd:rvb i="18029"/>
        </ext>
      </extLst>
    </bk>
    <bk>
      <extLst>
        <ext uri="{3e2802c4-a4d2-4d8b-9148-e3be6c30e623}">
          <xlrd:rvb i="18030"/>
        </ext>
      </extLst>
    </bk>
    <bk>
      <extLst>
        <ext uri="{3e2802c4-a4d2-4d8b-9148-e3be6c30e623}">
          <xlrd:rvb i="18031"/>
        </ext>
      </extLst>
    </bk>
    <bk>
      <extLst>
        <ext uri="{3e2802c4-a4d2-4d8b-9148-e3be6c30e623}">
          <xlrd:rvb i="18032"/>
        </ext>
      </extLst>
    </bk>
    <bk>
      <extLst>
        <ext uri="{3e2802c4-a4d2-4d8b-9148-e3be6c30e623}">
          <xlrd:rvb i="18033"/>
        </ext>
      </extLst>
    </bk>
    <bk>
      <extLst>
        <ext uri="{3e2802c4-a4d2-4d8b-9148-e3be6c30e623}">
          <xlrd:rvb i="18034"/>
        </ext>
      </extLst>
    </bk>
    <bk>
      <extLst>
        <ext uri="{3e2802c4-a4d2-4d8b-9148-e3be6c30e623}">
          <xlrd:rvb i="18035"/>
        </ext>
      </extLst>
    </bk>
    <bk>
      <extLst>
        <ext uri="{3e2802c4-a4d2-4d8b-9148-e3be6c30e623}">
          <xlrd:rvb i="18036"/>
        </ext>
      </extLst>
    </bk>
    <bk>
      <extLst>
        <ext uri="{3e2802c4-a4d2-4d8b-9148-e3be6c30e623}">
          <xlrd:rvb i="18037"/>
        </ext>
      </extLst>
    </bk>
    <bk>
      <extLst>
        <ext uri="{3e2802c4-a4d2-4d8b-9148-e3be6c30e623}">
          <xlrd:rvb i="18038"/>
        </ext>
      </extLst>
    </bk>
    <bk>
      <extLst>
        <ext uri="{3e2802c4-a4d2-4d8b-9148-e3be6c30e623}">
          <xlrd:rvb i="18039"/>
        </ext>
      </extLst>
    </bk>
    <bk>
      <extLst>
        <ext uri="{3e2802c4-a4d2-4d8b-9148-e3be6c30e623}">
          <xlrd:rvb i="18040"/>
        </ext>
      </extLst>
    </bk>
    <bk>
      <extLst>
        <ext uri="{3e2802c4-a4d2-4d8b-9148-e3be6c30e623}">
          <xlrd:rvb i="18041"/>
        </ext>
      </extLst>
    </bk>
    <bk>
      <extLst>
        <ext uri="{3e2802c4-a4d2-4d8b-9148-e3be6c30e623}">
          <xlrd:rvb i="18042"/>
        </ext>
      </extLst>
    </bk>
    <bk>
      <extLst>
        <ext uri="{3e2802c4-a4d2-4d8b-9148-e3be6c30e623}">
          <xlrd:rvb i="18043"/>
        </ext>
      </extLst>
    </bk>
    <bk>
      <extLst>
        <ext uri="{3e2802c4-a4d2-4d8b-9148-e3be6c30e623}">
          <xlrd:rvb i="18044"/>
        </ext>
      </extLst>
    </bk>
    <bk>
      <extLst>
        <ext uri="{3e2802c4-a4d2-4d8b-9148-e3be6c30e623}">
          <xlrd:rvb i="18045"/>
        </ext>
      </extLst>
    </bk>
    <bk>
      <extLst>
        <ext uri="{3e2802c4-a4d2-4d8b-9148-e3be6c30e623}">
          <xlrd:rvb i="18046"/>
        </ext>
      </extLst>
    </bk>
    <bk>
      <extLst>
        <ext uri="{3e2802c4-a4d2-4d8b-9148-e3be6c30e623}">
          <xlrd:rvb i="18047"/>
        </ext>
      </extLst>
    </bk>
    <bk>
      <extLst>
        <ext uri="{3e2802c4-a4d2-4d8b-9148-e3be6c30e623}">
          <xlrd:rvb i="18048"/>
        </ext>
      </extLst>
    </bk>
    <bk>
      <extLst>
        <ext uri="{3e2802c4-a4d2-4d8b-9148-e3be6c30e623}">
          <xlrd:rvb i="18049"/>
        </ext>
      </extLst>
    </bk>
    <bk>
      <extLst>
        <ext uri="{3e2802c4-a4d2-4d8b-9148-e3be6c30e623}">
          <xlrd:rvb i="18050"/>
        </ext>
      </extLst>
    </bk>
    <bk>
      <extLst>
        <ext uri="{3e2802c4-a4d2-4d8b-9148-e3be6c30e623}">
          <xlrd:rvb i="18051"/>
        </ext>
      </extLst>
    </bk>
    <bk>
      <extLst>
        <ext uri="{3e2802c4-a4d2-4d8b-9148-e3be6c30e623}">
          <xlrd:rvb i="18052"/>
        </ext>
      </extLst>
    </bk>
    <bk>
      <extLst>
        <ext uri="{3e2802c4-a4d2-4d8b-9148-e3be6c30e623}">
          <xlrd:rvb i="18053"/>
        </ext>
      </extLst>
    </bk>
    <bk>
      <extLst>
        <ext uri="{3e2802c4-a4d2-4d8b-9148-e3be6c30e623}">
          <xlrd:rvb i="18054"/>
        </ext>
      </extLst>
    </bk>
    <bk>
      <extLst>
        <ext uri="{3e2802c4-a4d2-4d8b-9148-e3be6c30e623}">
          <xlrd:rvb i="18055"/>
        </ext>
      </extLst>
    </bk>
    <bk>
      <extLst>
        <ext uri="{3e2802c4-a4d2-4d8b-9148-e3be6c30e623}">
          <xlrd:rvb i="18056"/>
        </ext>
      </extLst>
    </bk>
    <bk>
      <extLst>
        <ext uri="{3e2802c4-a4d2-4d8b-9148-e3be6c30e623}">
          <xlrd:rvb i="18057"/>
        </ext>
      </extLst>
    </bk>
    <bk>
      <extLst>
        <ext uri="{3e2802c4-a4d2-4d8b-9148-e3be6c30e623}">
          <xlrd:rvb i="18058"/>
        </ext>
      </extLst>
    </bk>
    <bk>
      <extLst>
        <ext uri="{3e2802c4-a4d2-4d8b-9148-e3be6c30e623}">
          <xlrd:rvb i="18059"/>
        </ext>
      </extLst>
    </bk>
    <bk>
      <extLst>
        <ext uri="{3e2802c4-a4d2-4d8b-9148-e3be6c30e623}">
          <xlrd:rvb i="18060"/>
        </ext>
      </extLst>
    </bk>
    <bk>
      <extLst>
        <ext uri="{3e2802c4-a4d2-4d8b-9148-e3be6c30e623}">
          <xlrd:rvb i="18061"/>
        </ext>
      </extLst>
    </bk>
    <bk>
      <extLst>
        <ext uri="{3e2802c4-a4d2-4d8b-9148-e3be6c30e623}">
          <xlrd:rvb i="18062"/>
        </ext>
      </extLst>
    </bk>
    <bk>
      <extLst>
        <ext uri="{3e2802c4-a4d2-4d8b-9148-e3be6c30e623}">
          <xlrd:rvb i="18063"/>
        </ext>
      </extLst>
    </bk>
    <bk>
      <extLst>
        <ext uri="{3e2802c4-a4d2-4d8b-9148-e3be6c30e623}">
          <xlrd:rvb i="18064"/>
        </ext>
      </extLst>
    </bk>
    <bk>
      <extLst>
        <ext uri="{3e2802c4-a4d2-4d8b-9148-e3be6c30e623}">
          <xlrd:rvb i="18065"/>
        </ext>
      </extLst>
    </bk>
    <bk>
      <extLst>
        <ext uri="{3e2802c4-a4d2-4d8b-9148-e3be6c30e623}">
          <xlrd:rvb i="18066"/>
        </ext>
      </extLst>
    </bk>
    <bk>
      <extLst>
        <ext uri="{3e2802c4-a4d2-4d8b-9148-e3be6c30e623}">
          <xlrd:rvb i="18067"/>
        </ext>
      </extLst>
    </bk>
    <bk>
      <extLst>
        <ext uri="{3e2802c4-a4d2-4d8b-9148-e3be6c30e623}">
          <xlrd:rvb i="18068"/>
        </ext>
      </extLst>
    </bk>
    <bk>
      <extLst>
        <ext uri="{3e2802c4-a4d2-4d8b-9148-e3be6c30e623}">
          <xlrd:rvb i="18069"/>
        </ext>
      </extLst>
    </bk>
    <bk>
      <extLst>
        <ext uri="{3e2802c4-a4d2-4d8b-9148-e3be6c30e623}">
          <xlrd:rvb i="18070"/>
        </ext>
      </extLst>
    </bk>
    <bk>
      <extLst>
        <ext uri="{3e2802c4-a4d2-4d8b-9148-e3be6c30e623}">
          <xlrd:rvb i="18071"/>
        </ext>
      </extLst>
    </bk>
    <bk>
      <extLst>
        <ext uri="{3e2802c4-a4d2-4d8b-9148-e3be6c30e623}">
          <xlrd:rvb i="18072"/>
        </ext>
      </extLst>
    </bk>
    <bk>
      <extLst>
        <ext uri="{3e2802c4-a4d2-4d8b-9148-e3be6c30e623}">
          <xlrd:rvb i="18073"/>
        </ext>
      </extLst>
    </bk>
    <bk>
      <extLst>
        <ext uri="{3e2802c4-a4d2-4d8b-9148-e3be6c30e623}">
          <xlrd:rvb i="18074"/>
        </ext>
      </extLst>
    </bk>
    <bk>
      <extLst>
        <ext uri="{3e2802c4-a4d2-4d8b-9148-e3be6c30e623}">
          <xlrd:rvb i="18075"/>
        </ext>
      </extLst>
    </bk>
    <bk>
      <extLst>
        <ext uri="{3e2802c4-a4d2-4d8b-9148-e3be6c30e623}">
          <xlrd:rvb i="18076"/>
        </ext>
      </extLst>
    </bk>
    <bk>
      <extLst>
        <ext uri="{3e2802c4-a4d2-4d8b-9148-e3be6c30e623}">
          <xlrd:rvb i="18077"/>
        </ext>
      </extLst>
    </bk>
    <bk>
      <extLst>
        <ext uri="{3e2802c4-a4d2-4d8b-9148-e3be6c30e623}">
          <xlrd:rvb i="18078"/>
        </ext>
      </extLst>
    </bk>
    <bk>
      <extLst>
        <ext uri="{3e2802c4-a4d2-4d8b-9148-e3be6c30e623}">
          <xlrd:rvb i="18079"/>
        </ext>
      </extLst>
    </bk>
    <bk>
      <extLst>
        <ext uri="{3e2802c4-a4d2-4d8b-9148-e3be6c30e623}">
          <xlrd:rvb i="18080"/>
        </ext>
      </extLst>
    </bk>
    <bk>
      <extLst>
        <ext uri="{3e2802c4-a4d2-4d8b-9148-e3be6c30e623}">
          <xlrd:rvb i="18081"/>
        </ext>
      </extLst>
    </bk>
    <bk>
      <extLst>
        <ext uri="{3e2802c4-a4d2-4d8b-9148-e3be6c30e623}">
          <xlrd:rvb i="18082"/>
        </ext>
      </extLst>
    </bk>
    <bk>
      <extLst>
        <ext uri="{3e2802c4-a4d2-4d8b-9148-e3be6c30e623}">
          <xlrd:rvb i="18083"/>
        </ext>
      </extLst>
    </bk>
    <bk>
      <extLst>
        <ext uri="{3e2802c4-a4d2-4d8b-9148-e3be6c30e623}">
          <xlrd:rvb i="18084"/>
        </ext>
      </extLst>
    </bk>
    <bk>
      <extLst>
        <ext uri="{3e2802c4-a4d2-4d8b-9148-e3be6c30e623}">
          <xlrd:rvb i="18085"/>
        </ext>
      </extLst>
    </bk>
    <bk>
      <extLst>
        <ext uri="{3e2802c4-a4d2-4d8b-9148-e3be6c30e623}">
          <xlrd:rvb i="18086"/>
        </ext>
      </extLst>
    </bk>
    <bk>
      <extLst>
        <ext uri="{3e2802c4-a4d2-4d8b-9148-e3be6c30e623}">
          <xlrd:rvb i="18087"/>
        </ext>
      </extLst>
    </bk>
    <bk>
      <extLst>
        <ext uri="{3e2802c4-a4d2-4d8b-9148-e3be6c30e623}">
          <xlrd:rvb i="18088"/>
        </ext>
      </extLst>
    </bk>
    <bk>
      <extLst>
        <ext uri="{3e2802c4-a4d2-4d8b-9148-e3be6c30e623}">
          <xlrd:rvb i="18089"/>
        </ext>
      </extLst>
    </bk>
    <bk>
      <extLst>
        <ext uri="{3e2802c4-a4d2-4d8b-9148-e3be6c30e623}">
          <xlrd:rvb i="18090"/>
        </ext>
      </extLst>
    </bk>
    <bk>
      <extLst>
        <ext uri="{3e2802c4-a4d2-4d8b-9148-e3be6c30e623}">
          <xlrd:rvb i="18091"/>
        </ext>
      </extLst>
    </bk>
    <bk>
      <extLst>
        <ext uri="{3e2802c4-a4d2-4d8b-9148-e3be6c30e623}">
          <xlrd:rvb i="18092"/>
        </ext>
      </extLst>
    </bk>
    <bk>
      <extLst>
        <ext uri="{3e2802c4-a4d2-4d8b-9148-e3be6c30e623}">
          <xlrd:rvb i="18093"/>
        </ext>
      </extLst>
    </bk>
    <bk>
      <extLst>
        <ext uri="{3e2802c4-a4d2-4d8b-9148-e3be6c30e623}">
          <xlrd:rvb i="18094"/>
        </ext>
      </extLst>
    </bk>
    <bk>
      <extLst>
        <ext uri="{3e2802c4-a4d2-4d8b-9148-e3be6c30e623}">
          <xlrd:rvb i="18095"/>
        </ext>
      </extLst>
    </bk>
    <bk>
      <extLst>
        <ext uri="{3e2802c4-a4d2-4d8b-9148-e3be6c30e623}">
          <xlrd:rvb i="18096"/>
        </ext>
      </extLst>
    </bk>
    <bk>
      <extLst>
        <ext uri="{3e2802c4-a4d2-4d8b-9148-e3be6c30e623}">
          <xlrd:rvb i="18097"/>
        </ext>
      </extLst>
    </bk>
    <bk>
      <extLst>
        <ext uri="{3e2802c4-a4d2-4d8b-9148-e3be6c30e623}">
          <xlrd:rvb i="18098"/>
        </ext>
      </extLst>
    </bk>
    <bk>
      <extLst>
        <ext uri="{3e2802c4-a4d2-4d8b-9148-e3be6c30e623}">
          <xlrd:rvb i="18099"/>
        </ext>
      </extLst>
    </bk>
    <bk>
      <extLst>
        <ext uri="{3e2802c4-a4d2-4d8b-9148-e3be6c30e623}">
          <xlrd:rvb i="18100"/>
        </ext>
      </extLst>
    </bk>
    <bk>
      <extLst>
        <ext uri="{3e2802c4-a4d2-4d8b-9148-e3be6c30e623}">
          <xlrd:rvb i="18101"/>
        </ext>
      </extLst>
    </bk>
    <bk>
      <extLst>
        <ext uri="{3e2802c4-a4d2-4d8b-9148-e3be6c30e623}">
          <xlrd:rvb i="18102"/>
        </ext>
      </extLst>
    </bk>
    <bk>
      <extLst>
        <ext uri="{3e2802c4-a4d2-4d8b-9148-e3be6c30e623}">
          <xlrd:rvb i="18103"/>
        </ext>
      </extLst>
    </bk>
    <bk>
      <extLst>
        <ext uri="{3e2802c4-a4d2-4d8b-9148-e3be6c30e623}">
          <xlrd:rvb i="18104"/>
        </ext>
      </extLst>
    </bk>
    <bk>
      <extLst>
        <ext uri="{3e2802c4-a4d2-4d8b-9148-e3be6c30e623}">
          <xlrd:rvb i="18105"/>
        </ext>
      </extLst>
    </bk>
    <bk>
      <extLst>
        <ext uri="{3e2802c4-a4d2-4d8b-9148-e3be6c30e623}">
          <xlrd:rvb i="18106"/>
        </ext>
      </extLst>
    </bk>
    <bk>
      <extLst>
        <ext uri="{3e2802c4-a4d2-4d8b-9148-e3be6c30e623}">
          <xlrd:rvb i="18107"/>
        </ext>
      </extLst>
    </bk>
    <bk>
      <extLst>
        <ext uri="{3e2802c4-a4d2-4d8b-9148-e3be6c30e623}">
          <xlrd:rvb i="18108"/>
        </ext>
      </extLst>
    </bk>
    <bk>
      <extLst>
        <ext uri="{3e2802c4-a4d2-4d8b-9148-e3be6c30e623}">
          <xlrd:rvb i="18109"/>
        </ext>
      </extLst>
    </bk>
    <bk>
      <extLst>
        <ext uri="{3e2802c4-a4d2-4d8b-9148-e3be6c30e623}">
          <xlrd:rvb i="18110"/>
        </ext>
      </extLst>
    </bk>
    <bk>
      <extLst>
        <ext uri="{3e2802c4-a4d2-4d8b-9148-e3be6c30e623}">
          <xlrd:rvb i="18111"/>
        </ext>
      </extLst>
    </bk>
    <bk>
      <extLst>
        <ext uri="{3e2802c4-a4d2-4d8b-9148-e3be6c30e623}">
          <xlrd:rvb i="18112"/>
        </ext>
      </extLst>
    </bk>
    <bk>
      <extLst>
        <ext uri="{3e2802c4-a4d2-4d8b-9148-e3be6c30e623}">
          <xlrd:rvb i="18113"/>
        </ext>
      </extLst>
    </bk>
    <bk>
      <extLst>
        <ext uri="{3e2802c4-a4d2-4d8b-9148-e3be6c30e623}">
          <xlrd:rvb i="18114"/>
        </ext>
      </extLst>
    </bk>
    <bk>
      <extLst>
        <ext uri="{3e2802c4-a4d2-4d8b-9148-e3be6c30e623}">
          <xlrd:rvb i="18115"/>
        </ext>
      </extLst>
    </bk>
    <bk>
      <extLst>
        <ext uri="{3e2802c4-a4d2-4d8b-9148-e3be6c30e623}">
          <xlrd:rvb i="18116"/>
        </ext>
      </extLst>
    </bk>
    <bk>
      <extLst>
        <ext uri="{3e2802c4-a4d2-4d8b-9148-e3be6c30e623}">
          <xlrd:rvb i="18117"/>
        </ext>
      </extLst>
    </bk>
    <bk>
      <extLst>
        <ext uri="{3e2802c4-a4d2-4d8b-9148-e3be6c30e623}">
          <xlrd:rvb i="18118"/>
        </ext>
      </extLst>
    </bk>
    <bk>
      <extLst>
        <ext uri="{3e2802c4-a4d2-4d8b-9148-e3be6c30e623}">
          <xlrd:rvb i="18119"/>
        </ext>
      </extLst>
    </bk>
    <bk>
      <extLst>
        <ext uri="{3e2802c4-a4d2-4d8b-9148-e3be6c30e623}">
          <xlrd:rvb i="18120"/>
        </ext>
      </extLst>
    </bk>
    <bk>
      <extLst>
        <ext uri="{3e2802c4-a4d2-4d8b-9148-e3be6c30e623}">
          <xlrd:rvb i="18121"/>
        </ext>
      </extLst>
    </bk>
    <bk>
      <extLst>
        <ext uri="{3e2802c4-a4d2-4d8b-9148-e3be6c30e623}">
          <xlrd:rvb i="18122"/>
        </ext>
      </extLst>
    </bk>
    <bk>
      <extLst>
        <ext uri="{3e2802c4-a4d2-4d8b-9148-e3be6c30e623}">
          <xlrd:rvb i="18123"/>
        </ext>
      </extLst>
    </bk>
    <bk>
      <extLst>
        <ext uri="{3e2802c4-a4d2-4d8b-9148-e3be6c30e623}">
          <xlrd:rvb i="18124"/>
        </ext>
      </extLst>
    </bk>
    <bk>
      <extLst>
        <ext uri="{3e2802c4-a4d2-4d8b-9148-e3be6c30e623}">
          <xlrd:rvb i="18125"/>
        </ext>
      </extLst>
    </bk>
    <bk>
      <extLst>
        <ext uri="{3e2802c4-a4d2-4d8b-9148-e3be6c30e623}">
          <xlrd:rvb i="18126"/>
        </ext>
      </extLst>
    </bk>
    <bk>
      <extLst>
        <ext uri="{3e2802c4-a4d2-4d8b-9148-e3be6c30e623}">
          <xlrd:rvb i="18127"/>
        </ext>
      </extLst>
    </bk>
    <bk>
      <extLst>
        <ext uri="{3e2802c4-a4d2-4d8b-9148-e3be6c30e623}">
          <xlrd:rvb i="18128"/>
        </ext>
      </extLst>
    </bk>
    <bk>
      <extLst>
        <ext uri="{3e2802c4-a4d2-4d8b-9148-e3be6c30e623}">
          <xlrd:rvb i="18129"/>
        </ext>
      </extLst>
    </bk>
    <bk>
      <extLst>
        <ext uri="{3e2802c4-a4d2-4d8b-9148-e3be6c30e623}">
          <xlrd:rvb i="18130"/>
        </ext>
      </extLst>
    </bk>
    <bk>
      <extLst>
        <ext uri="{3e2802c4-a4d2-4d8b-9148-e3be6c30e623}">
          <xlrd:rvb i="18131"/>
        </ext>
      </extLst>
    </bk>
    <bk>
      <extLst>
        <ext uri="{3e2802c4-a4d2-4d8b-9148-e3be6c30e623}">
          <xlrd:rvb i="18132"/>
        </ext>
      </extLst>
    </bk>
    <bk>
      <extLst>
        <ext uri="{3e2802c4-a4d2-4d8b-9148-e3be6c30e623}">
          <xlrd:rvb i="18133"/>
        </ext>
      </extLst>
    </bk>
    <bk>
      <extLst>
        <ext uri="{3e2802c4-a4d2-4d8b-9148-e3be6c30e623}">
          <xlrd:rvb i="18134"/>
        </ext>
      </extLst>
    </bk>
    <bk>
      <extLst>
        <ext uri="{3e2802c4-a4d2-4d8b-9148-e3be6c30e623}">
          <xlrd:rvb i="18135"/>
        </ext>
      </extLst>
    </bk>
    <bk>
      <extLst>
        <ext uri="{3e2802c4-a4d2-4d8b-9148-e3be6c30e623}">
          <xlrd:rvb i="18136"/>
        </ext>
      </extLst>
    </bk>
    <bk>
      <extLst>
        <ext uri="{3e2802c4-a4d2-4d8b-9148-e3be6c30e623}">
          <xlrd:rvb i="18137"/>
        </ext>
      </extLst>
    </bk>
    <bk>
      <extLst>
        <ext uri="{3e2802c4-a4d2-4d8b-9148-e3be6c30e623}">
          <xlrd:rvb i="18138"/>
        </ext>
      </extLst>
    </bk>
    <bk>
      <extLst>
        <ext uri="{3e2802c4-a4d2-4d8b-9148-e3be6c30e623}">
          <xlrd:rvb i="18139"/>
        </ext>
      </extLst>
    </bk>
    <bk>
      <extLst>
        <ext uri="{3e2802c4-a4d2-4d8b-9148-e3be6c30e623}">
          <xlrd:rvb i="18140"/>
        </ext>
      </extLst>
    </bk>
    <bk>
      <extLst>
        <ext uri="{3e2802c4-a4d2-4d8b-9148-e3be6c30e623}">
          <xlrd:rvb i="18141"/>
        </ext>
      </extLst>
    </bk>
    <bk>
      <extLst>
        <ext uri="{3e2802c4-a4d2-4d8b-9148-e3be6c30e623}">
          <xlrd:rvb i="18142"/>
        </ext>
      </extLst>
    </bk>
    <bk>
      <extLst>
        <ext uri="{3e2802c4-a4d2-4d8b-9148-e3be6c30e623}">
          <xlrd:rvb i="18143"/>
        </ext>
      </extLst>
    </bk>
    <bk>
      <extLst>
        <ext uri="{3e2802c4-a4d2-4d8b-9148-e3be6c30e623}">
          <xlrd:rvb i="18144"/>
        </ext>
      </extLst>
    </bk>
    <bk>
      <extLst>
        <ext uri="{3e2802c4-a4d2-4d8b-9148-e3be6c30e623}">
          <xlrd:rvb i="18145"/>
        </ext>
      </extLst>
    </bk>
    <bk>
      <extLst>
        <ext uri="{3e2802c4-a4d2-4d8b-9148-e3be6c30e623}">
          <xlrd:rvb i="18146"/>
        </ext>
      </extLst>
    </bk>
    <bk>
      <extLst>
        <ext uri="{3e2802c4-a4d2-4d8b-9148-e3be6c30e623}">
          <xlrd:rvb i="18147"/>
        </ext>
      </extLst>
    </bk>
    <bk>
      <extLst>
        <ext uri="{3e2802c4-a4d2-4d8b-9148-e3be6c30e623}">
          <xlrd:rvb i="18148"/>
        </ext>
      </extLst>
    </bk>
    <bk>
      <extLst>
        <ext uri="{3e2802c4-a4d2-4d8b-9148-e3be6c30e623}">
          <xlrd:rvb i="18149"/>
        </ext>
      </extLst>
    </bk>
    <bk>
      <extLst>
        <ext uri="{3e2802c4-a4d2-4d8b-9148-e3be6c30e623}">
          <xlrd:rvb i="18150"/>
        </ext>
      </extLst>
    </bk>
    <bk>
      <extLst>
        <ext uri="{3e2802c4-a4d2-4d8b-9148-e3be6c30e623}">
          <xlrd:rvb i="18151"/>
        </ext>
      </extLst>
    </bk>
    <bk>
      <extLst>
        <ext uri="{3e2802c4-a4d2-4d8b-9148-e3be6c30e623}">
          <xlrd:rvb i="18152"/>
        </ext>
      </extLst>
    </bk>
    <bk>
      <extLst>
        <ext uri="{3e2802c4-a4d2-4d8b-9148-e3be6c30e623}">
          <xlrd:rvb i="18153"/>
        </ext>
      </extLst>
    </bk>
    <bk>
      <extLst>
        <ext uri="{3e2802c4-a4d2-4d8b-9148-e3be6c30e623}">
          <xlrd:rvb i="18154"/>
        </ext>
      </extLst>
    </bk>
    <bk>
      <extLst>
        <ext uri="{3e2802c4-a4d2-4d8b-9148-e3be6c30e623}">
          <xlrd:rvb i="18155"/>
        </ext>
      </extLst>
    </bk>
    <bk>
      <extLst>
        <ext uri="{3e2802c4-a4d2-4d8b-9148-e3be6c30e623}">
          <xlrd:rvb i="18156"/>
        </ext>
      </extLst>
    </bk>
    <bk>
      <extLst>
        <ext uri="{3e2802c4-a4d2-4d8b-9148-e3be6c30e623}">
          <xlrd:rvb i="18157"/>
        </ext>
      </extLst>
    </bk>
    <bk>
      <extLst>
        <ext uri="{3e2802c4-a4d2-4d8b-9148-e3be6c30e623}">
          <xlrd:rvb i="18158"/>
        </ext>
      </extLst>
    </bk>
    <bk>
      <extLst>
        <ext uri="{3e2802c4-a4d2-4d8b-9148-e3be6c30e623}">
          <xlrd:rvb i="18159"/>
        </ext>
      </extLst>
    </bk>
    <bk>
      <extLst>
        <ext uri="{3e2802c4-a4d2-4d8b-9148-e3be6c30e623}">
          <xlrd:rvb i="18160"/>
        </ext>
      </extLst>
    </bk>
    <bk>
      <extLst>
        <ext uri="{3e2802c4-a4d2-4d8b-9148-e3be6c30e623}">
          <xlrd:rvb i="18161"/>
        </ext>
      </extLst>
    </bk>
    <bk>
      <extLst>
        <ext uri="{3e2802c4-a4d2-4d8b-9148-e3be6c30e623}">
          <xlrd:rvb i="18162"/>
        </ext>
      </extLst>
    </bk>
    <bk>
      <extLst>
        <ext uri="{3e2802c4-a4d2-4d8b-9148-e3be6c30e623}">
          <xlrd:rvb i="18163"/>
        </ext>
      </extLst>
    </bk>
    <bk>
      <extLst>
        <ext uri="{3e2802c4-a4d2-4d8b-9148-e3be6c30e623}">
          <xlrd:rvb i="18164"/>
        </ext>
      </extLst>
    </bk>
    <bk>
      <extLst>
        <ext uri="{3e2802c4-a4d2-4d8b-9148-e3be6c30e623}">
          <xlrd:rvb i="18165"/>
        </ext>
      </extLst>
    </bk>
    <bk>
      <extLst>
        <ext uri="{3e2802c4-a4d2-4d8b-9148-e3be6c30e623}">
          <xlrd:rvb i="18166"/>
        </ext>
      </extLst>
    </bk>
    <bk>
      <extLst>
        <ext uri="{3e2802c4-a4d2-4d8b-9148-e3be6c30e623}">
          <xlrd:rvb i="18167"/>
        </ext>
      </extLst>
    </bk>
    <bk>
      <extLst>
        <ext uri="{3e2802c4-a4d2-4d8b-9148-e3be6c30e623}">
          <xlrd:rvb i="18168"/>
        </ext>
      </extLst>
    </bk>
    <bk>
      <extLst>
        <ext uri="{3e2802c4-a4d2-4d8b-9148-e3be6c30e623}">
          <xlrd:rvb i="18169"/>
        </ext>
      </extLst>
    </bk>
    <bk>
      <extLst>
        <ext uri="{3e2802c4-a4d2-4d8b-9148-e3be6c30e623}">
          <xlrd:rvb i="18170"/>
        </ext>
      </extLst>
    </bk>
    <bk>
      <extLst>
        <ext uri="{3e2802c4-a4d2-4d8b-9148-e3be6c30e623}">
          <xlrd:rvb i="18171"/>
        </ext>
      </extLst>
    </bk>
    <bk>
      <extLst>
        <ext uri="{3e2802c4-a4d2-4d8b-9148-e3be6c30e623}">
          <xlrd:rvb i="18172"/>
        </ext>
      </extLst>
    </bk>
    <bk>
      <extLst>
        <ext uri="{3e2802c4-a4d2-4d8b-9148-e3be6c30e623}">
          <xlrd:rvb i="18173"/>
        </ext>
      </extLst>
    </bk>
    <bk>
      <extLst>
        <ext uri="{3e2802c4-a4d2-4d8b-9148-e3be6c30e623}">
          <xlrd:rvb i="18174"/>
        </ext>
      </extLst>
    </bk>
    <bk>
      <extLst>
        <ext uri="{3e2802c4-a4d2-4d8b-9148-e3be6c30e623}">
          <xlrd:rvb i="18175"/>
        </ext>
      </extLst>
    </bk>
    <bk>
      <extLst>
        <ext uri="{3e2802c4-a4d2-4d8b-9148-e3be6c30e623}">
          <xlrd:rvb i="18176"/>
        </ext>
      </extLst>
    </bk>
    <bk>
      <extLst>
        <ext uri="{3e2802c4-a4d2-4d8b-9148-e3be6c30e623}">
          <xlrd:rvb i="18177"/>
        </ext>
      </extLst>
    </bk>
    <bk>
      <extLst>
        <ext uri="{3e2802c4-a4d2-4d8b-9148-e3be6c30e623}">
          <xlrd:rvb i="18178"/>
        </ext>
      </extLst>
    </bk>
    <bk>
      <extLst>
        <ext uri="{3e2802c4-a4d2-4d8b-9148-e3be6c30e623}">
          <xlrd:rvb i="18179"/>
        </ext>
      </extLst>
    </bk>
    <bk>
      <extLst>
        <ext uri="{3e2802c4-a4d2-4d8b-9148-e3be6c30e623}">
          <xlrd:rvb i="18180"/>
        </ext>
      </extLst>
    </bk>
    <bk>
      <extLst>
        <ext uri="{3e2802c4-a4d2-4d8b-9148-e3be6c30e623}">
          <xlrd:rvb i="18181"/>
        </ext>
      </extLst>
    </bk>
    <bk>
      <extLst>
        <ext uri="{3e2802c4-a4d2-4d8b-9148-e3be6c30e623}">
          <xlrd:rvb i="18182"/>
        </ext>
      </extLst>
    </bk>
    <bk>
      <extLst>
        <ext uri="{3e2802c4-a4d2-4d8b-9148-e3be6c30e623}">
          <xlrd:rvb i="18183"/>
        </ext>
      </extLst>
    </bk>
    <bk>
      <extLst>
        <ext uri="{3e2802c4-a4d2-4d8b-9148-e3be6c30e623}">
          <xlrd:rvb i="18184"/>
        </ext>
      </extLst>
    </bk>
    <bk>
      <extLst>
        <ext uri="{3e2802c4-a4d2-4d8b-9148-e3be6c30e623}">
          <xlrd:rvb i="18185"/>
        </ext>
      </extLst>
    </bk>
    <bk>
      <extLst>
        <ext uri="{3e2802c4-a4d2-4d8b-9148-e3be6c30e623}">
          <xlrd:rvb i="18186"/>
        </ext>
      </extLst>
    </bk>
    <bk>
      <extLst>
        <ext uri="{3e2802c4-a4d2-4d8b-9148-e3be6c30e623}">
          <xlrd:rvb i="18187"/>
        </ext>
      </extLst>
    </bk>
    <bk>
      <extLst>
        <ext uri="{3e2802c4-a4d2-4d8b-9148-e3be6c30e623}">
          <xlrd:rvb i="18188"/>
        </ext>
      </extLst>
    </bk>
    <bk>
      <extLst>
        <ext uri="{3e2802c4-a4d2-4d8b-9148-e3be6c30e623}">
          <xlrd:rvb i="18189"/>
        </ext>
      </extLst>
    </bk>
    <bk>
      <extLst>
        <ext uri="{3e2802c4-a4d2-4d8b-9148-e3be6c30e623}">
          <xlrd:rvb i="18190"/>
        </ext>
      </extLst>
    </bk>
    <bk>
      <extLst>
        <ext uri="{3e2802c4-a4d2-4d8b-9148-e3be6c30e623}">
          <xlrd:rvb i="18191"/>
        </ext>
      </extLst>
    </bk>
    <bk>
      <extLst>
        <ext uri="{3e2802c4-a4d2-4d8b-9148-e3be6c30e623}">
          <xlrd:rvb i="18192"/>
        </ext>
      </extLst>
    </bk>
    <bk>
      <extLst>
        <ext uri="{3e2802c4-a4d2-4d8b-9148-e3be6c30e623}">
          <xlrd:rvb i="18193"/>
        </ext>
      </extLst>
    </bk>
  </futureMetadata>
  <cellMetadata count="1">
    <bk>
      <rc t="1" v="0"/>
    </bk>
  </cellMetadata>
  <valueMetadata count="18168">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bk>
      <rc t="2" v="257"/>
    </bk>
    <bk>
      <rc t="2" v="258"/>
    </bk>
    <bk>
      <rc t="2" v="259"/>
    </bk>
    <bk>
      <rc t="2" v="260"/>
    </bk>
    <bk>
      <rc t="2" v="261"/>
    </bk>
    <bk>
      <rc t="2" v="262"/>
    </bk>
    <bk>
      <rc t="2" v="263"/>
    </bk>
    <bk>
      <rc t="2" v="264"/>
    </bk>
    <bk>
      <rc t="2" v="265"/>
    </bk>
    <bk>
      <rc t="2" v="266"/>
    </bk>
    <bk>
      <rc t="2" v="267"/>
    </bk>
    <bk>
      <rc t="2" v="268"/>
    </bk>
    <bk>
      <rc t="2" v="269"/>
    </bk>
    <bk>
      <rc t="2" v="270"/>
    </bk>
    <bk>
      <rc t="2" v="271"/>
    </bk>
    <bk>
      <rc t="2" v="272"/>
    </bk>
    <bk>
      <rc t="2" v="273"/>
    </bk>
    <bk>
      <rc t="2" v="274"/>
    </bk>
    <bk>
      <rc t="2" v="275"/>
    </bk>
    <bk>
      <rc t="2" v="276"/>
    </bk>
    <bk>
      <rc t="2" v="277"/>
    </bk>
    <bk>
      <rc t="2" v="278"/>
    </bk>
    <bk>
      <rc t="2" v="279"/>
    </bk>
    <bk>
      <rc t="2" v="280"/>
    </bk>
    <bk>
      <rc t="2" v="281"/>
    </bk>
    <bk>
      <rc t="2" v="282"/>
    </bk>
    <bk>
      <rc t="2" v="283"/>
    </bk>
    <bk>
      <rc t="2" v="284"/>
    </bk>
    <bk>
      <rc t="2" v="285"/>
    </bk>
    <bk>
      <rc t="2" v="286"/>
    </bk>
    <bk>
      <rc t="2" v="287"/>
    </bk>
    <bk>
      <rc t="2" v="288"/>
    </bk>
    <bk>
      <rc t="2" v="289"/>
    </bk>
    <bk>
      <rc t="2" v="290"/>
    </bk>
    <bk>
      <rc t="2" v="291"/>
    </bk>
    <bk>
      <rc t="2" v="292"/>
    </bk>
    <bk>
      <rc t="2" v="293"/>
    </bk>
    <bk>
      <rc t="2" v="294"/>
    </bk>
    <bk>
      <rc t="2" v="295"/>
    </bk>
    <bk>
      <rc t="2" v="296"/>
    </bk>
    <bk>
      <rc t="2" v="297"/>
    </bk>
    <bk>
      <rc t="2" v="298"/>
    </bk>
    <bk>
      <rc t="2" v="299"/>
    </bk>
    <bk>
      <rc t="2" v="300"/>
    </bk>
    <bk>
      <rc t="2" v="301"/>
    </bk>
    <bk>
      <rc t="2" v="302"/>
    </bk>
    <bk>
      <rc t="2" v="303"/>
    </bk>
    <bk>
      <rc t="2" v="304"/>
    </bk>
    <bk>
      <rc t="2" v="305"/>
    </bk>
    <bk>
      <rc t="2" v="306"/>
    </bk>
    <bk>
      <rc t="2" v="307"/>
    </bk>
    <bk>
      <rc t="2" v="308"/>
    </bk>
    <bk>
      <rc t="2" v="309"/>
    </bk>
    <bk>
      <rc t="2" v="310"/>
    </bk>
    <bk>
      <rc t="2" v="311"/>
    </bk>
    <bk>
      <rc t="2" v="312"/>
    </bk>
    <bk>
      <rc t="2" v="313"/>
    </bk>
    <bk>
      <rc t="2" v="314"/>
    </bk>
    <bk>
      <rc t="2" v="315"/>
    </bk>
    <bk>
      <rc t="2" v="316"/>
    </bk>
    <bk>
      <rc t="2" v="317"/>
    </bk>
    <bk>
      <rc t="2" v="318"/>
    </bk>
    <bk>
      <rc t="2" v="319"/>
    </bk>
    <bk>
      <rc t="2" v="320"/>
    </bk>
    <bk>
      <rc t="2" v="321"/>
    </bk>
    <bk>
      <rc t="2" v="322"/>
    </bk>
    <bk>
      <rc t="2" v="323"/>
    </bk>
    <bk>
      <rc t="2" v="324"/>
    </bk>
    <bk>
      <rc t="2" v="325"/>
    </bk>
    <bk>
      <rc t="2" v="326"/>
    </bk>
    <bk>
      <rc t="2" v="327"/>
    </bk>
    <bk>
      <rc t="2" v="328"/>
    </bk>
    <bk>
      <rc t="2" v="329"/>
    </bk>
    <bk>
      <rc t="2" v="330"/>
    </bk>
    <bk>
      <rc t="2" v="331"/>
    </bk>
    <bk>
      <rc t="2" v="332"/>
    </bk>
    <bk>
      <rc t="2" v="333"/>
    </bk>
    <bk>
      <rc t="2" v="334"/>
    </bk>
    <bk>
      <rc t="2" v="335"/>
    </bk>
    <bk>
      <rc t="2" v="336"/>
    </bk>
    <bk>
      <rc t="2" v="337"/>
    </bk>
    <bk>
      <rc t="2" v="338"/>
    </bk>
    <bk>
      <rc t="2" v="339"/>
    </bk>
    <bk>
      <rc t="2" v="340"/>
    </bk>
    <bk>
      <rc t="2" v="341"/>
    </bk>
    <bk>
      <rc t="2" v="342"/>
    </bk>
    <bk>
      <rc t="2" v="343"/>
    </bk>
    <bk>
      <rc t="2" v="344"/>
    </bk>
    <bk>
      <rc t="2" v="345"/>
    </bk>
    <bk>
      <rc t="2" v="346"/>
    </bk>
    <bk>
      <rc t="2" v="347"/>
    </bk>
    <bk>
      <rc t="2" v="348"/>
    </bk>
    <bk>
      <rc t="2" v="349"/>
    </bk>
    <bk>
      <rc t="2" v="350"/>
    </bk>
    <bk>
      <rc t="2" v="351"/>
    </bk>
    <bk>
      <rc t="2" v="352"/>
    </bk>
    <bk>
      <rc t="2" v="353"/>
    </bk>
    <bk>
      <rc t="2" v="354"/>
    </bk>
    <bk>
      <rc t="2" v="355"/>
    </bk>
    <bk>
      <rc t="2" v="356"/>
    </bk>
    <bk>
      <rc t="2" v="357"/>
    </bk>
    <bk>
      <rc t="2" v="358"/>
    </bk>
    <bk>
      <rc t="2" v="359"/>
    </bk>
    <bk>
      <rc t="2" v="360"/>
    </bk>
    <bk>
      <rc t="2" v="361"/>
    </bk>
    <bk>
      <rc t="2" v="362"/>
    </bk>
    <bk>
      <rc t="2" v="363"/>
    </bk>
    <bk>
      <rc t="2" v="364"/>
    </bk>
    <bk>
      <rc t="2" v="365"/>
    </bk>
    <bk>
      <rc t="2" v="366"/>
    </bk>
    <bk>
      <rc t="2" v="367"/>
    </bk>
    <bk>
      <rc t="2" v="368"/>
    </bk>
    <bk>
      <rc t="2" v="369"/>
    </bk>
    <bk>
      <rc t="2" v="370"/>
    </bk>
    <bk>
      <rc t="2" v="371"/>
    </bk>
    <bk>
      <rc t="2" v="372"/>
    </bk>
    <bk>
      <rc t="2" v="373"/>
    </bk>
    <bk>
      <rc t="2" v="374"/>
    </bk>
    <bk>
      <rc t="2" v="375"/>
    </bk>
    <bk>
      <rc t="2" v="376"/>
    </bk>
    <bk>
      <rc t="2" v="377"/>
    </bk>
    <bk>
      <rc t="2" v="378"/>
    </bk>
    <bk>
      <rc t="2" v="379"/>
    </bk>
    <bk>
      <rc t="2" v="380"/>
    </bk>
    <bk>
      <rc t="2" v="381"/>
    </bk>
    <bk>
      <rc t="2" v="382"/>
    </bk>
    <bk>
      <rc t="2" v="383"/>
    </bk>
    <bk>
      <rc t="2" v="384"/>
    </bk>
    <bk>
      <rc t="2" v="385"/>
    </bk>
    <bk>
      <rc t="2" v="386"/>
    </bk>
    <bk>
      <rc t="2" v="387"/>
    </bk>
    <bk>
      <rc t="2" v="388"/>
    </bk>
    <bk>
      <rc t="2" v="389"/>
    </bk>
    <bk>
      <rc t="2" v="390"/>
    </bk>
    <bk>
      <rc t="2" v="391"/>
    </bk>
    <bk>
      <rc t="2" v="392"/>
    </bk>
    <bk>
      <rc t="2" v="393"/>
    </bk>
    <bk>
      <rc t="2" v="394"/>
    </bk>
    <bk>
      <rc t="2" v="395"/>
    </bk>
    <bk>
      <rc t="2" v="396"/>
    </bk>
    <bk>
      <rc t="2" v="397"/>
    </bk>
    <bk>
      <rc t="2" v="398"/>
    </bk>
    <bk>
      <rc t="2" v="399"/>
    </bk>
    <bk>
      <rc t="2" v="400"/>
    </bk>
    <bk>
      <rc t="2" v="401"/>
    </bk>
    <bk>
      <rc t="2" v="402"/>
    </bk>
    <bk>
      <rc t="2" v="403"/>
    </bk>
    <bk>
      <rc t="2" v="404"/>
    </bk>
    <bk>
      <rc t="2" v="405"/>
    </bk>
    <bk>
      <rc t="2" v="406"/>
    </bk>
    <bk>
      <rc t="2" v="407"/>
    </bk>
    <bk>
      <rc t="2" v="408"/>
    </bk>
    <bk>
      <rc t="2" v="409"/>
    </bk>
    <bk>
      <rc t="2" v="410"/>
    </bk>
    <bk>
      <rc t="2" v="411"/>
    </bk>
    <bk>
      <rc t="2" v="412"/>
    </bk>
    <bk>
      <rc t="2" v="413"/>
    </bk>
    <bk>
      <rc t="2" v="414"/>
    </bk>
    <bk>
      <rc t="2" v="415"/>
    </bk>
    <bk>
      <rc t="2" v="416"/>
    </bk>
    <bk>
      <rc t="2" v="417"/>
    </bk>
    <bk>
      <rc t="2" v="418"/>
    </bk>
    <bk>
      <rc t="2" v="419"/>
    </bk>
    <bk>
      <rc t="2" v="420"/>
    </bk>
    <bk>
      <rc t="2" v="421"/>
    </bk>
    <bk>
      <rc t="2" v="422"/>
    </bk>
    <bk>
      <rc t="2" v="423"/>
    </bk>
    <bk>
      <rc t="2" v="424"/>
    </bk>
    <bk>
      <rc t="2" v="425"/>
    </bk>
    <bk>
      <rc t="2" v="426"/>
    </bk>
    <bk>
      <rc t="2" v="427"/>
    </bk>
    <bk>
      <rc t="2" v="428"/>
    </bk>
    <bk>
      <rc t="2" v="429"/>
    </bk>
    <bk>
      <rc t="2" v="430"/>
    </bk>
    <bk>
      <rc t="2" v="431"/>
    </bk>
    <bk>
      <rc t="2" v="432"/>
    </bk>
    <bk>
      <rc t="2" v="433"/>
    </bk>
    <bk>
      <rc t="2" v="434"/>
    </bk>
    <bk>
      <rc t="2" v="435"/>
    </bk>
    <bk>
      <rc t="2" v="436"/>
    </bk>
    <bk>
      <rc t="2" v="437"/>
    </bk>
    <bk>
      <rc t="2" v="438"/>
    </bk>
    <bk>
      <rc t="2" v="439"/>
    </bk>
    <bk>
      <rc t="2" v="440"/>
    </bk>
    <bk>
      <rc t="2" v="441"/>
    </bk>
    <bk>
      <rc t="2" v="442"/>
    </bk>
    <bk>
      <rc t="2" v="443"/>
    </bk>
    <bk>
      <rc t="2" v="444"/>
    </bk>
    <bk>
      <rc t="2" v="445"/>
    </bk>
    <bk>
      <rc t="2" v="446"/>
    </bk>
    <bk>
      <rc t="2" v="447"/>
    </bk>
    <bk>
      <rc t="2" v="448"/>
    </bk>
    <bk>
      <rc t="2" v="449"/>
    </bk>
    <bk>
      <rc t="2" v="450"/>
    </bk>
    <bk>
      <rc t="2" v="451"/>
    </bk>
    <bk>
      <rc t="2" v="452"/>
    </bk>
    <bk>
      <rc t="2" v="453"/>
    </bk>
    <bk>
      <rc t="2" v="454"/>
    </bk>
    <bk>
      <rc t="2" v="455"/>
    </bk>
    <bk>
      <rc t="2" v="456"/>
    </bk>
    <bk>
      <rc t="2" v="457"/>
    </bk>
    <bk>
      <rc t="2" v="458"/>
    </bk>
    <bk>
      <rc t="2" v="459"/>
    </bk>
    <bk>
      <rc t="2" v="460"/>
    </bk>
    <bk>
      <rc t="2" v="461"/>
    </bk>
    <bk>
      <rc t="2" v="462"/>
    </bk>
    <bk>
      <rc t="2" v="463"/>
    </bk>
    <bk>
      <rc t="2" v="464"/>
    </bk>
    <bk>
      <rc t="2" v="465"/>
    </bk>
    <bk>
      <rc t="2" v="466"/>
    </bk>
    <bk>
      <rc t="2" v="467"/>
    </bk>
    <bk>
      <rc t="2" v="468"/>
    </bk>
    <bk>
      <rc t="2" v="469"/>
    </bk>
    <bk>
      <rc t="2" v="470"/>
    </bk>
    <bk>
      <rc t="2" v="471"/>
    </bk>
    <bk>
      <rc t="2" v="472"/>
    </bk>
    <bk>
      <rc t="2" v="473"/>
    </bk>
    <bk>
      <rc t="2" v="474"/>
    </bk>
    <bk>
      <rc t="2" v="475"/>
    </bk>
    <bk>
      <rc t="2" v="476"/>
    </bk>
    <bk>
      <rc t="2" v="477"/>
    </bk>
    <bk>
      <rc t="2" v="478"/>
    </bk>
    <bk>
      <rc t="2" v="479"/>
    </bk>
    <bk>
      <rc t="2" v="480"/>
    </bk>
    <bk>
      <rc t="2" v="481"/>
    </bk>
    <bk>
      <rc t="2" v="482"/>
    </bk>
    <bk>
      <rc t="2" v="483"/>
    </bk>
    <bk>
      <rc t="2" v="484"/>
    </bk>
    <bk>
      <rc t="2" v="485"/>
    </bk>
    <bk>
      <rc t="2" v="486"/>
    </bk>
    <bk>
      <rc t="2" v="487"/>
    </bk>
    <bk>
      <rc t="2" v="488"/>
    </bk>
    <bk>
      <rc t="2" v="489"/>
    </bk>
    <bk>
      <rc t="2" v="490"/>
    </bk>
    <bk>
      <rc t="2" v="491"/>
    </bk>
    <bk>
      <rc t="2" v="492"/>
    </bk>
    <bk>
      <rc t="2" v="493"/>
    </bk>
    <bk>
      <rc t="2" v="494"/>
    </bk>
    <bk>
      <rc t="2" v="495"/>
    </bk>
    <bk>
      <rc t="2" v="496"/>
    </bk>
    <bk>
      <rc t="2" v="497"/>
    </bk>
    <bk>
      <rc t="2" v="498"/>
    </bk>
    <bk>
      <rc t="2" v="499"/>
    </bk>
    <bk>
      <rc t="2" v="500"/>
    </bk>
    <bk>
      <rc t="2" v="501"/>
    </bk>
    <bk>
      <rc t="2" v="502"/>
    </bk>
    <bk>
      <rc t="2" v="503"/>
    </bk>
    <bk>
      <rc t="2" v="504"/>
    </bk>
    <bk>
      <rc t="2" v="505"/>
    </bk>
    <bk>
      <rc t="2" v="506"/>
    </bk>
    <bk>
      <rc t="2" v="507"/>
    </bk>
    <bk>
      <rc t="2" v="508"/>
    </bk>
    <bk>
      <rc t="2" v="509"/>
    </bk>
    <bk>
      <rc t="2" v="510"/>
    </bk>
    <bk>
      <rc t="2" v="511"/>
    </bk>
    <bk>
      <rc t="2" v="512"/>
    </bk>
    <bk>
      <rc t="2" v="513"/>
    </bk>
    <bk>
      <rc t="2" v="514"/>
    </bk>
    <bk>
      <rc t="2" v="515"/>
    </bk>
    <bk>
      <rc t="2" v="516"/>
    </bk>
    <bk>
      <rc t="2" v="517"/>
    </bk>
    <bk>
      <rc t="2" v="518"/>
    </bk>
    <bk>
      <rc t="2" v="519"/>
    </bk>
    <bk>
      <rc t="2" v="520"/>
    </bk>
    <bk>
      <rc t="2" v="521"/>
    </bk>
    <bk>
      <rc t="2" v="522"/>
    </bk>
    <bk>
      <rc t="2" v="523"/>
    </bk>
    <bk>
      <rc t="2" v="524"/>
    </bk>
    <bk>
      <rc t="2" v="525"/>
    </bk>
    <bk>
      <rc t="2" v="526"/>
    </bk>
    <bk>
      <rc t="2" v="527"/>
    </bk>
    <bk>
      <rc t="2" v="528"/>
    </bk>
    <bk>
      <rc t="2" v="529"/>
    </bk>
    <bk>
      <rc t="2" v="530"/>
    </bk>
    <bk>
      <rc t="2" v="531"/>
    </bk>
    <bk>
      <rc t="2" v="532"/>
    </bk>
    <bk>
      <rc t="2" v="533"/>
    </bk>
    <bk>
      <rc t="2" v="534"/>
    </bk>
    <bk>
      <rc t="2" v="535"/>
    </bk>
    <bk>
      <rc t="2" v="536"/>
    </bk>
    <bk>
      <rc t="2" v="537"/>
    </bk>
    <bk>
      <rc t="2" v="538"/>
    </bk>
    <bk>
      <rc t="2" v="539"/>
    </bk>
    <bk>
      <rc t="2" v="540"/>
    </bk>
    <bk>
      <rc t="2" v="541"/>
    </bk>
    <bk>
      <rc t="2" v="542"/>
    </bk>
    <bk>
      <rc t="2" v="543"/>
    </bk>
    <bk>
      <rc t="2" v="544"/>
    </bk>
    <bk>
      <rc t="2" v="545"/>
    </bk>
    <bk>
      <rc t="2" v="546"/>
    </bk>
    <bk>
      <rc t="2" v="547"/>
    </bk>
    <bk>
      <rc t="2" v="548"/>
    </bk>
    <bk>
      <rc t="2" v="549"/>
    </bk>
    <bk>
      <rc t="2" v="550"/>
    </bk>
    <bk>
      <rc t="2" v="551"/>
    </bk>
    <bk>
      <rc t="2" v="552"/>
    </bk>
    <bk>
      <rc t="2" v="553"/>
    </bk>
    <bk>
      <rc t="2" v="554"/>
    </bk>
    <bk>
      <rc t="2" v="555"/>
    </bk>
    <bk>
      <rc t="2" v="556"/>
    </bk>
    <bk>
      <rc t="2" v="557"/>
    </bk>
    <bk>
      <rc t="2" v="558"/>
    </bk>
    <bk>
      <rc t="2" v="559"/>
    </bk>
    <bk>
      <rc t="2" v="560"/>
    </bk>
    <bk>
      <rc t="2" v="561"/>
    </bk>
    <bk>
      <rc t="2" v="562"/>
    </bk>
    <bk>
      <rc t="2" v="563"/>
    </bk>
    <bk>
      <rc t="2" v="564"/>
    </bk>
    <bk>
      <rc t="2" v="565"/>
    </bk>
    <bk>
      <rc t="2" v="566"/>
    </bk>
    <bk>
      <rc t="2" v="567"/>
    </bk>
    <bk>
      <rc t="2" v="568"/>
    </bk>
    <bk>
      <rc t="2" v="569"/>
    </bk>
    <bk>
      <rc t="2" v="570"/>
    </bk>
    <bk>
      <rc t="2" v="571"/>
    </bk>
    <bk>
      <rc t="2" v="572"/>
    </bk>
    <bk>
      <rc t="2" v="573"/>
    </bk>
    <bk>
      <rc t="2" v="574"/>
    </bk>
    <bk>
      <rc t="2" v="575"/>
    </bk>
    <bk>
      <rc t="2" v="576"/>
    </bk>
    <bk>
      <rc t="2" v="577"/>
    </bk>
    <bk>
      <rc t="2" v="578"/>
    </bk>
    <bk>
      <rc t="2" v="579"/>
    </bk>
    <bk>
      <rc t="2" v="580"/>
    </bk>
    <bk>
      <rc t="2" v="581"/>
    </bk>
    <bk>
      <rc t="2" v="582"/>
    </bk>
    <bk>
      <rc t="2" v="583"/>
    </bk>
    <bk>
      <rc t="2" v="584"/>
    </bk>
    <bk>
      <rc t="2" v="585"/>
    </bk>
    <bk>
      <rc t="2" v="586"/>
    </bk>
    <bk>
      <rc t="2" v="587"/>
    </bk>
    <bk>
      <rc t="2" v="588"/>
    </bk>
    <bk>
      <rc t="2" v="589"/>
    </bk>
    <bk>
      <rc t="2" v="590"/>
    </bk>
    <bk>
      <rc t="2" v="591"/>
    </bk>
    <bk>
      <rc t="2" v="592"/>
    </bk>
    <bk>
      <rc t="2" v="593"/>
    </bk>
    <bk>
      <rc t="2" v="594"/>
    </bk>
    <bk>
      <rc t="2" v="595"/>
    </bk>
    <bk>
      <rc t="2" v="596"/>
    </bk>
    <bk>
      <rc t="2" v="597"/>
    </bk>
    <bk>
      <rc t="2" v="598"/>
    </bk>
    <bk>
      <rc t="2" v="599"/>
    </bk>
    <bk>
      <rc t="2" v="600"/>
    </bk>
    <bk>
      <rc t="2" v="601"/>
    </bk>
    <bk>
      <rc t="2" v="602"/>
    </bk>
    <bk>
      <rc t="2" v="603"/>
    </bk>
    <bk>
      <rc t="2" v="604"/>
    </bk>
    <bk>
      <rc t="2" v="605"/>
    </bk>
    <bk>
      <rc t="2" v="606"/>
    </bk>
    <bk>
      <rc t="2" v="607"/>
    </bk>
    <bk>
      <rc t="2" v="608"/>
    </bk>
    <bk>
      <rc t="2" v="609"/>
    </bk>
    <bk>
      <rc t="2" v="610"/>
    </bk>
    <bk>
      <rc t="2" v="611"/>
    </bk>
    <bk>
      <rc t="2" v="612"/>
    </bk>
    <bk>
      <rc t="2" v="613"/>
    </bk>
    <bk>
      <rc t="2" v="614"/>
    </bk>
    <bk>
      <rc t="2" v="615"/>
    </bk>
    <bk>
      <rc t="2" v="616"/>
    </bk>
    <bk>
      <rc t="2" v="617"/>
    </bk>
    <bk>
      <rc t="2" v="618"/>
    </bk>
    <bk>
      <rc t="2" v="619"/>
    </bk>
    <bk>
      <rc t="2" v="620"/>
    </bk>
    <bk>
      <rc t="2" v="621"/>
    </bk>
    <bk>
      <rc t="2" v="622"/>
    </bk>
    <bk>
      <rc t="2" v="623"/>
    </bk>
    <bk>
      <rc t="2" v="624"/>
    </bk>
    <bk>
      <rc t="2" v="625"/>
    </bk>
    <bk>
      <rc t="2" v="626"/>
    </bk>
    <bk>
      <rc t="2" v="627"/>
    </bk>
    <bk>
      <rc t="2" v="628"/>
    </bk>
    <bk>
      <rc t="2" v="629"/>
    </bk>
    <bk>
      <rc t="2" v="630"/>
    </bk>
    <bk>
      <rc t="2" v="631"/>
    </bk>
    <bk>
      <rc t="2" v="632"/>
    </bk>
    <bk>
      <rc t="2" v="633"/>
    </bk>
    <bk>
      <rc t="2" v="634"/>
    </bk>
    <bk>
      <rc t="2" v="635"/>
    </bk>
    <bk>
      <rc t="2" v="636"/>
    </bk>
    <bk>
      <rc t="2" v="637"/>
    </bk>
    <bk>
      <rc t="2" v="638"/>
    </bk>
    <bk>
      <rc t="2" v="639"/>
    </bk>
    <bk>
      <rc t="2" v="640"/>
    </bk>
    <bk>
      <rc t="2" v="641"/>
    </bk>
    <bk>
      <rc t="2" v="642"/>
    </bk>
    <bk>
      <rc t="2" v="643"/>
    </bk>
    <bk>
      <rc t="2" v="644"/>
    </bk>
    <bk>
      <rc t="2" v="645"/>
    </bk>
    <bk>
      <rc t="2" v="646"/>
    </bk>
    <bk>
      <rc t="2" v="647"/>
    </bk>
    <bk>
      <rc t="2" v="648"/>
    </bk>
    <bk>
      <rc t="2" v="649"/>
    </bk>
    <bk>
      <rc t="2" v="650"/>
    </bk>
    <bk>
      <rc t="2" v="651"/>
    </bk>
    <bk>
      <rc t="2" v="652"/>
    </bk>
    <bk>
      <rc t="2" v="653"/>
    </bk>
    <bk>
      <rc t="2" v="654"/>
    </bk>
    <bk>
      <rc t="2" v="655"/>
    </bk>
    <bk>
      <rc t="2" v="656"/>
    </bk>
    <bk>
      <rc t="2" v="657"/>
    </bk>
    <bk>
      <rc t="2" v="658"/>
    </bk>
    <bk>
      <rc t="2" v="659"/>
    </bk>
    <bk>
      <rc t="2" v="660"/>
    </bk>
    <bk>
      <rc t="2" v="661"/>
    </bk>
    <bk>
      <rc t="2" v="662"/>
    </bk>
    <bk>
      <rc t="2" v="663"/>
    </bk>
    <bk>
      <rc t="2" v="664"/>
    </bk>
    <bk>
      <rc t="2" v="665"/>
    </bk>
    <bk>
      <rc t="2" v="666"/>
    </bk>
    <bk>
      <rc t="2" v="667"/>
    </bk>
    <bk>
      <rc t="2" v="668"/>
    </bk>
    <bk>
      <rc t="2" v="669"/>
    </bk>
    <bk>
      <rc t="2" v="670"/>
    </bk>
    <bk>
      <rc t="2" v="671"/>
    </bk>
    <bk>
      <rc t="2" v="672"/>
    </bk>
    <bk>
      <rc t="2" v="673"/>
    </bk>
    <bk>
      <rc t="2" v="674"/>
    </bk>
    <bk>
      <rc t="2" v="675"/>
    </bk>
    <bk>
      <rc t="2" v="676"/>
    </bk>
    <bk>
      <rc t="2" v="677"/>
    </bk>
    <bk>
      <rc t="2" v="678"/>
    </bk>
    <bk>
      <rc t="2" v="679"/>
    </bk>
    <bk>
      <rc t="2" v="680"/>
    </bk>
    <bk>
      <rc t="2" v="681"/>
    </bk>
    <bk>
      <rc t="2" v="682"/>
    </bk>
    <bk>
      <rc t="2" v="683"/>
    </bk>
    <bk>
      <rc t="2" v="684"/>
    </bk>
    <bk>
      <rc t="2" v="685"/>
    </bk>
    <bk>
      <rc t="2" v="686"/>
    </bk>
    <bk>
      <rc t="2" v="687"/>
    </bk>
    <bk>
      <rc t="2" v="688"/>
    </bk>
    <bk>
      <rc t="2" v="689"/>
    </bk>
    <bk>
      <rc t="2" v="690"/>
    </bk>
    <bk>
      <rc t="2" v="691"/>
    </bk>
    <bk>
      <rc t="2" v="692"/>
    </bk>
    <bk>
      <rc t="2" v="693"/>
    </bk>
    <bk>
      <rc t="2" v="694"/>
    </bk>
    <bk>
      <rc t="2" v="695"/>
    </bk>
    <bk>
      <rc t="2" v="696"/>
    </bk>
    <bk>
      <rc t="2" v="697"/>
    </bk>
    <bk>
      <rc t="2" v="698"/>
    </bk>
    <bk>
      <rc t="2" v="699"/>
    </bk>
    <bk>
      <rc t="2" v="700"/>
    </bk>
    <bk>
      <rc t="2" v="701"/>
    </bk>
    <bk>
      <rc t="2" v="702"/>
    </bk>
    <bk>
      <rc t="2" v="703"/>
    </bk>
    <bk>
      <rc t="2" v="704"/>
    </bk>
    <bk>
      <rc t="2" v="705"/>
    </bk>
    <bk>
      <rc t="2" v="706"/>
    </bk>
    <bk>
      <rc t="2" v="707"/>
    </bk>
    <bk>
      <rc t="2" v="708"/>
    </bk>
    <bk>
      <rc t="2" v="709"/>
    </bk>
    <bk>
      <rc t="2" v="710"/>
    </bk>
    <bk>
      <rc t="2" v="711"/>
    </bk>
    <bk>
      <rc t="2" v="712"/>
    </bk>
    <bk>
      <rc t="2" v="713"/>
    </bk>
    <bk>
      <rc t="2" v="714"/>
    </bk>
    <bk>
      <rc t="2" v="715"/>
    </bk>
    <bk>
      <rc t="2" v="716"/>
    </bk>
    <bk>
      <rc t="2" v="717"/>
    </bk>
    <bk>
      <rc t="2" v="718"/>
    </bk>
    <bk>
      <rc t="2" v="719"/>
    </bk>
    <bk>
      <rc t="2" v="720"/>
    </bk>
    <bk>
      <rc t="2" v="721"/>
    </bk>
    <bk>
      <rc t="2" v="722"/>
    </bk>
    <bk>
      <rc t="2" v="723"/>
    </bk>
    <bk>
      <rc t="2" v="724"/>
    </bk>
    <bk>
      <rc t="2" v="725"/>
    </bk>
    <bk>
      <rc t="2" v="726"/>
    </bk>
    <bk>
      <rc t="2" v="727"/>
    </bk>
    <bk>
      <rc t="2" v="728"/>
    </bk>
    <bk>
      <rc t="2" v="729"/>
    </bk>
    <bk>
      <rc t="2" v="730"/>
    </bk>
    <bk>
      <rc t="2" v="731"/>
    </bk>
    <bk>
      <rc t="2" v="732"/>
    </bk>
    <bk>
      <rc t="2" v="733"/>
    </bk>
    <bk>
      <rc t="2" v="734"/>
    </bk>
    <bk>
      <rc t="2" v="735"/>
    </bk>
    <bk>
      <rc t="2" v="736"/>
    </bk>
    <bk>
      <rc t="2" v="737"/>
    </bk>
    <bk>
      <rc t="2" v="738"/>
    </bk>
    <bk>
      <rc t="2" v="739"/>
    </bk>
    <bk>
      <rc t="2" v="740"/>
    </bk>
    <bk>
      <rc t="2" v="741"/>
    </bk>
    <bk>
      <rc t="2" v="742"/>
    </bk>
    <bk>
      <rc t="2" v="743"/>
    </bk>
    <bk>
      <rc t="2" v="744"/>
    </bk>
    <bk>
      <rc t="2" v="745"/>
    </bk>
    <bk>
      <rc t="2" v="746"/>
    </bk>
    <bk>
      <rc t="2" v="747"/>
    </bk>
    <bk>
      <rc t="2" v="748"/>
    </bk>
    <bk>
      <rc t="2" v="749"/>
    </bk>
    <bk>
      <rc t="2" v="750"/>
    </bk>
    <bk>
      <rc t="2" v="751"/>
    </bk>
    <bk>
      <rc t="2" v="752"/>
    </bk>
    <bk>
      <rc t="2" v="753"/>
    </bk>
    <bk>
      <rc t="2" v="754"/>
    </bk>
    <bk>
      <rc t="2" v="755"/>
    </bk>
    <bk>
      <rc t="2" v="756"/>
    </bk>
    <bk>
      <rc t="2" v="757"/>
    </bk>
    <bk>
      <rc t="2" v="758"/>
    </bk>
    <bk>
      <rc t="2" v="759"/>
    </bk>
    <bk>
      <rc t="2" v="760"/>
    </bk>
    <bk>
      <rc t="2" v="761"/>
    </bk>
    <bk>
      <rc t="2" v="762"/>
    </bk>
    <bk>
      <rc t="2" v="763"/>
    </bk>
    <bk>
      <rc t="2" v="764"/>
    </bk>
    <bk>
      <rc t="2" v="765"/>
    </bk>
    <bk>
      <rc t="2" v="766"/>
    </bk>
    <bk>
      <rc t="2" v="767"/>
    </bk>
    <bk>
      <rc t="2" v="768"/>
    </bk>
    <bk>
      <rc t="2" v="769"/>
    </bk>
    <bk>
      <rc t="2" v="770"/>
    </bk>
    <bk>
      <rc t="2" v="771"/>
    </bk>
    <bk>
      <rc t="2" v="772"/>
    </bk>
    <bk>
      <rc t="2" v="773"/>
    </bk>
    <bk>
      <rc t="2" v="774"/>
    </bk>
    <bk>
      <rc t="2" v="775"/>
    </bk>
    <bk>
      <rc t="2" v="776"/>
    </bk>
    <bk>
      <rc t="2" v="777"/>
    </bk>
    <bk>
      <rc t="2" v="778"/>
    </bk>
    <bk>
      <rc t="2" v="779"/>
    </bk>
    <bk>
      <rc t="2" v="780"/>
    </bk>
    <bk>
      <rc t="2" v="781"/>
    </bk>
    <bk>
      <rc t="2" v="782"/>
    </bk>
    <bk>
      <rc t="2" v="783"/>
    </bk>
    <bk>
      <rc t="2" v="784"/>
    </bk>
    <bk>
      <rc t="2" v="785"/>
    </bk>
    <bk>
      <rc t="2" v="786"/>
    </bk>
    <bk>
      <rc t="2" v="787"/>
    </bk>
    <bk>
      <rc t="2" v="788"/>
    </bk>
    <bk>
      <rc t="2" v="789"/>
    </bk>
    <bk>
      <rc t="2" v="790"/>
    </bk>
    <bk>
      <rc t="2" v="791"/>
    </bk>
    <bk>
      <rc t="2" v="792"/>
    </bk>
    <bk>
      <rc t="2" v="793"/>
    </bk>
    <bk>
      <rc t="2" v="794"/>
    </bk>
    <bk>
      <rc t="2" v="795"/>
    </bk>
    <bk>
      <rc t="2" v="796"/>
    </bk>
    <bk>
      <rc t="2" v="797"/>
    </bk>
    <bk>
      <rc t="2" v="798"/>
    </bk>
    <bk>
      <rc t="2" v="799"/>
    </bk>
    <bk>
      <rc t="2" v="800"/>
    </bk>
    <bk>
      <rc t="2" v="801"/>
    </bk>
    <bk>
      <rc t="2" v="802"/>
    </bk>
    <bk>
      <rc t="2" v="803"/>
    </bk>
    <bk>
      <rc t="2" v="804"/>
    </bk>
    <bk>
      <rc t="2" v="805"/>
    </bk>
    <bk>
      <rc t="2" v="806"/>
    </bk>
    <bk>
      <rc t="2" v="807"/>
    </bk>
    <bk>
      <rc t="2" v="808"/>
    </bk>
    <bk>
      <rc t="2" v="809"/>
    </bk>
    <bk>
      <rc t="2" v="810"/>
    </bk>
    <bk>
      <rc t="2" v="811"/>
    </bk>
    <bk>
      <rc t="2" v="812"/>
    </bk>
    <bk>
      <rc t="2" v="813"/>
    </bk>
    <bk>
      <rc t="2" v="814"/>
    </bk>
    <bk>
      <rc t="2" v="815"/>
    </bk>
    <bk>
      <rc t="2" v="816"/>
    </bk>
    <bk>
      <rc t="2" v="817"/>
    </bk>
    <bk>
      <rc t="2" v="818"/>
    </bk>
    <bk>
      <rc t="2" v="819"/>
    </bk>
    <bk>
      <rc t="2" v="820"/>
    </bk>
    <bk>
      <rc t="2" v="821"/>
    </bk>
    <bk>
      <rc t="2" v="822"/>
    </bk>
    <bk>
      <rc t="2" v="823"/>
    </bk>
    <bk>
      <rc t="2" v="824"/>
    </bk>
    <bk>
      <rc t="2" v="825"/>
    </bk>
    <bk>
      <rc t="2" v="826"/>
    </bk>
    <bk>
      <rc t="2" v="827"/>
    </bk>
    <bk>
      <rc t="2" v="828"/>
    </bk>
    <bk>
      <rc t="2" v="829"/>
    </bk>
    <bk>
      <rc t="2" v="830"/>
    </bk>
    <bk>
      <rc t="2" v="831"/>
    </bk>
    <bk>
      <rc t="2" v="832"/>
    </bk>
    <bk>
      <rc t="2" v="833"/>
    </bk>
    <bk>
      <rc t="2" v="834"/>
    </bk>
    <bk>
      <rc t="2" v="835"/>
    </bk>
    <bk>
      <rc t="2" v="836"/>
    </bk>
    <bk>
      <rc t="2" v="837"/>
    </bk>
    <bk>
      <rc t="2" v="838"/>
    </bk>
    <bk>
      <rc t="2" v="839"/>
    </bk>
    <bk>
      <rc t="2" v="840"/>
    </bk>
    <bk>
      <rc t="2" v="841"/>
    </bk>
    <bk>
      <rc t="2" v="842"/>
    </bk>
    <bk>
      <rc t="2" v="843"/>
    </bk>
    <bk>
      <rc t="2" v="844"/>
    </bk>
    <bk>
      <rc t="2" v="845"/>
    </bk>
    <bk>
      <rc t="2" v="846"/>
    </bk>
    <bk>
      <rc t="2" v="847"/>
    </bk>
    <bk>
      <rc t="2" v="848"/>
    </bk>
    <bk>
      <rc t="2" v="849"/>
    </bk>
    <bk>
      <rc t="2" v="850"/>
    </bk>
    <bk>
      <rc t="2" v="851"/>
    </bk>
    <bk>
      <rc t="2" v="852"/>
    </bk>
    <bk>
      <rc t="2" v="853"/>
    </bk>
    <bk>
      <rc t="2" v="854"/>
    </bk>
    <bk>
      <rc t="2" v="855"/>
    </bk>
    <bk>
      <rc t="2" v="856"/>
    </bk>
    <bk>
      <rc t="2" v="857"/>
    </bk>
    <bk>
      <rc t="2" v="858"/>
    </bk>
    <bk>
      <rc t="2" v="859"/>
    </bk>
    <bk>
      <rc t="2" v="860"/>
    </bk>
    <bk>
      <rc t="2" v="861"/>
    </bk>
    <bk>
      <rc t="2" v="862"/>
    </bk>
    <bk>
      <rc t="2" v="863"/>
    </bk>
    <bk>
      <rc t="2" v="864"/>
    </bk>
    <bk>
      <rc t="2" v="865"/>
    </bk>
    <bk>
      <rc t="2" v="866"/>
    </bk>
    <bk>
      <rc t="2" v="867"/>
    </bk>
    <bk>
      <rc t="2" v="868"/>
    </bk>
    <bk>
      <rc t="2" v="869"/>
    </bk>
    <bk>
      <rc t="2" v="870"/>
    </bk>
    <bk>
      <rc t="2" v="871"/>
    </bk>
    <bk>
      <rc t="2" v="872"/>
    </bk>
    <bk>
      <rc t="2" v="873"/>
    </bk>
    <bk>
      <rc t="2" v="874"/>
    </bk>
    <bk>
      <rc t="2" v="875"/>
    </bk>
    <bk>
      <rc t="2" v="876"/>
    </bk>
    <bk>
      <rc t="2" v="877"/>
    </bk>
    <bk>
      <rc t="2" v="878"/>
    </bk>
    <bk>
      <rc t="2" v="879"/>
    </bk>
    <bk>
      <rc t="2" v="880"/>
    </bk>
    <bk>
      <rc t="2" v="881"/>
    </bk>
    <bk>
      <rc t="2" v="882"/>
    </bk>
    <bk>
      <rc t="2" v="883"/>
    </bk>
    <bk>
      <rc t="2" v="884"/>
    </bk>
    <bk>
      <rc t="2" v="885"/>
    </bk>
    <bk>
      <rc t="2" v="886"/>
    </bk>
    <bk>
      <rc t="2" v="887"/>
    </bk>
    <bk>
      <rc t="2" v="888"/>
    </bk>
    <bk>
      <rc t="2" v="889"/>
    </bk>
    <bk>
      <rc t="2" v="890"/>
    </bk>
    <bk>
      <rc t="2" v="891"/>
    </bk>
    <bk>
      <rc t="2" v="892"/>
    </bk>
    <bk>
      <rc t="2" v="893"/>
    </bk>
    <bk>
      <rc t="2" v="894"/>
    </bk>
    <bk>
      <rc t="2" v="895"/>
    </bk>
    <bk>
      <rc t="2" v="896"/>
    </bk>
    <bk>
      <rc t="2" v="897"/>
    </bk>
    <bk>
      <rc t="2" v="898"/>
    </bk>
    <bk>
      <rc t="2" v="899"/>
    </bk>
    <bk>
      <rc t="2" v="900"/>
    </bk>
    <bk>
      <rc t="2" v="901"/>
    </bk>
    <bk>
      <rc t="2" v="902"/>
    </bk>
    <bk>
      <rc t="2" v="903"/>
    </bk>
    <bk>
      <rc t="2" v="904"/>
    </bk>
    <bk>
      <rc t="2" v="905"/>
    </bk>
    <bk>
      <rc t="2" v="906"/>
    </bk>
    <bk>
      <rc t="2" v="907"/>
    </bk>
    <bk>
      <rc t="2" v="908"/>
    </bk>
    <bk>
      <rc t="2" v="909"/>
    </bk>
    <bk>
      <rc t="2" v="910"/>
    </bk>
    <bk>
      <rc t="2" v="911"/>
    </bk>
    <bk>
      <rc t="2" v="912"/>
    </bk>
    <bk>
      <rc t="2" v="913"/>
    </bk>
    <bk>
      <rc t="2" v="914"/>
    </bk>
    <bk>
      <rc t="2" v="915"/>
    </bk>
    <bk>
      <rc t="2" v="916"/>
    </bk>
    <bk>
      <rc t="2" v="917"/>
    </bk>
    <bk>
      <rc t="2" v="918"/>
    </bk>
    <bk>
      <rc t="2" v="919"/>
    </bk>
    <bk>
      <rc t="2" v="920"/>
    </bk>
    <bk>
      <rc t="2" v="921"/>
    </bk>
    <bk>
      <rc t="2" v="922"/>
    </bk>
    <bk>
      <rc t="2" v="923"/>
    </bk>
    <bk>
      <rc t="2" v="924"/>
    </bk>
    <bk>
      <rc t="2" v="925"/>
    </bk>
    <bk>
      <rc t="2" v="926"/>
    </bk>
    <bk>
      <rc t="2" v="927"/>
    </bk>
    <bk>
      <rc t="2" v="928"/>
    </bk>
    <bk>
      <rc t="2" v="929"/>
    </bk>
    <bk>
      <rc t="2" v="930"/>
    </bk>
    <bk>
      <rc t="2" v="931"/>
    </bk>
    <bk>
      <rc t="2" v="932"/>
    </bk>
    <bk>
      <rc t="2" v="933"/>
    </bk>
    <bk>
      <rc t="2" v="934"/>
    </bk>
    <bk>
      <rc t="2" v="935"/>
    </bk>
    <bk>
      <rc t="2" v="936"/>
    </bk>
    <bk>
      <rc t="2" v="937"/>
    </bk>
    <bk>
      <rc t="2" v="938"/>
    </bk>
    <bk>
      <rc t="2" v="939"/>
    </bk>
    <bk>
      <rc t="2" v="940"/>
    </bk>
    <bk>
      <rc t="2" v="941"/>
    </bk>
    <bk>
      <rc t="2" v="942"/>
    </bk>
    <bk>
      <rc t="2" v="943"/>
    </bk>
    <bk>
      <rc t="2" v="944"/>
    </bk>
    <bk>
      <rc t="2" v="945"/>
    </bk>
    <bk>
      <rc t="2" v="946"/>
    </bk>
    <bk>
      <rc t="2" v="947"/>
    </bk>
    <bk>
      <rc t="2" v="948"/>
    </bk>
    <bk>
      <rc t="2" v="949"/>
    </bk>
    <bk>
      <rc t="2" v="950"/>
    </bk>
    <bk>
      <rc t="2" v="951"/>
    </bk>
    <bk>
      <rc t="2" v="952"/>
    </bk>
    <bk>
      <rc t="2" v="953"/>
    </bk>
    <bk>
      <rc t="2" v="954"/>
    </bk>
    <bk>
      <rc t="2" v="955"/>
    </bk>
    <bk>
      <rc t="2" v="956"/>
    </bk>
    <bk>
      <rc t="2" v="957"/>
    </bk>
    <bk>
      <rc t="2" v="958"/>
    </bk>
    <bk>
      <rc t="2" v="959"/>
    </bk>
    <bk>
      <rc t="2" v="960"/>
    </bk>
    <bk>
      <rc t="2" v="961"/>
    </bk>
    <bk>
      <rc t="2" v="962"/>
    </bk>
    <bk>
      <rc t="2" v="963"/>
    </bk>
    <bk>
      <rc t="2" v="964"/>
    </bk>
    <bk>
      <rc t="2" v="965"/>
    </bk>
    <bk>
      <rc t="2" v="966"/>
    </bk>
    <bk>
      <rc t="2" v="967"/>
    </bk>
    <bk>
      <rc t="2" v="968"/>
    </bk>
    <bk>
      <rc t="2" v="969"/>
    </bk>
    <bk>
      <rc t="2" v="970"/>
    </bk>
    <bk>
      <rc t="2" v="971"/>
    </bk>
    <bk>
      <rc t="2" v="972"/>
    </bk>
    <bk>
      <rc t="2" v="973"/>
    </bk>
    <bk>
      <rc t="2" v="974"/>
    </bk>
    <bk>
      <rc t="2" v="975"/>
    </bk>
    <bk>
      <rc t="2" v="976"/>
    </bk>
    <bk>
      <rc t="2" v="977"/>
    </bk>
    <bk>
      <rc t="2" v="978"/>
    </bk>
    <bk>
      <rc t="2" v="979"/>
    </bk>
    <bk>
      <rc t="2" v="980"/>
    </bk>
    <bk>
      <rc t="2" v="981"/>
    </bk>
    <bk>
      <rc t="2" v="982"/>
    </bk>
    <bk>
      <rc t="2" v="983"/>
    </bk>
    <bk>
      <rc t="2" v="984"/>
    </bk>
    <bk>
      <rc t="2" v="985"/>
    </bk>
    <bk>
      <rc t="2" v="986"/>
    </bk>
    <bk>
      <rc t="2" v="987"/>
    </bk>
    <bk>
      <rc t="2" v="988"/>
    </bk>
    <bk>
      <rc t="2" v="989"/>
    </bk>
    <bk>
      <rc t="2" v="990"/>
    </bk>
    <bk>
      <rc t="2" v="991"/>
    </bk>
    <bk>
      <rc t="2" v="992"/>
    </bk>
    <bk>
      <rc t="2" v="993"/>
    </bk>
    <bk>
      <rc t="2" v="994"/>
    </bk>
    <bk>
      <rc t="2" v="995"/>
    </bk>
    <bk>
      <rc t="2" v="996"/>
    </bk>
    <bk>
      <rc t="2" v="997"/>
    </bk>
    <bk>
      <rc t="2" v="998"/>
    </bk>
    <bk>
      <rc t="2" v="999"/>
    </bk>
    <bk>
      <rc t="2" v="1000"/>
    </bk>
    <bk>
      <rc t="2" v="1001"/>
    </bk>
    <bk>
      <rc t="2" v="1002"/>
    </bk>
    <bk>
      <rc t="2" v="1003"/>
    </bk>
    <bk>
      <rc t="2" v="1004"/>
    </bk>
    <bk>
      <rc t="2" v="1005"/>
    </bk>
    <bk>
      <rc t="2" v="1006"/>
    </bk>
    <bk>
      <rc t="2" v="1007"/>
    </bk>
    <bk>
      <rc t="2" v="1008"/>
    </bk>
    <bk>
      <rc t="2" v="1009"/>
    </bk>
    <bk>
      <rc t="2" v="1010"/>
    </bk>
    <bk>
      <rc t="2" v="1011"/>
    </bk>
    <bk>
      <rc t="2" v="1012"/>
    </bk>
    <bk>
      <rc t="2" v="1013"/>
    </bk>
    <bk>
      <rc t="2" v="1014"/>
    </bk>
    <bk>
      <rc t="2" v="1015"/>
    </bk>
    <bk>
      <rc t="2" v="1016"/>
    </bk>
    <bk>
      <rc t="2" v="1017"/>
    </bk>
    <bk>
      <rc t="2" v="1018"/>
    </bk>
    <bk>
      <rc t="2" v="1019"/>
    </bk>
    <bk>
      <rc t="2" v="1020"/>
    </bk>
    <bk>
      <rc t="2" v="1021"/>
    </bk>
    <bk>
      <rc t="2" v="1022"/>
    </bk>
    <bk>
      <rc t="2" v="1023"/>
    </bk>
    <bk>
      <rc t="2" v="1024"/>
    </bk>
    <bk>
      <rc t="2" v="1025"/>
    </bk>
    <bk>
      <rc t="2" v="1026"/>
    </bk>
    <bk>
      <rc t="2" v="1027"/>
    </bk>
    <bk>
      <rc t="2" v="1028"/>
    </bk>
    <bk>
      <rc t="2" v="1029"/>
    </bk>
    <bk>
      <rc t="2" v="1030"/>
    </bk>
    <bk>
      <rc t="2" v="1031"/>
    </bk>
    <bk>
      <rc t="2" v="1032"/>
    </bk>
    <bk>
      <rc t="2" v="1033"/>
    </bk>
    <bk>
      <rc t="2" v="1034"/>
    </bk>
    <bk>
      <rc t="2" v="1035"/>
    </bk>
    <bk>
      <rc t="2" v="1036"/>
    </bk>
    <bk>
      <rc t="2" v="1037"/>
    </bk>
    <bk>
      <rc t="2" v="1038"/>
    </bk>
    <bk>
      <rc t="2" v="1039"/>
    </bk>
    <bk>
      <rc t="2" v="1040"/>
    </bk>
    <bk>
      <rc t="2" v="1041"/>
    </bk>
    <bk>
      <rc t="2" v="1042"/>
    </bk>
    <bk>
      <rc t="2" v="1043"/>
    </bk>
    <bk>
      <rc t="2" v="1044"/>
    </bk>
    <bk>
      <rc t="2" v="1045"/>
    </bk>
    <bk>
      <rc t="2" v="1046"/>
    </bk>
    <bk>
      <rc t="2" v="1047"/>
    </bk>
    <bk>
      <rc t="2" v="1048"/>
    </bk>
    <bk>
      <rc t="2" v="1049"/>
    </bk>
    <bk>
      <rc t="2" v="1050"/>
    </bk>
    <bk>
      <rc t="2" v="1051"/>
    </bk>
    <bk>
      <rc t="2" v="1052"/>
    </bk>
    <bk>
      <rc t="2" v="1053"/>
    </bk>
    <bk>
      <rc t="2" v="1054"/>
    </bk>
    <bk>
      <rc t="2" v="1055"/>
    </bk>
    <bk>
      <rc t="2" v="1056"/>
    </bk>
    <bk>
      <rc t="2" v="1057"/>
    </bk>
    <bk>
      <rc t="2" v="1058"/>
    </bk>
    <bk>
      <rc t="2" v="1059"/>
    </bk>
    <bk>
      <rc t="2" v="1060"/>
    </bk>
    <bk>
      <rc t="2" v="1061"/>
    </bk>
    <bk>
      <rc t="2" v="1062"/>
    </bk>
    <bk>
      <rc t="2" v="1063"/>
    </bk>
    <bk>
      <rc t="2" v="1064"/>
    </bk>
    <bk>
      <rc t="2" v="1065"/>
    </bk>
    <bk>
      <rc t="2" v="1066"/>
    </bk>
    <bk>
      <rc t="2" v="1067"/>
    </bk>
    <bk>
      <rc t="2" v="1068"/>
    </bk>
    <bk>
      <rc t="2" v="1069"/>
    </bk>
    <bk>
      <rc t="2" v="1070"/>
    </bk>
    <bk>
      <rc t="2" v="1071"/>
    </bk>
    <bk>
      <rc t="2" v="1072"/>
    </bk>
    <bk>
      <rc t="2" v="1073"/>
    </bk>
    <bk>
      <rc t="2" v="1074"/>
    </bk>
    <bk>
      <rc t="2" v="1075"/>
    </bk>
    <bk>
      <rc t="2" v="1076"/>
    </bk>
    <bk>
      <rc t="2" v="1077"/>
    </bk>
    <bk>
      <rc t="2" v="1078"/>
    </bk>
    <bk>
      <rc t="2" v="1079"/>
    </bk>
    <bk>
      <rc t="2" v="1080"/>
    </bk>
    <bk>
      <rc t="2" v="1081"/>
    </bk>
    <bk>
      <rc t="2" v="1082"/>
    </bk>
    <bk>
      <rc t="2" v="1083"/>
    </bk>
    <bk>
      <rc t="2" v="1084"/>
    </bk>
    <bk>
      <rc t="2" v="1085"/>
    </bk>
    <bk>
      <rc t="2" v="1086"/>
    </bk>
    <bk>
      <rc t="2" v="1087"/>
    </bk>
    <bk>
      <rc t="2" v="1088"/>
    </bk>
    <bk>
      <rc t="2" v="1089"/>
    </bk>
    <bk>
      <rc t="2" v="1090"/>
    </bk>
    <bk>
      <rc t="2" v="1091"/>
    </bk>
    <bk>
      <rc t="2" v="1092"/>
    </bk>
    <bk>
      <rc t="2" v="1093"/>
    </bk>
    <bk>
      <rc t="2" v="1094"/>
    </bk>
    <bk>
      <rc t="2" v="1095"/>
    </bk>
    <bk>
      <rc t="2" v="1096"/>
    </bk>
    <bk>
      <rc t="2" v="1097"/>
    </bk>
    <bk>
      <rc t="2" v="1098"/>
    </bk>
    <bk>
      <rc t="2" v="1099"/>
    </bk>
    <bk>
      <rc t="2" v="1100"/>
    </bk>
    <bk>
      <rc t="2" v="1101"/>
    </bk>
    <bk>
      <rc t="2" v="1102"/>
    </bk>
    <bk>
      <rc t="2" v="1103"/>
    </bk>
    <bk>
      <rc t="2" v="1104"/>
    </bk>
    <bk>
      <rc t="2" v="1105"/>
    </bk>
    <bk>
      <rc t="2" v="1106"/>
    </bk>
    <bk>
      <rc t="2" v="1107"/>
    </bk>
    <bk>
      <rc t="2" v="1108"/>
    </bk>
    <bk>
      <rc t="2" v="1109"/>
    </bk>
    <bk>
      <rc t="2" v="1110"/>
    </bk>
    <bk>
      <rc t="2" v="1111"/>
    </bk>
    <bk>
      <rc t="2" v="1112"/>
    </bk>
    <bk>
      <rc t="2" v="1113"/>
    </bk>
    <bk>
      <rc t="2" v="1114"/>
    </bk>
    <bk>
      <rc t="2" v="1115"/>
    </bk>
    <bk>
      <rc t="2" v="1116"/>
    </bk>
    <bk>
      <rc t="2" v="1117"/>
    </bk>
    <bk>
      <rc t="2" v="1118"/>
    </bk>
    <bk>
      <rc t="2" v="1119"/>
    </bk>
    <bk>
      <rc t="2" v="1120"/>
    </bk>
    <bk>
      <rc t="2" v="1121"/>
    </bk>
    <bk>
      <rc t="2" v="1122"/>
    </bk>
    <bk>
      <rc t="2" v="1123"/>
    </bk>
    <bk>
      <rc t="2" v="1124"/>
    </bk>
    <bk>
      <rc t="2" v="1125"/>
    </bk>
    <bk>
      <rc t="2" v="1126"/>
    </bk>
    <bk>
      <rc t="2" v="1127"/>
    </bk>
    <bk>
      <rc t="2" v="1128"/>
    </bk>
    <bk>
      <rc t="2" v="1129"/>
    </bk>
    <bk>
      <rc t="2" v="1130"/>
    </bk>
    <bk>
      <rc t="2" v="1131"/>
    </bk>
    <bk>
      <rc t="2" v="1132"/>
    </bk>
    <bk>
      <rc t="2" v="1133"/>
    </bk>
    <bk>
      <rc t="2" v="1134"/>
    </bk>
    <bk>
      <rc t="2" v="1135"/>
    </bk>
    <bk>
      <rc t="2" v="1136"/>
    </bk>
    <bk>
      <rc t="2" v="1137"/>
    </bk>
    <bk>
      <rc t="2" v="1138"/>
    </bk>
    <bk>
      <rc t="2" v="1139"/>
    </bk>
    <bk>
      <rc t="2" v="1140"/>
    </bk>
    <bk>
      <rc t="2" v="1141"/>
    </bk>
    <bk>
      <rc t="2" v="1142"/>
    </bk>
    <bk>
      <rc t="2" v="1143"/>
    </bk>
    <bk>
      <rc t="2" v="1144"/>
    </bk>
    <bk>
      <rc t="2" v="1145"/>
    </bk>
    <bk>
      <rc t="2" v="1146"/>
    </bk>
    <bk>
      <rc t="2" v="1147"/>
    </bk>
    <bk>
      <rc t="2" v="1148"/>
    </bk>
    <bk>
      <rc t="2" v="1149"/>
    </bk>
    <bk>
      <rc t="2" v="1150"/>
    </bk>
    <bk>
      <rc t="2" v="1151"/>
    </bk>
    <bk>
      <rc t="2" v="1152"/>
    </bk>
    <bk>
      <rc t="2" v="1153"/>
    </bk>
    <bk>
      <rc t="2" v="1154"/>
    </bk>
    <bk>
      <rc t="2" v="1155"/>
    </bk>
    <bk>
      <rc t="2" v="1156"/>
    </bk>
    <bk>
      <rc t="2" v="1157"/>
    </bk>
    <bk>
      <rc t="2" v="1158"/>
    </bk>
    <bk>
      <rc t="2" v="1159"/>
    </bk>
    <bk>
      <rc t="2" v="1160"/>
    </bk>
    <bk>
      <rc t="2" v="1161"/>
    </bk>
    <bk>
      <rc t="2" v="1162"/>
    </bk>
    <bk>
      <rc t="2" v="1163"/>
    </bk>
    <bk>
      <rc t="2" v="1164"/>
    </bk>
    <bk>
      <rc t="2" v="1165"/>
    </bk>
    <bk>
      <rc t="2" v="1166"/>
    </bk>
    <bk>
      <rc t="2" v="1167"/>
    </bk>
    <bk>
      <rc t="2" v="1168"/>
    </bk>
    <bk>
      <rc t="2" v="1169"/>
    </bk>
    <bk>
      <rc t="2" v="1170"/>
    </bk>
    <bk>
      <rc t="2" v="1171"/>
    </bk>
    <bk>
      <rc t="2" v="1172"/>
    </bk>
    <bk>
      <rc t="2" v="1173"/>
    </bk>
    <bk>
      <rc t="2" v="1174"/>
    </bk>
    <bk>
      <rc t="2" v="1175"/>
    </bk>
    <bk>
      <rc t="2" v="1176"/>
    </bk>
    <bk>
      <rc t="2" v="1177"/>
    </bk>
    <bk>
      <rc t="2" v="1178"/>
    </bk>
    <bk>
      <rc t="2" v="1179"/>
    </bk>
    <bk>
      <rc t="2" v="1180"/>
    </bk>
    <bk>
      <rc t="2" v="1181"/>
    </bk>
    <bk>
      <rc t="2" v="1182"/>
    </bk>
    <bk>
      <rc t="2" v="1183"/>
    </bk>
    <bk>
      <rc t="2" v="1184"/>
    </bk>
    <bk>
      <rc t="2" v="1185"/>
    </bk>
    <bk>
      <rc t="2" v="1186"/>
    </bk>
    <bk>
      <rc t="2" v="1187"/>
    </bk>
    <bk>
      <rc t="2" v="1188"/>
    </bk>
    <bk>
      <rc t="2" v="1189"/>
    </bk>
    <bk>
      <rc t="2" v="1190"/>
    </bk>
    <bk>
      <rc t="2" v="1191"/>
    </bk>
    <bk>
      <rc t="2" v="1192"/>
    </bk>
    <bk>
      <rc t="2" v="1193"/>
    </bk>
    <bk>
      <rc t="2" v="1194"/>
    </bk>
    <bk>
      <rc t="2" v="1195"/>
    </bk>
    <bk>
      <rc t="2" v="1196"/>
    </bk>
    <bk>
      <rc t="2" v="1197"/>
    </bk>
    <bk>
      <rc t="2" v="1198"/>
    </bk>
    <bk>
      <rc t="2" v="1199"/>
    </bk>
    <bk>
      <rc t="2" v="1200"/>
    </bk>
    <bk>
      <rc t="2" v="1201"/>
    </bk>
    <bk>
      <rc t="2" v="1202"/>
    </bk>
    <bk>
      <rc t="2" v="1203"/>
    </bk>
    <bk>
      <rc t="2" v="1204"/>
    </bk>
    <bk>
      <rc t="2" v="1205"/>
    </bk>
    <bk>
      <rc t="2" v="1206"/>
    </bk>
    <bk>
      <rc t="2" v="1207"/>
    </bk>
    <bk>
      <rc t="2" v="1208"/>
    </bk>
    <bk>
      <rc t="2" v="1209"/>
    </bk>
    <bk>
      <rc t="2" v="1210"/>
    </bk>
    <bk>
      <rc t="2" v="1211"/>
    </bk>
    <bk>
      <rc t="2" v="1212"/>
    </bk>
    <bk>
      <rc t="2" v="1213"/>
    </bk>
    <bk>
      <rc t="2" v="1214"/>
    </bk>
    <bk>
      <rc t="2" v="1215"/>
    </bk>
    <bk>
      <rc t="2" v="1216"/>
    </bk>
    <bk>
      <rc t="2" v="1217"/>
    </bk>
    <bk>
      <rc t="2" v="1218"/>
    </bk>
    <bk>
      <rc t="2" v="1219"/>
    </bk>
    <bk>
      <rc t="2" v="1220"/>
    </bk>
    <bk>
      <rc t="2" v="1221"/>
    </bk>
    <bk>
      <rc t="2" v="1222"/>
    </bk>
    <bk>
      <rc t="2" v="1223"/>
    </bk>
    <bk>
      <rc t="2" v="1224"/>
    </bk>
    <bk>
      <rc t="2" v="1225"/>
    </bk>
    <bk>
      <rc t="2" v="1226"/>
    </bk>
    <bk>
      <rc t="2" v="1227"/>
    </bk>
    <bk>
      <rc t="2" v="1228"/>
    </bk>
    <bk>
      <rc t="2" v="1229"/>
    </bk>
    <bk>
      <rc t="2" v="1230"/>
    </bk>
    <bk>
      <rc t="2" v="1231"/>
    </bk>
    <bk>
      <rc t="2" v="1232"/>
    </bk>
    <bk>
      <rc t="2" v="1233"/>
    </bk>
    <bk>
      <rc t="2" v="1234"/>
    </bk>
    <bk>
      <rc t="2" v="1235"/>
    </bk>
    <bk>
      <rc t="2" v="1236"/>
    </bk>
    <bk>
      <rc t="2" v="1237"/>
    </bk>
    <bk>
      <rc t="2" v="1238"/>
    </bk>
    <bk>
      <rc t="2" v="1239"/>
    </bk>
    <bk>
      <rc t="2" v="1240"/>
    </bk>
    <bk>
      <rc t="2" v="1241"/>
    </bk>
    <bk>
      <rc t="2" v="1242"/>
    </bk>
    <bk>
      <rc t="2" v="1243"/>
    </bk>
    <bk>
      <rc t="2" v="1244"/>
    </bk>
    <bk>
      <rc t="2" v="1245"/>
    </bk>
    <bk>
      <rc t="2" v="1246"/>
    </bk>
    <bk>
      <rc t="2" v="1247"/>
    </bk>
    <bk>
      <rc t="2" v="1248"/>
    </bk>
    <bk>
      <rc t="2" v="1249"/>
    </bk>
    <bk>
      <rc t="2" v="1250"/>
    </bk>
    <bk>
      <rc t="2" v="1251"/>
    </bk>
    <bk>
      <rc t="2" v="1252"/>
    </bk>
    <bk>
      <rc t="2" v="1253"/>
    </bk>
    <bk>
      <rc t="2" v="1254"/>
    </bk>
    <bk>
      <rc t="2" v="1255"/>
    </bk>
    <bk>
      <rc t="2" v="1256"/>
    </bk>
    <bk>
      <rc t="2" v="1257"/>
    </bk>
    <bk>
      <rc t="2" v="1258"/>
    </bk>
    <bk>
      <rc t="2" v="1259"/>
    </bk>
    <bk>
      <rc t="2" v="1260"/>
    </bk>
    <bk>
      <rc t="2" v="1261"/>
    </bk>
    <bk>
      <rc t="2" v="1262"/>
    </bk>
    <bk>
      <rc t="2" v="1263"/>
    </bk>
    <bk>
      <rc t="2" v="1264"/>
    </bk>
    <bk>
      <rc t="2" v="1265"/>
    </bk>
    <bk>
      <rc t="2" v="1266"/>
    </bk>
    <bk>
      <rc t="2" v="1267"/>
    </bk>
    <bk>
      <rc t="2" v="1268"/>
    </bk>
    <bk>
      <rc t="2" v="1269"/>
    </bk>
    <bk>
      <rc t="2" v="1270"/>
    </bk>
    <bk>
      <rc t="2" v="1271"/>
    </bk>
    <bk>
      <rc t="2" v="1272"/>
    </bk>
    <bk>
      <rc t="2" v="1273"/>
    </bk>
    <bk>
      <rc t="2" v="1274"/>
    </bk>
    <bk>
      <rc t="2" v="1275"/>
    </bk>
    <bk>
      <rc t="2" v="1276"/>
    </bk>
    <bk>
      <rc t="2" v="1277"/>
    </bk>
    <bk>
      <rc t="2" v="1278"/>
    </bk>
    <bk>
      <rc t="2" v="1279"/>
    </bk>
    <bk>
      <rc t="2" v="1280"/>
    </bk>
    <bk>
      <rc t="2" v="1281"/>
    </bk>
    <bk>
      <rc t="2" v="1282"/>
    </bk>
    <bk>
      <rc t="2" v="1283"/>
    </bk>
    <bk>
      <rc t="2" v="1284"/>
    </bk>
    <bk>
      <rc t="2" v="1285"/>
    </bk>
    <bk>
      <rc t="2" v="1286"/>
    </bk>
    <bk>
      <rc t="2" v="1287"/>
    </bk>
    <bk>
      <rc t="2" v="1288"/>
    </bk>
    <bk>
      <rc t="2" v="1289"/>
    </bk>
    <bk>
      <rc t="2" v="1290"/>
    </bk>
    <bk>
      <rc t="2" v="1291"/>
    </bk>
    <bk>
      <rc t="2" v="1292"/>
    </bk>
    <bk>
      <rc t="2" v="1293"/>
    </bk>
    <bk>
      <rc t="2" v="1294"/>
    </bk>
    <bk>
      <rc t="2" v="1295"/>
    </bk>
    <bk>
      <rc t="2" v="1296"/>
    </bk>
    <bk>
      <rc t="2" v="1297"/>
    </bk>
    <bk>
      <rc t="2" v="1298"/>
    </bk>
    <bk>
      <rc t="2" v="1299"/>
    </bk>
    <bk>
      <rc t="2" v="1300"/>
    </bk>
    <bk>
      <rc t="2" v="1301"/>
    </bk>
    <bk>
      <rc t="2" v="1302"/>
    </bk>
    <bk>
      <rc t="2" v="1303"/>
    </bk>
    <bk>
      <rc t="2" v="1304"/>
    </bk>
    <bk>
      <rc t="2" v="1305"/>
    </bk>
    <bk>
      <rc t="2" v="1306"/>
    </bk>
    <bk>
      <rc t="2" v="1307"/>
    </bk>
    <bk>
      <rc t="2" v="1308"/>
    </bk>
    <bk>
      <rc t="2" v="1309"/>
    </bk>
    <bk>
      <rc t="2" v="1310"/>
    </bk>
    <bk>
      <rc t="2" v="1311"/>
    </bk>
    <bk>
      <rc t="2" v="1312"/>
    </bk>
    <bk>
      <rc t="2" v="1313"/>
    </bk>
    <bk>
      <rc t="2" v="1314"/>
    </bk>
    <bk>
      <rc t="2" v="1315"/>
    </bk>
    <bk>
      <rc t="2" v="1316"/>
    </bk>
    <bk>
      <rc t="2" v="1317"/>
    </bk>
    <bk>
      <rc t="2" v="1318"/>
    </bk>
    <bk>
      <rc t="2" v="1319"/>
    </bk>
    <bk>
      <rc t="2" v="1320"/>
    </bk>
    <bk>
      <rc t="2" v="1321"/>
    </bk>
    <bk>
      <rc t="2" v="1322"/>
    </bk>
    <bk>
      <rc t="2" v="1323"/>
    </bk>
    <bk>
      <rc t="2" v="1324"/>
    </bk>
    <bk>
      <rc t="2" v="1325"/>
    </bk>
    <bk>
      <rc t="2" v="1326"/>
    </bk>
    <bk>
      <rc t="2" v="1327"/>
    </bk>
    <bk>
      <rc t="2" v="1328"/>
    </bk>
    <bk>
      <rc t="2" v="1329"/>
    </bk>
    <bk>
      <rc t="2" v="1330"/>
    </bk>
    <bk>
      <rc t="2" v="1331"/>
    </bk>
    <bk>
      <rc t="2" v="1332"/>
    </bk>
    <bk>
      <rc t="2" v="1333"/>
    </bk>
    <bk>
      <rc t="2" v="1334"/>
    </bk>
    <bk>
      <rc t="2" v="1335"/>
    </bk>
    <bk>
      <rc t="2" v="1336"/>
    </bk>
    <bk>
      <rc t="2" v="1337"/>
    </bk>
    <bk>
      <rc t="2" v="1338"/>
    </bk>
    <bk>
      <rc t="2" v="1339"/>
    </bk>
    <bk>
      <rc t="2" v="1340"/>
    </bk>
    <bk>
      <rc t="2" v="1341"/>
    </bk>
    <bk>
      <rc t="2" v="1342"/>
    </bk>
    <bk>
      <rc t="2" v="1343"/>
    </bk>
    <bk>
      <rc t="2" v="1344"/>
    </bk>
    <bk>
      <rc t="2" v="1345"/>
    </bk>
    <bk>
      <rc t="2" v="1346"/>
    </bk>
    <bk>
      <rc t="2" v="1347"/>
    </bk>
    <bk>
      <rc t="2" v="1348"/>
    </bk>
    <bk>
      <rc t="2" v="1349"/>
    </bk>
    <bk>
      <rc t="2" v="1350"/>
    </bk>
    <bk>
      <rc t="2" v="1351"/>
    </bk>
    <bk>
      <rc t="2" v="1352"/>
    </bk>
    <bk>
      <rc t="2" v="1353"/>
    </bk>
    <bk>
      <rc t="2" v="1354"/>
    </bk>
    <bk>
      <rc t="2" v="1355"/>
    </bk>
    <bk>
      <rc t="2" v="1356"/>
    </bk>
    <bk>
      <rc t="2" v="1357"/>
    </bk>
    <bk>
      <rc t="2" v="1358"/>
    </bk>
    <bk>
      <rc t="2" v="1359"/>
    </bk>
    <bk>
      <rc t="2" v="1360"/>
    </bk>
    <bk>
      <rc t="2" v="1361"/>
    </bk>
    <bk>
      <rc t="2" v="1362"/>
    </bk>
    <bk>
      <rc t="2" v="1363"/>
    </bk>
    <bk>
      <rc t="2" v="1364"/>
    </bk>
    <bk>
      <rc t="2" v="1365"/>
    </bk>
    <bk>
      <rc t="2" v="1366"/>
    </bk>
    <bk>
      <rc t="2" v="1367"/>
    </bk>
    <bk>
      <rc t="2" v="1368"/>
    </bk>
    <bk>
      <rc t="2" v="1369"/>
    </bk>
    <bk>
      <rc t="2" v="1370"/>
    </bk>
    <bk>
      <rc t="2" v="1371"/>
    </bk>
    <bk>
      <rc t="2" v="1372"/>
    </bk>
    <bk>
      <rc t="2" v="1373"/>
    </bk>
    <bk>
      <rc t="2" v="1374"/>
    </bk>
    <bk>
      <rc t="2" v="1375"/>
    </bk>
    <bk>
      <rc t="2" v="1376"/>
    </bk>
    <bk>
      <rc t="2" v="1377"/>
    </bk>
    <bk>
      <rc t="2" v="1378"/>
    </bk>
    <bk>
      <rc t="2" v="1379"/>
    </bk>
    <bk>
      <rc t="2" v="1380"/>
    </bk>
    <bk>
      <rc t="2" v="1381"/>
    </bk>
    <bk>
      <rc t="2" v="1382"/>
    </bk>
    <bk>
      <rc t="2" v="1383"/>
    </bk>
    <bk>
      <rc t="2" v="1384"/>
    </bk>
    <bk>
      <rc t="2" v="1385"/>
    </bk>
    <bk>
      <rc t="2" v="1386"/>
    </bk>
    <bk>
      <rc t="2" v="1387"/>
    </bk>
    <bk>
      <rc t="2" v="1388"/>
    </bk>
    <bk>
      <rc t="2" v="1389"/>
    </bk>
    <bk>
      <rc t="2" v="1390"/>
    </bk>
    <bk>
      <rc t="2" v="1391"/>
    </bk>
    <bk>
      <rc t="2" v="1392"/>
    </bk>
    <bk>
      <rc t="2" v="1393"/>
    </bk>
    <bk>
      <rc t="2" v="1394"/>
    </bk>
    <bk>
      <rc t="2" v="1395"/>
    </bk>
    <bk>
      <rc t="2" v="1396"/>
    </bk>
    <bk>
      <rc t="2" v="1397"/>
    </bk>
    <bk>
      <rc t="2" v="1398"/>
    </bk>
    <bk>
      <rc t="2" v="1399"/>
    </bk>
    <bk>
      <rc t="2" v="1400"/>
    </bk>
    <bk>
      <rc t="2" v="1401"/>
    </bk>
    <bk>
      <rc t="2" v="1402"/>
    </bk>
    <bk>
      <rc t="2" v="1403"/>
    </bk>
    <bk>
      <rc t="2" v="1404"/>
    </bk>
    <bk>
      <rc t="2" v="1405"/>
    </bk>
    <bk>
      <rc t="2" v="1406"/>
    </bk>
    <bk>
      <rc t="2" v="1407"/>
    </bk>
    <bk>
      <rc t="2" v="1408"/>
    </bk>
    <bk>
      <rc t="2" v="1409"/>
    </bk>
    <bk>
      <rc t="2" v="1410"/>
    </bk>
    <bk>
      <rc t="2" v="1411"/>
    </bk>
    <bk>
      <rc t="2" v="1412"/>
    </bk>
    <bk>
      <rc t="2" v="1413"/>
    </bk>
    <bk>
      <rc t="2" v="1414"/>
    </bk>
    <bk>
      <rc t="2" v="1415"/>
    </bk>
    <bk>
      <rc t="2" v="1416"/>
    </bk>
    <bk>
      <rc t="2" v="1417"/>
    </bk>
    <bk>
      <rc t="2" v="1418"/>
    </bk>
    <bk>
      <rc t="2" v="1419"/>
    </bk>
    <bk>
      <rc t="2" v="1420"/>
    </bk>
    <bk>
      <rc t="2" v="1421"/>
    </bk>
    <bk>
      <rc t="2" v="1422"/>
    </bk>
    <bk>
      <rc t="2" v="1423"/>
    </bk>
    <bk>
      <rc t="2" v="1424"/>
    </bk>
    <bk>
      <rc t="2" v="1425"/>
    </bk>
    <bk>
      <rc t="2" v="1426"/>
    </bk>
    <bk>
      <rc t="2" v="1427"/>
    </bk>
    <bk>
      <rc t="2" v="1428"/>
    </bk>
    <bk>
      <rc t="2" v="1429"/>
    </bk>
    <bk>
      <rc t="2" v="1430"/>
    </bk>
    <bk>
      <rc t="2" v="1431"/>
    </bk>
    <bk>
      <rc t="2" v="1432"/>
    </bk>
    <bk>
      <rc t="2" v="1433"/>
    </bk>
    <bk>
      <rc t="2" v="1434"/>
    </bk>
    <bk>
      <rc t="2" v="1435"/>
    </bk>
    <bk>
      <rc t="2" v="1436"/>
    </bk>
    <bk>
      <rc t="2" v="1437"/>
    </bk>
    <bk>
      <rc t="2" v="1438"/>
    </bk>
    <bk>
      <rc t="2" v="1439"/>
    </bk>
    <bk>
      <rc t="2" v="1440"/>
    </bk>
    <bk>
      <rc t="2" v="1441"/>
    </bk>
    <bk>
      <rc t="2" v="1442"/>
    </bk>
    <bk>
      <rc t="2" v="1443"/>
    </bk>
    <bk>
      <rc t="2" v="1444"/>
    </bk>
    <bk>
      <rc t="2" v="1445"/>
    </bk>
    <bk>
      <rc t="2" v="1446"/>
    </bk>
    <bk>
      <rc t="2" v="1447"/>
    </bk>
    <bk>
      <rc t="2" v="1448"/>
    </bk>
    <bk>
      <rc t="2" v="1449"/>
    </bk>
    <bk>
      <rc t="2" v="1450"/>
    </bk>
    <bk>
      <rc t="2" v="1451"/>
    </bk>
    <bk>
      <rc t="2" v="1452"/>
    </bk>
    <bk>
      <rc t="2" v="1453"/>
    </bk>
    <bk>
      <rc t="2" v="1454"/>
    </bk>
    <bk>
      <rc t="2" v="1455"/>
    </bk>
    <bk>
      <rc t="2" v="1456"/>
    </bk>
    <bk>
      <rc t="2" v="1457"/>
    </bk>
    <bk>
      <rc t="2" v="1458"/>
    </bk>
    <bk>
      <rc t="2" v="1459"/>
    </bk>
    <bk>
      <rc t="2" v="1460"/>
    </bk>
    <bk>
      <rc t="2" v="1461"/>
    </bk>
    <bk>
      <rc t="2" v="1462"/>
    </bk>
    <bk>
      <rc t="2" v="1463"/>
    </bk>
    <bk>
      <rc t="2" v="1464"/>
    </bk>
    <bk>
      <rc t="2" v="1465"/>
    </bk>
    <bk>
      <rc t="2" v="1466"/>
    </bk>
    <bk>
      <rc t="2" v="1467"/>
    </bk>
    <bk>
      <rc t="2" v="1468"/>
    </bk>
    <bk>
      <rc t="2" v="1469"/>
    </bk>
    <bk>
      <rc t="2" v="1470"/>
    </bk>
    <bk>
      <rc t="2" v="1471"/>
    </bk>
    <bk>
      <rc t="2" v="1472"/>
    </bk>
    <bk>
      <rc t="2" v="1473"/>
    </bk>
    <bk>
      <rc t="2" v="1474"/>
    </bk>
    <bk>
      <rc t="2" v="1475"/>
    </bk>
    <bk>
      <rc t="2" v="1476"/>
    </bk>
    <bk>
      <rc t="2" v="1477"/>
    </bk>
    <bk>
      <rc t="2" v="1478"/>
    </bk>
    <bk>
      <rc t="2" v="1479"/>
    </bk>
    <bk>
      <rc t="2" v="1480"/>
    </bk>
    <bk>
      <rc t="2" v="1481"/>
    </bk>
    <bk>
      <rc t="2" v="1482"/>
    </bk>
    <bk>
      <rc t="2" v="1483"/>
    </bk>
    <bk>
      <rc t="2" v="1484"/>
    </bk>
    <bk>
      <rc t="2" v="1485"/>
    </bk>
    <bk>
      <rc t="2" v="1486"/>
    </bk>
    <bk>
      <rc t="2" v="1487"/>
    </bk>
    <bk>
      <rc t="2" v="1488"/>
    </bk>
    <bk>
      <rc t="2" v="1489"/>
    </bk>
    <bk>
      <rc t="2" v="1490"/>
    </bk>
    <bk>
      <rc t="2" v="1491"/>
    </bk>
    <bk>
      <rc t="2" v="1492"/>
    </bk>
    <bk>
      <rc t="2" v="1493"/>
    </bk>
    <bk>
      <rc t="2" v="1494"/>
    </bk>
    <bk>
      <rc t="2" v="1495"/>
    </bk>
    <bk>
      <rc t="2" v="1496"/>
    </bk>
    <bk>
      <rc t="2" v="1497"/>
    </bk>
    <bk>
      <rc t="2" v="1498"/>
    </bk>
    <bk>
      <rc t="2" v="1499"/>
    </bk>
    <bk>
      <rc t="2" v="1500"/>
    </bk>
    <bk>
      <rc t="2" v="1501"/>
    </bk>
    <bk>
      <rc t="2" v="1502"/>
    </bk>
    <bk>
      <rc t="2" v="1503"/>
    </bk>
    <bk>
      <rc t="2" v="1504"/>
    </bk>
    <bk>
      <rc t="2" v="1505"/>
    </bk>
    <bk>
      <rc t="2" v="1506"/>
    </bk>
    <bk>
      <rc t="2" v="1507"/>
    </bk>
    <bk>
      <rc t="2" v="1508"/>
    </bk>
    <bk>
      <rc t="2" v="1509"/>
    </bk>
    <bk>
      <rc t="2" v="1510"/>
    </bk>
    <bk>
      <rc t="2" v="1511"/>
    </bk>
    <bk>
      <rc t="2" v="1512"/>
    </bk>
    <bk>
      <rc t="2" v="1513"/>
    </bk>
    <bk>
      <rc t="2" v="1514"/>
    </bk>
    <bk>
      <rc t="2" v="1515"/>
    </bk>
    <bk>
      <rc t="2" v="1516"/>
    </bk>
    <bk>
      <rc t="2" v="1517"/>
    </bk>
    <bk>
      <rc t="2" v="1518"/>
    </bk>
    <bk>
      <rc t="2" v="1519"/>
    </bk>
    <bk>
      <rc t="2" v="1520"/>
    </bk>
    <bk>
      <rc t="2" v="1521"/>
    </bk>
    <bk>
      <rc t="2" v="1522"/>
    </bk>
    <bk>
      <rc t="2" v="1523"/>
    </bk>
    <bk>
      <rc t="2" v="1524"/>
    </bk>
    <bk>
      <rc t="2" v="1525"/>
    </bk>
    <bk>
      <rc t="2" v="1526"/>
    </bk>
    <bk>
      <rc t="2" v="1527"/>
    </bk>
    <bk>
      <rc t="2" v="1528"/>
    </bk>
    <bk>
      <rc t="2" v="1529"/>
    </bk>
    <bk>
      <rc t="2" v="1530"/>
    </bk>
    <bk>
      <rc t="2" v="1531"/>
    </bk>
    <bk>
      <rc t="2" v="1532"/>
    </bk>
    <bk>
      <rc t="2" v="1533"/>
    </bk>
    <bk>
      <rc t="2" v="1534"/>
    </bk>
    <bk>
      <rc t="2" v="1535"/>
    </bk>
    <bk>
      <rc t="2" v="1536"/>
    </bk>
    <bk>
      <rc t="2" v="1537"/>
    </bk>
    <bk>
      <rc t="2" v="1538"/>
    </bk>
    <bk>
      <rc t="2" v="1539"/>
    </bk>
    <bk>
      <rc t="2" v="1540"/>
    </bk>
    <bk>
      <rc t="2" v="1541"/>
    </bk>
    <bk>
      <rc t="2" v="1542"/>
    </bk>
    <bk>
      <rc t="2" v="1543"/>
    </bk>
    <bk>
      <rc t="2" v="1544"/>
    </bk>
    <bk>
      <rc t="2" v="1545"/>
    </bk>
    <bk>
      <rc t="2" v="1546"/>
    </bk>
    <bk>
      <rc t="2" v="1547"/>
    </bk>
    <bk>
      <rc t="2" v="1548"/>
    </bk>
    <bk>
      <rc t="2" v="1549"/>
    </bk>
    <bk>
      <rc t="2" v="1550"/>
    </bk>
    <bk>
      <rc t="2" v="1551"/>
    </bk>
    <bk>
      <rc t="2" v="1552"/>
    </bk>
    <bk>
      <rc t="2" v="1553"/>
    </bk>
    <bk>
      <rc t="2" v="1554"/>
    </bk>
    <bk>
      <rc t="2" v="1555"/>
    </bk>
    <bk>
      <rc t="2" v="1556"/>
    </bk>
    <bk>
      <rc t="2" v="1557"/>
    </bk>
    <bk>
      <rc t="2" v="1558"/>
    </bk>
    <bk>
      <rc t="2" v="1559"/>
    </bk>
    <bk>
      <rc t="2" v="1560"/>
    </bk>
    <bk>
      <rc t="2" v="1561"/>
    </bk>
    <bk>
      <rc t="2" v="1562"/>
    </bk>
    <bk>
      <rc t="2" v="1563"/>
    </bk>
    <bk>
      <rc t="2" v="1564"/>
    </bk>
    <bk>
      <rc t="2" v="1565"/>
    </bk>
    <bk>
      <rc t="2" v="1566"/>
    </bk>
    <bk>
      <rc t="2" v="1567"/>
    </bk>
    <bk>
      <rc t="2" v="1568"/>
    </bk>
    <bk>
      <rc t="2" v="1569"/>
    </bk>
    <bk>
      <rc t="2" v="1570"/>
    </bk>
    <bk>
      <rc t="2" v="1571"/>
    </bk>
    <bk>
      <rc t="2" v="1572"/>
    </bk>
    <bk>
      <rc t="2" v="1573"/>
    </bk>
    <bk>
      <rc t="2" v="1574"/>
    </bk>
    <bk>
      <rc t="2" v="1575"/>
    </bk>
    <bk>
      <rc t="2" v="1576"/>
    </bk>
    <bk>
      <rc t="2" v="1577"/>
    </bk>
    <bk>
      <rc t="2" v="1578"/>
    </bk>
    <bk>
      <rc t="2" v="1579"/>
    </bk>
    <bk>
      <rc t="2" v="1580"/>
    </bk>
    <bk>
      <rc t="2" v="1581"/>
    </bk>
    <bk>
      <rc t="2" v="1582"/>
    </bk>
    <bk>
      <rc t="2" v="1583"/>
    </bk>
    <bk>
      <rc t="2" v="1584"/>
    </bk>
    <bk>
      <rc t="2" v="1585"/>
    </bk>
    <bk>
      <rc t="2" v="1586"/>
    </bk>
    <bk>
      <rc t="2" v="1587"/>
    </bk>
    <bk>
      <rc t="2" v="1588"/>
    </bk>
    <bk>
      <rc t="2" v="1589"/>
    </bk>
    <bk>
      <rc t="2" v="1590"/>
    </bk>
    <bk>
      <rc t="2" v="1591"/>
    </bk>
    <bk>
      <rc t="2" v="1592"/>
    </bk>
    <bk>
      <rc t="2" v="1593"/>
    </bk>
    <bk>
      <rc t="2" v="1594"/>
    </bk>
    <bk>
      <rc t="2" v="1595"/>
    </bk>
    <bk>
      <rc t="2" v="1596"/>
    </bk>
    <bk>
      <rc t="2" v="1597"/>
    </bk>
    <bk>
      <rc t="2" v="1598"/>
    </bk>
    <bk>
      <rc t="2" v="1599"/>
    </bk>
    <bk>
      <rc t="2" v="1600"/>
    </bk>
    <bk>
      <rc t="2" v="1601"/>
    </bk>
    <bk>
      <rc t="2" v="1602"/>
    </bk>
    <bk>
      <rc t="2" v="1603"/>
    </bk>
    <bk>
      <rc t="2" v="1604"/>
    </bk>
    <bk>
      <rc t="2" v="1605"/>
    </bk>
    <bk>
      <rc t="2" v="1606"/>
    </bk>
    <bk>
      <rc t="2" v="1607"/>
    </bk>
    <bk>
      <rc t="2" v="1608"/>
    </bk>
    <bk>
      <rc t="2" v="1609"/>
    </bk>
    <bk>
      <rc t="2" v="1610"/>
    </bk>
    <bk>
      <rc t="2" v="1611"/>
    </bk>
    <bk>
      <rc t="2" v="1612"/>
    </bk>
    <bk>
      <rc t="2" v="1613"/>
    </bk>
    <bk>
      <rc t="2" v="1614"/>
    </bk>
    <bk>
      <rc t="2" v="1615"/>
    </bk>
    <bk>
      <rc t="2" v="1616"/>
    </bk>
    <bk>
      <rc t="2" v="1617"/>
    </bk>
    <bk>
      <rc t="2" v="1618"/>
    </bk>
    <bk>
      <rc t="2" v="1619"/>
    </bk>
    <bk>
      <rc t="2" v="1620"/>
    </bk>
    <bk>
      <rc t="2" v="1621"/>
    </bk>
    <bk>
      <rc t="2" v="1622"/>
    </bk>
    <bk>
      <rc t="2" v="1623"/>
    </bk>
    <bk>
      <rc t="2" v="1624"/>
    </bk>
    <bk>
      <rc t="2" v="1625"/>
    </bk>
    <bk>
      <rc t="2" v="1626"/>
    </bk>
    <bk>
      <rc t="2" v="1627"/>
    </bk>
    <bk>
      <rc t="2" v="1628"/>
    </bk>
    <bk>
      <rc t="2" v="1629"/>
    </bk>
    <bk>
      <rc t="2" v="1630"/>
    </bk>
    <bk>
      <rc t="2" v="1631"/>
    </bk>
    <bk>
      <rc t="2" v="1632"/>
    </bk>
    <bk>
      <rc t="2" v="1633"/>
    </bk>
    <bk>
      <rc t="2" v="1634"/>
    </bk>
    <bk>
      <rc t="2" v="1635"/>
    </bk>
    <bk>
      <rc t="2" v="1636"/>
    </bk>
    <bk>
      <rc t="2" v="1637"/>
    </bk>
    <bk>
      <rc t="2" v="1638"/>
    </bk>
    <bk>
      <rc t="2" v="1639"/>
    </bk>
    <bk>
      <rc t="2" v="1640"/>
    </bk>
    <bk>
      <rc t="2" v="1641"/>
    </bk>
    <bk>
      <rc t="2" v="1642"/>
    </bk>
    <bk>
      <rc t="2" v="1643"/>
    </bk>
    <bk>
      <rc t="2" v="1644"/>
    </bk>
    <bk>
      <rc t="2" v="1645"/>
    </bk>
    <bk>
      <rc t="2" v="1646"/>
    </bk>
    <bk>
      <rc t="2" v="1647"/>
    </bk>
    <bk>
      <rc t="2" v="1648"/>
    </bk>
    <bk>
      <rc t="2" v="1649"/>
    </bk>
    <bk>
      <rc t="2" v="1650"/>
    </bk>
    <bk>
      <rc t="2" v="1651"/>
    </bk>
    <bk>
      <rc t="2" v="1652"/>
    </bk>
    <bk>
      <rc t="2" v="1653"/>
    </bk>
    <bk>
      <rc t="2" v="1654"/>
    </bk>
    <bk>
      <rc t="2" v="1655"/>
    </bk>
    <bk>
      <rc t="2" v="1656"/>
    </bk>
    <bk>
      <rc t="2" v="1657"/>
    </bk>
    <bk>
      <rc t="2" v="1658"/>
    </bk>
    <bk>
      <rc t="2" v="1659"/>
    </bk>
    <bk>
      <rc t="2" v="1660"/>
    </bk>
    <bk>
      <rc t="2" v="1661"/>
    </bk>
    <bk>
      <rc t="2" v="1662"/>
    </bk>
    <bk>
      <rc t="2" v="1663"/>
    </bk>
    <bk>
      <rc t="2" v="1664"/>
    </bk>
    <bk>
      <rc t="2" v="1665"/>
    </bk>
    <bk>
      <rc t="2" v="1666"/>
    </bk>
    <bk>
      <rc t="2" v="1667"/>
    </bk>
    <bk>
      <rc t="2" v="1668"/>
    </bk>
    <bk>
      <rc t="2" v="1669"/>
    </bk>
    <bk>
      <rc t="2" v="1670"/>
    </bk>
    <bk>
      <rc t="2" v="1671"/>
    </bk>
    <bk>
      <rc t="2" v="1672"/>
    </bk>
    <bk>
      <rc t="2" v="1673"/>
    </bk>
    <bk>
      <rc t="2" v="1674"/>
    </bk>
    <bk>
      <rc t="2" v="1675"/>
    </bk>
    <bk>
      <rc t="2" v="1676"/>
    </bk>
    <bk>
      <rc t="2" v="1677"/>
    </bk>
    <bk>
      <rc t="2" v="1678"/>
    </bk>
    <bk>
      <rc t="2" v="1679"/>
    </bk>
    <bk>
      <rc t="2" v="1680"/>
    </bk>
    <bk>
      <rc t="2" v="1681"/>
    </bk>
    <bk>
      <rc t="2" v="1682"/>
    </bk>
    <bk>
      <rc t="2" v="1683"/>
    </bk>
    <bk>
      <rc t="2" v="1684"/>
    </bk>
    <bk>
      <rc t="2" v="1685"/>
    </bk>
    <bk>
      <rc t="2" v="1686"/>
    </bk>
    <bk>
      <rc t="2" v="1687"/>
    </bk>
    <bk>
      <rc t="2" v="1688"/>
    </bk>
    <bk>
      <rc t="2" v="1689"/>
    </bk>
    <bk>
      <rc t="2" v="1690"/>
    </bk>
    <bk>
      <rc t="2" v="1691"/>
    </bk>
    <bk>
      <rc t="2" v="1692"/>
    </bk>
    <bk>
      <rc t="2" v="1693"/>
    </bk>
    <bk>
      <rc t="2" v="1694"/>
    </bk>
    <bk>
      <rc t="2" v="1695"/>
    </bk>
    <bk>
      <rc t="2" v="1696"/>
    </bk>
    <bk>
      <rc t="2" v="1697"/>
    </bk>
    <bk>
      <rc t="2" v="1698"/>
    </bk>
    <bk>
      <rc t="2" v="1699"/>
    </bk>
    <bk>
      <rc t="2" v="1700"/>
    </bk>
    <bk>
      <rc t="2" v="1701"/>
    </bk>
    <bk>
      <rc t="2" v="1702"/>
    </bk>
    <bk>
      <rc t="2" v="1703"/>
    </bk>
    <bk>
      <rc t="2" v="1704"/>
    </bk>
    <bk>
      <rc t="2" v="1705"/>
    </bk>
    <bk>
      <rc t="2" v="1706"/>
    </bk>
    <bk>
      <rc t="2" v="1707"/>
    </bk>
    <bk>
      <rc t="2" v="1708"/>
    </bk>
    <bk>
      <rc t="2" v="1709"/>
    </bk>
    <bk>
      <rc t="2" v="1710"/>
    </bk>
    <bk>
      <rc t="2" v="1711"/>
    </bk>
    <bk>
      <rc t="2" v="1712"/>
    </bk>
    <bk>
      <rc t="2" v="1713"/>
    </bk>
    <bk>
      <rc t="2" v="1714"/>
    </bk>
    <bk>
      <rc t="2" v="1715"/>
    </bk>
    <bk>
      <rc t="2" v="1716"/>
    </bk>
    <bk>
      <rc t="2" v="1717"/>
    </bk>
    <bk>
      <rc t="2" v="1718"/>
    </bk>
    <bk>
      <rc t="2" v="1719"/>
    </bk>
    <bk>
      <rc t="2" v="1720"/>
    </bk>
    <bk>
      <rc t="2" v="1721"/>
    </bk>
    <bk>
      <rc t="2" v="1722"/>
    </bk>
    <bk>
      <rc t="2" v="1723"/>
    </bk>
    <bk>
      <rc t="2" v="1724"/>
    </bk>
    <bk>
      <rc t="2" v="1725"/>
    </bk>
    <bk>
      <rc t="2" v="1726"/>
    </bk>
    <bk>
      <rc t="2" v="1727"/>
    </bk>
    <bk>
      <rc t="2" v="1728"/>
    </bk>
    <bk>
      <rc t="2" v="1729"/>
    </bk>
    <bk>
      <rc t="2" v="1730"/>
    </bk>
    <bk>
      <rc t="2" v="1731"/>
    </bk>
    <bk>
      <rc t="2" v="1732"/>
    </bk>
    <bk>
      <rc t="2" v="1733"/>
    </bk>
    <bk>
      <rc t="2" v="1734"/>
    </bk>
    <bk>
      <rc t="2" v="1735"/>
    </bk>
    <bk>
      <rc t="2" v="1736"/>
    </bk>
    <bk>
      <rc t="2" v="1737"/>
    </bk>
    <bk>
      <rc t="2" v="1738"/>
    </bk>
    <bk>
      <rc t="2" v="1739"/>
    </bk>
    <bk>
      <rc t="2" v="1740"/>
    </bk>
    <bk>
      <rc t="2" v="1741"/>
    </bk>
    <bk>
      <rc t="2" v="1742"/>
    </bk>
    <bk>
      <rc t="2" v="1743"/>
    </bk>
    <bk>
      <rc t="2" v="1744"/>
    </bk>
    <bk>
      <rc t="2" v="1745"/>
    </bk>
    <bk>
      <rc t="2" v="1746"/>
    </bk>
    <bk>
      <rc t="2" v="1747"/>
    </bk>
    <bk>
      <rc t="2" v="1748"/>
    </bk>
    <bk>
      <rc t="2" v="1749"/>
    </bk>
    <bk>
      <rc t="2" v="1750"/>
    </bk>
    <bk>
      <rc t="2" v="1751"/>
    </bk>
    <bk>
      <rc t="2" v="1752"/>
    </bk>
    <bk>
      <rc t="2" v="1753"/>
    </bk>
    <bk>
      <rc t="2" v="1754"/>
    </bk>
    <bk>
      <rc t="2" v="1755"/>
    </bk>
    <bk>
      <rc t="2" v="1756"/>
    </bk>
    <bk>
      <rc t="2" v="1757"/>
    </bk>
    <bk>
      <rc t="2" v="1758"/>
    </bk>
    <bk>
      <rc t="2" v="1759"/>
    </bk>
    <bk>
      <rc t="2" v="1760"/>
    </bk>
    <bk>
      <rc t="2" v="1761"/>
    </bk>
    <bk>
      <rc t="2" v="1762"/>
    </bk>
    <bk>
      <rc t="2" v="1763"/>
    </bk>
    <bk>
      <rc t="2" v="1764"/>
    </bk>
    <bk>
      <rc t="2" v="1765"/>
    </bk>
    <bk>
      <rc t="2" v="1766"/>
    </bk>
    <bk>
      <rc t="2" v="1767"/>
    </bk>
    <bk>
      <rc t="2" v="1768"/>
    </bk>
    <bk>
      <rc t="2" v="1769"/>
    </bk>
    <bk>
      <rc t="2" v="1770"/>
    </bk>
    <bk>
      <rc t="2" v="1771"/>
    </bk>
    <bk>
      <rc t="2" v="1772"/>
    </bk>
    <bk>
      <rc t="2" v="1773"/>
    </bk>
    <bk>
      <rc t="2" v="1774"/>
    </bk>
    <bk>
      <rc t="2" v="1775"/>
    </bk>
    <bk>
      <rc t="2" v="1776"/>
    </bk>
    <bk>
      <rc t="2" v="1777"/>
    </bk>
    <bk>
      <rc t="2" v="1778"/>
    </bk>
    <bk>
      <rc t="2" v="1779"/>
    </bk>
    <bk>
      <rc t="2" v="1780"/>
    </bk>
    <bk>
      <rc t="2" v="1781"/>
    </bk>
    <bk>
      <rc t="2" v="1782"/>
    </bk>
    <bk>
      <rc t="2" v="1783"/>
    </bk>
    <bk>
      <rc t="2" v="1784"/>
    </bk>
    <bk>
      <rc t="2" v="1785"/>
    </bk>
    <bk>
      <rc t="2" v="1786"/>
    </bk>
    <bk>
      <rc t="2" v="1787"/>
    </bk>
    <bk>
      <rc t="2" v="1788"/>
    </bk>
    <bk>
      <rc t="2" v="1789"/>
    </bk>
    <bk>
      <rc t="2" v="1790"/>
    </bk>
    <bk>
      <rc t="2" v="1791"/>
    </bk>
    <bk>
      <rc t="2" v="1792"/>
    </bk>
    <bk>
      <rc t="2" v="1793"/>
    </bk>
    <bk>
      <rc t="2" v="1794"/>
    </bk>
    <bk>
      <rc t="2" v="1795"/>
    </bk>
    <bk>
      <rc t="2" v="1796"/>
    </bk>
    <bk>
      <rc t="2" v="1797"/>
    </bk>
    <bk>
      <rc t="2" v="1798"/>
    </bk>
    <bk>
      <rc t="2" v="1799"/>
    </bk>
    <bk>
      <rc t="2" v="1800"/>
    </bk>
    <bk>
      <rc t="2" v="1801"/>
    </bk>
    <bk>
      <rc t="2" v="1802"/>
    </bk>
    <bk>
      <rc t="2" v="1803"/>
    </bk>
    <bk>
      <rc t="2" v="1804"/>
    </bk>
    <bk>
      <rc t="2" v="1805"/>
    </bk>
    <bk>
      <rc t="2" v="1806"/>
    </bk>
    <bk>
      <rc t="2" v="1807"/>
    </bk>
    <bk>
      <rc t="2" v="1808"/>
    </bk>
    <bk>
      <rc t="2" v="1809"/>
    </bk>
    <bk>
      <rc t="2" v="1810"/>
    </bk>
    <bk>
      <rc t="2" v="1811"/>
    </bk>
    <bk>
      <rc t="2" v="1812"/>
    </bk>
    <bk>
      <rc t="2" v="1813"/>
    </bk>
    <bk>
      <rc t="2" v="1814"/>
    </bk>
    <bk>
      <rc t="2" v="1815"/>
    </bk>
    <bk>
      <rc t="2" v="1816"/>
    </bk>
    <bk>
      <rc t="2" v="1817"/>
    </bk>
    <bk>
      <rc t="2" v="1818"/>
    </bk>
    <bk>
      <rc t="2" v="1819"/>
    </bk>
    <bk>
      <rc t="2" v="1820"/>
    </bk>
    <bk>
      <rc t="2" v="1821"/>
    </bk>
    <bk>
      <rc t="2" v="1822"/>
    </bk>
    <bk>
      <rc t="2" v="1823"/>
    </bk>
    <bk>
      <rc t="2" v="1824"/>
    </bk>
    <bk>
      <rc t="2" v="1825"/>
    </bk>
    <bk>
      <rc t="2" v="1826"/>
    </bk>
    <bk>
      <rc t="2" v="1827"/>
    </bk>
    <bk>
      <rc t="2" v="1828"/>
    </bk>
    <bk>
      <rc t="2" v="1829"/>
    </bk>
    <bk>
      <rc t="2" v="1830"/>
    </bk>
    <bk>
      <rc t="2" v="1831"/>
    </bk>
    <bk>
      <rc t="2" v="1832"/>
    </bk>
    <bk>
      <rc t="2" v="1833"/>
    </bk>
    <bk>
      <rc t="2" v="1834"/>
    </bk>
    <bk>
      <rc t="2" v="1835"/>
    </bk>
    <bk>
      <rc t="2" v="1836"/>
    </bk>
    <bk>
      <rc t="2" v="1837"/>
    </bk>
    <bk>
      <rc t="2" v="1838"/>
    </bk>
    <bk>
      <rc t="2" v="1839"/>
    </bk>
    <bk>
      <rc t="2" v="1840"/>
    </bk>
    <bk>
      <rc t="2" v="1841"/>
    </bk>
    <bk>
      <rc t="2" v="1842"/>
    </bk>
    <bk>
      <rc t="2" v="1843"/>
    </bk>
    <bk>
      <rc t="2" v="1844"/>
    </bk>
    <bk>
      <rc t="2" v="1845"/>
    </bk>
    <bk>
      <rc t="2" v="1846"/>
    </bk>
    <bk>
      <rc t="2" v="1847"/>
    </bk>
    <bk>
      <rc t="2" v="1848"/>
    </bk>
    <bk>
      <rc t="2" v="1849"/>
    </bk>
    <bk>
      <rc t="2" v="1850"/>
    </bk>
    <bk>
      <rc t="2" v="1851"/>
    </bk>
    <bk>
      <rc t="2" v="1852"/>
    </bk>
    <bk>
      <rc t="2" v="1853"/>
    </bk>
    <bk>
      <rc t="2" v="1854"/>
    </bk>
    <bk>
      <rc t="2" v="1855"/>
    </bk>
    <bk>
      <rc t="2" v="1856"/>
    </bk>
    <bk>
      <rc t="2" v="1857"/>
    </bk>
    <bk>
      <rc t="2" v="1858"/>
    </bk>
    <bk>
      <rc t="2" v="1859"/>
    </bk>
    <bk>
      <rc t="2" v="1860"/>
    </bk>
    <bk>
      <rc t="2" v="1861"/>
    </bk>
    <bk>
      <rc t="2" v="1862"/>
    </bk>
    <bk>
      <rc t="2" v="1863"/>
    </bk>
    <bk>
      <rc t="2" v="1864"/>
    </bk>
    <bk>
      <rc t="2" v="1865"/>
    </bk>
    <bk>
      <rc t="2" v="1866"/>
    </bk>
    <bk>
      <rc t="2" v="1867"/>
    </bk>
    <bk>
      <rc t="2" v="1868"/>
    </bk>
    <bk>
      <rc t="2" v="1869"/>
    </bk>
    <bk>
      <rc t="2" v="1870"/>
    </bk>
    <bk>
      <rc t="2" v="1871"/>
    </bk>
    <bk>
      <rc t="2" v="1872"/>
    </bk>
    <bk>
      <rc t="2" v="1873"/>
    </bk>
    <bk>
      <rc t="2" v="1874"/>
    </bk>
    <bk>
      <rc t="2" v="1875"/>
    </bk>
    <bk>
      <rc t="2" v="1876"/>
    </bk>
    <bk>
      <rc t="2" v="1877"/>
    </bk>
    <bk>
      <rc t="2" v="1878"/>
    </bk>
    <bk>
      <rc t="2" v="1879"/>
    </bk>
    <bk>
      <rc t="2" v="1880"/>
    </bk>
    <bk>
      <rc t="2" v="1881"/>
    </bk>
    <bk>
      <rc t="2" v="1882"/>
    </bk>
    <bk>
      <rc t="2" v="1883"/>
    </bk>
    <bk>
      <rc t="2" v="1884"/>
    </bk>
    <bk>
      <rc t="2" v="1885"/>
    </bk>
    <bk>
      <rc t="2" v="1886"/>
    </bk>
    <bk>
      <rc t="2" v="1887"/>
    </bk>
    <bk>
      <rc t="2" v="1888"/>
    </bk>
    <bk>
      <rc t="2" v="1889"/>
    </bk>
    <bk>
      <rc t="2" v="1890"/>
    </bk>
    <bk>
      <rc t="2" v="1891"/>
    </bk>
    <bk>
      <rc t="2" v="1892"/>
    </bk>
    <bk>
      <rc t="2" v="1893"/>
    </bk>
    <bk>
      <rc t="2" v="1894"/>
    </bk>
    <bk>
      <rc t="2" v="1895"/>
    </bk>
    <bk>
      <rc t="2" v="1896"/>
    </bk>
    <bk>
      <rc t="2" v="1897"/>
    </bk>
    <bk>
      <rc t="2" v="1898"/>
    </bk>
    <bk>
      <rc t="2" v="1899"/>
    </bk>
    <bk>
      <rc t="2" v="1900"/>
    </bk>
    <bk>
      <rc t="2" v="1901"/>
    </bk>
    <bk>
      <rc t="2" v="1902"/>
    </bk>
    <bk>
      <rc t="2" v="1903"/>
    </bk>
    <bk>
      <rc t="2" v="1904"/>
    </bk>
    <bk>
      <rc t="2" v="1905"/>
    </bk>
    <bk>
      <rc t="2" v="1906"/>
    </bk>
    <bk>
      <rc t="2" v="1907"/>
    </bk>
    <bk>
      <rc t="2" v="1908"/>
    </bk>
    <bk>
      <rc t="2" v="1909"/>
    </bk>
    <bk>
      <rc t="2" v="1910"/>
    </bk>
    <bk>
      <rc t="2" v="1911"/>
    </bk>
    <bk>
      <rc t="2" v="1912"/>
    </bk>
    <bk>
      <rc t="2" v="1913"/>
    </bk>
    <bk>
      <rc t="2" v="1914"/>
    </bk>
    <bk>
      <rc t="2" v="1915"/>
    </bk>
    <bk>
      <rc t="2" v="1916"/>
    </bk>
    <bk>
      <rc t="2" v="1917"/>
    </bk>
    <bk>
      <rc t="2" v="1918"/>
    </bk>
    <bk>
      <rc t="2" v="1919"/>
    </bk>
    <bk>
      <rc t="2" v="1920"/>
    </bk>
    <bk>
      <rc t="2" v="1921"/>
    </bk>
    <bk>
      <rc t="2" v="1922"/>
    </bk>
    <bk>
      <rc t="2" v="1923"/>
    </bk>
    <bk>
      <rc t="2" v="1924"/>
    </bk>
    <bk>
      <rc t="2" v="1925"/>
    </bk>
    <bk>
      <rc t="2" v="1926"/>
    </bk>
    <bk>
      <rc t="2" v="1927"/>
    </bk>
    <bk>
      <rc t="2" v="1928"/>
    </bk>
    <bk>
      <rc t="2" v="1929"/>
    </bk>
    <bk>
      <rc t="2" v="1930"/>
    </bk>
    <bk>
      <rc t="2" v="1931"/>
    </bk>
    <bk>
      <rc t="2" v="1932"/>
    </bk>
    <bk>
      <rc t="2" v="1933"/>
    </bk>
    <bk>
      <rc t="2" v="1934"/>
    </bk>
    <bk>
      <rc t="2" v="1935"/>
    </bk>
    <bk>
      <rc t="2" v="1936"/>
    </bk>
    <bk>
      <rc t="2" v="1937"/>
    </bk>
    <bk>
      <rc t="2" v="1938"/>
    </bk>
    <bk>
      <rc t="2" v="1939"/>
    </bk>
    <bk>
      <rc t="2" v="1940"/>
    </bk>
    <bk>
      <rc t="2" v="1941"/>
    </bk>
    <bk>
      <rc t="2" v="1942"/>
    </bk>
    <bk>
      <rc t="2" v="1943"/>
    </bk>
    <bk>
      <rc t="2" v="1944"/>
    </bk>
    <bk>
      <rc t="2" v="1945"/>
    </bk>
    <bk>
      <rc t="2" v="1946"/>
    </bk>
    <bk>
      <rc t="2" v="1947"/>
    </bk>
    <bk>
      <rc t="2" v="1948"/>
    </bk>
    <bk>
      <rc t="2" v="1949"/>
    </bk>
    <bk>
      <rc t="2" v="1950"/>
    </bk>
    <bk>
      <rc t="2" v="1951"/>
    </bk>
    <bk>
      <rc t="2" v="1952"/>
    </bk>
    <bk>
      <rc t="2" v="1953"/>
    </bk>
    <bk>
      <rc t="2" v="1954"/>
    </bk>
    <bk>
      <rc t="2" v="1955"/>
    </bk>
    <bk>
      <rc t="2" v="1956"/>
    </bk>
    <bk>
      <rc t="2" v="1957"/>
    </bk>
    <bk>
      <rc t="2" v="1958"/>
    </bk>
    <bk>
      <rc t="2" v="1959"/>
    </bk>
    <bk>
      <rc t="2" v="1960"/>
    </bk>
    <bk>
      <rc t="2" v="1961"/>
    </bk>
    <bk>
      <rc t="2" v="1962"/>
    </bk>
    <bk>
      <rc t="2" v="1963"/>
    </bk>
    <bk>
      <rc t="2" v="1964"/>
    </bk>
    <bk>
      <rc t="2" v="1965"/>
    </bk>
    <bk>
      <rc t="2" v="1966"/>
    </bk>
    <bk>
      <rc t="2" v="1967"/>
    </bk>
    <bk>
      <rc t="2" v="1968"/>
    </bk>
    <bk>
      <rc t="2" v="1969"/>
    </bk>
    <bk>
      <rc t="2" v="1970"/>
    </bk>
    <bk>
      <rc t="2" v="1971"/>
    </bk>
    <bk>
      <rc t="2" v="1972"/>
    </bk>
    <bk>
      <rc t="2" v="1973"/>
    </bk>
    <bk>
      <rc t="2" v="1974"/>
    </bk>
    <bk>
      <rc t="2" v="1975"/>
    </bk>
    <bk>
      <rc t="2" v="1976"/>
    </bk>
    <bk>
      <rc t="2" v="1977"/>
    </bk>
    <bk>
      <rc t="2" v="1978"/>
    </bk>
    <bk>
      <rc t="2" v="1979"/>
    </bk>
    <bk>
      <rc t="2" v="1980"/>
    </bk>
    <bk>
      <rc t="2" v="1981"/>
    </bk>
    <bk>
      <rc t="2" v="1982"/>
    </bk>
    <bk>
      <rc t="2" v="1983"/>
    </bk>
    <bk>
      <rc t="2" v="1984"/>
    </bk>
    <bk>
      <rc t="2" v="1985"/>
    </bk>
    <bk>
      <rc t="2" v="1986"/>
    </bk>
    <bk>
      <rc t="2" v="1987"/>
    </bk>
    <bk>
      <rc t="2" v="1988"/>
    </bk>
    <bk>
      <rc t="2" v="1989"/>
    </bk>
    <bk>
      <rc t="2" v="1990"/>
    </bk>
    <bk>
      <rc t="2" v="1991"/>
    </bk>
    <bk>
      <rc t="2" v="1992"/>
    </bk>
    <bk>
      <rc t="2" v="1993"/>
    </bk>
    <bk>
      <rc t="2" v="1994"/>
    </bk>
    <bk>
      <rc t="2" v="1995"/>
    </bk>
    <bk>
      <rc t="2" v="1996"/>
    </bk>
    <bk>
      <rc t="2" v="1997"/>
    </bk>
    <bk>
      <rc t="2" v="1998"/>
    </bk>
    <bk>
      <rc t="2" v="1999"/>
    </bk>
    <bk>
      <rc t="2" v="2000"/>
    </bk>
    <bk>
      <rc t="2" v="2001"/>
    </bk>
    <bk>
      <rc t="2" v="2002"/>
    </bk>
    <bk>
      <rc t="2" v="2003"/>
    </bk>
    <bk>
      <rc t="2" v="2004"/>
    </bk>
    <bk>
      <rc t="2" v="2005"/>
    </bk>
    <bk>
      <rc t="2" v="2006"/>
    </bk>
    <bk>
      <rc t="2" v="2007"/>
    </bk>
    <bk>
      <rc t="2" v="2008"/>
    </bk>
    <bk>
      <rc t="2" v="2009"/>
    </bk>
    <bk>
      <rc t="2" v="2010"/>
    </bk>
    <bk>
      <rc t="2" v="2011"/>
    </bk>
    <bk>
      <rc t="2" v="2012"/>
    </bk>
    <bk>
      <rc t="2" v="2013"/>
    </bk>
    <bk>
      <rc t="2" v="2014"/>
    </bk>
    <bk>
      <rc t="2" v="2015"/>
    </bk>
    <bk>
      <rc t="2" v="2016"/>
    </bk>
    <bk>
      <rc t="2" v="2017"/>
    </bk>
    <bk>
      <rc t="2" v="2018"/>
    </bk>
    <bk>
      <rc t="2" v="2019"/>
    </bk>
    <bk>
      <rc t="2" v="2020"/>
    </bk>
    <bk>
      <rc t="2" v="2021"/>
    </bk>
    <bk>
      <rc t="2" v="2022"/>
    </bk>
    <bk>
      <rc t="2" v="2023"/>
    </bk>
    <bk>
      <rc t="2" v="2024"/>
    </bk>
    <bk>
      <rc t="2" v="2025"/>
    </bk>
    <bk>
      <rc t="2" v="2026"/>
    </bk>
    <bk>
      <rc t="2" v="2027"/>
    </bk>
    <bk>
      <rc t="2" v="2028"/>
    </bk>
    <bk>
      <rc t="2" v="2029"/>
    </bk>
    <bk>
      <rc t="2" v="2030"/>
    </bk>
    <bk>
      <rc t="2" v="2031"/>
    </bk>
    <bk>
      <rc t="2" v="2032"/>
    </bk>
    <bk>
      <rc t="2" v="2033"/>
    </bk>
    <bk>
      <rc t="2" v="2034"/>
    </bk>
    <bk>
      <rc t="2" v="2035"/>
    </bk>
    <bk>
      <rc t="2" v="2036"/>
    </bk>
    <bk>
      <rc t="2" v="2037"/>
    </bk>
    <bk>
      <rc t="2" v="2038"/>
    </bk>
    <bk>
      <rc t="2" v="2039"/>
    </bk>
    <bk>
      <rc t="2" v="2040"/>
    </bk>
    <bk>
      <rc t="2" v="2041"/>
    </bk>
    <bk>
      <rc t="2" v="2042"/>
    </bk>
    <bk>
      <rc t="2" v="2043"/>
    </bk>
    <bk>
      <rc t="2" v="2044"/>
    </bk>
    <bk>
      <rc t="2" v="2045"/>
    </bk>
    <bk>
      <rc t="2" v="2046"/>
    </bk>
    <bk>
      <rc t="2" v="2047"/>
    </bk>
    <bk>
      <rc t="2" v="2048"/>
    </bk>
    <bk>
      <rc t="2" v="2049"/>
    </bk>
    <bk>
      <rc t="2" v="2050"/>
    </bk>
    <bk>
      <rc t="2" v="2051"/>
    </bk>
    <bk>
      <rc t="2" v="2052"/>
    </bk>
    <bk>
      <rc t="2" v="2053"/>
    </bk>
    <bk>
      <rc t="2" v="2054"/>
    </bk>
    <bk>
      <rc t="2" v="2055"/>
    </bk>
    <bk>
      <rc t="2" v="2056"/>
    </bk>
    <bk>
      <rc t="2" v="2057"/>
    </bk>
    <bk>
      <rc t="2" v="2058"/>
    </bk>
    <bk>
      <rc t="2" v="2059"/>
    </bk>
    <bk>
      <rc t="2" v="2060"/>
    </bk>
    <bk>
      <rc t="2" v="2061"/>
    </bk>
    <bk>
      <rc t="2" v="2062"/>
    </bk>
    <bk>
      <rc t="2" v="2063"/>
    </bk>
    <bk>
      <rc t="2" v="2064"/>
    </bk>
    <bk>
      <rc t="2" v="2065"/>
    </bk>
    <bk>
      <rc t="2" v="2066"/>
    </bk>
    <bk>
      <rc t="2" v="2067"/>
    </bk>
    <bk>
      <rc t="2" v="2068"/>
    </bk>
    <bk>
      <rc t="2" v="2069"/>
    </bk>
    <bk>
      <rc t="2" v="2070"/>
    </bk>
    <bk>
      <rc t="2" v="2071"/>
    </bk>
    <bk>
      <rc t="2" v="2072"/>
    </bk>
    <bk>
      <rc t="2" v="2073"/>
    </bk>
    <bk>
      <rc t="2" v="2074"/>
    </bk>
    <bk>
      <rc t="2" v="2075"/>
    </bk>
    <bk>
      <rc t="2" v="2076"/>
    </bk>
    <bk>
      <rc t="2" v="2077"/>
    </bk>
    <bk>
      <rc t="2" v="2078"/>
    </bk>
    <bk>
      <rc t="2" v="2079"/>
    </bk>
    <bk>
      <rc t="2" v="2080"/>
    </bk>
    <bk>
      <rc t="2" v="2081"/>
    </bk>
    <bk>
      <rc t="2" v="2082"/>
    </bk>
    <bk>
      <rc t="2" v="2083"/>
    </bk>
    <bk>
      <rc t="2" v="2084"/>
    </bk>
    <bk>
      <rc t="2" v="2085"/>
    </bk>
    <bk>
      <rc t="2" v="2086"/>
    </bk>
    <bk>
      <rc t="2" v="2087"/>
    </bk>
    <bk>
      <rc t="2" v="2088"/>
    </bk>
    <bk>
      <rc t="2" v="2089"/>
    </bk>
    <bk>
      <rc t="2" v="2090"/>
    </bk>
    <bk>
      <rc t="2" v="2091"/>
    </bk>
    <bk>
      <rc t="2" v="2092"/>
    </bk>
    <bk>
      <rc t="2" v="2093"/>
    </bk>
    <bk>
      <rc t="2" v="2094"/>
    </bk>
    <bk>
      <rc t="2" v="2095"/>
    </bk>
    <bk>
      <rc t="2" v="2096"/>
    </bk>
    <bk>
      <rc t="2" v="2097"/>
    </bk>
    <bk>
      <rc t="2" v="2098"/>
    </bk>
    <bk>
      <rc t="2" v="2099"/>
    </bk>
    <bk>
      <rc t="2" v="2100"/>
    </bk>
    <bk>
      <rc t="2" v="2101"/>
    </bk>
    <bk>
      <rc t="2" v="2102"/>
    </bk>
    <bk>
      <rc t="2" v="2103"/>
    </bk>
    <bk>
      <rc t="2" v="2104"/>
    </bk>
    <bk>
      <rc t="2" v="2105"/>
    </bk>
    <bk>
      <rc t="2" v="2106"/>
    </bk>
    <bk>
      <rc t="2" v="2107"/>
    </bk>
    <bk>
      <rc t="2" v="2108"/>
    </bk>
    <bk>
      <rc t="2" v="2109"/>
    </bk>
    <bk>
      <rc t="2" v="2110"/>
    </bk>
    <bk>
      <rc t="2" v="2111"/>
    </bk>
    <bk>
      <rc t="2" v="2112"/>
    </bk>
    <bk>
      <rc t="2" v="2113"/>
    </bk>
    <bk>
      <rc t="2" v="2114"/>
    </bk>
    <bk>
      <rc t="2" v="2115"/>
    </bk>
    <bk>
      <rc t="2" v="2116"/>
    </bk>
    <bk>
      <rc t="2" v="2117"/>
    </bk>
    <bk>
      <rc t="2" v="2118"/>
    </bk>
    <bk>
      <rc t="2" v="2119"/>
    </bk>
    <bk>
      <rc t="2" v="2120"/>
    </bk>
    <bk>
      <rc t="2" v="2121"/>
    </bk>
    <bk>
      <rc t="2" v="2122"/>
    </bk>
    <bk>
      <rc t="2" v="2123"/>
    </bk>
    <bk>
      <rc t="2" v="2124"/>
    </bk>
    <bk>
      <rc t="2" v="2125"/>
    </bk>
    <bk>
      <rc t="2" v="2126"/>
    </bk>
    <bk>
      <rc t="2" v="2127"/>
    </bk>
    <bk>
      <rc t="2" v="2128"/>
    </bk>
    <bk>
      <rc t="2" v="2129"/>
    </bk>
    <bk>
      <rc t="2" v="2130"/>
    </bk>
    <bk>
      <rc t="2" v="2131"/>
    </bk>
    <bk>
      <rc t="2" v="2132"/>
    </bk>
    <bk>
      <rc t="2" v="2133"/>
    </bk>
    <bk>
      <rc t="2" v="2134"/>
    </bk>
    <bk>
      <rc t="2" v="2135"/>
    </bk>
    <bk>
      <rc t="2" v="2136"/>
    </bk>
    <bk>
      <rc t="2" v="2137"/>
    </bk>
    <bk>
      <rc t="2" v="2138"/>
    </bk>
    <bk>
      <rc t="2" v="2139"/>
    </bk>
    <bk>
      <rc t="2" v="2140"/>
    </bk>
    <bk>
      <rc t="2" v="2141"/>
    </bk>
    <bk>
      <rc t="2" v="2142"/>
    </bk>
    <bk>
      <rc t="2" v="2143"/>
    </bk>
    <bk>
      <rc t="2" v="2144"/>
    </bk>
    <bk>
      <rc t="2" v="2145"/>
    </bk>
    <bk>
      <rc t="2" v="2146"/>
    </bk>
    <bk>
      <rc t="2" v="2147"/>
    </bk>
    <bk>
      <rc t="2" v="2148"/>
    </bk>
    <bk>
      <rc t="2" v="2149"/>
    </bk>
    <bk>
      <rc t="2" v="2150"/>
    </bk>
    <bk>
      <rc t="2" v="2151"/>
    </bk>
    <bk>
      <rc t="2" v="2152"/>
    </bk>
    <bk>
      <rc t="2" v="2153"/>
    </bk>
    <bk>
      <rc t="2" v="2154"/>
    </bk>
    <bk>
      <rc t="2" v="2155"/>
    </bk>
    <bk>
      <rc t="2" v="2156"/>
    </bk>
    <bk>
      <rc t="2" v="2157"/>
    </bk>
    <bk>
      <rc t="2" v="2158"/>
    </bk>
    <bk>
      <rc t="2" v="2159"/>
    </bk>
    <bk>
      <rc t="2" v="2160"/>
    </bk>
    <bk>
      <rc t="2" v="2161"/>
    </bk>
    <bk>
      <rc t="2" v="2162"/>
    </bk>
    <bk>
      <rc t="2" v="2163"/>
    </bk>
    <bk>
      <rc t="2" v="2164"/>
    </bk>
    <bk>
      <rc t="2" v="2165"/>
    </bk>
    <bk>
      <rc t="2" v="2166"/>
    </bk>
    <bk>
      <rc t="2" v="2167"/>
    </bk>
    <bk>
      <rc t="2" v="2168"/>
    </bk>
    <bk>
      <rc t="2" v="2169"/>
    </bk>
    <bk>
      <rc t="2" v="2170"/>
    </bk>
    <bk>
      <rc t="2" v="2171"/>
    </bk>
    <bk>
      <rc t="2" v="2172"/>
    </bk>
    <bk>
      <rc t="2" v="2173"/>
    </bk>
    <bk>
      <rc t="2" v="2174"/>
    </bk>
    <bk>
      <rc t="2" v="2175"/>
    </bk>
    <bk>
      <rc t="2" v="2176"/>
    </bk>
    <bk>
      <rc t="2" v="2177"/>
    </bk>
    <bk>
      <rc t="2" v="2178"/>
    </bk>
    <bk>
      <rc t="2" v="2179"/>
    </bk>
    <bk>
      <rc t="2" v="2180"/>
    </bk>
    <bk>
      <rc t="2" v="2181"/>
    </bk>
    <bk>
      <rc t="2" v="2182"/>
    </bk>
    <bk>
      <rc t="2" v="2183"/>
    </bk>
    <bk>
      <rc t="2" v="2184"/>
    </bk>
    <bk>
      <rc t="2" v="2185"/>
    </bk>
    <bk>
      <rc t="2" v="2186"/>
    </bk>
    <bk>
      <rc t="2" v="2187"/>
    </bk>
    <bk>
      <rc t="2" v="2188"/>
    </bk>
    <bk>
      <rc t="2" v="2189"/>
    </bk>
    <bk>
      <rc t="2" v="2190"/>
    </bk>
    <bk>
      <rc t="2" v="2191"/>
    </bk>
    <bk>
      <rc t="2" v="2192"/>
    </bk>
    <bk>
      <rc t="2" v="2193"/>
    </bk>
    <bk>
      <rc t="2" v="2194"/>
    </bk>
    <bk>
      <rc t="2" v="2195"/>
    </bk>
    <bk>
      <rc t="2" v="2196"/>
    </bk>
    <bk>
      <rc t="2" v="2197"/>
    </bk>
    <bk>
      <rc t="2" v="2198"/>
    </bk>
    <bk>
      <rc t="2" v="2199"/>
    </bk>
    <bk>
      <rc t="2" v="2200"/>
    </bk>
    <bk>
      <rc t="2" v="2201"/>
    </bk>
    <bk>
      <rc t="2" v="2202"/>
    </bk>
    <bk>
      <rc t="2" v="2203"/>
    </bk>
    <bk>
      <rc t="2" v="2204"/>
    </bk>
    <bk>
      <rc t="2" v="2205"/>
    </bk>
    <bk>
      <rc t="2" v="2206"/>
    </bk>
    <bk>
      <rc t="2" v="2207"/>
    </bk>
    <bk>
      <rc t="2" v="2208"/>
    </bk>
    <bk>
      <rc t="2" v="2209"/>
    </bk>
    <bk>
      <rc t="2" v="2210"/>
    </bk>
    <bk>
      <rc t="2" v="2211"/>
    </bk>
    <bk>
      <rc t="2" v="2212"/>
    </bk>
    <bk>
      <rc t="2" v="2213"/>
    </bk>
    <bk>
      <rc t="2" v="2214"/>
    </bk>
    <bk>
      <rc t="2" v="2215"/>
    </bk>
    <bk>
      <rc t="2" v="2216"/>
    </bk>
    <bk>
      <rc t="2" v="2217"/>
    </bk>
    <bk>
      <rc t="2" v="2218"/>
    </bk>
    <bk>
      <rc t="2" v="2219"/>
    </bk>
    <bk>
      <rc t="2" v="2220"/>
    </bk>
    <bk>
      <rc t="2" v="2221"/>
    </bk>
    <bk>
      <rc t="2" v="2222"/>
    </bk>
    <bk>
      <rc t="2" v="2223"/>
    </bk>
    <bk>
      <rc t="2" v="2224"/>
    </bk>
    <bk>
      <rc t="2" v="2225"/>
    </bk>
    <bk>
      <rc t="2" v="2226"/>
    </bk>
    <bk>
      <rc t="2" v="2227"/>
    </bk>
    <bk>
      <rc t="2" v="2228"/>
    </bk>
    <bk>
      <rc t="2" v="2229"/>
    </bk>
    <bk>
      <rc t="2" v="2230"/>
    </bk>
    <bk>
      <rc t="2" v="2231"/>
    </bk>
    <bk>
      <rc t="2" v="2232"/>
    </bk>
    <bk>
      <rc t="2" v="2233"/>
    </bk>
    <bk>
      <rc t="2" v="2234"/>
    </bk>
    <bk>
      <rc t="2" v="2235"/>
    </bk>
    <bk>
      <rc t="2" v="2236"/>
    </bk>
    <bk>
      <rc t="2" v="2237"/>
    </bk>
    <bk>
      <rc t="2" v="2238"/>
    </bk>
    <bk>
      <rc t="2" v="2239"/>
    </bk>
    <bk>
      <rc t="2" v="2240"/>
    </bk>
    <bk>
      <rc t="2" v="2241"/>
    </bk>
    <bk>
      <rc t="2" v="2242"/>
    </bk>
    <bk>
      <rc t="2" v="2243"/>
    </bk>
    <bk>
      <rc t="2" v="2244"/>
    </bk>
    <bk>
      <rc t="2" v="2245"/>
    </bk>
    <bk>
      <rc t="2" v="2246"/>
    </bk>
    <bk>
      <rc t="2" v="2247"/>
    </bk>
    <bk>
      <rc t="2" v="2248"/>
    </bk>
    <bk>
      <rc t="2" v="2249"/>
    </bk>
    <bk>
      <rc t="2" v="2250"/>
    </bk>
    <bk>
      <rc t="2" v="2251"/>
    </bk>
    <bk>
      <rc t="2" v="2252"/>
    </bk>
    <bk>
      <rc t="2" v="2253"/>
    </bk>
    <bk>
      <rc t="2" v="2254"/>
    </bk>
    <bk>
      <rc t="2" v="2255"/>
    </bk>
    <bk>
      <rc t="2" v="2256"/>
    </bk>
    <bk>
      <rc t="2" v="2257"/>
    </bk>
    <bk>
      <rc t="2" v="2258"/>
    </bk>
    <bk>
      <rc t="2" v="2259"/>
    </bk>
    <bk>
      <rc t="2" v="2260"/>
    </bk>
    <bk>
      <rc t="2" v="2261"/>
    </bk>
    <bk>
      <rc t="2" v="2262"/>
    </bk>
    <bk>
      <rc t="2" v="2263"/>
    </bk>
    <bk>
      <rc t="2" v="2264"/>
    </bk>
    <bk>
      <rc t="2" v="2265"/>
    </bk>
    <bk>
      <rc t="2" v="2266"/>
    </bk>
    <bk>
      <rc t="2" v="2267"/>
    </bk>
    <bk>
      <rc t="2" v="2268"/>
    </bk>
    <bk>
      <rc t="2" v="2269"/>
    </bk>
    <bk>
      <rc t="2" v="2270"/>
    </bk>
    <bk>
      <rc t="2" v="2271"/>
    </bk>
    <bk>
      <rc t="2" v="2272"/>
    </bk>
    <bk>
      <rc t="2" v="2273"/>
    </bk>
    <bk>
      <rc t="2" v="2274"/>
    </bk>
    <bk>
      <rc t="2" v="2275"/>
    </bk>
    <bk>
      <rc t="2" v="2276"/>
    </bk>
    <bk>
      <rc t="2" v="2277"/>
    </bk>
    <bk>
      <rc t="2" v="2278"/>
    </bk>
    <bk>
      <rc t="2" v="2279"/>
    </bk>
    <bk>
      <rc t="2" v="2280"/>
    </bk>
    <bk>
      <rc t="2" v="2281"/>
    </bk>
    <bk>
      <rc t="2" v="2282"/>
    </bk>
    <bk>
      <rc t="2" v="2283"/>
    </bk>
    <bk>
      <rc t="2" v="2284"/>
    </bk>
    <bk>
      <rc t="2" v="2285"/>
    </bk>
    <bk>
      <rc t="2" v="2286"/>
    </bk>
    <bk>
      <rc t="2" v="2287"/>
    </bk>
    <bk>
      <rc t="2" v="2288"/>
    </bk>
    <bk>
      <rc t="2" v="2289"/>
    </bk>
    <bk>
      <rc t="2" v="2290"/>
    </bk>
    <bk>
      <rc t="2" v="2291"/>
    </bk>
    <bk>
      <rc t="2" v="2292"/>
    </bk>
    <bk>
      <rc t="2" v="2293"/>
    </bk>
    <bk>
      <rc t="2" v="2294"/>
    </bk>
    <bk>
      <rc t="2" v="2295"/>
    </bk>
    <bk>
      <rc t="2" v="2296"/>
    </bk>
    <bk>
      <rc t="2" v="2297"/>
    </bk>
    <bk>
      <rc t="2" v="2298"/>
    </bk>
    <bk>
      <rc t="2" v="2299"/>
    </bk>
    <bk>
      <rc t="2" v="2300"/>
    </bk>
    <bk>
      <rc t="2" v="2301"/>
    </bk>
    <bk>
      <rc t="2" v="2302"/>
    </bk>
    <bk>
      <rc t="2" v="2303"/>
    </bk>
    <bk>
      <rc t="2" v="2304"/>
    </bk>
    <bk>
      <rc t="2" v="2305"/>
    </bk>
    <bk>
      <rc t="2" v="2306"/>
    </bk>
    <bk>
      <rc t="2" v="2307"/>
    </bk>
    <bk>
      <rc t="2" v="2308"/>
    </bk>
    <bk>
      <rc t="2" v="2309"/>
    </bk>
    <bk>
      <rc t="2" v="2310"/>
    </bk>
    <bk>
      <rc t="2" v="2311"/>
    </bk>
    <bk>
      <rc t="2" v="2312"/>
    </bk>
    <bk>
      <rc t="2" v="2313"/>
    </bk>
    <bk>
      <rc t="2" v="2314"/>
    </bk>
    <bk>
      <rc t="2" v="2315"/>
    </bk>
    <bk>
      <rc t="2" v="2316"/>
    </bk>
    <bk>
      <rc t="2" v="2317"/>
    </bk>
    <bk>
      <rc t="2" v="2318"/>
    </bk>
    <bk>
      <rc t="2" v="2319"/>
    </bk>
    <bk>
      <rc t="2" v="2320"/>
    </bk>
    <bk>
      <rc t="2" v="2321"/>
    </bk>
    <bk>
      <rc t="2" v="2322"/>
    </bk>
    <bk>
      <rc t="2" v="2323"/>
    </bk>
    <bk>
      <rc t="2" v="2324"/>
    </bk>
    <bk>
      <rc t="2" v="2325"/>
    </bk>
    <bk>
      <rc t="2" v="2326"/>
    </bk>
    <bk>
      <rc t="2" v="2327"/>
    </bk>
    <bk>
      <rc t="2" v="2328"/>
    </bk>
    <bk>
      <rc t="2" v="2329"/>
    </bk>
    <bk>
      <rc t="2" v="2330"/>
    </bk>
    <bk>
      <rc t="2" v="2331"/>
    </bk>
    <bk>
      <rc t="2" v="2332"/>
    </bk>
    <bk>
      <rc t="2" v="2333"/>
    </bk>
    <bk>
      <rc t="2" v="2334"/>
    </bk>
    <bk>
      <rc t="2" v="2335"/>
    </bk>
    <bk>
      <rc t="2" v="2336"/>
    </bk>
    <bk>
      <rc t="2" v="2337"/>
    </bk>
    <bk>
      <rc t="2" v="2338"/>
    </bk>
    <bk>
      <rc t="2" v="2339"/>
    </bk>
    <bk>
      <rc t="2" v="2340"/>
    </bk>
    <bk>
      <rc t="2" v="2341"/>
    </bk>
    <bk>
      <rc t="2" v="2342"/>
    </bk>
    <bk>
      <rc t="2" v="2343"/>
    </bk>
    <bk>
      <rc t="2" v="2344"/>
    </bk>
    <bk>
      <rc t="2" v="2345"/>
    </bk>
    <bk>
      <rc t="2" v="2346"/>
    </bk>
    <bk>
      <rc t="2" v="2347"/>
    </bk>
    <bk>
      <rc t="2" v="2348"/>
    </bk>
    <bk>
      <rc t="2" v="2349"/>
    </bk>
    <bk>
      <rc t="2" v="2350"/>
    </bk>
    <bk>
      <rc t="2" v="2351"/>
    </bk>
    <bk>
      <rc t="2" v="2352"/>
    </bk>
    <bk>
      <rc t="2" v="2353"/>
    </bk>
    <bk>
      <rc t="2" v="2354"/>
    </bk>
    <bk>
      <rc t="2" v="2355"/>
    </bk>
    <bk>
      <rc t="2" v="2356"/>
    </bk>
    <bk>
      <rc t="2" v="2357"/>
    </bk>
    <bk>
      <rc t="2" v="2358"/>
    </bk>
    <bk>
      <rc t="2" v="2359"/>
    </bk>
    <bk>
      <rc t="2" v="2360"/>
    </bk>
    <bk>
      <rc t="2" v="2361"/>
    </bk>
    <bk>
      <rc t="2" v="2362"/>
    </bk>
    <bk>
      <rc t="2" v="2363"/>
    </bk>
    <bk>
      <rc t="2" v="2364"/>
    </bk>
    <bk>
      <rc t="2" v="2365"/>
    </bk>
    <bk>
      <rc t="2" v="2366"/>
    </bk>
    <bk>
      <rc t="2" v="2367"/>
    </bk>
    <bk>
      <rc t="2" v="2368"/>
    </bk>
    <bk>
      <rc t="2" v="2369"/>
    </bk>
    <bk>
      <rc t="2" v="2370"/>
    </bk>
    <bk>
      <rc t="2" v="2371"/>
    </bk>
    <bk>
      <rc t="2" v="2372"/>
    </bk>
    <bk>
      <rc t="2" v="2373"/>
    </bk>
    <bk>
      <rc t="2" v="2374"/>
    </bk>
    <bk>
      <rc t="2" v="2375"/>
    </bk>
    <bk>
      <rc t="2" v="2376"/>
    </bk>
    <bk>
      <rc t="2" v="2377"/>
    </bk>
    <bk>
      <rc t="2" v="2378"/>
    </bk>
    <bk>
      <rc t="2" v="2379"/>
    </bk>
    <bk>
      <rc t="2" v="2380"/>
    </bk>
    <bk>
      <rc t="2" v="2381"/>
    </bk>
    <bk>
      <rc t="2" v="2382"/>
    </bk>
    <bk>
      <rc t="2" v="2383"/>
    </bk>
    <bk>
      <rc t="2" v="2384"/>
    </bk>
    <bk>
      <rc t="2" v="2385"/>
    </bk>
    <bk>
      <rc t="2" v="2386"/>
    </bk>
    <bk>
      <rc t="2" v="2387"/>
    </bk>
    <bk>
      <rc t="2" v="2388"/>
    </bk>
    <bk>
      <rc t="2" v="2389"/>
    </bk>
    <bk>
      <rc t="2" v="2390"/>
    </bk>
    <bk>
      <rc t="2" v="2391"/>
    </bk>
    <bk>
      <rc t="2" v="2392"/>
    </bk>
    <bk>
      <rc t="2" v="2393"/>
    </bk>
    <bk>
      <rc t="2" v="2394"/>
    </bk>
    <bk>
      <rc t="2" v="2395"/>
    </bk>
    <bk>
      <rc t="2" v="2396"/>
    </bk>
    <bk>
      <rc t="2" v="2397"/>
    </bk>
    <bk>
      <rc t="2" v="2398"/>
    </bk>
    <bk>
      <rc t="2" v="2399"/>
    </bk>
    <bk>
      <rc t="2" v="2400"/>
    </bk>
    <bk>
      <rc t="2" v="2401"/>
    </bk>
    <bk>
      <rc t="2" v="2402"/>
    </bk>
    <bk>
      <rc t="2" v="2403"/>
    </bk>
    <bk>
      <rc t="2" v="2404"/>
    </bk>
    <bk>
      <rc t="2" v="2405"/>
    </bk>
    <bk>
      <rc t="2" v="2406"/>
    </bk>
    <bk>
      <rc t="2" v="2407"/>
    </bk>
    <bk>
      <rc t="2" v="2408"/>
    </bk>
    <bk>
      <rc t="2" v="2409"/>
    </bk>
    <bk>
      <rc t="2" v="2410"/>
    </bk>
    <bk>
      <rc t="2" v="2411"/>
    </bk>
    <bk>
      <rc t="2" v="2412"/>
    </bk>
    <bk>
      <rc t="2" v="2413"/>
    </bk>
    <bk>
      <rc t="2" v="2414"/>
    </bk>
    <bk>
      <rc t="2" v="2415"/>
    </bk>
    <bk>
      <rc t="2" v="2416"/>
    </bk>
    <bk>
      <rc t="2" v="2417"/>
    </bk>
    <bk>
      <rc t="2" v="2418"/>
    </bk>
    <bk>
      <rc t="2" v="2419"/>
    </bk>
    <bk>
      <rc t="2" v="2420"/>
    </bk>
    <bk>
      <rc t="2" v="2421"/>
    </bk>
    <bk>
      <rc t="2" v="2422"/>
    </bk>
    <bk>
      <rc t="2" v="2423"/>
    </bk>
    <bk>
      <rc t="2" v="2424"/>
    </bk>
    <bk>
      <rc t="2" v="2425"/>
    </bk>
    <bk>
      <rc t="2" v="2426"/>
    </bk>
    <bk>
      <rc t="2" v="2427"/>
    </bk>
    <bk>
      <rc t="2" v="2428"/>
    </bk>
    <bk>
      <rc t="2" v="2429"/>
    </bk>
    <bk>
      <rc t="2" v="2430"/>
    </bk>
    <bk>
      <rc t="2" v="2431"/>
    </bk>
    <bk>
      <rc t="2" v="2432"/>
    </bk>
    <bk>
      <rc t="2" v="2433"/>
    </bk>
    <bk>
      <rc t="2" v="2434"/>
    </bk>
    <bk>
      <rc t="2" v="2435"/>
    </bk>
    <bk>
      <rc t="2" v="2436"/>
    </bk>
    <bk>
      <rc t="2" v="2437"/>
    </bk>
    <bk>
      <rc t="2" v="2438"/>
    </bk>
    <bk>
      <rc t="2" v="2439"/>
    </bk>
    <bk>
      <rc t="2" v="2440"/>
    </bk>
    <bk>
      <rc t="2" v="2441"/>
    </bk>
    <bk>
      <rc t="2" v="2442"/>
    </bk>
    <bk>
      <rc t="2" v="2443"/>
    </bk>
    <bk>
      <rc t="2" v="2444"/>
    </bk>
    <bk>
      <rc t="2" v="2445"/>
    </bk>
    <bk>
      <rc t="2" v="2446"/>
    </bk>
    <bk>
      <rc t="2" v="2447"/>
    </bk>
    <bk>
      <rc t="2" v="2448"/>
    </bk>
    <bk>
      <rc t="2" v="2449"/>
    </bk>
    <bk>
      <rc t="2" v="2450"/>
    </bk>
    <bk>
      <rc t="2" v="2451"/>
    </bk>
    <bk>
      <rc t="2" v="2452"/>
    </bk>
    <bk>
      <rc t="2" v="2453"/>
    </bk>
    <bk>
      <rc t="2" v="2454"/>
    </bk>
    <bk>
      <rc t="2" v="2455"/>
    </bk>
    <bk>
      <rc t="2" v="2456"/>
    </bk>
    <bk>
      <rc t="2" v="2457"/>
    </bk>
    <bk>
      <rc t="2" v="2458"/>
    </bk>
    <bk>
      <rc t="2" v="2459"/>
    </bk>
    <bk>
      <rc t="2" v="2460"/>
    </bk>
    <bk>
      <rc t="2" v="2461"/>
    </bk>
    <bk>
      <rc t="2" v="2462"/>
    </bk>
    <bk>
      <rc t="2" v="2463"/>
    </bk>
    <bk>
      <rc t="2" v="2464"/>
    </bk>
    <bk>
      <rc t="2" v="2465"/>
    </bk>
    <bk>
      <rc t="2" v="2466"/>
    </bk>
    <bk>
      <rc t="2" v="2467"/>
    </bk>
    <bk>
      <rc t="2" v="2468"/>
    </bk>
    <bk>
      <rc t="2" v="2469"/>
    </bk>
    <bk>
      <rc t="2" v="2470"/>
    </bk>
    <bk>
      <rc t="2" v="2471"/>
    </bk>
    <bk>
      <rc t="2" v="2472"/>
    </bk>
    <bk>
      <rc t="2" v="2473"/>
    </bk>
    <bk>
      <rc t="2" v="2474"/>
    </bk>
    <bk>
      <rc t="2" v="2475"/>
    </bk>
    <bk>
      <rc t="2" v="2476"/>
    </bk>
    <bk>
      <rc t="2" v="2477"/>
    </bk>
    <bk>
      <rc t="2" v="2478"/>
    </bk>
    <bk>
      <rc t="2" v="2479"/>
    </bk>
    <bk>
      <rc t="2" v="2480"/>
    </bk>
    <bk>
      <rc t="2" v="2481"/>
    </bk>
    <bk>
      <rc t="2" v="2482"/>
    </bk>
    <bk>
      <rc t="2" v="2483"/>
    </bk>
    <bk>
      <rc t="2" v="2484"/>
    </bk>
    <bk>
      <rc t="2" v="2485"/>
    </bk>
    <bk>
      <rc t="2" v="2486"/>
    </bk>
    <bk>
      <rc t="2" v="2487"/>
    </bk>
    <bk>
      <rc t="2" v="2488"/>
    </bk>
    <bk>
      <rc t="2" v="2489"/>
    </bk>
    <bk>
      <rc t="2" v="2490"/>
    </bk>
    <bk>
      <rc t="2" v="2491"/>
    </bk>
    <bk>
      <rc t="2" v="2492"/>
    </bk>
    <bk>
      <rc t="2" v="2493"/>
    </bk>
    <bk>
      <rc t="2" v="2494"/>
    </bk>
    <bk>
      <rc t="2" v="2495"/>
    </bk>
    <bk>
      <rc t="2" v="2496"/>
    </bk>
    <bk>
      <rc t="2" v="2497"/>
    </bk>
    <bk>
      <rc t="2" v="2498"/>
    </bk>
    <bk>
      <rc t="2" v="2499"/>
    </bk>
    <bk>
      <rc t="2" v="2500"/>
    </bk>
    <bk>
      <rc t="2" v="2501"/>
    </bk>
    <bk>
      <rc t="2" v="2502"/>
    </bk>
    <bk>
      <rc t="2" v="2503"/>
    </bk>
    <bk>
      <rc t="2" v="2504"/>
    </bk>
    <bk>
      <rc t="2" v="2505"/>
    </bk>
    <bk>
      <rc t="2" v="2506"/>
    </bk>
    <bk>
      <rc t="2" v="2507"/>
    </bk>
    <bk>
      <rc t="2" v="2508"/>
    </bk>
    <bk>
      <rc t="2" v="2509"/>
    </bk>
    <bk>
      <rc t="2" v="2510"/>
    </bk>
    <bk>
      <rc t="2" v="2511"/>
    </bk>
    <bk>
      <rc t="2" v="2512"/>
    </bk>
    <bk>
      <rc t="2" v="2513"/>
    </bk>
    <bk>
      <rc t="2" v="2514"/>
    </bk>
    <bk>
      <rc t="2" v="2515"/>
    </bk>
    <bk>
      <rc t="2" v="2516"/>
    </bk>
    <bk>
      <rc t="2" v="2517"/>
    </bk>
    <bk>
      <rc t="2" v="2518"/>
    </bk>
    <bk>
      <rc t="2" v="2519"/>
    </bk>
    <bk>
      <rc t="2" v="2520"/>
    </bk>
    <bk>
      <rc t="2" v="2521"/>
    </bk>
    <bk>
      <rc t="2" v="2522"/>
    </bk>
    <bk>
      <rc t="2" v="2523"/>
    </bk>
    <bk>
      <rc t="2" v="2524"/>
    </bk>
    <bk>
      <rc t="2" v="2525"/>
    </bk>
    <bk>
      <rc t="2" v="2526"/>
    </bk>
    <bk>
      <rc t="2" v="2527"/>
    </bk>
    <bk>
      <rc t="2" v="2528"/>
    </bk>
    <bk>
      <rc t="2" v="2529"/>
    </bk>
    <bk>
      <rc t="2" v="2530"/>
    </bk>
    <bk>
      <rc t="2" v="2531"/>
    </bk>
    <bk>
      <rc t="2" v="2532"/>
    </bk>
    <bk>
      <rc t="2" v="2533"/>
    </bk>
    <bk>
      <rc t="2" v="2534"/>
    </bk>
    <bk>
      <rc t="2" v="2535"/>
    </bk>
    <bk>
      <rc t="2" v="2536"/>
    </bk>
    <bk>
      <rc t="2" v="2537"/>
    </bk>
    <bk>
      <rc t="2" v="2538"/>
    </bk>
    <bk>
      <rc t="2" v="2539"/>
    </bk>
    <bk>
      <rc t="2" v="2540"/>
    </bk>
    <bk>
      <rc t="2" v="2541"/>
    </bk>
    <bk>
      <rc t="2" v="2542"/>
    </bk>
    <bk>
      <rc t="2" v="2543"/>
    </bk>
    <bk>
      <rc t="2" v="2544"/>
    </bk>
    <bk>
      <rc t="2" v="2545"/>
    </bk>
    <bk>
      <rc t="2" v="2546"/>
    </bk>
    <bk>
      <rc t="2" v="2547"/>
    </bk>
    <bk>
      <rc t="2" v="2548"/>
    </bk>
    <bk>
      <rc t="2" v="2549"/>
    </bk>
    <bk>
      <rc t="2" v="2550"/>
    </bk>
    <bk>
      <rc t="2" v="2551"/>
    </bk>
    <bk>
      <rc t="2" v="2552"/>
    </bk>
    <bk>
      <rc t="2" v="2553"/>
    </bk>
    <bk>
      <rc t="2" v="2554"/>
    </bk>
    <bk>
      <rc t="2" v="2555"/>
    </bk>
    <bk>
      <rc t="2" v="2556"/>
    </bk>
    <bk>
      <rc t="2" v="2557"/>
    </bk>
    <bk>
      <rc t="2" v="2558"/>
    </bk>
    <bk>
      <rc t="2" v="2559"/>
    </bk>
    <bk>
      <rc t="2" v="2560"/>
    </bk>
    <bk>
      <rc t="2" v="2561"/>
    </bk>
    <bk>
      <rc t="2" v="2562"/>
    </bk>
    <bk>
      <rc t="2" v="2563"/>
    </bk>
    <bk>
      <rc t="2" v="2564"/>
    </bk>
    <bk>
      <rc t="2" v="2565"/>
    </bk>
    <bk>
      <rc t="2" v="2566"/>
    </bk>
    <bk>
      <rc t="2" v="2567"/>
    </bk>
    <bk>
      <rc t="2" v="2568"/>
    </bk>
    <bk>
      <rc t="2" v="2569"/>
    </bk>
    <bk>
      <rc t="2" v="2570"/>
    </bk>
    <bk>
      <rc t="2" v="2571"/>
    </bk>
    <bk>
      <rc t="2" v="2572"/>
    </bk>
    <bk>
      <rc t="2" v="2573"/>
    </bk>
    <bk>
      <rc t="2" v="2574"/>
    </bk>
    <bk>
      <rc t="2" v="2575"/>
    </bk>
    <bk>
      <rc t="2" v="2576"/>
    </bk>
    <bk>
      <rc t="2" v="2577"/>
    </bk>
    <bk>
      <rc t="2" v="2578"/>
    </bk>
    <bk>
      <rc t="2" v="2579"/>
    </bk>
    <bk>
      <rc t="2" v="2580"/>
    </bk>
    <bk>
      <rc t="2" v="2581"/>
    </bk>
    <bk>
      <rc t="2" v="2582"/>
    </bk>
    <bk>
      <rc t="2" v="2583"/>
    </bk>
    <bk>
      <rc t="2" v="2584"/>
    </bk>
    <bk>
      <rc t="2" v="2585"/>
    </bk>
    <bk>
      <rc t="2" v="2586"/>
    </bk>
    <bk>
      <rc t="2" v="2587"/>
    </bk>
    <bk>
      <rc t="2" v="2588"/>
    </bk>
    <bk>
      <rc t="2" v="2589"/>
    </bk>
    <bk>
      <rc t="2" v="2590"/>
    </bk>
    <bk>
      <rc t="2" v="2591"/>
    </bk>
    <bk>
      <rc t="2" v="2592"/>
    </bk>
    <bk>
      <rc t="2" v="2593"/>
    </bk>
    <bk>
      <rc t="2" v="2594"/>
    </bk>
    <bk>
      <rc t="2" v="2595"/>
    </bk>
    <bk>
      <rc t="2" v="2596"/>
    </bk>
    <bk>
      <rc t="2" v="2597"/>
    </bk>
    <bk>
      <rc t="2" v="2598"/>
    </bk>
    <bk>
      <rc t="2" v="2599"/>
    </bk>
    <bk>
      <rc t="2" v="2600"/>
    </bk>
    <bk>
      <rc t="2" v="2601"/>
    </bk>
    <bk>
      <rc t="2" v="2602"/>
    </bk>
    <bk>
      <rc t="2" v="2603"/>
    </bk>
    <bk>
      <rc t="2" v="2604"/>
    </bk>
    <bk>
      <rc t="2" v="2605"/>
    </bk>
    <bk>
      <rc t="2" v="2606"/>
    </bk>
    <bk>
      <rc t="2" v="2607"/>
    </bk>
    <bk>
      <rc t="2" v="2608"/>
    </bk>
    <bk>
      <rc t="2" v="2609"/>
    </bk>
    <bk>
      <rc t="2" v="2610"/>
    </bk>
    <bk>
      <rc t="2" v="2611"/>
    </bk>
    <bk>
      <rc t="2" v="2612"/>
    </bk>
    <bk>
      <rc t="2" v="2613"/>
    </bk>
    <bk>
      <rc t="2" v="2614"/>
    </bk>
    <bk>
      <rc t="2" v="2615"/>
    </bk>
    <bk>
      <rc t="2" v="2616"/>
    </bk>
    <bk>
      <rc t="2" v="2617"/>
    </bk>
    <bk>
      <rc t="2" v="2618"/>
    </bk>
    <bk>
      <rc t="2" v="2619"/>
    </bk>
    <bk>
      <rc t="2" v="2620"/>
    </bk>
    <bk>
      <rc t="2" v="2621"/>
    </bk>
    <bk>
      <rc t="2" v="2622"/>
    </bk>
    <bk>
      <rc t="2" v="2623"/>
    </bk>
    <bk>
      <rc t="2" v="2624"/>
    </bk>
    <bk>
      <rc t="2" v="2625"/>
    </bk>
    <bk>
      <rc t="2" v="2626"/>
    </bk>
    <bk>
      <rc t="2" v="2627"/>
    </bk>
    <bk>
      <rc t="2" v="2628"/>
    </bk>
    <bk>
      <rc t="2" v="2629"/>
    </bk>
    <bk>
      <rc t="2" v="2630"/>
    </bk>
    <bk>
      <rc t="2" v="2631"/>
    </bk>
    <bk>
      <rc t="2" v="2632"/>
    </bk>
    <bk>
      <rc t="2" v="2633"/>
    </bk>
    <bk>
      <rc t="2" v="2634"/>
    </bk>
    <bk>
      <rc t="2" v="2635"/>
    </bk>
    <bk>
      <rc t="2" v="2636"/>
    </bk>
    <bk>
      <rc t="2" v="2637"/>
    </bk>
    <bk>
      <rc t="2" v="2638"/>
    </bk>
    <bk>
      <rc t="2" v="2639"/>
    </bk>
    <bk>
      <rc t="2" v="2640"/>
    </bk>
    <bk>
      <rc t="2" v="2641"/>
    </bk>
    <bk>
      <rc t="2" v="2642"/>
    </bk>
    <bk>
      <rc t="2" v="2643"/>
    </bk>
    <bk>
      <rc t="2" v="2644"/>
    </bk>
    <bk>
      <rc t="2" v="2645"/>
    </bk>
    <bk>
      <rc t="2" v="2646"/>
    </bk>
    <bk>
      <rc t="2" v="2647"/>
    </bk>
    <bk>
      <rc t="2" v="2648"/>
    </bk>
    <bk>
      <rc t="2" v="2649"/>
    </bk>
    <bk>
      <rc t="2" v="2650"/>
    </bk>
    <bk>
      <rc t="2" v="2651"/>
    </bk>
    <bk>
      <rc t="2" v="2652"/>
    </bk>
    <bk>
      <rc t="2" v="2653"/>
    </bk>
    <bk>
      <rc t="2" v="2654"/>
    </bk>
    <bk>
      <rc t="2" v="2655"/>
    </bk>
    <bk>
      <rc t="2" v="2656"/>
    </bk>
    <bk>
      <rc t="2" v="2657"/>
    </bk>
    <bk>
      <rc t="2" v="2658"/>
    </bk>
    <bk>
      <rc t="2" v="2659"/>
    </bk>
    <bk>
      <rc t="2" v="2660"/>
    </bk>
    <bk>
      <rc t="2" v="2661"/>
    </bk>
    <bk>
      <rc t="2" v="2662"/>
    </bk>
    <bk>
      <rc t="2" v="2663"/>
    </bk>
    <bk>
      <rc t="2" v="2664"/>
    </bk>
    <bk>
      <rc t="2" v="2665"/>
    </bk>
    <bk>
      <rc t="2" v="2666"/>
    </bk>
    <bk>
      <rc t="2" v="2667"/>
    </bk>
    <bk>
      <rc t="2" v="2668"/>
    </bk>
    <bk>
      <rc t="2" v="2669"/>
    </bk>
    <bk>
      <rc t="2" v="2670"/>
    </bk>
    <bk>
      <rc t="2" v="2671"/>
    </bk>
    <bk>
      <rc t="2" v="2672"/>
    </bk>
    <bk>
      <rc t="2" v="2673"/>
    </bk>
    <bk>
      <rc t="2" v="2674"/>
    </bk>
    <bk>
      <rc t="2" v="2675"/>
    </bk>
    <bk>
      <rc t="2" v="2676"/>
    </bk>
    <bk>
      <rc t="2" v="2677"/>
    </bk>
    <bk>
      <rc t="2" v="2678"/>
    </bk>
    <bk>
      <rc t="2" v="2679"/>
    </bk>
    <bk>
      <rc t="2" v="2680"/>
    </bk>
    <bk>
      <rc t="2" v="2681"/>
    </bk>
    <bk>
      <rc t="2" v="2682"/>
    </bk>
    <bk>
      <rc t="2" v="2683"/>
    </bk>
    <bk>
      <rc t="2" v="2684"/>
    </bk>
    <bk>
      <rc t="2" v="2685"/>
    </bk>
    <bk>
      <rc t="2" v="2686"/>
    </bk>
    <bk>
      <rc t="2" v="2687"/>
    </bk>
    <bk>
      <rc t="2" v="2688"/>
    </bk>
    <bk>
      <rc t="2" v="2689"/>
    </bk>
    <bk>
      <rc t="2" v="2690"/>
    </bk>
    <bk>
      <rc t="2" v="2691"/>
    </bk>
    <bk>
      <rc t="2" v="2692"/>
    </bk>
    <bk>
      <rc t="2" v="2693"/>
    </bk>
    <bk>
      <rc t="2" v="2694"/>
    </bk>
    <bk>
      <rc t="2" v="2695"/>
    </bk>
    <bk>
      <rc t="2" v="2696"/>
    </bk>
    <bk>
      <rc t="2" v="2697"/>
    </bk>
    <bk>
      <rc t="2" v="2698"/>
    </bk>
    <bk>
      <rc t="2" v="2699"/>
    </bk>
    <bk>
      <rc t="2" v="2700"/>
    </bk>
    <bk>
      <rc t="2" v="2701"/>
    </bk>
    <bk>
      <rc t="2" v="2702"/>
    </bk>
    <bk>
      <rc t="2" v="2703"/>
    </bk>
    <bk>
      <rc t="2" v="2704"/>
    </bk>
    <bk>
      <rc t="2" v="2705"/>
    </bk>
    <bk>
      <rc t="2" v="2706"/>
    </bk>
    <bk>
      <rc t="2" v="2707"/>
    </bk>
    <bk>
      <rc t="2" v="2708"/>
    </bk>
    <bk>
      <rc t="2" v="2709"/>
    </bk>
    <bk>
      <rc t="2" v="2710"/>
    </bk>
    <bk>
      <rc t="2" v="2711"/>
    </bk>
    <bk>
      <rc t="2" v="2712"/>
    </bk>
    <bk>
      <rc t="2" v="2713"/>
    </bk>
    <bk>
      <rc t="2" v="2714"/>
    </bk>
    <bk>
      <rc t="2" v="2715"/>
    </bk>
    <bk>
      <rc t="2" v="2716"/>
    </bk>
    <bk>
      <rc t="2" v="2717"/>
    </bk>
    <bk>
      <rc t="2" v="2718"/>
    </bk>
    <bk>
      <rc t="2" v="2719"/>
    </bk>
    <bk>
      <rc t="2" v="2720"/>
    </bk>
    <bk>
      <rc t="2" v="2721"/>
    </bk>
    <bk>
      <rc t="2" v="2722"/>
    </bk>
    <bk>
      <rc t="2" v="2723"/>
    </bk>
    <bk>
      <rc t="2" v="2724"/>
    </bk>
    <bk>
      <rc t="2" v="2725"/>
    </bk>
    <bk>
      <rc t="2" v="2726"/>
    </bk>
    <bk>
      <rc t="2" v="2727"/>
    </bk>
    <bk>
      <rc t="2" v="2728"/>
    </bk>
    <bk>
      <rc t="2" v="2729"/>
    </bk>
    <bk>
      <rc t="2" v="2730"/>
    </bk>
    <bk>
      <rc t="2" v="2731"/>
    </bk>
    <bk>
      <rc t="2" v="2732"/>
    </bk>
    <bk>
      <rc t="2" v="2733"/>
    </bk>
    <bk>
      <rc t="2" v="2734"/>
    </bk>
    <bk>
      <rc t="2" v="2735"/>
    </bk>
    <bk>
      <rc t="2" v="2736"/>
    </bk>
    <bk>
      <rc t="2" v="2737"/>
    </bk>
    <bk>
      <rc t="2" v="2738"/>
    </bk>
    <bk>
      <rc t="2" v="2739"/>
    </bk>
    <bk>
      <rc t="2" v="2740"/>
    </bk>
    <bk>
      <rc t="2" v="2741"/>
    </bk>
    <bk>
      <rc t="2" v="2742"/>
    </bk>
    <bk>
      <rc t="2" v="2743"/>
    </bk>
    <bk>
      <rc t="2" v="2744"/>
    </bk>
    <bk>
      <rc t="2" v="2745"/>
    </bk>
    <bk>
      <rc t="2" v="2746"/>
    </bk>
    <bk>
      <rc t="2" v="2747"/>
    </bk>
    <bk>
      <rc t="2" v="2748"/>
    </bk>
    <bk>
      <rc t="2" v="2749"/>
    </bk>
    <bk>
      <rc t="2" v="2750"/>
    </bk>
    <bk>
      <rc t="2" v="2751"/>
    </bk>
    <bk>
      <rc t="2" v="2752"/>
    </bk>
    <bk>
      <rc t="2" v="2753"/>
    </bk>
    <bk>
      <rc t="2" v="2754"/>
    </bk>
    <bk>
      <rc t="2" v="2755"/>
    </bk>
    <bk>
      <rc t="2" v="2756"/>
    </bk>
    <bk>
      <rc t="2" v="2757"/>
    </bk>
    <bk>
      <rc t="2" v="2758"/>
    </bk>
    <bk>
      <rc t="2" v="2759"/>
    </bk>
    <bk>
      <rc t="2" v="2760"/>
    </bk>
    <bk>
      <rc t="2" v="2761"/>
    </bk>
    <bk>
      <rc t="2" v="2762"/>
    </bk>
    <bk>
      <rc t="2" v="2763"/>
    </bk>
    <bk>
      <rc t="2" v="2764"/>
    </bk>
    <bk>
      <rc t="2" v="2765"/>
    </bk>
    <bk>
      <rc t="2" v="2766"/>
    </bk>
    <bk>
      <rc t="2" v="2767"/>
    </bk>
    <bk>
      <rc t="2" v="2768"/>
    </bk>
    <bk>
      <rc t="2" v="2769"/>
    </bk>
    <bk>
      <rc t="2" v="2770"/>
    </bk>
    <bk>
      <rc t="2" v="2771"/>
    </bk>
    <bk>
      <rc t="2" v="2772"/>
    </bk>
    <bk>
      <rc t="2" v="2773"/>
    </bk>
    <bk>
      <rc t="2" v="2774"/>
    </bk>
    <bk>
      <rc t="2" v="2775"/>
    </bk>
    <bk>
      <rc t="2" v="2776"/>
    </bk>
    <bk>
      <rc t="2" v="2777"/>
    </bk>
    <bk>
      <rc t="2" v="2778"/>
    </bk>
    <bk>
      <rc t="2" v="2779"/>
    </bk>
    <bk>
      <rc t="2" v="2780"/>
    </bk>
    <bk>
      <rc t="2" v="2781"/>
    </bk>
    <bk>
      <rc t="2" v="2782"/>
    </bk>
    <bk>
      <rc t="2" v="2783"/>
    </bk>
    <bk>
      <rc t="2" v="2784"/>
    </bk>
    <bk>
      <rc t="2" v="2785"/>
    </bk>
    <bk>
      <rc t="2" v="2786"/>
    </bk>
    <bk>
      <rc t="2" v="2787"/>
    </bk>
    <bk>
      <rc t="2" v="2788"/>
    </bk>
    <bk>
      <rc t="2" v="2789"/>
    </bk>
    <bk>
      <rc t="2" v="2790"/>
    </bk>
    <bk>
      <rc t="2" v="2791"/>
    </bk>
    <bk>
      <rc t="2" v="2792"/>
    </bk>
    <bk>
      <rc t="2" v="2793"/>
    </bk>
    <bk>
      <rc t="2" v="2794"/>
    </bk>
    <bk>
      <rc t="2" v="2795"/>
    </bk>
    <bk>
      <rc t="2" v="2796"/>
    </bk>
    <bk>
      <rc t="2" v="2797"/>
    </bk>
    <bk>
      <rc t="2" v="2798"/>
    </bk>
    <bk>
      <rc t="2" v="2799"/>
    </bk>
    <bk>
      <rc t="2" v="2800"/>
    </bk>
    <bk>
      <rc t="2" v="2801"/>
    </bk>
    <bk>
      <rc t="2" v="2802"/>
    </bk>
    <bk>
      <rc t="2" v="2803"/>
    </bk>
    <bk>
      <rc t="2" v="2804"/>
    </bk>
    <bk>
      <rc t="2" v="2805"/>
    </bk>
    <bk>
      <rc t="2" v="2806"/>
    </bk>
    <bk>
      <rc t="2" v="2807"/>
    </bk>
    <bk>
      <rc t="2" v="2808"/>
    </bk>
    <bk>
      <rc t="2" v="2809"/>
    </bk>
    <bk>
      <rc t="2" v="2810"/>
    </bk>
    <bk>
      <rc t="2" v="2811"/>
    </bk>
    <bk>
      <rc t="2" v="2812"/>
    </bk>
    <bk>
      <rc t="2" v="2813"/>
    </bk>
    <bk>
      <rc t="2" v="2814"/>
    </bk>
    <bk>
      <rc t="2" v="2815"/>
    </bk>
    <bk>
      <rc t="2" v="2816"/>
    </bk>
    <bk>
      <rc t="2" v="2817"/>
    </bk>
    <bk>
      <rc t="2" v="2818"/>
    </bk>
    <bk>
      <rc t="2" v="2819"/>
    </bk>
    <bk>
      <rc t="2" v="2820"/>
    </bk>
    <bk>
      <rc t="2" v="2821"/>
    </bk>
    <bk>
      <rc t="2" v="2822"/>
    </bk>
    <bk>
      <rc t="2" v="2823"/>
    </bk>
    <bk>
      <rc t="2" v="2824"/>
    </bk>
    <bk>
      <rc t="2" v="2825"/>
    </bk>
    <bk>
      <rc t="2" v="2826"/>
    </bk>
    <bk>
      <rc t="2" v="2827"/>
    </bk>
    <bk>
      <rc t="2" v="2828"/>
    </bk>
    <bk>
      <rc t="2" v="2829"/>
    </bk>
    <bk>
      <rc t="2" v="2830"/>
    </bk>
    <bk>
      <rc t="2" v="2831"/>
    </bk>
    <bk>
      <rc t="2" v="2832"/>
    </bk>
    <bk>
      <rc t="2" v="2833"/>
    </bk>
    <bk>
      <rc t="2" v="2834"/>
    </bk>
    <bk>
      <rc t="2" v="2835"/>
    </bk>
    <bk>
      <rc t="2" v="2836"/>
    </bk>
    <bk>
      <rc t="2" v="2837"/>
    </bk>
    <bk>
      <rc t="2" v="2838"/>
    </bk>
    <bk>
      <rc t="2" v="2839"/>
    </bk>
    <bk>
      <rc t="2" v="2840"/>
    </bk>
    <bk>
      <rc t="2" v="2841"/>
    </bk>
    <bk>
      <rc t="2" v="2842"/>
    </bk>
    <bk>
      <rc t="2" v="2843"/>
    </bk>
    <bk>
      <rc t="2" v="2844"/>
    </bk>
    <bk>
      <rc t="2" v="2845"/>
    </bk>
    <bk>
      <rc t="2" v="2846"/>
    </bk>
    <bk>
      <rc t="2" v="2847"/>
    </bk>
    <bk>
      <rc t="2" v="2848"/>
    </bk>
    <bk>
      <rc t="2" v="2849"/>
    </bk>
    <bk>
      <rc t="2" v="2850"/>
    </bk>
    <bk>
      <rc t="2" v="2851"/>
    </bk>
    <bk>
      <rc t="2" v="2852"/>
    </bk>
    <bk>
      <rc t="2" v="2853"/>
    </bk>
    <bk>
      <rc t="2" v="2854"/>
    </bk>
    <bk>
      <rc t="2" v="2855"/>
    </bk>
    <bk>
      <rc t="2" v="2856"/>
    </bk>
    <bk>
      <rc t="2" v="2857"/>
    </bk>
    <bk>
      <rc t="2" v="2858"/>
    </bk>
    <bk>
      <rc t="2" v="2859"/>
    </bk>
    <bk>
      <rc t="2" v="2860"/>
    </bk>
    <bk>
      <rc t="2" v="2861"/>
    </bk>
    <bk>
      <rc t="2" v="2862"/>
    </bk>
    <bk>
      <rc t="2" v="2863"/>
    </bk>
    <bk>
      <rc t="2" v="2864"/>
    </bk>
    <bk>
      <rc t="2" v="2865"/>
    </bk>
    <bk>
      <rc t="2" v="2866"/>
    </bk>
    <bk>
      <rc t="2" v="2867"/>
    </bk>
    <bk>
      <rc t="2" v="2868"/>
    </bk>
    <bk>
      <rc t="2" v="2869"/>
    </bk>
    <bk>
      <rc t="2" v="2870"/>
    </bk>
    <bk>
      <rc t="2" v="2871"/>
    </bk>
    <bk>
      <rc t="2" v="2872"/>
    </bk>
    <bk>
      <rc t="2" v="2873"/>
    </bk>
    <bk>
      <rc t="2" v="2874"/>
    </bk>
    <bk>
      <rc t="2" v="2875"/>
    </bk>
    <bk>
      <rc t="2" v="2876"/>
    </bk>
    <bk>
      <rc t="2" v="2877"/>
    </bk>
    <bk>
      <rc t="2" v="2878"/>
    </bk>
    <bk>
      <rc t="2" v="2879"/>
    </bk>
    <bk>
      <rc t="2" v="2880"/>
    </bk>
    <bk>
      <rc t="2" v="2881"/>
    </bk>
    <bk>
      <rc t="2" v="2882"/>
    </bk>
    <bk>
      <rc t="2" v="2883"/>
    </bk>
    <bk>
      <rc t="2" v="2884"/>
    </bk>
    <bk>
      <rc t="2" v="2885"/>
    </bk>
    <bk>
      <rc t="2" v="2886"/>
    </bk>
    <bk>
      <rc t="2" v="2887"/>
    </bk>
    <bk>
      <rc t="2" v="2888"/>
    </bk>
    <bk>
      <rc t="2" v="2889"/>
    </bk>
    <bk>
      <rc t="2" v="2890"/>
    </bk>
    <bk>
      <rc t="2" v="2891"/>
    </bk>
    <bk>
      <rc t="2" v="2892"/>
    </bk>
    <bk>
      <rc t="2" v="2893"/>
    </bk>
    <bk>
      <rc t="2" v="2894"/>
    </bk>
    <bk>
      <rc t="2" v="2895"/>
    </bk>
    <bk>
      <rc t="2" v="2896"/>
    </bk>
    <bk>
      <rc t="2" v="2897"/>
    </bk>
    <bk>
      <rc t="2" v="2898"/>
    </bk>
    <bk>
      <rc t="2" v="2899"/>
    </bk>
    <bk>
      <rc t="2" v="2900"/>
    </bk>
    <bk>
      <rc t="2" v="2901"/>
    </bk>
    <bk>
      <rc t="2" v="2902"/>
    </bk>
    <bk>
      <rc t="2" v="2903"/>
    </bk>
    <bk>
      <rc t="2" v="2904"/>
    </bk>
    <bk>
      <rc t="2" v="2905"/>
    </bk>
    <bk>
      <rc t="2" v="2906"/>
    </bk>
    <bk>
      <rc t="2" v="2907"/>
    </bk>
    <bk>
      <rc t="2" v="2908"/>
    </bk>
    <bk>
      <rc t="2" v="2909"/>
    </bk>
    <bk>
      <rc t="2" v="2910"/>
    </bk>
    <bk>
      <rc t="2" v="2911"/>
    </bk>
    <bk>
      <rc t="2" v="2912"/>
    </bk>
    <bk>
      <rc t="2" v="2913"/>
    </bk>
    <bk>
      <rc t="2" v="2914"/>
    </bk>
    <bk>
      <rc t="2" v="2915"/>
    </bk>
    <bk>
      <rc t="2" v="2916"/>
    </bk>
    <bk>
      <rc t="2" v="2917"/>
    </bk>
    <bk>
      <rc t="2" v="2918"/>
    </bk>
    <bk>
      <rc t="2" v="2919"/>
    </bk>
    <bk>
      <rc t="2" v="2920"/>
    </bk>
    <bk>
      <rc t="2" v="2921"/>
    </bk>
    <bk>
      <rc t="2" v="2922"/>
    </bk>
    <bk>
      <rc t="2" v="2923"/>
    </bk>
    <bk>
      <rc t="2" v="2924"/>
    </bk>
    <bk>
      <rc t="2" v="2925"/>
    </bk>
    <bk>
      <rc t="2" v="2926"/>
    </bk>
    <bk>
      <rc t="2" v="2927"/>
    </bk>
    <bk>
      <rc t="2" v="2928"/>
    </bk>
    <bk>
      <rc t="2" v="2929"/>
    </bk>
    <bk>
      <rc t="2" v="2930"/>
    </bk>
    <bk>
      <rc t="2" v="2931"/>
    </bk>
    <bk>
      <rc t="2" v="2932"/>
    </bk>
    <bk>
      <rc t="2" v="2933"/>
    </bk>
    <bk>
      <rc t="2" v="2934"/>
    </bk>
    <bk>
      <rc t="2" v="2935"/>
    </bk>
    <bk>
      <rc t="2" v="2936"/>
    </bk>
    <bk>
      <rc t="2" v="2937"/>
    </bk>
    <bk>
      <rc t="2" v="2938"/>
    </bk>
    <bk>
      <rc t="2" v="2939"/>
    </bk>
    <bk>
      <rc t="2" v="2940"/>
    </bk>
    <bk>
      <rc t="2" v="2941"/>
    </bk>
    <bk>
      <rc t="2" v="2942"/>
    </bk>
    <bk>
      <rc t="2" v="2943"/>
    </bk>
    <bk>
      <rc t="2" v="2944"/>
    </bk>
    <bk>
      <rc t="2" v="2945"/>
    </bk>
    <bk>
      <rc t="2" v="2946"/>
    </bk>
    <bk>
      <rc t="2" v="2947"/>
    </bk>
    <bk>
      <rc t="2" v="2948"/>
    </bk>
    <bk>
      <rc t="2" v="2949"/>
    </bk>
    <bk>
      <rc t="2" v="2950"/>
    </bk>
    <bk>
      <rc t="2" v="2951"/>
    </bk>
    <bk>
      <rc t="2" v="2952"/>
    </bk>
    <bk>
      <rc t="2" v="2953"/>
    </bk>
    <bk>
      <rc t="2" v="2954"/>
    </bk>
    <bk>
      <rc t="2" v="2955"/>
    </bk>
    <bk>
      <rc t="2" v="2956"/>
    </bk>
    <bk>
      <rc t="2" v="2957"/>
    </bk>
    <bk>
      <rc t="2" v="2958"/>
    </bk>
    <bk>
      <rc t="2" v="2959"/>
    </bk>
    <bk>
      <rc t="2" v="2960"/>
    </bk>
    <bk>
      <rc t="2" v="2961"/>
    </bk>
    <bk>
      <rc t="2" v="2962"/>
    </bk>
    <bk>
      <rc t="2" v="2963"/>
    </bk>
    <bk>
      <rc t="2" v="2964"/>
    </bk>
    <bk>
      <rc t="2" v="2965"/>
    </bk>
    <bk>
      <rc t="2" v="2966"/>
    </bk>
    <bk>
      <rc t="2" v="2967"/>
    </bk>
    <bk>
      <rc t="2" v="2968"/>
    </bk>
    <bk>
      <rc t="2" v="2969"/>
    </bk>
    <bk>
      <rc t="2" v="2970"/>
    </bk>
    <bk>
      <rc t="2" v="2971"/>
    </bk>
    <bk>
      <rc t="2" v="2972"/>
    </bk>
    <bk>
      <rc t="2" v="2973"/>
    </bk>
    <bk>
      <rc t="2" v="2974"/>
    </bk>
    <bk>
      <rc t="2" v="2975"/>
    </bk>
    <bk>
      <rc t="2" v="2976"/>
    </bk>
    <bk>
      <rc t="2" v="2977"/>
    </bk>
    <bk>
      <rc t="2" v="2978"/>
    </bk>
    <bk>
      <rc t="2" v="2979"/>
    </bk>
    <bk>
      <rc t="2" v="2980"/>
    </bk>
    <bk>
      <rc t="2" v="2981"/>
    </bk>
    <bk>
      <rc t="2" v="2982"/>
    </bk>
    <bk>
      <rc t="2" v="2983"/>
    </bk>
    <bk>
      <rc t="2" v="2984"/>
    </bk>
    <bk>
      <rc t="2" v="2985"/>
    </bk>
    <bk>
      <rc t="2" v="2986"/>
    </bk>
    <bk>
      <rc t="2" v="2987"/>
    </bk>
    <bk>
      <rc t="2" v="2988"/>
    </bk>
    <bk>
      <rc t="2" v="2989"/>
    </bk>
    <bk>
      <rc t="2" v="2990"/>
    </bk>
    <bk>
      <rc t="2" v="2991"/>
    </bk>
    <bk>
      <rc t="2" v="2992"/>
    </bk>
    <bk>
      <rc t="2" v="2993"/>
    </bk>
    <bk>
      <rc t="2" v="2994"/>
    </bk>
    <bk>
      <rc t="2" v="2995"/>
    </bk>
    <bk>
      <rc t="2" v="2996"/>
    </bk>
    <bk>
      <rc t="2" v="2997"/>
    </bk>
    <bk>
      <rc t="2" v="2998"/>
    </bk>
    <bk>
      <rc t="2" v="2999"/>
    </bk>
    <bk>
      <rc t="2" v="3000"/>
    </bk>
    <bk>
      <rc t="2" v="3001"/>
    </bk>
    <bk>
      <rc t="2" v="3002"/>
    </bk>
    <bk>
      <rc t="2" v="3003"/>
    </bk>
    <bk>
      <rc t="2" v="3004"/>
    </bk>
    <bk>
      <rc t="2" v="3005"/>
    </bk>
    <bk>
      <rc t="2" v="3006"/>
    </bk>
    <bk>
      <rc t="2" v="3007"/>
    </bk>
    <bk>
      <rc t="2" v="3008"/>
    </bk>
    <bk>
      <rc t="2" v="3009"/>
    </bk>
    <bk>
      <rc t="2" v="3010"/>
    </bk>
    <bk>
      <rc t="2" v="3011"/>
    </bk>
    <bk>
      <rc t="2" v="3012"/>
    </bk>
    <bk>
      <rc t="2" v="3013"/>
    </bk>
    <bk>
      <rc t="2" v="3014"/>
    </bk>
    <bk>
      <rc t="2" v="3015"/>
    </bk>
    <bk>
      <rc t="2" v="3016"/>
    </bk>
    <bk>
      <rc t="2" v="3017"/>
    </bk>
    <bk>
      <rc t="2" v="3018"/>
    </bk>
    <bk>
      <rc t="2" v="3019"/>
    </bk>
    <bk>
      <rc t="2" v="3020"/>
    </bk>
    <bk>
      <rc t="2" v="3021"/>
    </bk>
    <bk>
      <rc t="2" v="3022"/>
    </bk>
    <bk>
      <rc t="2" v="3023"/>
    </bk>
    <bk>
      <rc t="2" v="3024"/>
    </bk>
    <bk>
      <rc t="2" v="3025"/>
    </bk>
    <bk>
      <rc t="2" v="3026"/>
    </bk>
    <bk>
      <rc t="2" v="3027"/>
    </bk>
    <bk>
      <rc t="2" v="3028"/>
    </bk>
    <bk>
      <rc t="2" v="3029"/>
    </bk>
    <bk>
      <rc t="2" v="3030"/>
    </bk>
    <bk>
      <rc t="2" v="3031"/>
    </bk>
    <bk>
      <rc t="2" v="3032"/>
    </bk>
    <bk>
      <rc t="2" v="3033"/>
    </bk>
    <bk>
      <rc t="2" v="3034"/>
    </bk>
    <bk>
      <rc t="2" v="3035"/>
    </bk>
    <bk>
      <rc t="2" v="3036"/>
    </bk>
    <bk>
      <rc t="2" v="3037"/>
    </bk>
    <bk>
      <rc t="2" v="3038"/>
    </bk>
    <bk>
      <rc t="2" v="3039"/>
    </bk>
    <bk>
      <rc t="2" v="3040"/>
    </bk>
    <bk>
      <rc t="2" v="3041"/>
    </bk>
    <bk>
      <rc t="2" v="3042"/>
    </bk>
    <bk>
      <rc t="2" v="3043"/>
    </bk>
    <bk>
      <rc t="2" v="3044"/>
    </bk>
    <bk>
      <rc t="2" v="3045"/>
    </bk>
    <bk>
      <rc t="2" v="3046"/>
    </bk>
    <bk>
      <rc t="2" v="3047"/>
    </bk>
    <bk>
      <rc t="2" v="3048"/>
    </bk>
    <bk>
      <rc t="2" v="3049"/>
    </bk>
    <bk>
      <rc t="2" v="3050"/>
    </bk>
    <bk>
      <rc t="2" v="3051"/>
    </bk>
    <bk>
      <rc t="2" v="3052"/>
    </bk>
    <bk>
      <rc t="2" v="3053"/>
    </bk>
    <bk>
      <rc t="2" v="3054"/>
    </bk>
    <bk>
      <rc t="2" v="3055"/>
    </bk>
    <bk>
      <rc t="2" v="3056"/>
    </bk>
    <bk>
      <rc t="2" v="3057"/>
    </bk>
    <bk>
      <rc t="2" v="3058"/>
    </bk>
    <bk>
      <rc t="2" v="3059"/>
    </bk>
    <bk>
      <rc t="2" v="3060"/>
    </bk>
    <bk>
      <rc t="2" v="3061"/>
    </bk>
    <bk>
      <rc t="2" v="3062"/>
    </bk>
    <bk>
      <rc t="2" v="3063"/>
    </bk>
    <bk>
      <rc t="2" v="3064"/>
    </bk>
    <bk>
      <rc t="2" v="3065"/>
    </bk>
    <bk>
      <rc t="2" v="3066"/>
    </bk>
    <bk>
      <rc t="2" v="3067"/>
    </bk>
    <bk>
      <rc t="2" v="3068"/>
    </bk>
    <bk>
      <rc t="2" v="3069"/>
    </bk>
    <bk>
      <rc t="2" v="3070"/>
    </bk>
    <bk>
      <rc t="2" v="3071"/>
    </bk>
    <bk>
      <rc t="2" v="3072"/>
    </bk>
    <bk>
      <rc t="2" v="3073"/>
    </bk>
    <bk>
      <rc t="2" v="3074"/>
    </bk>
    <bk>
      <rc t="2" v="3075"/>
    </bk>
    <bk>
      <rc t="2" v="3076"/>
    </bk>
    <bk>
      <rc t="2" v="3077"/>
    </bk>
    <bk>
      <rc t="2" v="3078"/>
    </bk>
    <bk>
      <rc t="2" v="3079"/>
    </bk>
    <bk>
      <rc t="2" v="3080"/>
    </bk>
    <bk>
      <rc t="2" v="3081"/>
    </bk>
    <bk>
      <rc t="2" v="3082"/>
    </bk>
    <bk>
      <rc t="2" v="3083"/>
    </bk>
    <bk>
      <rc t="2" v="3084"/>
    </bk>
    <bk>
      <rc t="2" v="3085"/>
    </bk>
    <bk>
      <rc t="2" v="3086"/>
    </bk>
    <bk>
      <rc t="2" v="3087"/>
    </bk>
    <bk>
      <rc t="2" v="3088"/>
    </bk>
    <bk>
      <rc t="2" v="3089"/>
    </bk>
    <bk>
      <rc t="2" v="3090"/>
    </bk>
    <bk>
      <rc t="2" v="3091"/>
    </bk>
    <bk>
      <rc t="2" v="3092"/>
    </bk>
    <bk>
      <rc t="2" v="3093"/>
    </bk>
    <bk>
      <rc t="2" v="3094"/>
    </bk>
    <bk>
      <rc t="2" v="3095"/>
    </bk>
    <bk>
      <rc t="2" v="3096"/>
    </bk>
    <bk>
      <rc t="2" v="3097"/>
    </bk>
    <bk>
      <rc t="2" v="3098"/>
    </bk>
    <bk>
      <rc t="2" v="3099"/>
    </bk>
    <bk>
      <rc t="2" v="3100"/>
    </bk>
    <bk>
      <rc t="2" v="3101"/>
    </bk>
    <bk>
      <rc t="2" v="3102"/>
    </bk>
    <bk>
      <rc t="2" v="3103"/>
    </bk>
    <bk>
      <rc t="2" v="3104"/>
    </bk>
    <bk>
      <rc t="2" v="3105"/>
    </bk>
    <bk>
      <rc t="2" v="3106"/>
    </bk>
    <bk>
      <rc t="2" v="3107"/>
    </bk>
    <bk>
      <rc t="2" v="3108"/>
    </bk>
    <bk>
      <rc t="2" v="3109"/>
    </bk>
    <bk>
      <rc t="2" v="3110"/>
    </bk>
    <bk>
      <rc t="2" v="3111"/>
    </bk>
    <bk>
      <rc t="2" v="3112"/>
    </bk>
    <bk>
      <rc t="2" v="3113"/>
    </bk>
    <bk>
      <rc t="2" v="3114"/>
    </bk>
    <bk>
      <rc t="2" v="3115"/>
    </bk>
    <bk>
      <rc t="2" v="3116"/>
    </bk>
    <bk>
      <rc t="2" v="3117"/>
    </bk>
    <bk>
      <rc t="2" v="3118"/>
    </bk>
    <bk>
      <rc t="2" v="3119"/>
    </bk>
    <bk>
      <rc t="2" v="3120"/>
    </bk>
    <bk>
      <rc t="2" v="3121"/>
    </bk>
    <bk>
      <rc t="2" v="3122"/>
    </bk>
    <bk>
      <rc t="2" v="3123"/>
    </bk>
    <bk>
      <rc t="2" v="3124"/>
    </bk>
    <bk>
      <rc t="2" v="3125"/>
    </bk>
    <bk>
      <rc t="2" v="3126"/>
    </bk>
    <bk>
      <rc t="2" v="3127"/>
    </bk>
    <bk>
      <rc t="2" v="3128"/>
    </bk>
    <bk>
      <rc t="2" v="3129"/>
    </bk>
    <bk>
      <rc t="2" v="3130"/>
    </bk>
    <bk>
      <rc t="2" v="3131"/>
    </bk>
    <bk>
      <rc t="2" v="3132"/>
    </bk>
    <bk>
      <rc t="2" v="3133"/>
    </bk>
    <bk>
      <rc t="2" v="3134"/>
    </bk>
    <bk>
      <rc t="2" v="3135"/>
    </bk>
    <bk>
      <rc t="2" v="3136"/>
    </bk>
    <bk>
      <rc t="2" v="3137"/>
    </bk>
    <bk>
      <rc t="2" v="3138"/>
    </bk>
    <bk>
      <rc t="2" v="3139"/>
    </bk>
    <bk>
      <rc t="2" v="3140"/>
    </bk>
    <bk>
      <rc t="2" v="3141"/>
    </bk>
    <bk>
      <rc t="2" v="3142"/>
    </bk>
    <bk>
      <rc t="2" v="3143"/>
    </bk>
    <bk>
      <rc t="2" v="3144"/>
    </bk>
    <bk>
      <rc t="2" v="3145"/>
    </bk>
    <bk>
      <rc t="2" v="3146"/>
    </bk>
    <bk>
      <rc t="2" v="3147"/>
    </bk>
    <bk>
      <rc t="2" v="3148"/>
    </bk>
    <bk>
      <rc t="2" v="3149"/>
    </bk>
    <bk>
      <rc t="2" v="3150"/>
    </bk>
    <bk>
      <rc t="2" v="3151"/>
    </bk>
    <bk>
      <rc t="2" v="3152"/>
    </bk>
    <bk>
      <rc t="2" v="3153"/>
    </bk>
    <bk>
      <rc t="2" v="3154"/>
    </bk>
    <bk>
      <rc t="2" v="3155"/>
    </bk>
    <bk>
      <rc t="2" v="3156"/>
    </bk>
    <bk>
      <rc t="2" v="3157"/>
    </bk>
    <bk>
      <rc t="2" v="3158"/>
    </bk>
    <bk>
      <rc t="2" v="3159"/>
    </bk>
    <bk>
      <rc t="2" v="3160"/>
    </bk>
    <bk>
      <rc t="2" v="3161"/>
    </bk>
    <bk>
      <rc t="2" v="3162"/>
    </bk>
    <bk>
      <rc t="2" v="3163"/>
    </bk>
    <bk>
      <rc t="2" v="3164"/>
    </bk>
    <bk>
      <rc t="2" v="3165"/>
    </bk>
    <bk>
      <rc t="2" v="3166"/>
    </bk>
    <bk>
      <rc t="2" v="3167"/>
    </bk>
    <bk>
      <rc t="2" v="3168"/>
    </bk>
    <bk>
      <rc t="2" v="3169"/>
    </bk>
    <bk>
      <rc t="2" v="3170"/>
    </bk>
    <bk>
      <rc t="2" v="3171"/>
    </bk>
    <bk>
      <rc t="2" v="3172"/>
    </bk>
    <bk>
      <rc t="2" v="3173"/>
    </bk>
    <bk>
      <rc t="2" v="3174"/>
    </bk>
    <bk>
      <rc t="2" v="3175"/>
    </bk>
    <bk>
      <rc t="2" v="3176"/>
    </bk>
    <bk>
      <rc t="2" v="3177"/>
    </bk>
    <bk>
      <rc t="2" v="3178"/>
    </bk>
    <bk>
      <rc t="2" v="3179"/>
    </bk>
    <bk>
      <rc t="2" v="3180"/>
    </bk>
    <bk>
      <rc t="2" v="3181"/>
    </bk>
    <bk>
      <rc t="2" v="3182"/>
    </bk>
    <bk>
      <rc t="2" v="3183"/>
    </bk>
    <bk>
      <rc t="2" v="3184"/>
    </bk>
    <bk>
      <rc t="2" v="3185"/>
    </bk>
    <bk>
      <rc t="2" v="3186"/>
    </bk>
    <bk>
      <rc t="2" v="3187"/>
    </bk>
    <bk>
      <rc t="2" v="3188"/>
    </bk>
    <bk>
      <rc t="2" v="3189"/>
    </bk>
    <bk>
      <rc t="2" v="3190"/>
    </bk>
    <bk>
      <rc t="2" v="3191"/>
    </bk>
    <bk>
      <rc t="2" v="3192"/>
    </bk>
    <bk>
      <rc t="2" v="3193"/>
    </bk>
    <bk>
      <rc t="2" v="3194"/>
    </bk>
    <bk>
      <rc t="2" v="3195"/>
    </bk>
    <bk>
      <rc t="2" v="3196"/>
    </bk>
    <bk>
      <rc t="2" v="3197"/>
    </bk>
    <bk>
      <rc t="2" v="3198"/>
    </bk>
    <bk>
      <rc t="2" v="3199"/>
    </bk>
    <bk>
      <rc t="2" v="3200"/>
    </bk>
    <bk>
      <rc t="2" v="3201"/>
    </bk>
    <bk>
      <rc t="2" v="3202"/>
    </bk>
    <bk>
      <rc t="2" v="3203"/>
    </bk>
    <bk>
      <rc t="2" v="3204"/>
    </bk>
    <bk>
      <rc t="2" v="3205"/>
    </bk>
    <bk>
      <rc t="2" v="3206"/>
    </bk>
    <bk>
      <rc t="2" v="3207"/>
    </bk>
    <bk>
      <rc t="2" v="3208"/>
    </bk>
    <bk>
      <rc t="2" v="3209"/>
    </bk>
    <bk>
      <rc t="2" v="3210"/>
    </bk>
    <bk>
      <rc t="2" v="3211"/>
    </bk>
    <bk>
      <rc t="2" v="3212"/>
    </bk>
    <bk>
      <rc t="2" v="3213"/>
    </bk>
    <bk>
      <rc t="2" v="3214"/>
    </bk>
    <bk>
      <rc t="2" v="3215"/>
    </bk>
    <bk>
      <rc t="2" v="3216"/>
    </bk>
    <bk>
      <rc t="2" v="3217"/>
    </bk>
    <bk>
      <rc t="2" v="3218"/>
    </bk>
    <bk>
      <rc t="2" v="3219"/>
    </bk>
    <bk>
      <rc t="2" v="3220"/>
    </bk>
    <bk>
      <rc t="2" v="3221"/>
    </bk>
    <bk>
      <rc t="2" v="3222"/>
    </bk>
    <bk>
      <rc t="2" v="3223"/>
    </bk>
    <bk>
      <rc t="2" v="3224"/>
    </bk>
    <bk>
      <rc t="2" v="3225"/>
    </bk>
    <bk>
      <rc t="2" v="3226"/>
    </bk>
    <bk>
      <rc t="2" v="3227"/>
    </bk>
    <bk>
      <rc t="2" v="3228"/>
    </bk>
    <bk>
      <rc t="2" v="3229"/>
    </bk>
    <bk>
      <rc t="2" v="3230"/>
    </bk>
    <bk>
      <rc t="2" v="3231"/>
    </bk>
    <bk>
      <rc t="2" v="3232"/>
    </bk>
    <bk>
      <rc t="2" v="3233"/>
    </bk>
    <bk>
      <rc t="2" v="3234"/>
    </bk>
    <bk>
      <rc t="2" v="3235"/>
    </bk>
    <bk>
      <rc t="2" v="3236"/>
    </bk>
    <bk>
      <rc t="2" v="3237"/>
    </bk>
    <bk>
      <rc t="2" v="3238"/>
    </bk>
    <bk>
      <rc t="2" v="3239"/>
    </bk>
    <bk>
      <rc t="2" v="3240"/>
    </bk>
    <bk>
      <rc t="2" v="3241"/>
    </bk>
    <bk>
      <rc t="2" v="3242"/>
    </bk>
    <bk>
      <rc t="2" v="3243"/>
    </bk>
    <bk>
      <rc t="2" v="3244"/>
    </bk>
    <bk>
      <rc t="2" v="3245"/>
    </bk>
    <bk>
      <rc t="2" v="3246"/>
    </bk>
    <bk>
      <rc t="2" v="3247"/>
    </bk>
    <bk>
      <rc t="2" v="3248"/>
    </bk>
    <bk>
      <rc t="2" v="3249"/>
    </bk>
    <bk>
      <rc t="2" v="3250"/>
    </bk>
    <bk>
      <rc t="2" v="3251"/>
    </bk>
    <bk>
      <rc t="2" v="3252"/>
    </bk>
    <bk>
      <rc t="2" v="3253"/>
    </bk>
    <bk>
      <rc t="2" v="3254"/>
    </bk>
    <bk>
      <rc t="2" v="3255"/>
    </bk>
    <bk>
      <rc t="2" v="3256"/>
    </bk>
    <bk>
      <rc t="2" v="3257"/>
    </bk>
    <bk>
      <rc t="2" v="3258"/>
    </bk>
    <bk>
      <rc t="2" v="3259"/>
    </bk>
    <bk>
      <rc t="2" v="3260"/>
    </bk>
    <bk>
      <rc t="2" v="3261"/>
    </bk>
    <bk>
      <rc t="2" v="3262"/>
    </bk>
    <bk>
      <rc t="2" v="3263"/>
    </bk>
    <bk>
      <rc t="2" v="3264"/>
    </bk>
    <bk>
      <rc t="2" v="3265"/>
    </bk>
    <bk>
      <rc t="2" v="3266"/>
    </bk>
    <bk>
      <rc t="2" v="3267"/>
    </bk>
    <bk>
      <rc t="2" v="3268"/>
    </bk>
    <bk>
      <rc t="2" v="3269"/>
    </bk>
    <bk>
      <rc t="2" v="3270"/>
    </bk>
    <bk>
      <rc t="2" v="3271"/>
    </bk>
    <bk>
      <rc t="2" v="3272"/>
    </bk>
    <bk>
      <rc t="2" v="3273"/>
    </bk>
    <bk>
      <rc t="2" v="3274"/>
    </bk>
    <bk>
      <rc t="2" v="3275"/>
    </bk>
    <bk>
      <rc t="2" v="3276"/>
    </bk>
    <bk>
      <rc t="2" v="3277"/>
    </bk>
    <bk>
      <rc t="2" v="3278"/>
    </bk>
    <bk>
      <rc t="2" v="3279"/>
    </bk>
    <bk>
      <rc t="2" v="3280"/>
    </bk>
    <bk>
      <rc t="2" v="3281"/>
    </bk>
    <bk>
      <rc t="2" v="3282"/>
    </bk>
    <bk>
      <rc t="2" v="3283"/>
    </bk>
    <bk>
      <rc t="2" v="3284"/>
    </bk>
    <bk>
      <rc t="2" v="3285"/>
    </bk>
    <bk>
      <rc t="2" v="3286"/>
    </bk>
    <bk>
      <rc t="2" v="3287"/>
    </bk>
    <bk>
      <rc t="2" v="3288"/>
    </bk>
    <bk>
      <rc t="2" v="3289"/>
    </bk>
    <bk>
      <rc t="2" v="3290"/>
    </bk>
    <bk>
      <rc t="2" v="3291"/>
    </bk>
    <bk>
      <rc t="2" v="3292"/>
    </bk>
    <bk>
      <rc t="2" v="3293"/>
    </bk>
    <bk>
      <rc t="2" v="3294"/>
    </bk>
    <bk>
      <rc t="2" v="3295"/>
    </bk>
    <bk>
      <rc t="2" v="3296"/>
    </bk>
    <bk>
      <rc t="2" v="3297"/>
    </bk>
    <bk>
      <rc t="2" v="3298"/>
    </bk>
    <bk>
      <rc t="2" v="3299"/>
    </bk>
    <bk>
      <rc t="2" v="3300"/>
    </bk>
    <bk>
      <rc t="2" v="3301"/>
    </bk>
    <bk>
      <rc t="2" v="3302"/>
    </bk>
    <bk>
      <rc t="2" v="3303"/>
    </bk>
    <bk>
      <rc t="2" v="3304"/>
    </bk>
    <bk>
      <rc t="2" v="3305"/>
    </bk>
    <bk>
      <rc t="2" v="3306"/>
    </bk>
    <bk>
      <rc t="2" v="3307"/>
    </bk>
    <bk>
      <rc t="2" v="3308"/>
    </bk>
    <bk>
      <rc t="2" v="3309"/>
    </bk>
    <bk>
      <rc t="2" v="3310"/>
    </bk>
    <bk>
      <rc t="2" v="3311"/>
    </bk>
    <bk>
      <rc t="2" v="3312"/>
    </bk>
    <bk>
      <rc t="2" v="3313"/>
    </bk>
    <bk>
      <rc t="2" v="3314"/>
    </bk>
    <bk>
      <rc t="2" v="3315"/>
    </bk>
    <bk>
      <rc t="2" v="3316"/>
    </bk>
    <bk>
      <rc t="2" v="3317"/>
    </bk>
    <bk>
      <rc t="2" v="3318"/>
    </bk>
    <bk>
      <rc t="2" v="3319"/>
    </bk>
    <bk>
      <rc t="2" v="3320"/>
    </bk>
    <bk>
      <rc t="2" v="3321"/>
    </bk>
    <bk>
      <rc t="2" v="3322"/>
    </bk>
    <bk>
      <rc t="2" v="3323"/>
    </bk>
    <bk>
      <rc t="2" v="3324"/>
    </bk>
    <bk>
      <rc t="2" v="3325"/>
    </bk>
    <bk>
      <rc t="2" v="3326"/>
    </bk>
    <bk>
      <rc t="2" v="3327"/>
    </bk>
    <bk>
      <rc t="2" v="3328"/>
    </bk>
    <bk>
      <rc t="2" v="3329"/>
    </bk>
    <bk>
      <rc t="2" v="3330"/>
    </bk>
    <bk>
      <rc t="2" v="3331"/>
    </bk>
    <bk>
      <rc t="2" v="3332"/>
    </bk>
    <bk>
      <rc t="2" v="3333"/>
    </bk>
    <bk>
      <rc t="2" v="3334"/>
    </bk>
    <bk>
      <rc t="2" v="3335"/>
    </bk>
    <bk>
      <rc t="2" v="3336"/>
    </bk>
    <bk>
      <rc t="2" v="3337"/>
    </bk>
    <bk>
      <rc t="2" v="3338"/>
    </bk>
    <bk>
      <rc t="2" v="3339"/>
    </bk>
    <bk>
      <rc t="2" v="3340"/>
    </bk>
    <bk>
      <rc t="2" v="3341"/>
    </bk>
    <bk>
      <rc t="2" v="3342"/>
    </bk>
    <bk>
      <rc t="2" v="3343"/>
    </bk>
    <bk>
      <rc t="2" v="3344"/>
    </bk>
    <bk>
      <rc t="2" v="3345"/>
    </bk>
    <bk>
      <rc t="2" v="3346"/>
    </bk>
    <bk>
      <rc t="2" v="3347"/>
    </bk>
    <bk>
      <rc t="2" v="3348"/>
    </bk>
    <bk>
      <rc t="2" v="3349"/>
    </bk>
    <bk>
      <rc t="2" v="3350"/>
    </bk>
    <bk>
      <rc t="2" v="3351"/>
    </bk>
    <bk>
      <rc t="2" v="3352"/>
    </bk>
    <bk>
      <rc t="2" v="3353"/>
    </bk>
    <bk>
      <rc t="2" v="3354"/>
    </bk>
    <bk>
      <rc t="2" v="3355"/>
    </bk>
    <bk>
      <rc t="2" v="3356"/>
    </bk>
    <bk>
      <rc t="2" v="3357"/>
    </bk>
    <bk>
      <rc t="2" v="3358"/>
    </bk>
    <bk>
      <rc t="2" v="3359"/>
    </bk>
    <bk>
      <rc t="2" v="3360"/>
    </bk>
    <bk>
      <rc t="2" v="3361"/>
    </bk>
    <bk>
      <rc t="2" v="3362"/>
    </bk>
    <bk>
      <rc t="2" v="3363"/>
    </bk>
    <bk>
      <rc t="2" v="3364"/>
    </bk>
    <bk>
      <rc t="2" v="3365"/>
    </bk>
    <bk>
      <rc t="2" v="3366"/>
    </bk>
    <bk>
      <rc t="2" v="3367"/>
    </bk>
    <bk>
      <rc t="2" v="3368"/>
    </bk>
    <bk>
      <rc t="2" v="3369"/>
    </bk>
    <bk>
      <rc t="2" v="3370"/>
    </bk>
    <bk>
      <rc t="2" v="3371"/>
    </bk>
    <bk>
      <rc t="2" v="3372"/>
    </bk>
    <bk>
      <rc t="2" v="3373"/>
    </bk>
    <bk>
      <rc t="2" v="3374"/>
    </bk>
    <bk>
      <rc t="2" v="3375"/>
    </bk>
    <bk>
      <rc t="2" v="3376"/>
    </bk>
    <bk>
      <rc t="2" v="3377"/>
    </bk>
    <bk>
      <rc t="2" v="3378"/>
    </bk>
    <bk>
      <rc t="2" v="3379"/>
    </bk>
    <bk>
      <rc t="2" v="3380"/>
    </bk>
    <bk>
      <rc t="2" v="3381"/>
    </bk>
    <bk>
      <rc t="2" v="3382"/>
    </bk>
    <bk>
      <rc t="2" v="3383"/>
    </bk>
    <bk>
      <rc t="2" v="3384"/>
    </bk>
    <bk>
      <rc t="2" v="3385"/>
    </bk>
    <bk>
      <rc t="2" v="3386"/>
    </bk>
    <bk>
      <rc t="2" v="3387"/>
    </bk>
    <bk>
      <rc t="2" v="3388"/>
    </bk>
    <bk>
      <rc t="2" v="3389"/>
    </bk>
    <bk>
      <rc t="2" v="3390"/>
    </bk>
    <bk>
      <rc t="2" v="3391"/>
    </bk>
    <bk>
      <rc t="2" v="3392"/>
    </bk>
    <bk>
      <rc t="2" v="3393"/>
    </bk>
    <bk>
      <rc t="2" v="3394"/>
    </bk>
    <bk>
      <rc t="2" v="3395"/>
    </bk>
    <bk>
      <rc t="2" v="3396"/>
    </bk>
    <bk>
      <rc t="2" v="3397"/>
    </bk>
    <bk>
      <rc t="2" v="3398"/>
    </bk>
    <bk>
      <rc t="2" v="3399"/>
    </bk>
    <bk>
      <rc t="2" v="3400"/>
    </bk>
    <bk>
      <rc t="2" v="3401"/>
    </bk>
    <bk>
      <rc t="2" v="3402"/>
    </bk>
    <bk>
      <rc t="2" v="3403"/>
    </bk>
    <bk>
      <rc t="2" v="3404"/>
    </bk>
    <bk>
      <rc t="2" v="3405"/>
    </bk>
    <bk>
      <rc t="2" v="3406"/>
    </bk>
    <bk>
      <rc t="2" v="3407"/>
    </bk>
    <bk>
      <rc t="2" v="3408"/>
    </bk>
    <bk>
      <rc t="2" v="3409"/>
    </bk>
    <bk>
      <rc t="2" v="3410"/>
    </bk>
    <bk>
      <rc t="2" v="3411"/>
    </bk>
    <bk>
      <rc t="2" v="3412"/>
    </bk>
    <bk>
      <rc t="2" v="3413"/>
    </bk>
    <bk>
      <rc t="2" v="3414"/>
    </bk>
    <bk>
      <rc t="2" v="3415"/>
    </bk>
    <bk>
      <rc t="2" v="3416"/>
    </bk>
    <bk>
      <rc t="2" v="3417"/>
    </bk>
    <bk>
      <rc t="2" v="3418"/>
    </bk>
    <bk>
      <rc t="2" v="3419"/>
    </bk>
    <bk>
      <rc t="2" v="3420"/>
    </bk>
    <bk>
      <rc t="2" v="3421"/>
    </bk>
    <bk>
      <rc t="2" v="3422"/>
    </bk>
    <bk>
      <rc t="2" v="3423"/>
    </bk>
    <bk>
      <rc t="2" v="3424"/>
    </bk>
    <bk>
      <rc t="2" v="3425"/>
    </bk>
    <bk>
      <rc t="2" v="3426"/>
    </bk>
    <bk>
      <rc t="2" v="3427"/>
    </bk>
    <bk>
      <rc t="2" v="3428"/>
    </bk>
    <bk>
      <rc t="2" v="3429"/>
    </bk>
    <bk>
      <rc t="2" v="3430"/>
    </bk>
    <bk>
      <rc t="2" v="3431"/>
    </bk>
    <bk>
      <rc t="2" v="3432"/>
    </bk>
    <bk>
      <rc t="2" v="3433"/>
    </bk>
    <bk>
      <rc t="2" v="3434"/>
    </bk>
    <bk>
      <rc t="2" v="3435"/>
    </bk>
    <bk>
      <rc t="2" v="3436"/>
    </bk>
    <bk>
      <rc t="2" v="3437"/>
    </bk>
    <bk>
      <rc t="2" v="3438"/>
    </bk>
    <bk>
      <rc t="2" v="3439"/>
    </bk>
    <bk>
      <rc t="2" v="3440"/>
    </bk>
    <bk>
      <rc t="2" v="3441"/>
    </bk>
    <bk>
      <rc t="2" v="3442"/>
    </bk>
    <bk>
      <rc t="2" v="3443"/>
    </bk>
    <bk>
      <rc t="2" v="3444"/>
    </bk>
    <bk>
      <rc t="2" v="3445"/>
    </bk>
    <bk>
      <rc t="2" v="3446"/>
    </bk>
    <bk>
      <rc t="2" v="3447"/>
    </bk>
    <bk>
      <rc t="2" v="3448"/>
    </bk>
    <bk>
      <rc t="2" v="3449"/>
    </bk>
    <bk>
      <rc t="2" v="3450"/>
    </bk>
    <bk>
      <rc t="2" v="3451"/>
    </bk>
    <bk>
      <rc t="2" v="3452"/>
    </bk>
    <bk>
      <rc t="2" v="3453"/>
    </bk>
    <bk>
      <rc t="2" v="3454"/>
    </bk>
    <bk>
      <rc t="2" v="3455"/>
    </bk>
    <bk>
      <rc t="2" v="3456"/>
    </bk>
    <bk>
      <rc t="2" v="3457"/>
    </bk>
    <bk>
      <rc t="2" v="3458"/>
    </bk>
    <bk>
      <rc t="2" v="3459"/>
    </bk>
    <bk>
      <rc t="2" v="3460"/>
    </bk>
    <bk>
      <rc t="2" v="3461"/>
    </bk>
    <bk>
      <rc t="2" v="3462"/>
    </bk>
    <bk>
      <rc t="2" v="3463"/>
    </bk>
    <bk>
      <rc t="2" v="3464"/>
    </bk>
    <bk>
      <rc t="2" v="3465"/>
    </bk>
    <bk>
      <rc t="2" v="3466"/>
    </bk>
    <bk>
      <rc t="2" v="3467"/>
    </bk>
    <bk>
      <rc t="2" v="3468"/>
    </bk>
    <bk>
      <rc t="2" v="3469"/>
    </bk>
    <bk>
      <rc t="2" v="3470"/>
    </bk>
    <bk>
      <rc t="2" v="3471"/>
    </bk>
    <bk>
      <rc t="2" v="3472"/>
    </bk>
    <bk>
      <rc t="2" v="3473"/>
    </bk>
    <bk>
      <rc t="2" v="3474"/>
    </bk>
    <bk>
      <rc t="2" v="3475"/>
    </bk>
    <bk>
      <rc t="2" v="3476"/>
    </bk>
    <bk>
      <rc t="2" v="3477"/>
    </bk>
    <bk>
      <rc t="2" v="3478"/>
    </bk>
    <bk>
      <rc t="2" v="3479"/>
    </bk>
    <bk>
      <rc t="2" v="3480"/>
    </bk>
    <bk>
      <rc t="2" v="3481"/>
    </bk>
    <bk>
      <rc t="2" v="3482"/>
    </bk>
    <bk>
      <rc t="2" v="3483"/>
    </bk>
    <bk>
      <rc t="2" v="3484"/>
    </bk>
    <bk>
      <rc t="2" v="3485"/>
    </bk>
    <bk>
      <rc t="2" v="3486"/>
    </bk>
    <bk>
      <rc t="2" v="3487"/>
    </bk>
    <bk>
      <rc t="2" v="3488"/>
    </bk>
    <bk>
      <rc t="2" v="3489"/>
    </bk>
    <bk>
      <rc t="2" v="3490"/>
    </bk>
    <bk>
      <rc t="2" v="3491"/>
    </bk>
    <bk>
      <rc t="2" v="3492"/>
    </bk>
    <bk>
      <rc t="2" v="3493"/>
    </bk>
    <bk>
      <rc t="2" v="3494"/>
    </bk>
    <bk>
      <rc t="2" v="3495"/>
    </bk>
    <bk>
      <rc t="2" v="3496"/>
    </bk>
    <bk>
      <rc t="2" v="3497"/>
    </bk>
    <bk>
      <rc t="2" v="3498"/>
    </bk>
    <bk>
      <rc t="2" v="3499"/>
    </bk>
    <bk>
      <rc t="2" v="3500"/>
    </bk>
    <bk>
      <rc t="2" v="3501"/>
    </bk>
    <bk>
      <rc t="2" v="3502"/>
    </bk>
    <bk>
      <rc t="2" v="3503"/>
    </bk>
    <bk>
      <rc t="2" v="3504"/>
    </bk>
    <bk>
      <rc t="2" v="3505"/>
    </bk>
    <bk>
      <rc t="2" v="3506"/>
    </bk>
    <bk>
      <rc t="2" v="3507"/>
    </bk>
    <bk>
      <rc t="2" v="3508"/>
    </bk>
    <bk>
      <rc t="2" v="3509"/>
    </bk>
    <bk>
      <rc t="2" v="3510"/>
    </bk>
    <bk>
      <rc t="2" v="3511"/>
    </bk>
    <bk>
      <rc t="2" v="3512"/>
    </bk>
    <bk>
      <rc t="2" v="3513"/>
    </bk>
    <bk>
      <rc t="2" v="3514"/>
    </bk>
    <bk>
      <rc t="2" v="3515"/>
    </bk>
    <bk>
      <rc t="2" v="3516"/>
    </bk>
    <bk>
      <rc t="2" v="3517"/>
    </bk>
    <bk>
      <rc t="2" v="3518"/>
    </bk>
    <bk>
      <rc t="2" v="3519"/>
    </bk>
    <bk>
      <rc t="2" v="3520"/>
    </bk>
    <bk>
      <rc t="2" v="3521"/>
    </bk>
    <bk>
      <rc t="2" v="3522"/>
    </bk>
    <bk>
      <rc t="2" v="3523"/>
    </bk>
    <bk>
      <rc t="2" v="3524"/>
    </bk>
    <bk>
      <rc t="2" v="3525"/>
    </bk>
    <bk>
      <rc t="2" v="3526"/>
    </bk>
    <bk>
      <rc t="2" v="3527"/>
    </bk>
    <bk>
      <rc t="2" v="3528"/>
    </bk>
    <bk>
      <rc t="2" v="3529"/>
    </bk>
    <bk>
      <rc t="2" v="3530"/>
    </bk>
    <bk>
      <rc t="2" v="3531"/>
    </bk>
    <bk>
      <rc t="2" v="3532"/>
    </bk>
    <bk>
      <rc t="2" v="3533"/>
    </bk>
    <bk>
      <rc t="2" v="3534"/>
    </bk>
    <bk>
      <rc t="2" v="3535"/>
    </bk>
    <bk>
      <rc t="2" v="3536"/>
    </bk>
    <bk>
      <rc t="2" v="3537"/>
    </bk>
    <bk>
      <rc t="2" v="3538"/>
    </bk>
    <bk>
      <rc t="2" v="3539"/>
    </bk>
    <bk>
      <rc t="2" v="3540"/>
    </bk>
    <bk>
      <rc t="2" v="3541"/>
    </bk>
    <bk>
      <rc t="2" v="3542"/>
    </bk>
    <bk>
      <rc t="2" v="3543"/>
    </bk>
    <bk>
      <rc t="2" v="3544"/>
    </bk>
    <bk>
      <rc t="2" v="3545"/>
    </bk>
    <bk>
      <rc t="2" v="3546"/>
    </bk>
    <bk>
      <rc t="2" v="3547"/>
    </bk>
    <bk>
      <rc t="2" v="3548"/>
    </bk>
    <bk>
      <rc t="2" v="3549"/>
    </bk>
    <bk>
      <rc t="2" v="3550"/>
    </bk>
    <bk>
      <rc t="2" v="3551"/>
    </bk>
    <bk>
      <rc t="2" v="3552"/>
    </bk>
    <bk>
      <rc t="2" v="3553"/>
    </bk>
    <bk>
      <rc t="2" v="3554"/>
    </bk>
    <bk>
      <rc t="2" v="3555"/>
    </bk>
    <bk>
      <rc t="2" v="3556"/>
    </bk>
    <bk>
      <rc t="2" v="3557"/>
    </bk>
    <bk>
      <rc t="2" v="3558"/>
    </bk>
    <bk>
      <rc t="2" v="3559"/>
    </bk>
    <bk>
      <rc t="2" v="3560"/>
    </bk>
    <bk>
      <rc t="2" v="3561"/>
    </bk>
    <bk>
      <rc t="2" v="3562"/>
    </bk>
    <bk>
      <rc t="2" v="3563"/>
    </bk>
    <bk>
      <rc t="2" v="3564"/>
    </bk>
    <bk>
      <rc t="2" v="3565"/>
    </bk>
    <bk>
      <rc t="2" v="3566"/>
    </bk>
    <bk>
      <rc t="2" v="3567"/>
    </bk>
    <bk>
      <rc t="2" v="3568"/>
    </bk>
    <bk>
      <rc t="2" v="3569"/>
    </bk>
    <bk>
      <rc t="2" v="3570"/>
    </bk>
    <bk>
      <rc t="2" v="3571"/>
    </bk>
    <bk>
      <rc t="2" v="3572"/>
    </bk>
    <bk>
      <rc t="2" v="3573"/>
    </bk>
    <bk>
      <rc t="2" v="3574"/>
    </bk>
    <bk>
      <rc t="2" v="3575"/>
    </bk>
    <bk>
      <rc t="2" v="3576"/>
    </bk>
    <bk>
      <rc t="2" v="3577"/>
    </bk>
    <bk>
      <rc t="2" v="3578"/>
    </bk>
    <bk>
      <rc t="2" v="3579"/>
    </bk>
    <bk>
      <rc t="2" v="3580"/>
    </bk>
    <bk>
      <rc t="2" v="3581"/>
    </bk>
    <bk>
      <rc t="2" v="3582"/>
    </bk>
    <bk>
      <rc t="2" v="3583"/>
    </bk>
    <bk>
      <rc t="2" v="3584"/>
    </bk>
    <bk>
      <rc t="2" v="3585"/>
    </bk>
    <bk>
      <rc t="2" v="3586"/>
    </bk>
    <bk>
      <rc t="2" v="3587"/>
    </bk>
    <bk>
      <rc t="2" v="3588"/>
    </bk>
    <bk>
      <rc t="2" v="3589"/>
    </bk>
    <bk>
      <rc t="2" v="3590"/>
    </bk>
    <bk>
      <rc t="2" v="3591"/>
    </bk>
    <bk>
      <rc t="2" v="3592"/>
    </bk>
    <bk>
      <rc t="2" v="3593"/>
    </bk>
    <bk>
      <rc t="2" v="3594"/>
    </bk>
    <bk>
      <rc t="2" v="3595"/>
    </bk>
    <bk>
      <rc t="2" v="3596"/>
    </bk>
    <bk>
      <rc t="2" v="3597"/>
    </bk>
    <bk>
      <rc t="2" v="3598"/>
    </bk>
    <bk>
      <rc t="2" v="3599"/>
    </bk>
    <bk>
      <rc t="2" v="3600"/>
    </bk>
    <bk>
      <rc t="2" v="3601"/>
    </bk>
    <bk>
      <rc t="2" v="3602"/>
    </bk>
    <bk>
      <rc t="2" v="3603"/>
    </bk>
    <bk>
      <rc t="2" v="3604"/>
    </bk>
    <bk>
      <rc t="2" v="3605"/>
    </bk>
    <bk>
      <rc t="2" v="3606"/>
    </bk>
    <bk>
      <rc t="2" v="3607"/>
    </bk>
    <bk>
      <rc t="2" v="3608"/>
    </bk>
    <bk>
      <rc t="2" v="3609"/>
    </bk>
    <bk>
      <rc t="2" v="3610"/>
    </bk>
    <bk>
      <rc t="2" v="3611"/>
    </bk>
    <bk>
      <rc t="2" v="3612"/>
    </bk>
    <bk>
      <rc t="2" v="3613"/>
    </bk>
    <bk>
      <rc t="2" v="3614"/>
    </bk>
    <bk>
      <rc t="2" v="3615"/>
    </bk>
    <bk>
      <rc t="2" v="3616"/>
    </bk>
    <bk>
      <rc t="2" v="3617"/>
    </bk>
    <bk>
      <rc t="2" v="3618"/>
    </bk>
    <bk>
      <rc t="2" v="3619"/>
    </bk>
    <bk>
      <rc t="2" v="3620"/>
    </bk>
    <bk>
      <rc t="2" v="3621"/>
    </bk>
    <bk>
      <rc t="2" v="3622"/>
    </bk>
    <bk>
      <rc t="2" v="3623"/>
    </bk>
    <bk>
      <rc t="2" v="3624"/>
    </bk>
    <bk>
      <rc t="2" v="3625"/>
    </bk>
    <bk>
      <rc t="2" v="3626"/>
    </bk>
    <bk>
      <rc t="2" v="3627"/>
    </bk>
    <bk>
      <rc t="2" v="3628"/>
    </bk>
    <bk>
      <rc t="2" v="3629"/>
    </bk>
    <bk>
      <rc t="2" v="3630"/>
    </bk>
    <bk>
      <rc t="2" v="3631"/>
    </bk>
    <bk>
      <rc t="2" v="3632"/>
    </bk>
    <bk>
      <rc t="2" v="3633"/>
    </bk>
    <bk>
      <rc t="2" v="3634"/>
    </bk>
    <bk>
      <rc t="2" v="3635"/>
    </bk>
    <bk>
      <rc t="2" v="3636"/>
    </bk>
    <bk>
      <rc t="2" v="3637"/>
    </bk>
    <bk>
      <rc t="2" v="3638"/>
    </bk>
    <bk>
      <rc t="2" v="3639"/>
    </bk>
    <bk>
      <rc t="2" v="3640"/>
    </bk>
    <bk>
      <rc t="2" v="3641"/>
    </bk>
    <bk>
      <rc t="2" v="3642"/>
    </bk>
    <bk>
      <rc t="2" v="3643"/>
    </bk>
    <bk>
      <rc t="2" v="3644"/>
    </bk>
    <bk>
      <rc t="2" v="3645"/>
    </bk>
    <bk>
      <rc t="2" v="3646"/>
    </bk>
    <bk>
      <rc t="2" v="3647"/>
    </bk>
    <bk>
      <rc t="2" v="3648"/>
    </bk>
    <bk>
      <rc t="2" v="3649"/>
    </bk>
    <bk>
      <rc t="2" v="3650"/>
    </bk>
    <bk>
      <rc t="2" v="3651"/>
    </bk>
    <bk>
      <rc t="2" v="3652"/>
    </bk>
    <bk>
      <rc t="2" v="3653"/>
    </bk>
    <bk>
      <rc t="2" v="3654"/>
    </bk>
    <bk>
      <rc t="2" v="3655"/>
    </bk>
    <bk>
      <rc t="2" v="3656"/>
    </bk>
    <bk>
      <rc t="2" v="3657"/>
    </bk>
    <bk>
      <rc t="2" v="3658"/>
    </bk>
    <bk>
      <rc t="2" v="3659"/>
    </bk>
    <bk>
      <rc t="2" v="3660"/>
    </bk>
    <bk>
      <rc t="2" v="3661"/>
    </bk>
    <bk>
      <rc t="2" v="3662"/>
    </bk>
    <bk>
      <rc t="2" v="3663"/>
    </bk>
    <bk>
      <rc t="2" v="3664"/>
    </bk>
    <bk>
      <rc t="2" v="3665"/>
    </bk>
    <bk>
      <rc t="2" v="3666"/>
    </bk>
    <bk>
      <rc t="2" v="3667"/>
    </bk>
    <bk>
      <rc t="2" v="3668"/>
    </bk>
    <bk>
      <rc t="2" v="3669"/>
    </bk>
    <bk>
      <rc t="2" v="3670"/>
    </bk>
    <bk>
      <rc t="2" v="3671"/>
    </bk>
    <bk>
      <rc t="2" v="3672"/>
    </bk>
    <bk>
      <rc t="2" v="3673"/>
    </bk>
    <bk>
      <rc t="2" v="3674"/>
    </bk>
    <bk>
      <rc t="2" v="3675"/>
    </bk>
    <bk>
      <rc t="2" v="3676"/>
    </bk>
    <bk>
      <rc t="2" v="3677"/>
    </bk>
    <bk>
      <rc t="2" v="3678"/>
    </bk>
    <bk>
      <rc t="2" v="3679"/>
    </bk>
    <bk>
      <rc t="2" v="3680"/>
    </bk>
    <bk>
      <rc t="2" v="3681"/>
    </bk>
    <bk>
      <rc t="2" v="3682"/>
    </bk>
    <bk>
      <rc t="2" v="3683"/>
    </bk>
    <bk>
      <rc t="2" v="3684"/>
    </bk>
    <bk>
      <rc t="2" v="3685"/>
    </bk>
    <bk>
      <rc t="2" v="3686"/>
    </bk>
    <bk>
      <rc t="2" v="3687"/>
    </bk>
    <bk>
      <rc t="2" v="3688"/>
    </bk>
    <bk>
      <rc t="2" v="3689"/>
    </bk>
    <bk>
      <rc t="2" v="3690"/>
    </bk>
    <bk>
      <rc t="2" v="3691"/>
    </bk>
    <bk>
      <rc t="2" v="3692"/>
    </bk>
    <bk>
      <rc t="2" v="3693"/>
    </bk>
    <bk>
      <rc t="2" v="3694"/>
    </bk>
    <bk>
      <rc t="2" v="3695"/>
    </bk>
    <bk>
      <rc t="2" v="3696"/>
    </bk>
    <bk>
      <rc t="2" v="3697"/>
    </bk>
    <bk>
      <rc t="2" v="3698"/>
    </bk>
    <bk>
      <rc t="2" v="3699"/>
    </bk>
    <bk>
      <rc t="2" v="3700"/>
    </bk>
    <bk>
      <rc t="2" v="3701"/>
    </bk>
    <bk>
      <rc t="2" v="3702"/>
    </bk>
    <bk>
      <rc t="2" v="3703"/>
    </bk>
    <bk>
      <rc t="2" v="3704"/>
    </bk>
    <bk>
      <rc t="2" v="3705"/>
    </bk>
    <bk>
      <rc t="2" v="3706"/>
    </bk>
    <bk>
      <rc t="2" v="3707"/>
    </bk>
    <bk>
      <rc t="2" v="3708"/>
    </bk>
    <bk>
      <rc t="2" v="3709"/>
    </bk>
    <bk>
      <rc t="2" v="3710"/>
    </bk>
    <bk>
      <rc t="2" v="3711"/>
    </bk>
    <bk>
      <rc t="2" v="3712"/>
    </bk>
    <bk>
      <rc t="2" v="3713"/>
    </bk>
    <bk>
      <rc t="2" v="3714"/>
    </bk>
    <bk>
      <rc t="2" v="3715"/>
    </bk>
    <bk>
      <rc t="2" v="3716"/>
    </bk>
    <bk>
      <rc t="2" v="3717"/>
    </bk>
    <bk>
      <rc t="2" v="3718"/>
    </bk>
    <bk>
      <rc t="2" v="3719"/>
    </bk>
    <bk>
      <rc t="2" v="3720"/>
    </bk>
    <bk>
      <rc t="2" v="3721"/>
    </bk>
    <bk>
      <rc t="2" v="3722"/>
    </bk>
    <bk>
      <rc t="2" v="3723"/>
    </bk>
    <bk>
      <rc t="2" v="3724"/>
    </bk>
    <bk>
      <rc t="2" v="3725"/>
    </bk>
    <bk>
      <rc t="2" v="3726"/>
    </bk>
    <bk>
      <rc t="2" v="3727"/>
    </bk>
    <bk>
      <rc t="2" v="3728"/>
    </bk>
    <bk>
      <rc t="2" v="3729"/>
    </bk>
    <bk>
      <rc t="2" v="3730"/>
    </bk>
    <bk>
      <rc t="2" v="3731"/>
    </bk>
    <bk>
      <rc t="2" v="3732"/>
    </bk>
    <bk>
      <rc t="2" v="3733"/>
    </bk>
    <bk>
      <rc t="2" v="3734"/>
    </bk>
    <bk>
      <rc t="2" v="3735"/>
    </bk>
    <bk>
      <rc t="2" v="3736"/>
    </bk>
    <bk>
      <rc t="2" v="3737"/>
    </bk>
    <bk>
      <rc t="2" v="3738"/>
    </bk>
    <bk>
      <rc t="2" v="3739"/>
    </bk>
    <bk>
      <rc t="2" v="3740"/>
    </bk>
    <bk>
      <rc t="2" v="3741"/>
    </bk>
    <bk>
      <rc t="2" v="3742"/>
    </bk>
    <bk>
      <rc t="2" v="3743"/>
    </bk>
    <bk>
      <rc t="2" v="3744"/>
    </bk>
    <bk>
      <rc t="2" v="3745"/>
    </bk>
    <bk>
      <rc t="2" v="3746"/>
    </bk>
    <bk>
      <rc t="2" v="3747"/>
    </bk>
    <bk>
      <rc t="2" v="3748"/>
    </bk>
    <bk>
      <rc t="2" v="3749"/>
    </bk>
    <bk>
      <rc t="2" v="3750"/>
    </bk>
    <bk>
      <rc t="2" v="3751"/>
    </bk>
    <bk>
      <rc t="2" v="3752"/>
    </bk>
    <bk>
      <rc t="2" v="3753"/>
    </bk>
    <bk>
      <rc t="2" v="3754"/>
    </bk>
    <bk>
      <rc t="2" v="3755"/>
    </bk>
    <bk>
      <rc t="2" v="3756"/>
    </bk>
    <bk>
      <rc t="2" v="3757"/>
    </bk>
    <bk>
      <rc t="2" v="3758"/>
    </bk>
    <bk>
      <rc t="2" v="3759"/>
    </bk>
    <bk>
      <rc t="2" v="3760"/>
    </bk>
    <bk>
      <rc t="2" v="3761"/>
    </bk>
    <bk>
      <rc t="2" v="3762"/>
    </bk>
    <bk>
      <rc t="2" v="3763"/>
    </bk>
    <bk>
      <rc t="2" v="3764"/>
    </bk>
    <bk>
      <rc t="2" v="3765"/>
    </bk>
    <bk>
      <rc t="2" v="3766"/>
    </bk>
    <bk>
      <rc t="2" v="3767"/>
    </bk>
    <bk>
      <rc t="2" v="3768"/>
    </bk>
    <bk>
      <rc t="2" v="3769"/>
    </bk>
    <bk>
      <rc t="2" v="3770"/>
    </bk>
    <bk>
      <rc t="2" v="3771"/>
    </bk>
    <bk>
      <rc t="2" v="3772"/>
    </bk>
    <bk>
      <rc t="2" v="3773"/>
    </bk>
    <bk>
      <rc t="2" v="3774"/>
    </bk>
    <bk>
      <rc t="2" v="3775"/>
    </bk>
    <bk>
      <rc t="2" v="3776"/>
    </bk>
    <bk>
      <rc t="2" v="3777"/>
    </bk>
    <bk>
      <rc t="2" v="3778"/>
    </bk>
    <bk>
      <rc t="2" v="3779"/>
    </bk>
    <bk>
      <rc t="2" v="3780"/>
    </bk>
    <bk>
      <rc t="2" v="3781"/>
    </bk>
    <bk>
      <rc t="2" v="3782"/>
    </bk>
    <bk>
      <rc t="2" v="3783"/>
    </bk>
    <bk>
      <rc t="2" v="3784"/>
    </bk>
    <bk>
      <rc t="2" v="3785"/>
    </bk>
    <bk>
      <rc t="2" v="3786"/>
    </bk>
    <bk>
      <rc t="2" v="3787"/>
    </bk>
    <bk>
      <rc t="2" v="3788"/>
    </bk>
    <bk>
      <rc t="2" v="3789"/>
    </bk>
    <bk>
      <rc t="2" v="3790"/>
    </bk>
    <bk>
      <rc t="2" v="3791"/>
    </bk>
    <bk>
      <rc t="2" v="3792"/>
    </bk>
    <bk>
      <rc t="2" v="3793"/>
    </bk>
    <bk>
      <rc t="2" v="3794"/>
    </bk>
    <bk>
      <rc t="2" v="3795"/>
    </bk>
    <bk>
      <rc t="2" v="3796"/>
    </bk>
    <bk>
      <rc t="2" v="3797"/>
    </bk>
    <bk>
      <rc t="2" v="3798"/>
    </bk>
    <bk>
      <rc t="2" v="3799"/>
    </bk>
    <bk>
      <rc t="2" v="3800"/>
    </bk>
    <bk>
      <rc t="2" v="3801"/>
    </bk>
    <bk>
      <rc t="2" v="3802"/>
    </bk>
    <bk>
      <rc t="2" v="3803"/>
    </bk>
    <bk>
      <rc t="2" v="3804"/>
    </bk>
    <bk>
      <rc t="2" v="3805"/>
    </bk>
    <bk>
      <rc t="2" v="3806"/>
    </bk>
    <bk>
      <rc t="2" v="3807"/>
    </bk>
    <bk>
      <rc t="2" v="3808"/>
    </bk>
    <bk>
      <rc t="2" v="3809"/>
    </bk>
    <bk>
      <rc t="2" v="3810"/>
    </bk>
    <bk>
      <rc t="2" v="3811"/>
    </bk>
    <bk>
      <rc t="2" v="3812"/>
    </bk>
    <bk>
      <rc t="2" v="3813"/>
    </bk>
    <bk>
      <rc t="2" v="3814"/>
    </bk>
    <bk>
      <rc t="2" v="3815"/>
    </bk>
    <bk>
      <rc t="2" v="3816"/>
    </bk>
    <bk>
      <rc t="2" v="3817"/>
    </bk>
    <bk>
      <rc t="2" v="3818"/>
    </bk>
    <bk>
      <rc t="2" v="3819"/>
    </bk>
    <bk>
      <rc t="2" v="3820"/>
    </bk>
    <bk>
      <rc t="2" v="3821"/>
    </bk>
    <bk>
      <rc t="2" v="3822"/>
    </bk>
    <bk>
      <rc t="2" v="3823"/>
    </bk>
    <bk>
      <rc t="2" v="3824"/>
    </bk>
    <bk>
      <rc t="2" v="3825"/>
    </bk>
    <bk>
      <rc t="2" v="3826"/>
    </bk>
    <bk>
      <rc t="2" v="3827"/>
    </bk>
    <bk>
      <rc t="2" v="3828"/>
    </bk>
    <bk>
      <rc t="2" v="3829"/>
    </bk>
    <bk>
      <rc t="2" v="3830"/>
    </bk>
    <bk>
      <rc t="2" v="3831"/>
    </bk>
    <bk>
      <rc t="2" v="3832"/>
    </bk>
    <bk>
      <rc t="2" v="3833"/>
    </bk>
    <bk>
      <rc t="2" v="3834"/>
    </bk>
    <bk>
      <rc t="2" v="3835"/>
    </bk>
    <bk>
      <rc t="2" v="3836"/>
    </bk>
    <bk>
      <rc t="2" v="3837"/>
    </bk>
    <bk>
      <rc t="2" v="3838"/>
    </bk>
    <bk>
      <rc t="2" v="3839"/>
    </bk>
    <bk>
      <rc t="2" v="3840"/>
    </bk>
    <bk>
      <rc t="2" v="3841"/>
    </bk>
    <bk>
      <rc t="2" v="3842"/>
    </bk>
    <bk>
      <rc t="2" v="3843"/>
    </bk>
    <bk>
      <rc t="2" v="3844"/>
    </bk>
    <bk>
      <rc t="2" v="3845"/>
    </bk>
    <bk>
      <rc t="2" v="3846"/>
    </bk>
    <bk>
      <rc t="2" v="3847"/>
    </bk>
    <bk>
      <rc t="2" v="3848"/>
    </bk>
    <bk>
      <rc t="2" v="3849"/>
    </bk>
    <bk>
      <rc t="2" v="3850"/>
    </bk>
    <bk>
      <rc t="2" v="3851"/>
    </bk>
    <bk>
      <rc t="2" v="3852"/>
    </bk>
    <bk>
      <rc t="2" v="3853"/>
    </bk>
    <bk>
      <rc t="2" v="3854"/>
    </bk>
    <bk>
      <rc t="2" v="3855"/>
    </bk>
    <bk>
      <rc t="2" v="3856"/>
    </bk>
    <bk>
      <rc t="2" v="3857"/>
    </bk>
    <bk>
      <rc t="2" v="3858"/>
    </bk>
    <bk>
      <rc t="2" v="3859"/>
    </bk>
    <bk>
      <rc t="2" v="3860"/>
    </bk>
    <bk>
      <rc t="2" v="3861"/>
    </bk>
    <bk>
      <rc t="2" v="3862"/>
    </bk>
    <bk>
      <rc t="2" v="3863"/>
    </bk>
    <bk>
      <rc t="2" v="3864"/>
    </bk>
    <bk>
      <rc t="2" v="3865"/>
    </bk>
    <bk>
      <rc t="2" v="3866"/>
    </bk>
    <bk>
      <rc t="2" v="3867"/>
    </bk>
    <bk>
      <rc t="2" v="3868"/>
    </bk>
    <bk>
      <rc t="2" v="3869"/>
    </bk>
    <bk>
      <rc t="2" v="3870"/>
    </bk>
    <bk>
      <rc t="2" v="3871"/>
    </bk>
    <bk>
      <rc t="2" v="3872"/>
    </bk>
    <bk>
      <rc t="2" v="3873"/>
    </bk>
    <bk>
      <rc t="2" v="3874"/>
    </bk>
    <bk>
      <rc t="2" v="3875"/>
    </bk>
    <bk>
      <rc t="2" v="3876"/>
    </bk>
    <bk>
      <rc t="2" v="3877"/>
    </bk>
    <bk>
      <rc t="2" v="3878"/>
    </bk>
    <bk>
      <rc t="2" v="3879"/>
    </bk>
    <bk>
      <rc t="2" v="3880"/>
    </bk>
    <bk>
      <rc t="2" v="3881"/>
    </bk>
    <bk>
      <rc t="2" v="3882"/>
    </bk>
    <bk>
      <rc t="2" v="3883"/>
    </bk>
    <bk>
      <rc t="2" v="3884"/>
    </bk>
    <bk>
      <rc t="2" v="3885"/>
    </bk>
    <bk>
      <rc t="2" v="3886"/>
    </bk>
    <bk>
      <rc t="2" v="3887"/>
    </bk>
    <bk>
      <rc t="2" v="3888"/>
    </bk>
    <bk>
      <rc t="2" v="3889"/>
    </bk>
    <bk>
      <rc t="2" v="3890"/>
    </bk>
    <bk>
      <rc t="2" v="3891"/>
    </bk>
    <bk>
      <rc t="2" v="3892"/>
    </bk>
    <bk>
      <rc t="2" v="3893"/>
    </bk>
    <bk>
      <rc t="2" v="3894"/>
    </bk>
    <bk>
      <rc t="2" v="3895"/>
    </bk>
    <bk>
      <rc t="2" v="3896"/>
    </bk>
    <bk>
      <rc t="2" v="3897"/>
    </bk>
    <bk>
      <rc t="2" v="3898"/>
    </bk>
    <bk>
      <rc t="2" v="3899"/>
    </bk>
    <bk>
      <rc t="2" v="3900"/>
    </bk>
    <bk>
      <rc t="2" v="3901"/>
    </bk>
    <bk>
      <rc t="2" v="3902"/>
    </bk>
    <bk>
      <rc t="2" v="3903"/>
    </bk>
    <bk>
      <rc t="2" v="3904"/>
    </bk>
    <bk>
      <rc t="2" v="3905"/>
    </bk>
    <bk>
      <rc t="2" v="3906"/>
    </bk>
    <bk>
      <rc t="2" v="3907"/>
    </bk>
    <bk>
      <rc t="2" v="3908"/>
    </bk>
    <bk>
      <rc t="2" v="3909"/>
    </bk>
    <bk>
      <rc t="2" v="3910"/>
    </bk>
    <bk>
      <rc t="2" v="3911"/>
    </bk>
    <bk>
      <rc t="2" v="3912"/>
    </bk>
    <bk>
      <rc t="2" v="3913"/>
    </bk>
    <bk>
      <rc t="2" v="3914"/>
    </bk>
    <bk>
      <rc t="2" v="3915"/>
    </bk>
    <bk>
      <rc t="2" v="3916"/>
    </bk>
    <bk>
      <rc t="2" v="3917"/>
    </bk>
    <bk>
      <rc t="2" v="3918"/>
    </bk>
    <bk>
      <rc t="2" v="3919"/>
    </bk>
    <bk>
      <rc t="2" v="3920"/>
    </bk>
    <bk>
      <rc t="2" v="3921"/>
    </bk>
    <bk>
      <rc t="2" v="3922"/>
    </bk>
    <bk>
      <rc t="2" v="3923"/>
    </bk>
    <bk>
      <rc t="2" v="3924"/>
    </bk>
    <bk>
      <rc t="2" v="3925"/>
    </bk>
    <bk>
      <rc t="2" v="3926"/>
    </bk>
    <bk>
      <rc t="2" v="3927"/>
    </bk>
    <bk>
      <rc t="2" v="3928"/>
    </bk>
    <bk>
      <rc t="2" v="3929"/>
    </bk>
    <bk>
      <rc t="2" v="3930"/>
    </bk>
    <bk>
      <rc t="2" v="3931"/>
    </bk>
    <bk>
      <rc t="2" v="3932"/>
    </bk>
    <bk>
      <rc t="2" v="3933"/>
    </bk>
    <bk>
      <rc t="2" v="3934"/>
    </bk>
    <bk>
      <rc t="2" v="3935"/>
    </bk>
    <bk>
      <rc t="2" v="3936"/>
    </bk>
    <bk>
      <rc t="2" v="3937"/>
    </bk>
    <bk>
      <rc t="2" v="3938"/>
    </bk>
    <bk>
      <rc t="2" v="3939"/>
    </bk>
    <bk>
      <rc t="2" v="3940"/>
    </bk>
    <bk>
      <rc t="2" v="3941"/>
    </bk>
    <bk>
      <rc t="2" v="3942"/>
    </bk>
    <bk>
      <rc t="2" v="3943"/>
    </bk>
    <bk>
      <rc t="2" v="3944"/>
    </bk>
    <bk>
      <rc t="2" v="3945"/>
    </bk>
    <bk>
      <rc t="2" v="3946"/>
    </bk>
    <bk>
      <rc t="2" v="3947"/>
    </bk>
    <bk>
      <rc t="2" v="3948"/>
    </bk>
    <bk>
      <rc t="2" v="3949"/>
    </bk>
    <bk>
      <rc t="2" v="3950"/>
    </bk>
    <bk>
      <rc t="2" v="3951"/>
    </bk>
    <bk>
      <rc t="2" v="3952"/>
    </bk>
    <bk>
      <rc t="2" v="3953"/>
    </bk>
    <bk>
      <rc t="2" v="3954"/>
    </bk>
    <bk>
      <rc t="2" v="3955"/>
    </bk>
    <bk>
      <rc t="2" v="3956"/>
    </bk>
    <bk>
      <rc t="2" v="3957"/>
    </bk>
    <bk>
      <rc t="2" v="3958"/>
    </bk>
    <bk>
      <rc t="2" v="3959"/>
    </bk>
    <bk>
      <rc t="2" v="3960"/>
    </bk>
    <bk>
      <rc t="2" v="3961"/>
    </bk>
    <bk>
      <rc t="2" v="3962"/>
    </bk>
    <bk>
      <rc t="2" v="3963"/>
    </bk>
    <bk>
      <rc t="2" v="3964"/>
    </bk>
    <bk>
      <rc t="2" v="3965"/>
    </bk>
    <bk>
      <rc t="2" v="3966"/>
    </bk>
    <bk>
      <rc t="2" v="3967"/>
    </bk>
    <bk>
      <rc t="2" v="3968"/>
    </bk>
    <bk>
      <rc t="2" v="3969"/>
    </bk>
    <bk>
      <rc t="2" v="3970"/>
    </bk>
    <bk>
      <rc t="2" v="3971"/>
    </bk>
    <bk>
      <rc t="2" v="3972"/>
    </bk>
    <bk>
      <rc t="2" v="3973"/>
    </bk>
    <bk>
      <rc t="2" v="3974"/>
    </bk>
    <bk>
      <rc t="2" v="3975"/>
    </bk>
    <bk>
      <rc t="2" v="3976"/>
    </bk>
    <bk>
      <rc t="2" v="3977"/>
    </bk>
    <bk>
      <rc t="2" v="3978"/>
    </bk>
    <bk>
      <rc t="2" v="3979"/>
    </bk>
    <bk>
      <rc t="2" v="3980"/>
    </bk>
    <bk>
      <rc t="2" v="3981"/>
    </bk>
    <bk>
      <rc t="2" v="3982"/>
    </bk>
    <bk>
      <rc t="2" v="3983"/>
    </bk>
    <bk>
      <rc t="2" v="3984"/>
    </bk>
    <bk>
      <rc t="2" v="3985"/>
    </bk>
    <bk>
      <rc t="2" v="3986"/>
    </bk>
    <bk>
      <rc t="2" v="3987"/>
    </bk>
    <bk>
      <rc t="2" v="3988"/>
    </bk>
    <bk>
      <rc t="2" v="3989"/>
    </bk>
    <bk>
      <rc t="2" v="3990"/>
    </bk>
    <bk>
      <rc t="2" v="3991"/>
    </bk>
    <bk>
      <rc t="2" v="3992"/>
    </bk>
    <bk>
      <rc t="2" v="3993"/>
    </bk>
    <bk>
      <rc t="2" v="3994"/>
    </bk>
    <bk>
      <rc t="2" v="3995"/>
    </bk>
    <bk>
      <rc t="2" v="3996"/>
    </bk>
    <bk>
      <rc t="2" v="3997"/>
    </bk>
    <bk>
      <rc t="2" v="3998"/>
    </bk>
    <bk>
      <rc t="2" v="3999"/>
    </bk>
    <bk>
      <rc t="2" v="4000"/>
    </bk>
    <bk>
      <rc t="2" v="4001"/>
    </bk>
    <bk>
      <rc t="2" v="4002"/>
    </bk>
    <bk>
      <rc t="2" v="4003"/>
    </bk>
    <bk>
      <rc t="2" v="4004"/>
    </bk>
    <bk>
      <rc t="2" v="4005"/>
    </bk>
    <bk>
      <rc t="2" v="4006"/>
    </bk>
    <bk>
      <rc t="2" v="4007"/>
    </bk>
    <bk>
      <rc t="2" v="4008"/>
    </bk>
    <bk>
      <rc t="2" v="4009"/>
    </bk>
    <bk>
      <rc t="2" v="4010"/>
    </bk>
    <bk>
      <rc t="2" v="4011"/>
    </bk>
    <bk>
      <rc t="2" v="4012"/>
    </bk>
    <bk>
      <rc t="2" v="4013"/>
    </bk>
    <bk>
      <rc t="2" v="4014"/>
    </bk>
    <bk>
      <rc t="2" v="4015"/>
    </bk>
    <bk>
      <rc t="2" v="4016"/>
    </bk>
    <bk>
      <rc t="2" v="4017"/>
    </bk>
    <bk>
      <rc t="2" v="4018"/>
    </bk>
    <bk>
      <rc t="2" v="4019"/>
    </bk>
    <bk>
      <rc t="2" v="4020"/>
    </bk>
    <bk>
      <rc t="2" v="4021"/>
    </bk>
    <bk>
      <rc t="2" v="4022"/>
    </bk>
    <bk>
      <rc t="2" v="4023"/>
    </bk>
    <bk>
      <rc t="2" v="4024"/>
    </bk>
    <bk>
      <rc t="2" v="4025"/>
    </bk>
    <bk>
      <rc t="2" v="4026"/>
    </bk>
    <bk>
      <rc t="2" v="4027"/>
    </bk>
    <bk>
      <rc t="2" v="4028"/>
    </bk>
    <bk>
      <rc t="2" v="4029"/>
    </bk>
    <bk>
      <rc t="2" v="4030"/>
    </bk>
    <bk>
      <rc t="2" v="4031"/>
    </bk>
    <bk>
      <rc t="2" v="4032"/>
    </bk>
    <bk>
      <rc t="2" v="4033"/>
    </bk>
    <bk>
      <rc t="2" v="4034"/>
    </bk>
    <bk>
      <rc t="2" v="4035"/>
    </bk>
    <bk>
      <rc t="2" v="4036"/>
    </bk>
    <bk>
      <rc t="2" v="4037"/>
    </bk>
    <bk>
      <rc t="2" v="4038"/>
    </bk>
    <bk>
      <rc t="2" v="4039"/>
    </bk>
    <bk>
      <rc t="2" v="4040"/>
    </bk>
    <bk>
      <rc t="2" v="4041"/>
    </bk>
    <bk>
      <rc t="2" v="4042"/>
    </bk>
    <bk>
      <rc t="2" v="4043"/>
    </bk>
    <bk>
      <rc t="2" v="4044"/>
    </bk>
    <bk>
      <rc t="2" v="4045"/>
    </bk>
    <bk>
      <rc t="2" v="4046"/>
    </bk>
    <bk>
      <rc t="2" v="4047"/>
    </bk>
    <bk>
      <rc t="2" v="4048"/>
    </bk>
    <bk>
      <rc t="2" v="4049"/>
    </bk>
    <bk>
      <rc t="2" v="4050"/>
    </bk>
    <bk>
      <rc t="2" v="4051"/>
    </bk>
    <bk>
      <rc t="2" v="4052"/>
    </bk>
    <bk>
      <rc t="2" v="4053"/>
    </bk>
    <bk>
      <rc t="2" v="4054"/>
    </bk>
    <bk>
      <rc t="2" v="4055"/>
    </bk>
    <bk>
      <rc t="2" v="4056"/>
    </bk>
    <bk>
      <rc t="2" v="4057"/>
    </bk>
    <bk>
      <rc t="2" v="4058"/>
    </bk>
    <bk>
      <rc t="2" v="4059"/>
    </bk>
    <bk>
      <rc t="2" v="4060"/>
    </bk>
    <bk>
      <rc t="2" v="4061"/>
    </bk>
    <bk>
      <rc t="2" v="4062"/>
    </bk>
    <bk>
      <rc t="2" v="4063"/>
    </bk>
    <bk>
      <rc t="2" v="4064"/>
    </bk>
    <bk>
      <rc t="2" v="4065"/>
    </bk>
    <bk>
      <rc t="2" v="4066"/>
    </bk>
    <bk>
      <rc t="2" v="4067"/>
    </bk>
    <bk>
      <rc t="2" v="4068"/>
    </bk>
    <bk>
      <rc t="2" v="4069"/>
    </bk>
    <bk>
      <rc t="2" v="4070"/>
    </bk>
    <bk>
      <rc t="2" v="4071"/>
    </bk>
    <bk>
      <rc t="2" v="4072"/>
    </bk>
    <bk>
      <rc t="2" v="4073"/>
    </bk>
    <bk>
      <rc t="2" v="4074"/>
    </bk>
    <bk>
      <rc t="2" v="4075"/>
    </bk>
    <bk>
      <rc t="2" v="4076"/>
    </bk>
    <bk>
      <rc t="2" v="4077"/>
    </bk>
    <bk>
      <rc t="2" v="4078"/>
    </bk>
    <bk>
      <rc t="2" v="4079"/>
    </bk>
    <bk>
      <rc t="2" v="4080"/>
    </bk>
    <bk>
      <rc t="2" v="4081"/>
    </bk>
    <bk>
      <rc t="2" v="4082"/>
    </bk>
    <bk>
      <rc t="2" v="4083"/>
    </bk>
    <bk>
      <rc t="2" v="4084"/>
    </bk>
    <bk>
      <rc t="2" v="4085"/>
    </bk>
    <bk>
      <rc t="2" v="4086"/>
    </bk>
    <bk>
      <rc t="2" v="4087"/>
    </bk>
    <bk>
      <rc t="2" v="4088"/>
    </bk>
    <bk>
      <rc t="2" v="4089"/>
    </bk>
    <bk>
      <rc t="2" v="4090"/>
    </bk>
    <bk>
      <rc t="2" v="4091"/>
    </bk>
    <bk>
      <rc t="2" v="4092"/>
    </bk>
    <bk>
      <rc t="2" v="4093"/>
    </bk>
    <bk>
      <rc t="2" v="4094"/>
    </bk>
    <bk>
      <rc t="2" v="4095"/>
    </bk>
    <bk>
      <rc t="2" v="4096"/>
    </bk>
    <bk>
      <rc t="2" v="4097"/>
    </bk>
    <bk>
      <rc t="2" v="4098"/>
    </bk>
    <bk>
      <rc t="2" v="4099"/>
    </bk>
    <bk>
      <rc t="2" v="4100"/>
    </bk>
    <bk>
      <rc t="2" v="4101"/>
    </bk>
    <bk>
      <rc t="2" v="4102"/>
    </bk>
    <bk>
      <rc t="2" v="4103"/>
    </bk>
    <bk>
      <rc t="2" v="4104"/>
    </bk>
    <bk>
      <rc t="2" v="4105"/>
    </bk>
    <bk>
      <rc t="2" v="4106"/>
    </bk>
    <bk>
      <rc t="2" v="4107"/>
    </bk>
    <bk>
      <rc t="2" v="4108"/>
    </bk>
    <bk>
      <rc t="2" v="4109"/>
    </bk>
    <bk>
      <rc t="2" v="4110"/>
    </bk>
    <bk>
      <rc t="2" v="4111"/>
    </bk>
    <bk>
      <rc t="2" v="4112"/>
    </bk>
    <bk>
      <rc t="2" v="4113"/>
    </bk>
    <bk>
      <rc t="2" v="4114"/>
    </bk>
    <bk>
      <rc t="2" v="4115"/>
    </bk>
    <bk>
      <rc t="2" v="4116"/>
    </bk>
    <bk>
      <rc t="2" v="4117"/>
    </bk>
    <bk>
      <rc t="2" v="4118"/>
    </bk>
    <bk>
      <rc t="2" v="4119"/>
    </bk>
    <bk>
      <rc t="2" v="4120"/>
    </bk>
    <bk>
      <rc t="2" v="4121"/>
    </bk>
    <bk>
      <rc t="2" v="4122"/>
    </bk>
    <bk>
      <rc t="2" v="4123"/>
    </bk>
    <bk>
      <rc t="2" v="4124"/>
    </bk>
    <bk>
      <rc t="2" v="4125"/>
    </bk>
    <bk>
      <rc t="2" v="4126"/>
    </bk>
    <bk>
      <rc t="2" v="4127"/>
    </bk>
    <bk>
      <rc t="2" v="4128"/>
    </bk>
    <bk>
      <rc t="2" v="4129"/>
    </bk>
    <bk>
      <rc t="2" v="4130"/>
    </bk>
    <bk>
      <rc t="2" v="4131"/>
    </bk>
    <bk>
      <rc t="2" v="4132"/>
    </bk>
    <bk>
      <rc t="2" v="4133"/>
    </bk>
    <bk>
      <rc t="2" v="4134"/>
    </bk>
    <bk>
      <rc t="2" v="4135"/>
    </bk>
    <bk>
      <rc t="2" v="4136"/>
    </bk>
    <bk>
      <rc t="2" v="4137"/>
    </bk>
    <bk>
      <rc t="2" v="4138"/>
    </bk>
    <bk>
      <rc t="2" v="4139"/>
    </bk>
    <bk>
      <rc t="2" v="4140"/>
    </bk>
    <bk>
      <rc t="2" v="4141"/>
    </bk>
    <bk>
      <rc t="2" v="4142"/>
    </bk>
    <bk>
      <rc t="2" v="4143"/>
    </bk>
    <bk>
      <rc t="2" v="4144"/>
    </bk>
    <bk>
      <rc t="2" v="4145"/>
    </bk>
    <bk>
      <rc t="2" v="4146"/>
    </bk>
    <bk>
      <rc t="2" v="4147"/>
    </bk>
    <bk>
      <rc t="2" v="4148"/>
    </bk>
    <bk>
      <rc t="2" v="4149"/>
    </bk>
    <bk>
      <rc t="2" v="4150"/>
    </bk>
    <bk>
      <rc t="2" v="4151"/>
    </bk>
    <bk>
      <rc t="2" v="4152"/>
    </bk>
    <bk>
      <rc t="2" v="4153"/>
    </bk>
    <bk>
      <rc t="2" v="4154"/>
    </bk>
    <bk>
      <rc t="2" v="4155"/>
    </bk>
    <bk>
      <rc t="2" v="4156"/>
    </bk>
    <bk>
      <rc t="2" v="4157"/>
    </bk>
    <bk>
      <rc t="2" v="4158"/>
    </bk>
    <bk>
      <rc t="2" v="4159"/>
    </bk>
    <bk>
      <rc t="2" v="4160"/>
    </bk>
    <bk>
      <rc t="2" v="4161"/>
    </bk>
    <bk>
      <rc t="2" v="4162"/>
    </bk>
    <bk>
      <rc t="2" v="4163"/>
    </bk>
    <bk>
      <rc t="2" v="4164"/>
    </bk>
    <bk>
      <rc t="2" v="4165"/>
    </bk>
    <bk>
      <rc t="2" v="4166"/>
    </bk>
    <bk>
      <rc t="2" v="4167"/>
    </bk>
    <bk>
      <rc t="2" v="4168"/>
    </bk>
    <bk>
      <rc t="2" v="4169"/>
    </bk>
    <bk>
      <rc t="2" v="4170"/>
    </bk>
    <bk>
      <rc t="2" v="4171"/>
    </bk>
    <bk>
      <rc t="2" v="4172"/>
    </bk>
    <bk>
      <rc t="2" v="4173"/>
    </bk>
    <bk>
      <rc t="2" v="4174"/>
    </bk>
    <bk>
      <rc t="2" v="4175"/>
    </bk>
    <bk>
      <rc t="2" v="4176"/>
    </bk>
    <bk>
      <rc t="2" v="4177"/>
    </bk>
    <bk>
      <rc t="2" v="4178"/>
    </bk>
    <bk>
      <rc t="2" v="4179"/>
    </bk>
    <bk>
      <rc t="2" v="4180"/>
    </bk>
    <bk>
      <rc t="2" v="4181"/>
    </bk>
    <bk>
      <rc t="2" v="4182"/>
    </bk>
    <bk>
      <rc t="2" v="4183"/>
    </bk>
    <bk>
      <rc t="2" v="4184"/>
    </bk>
    <bk>
      <rc t="2" v="4185"/>
    </bk>
    <bk>
      <rc t="2" v="4186"/>
    </bk>
    <bk>
      <rc t="2" v="4187"/>
    </bk>
    <bk>
      <rc t="2" v="4188"/>
    </bk>
    <bk>
      <rc t="2" v="4189"/>
    </bk>
    <bk>
      <rc t="2" v="4190"/>
    </bk>
    <bk>
      <rc t="2" v="4191"/>
    </bk>
    <bk>
      <rc t="2" v="4192"/>
    </bk>
    <bk>
      <rc t="2" v="4193"/>
    </bk>
    <bk>
      <rc t="2" v="4194"/>
    </bk>
    <bk>
      <rc t="2" v="4195"/>
    </bk>
    <bk>
      <rc t="2" v="4196"/>
    </bk>
    <bk>
      <rc t="2" v="4197"/>
    </bk>
    <bk>
      <rc t="2" v="4198"/>
    </bk>
    <bk>
      <rc t="2" v="4199"/>
    </bk>
    <bk>
      <rc t="2" v="4200"/>
    </bk>
    <bk>
      <rc t="2" v="4201"/>
    </bk>
    <bk>
      <rc t="2" v="4202"/>
    </bk>
    <bk>
      <rc t="2" v="4203"/>
    </bk>
    <bk>
      <rc t="2" v="4204"/>
    </bk>
    <bk>
      <rc t="2" v="4205"/>
    </bk>
    <bk>
      <rc t="2" v="4206"/>
    </bk>
    <bk>
      <rc t="2" v="4207"/>
    </bk>
    <bk>
      <rc t="2" v="4208"/>
    </bk>
    <bk>
      <rc t="2" v="4209"/>
    </bk>
    <bk>
      <rc t="2" v="4210"/>
    </bk>
    <bk>
      <rc t="2" v="4211"/>
    </bk>
    <bk>
      <rc t="2" v="4212"/>
    </bk>
    <bk>
      <rc t="2" v="4213"/>
    </bk>
    <bk>
      <rc t="2" v="4214"/>
    </bk>
    <bk>
      <rc t="2" v="4215"/>
    </bk>
    <bk>
      <rc t="2" v="4216"/>
    </bk>
    <bk>
      <rc t="2" v="4217"/>
    </bk>
    <bk>
      <rc t="2" v="4218"/>
    </bk>
    <bk>
      <rc t="2" v="4219"/>
    </bk>
    <bk>
      <rc t="2" v="4220"/>
    </bk>
    <bk>
      <rc t="2" v="4221"/>
    </bk>
    <bk>
      <rc t="2" v="4222"/>
    </bk>
    <bk>
      <rc t="2" v="4223"/>
    </bk>
    <bk>
      <rc t="2" v="4224"/>
    </bk>
    <bk>
      <rc t="2" v="4225"/>
    </bk>
    <bk>
      <rc t="2" v="4226"/>
    </bk>
    <bk>
      <rc t="2" v="4227"/>
    </bk>
    <bk>
      <rc t="2" v="4228"/>
    </bk>
    <bk>
      <rc t="2" v="4229"/>
    </bk>
    <bk>
      <rc t="2" v="4230"/>
    </bk>
    <bk>
      <rc t="2" v="4231"/>
    </bk>
    <bk>
      <rc t="2" v="4232"/>
    </bk>
    <bk>
      <rc t="2" v="4233"/>
    </bk>
    <bk>
      <rc t="2" v="4234"/>
    </bk>
    <bk>
      <rc t="2" v="4235"/>
    </bk>
    <bk>
      <rc t="2" v="4236"/>
    </bk>
    <bk>
      <rc t="2" v="4237"/>
    </bk>
    <bk>
      <rc t="2" v="4238"/>
    </bk>
    <bk>
      <rc t="2" v="4239"/>
    </bk>
    <bk>
      <rc t="2" v="4240"/>
    </bk>
    <bk>
      <rc t="2" v="4241"/>
    </bk>
    <bk>
      <rc t="2" v="4242"/>
    </bk>
    <bk>
      <rc t="2" v="4243"/>
    </bk>
    <bk>
      <rc t="2" v="4244"/>
    </bk>
    <bk>
      <rc t="2" v="4245"/>
    </bk>
    <bk>
      <rc t="2" v="4246"/>
    </bk>
    <bk>
      <rc t="2" v="4247"/>
    </bk>
    <bk>
      <rc t="2" v="4248"/>
    </bk>
    <bk>
      <rc t="2" v="4249"/>
    </bk>
    <bk>
      <rc t="2" v="4250"/>
    </bk>
    <bk>
      <rc t="2" v="4251"/>
    </bk>
    <bk>
      <rc t="2" v="4252"/>
    </bk>
    <bk>
      <rc t="2" v="4253"/>
    </bk>
    <bk>
      <rc t="2" v="4254"/>
    </bk>
    <bk>
      <rc t="2" v="4255"/>
    </bk>
    <bk>
      <rc t="2" v="4256"/>
    </bk>
    <bk>
      <rc t="2" v="4257"/>
    </bk>
    <bk>
      <rc t="2" v="4258"/>
    </bk>
    <bk>
      <rc t="2" v="4259"/>
    </bk>
    <bk>
      <rc t="2" v="4260"/>
    </bk>
    <bk>
      <rc t="2" v="4261"/>
    </bk>
    <bk>
      <rc t="2" v="4262"/>
    </bk>
    <bk>
      <rc t="2" v="4263"/>
    </bk>
    <bk>
      <rc t="2" v="4264"/>
    </bk>
    <bk>
      <rc t="2" v="4265"/>
    </bk>
    <bk>
      <rc t="2" v="4266"/>
    </bk>
    <bk>
      <rc t="2" v="4267"/>
    </bk>
    <bk>
      <rc t="2" v="4268"/>
    </bk>
    <bk>
      <rc t="2" v="4269"/>
    </bk>
    <bk>
      <rc t="2" v="4270"/>
    </bk>
    <bk>
      <rc t="2" v="4271"/>
    </bk>
    <bk>
      <rc t="2" v="4272"/>
    </bk>
    <bk>
      <rc t="2" v="4273"/>
    </bk>
    <bk>
      <rc t="2" v="4274"/>
    </bk>
    <bk>
      <rc t="2" v="4275"/>
    </bk>
    <bk>
      <rc t="2" v="4276"/>
    </bk>
    <bk>
      <rc t="2" v="4277"/>
    </bk>
    <bk>
      <rc t="2" v="4278"/>
    </bk>
    <bk>
      <rc t="2" v="4279"/>
    </bk>
    <bk>
      <rc t="2" v="4280"/>
    </bk>
    <bk>
      <rc t="2" v="4281"/>
    </bk>
    <bk>
      <rc t="2" v="4282"/>
    </bk>
    <bk>
      <rc t="2" v="4283"/>
    </bk>
    <bk>
      <rc t="2" v="4284"/>
    </bk>
    <bk>
      <rc t="2" v="4285"/>
    </bk>
    <bk>
      <rc t="2" v="4286"/>
    </bk>
    <bk>
      <rc t="2" v="4287"/>
    </bk>
    <bk>
      <rc t="2" v="4288"/>
    </bk>
    <bk>
      <rc t="2" v="4289"/>
    </bk>
    <bk>
      <rc t="2" v="4290"/>
    </bk>
    <bk>
      <rc t="2" v="4291"/>
    </bk>
    <bk>
      <rc t="2" v="4292"/>
    </bk>
    <bk>
      <rc t="2" v="4293"/>
    </bk>
    <bk>
      <rc t="2" v="4294"/>
    </bk>
    <bk>
      <rc t="2" v="4295"/>
    </bk>
    <bk>
      <rc t="2" v="4296"/>
    </bk>
    <bk>
      <rc t="2" v="4297"/>
    </bk>
    <bk>
      <rc t="2" v="4298"/>
    </bk>
    <bk>
      <rc t="2" v="4299"/>
    </bk>
    <bk>
      <rc t="2" v="4300"/>
    </bk>
    <bk>
      <rc t="2" v="4301"/>
    </bk>
    <bk>
      <rc t="2" v="4302"/>
    </bk>
    <bk>
      <rc t="2" v="4303"/>
    </bk>
    <bk>
      <rc t="2" v="4304"/>
    </bk>
    <bk>
      <rc t="2" v="4305"/>
    </bk>
    <bk>
      <rc t="2" v="4306"/>
    </bk>
    <bk>
      <rc t="2" v="4307"/>
    </bk>
    <bk>
      <rc t="2" v="4308"/>
    </bk>
    <bk>
      <rc t="2" v="4309"/>
    </bk>
    <bk>
      <rc t="2" v="4310"/>
    </bk>
    <bk>
      <rc t="2" v="4311"/>
    </bk>
    <bk>
      <rc t="2" v="4312"/>
    </bk>
    <bk>
      <rc t="2" v="4313"/>
    </bk>
    <bk>
      <rc t="2" v="4314"/>
    </bk>
    <bk>
      <rc t="2" v="4315"/>
    </bk>
    <bk>
      <rc t="2" v="4316"/>
    </bk>
    <bk>
      <rc t="2" v="4317"/>
    </bk>
    <bk>
      <rc t="2" v="4318"/>
    </bk>
    <bk>
      <rc t="2" v="4319"/>
    </bk>
    <bk>
      <rc t="2" v="4320"/>
    </bk>
    <bk>
      <rc t="2" v="4321"/>
    </bk>
    <bk>
      <rc t="2" v="4322"/>
    </bk>
    <bk>
      <rc t="2" v="4323"/>
    </bk>
    <bk>
      <rc t="2" v="4324"/>
    </bk>
    <bk>
      <rc t="2" v="4325"/>
    </bk>
    <bk>
      <rc t="2" v="4326"/>
    </bk>
    <bk>
      <rc t="2" v="4327"/>
    </bk>
    <bk>
      <rc t="2" v="4328"/>
    </bk>
    <bk>
      <rc t="2" v="4329"/>
    </bk>
    <bk>
      <rc t="2" v="4330"/>
    </bk>
    <bk>
      <rc t="2" v="4331"/>
    </bk>
    <bk>
      <rc t="2" v="4332"/>
    </bk>
    <bk>
      <rc t="2" v="4333"/>
    </bk>
    <bk>
      <rc t="2" v="4334"/>
    </bk>
    <bk>
      <rc t="2" v="4335"/>
    </bk>
    <bk>
      <rc t="2" v="4336"/>
    </bk>
    <bk>
      <rc t="2" v="4337"/>
    </bk>
    <bk>
      <rc t="2" v="4338"/>
    </bk>
    <bk>
      <rc t="2" v="4339"/>
    </bk>
    <bk>
      <rc t="2" v="4340"/>
    </bk>
    <bk>
      <rc t="2" v="4341"/>
    </bk>
    <bk>
      <rc t="2" v="4342"/>
    </bk>
    <bk>
      <rc t="2" v="4343"/>
    </bk>
    <bk>
      <rc t="2" v="4344"/>
    </bk>
    <bk>
      <rc t="2" v="4345"/>
    </bk>
    <bk>
      <rc t="2" v="4346"/>
    </bk>
    <bk>
      <rc t="2" v="4347"/>
    </bk>
    <bk>
      <rc t="2" v="4348"/>
    </bk>
    <bk>
      <rc t="2" v="4349"/>
    </bk>
    <bk>
      <rc t="2" v="4350"/>
    </bk>
    <bk>
      <rc t="2" v="4351"/>
    </bk>
    <bk>
      <rc t="2" v="4352"/>
    </bk>
    <bk>
      <rc t="2" v="4353"/>
    </bk>
    <bk>
      <rc t="2" v="4354"/>
    </bk>
    <bk>
      <rc t="2" v="4355"/>
    </bk>
    <bk>
      <rc t="2" v="4356"/>
    </bk>
    <bk>
      <rc t="2" v="4357"/>
    </bk>
    <bk>
      <rc t="2" v="4358"/>
    </bk>
    <bk>
      <rc t="2" v="4359"/>
    </bk>
    <bk>
      <rc t="2" v="4360"/>
    </bk>
    <bk>
      <rc t="2" v="4361"/>
    </bk>
    <bk>
      <rc t="2" v="4362"/>
    </bk>
    <bk>
      <rc t="2" v="4363"/>
    </bk>
    <bk>
      <rc t="2" v="4364"/>
    </bk>
    <bk>
      <rc t="2" v="4365"/>
    </bk>
    <bk>
      <rc t="2" v="4366"/>
    </bk>
    <bk>
      <rc t="2" v="4367"/>
    </bk>
    <bk>
      <rc t="2" v="4368"/>
    </bk>
    <bk>
      <rc t="2" v="4369"/>
    </bk>
    <bk>
      <rc t="2" v="4370"/>
    </bk>
    <bk>
      <rc t="2" v="4371"/>
    </bk>
    <bk>
      <rc t="2" v="4372"/>
    </bk>
    <bk>
      <rc t="2" v="4373"/>
    </bk>
    <bk>
      <rc t="2" v="4374"/>
    </bk>
    <bk>
      <rc t="2" v="4375"/>
    </bk>
    <bk>
      <rc t="2" v="4376"/>
    </bk>
    <bk>
      <rc t="2" v="4377"/>
    </bk>
    <bk>
      <rc t="2" v="4378"/>
    </bk>
    <bk>
      <rc t="2" v="4379"/>
    </bk>
    <bk>
      <rc t="2" v="4380"/>
    </bk>
    <bk>
      <rc t="2" v="4381"/>
    </bk>
    <bk>
      <rc t="2" v="4382"/>
    </bk>
    <bk>
      <rc t="2" v="4383"/>
    </bk>
    <bk>
      <rc t="2" v="4384"/>
    </bk>
    <bk>
      <rc t="2" v="4385"/>
    </bk>
    <bk>
      <rc t="2" v="4386"/>
    </bk>
    <bk>
      <rc t="2" v="4387"/>
    </bk>
    <bk>
      <rc t="2" v="4388"/>
    </bk>
    <bk>
      <rc t="2" v="4389"/>
    </bk>
    <bk>
      <rc t="2" v="4390"/>
    </bk>
    <bk>
      <rc t="2" v="4391"/>
    </bk>
    <bk>
      <rc t="2" v="4392"/>
    </bk>
    <bk>
      <rc t="2" v="4393"/>
    </bk>
    <bk>
      <rc t="2" v="4394"/>
    </bk>
    <bk>
      <rc t="2" v="4395"/>
    </bk>
    <bk>
      <rc t="2" v="4396"/>
    </bk>
    <bk>
      <rc t="2" v="4397"/>
    </bk>
    <bk>
      <rc t="2" v="4398"/>
    </bk>
    <bk>
      <rc t="2" v="4399"/>
    </bk>
    <bk>
      <rc t="2" v="4400"/>
    </bk>
    <bk>
      <rc t="2" v="4401"/>
    </bk>
    <bk>
      <rc t="2" v="4402"/>
    </bk>
    <bk>
      <rc t="2" v="4403"/>
    </bk>
    <bk>
      <rc t="2" v="4404"/>
    </bk>
    <bk>
      <rc t="2" v="4405"/>
    </bk>
    <bk>
      <rc t="2" v="4406"/>
    </bk>
    <bk>
      <rc t="2" v="4407"/>
    </bk>
    <bk>
      <rc t="2" v="4408"/>
    </bk>
    <bk>
      <rc t="2" v="4409"/>
    </bk>
    <bk>
      <rc t="2" v="4410"/>
    </bk>
    <bk>
      <rc t="2" v="4411"/>
    </bk>
    <bk>
      <rc t="2" v="4412"/>
    </bk>
    <bk>
      <rc t="2" v="4413"/>
    </bk>
    <bk>
      <rc t="2" v="4414"/>
    </bk>
    <bk>
      <rc t="2" v="4415"/>
    </bk>
    <bk>
      <rc t="2" v="4416"/>
    </bk>
    <bk>
      <rc t="2" v="4417"/>
    </bk>
    <bk>
      <rc t="2" v="4418"/>
    </bk>
    <bk>
      <rc t="2" v="4419"/>
    </bk>
    <bk>
      <rc t="2" v="4420"/>
    </bk>
    <bk>
      <rc t="2" v="4421"/>
    </bk>
    <bk>
      <rc t="2" v="4422"/>
    </bk>
    <bk>
      <rc t="2" v="4423"/>
    </bk>
    <bk>
      <rc t="2" v="4424"/>
    </bk>
    <bk>
      <rc t="2" v="4425"/>
    </bk>
    <bk>
      <rc t="2" v="4426"/>
    </bk>
    <bk>
      <rc t="2" v="4427"/>
    </bk>
    <bk>
      <rc t="2" v="4428"/>
    </bk>
    <bk>
      <rc t="2" v="4429"/>
    </bk>
    <bk>
      <rc t="2" v="4430"/>
    </bk>
    <bk>
      <rc t="2" v="4431"/>
    </bk>
    <bk>
      <rc t="2" v="4432"/>
    </bk>
    <bk>
      <rc t="2" v="4433"/>
    </bk>
    <bk>
      <rc t="2" v="4434"/>
    </bk>
    <bk>
      <rc t="2" v="4435"/>
    </bk>
    <bk>
      <rc t="2" v="4436"/>
    </bk>
    <bk>
      <rc t="2" v="4437"/>
    </bk>
    <bk>
      <rc t="2" v="4438"/>
    </bk>
    <bk>
      <rc t="2" v="4439"/>
    </bk>
    <bk>
      <rc t="2" v="4440"/>
    </bk>
    <bk>
      <rc t="2" v="4441"/>
    </bk>
    <bk>
      <rc t="2" v="4442"/>
    </bk>
    <bk>
      <rc t="2" v="4443"/>
    </bk>
    <bk>
      <rc t="2" v="4444"/>
    </bk>
    <bk>
      <rc t="2" v="4445"/>
    </bk>
    <bk>
      <rc t="2" v="4446"/>
    </bk>
    <bk>
      <rc t="2" v="4447"/>
    </bk>
    <bk>
      <rc t="2" v="4448"/>
    </bk>
    <bk>
      <rc t="2" v="4449"/>
    </bk>
    <bk>
      <rc t="2" v="4450"/>
    </bk>
    <bk>
      <rc t="2" v="4451"/>
    </bk>
    <bk>
      <rc t="2" v="4452"/>
    </bk>
    <bk>
      <rc t="2" v="4453"/>
    </bk>
    <bk>
      <rc t="2" v="4454"/>
    </bk>
    <bk>
      <rc t="2" v="4455"/>
    </bk>
    <bk>
      <rc t="2" v="4456"/>
    </bk>
    <bk>
      <rc t="2" v="4457"/>
    </bk>
    <bk>
      <rc t="2" v="4458"/>
    </bk>
    <bk>
      <rc t="2" v="4459"/>
    </bk>
    <bk>
      <rc t="2" v="4460"/>
    </bk>
    <bk>
      <rc t="2" v="4461"/>
    </bk>
    <bk>
      <rc t="2" v="4462"/>
    </bk>
    <bk>
      <rc t="2" v="4463"/>
    </bk>
    <bk>
      <rc t="2" v="4464"/>
    </bk>
    <bk>
      <rc t="2" v="4465"/>
    </bk>
    <bk>
      <rc t="2" v="4466"/>
    </bk>
    <bk>
      <rc t="2" v="4467"/>
    </bk>
    <bk>
      <rc t="2" v="4468"/>
    </bk>
    <bk>
      <rc t="2" v="4469"/>
    </bk>
    <bk>
      <rc t="2" v="4470"/>
    </bk>
    <bk>
      <rc t="2" v="4471"/>
    </bk>
    <bk>
      <rc t="2" v="4472"/>
    </bk>
    <bk>
      <rc t="2" v="4473"/>
    </bk>
    <bk>
      <rc t="2" v="4474"/>
    </bk>
    <bk>
      <rc t="2" v="4475"/>
    </bk>
    <bk>
      <rc t="2" v="4476"/>
    </bk>
    <bk>
      <rc t="2" v="4477"/>
    </bk>
    <bk>
      <rc t="2" v="4478"/>
    </bk>
    <bk>
      <rc t="2" v="4479"/>
    </bk>
    <bk>
      <rc t="2" v="4480"/>
    </bk>
    <bk>
      <rc t="2" v="4481"/>
    </bk>
    <bk>
      <rc t="2" v="4482"/>
    </bk>
    <bk>
      <rc t="2" v="4483"/>
    </bk>
    <bk>
      <rc t="2" v="4484"/>
    </bk>
    <bk>
      <rc t="2" v="4485"/>
    </bk>
    <bk>
      <rc t="2" v="4486"/>
    </bk>
    <bk>
      <rc t="2" v="4487"/>
    </bk>
    <bk>
      <rc t="2" v="4488"/>
    </bk>
    <bk>
      <rc t="2" v="4489"/>
    </bk>
    <bk>
      <rc t="2" v="4490"/>
    </bk>
    <bk>
      <rc t="2" v="4491"/>
    </bk>
    <bk>
      <rc t="2" v="4492"/>
    </bk>
    <bk>
      <rc t="2" v="4493"/>
    </bk>
    <bk>
      <rc t="2" v="4494"/>
    </bk>
    <bk>
      <rc t="2" v="4495"/>
    </bk>
    <bk>
      <rc t="2" v="4496"/>
    </bk>
    <bk>
      <rc t="2" v="4497"/>
    </bk>
    <bk>
      <rc t="2" v="4498"/>
    </bk>
    <bk>
      <rc t="2" v="4499"/>
    </bk>
    <bk>
      <rc t="2" v="4500"/>
    </bk>
    <bk>
      <rc t="2" v="4501"/>
    </bk>
    <bk>
      <rc t="2" v="4502"/>
    </bk>
    <bk>
      <rc t="2" v="4503"/>
    </bk>
    <bk>
      <rc t="2" v="4504"/>
    </bk>
    <bk>
      <rc t="2" v="4505"/>
    </bk>
    <bk>
      <rc t="2" v="4506"/>
    </bk>
    <bk>
      <rc t="2" v="4507"/>
    </bk>
    <bk>
      <rc t="2" v="4508"/>
    </bk>
    <bk>
      <rc t="2" v="4509"/>
    </bk>
    <bk>
      <rc t="2" v="4510"/>
    </bk>
    <bk>
      <rc t="2" v="4511"/>
    </bk>
    <bk>
      <rc t="2" v="4512"/>
    </bk>
    <bk>
      <rc t="2" v="4513"/>
    </bk>
    <bk>
      <rc t="2" v="4514"/>
    </bk>
    <bk>
      <rc t="2" v="4515"/>
    </bk>
    <bk>
      <rc t="2" v="4516"/>
    </bk>
    <bk>
      <rc t="2" v="4517"/>
    </bk>
    <bk>
      <rc t="2" v="4518"/>
    </bk>
    <bk>
      <rc t="2" v="4519"/>
    </bk>
    <bk>
      <rc t="2" v="4520"/>
    </bk>
    <bk>
      <rc t="2" v="4521"/>
    </bk>
    <bk>
      <rc t="2" v="4522"/>
    </bk>
    <bk>
      <rc t="2" v="4523"/>
    </bk>
    <bk>
      <rc t="2" v="4524"/>
    </bk>
    <bk>
      <rc t="2" v="4525"/>
    </bk>
    <bk>
      <rc t="2" v="4526"/>
    </bk>
    <bk>
      <rc t="2" v="4527"/>
    </bk>
    <bk>
      <rc t="2" v="4528"/>
    </bk>
    <bk>
      <rc t="2" v="4529"/>
    </bk>
    <bk>
      <rc t="2" v="4530"/>
    </bk>
    <bk>
      <rc t="2" v="4531"/>
    </bk>
    <bk>
      <rc t="2" v="4532"/>
    </bk>
    <bk>
      <rc t="2" v="4533"/>
    </bk>
    <bk>
      <rc t="2" v="4534"/>
    </bk>
    <bk>
      <rc t="2" v="4535"/>
    </bk>
    <bk>
      <rc t="2" v="4536"/>
    </bk>
    <bk>
      <rc t="2" v="4537"/>
    </bk>
    <bk>
      <rc t="2" v="4538"/>
    </bk>
    <bk>
      <rc t="2" v="4539"/>
    </bk>
    <bk>
      <rc t="2" v="4540"/>
    </bk>
    <bk>
      <rc t="2" v="4541"/>
    </bk>
    <bk>
      <rc t="2" v="4542"/>
    </bk>
    <bk>
      <rc t="2" v="4543"/>
    </bk>
    <bk>
      <rc t="2" v="4544"/>
    </bk>
    <bk>
      <rc t="2" v="4545"/>
    </bk>
    <bk>
      <rc t="2" v="4546"/>
    </bk>
    <bk>
      <rc t="2" v="4547"/>
    </bk>
    <bk>
      <rc t="2" v="4548"/>
    </bk>
    <bk>
      <rc t="2" v="4549"/>
    </bk>
    <bk>
      <rc t="2" v="4550"/>
    </bk>
    <bk>
      <rc t="2" v="4551"/>
    </bk>
    <bk>
      <rc t="2" v="4552"/>
    </bk>
    <bk>
      <rc t="2" v="4553"/>
    </bk>
    <bk>
      <rc t="2" v="4554"/>
    </bk>
    <bk>
      <rc t="2" v="4555"/>
    </bk>
    <bk>
      <rc t="2" v="4556"/>
    </bk>
    <bk>
      <rc t="2" v="4557"/>
    </bk>
    <bk>
      <rc t="2" v="4558"/>
    </bk>
    <bk>
      <rc t="2" v="4559"/>
    </bk>
    <bk>
      <rc t="2" v="4560"/>
    </bk>
    <bk>
      <rc t="2" v="4561"/>
    </bk>
    <bk>
      <rc t="2" v="4562"/>
    </bk>
    <bk>
      <rc t="2" v="4563"/>
    </bk>
    <bk>
      <rc t="2" v="4564"/>
    </bk>
    <bk>
      <rc t="2" v="4565"/>
    </bk>
    <bk>
      <rc t="2" v="4566"/>
    </bk>
    <bk>
      <rc t="2" v="4567"/>
    </bk>
    <bk>
      <rc t="2" v="4568"/>
    </bk>
    <bk>
      <rc t="2" v="4569"/>
    </bk>
    <bk>
      <rc t="2" v="4570"/>
    </bk>
    <bk>
      <rc t="2" v="4571"/>
    </bk>
    <bk>
      <rc t="2" v="4572"/>
    </bk>
    <bk>
      <rc t="2" v="4573"/>
    </bk>
    <bk>
      <rc t="2" v="4574"/>
    </bk>
    <bk>
      <rc t="2" v="4575"/>
    </bk>
    <bk>
      <rc t="2" v="4576"/>
    </bk>
    <bk>
      <rc t="2" v="4577"/>
    </bk>
    <bk>
      <rc t="2" v="4578"/>
    </bk>
    <bk>
      <rc t="2" v="4579"/>
    </bk>
    <bk>
      <rc t="2" v="4580"/>
    </bk>
    <bk>
      <rc t="2" v="4581"/>
    </bk>
    <bk>
      <rc t="2" v="4582"/>
    </bk>
    <bk>
      <rc t="2" v="4583"/>
    </bk>
    <bk>
      <rc t="2" v="4584"/>
    </bk>
    <bk>
      <rc t="2" v="4585"/>
    </bk>
    <bk>
      <rc t="2" v="4586"/>
    </bk>
    <bk>
      <rc t="2" v="4587"/>
    </bk>
    <bk>
      <rc t="2" v="4588"/>
    </bk>
    <bk>
      <rc t="2" v="4589"/>
    </bk>
    <bk>
      <rc t="2" v="4590"/>
    </bk>
    <bk>
      <rc t="2" v="4591"/>
    </bk>
    <bk>
      <rc t="2" v="4592"/>
    </bk>
    <bk>
      <rc t="2" v="4593"/>
    </bk>
    <bk>
      <rc t="2" v="4594"/>
    </bk>
    <bk>
      <rc t="2" v="4595"/>
    </bk>
    <bk>
      <rc t="2" v="4596"/>
    </bk>
    <bk>
      <rc t="2" v="4597"/>
    </bk>
    <bk>
      <rc t="2" v="4598"/>
    </bk>
    <bk>
      <rc t="2" v="4599"/>
    </bk>
    <bk>
      <rc t="2" v="4600"/>
    </bk>
    <bk>
      <rc t="2" v="4601"/>
    </bk>
    <bk>
      <rc t="2" v="4602"/>
    </bk>
    <bk>
      <rc t="2" v="4603"/>
    </bk>
    <bk>
      <rc t="2" v="4604"/>
    </bk>
    <bk>
      <rc t="2" v="4605"/>
    </bk>
    <bk>
      <rc t="2" v="4606"/>
    </bk>
    <bk>
      <rc t="2" v="4607"/>
    </bk>
    <bk>
      <rc t="2" v="4608"/>
    </bk>
    <bk>
      <rc t="2" v="4609"/>
    </bk>
    <bk>
      <rc t="2" v="4610"/>
    </bk>
    <bk>
      <rc t="2" v="4611"/>
    </bk>
    <bk>
      <rc t="2" v="4612"/>
    </bk>
    <bk>
      <rc t="2" v="4613"/>
    </bk>
    <bk>
      <rc t="2" v="4614"/>
    </bk>
    <bk>
      <rc t="2" v="4615"/>
    </bk>
    <bk>
      <rc t="2" v="4616"/>
    </bk>
    <bk>
      <rc t="2" v="4617"/>
    </bk>
    <bk>
      <rc t="2" v="4618"/>
    </bk>
    <bk>
      <rc t="2" v="4619"/>
    </bk>
    <bk>
      <rc t="2" v="4620"/>
    </bk>
    <bk>
      <rc t="2" v="4621"/>
    </bk>
    <bk>
      <rc t="2" v="4622"/>
    </bk>
    <bk>
      <rc t="2" v="4623"/>
    </bk>
    <bk>
      <rc t="2" v="4624"/>
    </bk>
    <bk>
      <rc t="2" v="4625"/>
    </bk>
    <bk>
      <rc t="2" v="4626"/>
    </bk>
    <bk>
      <rc t="2" v="4627"/>
    </bk>
    <bk>
      <rc t="2" v="4628"/>
    </bk>
    <bk>
      <rc t="2" v="4629"/>
    </bk>
    <bk>
      <rc t="2" v="4630"/>
    </bk>
    <bk>
      <rc t="2" v="4631"/>
    </bk>
    <bk>
      <rc t="2" v="4632"/>
    </bk>
    <bk>
      <rc t="2" v="4633"/>
    </bk>
    <bk>
      <rc t="2" v="4634"/>
    </bk>
    <bk>
      <rc t="2" v="4635"/>
    </bk>
    <bk>
      <rc t="2" v="4636"/>
    </bk>
    <bk>
      <rc t="2" v="4637"/>
    </bk>
    <bk>
      <rc t="2" v="4638"/>
    </bk>
    <bk>
      <rc t="2" v="4639"/>
    </bk>
    <bk>
      <rc t="2" v="4640"/>
    </bk>
    <bk>
      <rc t="2" v="4641"/>
    </bk>
    <bk>
      <rc t="2" v="4642"/>
    </bk>
    <bk>
      <rc t="2" v="4643"/>
    </bk>
    <bk>
      <rc t="2" v="4644"/>
    </bk>
    <bk>
      <rc t="2" v="4645"/>
    </bk>
    <bk>
      <rc t="2" v="4646"/>
    </bk>
    <bk>
      <rc t="2" v="4647"/>
    </bk>
    <bk>
      <rc t="2" v="4648"/>
    </bk>
    <bk>
      <rc t="2" v="4649"/>
    </bk>
    <bk>
      <rc t="2" v="4650"/>
    </bk>
    <bk>
      <rc t="2" v="4651"/>
    </bk>
    <bk>
      <rc t="2" v="4652"/>
    </bk>
    <bk>
      <rc t="2" v="4653"/>
    </bk>
    <bk>
      <rc t="2" v="4654"/>
    </bk>
    <bk>
      <rc t="2" v="4655"/>
    </bk>
    <bk>
      <rc t="2" v="4656"/>
    </bk>
    <bk>
      <rc t="2" v="4657"/>
    </bk>
    <bk>
      <rc t="2" v="4658"/>
    </bk>
    <bk>
      <rc t="2" v="4659"/>
    </bk>
    <bk>
      <rc t="2" v="4660"/>
    </bk>
    <bk>
      <rc t="2" v="4661"/>
    </bk>
    <bk>
      <rc t="2" v="4662"/>
    </bk>
    <bk>
      <rc t="2" v="4663"/>
    </bk>
    <bk>
      <rc t="2" v="4664"/>
    </bk>
    <bk>
      <rc t="2" v="4665"/>
    </bk>
    <bk>
      <rc t="2" v="4666"/>
    </bk>
    <bk>
      <rc t="2" v="4667"/>
    </bk>
    <bk>
      <rc t="2" v="4668"/>
    </bk>
    <bk>
      <rc t="2" v="4669"/>
    </bk>
    <bk>
      <rc t="2" v="4670"/>
    </bk>
    <bk>
      <rc t="2" v="4671"/>
    </bk>
    <bk>
      <rc t="2" v="4672"/>
    </bk>
    <bk>
      <rc t="2" v="4673"/>
    </bk>
    <bk>
      <rc t="2" v="4674"/>
    </bk>
    <bk>
      <rc t="2" v="4675"/>
    </bk>
    <bk>
      <rc t="2" v="4676"/>
    </bk>
    <bk>
      <rc t="2" v="4677"/>
    </bk>
    <bk>
      <rc t="2" v="4678"/>
    </bk>
    <bk>
      <rc t="2" v="4679"/>
    </bk>
    <bk>
      <rc t="2" v="4680"/>
    </bk>
    <bk>
      <rc t="2" v="4681"/>
    </bk>
    <bk>
      <rc t="2" v="4682"/>
    </bk>
    <bk>
      <rc t="2" v="4683"/>
    </bk>
    <bk>
      <rc t="2" v="4684"/>
    </bk>
    <bk>
      <rc t="2" v="4685"/>
    </bk>
    <bk>
      <rc t="2" v="4686"/>
    </bk>
    <bk>
      <rc t="2" v="4687"/>
    </bk>
    <bk>
      <rc t="2" v="4688"/>
    </bk>
    <bk>
      <rc t="2" v="4689"/>
    </bk>
    <bk>
      <rc t="2" v="4690"/>
    </bk>
    <bk>
      <rc t="2" v="4691"/>
    </bk>
    <bk>
      <rc t="2" v="4692"/>
    </bk>
    <bk>
      <rc t="2" v="4693"/>
    </bk>
    <bk>
      <rc t="2" v="4694"/>
    </bk>
    <bk>
      <rc t="2" v="4695"/>
    </bk>
    <bk>
      <rc t="2" v="4696"/>
    </bk>
    <bk>
      <rc t="2" v="4697"/>
    </bk>
    <bk>
      <rc t="2" v="4698"/>
    </bk>
    <bk>
      <rc t="2" v="4699"/>
    </bk>
    <bk>
      <rc t="2" v="4700"/>
    </bk>
    <bk>
      <rc t="2" v="4701"/>
    </bk>
    <bk>
      <rc t="2" v="4702"/>
    </bk>
    <bk>
      <rc t="2" v="4703"/>
    </bk>
    <bk>
      <rc t="2" v="4704"/>
    </bk>
    <bk>
      <rc t="2" v="4705"/>
    </bk>
    <bk>
      <rc t="2" v="4706"/>
    </bk>
    <bk>
      <rc t="2" v="4707"/>
    </bk>
    <bk>
      <rc t="2" v="4708"/>
    </bk>
    <bk>
      <rc t="2" v="4709"/>
    </bk>
    <bk>
      <rc t="2" v="4710"/>
    </bk>
    <bk>
      <rc t="2" v="4711"/>
    </bk>
    <bk>
      <rc t="2" v="4712"/>
    </bk>
    <bk>
      <rc t="2" v="4713"/>
    </bk>
    <bk>
      <rc t="2" v="4714"/>
    </bk>
    <bk>
      <rc t="2" v="4715"/>
    </bk>
    <bk>
      <rc t="2" v="4716"/>
    </bk>
    <bk>
      <rc t="2" v="4717"/>
    </bk>
    <bk>
      <rc t="2" v="4718"/>
    </bk>
    <bk>
      <rc t="2" v="4719"/>
    </bk>
    <bk>
      <rc t="2" v="4720"/>
    </bk>
    <bk>
      <rc t="2" v="4721"/>
    </bk>
    <bk>
      <rc t="2" v="4722"/>
    </bk>
    <bk>
      <rc t="2" v="4723"/>
    </bk>
    <bk>
      <rc t="2" v="4724"/>
    </bk>
    <bk>
      <rc t="2" v="4725"/>
    </bk>
    <bk>
      <rc t="2" v="4726"/>
    </bk>
    <bk>
      <rc t="2" v="4727"/>
    </bk>
    <bk>
      <rc t="2" v="4728"/>
    </bk>
    <bk>
      <rc t="2" v="4729"/>
    </bk>
    <bk>
      <rc t="2" v="4730"/>
    </bk>
    <bk>
      <rc t="2" v="4731"/>
    </bk>
    <bk>
      <rc t="2" v="4732"/>
    </bk>
    <bk>
      <rc t="2" v="4733"/>
    </bk>
    <bk>
      <rc t="2" v="4734"/>
    </bk>
    <bk>
      <rc t="2" v="4735"/>
    </bk>
    <bk>
      <rc t="2" v="4736"/>
    </bk>
    <bk>
      <rc t="2" v="4737"/>
    </bk>
    <bk>
      <rc t="2" v="4738"/>
    </bk>
    <bk>
      <rc t="2" v="4739"/>
    </bk>
    <bk>
      <rc t="2" v="4740"/>
    </bk>
    <bk>
      <rc t="2" v="4741"/>
    </bk>
    <bk>
      <rc t="2" v="4742"/>
    </bk>
    <bk>
      <rc t="2" v="4743"/>
    </bk>
    <bk>
      <rc t="2" v="4744"/>
    </bk>
    <bk>
      <rc t="2" v="4745"/>
    </bk>
    <bk>
      <rc t="2" v="4746"/>
    </bk>
    <bk>
      <rc t="2" v="4747"/>
    </bk>
    <bk>
      <rc t="2" v="4748"/>
    </bk>
    <bk>
      <rc t="2" v="4749"/>
    </bk>
    <bk>
      <rc t="2" v="4750"/>
    </bk>
    <bk>
      <rc t="2" v="4751"/>
    </bk>
    <bk>
      <rc t="2" v="4752"/>
    </bk>
    <bk>
      <rc t="2" v="4753"/>
    </bk>
    <bk>
      <rc t="2" v="4754"/>
    </bk>
    <bk>
      <rc t="2" v="4755"/>
    </bk>
    <bk>
      <rc t="2" v="4756"/>
    </bk>
    <bk>
      <rc t="2" v="4757"/>
    </bk>
    <bk>
      <rc t="2" v="4758"/>
    </bk>
    <bk>
      <rc t="2" v="4759"/>
    </bk>
    <bk>
      <rc t="2" v="4760"/>
    </bk>
    <bk>
      <rc t="2" v="4761"/>
    </bk>
    <bk>
      <rc t="2" v="4762"/>
    </bk>
    <bk>
      <rc t="2" v="4763"/>
    </bk>
    <bk>
      <rc t="2" v="4764"/>
    </bk>
    <bk>
      <rc t="2" v="4765"/>
    </bk>
    <bk>
      <rc t="2" v="4766"/>
    </bk>
    <bk>
      <rc t="2" v="4767"/>
    </bk>
    <bk>
      <rc t="2" v="4768"/>
    </bk>
    <bk>
      <rc t="2" v="4769"/>
    </bk>
    <bk>
      <rc t="2" v="4770"/>
    </bk>
    <bk>
      <rc t="2" v="4771"/>
    </bk>
    <bk>
      <rc t="2" v="4772"/>
    </bk>
    <bk>
      <rc t="2" v="4773"/>
    </bk>
    <bk>
      <rc t="2" v="4774"/>
    </bk>
    <bk>
      <rc t="2" v="4775"/>
    </bk>
    <bk>
      <rc t="2" v="4776"/>
    </bk>
    <bk>
      <rc t="2" v="4777"/>
    </bk>
    <bk>
      <rc t="2" v="4778"/>
    </bk>
    <bk>
      <rc t="2" v="4779"/>
    </bk>
    <bk>
      <rc t="2" v="4780"/>
    </bk>
    <bk>
      <rc t="2" v="4781"/>
    </bk>
    <bk>
      <rc t="2" v="4782"/>
    </bk>
    <bk>
      <rc t="2" v="4783"/>
    </bk>
    <bk>
      <rc t="2" v="4784"/>
    </bk>
    <bk>
      <rc t="2" v="4785"/>
    </bk>
    <bk>
      <rc t="2" v="4786"/>
    </bk>
    <bk>
      <rc t="2" v="4787"/>
    </bk>
    <bk>
      <rc t="2" v="4788"/>
    </bk>
    <bk>
      <rc t="2" v="4789"/>
    </bk>
    <bk>
      <rc t="2" v="4790"/>
    </bk>
    <bk>
      <rc t="2" v="4791"/>
    </bk>
    <bk>
      <rc t="2" v="4792"/>
    </bk>
    <bk>
      <rc t="2" v="4793"/>
    </bk>
    <bk>
      <rc t="2" v="4794"/>
    </bk>
    <bk>
      <rc t="2" v="4795"/>
    </bk>
    <bk>
      <rc t="2" v="4796"/>
    </bk>
    <bk>
      <rc t="2" v="4797"/>
    </bk>
    <bk>
      <rc t="2" v="4798"/>
    </bk>
    <bk>
      <rc t="2" v="4799"/>
    </bk>
    <bk>
      <rc t="2" v="4800"/>
    </bk>
    <bk>
      <rc t="2" v="4801"/>
    </bk>
    <bk>
      <rc t="2" v="4802"/>
    </bk>
    <bk>
      <rc t="2" v="4803"/>
    </bk>
    <bk>
      <rc t="2" v="4804"/>
    </bk>
    <bk>
      <rc t="2" v="4805"/>
    </bk>
    <bk>
      <rc t="2" v="4806"/>
    </bk>
    <bk>
      <rc t="2" v="4807"/>
    </bk>
    <bk>
      <rc t="2" v="4808"/>
    </bk>
    <bk>
      <rc t="2" v="4809"/>
    </bk>
    <bk>
      <rc t="2" v="4810"/>
    </bk>
    <bk>
      <rc t="2" v="4811"/>
    </bk>
    <bk>
      <rc t="2" v="4812"/>
    </bk>
    <bk>
      <rc t="2" v="4813"/>
    </bk>
    <bk>
      <rc t="2" v="4814"/>
    </bk>
    <bk>
      <rc t="2" v="4815"/>
    </bk>
    <bk>
      <rc t="2" v="4816"/>
    </bk>
    <bk>
      <rc t="2" v="4817"/>
    </bk>
    <bk>
      <rc t="2" v="4818"/>
    </bk>
    <bk>
      <rc t="2" v="4819"/>
    </bk>
    <bk>
      <rc t="2" v="4820"/>
    </bk>
    <bk>
      <rc t="2" v="4821"/>
    </bk>
    <bk>
      <rc t="2" v="4822"/>
    </bk>
    <bk>
      <rc t="2" v="4823"/>
    </bk>
    <bk>
      <rc t="2" v="4824"/>
    </bk>
    <bk>
      <rc t="2" v="4825"/>
    </bk>
    <bk>
      <rc t="2" v="4826"/>
    </bk>
    <bk>
      <rc t="2" v="4827"/>
    </bk>
    <bk>
      <rc t="2" v="4828"/>
    </bk>
    <bk>
      <rc t="2" v="4829"/>
    </bk>
    <bk>
      <rc t="2" v="4830"/>
    </bk>
    <bk>
      <rc t="2" v="4831"/>
    </bk>
    <bk>
      <rc t="2" v="4832"/>
    </bk>
    <bk>
      <rc t="2" v="4833"/>
    </bk>
    <bk>
      <rc t="2" v="4834"/>
    </bk>
    <bk>
      <rc t="2" v="4835"/>
    </bk>
    <bk>
      <rc t="2" v="4836"/>
    </bk>
    <bk>
      <rc t="2" v="4837"/>
    </bk>
    <bk>
      <rc t="2" v="4838"/>
    </bk>
    <bk>
      <rc t="2" v="4839"/>
    </bk>
    <bk>
      <rc t="2" v="4840"/>
    </bk>
    <bk>
      <rc t="2" v="4841"/>
    </bk>
    <bk>
      <rc t="2" v="4842"/>
    </bk>
    <bk>
      <rc t="2" v="4843"/>
    </bk>
    <bk>
      <rc t="2" v="4844"/>
    </bk>
    <bk>
      <rc t="2" v="4845"/>
    </bk>
    <bk>
      <rc t="2" v="4846"/>
    </bk>
    <bk>
      <rc t="2" v="4847"/>
    </bk>
    <bk>
      <rc t="2" v="4848"/>
    </bk>
    <bk>
      <rc t="2" v="4849"/>
    </bk>
    <bk>
      <rc t="2" v="4850"/>
    </bk>
    <bk>
      <rc t="2" v="4851"/>
    </bk>
    <bk>
      <rc t="2" v="4852"/>
    </bk>
    <bk>
      <rc t="2" v="4853"/>
    </bk>
    <bk>
      <rc t="2" v="4854"/>
    </bk>
    <bk>
      <rc t="2" v="4855"/>
    </bk>
    <bk>
      <rc t="2" v="4856"/>
    </bk>
    <bk>
      <rc t="2" v="4857"/>
    </bk>
    <bk>
      <rc t="2" v="4858"/>
    </bk>
    <bk>
      <rc t="2" v="4859"/>
    </bk>
    <bk>
      <rc t="2" v="4860"/>
    </bk>
    <bk>
      <rc t="2" v="4861"/>
    </bk>
    <bk>
      <rc t="2" v="4862"/>
    </bk>
    <bk>
      <rc t="2" v="4863"/>
    </bk>
    <bk>
      <rc t="2" v="4864"/>
    </bk>
    <bk>
      <rc t="2" v="4865"/>
    </bk>
    <bk>
      <rc t="2" v="4866"/>
    </bk>
    <bk>
      <rc t="2" v="4867"/>
    </bk>
    <bk>
      <rc t="2" v="4868"/>
    </bk>
    <bk>
      <rc t="2" v="4869"/>
    </bk>
    <bk>
      <rc t="2" v="4870"/>
    </bk>
    <bk>
      <rc t="2" v="4871"/>
    </bk>
    <bk>
      <rc t="2" v="4872"/>
    </bk>
    <bk>
      <rc t="2" v="4873"/>
    </bk>
    <bk>
      <rc t="2" v="4874"/>
    </bk>
    <bk>
      <rc t="2" v="4875"/>
    </bk>
    <bk>
      <rc t="2" v="4876"/>
    </bk>
    <bk>
      <rc t="2" v="4877"/>
    </bk>
    <bk>
      <rc t="2" v="4878"/>
    </bk>
    <bk>
      <rc t="2" v="4879"/>
    </bk>
    <bk>
      <rc t="2" v="4880"/>
    </bk>
    <bk>
      <rc t="2" v="4881"/>
    </bk>
    <bk>
      <rc t="2" v="4882"/>
    </bk>
    <bk>
      <rc t="2" v="4883"/>
    </bk>
    <bk>
      <rc t="2" v="4884"/>
    </bk>
    <bk>
      <rc t="2" v="4885"/>
    </bk>
    <bk>
      <rc t="2" v="4886"/>
    </bk>
    <bk>
      <rc t="2" v="4887"/>
    </bk>
    <bk>
      <rc t="2" v="4888"/>
    </bk>
    <bk>
      <rc t="2" v="4889"/>
    </bk>
    <bk>
      <rc t="2" v="4890"/>
    </bk>
    <bk>
      <rc t="2" v="4891"/>
    </bk>
    <bk>
      <rc t="2" v="4892"/>
    </bk>
    <bk>
      <rc t="2" v="4893"/>
    </bk>
    <bk>
      <rc t="2" v="4894"/>
    </bk>
    <bk>
      <rc t="2" v="4895"/>
    </bk>
    <bk>
      <rc t="2" v="4896"/>
    </bk>
    <bk>
      <rc t="2" v="4897"/>
    </bk>
    <bk>
      <rc t="2" v="4898"/>
    </bk>
    <bk>
      <rc t="2" v="4899"/>
    </bk>
    <bk>
      <rc t="2" v="4900"/>
    </bk>
    <bk>
      <rc t="2" v="4901"/>
    </bk>
    <bk>
      <rc t="2" v="4902"/>
    </bk>
    <bk>
      <rc t="2" v="4903"/>
    </bk>
    <bk>
      <rc t="2" v="4904"/>
    </bk>
    <bk>
      <rc t="2" v="4905"/>
    </bk>
    <bk>
      <rc t="2" v="4906"/>
    </bk>
    <bk>
      <rc t="2" v="4907"/>
    </bk>
    <bk>
      <rc t="2" v="4908"/>
    </bk>
    <bk>
      <rc t="2" v="4909"/>
    </bk>
    <bk>
      <rc t="2" v="4910"/>
    </bk>
    <bk>
      <rc t="2" v="4911"/>
    </bk>
    <bk>
      <rc t="2" v="4912"/>
    </bk>
    <bk>
      <rc t="2" v="4913"/>
    </bk>
    <bk>
      <rc t="2" v="4914"/>
    </bk>
    <bk>
      <rc t="2" v="4915"/>
    </bk>
    <bk>
      <rc t="2" v="4916"/>
    </bk>
    <bk>
      <rc t="2" v="4917"/>
    </bk>
    <bk>
      <rc t="2" v="4918"/>
    </bk>
    <bk>
      <rc t="2" v="4919"/>
    </bk>
    <bk>
      <rc t="2" v="4920"/>
    </bk>
    <bk>
      <rc t="2" v="4921"/>
    </bk>
    <bk>
      <rc t="2" v="4922"/>
    </bk>
    <bk>
      <rc t="2" v="4923"/>
    </bk>
    <bk>
      <rc t="2" v="4924"/>
    </bk>
    <bk>
      <rc t="2" v="4925"/>
    </bk>
    <bk>
      <rc t="2" v="4926"/>
    </bk>
    <bk>
      <rc t="2" v="4927"/>
    </bk>
    <bk>
      <rc t="2" v="4928"/>
    </bk>
    <bk>
      <rc t="2" v="4929"/>
    </bk>
    <bk>
      <rc t="2" v="4930"/>
    </bk>
    <bk>
      <rc t="2" v="4931"/>
    </bk>
    <bk>
      <rc t="2" v="4932"/>
    </bk>
    <bk>
      <rc t="2" v="4933"/>
    </bk>
    <bk>
      <rc t="2" v="4934"/>
    </bk>
    <bk>
      <rc t="2" v="4935"/>
    </bk>
    <bk>
      <rc t="2" v="4936"/>
    </bk>
    <bk>
      <rc t="2" v="4937"/>
    </bk>
    <bk>
      <rc t="2" v="4938"/>
    </bk>
    <bk>
      <rc t="2" v="4939"/>
    </bk>
    <bk>
      <rc t="2" v="4940"/>
    </bk>
    <bk>
      <rc t="2" v="4941"/>
    </bk>
    <bk>
      <rc t="2" v="4942"/>
    </bk>
    <bk>
      <rc t="2" v="4943"/>
    </bk>
    <bk>
      <rc t="2" v="4944"/>
    </bk>
    <bk>
      <rc t="2" v="4945"/>
    </bk>
    <bk>
      <rc t="2" v="4946"/>
    </bk>
    <bk>
      <rc t="2" v="4947"/>
    </bk>
    <bk>
      <rc t="2" v="4948"/>
    </bk>
    <bk>
      <rc t="2" v="4949"/>
    </bk>
    <bk>
      <rc t="2" v="4950"/>
    </bk>
    <bk>
      <rc t="2" v="4951"/>
    </bk>
    <bk>
      <rc t="2" v="4952"/>
    </bk>
    <bk>
      <rc t="2" v="4953"/>
    </bk>
    <bk>
      <rc t="2" v="4954"/>
    </bk>
    <bk>
      <rc t="2" v="4955"/>
    </bk>
    <bk>
      <rc t="2" v="4956"/>
    </bk>
    <bk>
      <rc t="2" v="4957"/>
    </bk>
    <bk>
      <rc t="2" v="4958"/>
    </bk>
    <bk>
      <rc t="2" v="4959"/>
    </bk>
    <bk>
      <rc t="2" v="4960"/>
    </bk>
    <bk>
      <rc t="2" v="4961"/>
    </bk>
    <bk>
      <rc t="2" v="4962"/>
    </bk>
    <bk>
      <rc t="2" v="4963"/>
    </bk>
    <bk>
      <rc t="2" v="4964"/>
    </bk>
    <bk>
      <rc t="2" v="4965"/>
    </bk>
    <bk>
      <rc t="2" v="4966"/>
    </bk>
    <bk>
      <rc t="2" v="4967"/>
    </bk>
    <bk>
      <rc t="2" v="4968"/>
    </bk>
    <bk>
      <rc t="2" v="4969"/>
    </bk>
    <bk>
      <rc t="2" v="4970"/>
    </bk>
    <bk>
      <rc t="2" v="4971"/>
    </bk>
    <bk>
      <rc t="2" v="4972"/>
    </bk>
    <bk>
      <rc t="2" v="4973"/>
    </bk>
    <bk>
      <rc t="2" v="4974"/>
    </bk>
    <bk>
      <rc t="2" v="4975"/>
    </bk>
    <bk>
      <rc t="2" v="4976"/>
    </bk>
    <bk>
      <rc t="2" v="4977"/>
    </bk>
    <bk>
      <rc t="2" v="4978"/>
    </bk>
    <bk>
      <rc t="2" v="4979"/>
    </bk>
    <bk>
      <rc t="2" v="4980"/>
    </bk>
    <bk>
      <rc t="2" v="4981"/>
    </bk>
    <bk>
      <rc t="2" v="4982"/>
    </bk>
    <bk>
      <rc t="2" v="4983"/>
    </bk>
    <bk>
      <rc t="2" v="4984"/>
    </bk>
    <bk>
      <rc t="2" v="4985"/>
    </bk>
    <bk>
      <rc t="2" v="4986"/>
    </bk>
    <bk>
      <rc t="2" v="4987"/>
    </bk>
    <bk>
      <rc t="2" v="4988"/>
    </bk>
    <bk>
      <rc t="2" v="4989"/>
    </bk>
    <bk>
      <rc t="2" v="4990"/>
    </bk>
    <bk>
      <rc t="2" v="4991"/>
    </bk>
    <bk>
      <rc t="2" v="4992"/>
    </bk>
    <bk>
      <rc t="2" v="4993"/>
    </bk>
    <bk>
      <rc t="2" v="4994"/>
    </bk>
    <bk>
      <rc t="2" v="4995"/>
    </bk>
    <bk>
      <rc t="2" v="4996"/>
    </bk>
    <bk>
      <rc t="2" v="4997"/>
    </bk>
    <bk>
      <rc t="2" v="4998"/>
    </bk>
    <bk>
      <rc t="2" v="4999"/>
    </bk>
    <bk>
      <rc t="2" v="5000"/>
    </bk>
    <bk>
      <rc t="2" v="5001"/>
    </bk>
    <bk>
      <rc t="2" v="5002"/>
    </bk>
    <bk>
      <rc t="2" v="5003"/>
    </bk>
    <bk>
      <rc t="2" v="5004"/>
    </bk>
    <bk>
      <rc t="2" v="5005"/>
    </bk>
    <bk>
      <rc t="2" v="5006"/>
    </bk>
    <bk>
      <rc t="2" v="5007"/>
    </bk>
    <bk>
      <rc t="2" v="5008"/>
    </bk>
    <bk>
      <rc t="2" v="5009"/>
    </bk>
    <bk>
      <rc t="2" v="5010"/>
    </bk>
    <bk>
      <rc t="2" v="5011"/>
    </bk>
    <bk>
      <rc t="2" v="5012"/>
    </bk>
    <bk>
      <rc t="2" v="5013"/>
    </bk>
    <bk>
      <rc t="2" v="5014"/>
    </bk>
    <bk>
      <rc t="2" v="5015"/>
    </bk>
    <bk>
      <rc t="2" v="5016"/>
    </bk>
    <bk>
      <rc t="2" v="5017"/>
    </bk>
    <bk>
      <rc t="2" v="5018"/>
    </bk>
    <bk>
      <rc t="2" v="5019"/>
    </bk>
    <bk>
      <rc t="2" v="5020"/>
    </bk>
    <bk>
      <rc t="2" v="5021"/>
    </bk>
    <bk>
      <rc t="2" v="5022"/>
    </bk>
    <bk>
      <rc t="2" v="5023"/>
    </bk>
    <bk>
      <rc t="2" v="5024"/>
    </bk>
    <bk>
      <rc t="2" v="5025"/>
    </bk>
    <bk>
      <rc t="2" v="5026"/>
    </bk>
    <bk>
      <rc t="2" v="5027"/>
    </bk>
    <bk>
      <rc t="2" v="5028"/>
    </bk>
    <bk>
      <rc t="2" v="5029"/>
    </bk>
    <bk>
      <rc t="2" v="5030"/>
    </bk>
    <bk>
      <rc t="2" v="5031"/>
    </bk>
    <bk>
      <rc t="2" v="5032"/>
    </bk>
    <bk>
      <rc t="2" v="5033"/>
    </bk>
    <bk>
      <rc t="2" v="5034"/>
    </bk>
    <bk>
      <rc t="2" v="5035"/>
    </bk>
    <bk>
      <rc t="2" v="5036"/>
    </bk>
    <bk>
      <rc t="2" v="5037"/>
    </bk>
    <bk>
      <rc t="2" v="5038"/>
    </bk>
    <bk>
      <rc t="2" v="5039"/>
    </bk>
    <bk>
      <rc t="2" v="5040"/>
    </bk>
    <bk>
      <rc t="2" v="5041"/>
    </bk>
    <bk>
      <rc t="2" v="5042"/>
    </bk>
    <bk>
      <rc t="2" v="5043"/>
    </bk>
    <bk>
      <rc t="2" v="5044"/>
    </bk>
    <bk>
      <rc t="2" v="5045"/>
    </bk>
    <bk>
      <rc t="2" v="5046"/>
    </bk>
    <bk>
      <rc t="2" v="5047"/>
    </bk>
    <bk>
      <rc t="2" v="5048"/>
    </bk>
    <bk>
      <rc t="2" v="5049"/>
    </bk>
    <bk>
      <rc t="2" v="5050"/>
    </bk>
    <bk>
      <rc t="2" v="5051"/>
    </bk>
    <bk>
      <rc t="2" v="5052"/>
    </bk>
    <bk>
      <rc t="2" v="5053"/>
    </bk>
    <bk>
      <rc t="2" v="5054"/>
    </bk>
    <bk>
      <rc t="2" v="5055"/>
    </bk>
    <bk>
      <rc t="2" v="5056"/>
    </bk>
    <bk>
      <rc t="2" v="5057"/>
    </bk>
    <bk>
      <rc t="2" v="5058"/>
    </bk>
    <bk>
      <rc t="2" v="5059"/>
    </bk>
    <bk>
      <rc t="2" v="5060"/>
    </bk>
    <bk>
      <rc t="2" v="5061"/>
    </bk>
    <bk>
      <rc t="2" v="5062"/>
    </bk>
    <bk>
      <rc t="2" v="5063"/>
    </bk>
    <bk>
      <rc t="2" v="5064"/>
    </bk>
    <bk>
      <rc t="2" v="5065"/>
    </bk>
    <bk>
      <rc t="2" v="5066"/>
    </bk>
    <bk>
      <rc t="2" v="5067"/>
    </bk>
    <bk>
      <rc t="2" v="5068"/>
    </bk>
    <bk>
      <rc t="2" v="5069"/>
    </bk>
    <bk>
      <rc t="2" v="5070"/>
    </bk>
    <bk>
      <rc t="2" v="5071"/>
    </bk>
    <bk>
      <rc t="2" v="5072"/>
    </bk>
    <bk>
      <rc t="2" v="5073"/>
    </bk>
    <bk>
      <rc t="2" v="5074"/>
    </bk>
    <bk>
      <rc t="2" v="5075"/>
    </bk>
    <bk>
      <rc t="2" v="5076"/>
    </bk>
    <bk>
      <rc t="2" v="5077"/>
    </bk>
    <bk>
      <rc t="2" v="5078"/>
    </bk>
    <bk>
      <rc t="2" v="5079"/>
    </bk>
    <bk>
      <rc t="2" v="5080"/>
    </bk>
    <bk>
      <rc t="2" v="5081"/>
    </bk>
    <bk>
      <rc t="2" v="5082"/>
    </bk>
    <bk>
      <rc t="2" v="5083"/>
    </bk>
    <bk>
      <rc t="2" v="5084"/>
    </bk>
    <bk>
      <rc t="2" v="5085"/>
    </bk>
    <bk>
      <rc t="2" v="5086"/>
    </bk>
    <bk>
      <rc t="2" v="5087"/>
    </bk>
    <bk>
      <rc t="2" v="5088"/>
    </bk>
    <bk>
      <rc t="2" v="5089"/>
    </bk>
    <bk>
      <rc t="2" v="5090"/>
    </bk>
    <bk>
      <rc t="2" v="5091"/>
    </bk>
    <bk>
      <rc t="2" v="5092"/>
    </bk>
    <bk>
      <rc t="2" v="5093"/>
    </bk>
    <bk>
      <rc t="2" v="5094"/>
    </bk>
    <bk>
      <rc t="2" v="5095"/>
    </bk>
    <bk>
      <rc t="2" v="5096"/>
    </bk>
    <bk>
      <rc t="2" v="5097"/>
    </bk>
    <bk>
      <rc t="2" v="5098"/>
    </bk>
    <bk>
      <rc t="2" v="5099"/>
    </bk>
    <bk>
      <rc t="2" v="5100"/>
    </bk>
    <bk>
      <rc t="2" v="5101"/>
    </bk>
    <bk>
      <rc t="2" v="5102"/>
    </bk>
    <bk>
      <rc t="2" v="5103"/>
    </bk>
    <bk>
      <rc t="2" v="5104"/>
    </bk>
    <bk>
      <rc t="2" v="5105"/>
    </bk>
    <bk>
      <rc t="2" v="5106"/>
    </bk>
    <bk>
      <rc t="2" v="5107"/>
    </bk>
    <bk>
      <rc t="2" v="5108"/>
    </bk>
    <bk>
      <rc t="2" v="5109"/>
    </bk>
    <bk>
      <rc t="2" v="5110"/>
    </bk>
    <bk>
      <rc t="2" v="5111"/>
    </bk>
    <bk>
      <rc t="2" v="5112"/>
    </bk>
    <bk>
      <rc t="2" v="5113"/>
    </bk>
    <bk>
      <rc t="2" v="5114"/>
    </bk>
    <bk>
      <rc t="2" v="5115"/>
    </bk>
    <bk>
      <rc t="2" v="5116"/>
    </bk>
    <bk>
      <rc t="2" v="5117"/>
    </bk>
    <bk>
      <rc t="2" v="5118"/>
    </bk>
    <bk>
      <rc t="2" v="5119"/>
    </bk>
    <bk>
      <rc t="2" v="5120"/>
    </bk>
    <bk>
      <rc t="2" v="5121"/>
    </bk>
    <bk>
      <rc t="2" v="5122"/>
    </bk>
    <bk>
      <rc t="2" v="5123"/>
    </bk>
    <bk>
      <rc t="2" v="5124"/>
    </bk>
    <bk>
      <rc t="2" v="5125"/>
    </bk>
    <bk>
      <rc t="2" v="5126"/>
    </bk>
    <bk>
      <rc t="2" v="5127"/>
    </bk>
    <bk>
      <rc t="2" v="5128"/>
    </bk>
    <bk>
      <rc t="2" v="5129"/>
    </bk>
    <bk>
      <rc t="2" v="5130"/>
    </bk>
    <bk>
      <rc t="2" v="5131"/>
    </bk>
    <bk>
      <rc t="2" v="5132"/>
    </bk>
    <bk>
      <rc t="2" v="5133"/>
    </bk>
    <bk>
      <rc t="2" v="5134"/>
    </bk>
    <bk>
      <rc t="2" v="5135"/>
    </bk>
    <bk>
      <rc t="2" v="5136"/>
    </bk>
    <bk>
      <rc t="2" v="5137"/>
    </bk>
    <bk>
      <rc t="2" v="5138"/>
    </bk>
    <bk>
      <rc t="2" v="5139"/>
    </bk>
    <bk>
      <rc t="2" v="5140"/>
    </bk>
    <bk>
      <rc t="2" v="5141"/>
    </bk>
    <bk>
      <rc t="2" v="5142"/>
    </bk>
    <bk>
      <rc t="2" v="5143"/>
    </bk>
    <bk>
      <rc t="2" v="5144"/>
    </bk>
    <bk>
      <rc t="2" v="5145"/>
    </bk>
    <bk>
      <rc t="2" v="5146"/>
    </bk>
    <bk>
      <rc t="2" v="5147"/>
    </bk>
    <bk>
      <rc t="2" v="5148"/>
    </bk>
    <bk>
      <rc t="2" v="5149"/>
    </bk>
    <bk>
      <rc t="2" v="5150"/>
    </bk>
    <bk>
      <rc t="2" v="5151"/>
    </bk>
    <bk>
      <rc t="2" v="5152"/>
    </bk>
    <bk>
      <rc t="2" v="5153"/>
    </bk>
    <bk>
      <rc t="2" v="5154"/>
    </bk>
    <bk>
      <rc t="2" v="5155"/>
    </bk>
    <bk>
      <rc t="2" v="5156"/>
    </bk>
    <bk>
      <rc t="2" v="5157"/>
    </bk>
    <bk>
      <rc t="2" v="5158"/>
    </bk>
    <bk>
      <rc t="2" v="5159"/>
    </bk>
    <bk>
      <rc t="2" v="5160"/>
    </bk>
    <bk>
      <rc t="2" v="5161"/>
    </bk>
    <bk>
      <rc t="2" v="5162"/>
    </bk>
    <bk>
      <rc t="2" v="5163"/>
    </bk>
    <bk>
      <rc t="2" v="5164"/>
    </bk>
    <bk>
      <rc t="2" v="5165"/>
    </bk>
    <bk>
      <rc t="2" v="5166"/>
    </bk>
    <bk>
      <rc t="2" v="5167"/>
    </bk>
    <bk>
      <rc t="2" v="5168"/>
    </bk>
    <bk>
      <rc t="2" v="5169"/>
    </bk>
    <bk>
      <rc t="2" v="5170"/>
    </bk>
    <bk>
      <rc t="2" v="5171"/>
    </bk>
    <bk>
      <rc t="2" v="5172"/>
    </bk>
    <bk>
      <rc t="2" v="5173"/>
    </bk>
    <bk>
      <rc t="2" v="5174"/>
    </bk>
    <bk>
      <rc t="2" v="5175"/>
    </bk>
    <bk>
      <rc t="2" v="5176"/>
    </bk>
    <bk>
      <rc t="2" v="5177"/>
    </bk>
    <bk>
      <rc t="2" v="5178"/>
    </bk>
    <bk>
      <rc t="2" v="5179"/>
    </bk>
    <bk>
      <rc t="2" v="5180"/>
    </bk>
    <bk>
      <rc t="2" v="5181"/>
    </bk>
    <bk>
      <rc t="2" v="5182"/>
    </bk>
    <bk>
      <rc t="2" v="5183"/>
    </bk>
    <bk>
      <rc t="2" v="5184"/>
    </bk>
    <bk>
      <rc t="2" v="5185"/>
    </bk>
    <bk>
      <rc t="2" v="5186"/>
    </bk>
    <bk>
      <rc t="2" v="5187"/>
    </bk>
    <bk>
      <rc t="2" v="5188"/>
    </bk>
    <bk>
      <rc t="2" v="5189"/>
    </bk>
    <bk>
      <rc t="2" v="5190"/>
    </bk>
    <bk>
      <rc t="2" v="5191"/>
    </bk>
    <bk>
      <rc t="2" v="5192"/>
    </bk>
    <bk>
      <rc t="2" v="5193"/>
    </bk>
    <bk>
      <rc t="2" v="5194"/>
    </bk>
    <bk>
      <rc t="2" v="5195"/>
    </bk>
    <bk>
      <rc t="2" v="5196"/>
    </bk>
    <bk>
      <rc t="2" v="5197"/>
    </bk>
    <bk>
      <rc t="2" v="5198"/>
    </bk>
    <bk>
      <rc t="2" v="5199"/>
    </bk>
    <bk>
      <rc t="2" v="5200"/>
    </bk>
    <bk>
      <rc t="2" v="5201"/>
    </bk>
    <bk>
      <rc t="2" v="5202"/>
    </bk>
    <bk>
      <rc t="2" v="5203"/>
    </bk>
    <bk>
      <rc t="2" v="5204"/>
    </bk>
    <bk>
      <rc t="2" v="5205"/>
    </bk>
    <bk>
      <rc t="2" v="5206"/>
    </bk>
    <bk>
      <rc t="2" v="5207"/>
    </bk>
    <bk>
      <rc t="2" v="5208"/>
    </bk>
    <bk>
      <rc t="2" v="5209"/>
    </bk>
    <bk>
      <rc t="2" v="5210"/>
    </bk>
    <bk>
      <rc t="2" v="5211"/>
    </bk>
    <bk>
      <rc t="2" v="5212"/>
    </bk>
    <bk>
      <rc t="2" v="5213"/>
    </bk>
    <bk>
      <rc t="2" v="5214"/>
    </bk>
    <bk>
      <rc t="2" v="5215"/>
    </bk>
    <bk>
      <rc t="2" v="5216"/>
    </bk>
    <bk>
      <rc t="2" v="5217"/>
    </bk>
    <bk>
      <rc t="2" v="5218"/>
    </bk>
    <bk>
      <rc t="2" v="5219"/>
    </bk>
    <bk>
      <rc t="2" v="5220"/>
    </bk>
    <bk>
      <rc t="2" v="5221"/>
    </bk>
    <bk>
      <rc t="2" v="5222"/>
    </bk>
    <bk>
      <rc t="2" v="5223"/>
    </bk>
    <bk>
      <rc t="2" v="5224"/>
    </bk>
    <bk>
      <rc t="2" v="5225"/>
    </bk>
    <bk>
      <rc t="2" v="5226"/>
    </bk>
    <bk>
      <rc t="2" v="5227"/>
    </bk>
    <bk>
      <rc t="2" v="5228"/>
    </bk>
    <bk>
      <rc t="2" v="5229"/>
    </bk>
    <bk>
      <rc t="2" v="5230"/>
    </bk>
    <bk>
      <rc t="2" v="5231"/>
    </bk>
    <bk>
      <rc t="2" v="5232"/>
    </bk>
    <bk>
      <rc t="2" v="5233"/>
    </bk>
    <bk>
      <rc t="2" v="5234"/>
    </bk>
    <bk>
      <rc t="2" v="5235"/>
    </bk>
    <bk>
      <rc t="2" v="5236"/>
    </bk>
    <bk>
      <rc t="2" v="5237"/>
    </bk>
    <bk>
      <rc t="2" v="5238"/>
    </bk>
    <bk>
      <rc t="2" v="5239"/>
    </bk>
    <bk>
      <rc t="2" v="5240"/>
    </bk>
    <bk>
      <rc t="2" v="5241"/>
    </bk>
    <bk>
      <rc t="2" v="5242"/>
    </bk>
    <bk>
      <rc t="2" v="5243"/>
    </bk>
    <bk>
      <rc t="2" v="5244"/>
    </bk>
    <bk>
      <rc t="2" v="5245"/>
    </bk>
    <bk>
      <rc t="2" v="5246"/>
    </bk>
    <bk>
      <rc t="2" v="5247"/>
    </bk>
    <bk>
      <rc t="2" v="5248"/>
    </bk>
    <bk>
      <rc t="2" v="5249"/>
    </bk>
    <bk>
      <rc t="2" v="5250"/>
    </bk>
    <bk>
      <rc t="2" v="5251"/>
    </bk>
    <bk>
      <rc t="2" v="5252"/>
    </bk>
    <bk>
      <rc t="2" v="5253"/>
    </bk>
    <bk>
      <rc t="2" v="5254"/>
    </bk>
    <bk>
      <rc t="2" v="5255"/>
    </bk>
    <bk>
      <rc t="2" v="5256"/>
    </bk>
    <bk>
      <rc t="2" v="5257"/>
    </bk>
    <bk>
      <rc t="2" v="5258"/>
    </bk>
    <bk>
      <rc t="2" v="5259"/>
    </bk>
    <bk>
      <rc t="2" v="5260"/>
    </bk>
    <bk>
      <rc t="2" v="5261"/>
    </bk>
    <bk>
      <rc t="2" v="5262"/>
    </bk>
    <bk>
      <rc t="2" v="5263"/>
    </bk>
    <bk>
      <rc t="2" v="5264"/>
    </bk>
    <bk>
      <rc t="2" v="5265"/>
    </bk>
    <bk>
      <rc t="2" v="5266"/>
    </bk>
    <bk>
      <rc t="2" v="5267"/>
    </bk>
    <bk>
      <rc t="2" v="5268"/>
    </bk>
    <bk>
      <rc t="2" v="5269"/>
    </bk>
    <bk>
      <rc t="2" v="5270"/>
    </bk>
    <bk>
      <rc t="2" v="5271"/>
    </bk>
    <bk>
      <rc t="2" v="5272"/>
    </bk>
    <bk>
      <rc t="2" v="5273"/>
    </bk>
    <bk>
      <rc t="2" v="5274"/>
    </bk>
    <bk>
      <rc t="2" v="5275"/>
    </bk>
    <bk>
      <rc t="2" v="5276"/>
    </bk>
    <bk>
      <rc t="2" v="5277"/>
    </bk>
    <bk>
      <rc t="2" v="5278"/>
    </bk>
    <bk>
      <rc t="2" v="5279"/>
    </bk>
    <bk>
      <rc t="2" v="5280"/>
    </bk>
    <bk>
      <rc t="2" v="5281"/>
    </bk>
    <bk>
      <rc t="2" v="5282"/>
    </bk>
    <bk>
      <rc t="2" v="5283"/>
    </bk>
    <bk>
      <rc t="2" v="5284"/>
    </bk>
    <bk>
      <rc t="2" v="5285"/>
    </bk>
    <bk>
      <rc t="2" v="5286"/>
    </bk>
    <bk>
      <rc t="2" v="5287"/>
    </bk>
    <bk>
      <rc t="2" v="5288"/>
    </bk>
    <bk>
      <rc t="2" v="5289"/>
    </bk>
    <bk>
      <rc t="2" v="5290"/>
    </bk>
    <bk>
      <rc t="2" v="5291"/>
    </bk>
    <bk>
      <rc t="2" v="5292"/>
    </bk>
    <bk>
      <rc t="2" v="5293"/>
    </bk>
    <bk>
      <rc t="2" v="5294"/>
    </bk>
    <bk>
      <rc t="2" v="5295"/>
    </bk>
    <bk>
      <rc t="2" v="5296"/>
    </bk>
    <bk>
      <rc t="2" v="5297"/>
    </bk>
    <bk>
      <rc t="2" v="5298"/>
    </bk>
    <bk>
      <rc t="2" v="5299"/>
    </bk>
    <bk>
      <rc t="2" v="5300"/>
    </bk>
    <bk>
      <rc t="2" v="5301"/>
    </bk>
    <bk>
      <rc t="2" v="5302"/>
    </bk>
    <bk>
      <rc t="2" v="5303"/>
    </bk>
    <bk>
      <rc t="2" v="5304"/>
    </bk>
    <bk>
      <rc t="2" v="5305"/>
    </bk>
    <bk>
      <rc t="2" v="5306"/>
    </bk>
    <bk>
      <rc t="2" v="5307"/>
    </bk>
    <bk>
      <rc t="2" v="5308"/>
    </bk>
    <bk>
      <rc t="2" v="5309"/>
    </bk>
    <bk>
      <rc t="2" v="5310"/>
    </bk>
    <bk>
      <rc t="2" v="5311"/>
    </bk>
    <bk>
      <rc t="2" v="5312"/>
    </bk>
    <bk>
      <rc t="2" v="5313"/>
    </bk>
    <bk>
      <rc t="2" v="5314"/>
    </bk>
    <bk>
      <rc t="2" v="5315"/>
    </bk>
    <bk>
      <rc t="2" v="5316"/>
    </bk>
    <bk>
      <rc t="2" v="5317"/>
    </bk>
    <bk>
      <rc t="2" v="5318"/>
    </bk>
    <bk>
      <rc t="2" v="5319"/>
    </bk>
    <bk>
      <rc t="2" v="5320"/>
    </bk>
    <bk>
      <rc t="2" v="5321"/>
    </bk>
    <bk>
      <rc t="2" v="5322"/>
    </bk>
    <bk>
      <rc t="2" v="5323"/>
    </bk>
    <bk>
      <rc t="2" v="5324"/>
    </bk>
    <bk>
      <rc t="2" v="5325"/>
    </bk>
    <bk>
      <rc t="2" v="5326"/>
    </bk>
    <bk>
      <rc t="2" v="5327"/>
    </bk>
    <bk>
      <rc t="2" v="5328"/>
    </bk>
    <bk>
      <rc t="2" v="5329"/>
    </bk>
    <bk>
      <rc t="2" v="5330"/>
    </bk>
    <bk>
      <rc t="2" v="5331"/>
    </bk>
    <bk>
      <rc t="2" v="5332"/>
    </bk>
    <bk>
      <rc t="2" v="5333"/>
    </bk>
    <bk>
      <rc t="2" v="5334"/>
    </bk>
    <bk>
      <rc t="2" v="5335"/>
    </bk>
    <bk>
      <rc t="2" v="5336"/>
    </bk>
    <bk>
      <rc t="2" v="5337"/>
    </bk>
    <bk>
      <rc t="2" v="5338"/>
    </bk>
    <bk>
      <rc t="2" v="5339"/>
    </bk>
    <bk>
      <rc t="2" v="5340"/>
    </bk>
    <bk>
      <rc t="2" v="5341"/>
    </bk>
    <bk>
      <rc t="2" v="5342"/>
    </bk>
    <bk>
      <rc t="2" v="5343"/>
    </bk>
    <bk>
      <rc t="2" v="5344"/>
    </bk>
    <bk>
      <rc t="2" v="5345"/>
    </bk>
    <bk>
      <rc t="2" v="5346"/>
    </bk>
    <bk>
      <rc t="2" v="5347"/>
    </bk>
    <bk>
      <rc t="2" v="5348"/>
    </bk>
    <bk>
      <rc t="2" v="5349"/>
    </bk>
    <bk>
      <rc t="2" v="5350"/>
    </bk>
    <bk>
      <rc t="2" v="5351"/>
    </bk>
    <bk>
      <rc t="2" v="5352"/>
    </bk>
    <bk>
      <rc t="2" v="5353"/>
    </bk>
    <bk>
      <rc t="2" v="5354"/>
    </bk>
    <bk>
      <rc t="2" v="5355"/>
    </bk>
    <bk>
      <rc t="2" v="5356"/>
    </bk>
    <bk>
      <rc t="2" v="5357"/>
    </bk>
    <bk>
      <rc t="2" v="5358"/>
    </bk>
    <bk>
      <rc t="2" v="5359"/>
    </bk>
    <bk>
      <rc t="2" v="5360"/>
    </bk>
    <bk>
      <rc t="2" v="5361"/>
    </bk>
    <bk>
      <rc t="2" v="5362"/>
    </bk>
    <bk>
      <rc t="2" v="5363"/>
    </bk>
    <bk>
      <rc t="2" v="5364"/>
    </bk>
    <bk>
      <rc t="2" v="5365"/>
    </bk>
    <bk>
      <rc t="2" v="5366"/>
    </bk>
    <bk>
      <rc t="2" v="5367"/>
    </bk>
    <bk>
      <rc t="2" v="5368"/>
    </bk>
    <bk>
      <rc t="2" v="5369"/>
    </bk>
    <bk>
      <rc t="2" v="5370"/>
    </bk>
    <bk>
      <rc t="2" v="5371"/>
    </bk>
    <bk>
      <rc t="2" v="5372"/>
    </bk>
    <bk>
      <rc t="2" v="5373"/>
    </bk>
    <bk>
      <rc t="2" v="5374"/>
    </bk>
    <bk>
      <rc t="2" v="5375"/>
    </bk>
    <bk>
      <rc t="2" v="5376"/>
    </bk>
    <bk>
      <rc t="2" v="5377"/>
    </bk>
    <bk>
      <rc t="2" v="5378"/>
    </bk>
    <bk>
      <rc t="2" v="5379"/>
    </bk>
    <bk>
      <rc t="2" v="5380"/>
    </bk>
    <bk>
      <rc t="2" v="5381"/>
    </bk>
    <bk>
      <rc t="2" v="5382"/>
    </bk>
    <bk>
      <rc t="2" v="5383"/>
    </bk>
    <bk>
      <rc t="2" v="5384"/>
    </bk>
    <bk>
      <rc t="2" v="5385"/>
    </bk>
    <bk>
      <rc t="2" v="5386"/>
    </bk>
    <bk>
      <rc t="2" v="5387"/>
    </bk>
    <bk>
      <rc t="2" v="5388"/>
    </bk>
    <bk>
      <rc t="2" v="5389"/>
    </bk>
    <bk>
      <rc t="2" v="5390"/>
    </bk>
    <bk>
      <rc t="2" v="5391"/>
    </bk>
    <bk>
      <rc t="2" v="5392"/>
    </bk>
    <bk>
      <rc t="2" v="5393"/>
    </bk>
    <bk>
      <rc t="2" v="5394"/>
    </bk>
    <bk>
      <rc t="2" v="5395"/>
    </bk>
    <bk>
      <rc t="2" v="5396"/>
    </bk>
    <bk>
      <rc t="2" v="5397"/>
    </bk>
    <bk>
      <rc t="2" v="5398"/>
    </bk>
    <bk>
      <rc t="2" v="5399"/>
    </bk>
    <bk>
      <rc t="2" v="5400"/>
    </bk>
    <bk>
      <rc t="2" v="5401"/>
    </bk>
    <bk>
      <rc t="2" v="5402"/>
    </bk>
    <bk>
      <rc t="2" v="5403"/>
    </bk>
    <bk>
      <rc t="2" v="5404"/>
    </bk>
    <bk>
      <rc t="2" v="5405"/>
    </bk>
    <bk>
      <rc t="2" v="5406"/>
    </bk>
    <bk>
      <rc t="2" v="5407"/>
    </bk>
    <bk>
      <rc t="2" v="5408"/>
    </bk>
    <bk>
      <rc t="2" v="5409"/>
    </bk>
    <bk>
      <rc t="2" v="5410"/>
    </bk>
    <bk>
      <rc t="2" v="5411"/>
    </bk>
    <bk>
      <rc t="2" v="5412"/>
    </bk>
    <bk>
      <rc t="2" v="5413"/>
    </bk>
    <bk>
      <rc t="2" v="5414"/>
    </bk>
    <bk>
      <rc t="2" v="5415"/>
    </bk>
    <bk>
      <rc t="2" v="5416"/>
    </bk>
    <bk>
      <rc t="2" v="5417"/>
    </bk>
    <bk>
      <rc t="2" v="5418"/>
    </bk>
    <bk>
      <rc t="2" v="5419"/>
    </bk>
    <bk>
      <rc t="2" v="5420"/>
    </bk>
    <bk>
      <rc t="2" v="5421"/>
    </bk>
    <bk>
      <rc t="2" v="5422"/>
    </bk>
    <bk>
      <rc t="2" v="5423"/>
    </bk>
    <bk>
      <rc t="2" v="5424"/>
    </bk>
    <bk>
      <rc t="2" v="5425"/>
    </bk>
    <bk>
      <rc t="2" v="5426"/>
    </bk>
    <bk>
      <rc t="2" v="5427"/>
    </bk>
    <bk>
      <rc t="2" v="5428"/>
    </bk>
    <bk>
      <rc t="2" v="5429"/>
    </bk>
    <bk>
      <rc t="2" v="5430"/>
    </bk>
    <bk>
      <rc t="2" v="5431"/>
    </bk>
    <bk>
      <rc t="2" v="5432"/>
    </bk>
    <bk>
      <rc t="2" v="5433"/>
    </bk>
    <bk>
      <rc t="2" v="5434"/>
    </bk>
    <bk>
      <rc t="2" v="5435"/>
    </bk>
    <bk>
      <rc t="2" v="5436"/>
    </bk>
    <bk>
      <rc t="2" v="5437"/>
    </bk>
    <bk>
      <rc t="2" v="5438"/>
    </bk>
    <bk>
      <rc t="2" v="5439"/>
    </bk>
    <bk>
      <rc t="2" v="5440"/>
    </bk>
    <bk>
      <rc t="2" v="5441"/>
    </bk>
    <bk>
      <rc t="2" v="5442"/>
    </bk>
    <bk>
      <rc t="2" v="5443"/>
    </bk>
    <bk>
      <rc t="2" v="5444"/>
    </bk>
    <bk>
      <rc t="2" v="5445"/>
    </bk>
    <bk>
      <rc t="2" v="5446"/>
    </bk>
    <bk>
      <rc t="2" v="5447"/>
    </bk>
    <bk>
      <rc t="2" v="5448"/>
    </bk>
    <bk>
      <rc t="2" v="5449"/>
    </bk>
    <bk>
      <rc t="2" v="5450"/>
    </bk>
    <bk>
      <rc t="2" v="5451"/>
    </bk>
    <bk>
      <rc t="2" v="5452"/>
    </bk>
    <bk>
      <rc t="2" v="5453"/>
    </bk>
    <bk>
      <rc t="2" v="5454"/>
    </bk>
    <bk>
      <rc t="2" v="5455"/>
    </bk>
    <bk>
      <rc t="2" v="5456"/>
    </bk>
    <bk>
      <rc t="2" v="5457"/>
    </bk>
    <bk>
      <rc t="2" v="5458"/>
    </bk>
    <bk>
      <rc t="2" v="5459"/>
    </bk>
    <bk>
      <rc t="2" v="5460"/>
    </bk>
    <bk>
      <rc t="2" v="5461"/>
    </bk>
    <bk>
      <rc t="2" v="5462"/>
    </bk>
    <bk>
      <rc t="2" v="5463"/>
    </bk>
    <bk>
      <rc t="2" v="5464"/>
    </bk>
    <bk>
      <rc t="2" v="5465"/>
    </bk>
    <bk>
      <rc t="2" v="5466"/>
    </bk>
    <bk>
      <rc t="2" v="5467"/>
    </bk>
    <bk>
      <rc t="2" v="5468"/>
    </bk>
    <bk>
      <rc t="2" v="5469"/>
    </bk>
    <bk>
      <rc t="2" v="5470"/>
    </bk>
    <bk>
      <rc t="2" v="5471"/>
    </bk>
    <bk>
      <rc t="2" v="5472"/>
    </bk>
    <bk>
      <rc t="2" v="5473"/>
    </bk>
    <bk>
      <rc t="2" v="5474"/>
    </bk>
    <bk>
      <rc t="2" v="5475"/>
    </bk>
    <bk>
      <rc t="2" v="5476"/>
    </bk>
    <bk>
      <rc t="2" v="5477"/>
    </bk>
    <bk>
      <rc t="2" v="5478"/>
    </bk>
    <bk>
      <rc t="2" v="5479"/>
    </bk>
    <bk>
      <rc t="2" v="5480"/>
    </bk>
    <bk>
      <rc t="2" v="5481"/>
    </bk>
    <bk>
      <rc t="2" v="5482"/>
    </bk>
    <bk>
      <rc t="2" v="5483"/>
    </bk>
    <bk>
      <rc t="2" v="5484"/>
    </bk>
    <bk>
      <rc t="2" v="5485"/>
    </bk>
    <bk>
      <rc t="2" v="5486"/>
    </bk>
    <bk>
      <rc t="2" v="5487"/>
    </bk>
    <bk>
      <rc t="2" v="5488"/>
    </bk>
    <bk>
      <rc t="2" v="5489"/>
    </bk>
    <bk>
      <rc t="2" v="5490"/>
    </bk>
    <bk>
      <rc t="2" v="5491"/>
    </bk>
    <bk>
      <rc t="2" v="5492"/>
    </bk>
    <bk>
      <rc t="2" v="5493"/>
    </bk>
    <bk>
      <rc t="2" v="5494"/>
    </bk>
    <bk>
      <rc t="2" v="5495"/>
    </bk>
    <bk>
      <rc t="2" v="5496"/>
    </bk>
    <bk>
      <rc t="2" v="5497"/>
    </bk>
    <bk>
      <rc t="2" v="5498"/>
    </bk>
    <bk>
      <rc t="2" v="5499"/>
    </bk>
    <bk>
      <rc t="2" v="5500"/>
    </bk>
    <bk>
      <rc t="2" v="5501"/>
    </bk>
    <bk>
      <rc t="2" v="5502"/>
    </bk>
    <bk>
      <rc t="2" v="5503"/>
    </bk>
    <bk>
      <rc t="2" v="5504"/>
    </bk>
    <bk>
      <rc t="2" v="5505"/>
    </bk>
    <bk>
      <rc t="2" v="5506"/>
    </bk>
    <bk>
      <rc t="2" v="5507"/>
    </bk>
    <bk>
      <rc t="2" v="5508"/>
    </bk>
    <bk>
      <rc t="2" v="5509"/>
    </bk>
    <bk>
      <rc t="2" v="5510"/>
    </bk>
    <bk>
      <rc t="2" v="5511"/>
    </bk>
    <bk>
      <rc t="2" v="5512"/>
    </bk>
    <bk>
      <rc t="2" v="5513"/>
    </bk>
    <bk>
      <rc t="2" v="5514"/>
    </bk>
    <bk>
      <rc t="2" v="5515"/>
    </bk>
    <bk>
      <rc t="2" v="5516"/>
    </bk>
    <bk>
      <rc t="2" v="5517"/>
    </bk>
    <bk>
      <rc t="2" v="5518"/>
    </bk>
    <bk>
      <rc t="2" v="5519"/>
    </bk>
    <bk>
      <rc t="2" v="5520"/>
    </bk>
    <bk>
      <rc t="2" v="5521"/>
    </bk>
    <bk>
      <rc t="2" v="5522"/>
    </bk>
    <bk>
      <rc t="2" v="5523"/>
    </bk>
    <bk>
      <rc t="2" v="5524"/>
    </bk>
    <bk>
      <rc t="2" v="5525"/>
    </bk>
    <bk>
      <rc t="2" v="5526"/>
    </bk>
    <bk>
      <rc t="2" v="5527"/>
    </bk>
    <bk>
      <rc t="2" v="5528"/>
    </bk>
    <bk>
      <rc t="2" v="5529"/>
    </bk>
    <bk>
      <rc t="2" v="5530"/>
    </bk>
    <bk>
      <rc t="2" v="5531"/>
    </bk>
    <bk>
      <rc t="2" v="5532"/>
    </bk>
    <bk>
      <rc t="2" v="5533"/>
    </bk>
    <bk>
      <rc t="2" v="5534"/>
    </bk>
    <bk>
      <rc t="2" v="5535"/>
    </bk>
    <bk>
      <rc t="2" v="5536"/>
    </bk>
    <bk>
      <rc t="2" v="5537"/>
    </bk>
    <bk>
      <rc t="2" v="5538"/>
    </bk>
    <bk>
      <rc t="2" v="5539"/>
    </bk>
    <bk>
      <rc t="2" v="5540"/>
    </bk>
    <bk>
      <rc t="2" v="5541"/>
    </bk>
    <bk>
      <rc t="2" v="5542"/>
    </bk>
    <bk>
      <rc t="2" v="5543"/>
    </bk>
    <bk>
      <rc t="2" v="5544"/>
    </bk>
    <bk>
      <rc t="2" v="5545"/>
    </bk>
    <bk>
      <rc t="2" v="5546"/>
    </bk>
    <bk>
      <rc t="2" v="5547"/>
    </bk>
    <bk>
      <rc t="2" v="5548"/>
    </bk>
    <bk>
      <rc t="2" v="5549"/>
    </bk>
    <bk>
      <rc t="2" v="5550"/>
    </bk>
    <bk>
      <rc t="2" v="5551"/>
    </bk>
    <bk>
      <rc t="2" v="5552"/>
    </bk>
    <bk>
      <rc t="2" v="5553"/>
    </bk>
    <bk>
      <rc t="2" v="5554"/>
    </bk>
    <bk>
      <rc t="2" v="5555"/>
    </bk>
    <bk>
      <rc t="2" v="5556"/>
    </bk>
    <bk>
      <rc t="2" v="5557"/>
    </bk>
    <bk>
      <rc t="2" v="5558"/>
    </bk>
    <bk>
      <rc t="2" v="5559"/>
    </bk>
    <bk>
      <rc t="2" v="5560"/>
    </bk>
    <bk>
      <rc t="2" v="5561"/>
    </bk>
    <bk>
      <rc t="2" v="5562"/>
    </bk>
    <bk>
      <rc t="2" v="5563"/>
    </bk>
    <bk>
      <rc t="2" v="5564"/>
    </bk>
    <bk>
      <rc t="2" v="5565"/>
    </bk>
    <bk>
      <rc t="2" v="5566"/>
    </bk>
    <bk>
      <rc t="2" v="5567"/>
    </bk>
    <bk>
      <rc t="2" v="5568"/>
    </bk>
    <bk>
      <rc t="2" v="5569"/>
    </bk>
    <bk>
      <rc t="2" v="5570"/>
    </bk>
    <bk>
      <rc t="2" v="5571"/>
    </bk>
    <bk>
      <rc t="2" v="5572"/>
    </bk>
    <bk>
      <rc t="2" v="5573"/>
    </bk>
    <bk>
      <rc t="2" v="5574"/>
    </bk>
    <bk>
      <rc t="2" v="5575"/>
    </bk>
    <bk>
      <rc t="2" v="5576"/>
    </bk>
    <bk>
      <rc t="2" v="5577"/>
    </bk>
    <bk>
      <rc t="2" v="5578"/>
    </bk>
    <bk>
      <rc t="2" v="5579"/>
    </bk>
    <bk>
      <rc t="2" v="5580"/>
    </bk>
    <bk>
      <rc t="2" v="5581"/>
    </bk>
    <bk>
      <rc t="2" v="5582"/>
    </bk>
    <bk>
      <rc t="2" v="5583"/>
    </bk>
    <bk>
      <rc t="2" v="5584"/>
    </bk>
    <bk>
      <rc t="2" v="5585"/>
    </bk>
    <bk>
      <rc t="2" v="5586"/>
    </bk>
    <bk>
      <rc t="2" v="5587"/>
    </bk>
    <bk>
      <rc t="2" v="5588"/>
    </bk>
    <bk>
      <rc t="2" v="5589"/>
    </bk>
    <bk>
      <rc t="2" v="5590"/>
    </bk>
    <bk>
      <rc t="2" v="5591"/>
    </bk>
    <bk>
      <rc t="2" v="5592"/>
    </bk>
    <bk>
      <rc t="2" v="5593"/>
    </bk>
    <bk>
      <rc t="2" v="5594"/>
    </bk>
    <bk>
      <rc t="2" v="5595"/>
    </bk>
    <bk>
      <rc t="2" v="5596"/>
    </bk>
    <bk>
      <rc t="2" v="5597"/>
    </bk>
    <bk>
      <rc t="2" v="5598"/>
    </bk>
    <bk>
      <rc t="2" v="5599"/>
    </bk>
    <bk>
      <rc t="2" v="5600"/>
    </bk>
    <bk>
      <rc t="2" v="5601"/>
    </bk>
    <bk>
      <rc t="2" v="5602"/>
    </bk>
    <bk>
      <rc t="2" v="5603"/>
    </bk>
    <bk>
      <rc t="2" v="5604"/>
    </bk>
    <bk>
      <rc t="2" v="5605"/>
    </bk>
    <bk>
      <rc t="2" v="5606"/>
    </bk>
    <bk>
      <rc t="2" v="5607"/>
    </bk>
    <bk>
      <rc t="2" v="5608"/>
    </bk>
    <bk>
      <rc t="2" v="5609"/>
    </bk>
    <bk>
      <rc t="2" v="5610"/>
    </bk>
    <bk>
      <rc t="2" v="5611"/>
    </bk>
    <bk>
      <rc t="2" v="5612"/>
    </bk>
    <bk>
      <rc t="2" v="5613"/>
    </bk>
    <bk>
      <rc t="2" v="5614"/>
    </bk>
    <bk>
      <rc t="2" v="5615"/>
    </bk>
    <bk>
      <rc t="2" v="5616"/>
    </bk>
    <bk>
      <rc t="2" v="5617"/>
    </bk>
    <bk>
      <rc t="2" v="5618"/>
    </bk>
    <bk>
      <rc t="2" v="5619"/>
    </bk>
    <bk>
      <rc t="2" v="5620"/>
    </bk>
    <bk>
      <rc t="2" v="5621"/>
    </bk>
    <bk>
      <rc t="2" v="5622"/>
    </bk>
    <bk>
      <rc t="2" v="5623"/>
    </bk>
    <bk>
      <rc t="2" v="5624"/>
    </bk>
    <bk>
      <rc t="2" v="5625"/>
    </bk>
    <bk>
      <rc t="2" v="5626"/>
    </bk>
    <bk>
      <rc t="2" v="5627"/>
    </bk>
    <bk>
      <rc t="2" v="5628"/>
    </bk>
    <bk>
      <rc t="2" v="5629"/>
    </bk>
    <bk>
      <rc t="2" v="5630"/>
    </bk>
    <bk>
      <rc t="2" v="5631"/>
    </bk>
    <bk>
      <rc t="2" v="5632"/>
    </bk>
    <bk>
      <rc t="2" v="5633"/>
    </bk>
    <bk>
      <rc t="2" v="5634"/>
    </bk>
    <bk>
      <rc t="2" v="5635"/>
    </bk>
    <bk>
      <rc t="2" v="5636"/>
    </bk>
    <bk>
      <rc t="2" v="5637"/>
    </bk>
    <bk>
      <rc t="2" v="5638"/>
    </bk>
    <bk>
      <rc t="2" v="5639"/>
    </bk>
    <bk>
      <rc t="2" v="5640"/>
    </bk>
    <bk>
      <rc t="2" v="5641"/>
    </bk>
    <bk>
      <rc t="2" v="5642"/>
    </bk>
    <bk>
      <rc t="2" v="5643"/>
    </bk>
    <bk>
      <rc t="2" v="5644"/>
    </bk>
    <bk>
      <rc t="2" v="5645"/>
    </bk>
    <bk>
      <rc t="2" v="5646"/>
    </bk>
    <bk>
      <rc t="2" v="5647"/>
    </bk>
    <bk>
      <rc t="2" v="5648"/>
    </bk>
    <bk>
      <rc t="2" v="5649"/>
    </bk>
    <bk>
      <rc t="2" v="5650"/>
    </bk>
    <bk>
      <rc t="2" v="5651"/>
    </bk>
    <bk>
      <rc t="2" v="5652"/>
    </bk>
    <bk>
      <rc t="2" v="5653"/>
    </bk>
    <bk>
      <rc t="2" v="5654"/>
    </bk>
    <bk>
      <rc t="2" v="5655"/>
    </bk>
    <bk>
      <rc t="2" v="5656"/>
    </bk>
    <bk>
      <rc t="2" v="5657"/>
    </bk>
    <bk>
      <rc t="2" v="5658"/>
    </bk>
    <bk>
      <rc t="2" v="5659"/>
    </bk>
    <bk>
      <rc t="2" v="5660"/>
    </bk>
    <bk>
      <rc t="2" v="5661"/>
    </bk>
    <bk>
      <rc t="2" v="5662"/>
    </bk>
    <bk>
      <rc t="2" v="5663"/>
    </bk>
    <bk>
      <rc t="2" v="5664"/>
    </bk>
    <bk>
      <rc t="2" v="5665"/>
    </bk>
    <bk>
      <rc t="2" v="5666"/>
    </bk>
    <bk>
      <rc t="2" v="5667"/>
    </bk>
    <bk>
      <rc t="2" v="5668"/>
    </bk>
    <bk>
      <rc t="2" v="5669"/>
    </bk>
    <bk>
      <rc t="2" v="5670"/>
    </bk>
    <bk>
      <rc t="2" v="5671"/>
    </bk>
    <bk>
      <rc t="2" v="5672"/>
    </bk>
    <bk>
      <rc t="2" v="5673"/>
    </bk>
    <bk>
      <rc t="2" v="5674"/>
    </bk>
    <bk>
      <rc t="2" v="5675"/>
    </bk>
    <bk>
      <rc t="2" v="5676"/>
    </bk>
    <bk>
      <rc t="2" v="5677"/>
    </bk>
    <bk>
      <rc t="2" v="5678"/>
    </bk>
    <bk>
      <rc t="2" v="5679"/>
    </bk>
    <bk>
      <rc t="2" v="5680"/>
    </bk>
    <bk>
      <rc t="2" v="5681"/>
    </bk>
    <bk>
      <rc t="2" v="5682"/>
    </bk>
    <bk>
      <rc t="2" v="5683"/>
    </bk>
    <bk>
      <rc t="2" v="5684"/>
    </bk>
    <bk>
      <rc t="2" v="5685"/>
    </bk>
    <bk>
      <rc t="2" v="5686"/>
    </bk>
    <bk>
      <rc t="2" v="5687"/>
    </bk>
    <bk>
      <rc t="2" v="5688"/>
    </bk>
    <bk>
      <rc t="2" v="5689"/>
    </bk>
    <bk>
      <rc t="2" v="5690"/>
    </bk>
    <bk>
      <rc t="2" v="5691"/>
    </bk>
    <bk>
      <rc t="2" v="5692"/>
    </bk>
    <bk>
      <rc t="2" v="5693"/>
    </bk>
    <bk>
      <rc t="2" v="5694"/>
    </bk>
    <bk>
      <rc t="2" v="5695"/>
    </bk>
    <bk>
      <rc t="2" v="5696"/>
    </bk>
    <bk>
      <rc t="2" v="5697"/>
    </bk>
    <bk>
      <rc t="2" v="5698"/>
    </bk>
    <bk>
      <rc t="2" v="5699"/>
    </bk>
    <bk>
      <rc t="2" v="5700"/>
    </bk>
    <bk>
      <rc t="2" v="5701"/>
    </bk>
    <bk>
      <rc t="2" v="5702"/>
    </bk>
    <bk>
      <rc t="2" v="5703"/>
    </bk>
    <bk>
      <rc t="2" v="5704"/>
    </bk>
    <bk>
      <rc t="2" v="5705"/>
    </bk>
    <bk>
      <rc t="2" v="5706"/>
    </bk>
    <bk>
      <rc t="2" v="5707"/>
    </bk>
    <bk>
      <rc t="2" v="5708"/>
    </bk>
    <bk>
      <rc t="2" v="5709"/>
    </bk>
    <bk>
      <rc t="2" v="5710"/>
    </bk>
    <bk>
      <rc t="2" v="5711"/>
    </bk>
    <bk>
      <rc t="2" v="5712"/>
    </bk>
    <bk>
      <rc t="2" v="5713"/>
    </bk>
    <bk>
      <rc t="2" v="5714"/>
    </bk>
    <bk>
      <rc t="2" v="5715"/>
    </bk>
    <bk>
      <rc t="2" v="5716"/>
    </bk>
    <bk>
      <rc t="2" v="5717"/>
    </bk>
    <bk>
      <rc t="2" v="5718"/>
    </bk>
    <bk>
      <rc t="2" v="5719"/>
    </bk>
    <bk>
      <rc t="2" v="5720"/>
    </bk>
    <bk>
      <rc t="2" v="5721"/>
    </bk>
    <bk>
      <rc t="2" v="5722"/>
    </bk>
    <bk>
      <rc t="2" v="5723"/>
    </bk>
    <bk>
      <rc t="2" v="5724"/>
    </bk>
    <bk>
      <rc t="2" v="5725"/>
    </bk>
    <bk>
      <rc t="2" v="5726"/>
    </bk>
    <bk>
      <rc t="2" v="5727"/>
    </bk>
    <bk>
      <rc t="2" v="5728"/>
    </bk>
    <bk>
      <rc t="2" v="5729"/>
    </bk>
    <bk>
      <rc t="2" v="5730"/>
    </bk>
    <bk>
      <rc t="2" v="5731"/>
    </bk>
    <bk>
      <rc t="2" v="5732"/>
    </bk>
    <bk>
      <rc t="2" v="5733"/>
    </bk>
    <bk>
      <rc t="2" v="5734"/>
    </bk>
    <bk>
      <rc t="2" v="5735"/>
    </bk>
    <bk>
      <rc t="2" v="5736"/>
    </bk>
    <bk>
      <rc t="2" v="5737"/>
    </bk>
    <bk>
      <rc t="2" v="5738"/>
    </bk>
    <bk>
      <rc t="2" v="5739"/>
    </bk>
    <bk>
      <rc t="2" v="5740"/>
    </bk>
    <bk>
      <rc t="2" v="5741"/>
    </bk>
    <bk>
      <rc t="2" v="5742"/>
    </bk>
    <bk>
      <rc t="2" v="5743"/>
    </bk>
    <bk>
      <rc t="2" v="5744"/>
    </bk>
    <bk>
      <rc t="2" v="5745"/>
    </bk>
    <bk>
      <rc t="2" v="5746"/>
    </bk>
    <bk>
      <rc t="2" v="5747"/>
    </bk>
    <bk>
      <rc t="2" v="5748"/>
    </bk>
    <bk>
      <rc t="2" v="5749"/>
    </bk>
    <bk>
      <rc t="2" v="5750"/>
    </bk>
    <bk>
      <rc t="2" v="5751"/>
    </bk>
    <bk>
      <rc t="2" v="5752"/>
    </bk>
    <bk>
      <rc t="2" v="5753"/>
    </bk>
    <bk>
      <rc t="2" v="5754"/>
    </bk>
    <bk>
      <rc t="2" v="5755"/>
    </bk>
    <bk>
      <rc t="2" v="5756"/>
    </bk>
    <bk>
      <rc t="2" v="5757"/>
    </bk>
    <bk>
      <rc t="2" v="5758"/>
    </bk>
    <bk>
      <rc t="2" v="5759"/>
    </bk>
    <bk>
      <rc t="2" v="5760"/>
    </bk>
    <bk>
      <rc t="2" v="5761"/>
    </bk>
    <bk>
      <rc t="2" v="5762"/>
    </bk>
    <bk>
      <rc t="2" v="5763"/>
    </bk>
    <bk>
      <rc t="2" v="5764"/>
    </bk>
    <bk>
      <rc t="2" v="5765"/>
    </bk>
    <bk>
      <rc t="2" v="5766"/>
    </bk>
    <bk>
      <rc t="2" v="5767"/>
    </bk>
    <bk>
      <rc t="2" v="5768"/>
    </bk>
    <bk>
      <rc t="2" v="5769"/>
    </bk>
    <bk>
      <rc t="2" v="5770"/>
    </bk>
    <bk>
      <rc t="2" v="5771"/>
    </bk>
    <bk>
      <rc t="2" v="5772"/>
    </bk>
    <bk>
      <rc t="2" v="5773"/>
    </bk>
    <bk>
      <rc t="2" v="5774"/>
    </bk>
    <bk>
      <rc t="2" v="5775"/>
    </bk>
    <bk>
      <rc t="2" v="5776"/>
    </bk>
    <bk>
      <rc t="2" v="5777"/>
    </bk>
    <bk>
      <rc t="2" v="5778"/>
    </bk>
    <bk>
      <rc t="2" v="5779"/>
    </bk>
    <bk>
      <rc t="2" v="5780"/>
    </bk>
    <bk>
      <rc t="2" v="5781"/>
    </bk>
    <bk>
      <rc t="2" v="5782"/>
    </bk>
    <bk>
      <rc t="2" v="5783"/>
    </bk>
    <bk>
      <rc t="2" v="5784"/>
    </bk>
    <bk>
      <rc t="2" v="5785"/>
    </bk>
    <bk>
      <rc t="2" v="5786"/>
    </bk>
    <bk>
      <rc t="2" v="5787"/>
    </bk>
    <bk>
      <rc t="2" v="5788"/>
    </bk>
    <bk>
      <rc t="2" v="5789"/>
    </bk>
    <bk>
      <rc t="2" v="5790"/>
    </bk>
    <bk>
      <rc t="2" v="5791"/>
    </bk>
    <bk>
      <rc t="2" v="5792"/>
    </bk>
    <bk>
      <rc t="2" v="5793"/>
    </bk>
    <bk>
      <rc t="2" v="5794"/>
    </bk>
    <bk>
      <rc t="2" v="5795"/>
    </bk>
    <bk>
      <rc t="2" v="5796"/>
    </bk>
    <bk>
      <rc t="2" v="5797"/>
    </bk>
    <bk>
      <rc t="2" v="5798"/>
    </bk>
    <bk>
      <rc t="2" v="5799"/>
    </bk>
    <bk>
      <rc t="2" v="5800"/>
    </bk>
    <bk>
      <rc t="2" v="5801"/>
    </bk>
    <bk>
      <rc t="2" v="5802"/>
    </bk>
    <bk>
      <rc t="2" v="5803"/>
    </bk>
    <bk>
      <rc t="2" v="5804"/>
    </bk>
    <bk>
      <rc t="2" v="5805"/>
    </bk>
    <bk>
      <rc t="2" v="5806"/>
    </bk>
    <bk>
      <rc t="2" v="5807"/>
    </bk>
    <bk>
      <rc t="2" v="5808"/>
    </bk>
    <bk>
      <rc t="2" v="5809"/>
    </bk>
    <bk>
      <rc t="2" v="5810"/>
    </bk>
    <bk>
      <rc t="2" v="5811"/>
    </bk>
    <bk>
      <rc t="2" v="5812"/>
    </bk>
    <bk>
      <rc t="2" v="5813"/>
    </bk>
    <bk>
      <rc t="2" v="5814"/>
    </bk>
    <bk>
      <rc t="2" v="5815"/>
    </bk>
    <bk>
      <rc t="2" v="5816"/>
    </bk>
    <bk>
      <rc t="2" v="5817"/>
    </bk>
    <bk>
      <rc t="2" v="5818"/>
    </bk>
    <bk>
      <rc t="2" v="5819"/>
    </bk>
    <bk>
      <rc t="2" v="5820"/>
    </bk>
    <bk>
      <rc t="2" v="5821"/>
    </bk>
    <bk>
      <rc t="2" v="5822"/>
    </bk>
    <bk>
      <rc t="2" v="5823"/>
    </bk>
    <bk>
      <rc t="2" v="5824"/>
    </bk>
    <bk>
      <rc t="2" v="5825"/>
    </bk>
    <bk>
      <rc t="2" v="5826"/>
    </bk>
    <bk>
      <rc t="2" v="5827"/>
    </bk>
    <bk>
      <rc t="2" v="5828"/>
    </bk>
    <bk>
      <rc t="2" v="5829"/>
    </bk>
    <bk>
      <rc t="2" v="5830"/>
    </bk>
    <bk>
      <rc t="2" v="5831"/>
    </bk>
    <bk>
      <rc t="2" v="5832"/>
    </bk>
    <bk>
      <rc t="2" v="5833"/>
    </bk>
    <bk>
      <rc t="2" v="5834"/>
    </bk>
    <bk>
      <rc t="2" v="5835"/>
    </bk>
    <bk>
      <rc t="2" v="5836"/>
    </bk>
    <bk>
      <rc t="2" v="5837"/>
    </bk>
    <bk>
      <rc t="2" v="5838"/>
    </bk>
    <bk>
      <rc t="2" v="5839"/>
    </bk>
    <bk>
      <rc t="2" v="5840"/>
    </bk>
    <bk>
      <rc t="2" v="5841"/>
    </bk>
    <bk>
      <rc t="2" v="5842"/>
    </bk>
    <bk>
      <rc t="2" v="5843"/>
    </bk>
    <bk>
      <rc t="2" v="5844"/>
    </bk>
    <bk>
      <rc t="2" v="5845"/>
    </bk>
    <bk>
      <rc t="2" v="5846"/>
    </bk>
    <bk>
      <rc t="2" v="5847"/>
    </bk>
    <bk>
      <rc t="2" v="5848"/>
    </bk>
    <bk>
      <rc t="2" v="5849"/>
    </bk>
    <bk>
      <rc t="2" v="5850"/>
    </bk>
    <bk>
      <rc t="2" v="5851"/>
    </bk>
    <bk>
      <rc t="2" v="5852"/>
    </bk>
    <bk>
      <rc t="2" v="5853"/>
    </bk>
    <bk>
      <rc t="2" v="5854"/>
    </bk>
    <bk>
      <rc t="2" v="5855"/>
    </bk>
    <bk>
      <rc t="2" v="5856"/>
    </bk>
    <bk>
      <rc t="2" v="5857"/>
    </bk>
    <bk>
      <rc t="2" v="5858"/>
    </bk>
    <bk>
      <rc t="2" v="5859"/>
    </bk>
    <bk>
      <rc t="2" v="5860"/>
    </bk>
    <bk>
      <rc t="2" v="5861"/>
    </bk>
    <bk>
      <rc t="2" v="5862"/>
    </bk>
    <bk>
      <rc t="2" v="5863"/>
    </bk>
    <bk>
      <rc t="2" v="5864"/>
    </bk>
    <bk>
      <rc t="2" v="5865"/>
    </bk>
    <bk>
      <rc t="2" v="5866"/>
    </bk>
    <bk>
      <rc t="2" v="5867"/>
    </bk>
    <bk>
      <rc t="2" v="5868"/>
    </bk>
    <bk>
      <rc t="2" v="5869"/>
    </bk>
    <bk>
      <rc t="2" v="5870"/>
    </bk>
    <bk>
      <rc t="2" v="5871"/>
    </bk>
    <bk>
      <rc t="2" v="5872"/>
    </bk>
    <bk>
      <rc t="2" v="5873"/>
    </bk>
    <bk>
      <rc t="2" v="5874"/>
    </bk>
    <bk>
      <rc t="2" v="5875"/>
    </bk>
    <bk>
      <rc t="2" v="5876"/>
    </bk>
    <bk>
      <rc t="2" v="5877"/>
    </bk>
    <bk>
      <rc t="2" v="5878"/>
    </bk>
    <bk>
      <rc t="2" v="5879"/>
    </bk>
    <bk>
      <rc t="2" v="5880"/>
    </bk>
    <bk>
      <rc t="2" v="5881"/>
    </bk>
    <bk>
      <rc t="2" v="5882"/>
    </bk>
    <bk>
      <rc t="2" v="5883"/>
    </bk>
    <bk>
      <rc t="2" v="5884"/>
    </bk>
    <bk>
      <rc t="2" v="5885"/>
    </bk>
    <bk>
      <rc t="2" v="5886"/>
    </bk>
    <bk>
      <rc t="2" v="5887"/>
    </bk>
    <bk>
      <rc t="2" v="5888"/>
    </bk>
    <bk>
      <rc t="2" v="5889"/>
    </bk>
    <bk>
      <rc t="2" v="5890"/>
    </bk>
    <bk>
      <rc t="2" v="5891"/>
    </bk>
    <bk>
      <rc t="2" v="5892"/>
    </bk>
    <bk>
      <rc t="2" v="5893"/>
    </bk>
    <bk>
      <rc t="2" v="5894"/>
    </bk>
    <bk>
      <rc t="2" v="5895"/>
    </bk>
    <bk>
      <rc t="2" v="5896"/>
    </bk>
    <bk>
      <rc t="2" v="5897"/>
    </bk>
    <bk>
      <rc t="2" v="5898"/>
    </bk>
    <bk>
      <rc t="2" v="5899"/>
    </bk>
    <bk>
      <rc t="2" v="5900"/>
    </bk>
    <bk>
      <rc t="2" v="5901"/>
    </bk>
    <bk>
      <rc t="2" v="5902"/>
    </bk>
    <bk>
      <rc t="2" v="5903"/>
    </bk>
    <bk>
      <rc t="2" v="5904"/>
    </bk>
    <bk>
      <rc t="2" v="5905"/>
    </bk>
    <bk>
      <rc t="2" v="5906"/>
    </bk>
    <bk>
      <rc t="2" v="5907"/>
    </bk>
    <bk>
      <rc t="2" v="5908"/>
    </bk>
    <bk>
      <rc t="2" v="5909"/>
    </bk>
    <bk>
      <rc t="2" v="5910"/>
    </bk>
    <bk>
      <rc t="2" v="5911"/>
    </bk>
    <bk>
      <rc t="2" v="5912"/>
    </bk>
    <bk>
      <rc t="2" v="5913"/>
    </bk>
    <bk>
      <rc t="2" v="5914"/>
    </bk>
    <bk>
      <rc t="2" v="5915"/>
    </bk>
    <bk>
      <rc t="2" v="5916"/>
    </bk>
    <bk>
      <rc t="2" v="5917"/>
    </bk>
    <bk>
      <rc t="2" v="5918"/>
    </bk>
    <bk>
      <rc t="2" v="5919"/>
    </bk>
    <bk>
      <rc t="2" v="5920"/>
    </bk>
    <bk>
      <rc t="2" v="5921"/>
    </bk>
    <bk>
      <rc t="2" v="5922"/>
    </bk>
    <bk>
      <rc t="2" v="5923"/>
    </bk>
    <bk>
      <rc t="2" v="5924"/>
    </bk>
    <bk>
      <rc t="2" v="5925"/>
    </bk>
    <bk>
      <rc t="2" v="5926"/>
    </bk>
    <bk>
      <rc t="2" v="5927"/>
    </bk>
    <bk>
      <rc t="2" v="5928"/>
    </bk>
    <bk>
      <rc t="2" v="5929"/>
    </bk>
    <bk>
      <rc t="2" v="5930"/>
    </bk>
    <bk>
      <rc t="2" v="5931"/>
    </bk>
    <bk>
      <rc t="2" v="5932"/>
    </bk>
    <bk>
      <rc t="2" v="5933"/>
    </bk>
    <bk>
      <rc t="2" v="5934"/>
    </bk>
    <bk>
      <rc t="2" v="5935"/>
    </bk>
    <bk>
      <rc t="2" v="5936"/>
    </bk>
    <bk>
      <rc t="2" v="5937"/>
    </bk>
    <bk>
      <rc t="2" v="5938"/>
    </bk>
    <bk>
      <rc t="2" v="5939"/>
    </bk>
    <bk>
      <rc t="2" v="5940"/>
    </bk>
    <bk>
      <rc t="2" v="5941"/>
    </bk>
    <bk>
      <rc t="2" v="5942"/>
    </bk>
    <bk>
      <rc t="2" v="5943"/>
    </bk>
    <bk>
      <rc t="2" v="5944"/>
    </bk>
    <bk>
      <rc t="2" v="5945"/>
    </bk>
    <bk>
      <rc t="2" v="5946"/>
    </bk>
    <bk>
      <rc t="2" v="5947"/>
    </bk>
    <bk>
      <rc t="2" v="5948"/>
    </bk>
    <bk>
      <rc t="2" v="5949"/>
    </bk>
    <bk>
      <rc t="2" v="5950"/>
    </bk>
    <bk>
      <rc t="2" v="5951"/>
    </bk>
    <bk>
      <rc t="2" v="5952"/>
    </bk>
    <bk>
      <rc t="2" v="5953"/>
    </bk>
    <bk>
      <rc t="2" v="5954"/>
    </bk>
    <bk>
      <rc t="2" v="5955"/>
    </bk>
    <bk>
      <rc t="2" v="5956"/>
    </bk>
    <bk>
      <rc t="2" v="5957"/>
    </bk>
    <bk>
      <rc t="2" v="5958"/>
    </bk>
    <bk>
      <rc t="2" v="5959"/>
    </bk>
    <bk>
      <rc t="2" v="5960"/>
    </bk>
    <bk>
      <rc t="2" v="5961"/>
    </bk>
    <bk>
      <rc t="2" v="5962"/>
    </bk>
    <bk>
      <rc t="2" v="5963"/>
    </bk>
    <bk>
      <rc t="2" v="5964"/>
    </bk>
    <bk>
      <rc t="2" v="5965"/>
    </bk>
    <bk>
      <rc t="2" v="5966"/>
    </bk>
    <bk>
      <rc t="2" v="5967"/>
    </bk>
    <bk>
      <rc t="2" v="5968"/>
    </bk>
    <bk>
      <rc t="2" v="5969"/>
    </bk>
    <bk>
      <rc t="2" v="5970"/>
    </bk>
    <bk>
      <rc t="2" v="5971"/>
    </bk>
    <bk>
      <rc t="2" v="5972"/>
    </bk>
    <bk>
      <rc t="2" v="5973"/>
    </bk>
    <bk>
      <rc t="2" v="5974"/>
    </bk>
    <bk>
      <rc t="2" v="5975"/>
    </bk>
    <bk>
      <rc t="2" v="5976"/>
    </bk>
    <bk>
      <rc t="2" v="5977"/>
    </bk>
    <bk>
      <rc t="2" v="5978"/>
    </bk>
    <bk>
      <rc t="2" v="5979"/>
    </bk>
    <bk>
      <rc t="2" v="5980"/>
    </bk>
    <bk>
      <rc t="2" v="5981"/>
    </bk>
    <bk>
      <rc t="2" v="5982"/>
    </bk>
    <bk>
      <rc t="2" v="5983"/>
    </bk>
    <bk>
      <rc t="2" v="5984"/>
    </bk>
    <bk>
      <rc t="2" v="5985"/>
    </bk>
    <bk>
      <rc t="2" v="5986"/>
    </bk>
    <bk>
      <rc t="2" v="5987"/>
    </bk>
    <bk>
      <rc t="2" v="5988"/>
    </bk>
    <bk>
      <rc t="2" v="5989"/>
    </bk>
    <bk>
      <rc t="2" v="5990"/>
    </bk>
    <bk>
      <rc t="2" v="5991"/>
    </bk>
    <bk>
      <rc t="2" v="5992"/>
    </bk>
    <bk>
      <rc t="2" v="5993"/>
    </bk>
    <bk>
      <rc t="2" v="5994"/>
    </bk>
    <bk>
      <rc t="2" v="5995"/>
    </bk>
    <bk>
      <rc t="2" v="5996"/>
    </bk>
    <bk>
      <rc t="2" v="5997"/>
    </bk>
    <bk>
      <rc t="2" v="5998"/>
    </bk>
    <bk>
      <rc t="2" v="5999"/>
    </bk>
    <bk>
      <rc t="2" v="6000"/>
    </bk>
    <bk>
      <rc t="2" v="6001"/>
    </bk>
    <bk>
      <rc t="2" v="6002"/>
    </bk>
    <bk>
      <rc t="2" v="6003"/>
    </bk>
    <bk>
      <rc t="2" v="6004"/>
    </bk>
    <bk>
      <rc t="2" v="6005"/>
    </bk>
    <bk>
      <rc t="2" v="6006"/>
    </bk>
    <bk>
      <rc t="2" v="6007"/>
    </bk>
    <bk>
      <rc t="2" v="6008"/>
    </bk>
    <bk>
      <rc t="2" v="6009"/>
    </bk>
    <bk>
      <rc t="2" v="6010"/>
    </bk>
    <bk>
      <rc t="2" v="6011"/>
    </bk>
    <bk>
      <rc t="2" v="6012"/>
    </bk>
    <bk>
      <rc t="2" v="6013"/>
    </bk>
    <bk>
      <rc t="2" v="6014"/>
    </bk>
    <bk>
      <rc t="2" v="6015"/>
    </bk>
    <bk>
      <rc t="2" v="6016"/>
    </bk>
    <bk>
      <rc t="2" v="6017"/>
    </bk>
    <bk>
      <rc t="2" v="6018"/>
    </bk>
    <bk>
      <rc t="2" v="6019"/>
    </bk>
    <bk>
      <rc t="2" v="6020"/>
    </bk>
    <bk>
      <rc t="2" v="6021"/>
    </bk>
    <bk>
      <rc t="2" v="6022"/>
    </bk>
    <bk>
      <rc t="2" v="6023"/>
    </bk>
    <bk>
      <rc t="2" v="6024"/>
    </bk>
    <bk>
      <rc t="2" v="6025"/>
    </bk>
    <bk>
      <rc t="2" v="6026"/>
    </bk>
    <bk>
      <rc t="2" v="6027"/>
    </bk>
    <bk>
      <rc t="2" v="6028"/>
    </bk>
    <bk>
      <rc t="2" v="6029"/>
    </bk>
    <bk>
      <rc t="2" v="6030"/>
    </bk>
    <bk>
      <rc t="2" v="6031"/>
    </bk>
    <bk>
      <rc t="2" v="6032"/>
    </bk>
    <bk>
      <rc t="2" v="6033"/>
    </bk>
    <bk>
      <rc t="2" v="6034"/>
    </bk>
    <bk>
      <rc t="2" v="6035"/>
    </bk>
    <bk>
      <rc t="2" v="6036"/>
    </bk>
    <bk>
      <rc t="2" v="6037"/>
    </bk>
    <bk>
      <rc t="2" v="6038"/>
    </bk>
    <bk>
      <rc t="2" v="6039"/>
    </bk>
    <bk>
      <rc t="2" v="6040"/>
    </bk>
    <bk>
      <rc t="2" v="6041"/>
    </bk>
    <bk>
      <rc t="2" v="6042"/>
    </bk>
    <bk>
      <rc t="2" v="6043"/>
    </bk>
    <bk>
      <rc t="2" v="6044"/>
    </bk>
    <bk>
      <rc t="2" v="6045"/>
    </bk>
    <bk>
      <rc t="2" v="6046"/>
    </bk>
    <bk>
      <rc t="2" v="6047"/>
    </bk>
    <bk>
      <rc t="2" v="6048"/>
    </bk>
    <bk>
      <rc t="2" v="6049"/>
    </bk>
    <bk>
      <rc t="2" v="6050"/>
    </bk>
    <bk>
      <rc t="2" v="6051"/>
    </bk>
    <bk>
      <rc t="2" v="6052"/>
    </bk>
    <bk>
      <rc t="2" v="6053"/>
    </bk>
    <bk>
      <rc t="2" v="6054"/>
    </bk>
    <bk>
      <rc t="2" v="6055"/>
    </bk>
    <bk>
      <rc t="2" v="6056"/>
    </bk>
    <bk>
      <rc t="2" v="6057"/>
    </bk>
    <bk>
      <rc t="2" v="6058"/>
    </bk>
    <bk>
      <rc t="2" v="6059"/>
    </bk>
    <bk>
      <rc t="2" v="6060"/>
    </bk>
    <bk>
      <rc t="2" v="6061"/>
    </bk>
    <bk>
      <rc t="2" v="6062"/>
    </bk>
    <bk>
      <rc t="2" v="6063"/>
    </bk>
    <bk>
      <rc t="2" v="6064"/>
    </bk>
    <bk>
      <rc t="2" v="6065"/>
    </bk>
    <bk>
      <rc t="2" v="6066"/>
    </bk>
    <bk>
      <rc t="2" v="6067"/>
    </bk>
    <bk>
      <rc t="2" v="6068"/>
    </bk>
    <bk>
      <rc t="2" v="6069"/>
    </bk>
    <bk>
      <rc t="2" v="6070"/>
    </bk>
    <bk>
      <rc t="2" v="6071"/>
    </bk>
    <bk>
      <rc t="2" v="6072"/>
    </bk>
    <bk>
      <rc t="2" v="6073"/>
    </bk>
    <bk>
      <rc t="2" v="6074"/>
    </bk>
    <bk>
      <rc t="2" v="6075"/>
    </bk>
    <bk>
      <rc t="2" v="6076"/>
    </bk>
    <bk>
      <rc t="2" v="6077"/>
    </bk>
    <bk>
      <rc t="2" v="6078"/>
    </bk>
    <bk>
      <rc t="2" v="6079"/>
    </bk>
    <bk>
      <rc t="2" v="6080"/>
    </bk>
    <bk>
      <rc t="2" v="6081"/>
    </bk>
    <bk>
      <rc t="2" v="6082"/>
    </bk>
    <bk>
      <rc t="2" v="6083"/>
    </bk>
    <bk>
      <rc t="2" v="6084"/>
    </bk>
    <bk>
      <rc t="2" v="6085"/>
    </bk>
    <bk>
      <rc t="2" v="6086"/>
    </bk>
    <bk>
      <rc t="2" v="6087"/>
    </bk>
    <bk>
      <rc t="2" v="6088"/>
    </bk>
    <bk>
      <rc t="2" v="6089"/>
    </bk>
    <bk>
      <rc t="2" v="6090"/>
    </bk>
    <bk>
      <rc t="2" v="6091"/>
    </bk>
    <bk>
      <rc t="2" v="6092"/>
    </bk>
    <bk>
      <rc t="2" v="6093"/>
    </bk>
    <bk>
      <rc t="2" v="6094"/>
    </bk>
    <bk>
      <rc t="2" v="6095"/>
    </bk>
    <bk>
      <rc t="2" v="6096"/>
    </bk>
    <bk>
      <rc t="2" v="6097"/>
    </bk>
    <bk>
      <rc t="2" v="6098"/>
    </bk>
    <bk>
      <rc t="2" v="6099"/>
    </bk>
    <bk>
      <rc t="2" v="6100"/>
    </bk>
    <bk>
      <rc t="2" v="6101"/>
    </bk>
    <bk>
      <rc t="2" v="6102"/>
    </bk>
    <bk>
      <rc t="2" v="6103"/>
    </bk>
    <bk>
      <rc t="2" v="6104"/>
    </bk>
    <bk>
      <rc t="2" v="6105"/>
    </bk>
    <bk>
      <rc t="2" v="6106"/>
    </bk>
    <bk>
      <rc t="2" v="6107"/>
    </bk>
    <bk>
      <rc t="2" v="6108"/>
    </bk>
    <bk>
      <rc t="2" v="6109"/>
    </bk>
    <bk>
      <rc t="2" v="6110"/>
    </bk>
    <bk>
      <rc t="2" v="6111"/>
    </bk>
    <bk>
      <rc t="2" v="6112"/>
    </bk>
    <bk>
      <rc t="2" v="6113"/>
    </bk>
    <bk>
      <rc t="2" v="6114"/>
    </bk>
    <bk>
      <rc t="2" v="6115"/>
    </bk>
    <bk>
      <rc t="2" v="6116"/>
    </bk>
    <bk>
      <rc t="2" v="6117"/>
    </bk>
    <bk>
      <rc t="2" v="6118"/>
    </bk>
    <bk>
      <rc t="2" v="6119"/>
    </bk>
    <bk>
      <rc t="2" v="6120"/>
    </bk>
    <bk>
      <rc t="2" v="6121"/>
    </bk>
    <bk>
      <rc t="2" v="6122"/>
    </bk>
    <bk>
      <rc t="2" v="6123"/>
    </bk>
    <bk>
      <rc t="2" v="6124"/>
    </bk>
    <bk>
      <rc t="2" v="6125"/>
    </bk>
    <bk>
      <rc t="2" v="6126"/>
    </bk>
    <bk>
      <rc t="2" v="6127"/>
    </bk>
    <bk>
      <rc t="2" v="6128"/>
    </bk>
    <bk>
      <rc t="2" v="6129"/>
    </bk>
    <bk>
      <rc t="2" v="6130"/>
    </bk>
    <bk>
      <rc t="2" v="6131"/>
    </bk>
    <bk>
      <rc t="2" v="6132"/>
    </bk>
    <bk>
      <rc t="2" v="6133"/>
    </bk>
    <bk>
      <rc t="2" v="6134"/>
    </bk>
    <bk>
      <rc t="2" v="6135"/>
    </bk>
    <bk>
      <rc t="2" v="6136"/>
    </bk>
    <bk>
      <rc t="2" v="6137"/>
    </bk>
    <bk>
      <rc t="2" v="6138"/>
    </bk>
    <bk>
      <rc t="2" v="6139"/>
    </bk>
    <bk>
      <rc t="2" v="6140"/>
    </bk>
    <bk>
      <rc t="2" v="6141"/>
    </bk>
    <bk>
      <rc t="2" v="6142"/>
    </bk>
    <bk>
      <rc t="2" v="6143"/>
    </bk>
    <bk>
      <rc t="2" v="6144"/>
    </bk>
    <bk>
      <rc t="2" v="6145"/>
    </bk>
    <bk>
      <rc t="2" v="6146"/>
    </bk>
    <bk>
      <rc t="2" v="6147"/>
    </bk>
    <bk>
      <rc t="2" v="6148"/>
    </bk>
    <bk>
      <rc t="2" v="6149"/>
    </bk>
    <bk>
      <rc t="2" v="6150"/>
    </bk>
    <bk>
      <rc t="2" v="6151"/>
    </bk>
    <bk>
      <rc t="2" v="6152"/>
    </bk>
    <bk>
      <rc t="2" v="6153"/>
    </bk>
    <bk>
      <rc t="2" v="6154"/>
    </bk>
    <bk>
      <rc t="2" v="6155"/>
    </bk>
    <bk>
      <rc t="2" v="6156"/>
    </bk>
    <bk>
      <rc t="2" v="6157"/>
    </bk>
    <bk>
      <rc t="2" v="6158"/>
    </bk>
    <bk>
      <rc t="2" v="6159"/>
    </bk>
    <bk>
      <rc t="2" v="6160"/>
    </bk>
    <bk>
      <rc t="2" v="6161"/>
    </bk>
    <bk>
      <rc t="2" v="6162"/>
    </bk>
    <bk>
      <rc t="2" v="6163"/>
    </bk>
    <bk>
      <rc t="2" v="6164"/>
    </bk>
    <bk>
      <rc t="2" v="6165"/>
    </bk>
    <bk>
      <rc t="2" v="6166"/>
    </bk>
    <bk>
      <rc t="2" v="6167"/>
    </bk>
    <bk>
      <rc t="2" v="6168"/>
    </bk>
    <bk>
      <rc t="2" v="6169"/>
    </bk>
    <bk>
      <rc t="2" v="6170"/>
    </bk>
    <bk>
      <rc t="2" v="6171"/>
    </bk>
    <bk>
      <rc t="2" v="6172"/>
    </bk>
    <bk>
      <rc t="2" v="6173"/>
    </bk>
    <bk>
      <rc t="2" v="6174"/>
    </bk>
    <bk>
      <rc t="2" v="6175"/>
    </bk>
    <bk>
      <rc t="2" v="6176"/>
    </bk>
    <bk>
      <rc t="2" v="6177"/>
    </bk>
    <bk>
      <rc t="2" v="6178"/>
    </bk>
    <bk>
      <rc t="2" v="6179"/>
    </bk>
    <bk>
      <rc t="2" v="6180"/>
    </bk>
    <bk>
      <rc t="2" v="6181"/>
    </bk>
    <bk>
      <rc t="2" v="6182"/>
    </bk>
    <bk>
      <rc t="2" v="6183"/>
    </bk>
    <bk>
      <rc t="2" v="6184"/>
    </bk>
    <bk>
      <rc t="2" v="6185"/>
    </bk>
    <bk>
      <rc t="2" v="6186"/>
    </bk>
    <bk>
      <rc t="2" v="6187"/>
    </bk>
    <bk>
      <rc t="2" v="6188"/>
    </bk>
    <bk>
      <rc t="2" v="6189"/>
    </bk>
    <bk>
      <rc t="2" v="6190"/>
    </bk>
    <bk>
      <rc t="2" v="6191"/>
    </bk>
    <bk>
      <rc t="2" v="6192"/>
    </bk>
    <bk>
      <rc t="2" v="6193"/>
    </bk>
    <bk>
      <rc t="2" v="6194"/>
    </bk>
    <bk>
      <rc t="2" v="6195"/>
    </bk>
    <bk>
      <rc t="2" v="6196"/>
    </bk>
    <bk>
      <rc t="2" v="6197"/>
    </bk>
    <bk>
      <rc t="2" v="6198"/>
    </bk>
    <bk>
      <rc t="2" v="6199"/>
    </bk>
    <bk>
      <rc t="2" v="6200"/>
    </bk>
    <bk>
      <rc t="2" v="6201"/>
    </bk>
    <bk>
      <rc t="2" v="6202"/>
    </bk>
    <bk>
      <rc t="2" v="6203"/>
    </bk>
    <bk>
      <rc t="2" v="6204"/>
    </bk>
    <bk>
      <rc t="2" v="6205"/>
    </bk>
    <bk>
      <rc t="2" v="6206"/>
    </bk>
    <bk>
      <rc t="2" v="6207"/>
    </bk>
    <bk>
      <rc t="2" v="6208"/>
    </bk>
    <bk>
      <rc t="2" v="6209"/>
    </bk>
    <bk>
      <rc t="2" v="6210"/>
    </bk>
    <bk>
      <rc t="2" v="6211"/>
    </bk>
    <bk>
      <rc t="2" v="6212"/>
    </bk>
    <bk>
      <rc t="2" v="6213"/>
    </bk>
    <bk>
      <rc t="2" v="6214"/>
    </bk>
    <bk>
      <rc t="2" v="6215"/>
    </bk>
    <bk>
      <rc t="2" v="6216"/>
    </bk>
    <bk>
      <rc t="2" v="6217"/>
    </bk>
    <bk>
      <rc t="2" v="6218"/>
    </bk>
    <bk>
      <rc t="2" v="6219"/>
    </bk>
    <bk>
      <rc t="2" v="6220"/>
    </bk>
    <bk>
      <rc t="2" v="6221"/>
    </bk>
    <bk>
      <rc t="2" v="6222"/>
    </bk>
    <bk>
      <rc t="2" v="6223"/>
    </bk>
    <bk>
      <rc t="2" v="6224"/>
    </bk>
    <bk>
      <rc t="2" v="6225"/>
    </bk>
    <bk>
      <rc t="2" v="6226"/>
    </bk>
    <bk>
      <rc t="2" v="6227"/>
    </bk>
    <bk>
      <rc t="2" v="6228"/>
    </bk>
    <bk>
      <rc t="2" v="6229"/>
    </bk>
    <bk>
      <rc t="2" v="6230"/>
    </bk>
    <bk>
      <rc t="2" v="6231"/>
    </bk>
    <bk>
      <rc t="2" v="6232"/>
    </bk>
    <bk>
      <rc t="2" v="6233"/>
    </bk>
    <bk>
      <rc t="2" v="6234"/>
    </bk>
    <bk>
      <rc t="2" v="6235"/>
    </bk>
    <bk>
      <rc t="2" v="6236"/>
    </bk>
    <bk>
      <rc t="2" v="6237"/>
    </bk>
    <bk>
      <rc t="2" v="6238"/>
    </bk>
    <bk>
      <rc t="2" v="6239"/>
    </bk>
    <bk>
      <rc t="2" v="6240"/>
    </bk>
    <bk>
      <rc t="2" v="6241"/>
    </bk>
    <bk>
      <rc t="2" v="6242"/>
    </bk>
    <bk>
      <rc t="2" v="6243"/>
    </bk>
    <bk>
      <rc t="2" v="6244"/>
    </bk>
    <bk>
      <rc t="2" v="6245"/>
    </bk>
    <bk>
      <rc t="2" v="6246"/>
    </bk>
    <bk>
      <rc t="2" v="6247"/>
    </bk>
    <bk>
      <rc t="2" v="6248"/>
    </bk>
    <bk>
      <rc t="2" v="6249"/>
    </bk>
    <bk>
      <rc t="2" v="6250"/>
    </bk>
    <bk>
      <rc t="2" v="6251"/>
    </bk>
    <bk>
      <rc t="2" v="6252"/>
    </bk>
    <bk>
      <rc t="2" v="6253"/>
    </bk>
    <bk>
      <rc t="2" v="6254"/>
    </bk>
    <bk>
      <rc t="2" v="6255"/>
    </bk>
    <bk>
      <rc t="2" v="6256"/>
    </bk>
    <bk>
      <rc t="2" v="6257"/>
    </bk>
    <bk>
      <rc t="2" v="6258"/>
    </bk>
    <bk>
      <rc t="2" v="6259"/>
    </bk>
    <bk>
      <rc t="2" v="6260"/>
    </bk>
    <bk>
      <rc t="2" v="6261"/>
    </bk>
    <bk>
      <rc t="2" v="6262"/>
    </bk>
    <bk>
      <rc t="2" v="6263"/>
    </bk>
    <bk>
      <rc t="2" v="6264"/>
    </bk>
    <bk>
      <rc t="2" v="6265"/>
    </bk>
    <bk>
      <rc t="2" v="6266"/>
    </bk>
    <bk>
      <rc t="2" v="6267"/>
    </bk>
    <bk>
      <rc t="2" v="6268"/>
    </bk>
    <bk>
      <rc t="2" v="6269"/>
    </bk>
    <bk>
      <rc t="2" v="6270"/>
    </bk>
    <bk>
      <rc t="2" v="6271"/>
    </bk>
    <bk>
      <rc t="2" v="6272"/>
    </bk>
    <bk>
      <rc t="2" v="6273"/>
    </bk>
    <bk>
      <rc t="2" v="6274"/>
    </bk>
    <bk>
      <rc t="2" v="6275"/>
    </bk>
    <bk>
      <rc t="2" v="6276"/>
    </bk>
    <bk>
      <rc t="2" v="6277"/>
    </bk>
    <bk>
      <rc t="2" v="6278"/>
    </bk>
    <bk>
      <rc t="2" v="6279"/>
    </bk>
    <bk>
      <rc t="2" v="6280"/>
    </bk>
    <bk>
      <rc t="2" v="6281"/>
    </bk>
    <bk>
      <rc t="2" v="6282"/>
    </bk>
    <bk>
      <rc t="2" v="6283"/>
    </bk>
    <bk>
      <rc t="2" v="6284"/>
    </bk>
    <bk>
      <rc t="2" v="6285"/>
    </bk>
    <bk>
      <rc t="2" v="6286"/>
    </bk>
    <bk>
      <rc t="2" v="6287"/>
    </bk>
    <bk>
      <rc t="2" v="6288"/>
    </bk>
    <bk>
      <rc t="2" v="6289"/>
    </bk>
    <bk>
      <rc t="2" v="6290"/>
    </bk>
    <bk>
      <rc t="2" v="6291"/>
    </bk>
    <bk>
      <rc t="2" v="6292"/>
    </bk>
    <bk>
      <rc t="2" v="6293"/>
    </bk>
    <bk>
      <rc t="2" v="6294"/>
    </bk>
    <bk>
      <rc t="2" v="6295"/>
    </bk>
    <bk>
      <rc t="2" v="6296"/>
    </bk>
    <bk>
      <rc t="2" v="6297"/>
    </bk>
    <bk>
      <rc t="2" v="6298"/>
    </bk>
    <bk>
      <rc t="2" v="6299"/>
    </bk>
    <bk>
      <rc t="2" v="6300"/>
    </bk>
    <bk>
      <rc t="2" v="6301"/>
    </bk>
    <bk>
      <rc t="2" v="6302"/>
    </bk>
    <bk>
      <rc t="2" v="6303"/>
    </bk>
    <bk>
      <rc t="2" v="6304"/>
    </bk>
    <bk>
      <rc t="2" v="6305"/>
    </bk>
    <bk>
      <rc t="2" v="6306"/>
    </bk>
    <bk>
      <rc t="2" v="6307"/>
    </bk>
    <bk>
      <rc t="2" v="6308"/>
    </bk>
    <bk>
      <rc t="2" v="6309"/>
    </bk>
    <bk>
      <rc t="2" v="6310"/>
    </bk>
    <bk>
      <rc t="2" v="6311"/>
    </bk>
    <bk>
      <rc t="2" v="6312"/>
    </bk>
    <bk>
      <rc t="2" v="6313"/>
    </bk>
    <bk>
      <rc t="2" v="6314"/>
    </bk>
    <bk>
      <rc t="2" v="6315"/>
    </bk>
    <bk>
      <rc t="2" v="6316"/>
    </bk>
    <bk>
      <rc t="2" v="6317"/>
    </bk>
    <bk>
      <rc t="2" v="6318"/>
    </bk>
    <bk>
      <rc t="2" v="6319"/>
    </bk>
    <bk>
      <rc t="2" v="6320"/>
    </bk>
    <bk>
      <rc t="2" v="6321"/>
    </bk>
    <bk>
      <rc t="2" v="6322"/>
    </bk>
    <bk>
      <rc t="2" v="6323"/>
    </bk>
    <bk>
      <rc t="2" v="6324"/>
    </bk>
    <bk>
      <rc t="2" v="6325"/>
    </bk>
    <bk>
      <rc t="2" v="6326"/>
    </bk>
    <bk>
      <rc t="2" v="6327"/>
    </bk>
    <bk>
      <rc t="2" v="6328"/>
    </bk>
    <bk>
      <rc t="2" v="6329"/>
    </bk>
    <bk>
      <rc t="2" v="6330"/>
    </bk>
    <bk>
      <rc t="2" v="6331"/>
    </bk>
    <bk>
      <rc t="2" v="6332"/>
    </bk>
    <bk>
      <rc t="2" v="6333"/>
    </bk>
    <bk>
      <rc t="2" v="6334"/>
    </bk>
    <bk>
      <rc t="2" v="6335"/>
    </bk>
    <bk>
      <rc t="2" v="6336"/>
    </bk>
    <bk>
      <rc t="2" v="6337"/>
    </bk>
    <bk>
      <rc t="2" v="6338"/>
    </bk>
    <bk>
      <rc t="2" v="6339"/>
    </bk>
    <bk>
      <rc t="2" v="6340"/>
    </bk>
    <bk>
      <rc t="2" v="6341"/>
    </bk>
    <bk>
      <rc t="2" v="6342"/>
    </bk>
    <bk>
      <rc t="2" v="6343"/>
    </bk>
    <bk>
      <rc t="2" v="6344"/>
    </bk>
    <bk>
      <rc t="2" v="6345"/>
    </bk>
    <bk>
      <rc t="2" v="6346"/>
    </bk>
    <bk>
      <rc t="2" v="6347"/>
    </bk>
    <bk>
      <rc t="2" v="6348"/>
    </bk>
    <bk>
      <rc t="2" v="6349"/>
    </bk>
    <bk>
      <rc t="2" v="6350"/>
    </bk>
    <bk>
      <rc t="2" v="6351"/>
    </bk>
    <bk>
      <rc t="2" v="6352"/>
    </bk>
    <bk>
      <rc t="2" v="6353"/>
    </bk>
    <bk>
      <rc t="2" v="6354"/>
    </bk>
    <bk>
      <rc t="2" v="6355"/>
    </bk>
    <bk>
      <rc t="2" v="6356"/>
    </bk>
    <bk>
      <rc t="2" v="6357"/>
    </bk>
    <bk>
      <rc t="2" v="6358"/>
    </bk>
    <bk>
      <rc t="2" v="6359"/>
    </bk>
    <bk>
      <rc t="2" v="6360"/>
    </bk>
    <bk>
      <rc t="2" v="6361"/>
    </bk>
    <bk>
      <rc t="2" v="6362"/>
    </bk>
    <bk>
      <rc t="2" v="6363"/>
    </bk>
    <bk>
      <rc t="2" v="6364"/>
    </bk>
    <bk>
      <rc t="2" v="6365"/>
    </bk>
    <bk>
      <rc t="2" v="6366"/>
    </bk>
    <bk>
      <rc t="2" v="6367"/>
    </bk>
    <bk>
      <rc t="2" v="6368"/>
    </bk>
    <bk>
      <rc t="2" v="6369"/>
    </bk>
    <bk>
      <rc t="2" v="6370"/>
    </bk>
    <bk>
      <rc t="2" v="6371"/>
    </bk>
    <bk>
      <rc t="2" v="6372"/>
    </bk>
    <bk>
      <rc t="2" v="6373"/>
    </bk>
    <bk>
      <rc t="2" v="6374"/>
    </bk>
    <bk>
      <rc t="2" v="6375"/>
    </bk>
    <bk>
      <rc t="2" v="6376"/>
    </bk>
    <bk>
      <rc t="2" v="6377"/>
    </bk>
    <bk>
      <rc t="2" v="6378"/>
    </bk>
    <bk>
      <rc t="2" v="6379"/>
    </bk>
    <bk>
      <rc t="2" v="6380"/>
    </bk>
    <bk>
      <rc t="2" v="6381"/>
    </bk>
    <bk>
      <rc t="2" v="6382"/>
    </bk>
    <bk>
      <rc t="2" v="6383"/>
    </bk>
    <bk>
      <rc t="2" v="6384"/>
    </bk>
    <bk>
      <rc t="2" v="6385"/>
    </bk>
    <bk>
      <rc t="2" v="6386"/>
    </bk>
    <bk>
      <rc t="2" v="6387"/>
    </bk>
    <bk>
      <rc t="2" v="6388"/>
    </bk>
    <bk>
      <rc t="2" v="6389"/>
    </bk>
    <bk>
      <rc t="2" v="6390"/>
    </bk>
    <bk>
      <rc t="2" v="6391"/>
    </bk>
    <bk>
      <rc t="2" v="6392"/>
    </bk>
    <bk>
      <rc t="2" v="6393"/>
    </bk>
    <bk>
      <rc t="2" v="6394"/>
    </bk>
    <bk>
      <rc t="2" v="6395"/>
    </bk>
    <bk>
      <rc t="2" v="6396"/>
    </bk>
    <bk>
      <rc t="2" v="6397"/>
    </bk>
    <bk>
      <rc t="2" v="6398"/>
    </bk>
    <bk>
      <rc t="2" v="6399"/>
    </bk>
    <bk>
      <rc t="2" v="6400"/>
    </bk>
    <bk>
      <rc t="2" v="6401"/>
    </bk>
    <bk>
      <rc t="2" v="6402"/>
    </bk>
    <bk>
      <rc t="2" v="6403"/>
    </bk>
    <bk>
      <rc t="2" v="6404"/>
    </bk>
    <bk>
      <rc t="2" v="6405"/>
    </bk>
    <bk>
      <rc t="2" v="6406"/>
    </bk>
    <bk>
      <rc t="2" v="6407"/>
    </bk>
    <bk>
      <rc t="2" v="6408"/>
    </bk>
    <bk>
      <rc t="2" v="6409"/>
    </bk>
    <bk>
      <rc t="2" v="6410"/>
    </bk>
    <bk>
      <rc t="2" v="6411"/>
    </bk>
    <bk>
      <rc t="2" v="6412"/>
    </bk>
    <bk>
      <rc t="2" v="6413"/>
    </bk>
    <bk>
      <rc t="2" v="6414"/>
    </bk>
    <bk>
      <rc t="2" v="6415"/>
    </bk>
    <bk>
      <rc t="2" v="6416"/>
    </bk>
    <bk>
      <rc t="2" v="6417"/>
    </bk>
    <bk>
      <rc t="2" v="6418"/>
    </bk>
    <bk>
      <rc t="2" v="6419"/>
    </bk>
    <bk>
      <rc t="2" v="6420"/>
    </bk>
    <bk>
      <rc t="2" v="6421"/>
    </bk>
    <bk>
      <rc t="2" v="6422"/>
    </bk>
    <bk>
      <rc t="2" v="6423"/>
    </bk>
    <bk>
      <rc t="2" v="6424"/>
    </bk>
    <bk>
      <rc t="2" v="6425"/>
    </bk>
    <bk>
      <rc t="2" v="6426"/>
    </bk>
    <bk>
      <rc t="2" v="6427"/>
    </bk>
    <bk>
      <rc t="2" v="6428"/>
    </bk>
    <bk>
      <rc t="2" v="6429"/>
    </bk>
    <bk>
      <rc t="2" v="6430"/>
    </bk>
    <bk>
      <rc t="2" v="6431"/>
    </bk>
    <bk>
      <rc t="2" v="6432"/>
    </bk>
    <bk>
      <rc t="2" v="6433"/>
    </bk>
    <bk>
      <rc t="2" v="6434"/>
    </bk>
    <bk>
      <rc t="2" v="6435"/>
    </bk>
    <bk>
      <rc t="2" v="6436"/>
    </bk>
    <bk>
      <rc t="2" v="6437"/>
    </bk>
    <bk>
      <rc t="2" v="6438"/>
    </bk>
    <bk>
      <rc t="2" v="6439"/>
    </bk>
    <bk>
      <rc t="2" v="6440"/>
    </bk>
    <bk>
      <rc t="2" v="6441"/>
    </bk>
    <bk>
      <rc t="2" v="6442"/>
    </bk>
    <bk>
      <rc t="2" v="6443"/>
    </bk>
    <bk>
      <rc t="2" v="6444"/>
    </bk>
    <bk>
      <rc t="2" v="6445"/>
    </bk>
    <bk>
      <rc t="2" v="6446"/>
    </bk>
    <bk>
      <rc t="2" v="6447"/>
    </bk>
    <bk>
      <rc t="2" v="6448"/>
    </bk>
    <bk>
      <rc t="2" v="6449"/>
    </bk>
    <bk>
      <rc t="2" v="6450"/>
    </bk>
    <bk>
      <rc t="2" v="6451"/>
    </bk>
    <bk>
      <rc t="2" v="6452"/>
    </bk>
    <bk>
      <rc t="2" v="6453"/>
    </bk>
    <bk>
      <rc t="2" v="6454"/>
    </bk>
    <bk>
      <rc t="2" v="6455"/>
    </bk>
    <bk>
      <rc t="2" v="6456"/>
    </bk>
    <bk>
      <rc t="2" v="6457"/>
    </bk>
    <bk>
      <rc t="2" v="6458"/>
    </bk>
    <bk>
      <rc t="2" v="6459"/>
    </bk>
    <bk>
      <rc t="2" v="6460"/>
    </bk>
    <bk>
      <rc t="2" v="6461"/>
    </bk>
    <bk>
      <rc t="2" v="6462"/>
    </bk>
    <bk>
      <rc t="2" v="6463"/>
    </bk>
    <bk>
      <rc t="2" v="6464"/>
    </bk>
    <bk>
      <rc t="2" v="6465"/>
    </bk>
    <bk>
      <rc t="2" v="6466"/>
    </bk>
    <bk>
      <rc t="2" v="6467"/>
    </bk>
    <bk>
      <rc t="2" v="6468"/>
    </bk>
    <bk>
      <rc t="2" v="6469"/>
    </bk>
    <bk>
      <rc t="2" v="6470"/>
    </bk>
    <bk>
      <rc t="2" v="6471"/>
    </bk>
    <bk>
      <rc t="2" v="6472"/>
    </bk>
    <bk>
      <rc t="2" v="6473"/>
    </bk>
    <bk>
      <rc t="2" v="6474"/>
    </bk>
    <bk>
      <rc t="2" v="6475"/>
    </bk>
    <bk>
      <rc t="2" v="6476"/>
    </bk>
    <bk>
      <rc t="2" v="6477"/>
    </bk>
    <bk>
      <rc t="2" v="6478"/>
    </bk>
    <bk>
      <rc t="2" v="6479"/>
    </bk>
    <bk>
      <rc t="2" v="6480"/>
    </bk>
    <bk>
      <rc t="2" v="6481"/>
    </bk>
    <bk>
      <rc t="2" v="6482"/>
    </bk>
    <bk>
      <rc t="2" v="6483"/>
    </bk>
    <bk>
      <rc t="2" v="6484"/>
    </bk>
    <bk>
      <rc t="2" v="6485"/>
    </bk>
    <bk>
      <rc t="2" v="6486"/>
    </bk>
    <bk>
      <rc t="2" v="6487"/>
    </bk>
    <bk>
      <rc t="2" v="6488"/>
    </bk>
    <bk>
      <rc t="2" v="6489"/>
    </bk>
    <bk>
      <rc t="2" v="6490"/>
    </bk>
    <bk>
      <rc t="2" v="6491"/>
    </bk>
    <bk>
      <rc t="2" v="6492"/>
    </bk>
    <bk>
      <rc t="2" v="6493"/>
    </bk>
    <bk>
      <rc t="2" v="6494"/>
    </bk>
    <bk>
      <rc t="2" v="6495"/>
    </bk>
    <bk>
      <rc t="2" v="6496"/>
    </bk>
    <bk>
      <rc t="2" v="6497"/>
    </bk>
    <bk>
      <rc t="2" v="6498"/>
    </bk>
    <bk>
      <rc t="2" v="6499"/>
    </bk>
    <bk>
      <rc t="2" v="6500"/>
    </bk>
    <bk>
      <rc t="2" v="6501"/>
    </bk>
    <bk>
      <rc t="2" v="6502"/>
    </bk>
    <bk>
      <rc t="2" v="6503"/>
    </bk>
    <bk>
      <rc t="2" v="6504"/>
    </bk>
    <bk>
      <rc t="2" v="6505"/>
    </bk>
    <bk>
      <rc t="2" v="6506"/>
    </bk>
    <bk>
      <rc t="2" v="6507"/>
    </bk>
    <bk>
      <rc t="2" v="6508"/>
    </bk>
    <bk>
      <rc t="2" v="6509"/>
    </bk>
    <bk>
      <rc t="2" v="6510"/>
    </bk>
    <bk>
      <rc t="2" v="6511"/>
    </bk>
    <bk>
      <rc t="2" v="6512"/>
    </bk>
    <bk>
      <rc t="2" v="6513"/>
    </bk>
    <bk>
      <rc t="2" v="6514"/>
    </bk>
    <bk>
      <rc t="2" v="6515"/>
    </bk>
    <bk>
      <rc t="2" v="6516"/>
    </bk>
    <bk>
      <rc t="2" v="6517"/>
    </bk>
    <bk>
      <rc t="2" v="6518"/>
    </bk>
    <bk>
      <rc t="2" v="6519"/>
    </bk>
    <bk>
      <rc t="2" v="6520"/>
    </bk>
    <bk>
      <rc t="2" v="6521"/>
    </bk>
    <bk>
      <rc t="2" v="6522"/>
    </bk>
    <bk>
      <rc t="2" v="6523"/>
    </bk>
    <bk>
      <rc t="2" v="6524"/>
    </bk>
    <bk>
      <rc t="2" v="6525"/>
    </bk>
    <bk>
      <rc t="2" v="6526"/>
    </bk>
    <bk>
      <rc t="2" v="6527"/>
    </bk>
    <bk>
      <rc t="2" v="6528"/>
    </bk>
    <bk>
      <rc t="2" v="6529"/>
    </bk>
    <bk>
      <rc t="2" v="6530"/>
    </bk>
    <bk>
      <rc t="2" v="6531"/>
    </bk>
    <bk>
      <rc t="2" v="6532"/>
    </bk>
    <bk>
      <rc t="2" v="6533"/>
    </bk>
    <bk>
      <rc t="2" v="6534"/>
    </bk>
    <bk>
      <rc t="2" v="6535"/>
    </bk>
    <bk>
      <rc t="2" v="6536"/>
    </bk>
    <bk>
      <rc t="2" v="6537"/>
    </bk>
    <bk>
      <rc t="2" v="6538"/>
    </bk>
    <bk>
      <rc t="2" v="6539"/>
    </bk>
    <bk>
      <rc t="2" v="6540"/>
    </bk>
    <bk>
      <rc t="2" v="6541"/>
    </bk>
    <bk>
      <rc t="2" v="6542"/>
    </bk>
    <bk>
      <rc t="2" v="6543"/>
    </bk>
    <bk>
      <rc t="2" v="6544"/>
    </bk>
    <bk>
      <rc t="2" v="6545"/>
    </bk>
    <bk>
      <rc t="2" v="6546"/>
    </bk>
    <bk>
      <rc t="2" v="6547"/>
    </bk>
    <bk>
      <rc t="2" v="6548"/>
    </bk>
    <bk>
      <rc t="2" v="6549"/>
    </bk>
    <bk>
      <rc t="2" v="6550"/>
    </bk>
    <bk>
      <rc t="2" v="6551"/>
    </bk>
    <bk>
      <rc t="2" v="6552"/>
    </bk>
    <bk>
      <rc t="2" v="6553"/>
    </bk>
    <bk>
      <rc t="2" v="6554"/>
    </bk>
    <bk>
      <rc t="2" v="6555"/>
    </bk>
    <bk>
      <rc t="2" v="6556"/>
    </bk>
    <bk>
      <rc t="2" v="6557"/>
    </bk>
    <bk>
      <rc t="2" v="6558"/>
    </bk>
    <bk>
      <rc t="2" v="6559"/>
    </bk>
    <bk>
      <rc t="2" v="6560"/>
    </bk>
    <bk>
      <rc t="2" v="6561"/>
    </bk>
    <bk>
      <rc t="2" v="6562"/>
    </bk>
    <bk>
      <rc t="2" v="6563"/>
    </bk>
    <bk>
      <rc t="2" v="6564"/>
    </bk>
    <bk>
      <rc t="2" v="6565"/>
    </bk>
    <bk>
      <rc t="2" v="6566"/>
    </bk>
    <bk>
      <rc t="2" v="6567"/>
    </bk>
    <bk>
      <rc t="2" v="6568"/>
    </bk>
    <bk>
      <rc t="2" v="6569"/>
    </bk>
    <bk>
      <rc t="2" v="6570"/>
    </bk>
    <bk>
      <rc t="2" v="6571"/>
    </bk>
    <bk>
      <rc t="2" v="6572"/>
    </bk>
    <bk>
      <rc t="2" v="6573"/>
    </bk>
    <bk>
      <rc t="2" v="6574"/>
    </bk>
    <bk>
      <rc t="2" v="6575"/>
    </bk>
    <bk>
      <rc t="2" v="6576"/>
    </bk>
    <bk>
      <rc t="2" v="6577"/>
    </bk>
    <bk>
      <rc t="2" v="6578"/>
    </bk>
    <bk>
      <rc t="2" v="6579"/>
    </bk>
    <bk>
      <rc t="2" v="6580"/>
    </bk>
    <bk>
      <rc t="2" v="6581"/>
    </bk>
    <bk>
      <rc t="2" v="6582"/>
    </bk>
    <bk>
      <rc t="2" v="6583"/>
    </bk>
    <bk>
      <rc t="2" v="6584"/>
    </bk>
    <bk>
      <rc t="2" v="6585"/>
    </bk>
    <bk>
      <rc t="2" v="6586"/>
    </bk>
    <bk>
      <rc t="2" v="6587"/>
    </bk>
    <bk>
      <rc t="2" v="6588"/>
    </bk>
    <bk>
      <rc t="2" v="6589"/>
    </bk>
    <bk>
      <rc t="2" v="6590"/>
    </bk>
    <bk>
      <rc t="2" v="6591"/>
    </bk>
    <bk>
      <rc t="2" v="6592"/>
    </bk>
    <bk>
      <rc t="2" v="6593"/>
    </bk>
    <bk>
      <rc t="2" v="6594"/>
    </bk>
    <bk>
      <rc t="2" v="6595"/>
    </bk>
    <bk>
      <rc t="2" v="6596"/>
    </bk>
    <bk>
      <rc t="2" v="6597"/>
    </bk>
    <bk>
      <rc t="2" v="6598"/>
    </bk>
    <bk>
      <rc t="2" v="6599"/>
    </bk>
    <bk>
      <rc t="2" v="6600"/>
    </bk>
    <bk>
      <rc t="2" v="6601"/>
    </bk>
    <bk>
      <rc t="2" v="6602"/>
    </bk>
    <bk>
      <rc t="2" v="6603"/>
    </bk>
    <bk>
      <rc t="2" v="6604"/>
    </bk>
    <bk>
      <rc t="2" v="6605"/>
    </bk>
    <bk>
      <rc t="2" v="6606"/>
    </bk>
    <bk>
      <rc t="2" v="6607"/>
    </bk>
    <bk>
      <rc t="2" v="6608"/>
    </bk>
    <bk>
      <rc t="2" v="6609"/>
    </bk>
    <bk>
      <rc t="2" v="6610"/>
    </bk>
    <bk>
      <rc t="2" v="6611"/>
    </bk>
    <bk>
      <rc t="2" v="6612"/>
    </bk>
    <bk>
      <rc t="2" v="6613"/>
    </bk>
    <bk>
      <rc t="2" v="6614"/>
    </bk>
    <bk>
      <rc t="2" v="6615"/>
    </bk>
    <bk>
      <rc t="2" v="6616"/>
    </bk>
    <bk>
      <rc t="2" v="6617"/>
    </bk>
    <bk>
      <rc t="2" v="6618"/>
    </bk>
    <bk>
      <rc t="2" v="6619"/>
    </bk>
    <bk>
      <rc t="2" v="6620"/>
    </bk>
    <bk>
      <rc t="2" v="6621"/>
    </bk>
    <bk>
      <rc t="2" v="6622"/>
    </bk>
    <bk>
      <rc t="2" v="6623"/>
    </bk>
    <bk>
      <rc t="2" v="6624"/>
    </bk>
    <bk>
      <rc t="2" v="6625"/>
    </bk>
    <bk>
      <rc t="2" v="6626"/>
    </bk>
    <bk>
      <rc t="2" v="6627"/>
    </bk>
    <bk>
      <rc t="2" v="6628"/>
    </bk>
    <bk>
      <rc t="2" v="6629"/>
    </bk>
    <bk>
      <rc t="2" v="6630"/>
    </bk>
    <bk>
      <rc t="2" v="6631"/>
    </bk>
    <bk>
      <rc t="2" v="6632"/>
    </bk>
    <bk>
      <rc t="2" v="6633"/>
    </bk>
    <bk>
      <rc t="2" v="6634"/>
    </bk>
    <bk>
      <rc t="2" v="6635"/>
    </bk>
    <bk>
      <rc t="2" v="6636"/>
    </bk>
    <bk>
      <rc t="2" v="6637"/>
    </bk>
    <bk>
      <rc t="2" v="6638"/>
    </bk>
    <bk>
      <rc t="2" v="6639"/>
    </bk>
    <bk>
      <rc t="2" v="6640"/>
    </bk>
    <bk>
      <rc t="2" v="6641"/>
    </bk>
    <bk>
      <rc t="2" v="6642"/>
    </bk>
    <bk>
      <rc t="2" v="6643"/>
    </bk>
    <bk>
      <rc t="2" v="6644"/>
    </bk>
    <bk>
      <rc t="2" v="6645"/>
    </bk>
    <bk>
      <rc t="2" v="6646"/>
    </bk>
    <bk>
      <rc t="2" v="6647"/>
    </bk>
    <bk>
      <rc t="2" v="6648"/>
    </bk>
    <bk>
      <rc t="2" v="6649"/>
    </bk>
    <bk>
      <rc t="2" v="6650"/>
    </bk>
    <bk>
      <rc t="2" v="6651"/>
    </bk>
    <bk>
      <rc t="2" v="6652"/>
    </bk>
    <bk>
      <rc t="2" v="6653"/>
    </bk>
    <bk>
      <rc t="2" v="6654"/>
    </bk>
    <bk>
      <rc t="2" v="6655"/>
    </bk>
    <bk>
      <rc t="2" v="6656"/>
    </bk>
    <bk>
      <rc t="2" v="6657"/>
    </bk>
    <bk>
      <rc t="2" v="6658"/>
    </bk>
    <bk>
      <rc t="2" v="6659"/>
    </bk>
    <bk>
      <rc t="2" v="6660"/>
    </bk>
    <bk>
      <rc t="2" v="6661"/>
    </bk>
    <bk>
      <rc t="2" v="6662"/>
    </bk>
    <bk>
      <rc t="2" v="6663"/>
    </bk>
    <bk>
      <rc t="2" v="6664"/>
    </bk>
    <bk>
      <rc t="2" v="6665"/>
    </bk>
    <bk>
      <rc t="2" v="6666"/>
    </bk>
    <bk>
      <rc t="2" v="6667"/>
    </bk>
    <bk>
      <rc t="2" v="6668"/>
    </bk>
    <bk>
      <rc t="2" v="6669"/>
    </bk>
    <bk>
      <rc t="2" v="6670"/>
    </bk>
    <bk>
      <rc t="2" v="6671"/>
    </bk>
    <bk>
      <rc t="2" v="6672"/>
    </bk>
    <bk>
      <rc t="2" v="6673"/>
    </bk>
    <bk>
      <rc t="2" v="6674"/>
    </bk>
    <bk>
      <rc t="2" v="6675"/>
    </bk>
    <bk>
      <rc t="2" v="6676"/>
    </bk>
    <bk>
      <rc t="2" v="6677"/>
    </bk>
    <bk>
      <rc t="2" v="6678"/>
    </bk>
    <bk>
      <rc t="2" v="6679"/>
    </bk>
    <bk>
      <rc t="2" v="6680"/>
    </bk>
    <bk>
      <rc t="2" v="6681"/>
    </bk>
    <bk>
      <rc t="2" v="6682"/>
    </bk>
    <bk>
      <rc t="2" v="6683"/>
    </bk>
    <bk>
      <rc t="2" v="6684"/>
    </bk>
    <bk>
      <rc t="2" v="6685"/>
    </bk>
    <bk>
      <rc t="2" v="6686"/>
    </bk>
    <bk>
      <rc t="2" v="6687"/>
    </bk>
    <bk>
      <rc t="2" v="6688"/>
    </bk>
    <bk>
      <rc t="2" v="6689"/>
    </bk>
    <bk>
      <rc t="2" v="6690"/>
    </bk>
    <bk>
      <rc t="2" v="6691"/>
    </bk>
    <bk>
      <rc t="2" v="6692"/>
    </bk>
    <bk>
      <rc t="2" v="6693"/>
    </bk>
    <bk>
      <rc t="2" v="6694"/>
    </bk>
    <bk>
      <rc t="2" v="6695"/>
    </bk>
    <bk>
      <rc t="2" v="6696"/>
    </bk>
    <bk>
      <rc t="2" v="6697"/>
    </bk>
    <bk>
      <rc t="2" v="6698"/>
    </bk>
    <bk>
      <rc t="2" v="6699"/>
    </bk>
    <bk>
      <rc t="2" v="6700"/>
    </bk>
    <bk>
      <rc t="2" v="6701"/>
    </bk>
    <bk>
      <rc t="2" v="6702"/>
    </bk>
    <bk>
      <rc t="2" v="6703"/>
    </bk>
    <bk>
      <rc t="2" v="6704"/>
    </bk>
    <bk>
      <rc t="2" v="6705"/>
    </bk>
    <bk>
      <rc t="2" v="6706"/>
    </bk>
    <bk>
      <rc t="2" v="6707"/>
    </bk>
    <bk>
      <rc t="2" v="6708"/>
    </bk>
    <bk>
      <rc t="2" v="6709"/>
    </bk>
    <bk>
      <rc t="2" v="6710"/>
    </bk>
    <bk>
      <rc t="2" v="6711"/>
    </bk>
    <bk>
      <rc t="2" v="6712"/>
    </bk>
    <bk>
      <rc t="2" v="6713"/>
    </bk>
    <bk>
      <rc t="2" v="6714"/>
    </bk>
    <bk>
      <rc t="2" v="6715"/>
    </bk>
    <bk>
      <rc t="2" v="6716"/>
    </bk>
    <bk>
      <rc t="2" v="6717"/>
    </bk>
    <bk>
      <rc t="2" v="6718"/>
    </bk>
    <bk>
      <rc t="2" v="6719"/>
    </bk>
    <bk>
      <rc t="2" v="6720"/>
    </bk>
    <bk>
      <rc t="2" v="6721"/>
    </bk>
    <bk>
      <rc t="2" v="6722"/>
    </bk>
    <bk>
      <rc t="2" v="6723"/>
    </bk>
    <bk>
      <rc t="2" v="6724"/>
    </bk>
    <bk>
      <rc t="2" v="6725"/>
    </bk>
    <bk>
      <rc t="2" v="6726"/>
    </bk>
    <bk>
      <rc t="2" v="6727"/>
    </bk>
    <bk>
      <rc t="2" v="6728"/>
    </bk>
    <bk>
      <rc t="2" v="6729"/>
    </bk>
    <bk>
      <rc t="2" v="6730"/>
    </bk>
    <bk>
      <rc t="2" v="6731"/>
    </bk>
    <bk>
      <rc t="2" v="6732"/>
    </bk>
    <bk>
      <rc t="2" v="6733"/>
    </bk>
    <bk>
      <rc t="2" v="6734"/>
    </bk>
    <bk>
      <rc t="2" v="6735"/>
    </bk>
    <bk>
      <rc t="2" v="6736"/>
    </bk>
    <bk>
      <rc t="2" v="6737"/>
    </bk>
    <bk>
      <rc t="2" v="6738"/>
    </bk>
    <bk>
      <rc t="2" v="6739"/>
    </bk>
    <bk>
      <rc t="2" v="6740"/>
    </bk>
    <bk>
      <rc t="2" v="6741"/>
    </bk>
    <bk>
      <rc t="2" v="6742"/>
    </bk>
    <bk>
      <rc t="2" v="6743"/>
    </bk>
    <bk>
      <rc t="2" v="6744"/>
    </bk>
    <bk>
      <rc t="2" v="6745"/>
    </bk>
    <bk>
      <rc t="2" v="6746"/>
    </bk>
    <bk>
      <rc t="2" v="6747"/>
    </bk>
    <bk>
      <rc t="2" v="6748"/>
    </bk>
    <bk>
      <rc t="2" v="6749"/>
    </bk>
    <bk>
      <rc t="2" v="6750"/>
    </bk>
    <bk>
      <rc t="2" v="6751"/>
    </bk>
    <bk>
      <rc t="2" v="6752"/>
    </bk>
    <bk>
      <rc t="2" v="6753"/>
    </bk>
    <bk>
      <rc t="2" v="6754"/>
    </bk>
    <bk>
      <rc t="2" v="6755"/>
    </bk>
    <bk>
      <rc t="2" v="6756"/>
    </bk>
    <bk>
      <rc t="2" v="6757"/>
    </bk>
    <bk>
      <rc t="2" v="6758"/>
    </bk>
    <bk>
      <rc t="2" v="6759"/>
    </bk>
    <bk>
      <rc t="2" v="6760"/>
    </bk>
    <bk>
      <rc t="2" v="6761"/>
    </bk>
    <bk>
      <rc t="2" v="6762"/>
    </bk>
    <bk>
      <rc t="2" v="6763"/>
    </bk>
    <bk>
      <rc t="2" v="6764"/>
    </bk>
    <bk>
      <rc t="2" v="6765"/>
    </bk>
    <bk>
      <rc t="2" v="6766"/>
    </bk>
    <bk>
      <rc t="2" v="6767"/>
    </bk>
    <bk>
      <rc t="2" v="6768"/>
    </bk>
    <bk>
      <rc t="2" v="6769"/>
    </bk>
    <bk>
      <rc t="2" v="6770"/>
    </bk>
    <bk>
      <rc t="2" v="6771"/>
    </bk>
    <bk>
      <rc t="2" v="6772"/>
    </bk>
    <bk>
      <rc t="2" v="6773"/>
    </bk>
    <bk>
      <rc t="2" v="6774"/>
    </bk>
    <bk>
      <rc t="2" v="6775"/>
    </bk>
    <bk>
      <rc t="2" v="6776"/>
    </bk>
    <bk>
      <rc t="2" v="6777"/>
    </bk>
    <bk>
      <rc t="2" v="6778"/>
    </bk>
    <bk>
      <rc t="2" v="6779"/>
    </bk>
    <bk>
      <rc t="2" v="6780"/>
    </bk>
    <bk>
      <rc t="2" v="6781"/>
    </bk>
    <bk>
      <rc t="2" v="6782"/>
    </bk>
    <bk>
      <rc t="2" v="6783"/>
    </bk>
    <bk>
      <rc t="2" v="6784"/>
    </bk>
    <bk>
      <rc t="2" v="6785"/>
    </bk>
    <bk>
      <rc t="2" v="6786"/>
    </bk>
    <bk>
      <rc t="2" v="6787"/>
    </bk>
    <bk>
      <rc t="2" v="6788"/>
    </bk>
    <bk>
      <rc t="2" v="6789"/>
    </bk>
    <bk>
      <rc t="2" v="6790"/>
    </bk>
    <bk>
      <rc t="2" v="6791"/>
    </bk>
    <bk>
      <rc t="2" v="6792"/>
    </bk>
    <bk>
      <rc t="2" v="6793"/>
    </bk>
    <bk>
      <rc t="2" v="6794"/>
    </bk>
    <bk>
      <rc t="2" v="6795"/>
    </bk>
    <bk>
      <rc t="2" v="6796"/>
    </bk>
    <bk>
      <rc t="2" v="6797"/>
    </bk>
    <bk>
      <rc t="2" v="6798"/>
    </bk>
    <bk>
      <rc t="2" v="6799"/>
    </bk>
    <bk>
      <rc t="2" v="6800"/>
    </bk>
    <bk>
      <rc t="2" v="6801"/>
    </bk>
    <bk>
      <rc t="2" v="6802"/>
    </bk>
    <bk>
      <rc t="2" v="6803"/>
    </bk>
    <bk>
      <rc t="2" v="6804"/>
    </bk>
    <bk>
      <rc t="2" v="6805"/>
    </bk>
    <bk>
      <rc t="2" v="6806"/>
    </bk>
    <bk>
      <rc t="2" v="6807"/>
    </bk>
    <bk>
      <rc t="2" v="6808"/>
    </bk>
    <bk>
      <rc t="2" v="6809"/>
    </bk>
    <bk>
      <rc t="2" v="6810"/>
    </bk>
    <bk>
      <rc t="2" v="6811"/>
    </bk>
    <bk>
      <rc t="2" v="6812"/>
    </bk>
    <bk>
      <rc t="2" v="6813"/>
    </bk>
    <bk>
      <rc t="2" v="6814"/>
    </bk>
    <bk>
      <rc t="2" v="6815"/>
    </bk>
    <bk>
      <rc t="2" v="6816"/>
    </bk>
    <bk>
      <rc t="2" v="6817"/>
    </bk>
    <bk>
      <rc t="2" v="6818"/>
    </bk>
    <bk>
      <rc t="2" v="6819"/>
    </bk>
    <bk>
      <rc t="2" v="6820"/>
    </bk>
    <bk>
      <rc t="2" v="6821"/>
    </bk>
    <bk>
      <rc t="2" v="6822"/>
    </bk>
    <bk>
      <rc t="2" v="6823"/>
    </bk>
    <bk>
      <rc t="2" v="6824"/>
    </bk>
    <bk>
      <rc t="2" v="6825"/>
    </bk>
    <bk>
      <rc t="2" v="6826"/>
    </bk>
    <bk>
      <rc t="2" v="6827"/>
    </bk>
    <bk>
      <rc t="2" v="6828"/>
    </bk>
    <bk>
      <rc t="2" v="6829"/>
    </bk>
    <bk>
      <rc t="2" v="6830"/>
    </bk>
    <bk>
      <rc t="2" v="6831"/>
    </bk>
    <bk>
      <rc t="2" v="6832"/>
    </bk>
    <bk>
      <rc t="2" v="6833"/>
    </bk>
    <bk>
      <rc t="2" v="6834"/>
    </bk>
    <bk>
      <rc t="2" v="6835"/>
    </bk>
    <bk>
      <rc t="2" v="6836"/>
    </bk>
    <bk>
      <rc t="2" v="6837"/>
    </bk>
    <bk>
      <rc t="2" v="6838"/>
    </bk>
    <bk>
      <rc t="2" v="6839"/>
    </bk>
    <bk>
      <rc t="2" v="6840"/>
    </bk>
    <bk>
      <rc t="2" v="6841"/>
    </bk>
    <bk>
      <rc t="2" v="6842"/>
    </bk>
    <bk>
      <rc t="2" v="6843"/>
    </bk>
    <bk>
      <rc t="2" v="6844"/>
    </bk>
    <bk>
      <rc t="2" v="6845"/>
    </bk>
    <bk>
      <rc t="2" v="6846"/>
    </bk>
    <bk>
      <rc t="2" v="6847"/>
    </bk>
    <bk>
      <rc t="2" v="6848"/>
    </bk>
    <bk>
      <rc t="2" v="6849"/>
    </bk>
    <bk>
      <rc t="2" v="6850"/>
    </bk>
    <bk>
      <rc t="2" v="6851"/>
    </bk>
    <bk>
      <rc t="2" v="6852"/>
    </bk>
    <bk>
      <rc t="2" v="6853"/>
    </bk>
    <bk>
      <rc t="2" v="6854"/>
    </bk>
    <bk>
      <rc t="2" v="6855"/>
    </bk>
    <bk>
      <rc t="2" v="6856"/>
    </bk>
    <bk>
      <rc t="2" v="6857"/>
    </bk>
    <bk>
      <rc t="2" v="6858"/>
    </bk>
    <bk>
      <rc t="2" v="6859"/>
    </bk>
    <bk>
      <rc t="2" v="6860"/>
    </bk>
    <bk>
      <rc t="2" v="6861"/>
    </bk>
    <bk>
      <rc t="2" v="6862"/>
    </bk>
    <bk>
      <rc t="2" v="6863"/>
    </bk>
    <bk>
      <rc t="2" v="6864"/>
    </bk>
    <bk>
      <rc t="2" v="6865"/>
    </bk>
    <bk>
      <rc t="2" v="6866"/>
    </bk>
    <bk>
      <rc t="2" v="6867"/>
    </bk>
    <bk>
      <rc t="2" v="6868"/>
    </bk>
    <bk>
      <rc t="2" v="6869"/>
    </bk>
    <bk>
      <rc t="2" v="6870"/>
    </bk>
    <bk>
      <rc t="2" v="6871"/>
    </bk>
    <bk>
      <rc t="2" v="6872"/>
    </bk>
    <bk>
      <rc t="2" v="6873"/>
    </bk>
    <bk>
      <rc t="2" v="6874"/>
    </bk>
    <bk>
      <rc t="2" v="6875"/>
    </bk>
    <bk>
      <rc t="2" v="6876"/>
    </bk>
    <bk>
      <rc t="2" v="6877"/>
    </bk>
    <bk>
      <rc t="2" v="6878"/>
    </bk>
    <bk>
      <rc t="2" v="6879"/>
    </bk>
    <bk>
      <rc t="2" v="6880"/>
    </bk>
    <bk>
      <rc t="2" v="6881"/>
    </bk>
    <bk>
      <rc t="2" v="6882"/>
    </bk>
    <bk>
      <rc t="2" v="6883"/>
    </bk>
    <bk>
      <rc t="2" v="6884"/>
    </bk>
    <bk>
      <rc t="2" v="6885"/>
    </bk>
    <bk>
      <rc t="2" v="6886"/>
    </bk>
    <bk>
      <rc t="2" v="6887"/>
    </bk>
    <bk>
      <rc t="2" v="6888"/>
    </bk>
    <bk>
      <rc t="2" v="6889"/>
    </bk>
    <bk>
      <rc t="2" v="6890"/>
    </bk>
    <bk>
      <rc t="2" v="6891"/>
    </bk>
    <bk>
      <rc t="2" v="6892"/>
    </bk>
    <bk>
      <rc t="2" v="6893"/>
    </bk>
    <bk>
      <rc t="2" v="6894"/>
    </bk>
    <bk>
      <rc t="2" v="6895"/>
    </bk>
    <bk>
      <rc t="2" v="6896"/>
    </bk>
    <bk>
      <rc t="2" v="6897"/>
    </bk>
    <bk>
      <rc t="2" v="6898"/>
    </bk>
    <bk>
      <rc t="2" v="6899"/>
    </bk>
    <bk>
      <rc t="2" v="6900"/>
    </bk>
    <bk>
      <rc t="2" v="6901"/>
    </bk>
    <bk>
      <rc t="2" v="6902"/>
    </bk>
    <bk>
      <rc t="2" v="6903"/>
    </bk>
    <bk>
      <rc t="2" v="6904"/>
    </bk>
    <bk>
      <rc t="2" v="6905"/>
    </bk>
    <bk>
      <rc t="2" v="6906"/>
    </bk>
    <bk>
      <rc t="2" v="6907"/>
    </bk>
    <bk>
      <rc t="2" v="6908"/>
    </bk>
    <bk>
      <rc t="2" v="6909"/>
    </bk>
    <bk>
      <rc t="2" v="6910"/>
    </bk>
    <bk>
      <rc t="2" v="6911"/>
    </bk>
    <bk>
      <rc t="2" v="6912"/>
    </bk>
    <bk>
      <rc t="2" v="6913"/>
    </bk>
    <bk>
      <rc t="2" v="6914"/>
    </bk>
    <bk>
      <rc t="2" v="6915"/>
    </bk>
    <bk>
      <rc t="2" v="6916"/>
    </bk>
    <bk>
      <rc t="2" v="6917"/>
    </bk>
    <bk>
      <rc t="2" v="6918"/>
    </bk>
    <bk>
      <rc t="2" v="6919"/>
    </bk>
    <bk>
      <rc t="2" v="6920"/>
    </bk>
    <bk>
      <rc t="2" v="6921"/>
    </bk>
    <bk>
      <rc t="2" v="6922"/>
    </bk>
    <bk>
      <rc t="2" v="6923"/>
    </bk>
    <bk>
      <rc t="2" v="6924"/>
    </bk>
    <bk>
      <rc t="2" v="6925"/>
    </bk>
    <bk>
      <rc t="2" v="6926"/>
    </bk>
    <bk>
      <rc t="2" v="6927"/>
    </bk>
    <bk>
      <rc t="2" v="6928"/>
    </bk>
    <bk>
      <rc t="2" v="6929"/>
    </bk>
    <bk>
      <rc t="2" v="6930"/>
    </bk>
    <bk>
      <rc t="2" v="6931"/>
    </bk>
    <bk>
      <rc t="2" v="6932"/>
    </bk>
    <bk>
      <rc t="2" v="6933"/>
    </bk>
    <bk>
      <rc t="2" v="6934"/>
    </bk>
    <bk>
      <rc t="2" v="6935"/>
    </bk>
    <bk>
      <rc t="2" v="6936"/>
    </bk>
    <bk>
      <rc t="2" v="6937"/>
    </bk>
    <bk>
      <rc t="2" v="6938"/>
    </bk>
    <bk>
      <rc t="2" v="6939"/>
    </bk>
    <bk>
      <rc t="2" v="6940"/>
    </bk>
    <bk>
      <rc t="2" v="6941"/>
    </bk>
    <bk>
      <rc t="2" v="6942"/>
    </bk>
    <bk>
      <rc t="2" v="6943"/>
    </bk>
    <bk>
      <rc t="2" v="6944"/>
    </bk>
    <bk>
      <rc t="2" v="6945"/>
    </bk>
    <bk>
      <rc t="2" v="6946"/>
    </bk>
    <bk>
      <rc t="2" v="6947"/>
    </bk>
    <bk>
      <rc t="2" v="6948"/>
    </bk>
    <bk>
      <rc t="2" v="6949"/>
    </bk>
    <bk>
      <rc t="2" v="6950"/>
    </bk>
    <bk>
      <rc t="2" v="6951"/>
    </bk>
    <bk>
      <rc t="2" v="6952"/>
    </bk>
    <bk>
      <rc t="2" v="6953"/>
    </bk>
    <bk>
      <rc t="2" v="6954"/>
    </bk>
    <bk>
      <rc t="2" v="6955"/>
    </bk>
    <bk>
      <rc t="2" v="6956"/>
    </bk>
    <bk>
      <rc t="2" v="6957"/>
    </bk>
    <bk>
      <rc t="2" v="6958"/>
    </bk>
    <bk>
      <rc t="2" v="6959"/>
    </bk>
    <bk>
      <rc t="2" v="6960"/>
    </bk>
    <bk>
      <rc t="2" v="6961"/>
    </bk>
    <bk>
      <rc t="2" v="6962"/>
    </bk>
    <bk>
      <rc t="2" v="6963"/>
    </bk>
    <bk>
      <rc t="2" v="6964"/>
    </bk>
    <bk>
      <rc t="2" v="6965"/>
    </bk>
    <bk>
      <rc t="2" v="6966"/>
    </bk>
    <bk>
      <rc t="2" v="6967"/>
    </bk>
    <bk>
      <rc t="2" v="6968"/>
    </bk>
    <bk>
      <rc t="2" v="6969"/>
    </bk>
    <bk>
      <rc t="2" v="6970"/>
    </bk>
    <bk>
      <rc t="2" v="6971"/>
    </bk>
    <bk>
      <rc t="2" v="6972"/>
    </bk>
    <bk>
      <rc t="2" v="6973"/>
    </bk>
    <bk>
      <rc t="2" v="6974"/>
    </bk>
    <bk>
      <rc t="2" v="6975"/>
    </bk>
    <bk>
      <rc t="2" v="6976"/>
    </bk>
    <bk>
      <rc t="2" v="6977"/>
    </bk>
    <bk>
      <rc t="2" v="6978"/>
    </bk>
    <bk>
      <rc t="2" v="6979"/>
    </bk>
    <bk>
      <rc t="2" v="6980"/>
    </bk>
    <bk>
      <rc t="2" v="6981"/>
    </bk>
    <bk>
      <rc t="2" v="6982"/>
    </bk>
    <bk>
      <rc t="2" v="6983"/>
    </bk>
    <bk>
      <rc t="2" v="6984"/>
    </bk>
    <bk>
      <rc t="2" v="6985"/>
    </bk>
    <bk>
      <rc t="2" v="6986"/>
    </bk>
    <bk>
      <rc t="2" v="6987"/>
    </bk>
    <bk>
      <rc t="2" v="6988"/>
    </bk>
    <bk>
      <rc t="2" v="6989"/>
    </bk>
    <bk>
      <rc t="2" v="6990"/>
    </bk>
    <bk>
      <rc t="2" v="6991"/>
    </bk>
    <bk>
      <rc t="2" v="6992"/>
    </bk>
    <bk>
      <rc t="2" v="6993"/>
    </bk>
    <bk>
      <rc t="2" v="6994"/>
    </bk>
    <bk>
      <rc t="2" v="6995"/>
    </bk>
    <bk>
      <rc t="2" v="6996"/>
    </bk>
    <bk>
      <rc t="2" v="6997"/>
    </bk>
    <bk>
      <rc t="2" v="6998"/>
    </bk>
    <bk>
      <rc t="2" v="6999"/>
    </bk>
    <bk>
      <rc t="2" v="7000"/>
    </bk>
    <bk>
      <rc t="2" v="7001"/>
    </bk>
    <bk>
      <rc t="2" v="7002"/>
    </bk>
    <bk>
      <rc t="2" v="7003"/>
    </bk>
    <bk>
      <rc t="2" v="7004"/>
    </bk>
    <bk>
      <rc t="2" v="7005"/>
    </bk>
    <bk>
      <rc t="2" v="7006"/>
    </bk>
    <bk>
      <rc t="2" v="7007"/>
    </bk>
    <bk>
      <rc t="2" v="7008"/>
    </bk>
    <bk>
      <rc t="2" v="7009"/>
    </bk>
    <bk>
      <rc t="2" v="7010"/>
    </bk>
    <bk>
      <rc t="2" v="7011"/>
    </bk>
    <bk>
      <rc t="2" v="7012"/>
    </bk>
    <bk>
      <rc t="2" v="7013"/>
    </bk>
    <bk>
      <rc t="2" v="7014"/>
    </bk>
    <bk>
      <rc t="2" v="7015"/>
    </bk>
    <bk>
      <rc t="2" v="7016"/>
    </bk>
    <bk>
      <rc t="2" v="7017"/>
    </bk>
    <bk>
      <rc t="2" v="7018"/>
    </bk>
    <bk>
      <rc t="2" v="7019"/>
    </bk>
    <bk>
      <rc t="2" v="7020"/>
    </bk>
    <bk>
      <rc t="2" v="7021"/>
    </bk>
    <bk>
      <rc t="2" v="7022"/>
    </bk>
    <bk>
      <rc t="2" v="7023"/>
    </bk>
    <bk>
      <rc t="2" v="7024"/>
    </bk>
    <bk>
      <rc t="2" v="7025"/>
    </bk>
    <bk>
      <rc t="2" v="7026"/>
    </bk>
    <bk>
      <rc t="2" v="7027"/>
    </bk>
    <bk>
      <rc t="2" v="7028"/>
    </bk>
    <bk>
      <rc t="2" v="7029"/>
    </bk>
    <bk>
      <rc t="2" v="7030"/>
    </bk>
    <bk>
      <rc t="2" v="7031"/>
    </bk>
    <bk>
      <rc t="2" v="7032"/>
    </bk>
    <bk>
      <rc t="2" v="7033"/>
    </bk>
    <bk>
      <rc t="2" v="7034"/>
    </bk>
    <bk>
      <rc t="2" v="7035"/>
    </bk>
    <bk>
      <rc t="2" v="7036"/>
    </bk>
    <bk>
      <rc t="2" v="7037"/>
    </bk>
    <bk>
      <rc t="2" v="7038"/>
    </bk>
    <bk>
      <rc t="2" v="7039"/>
    </bk>
    <bk>
      <rc t="2" v="7040"/>
    </bk>
    <bk>
      <rc t="2" v="7041"/>
    </bk>
    <bk>
      <rc t="2" v="7042"/>
    </bk>
    <bk>
      <rc t="2" v="7043"/>
    </bk>
    <bk>
      <rc t="2" v="7044"/>
    </bk>
    <bk>
      <rc t="2" v="7045"/>
    </bk>
    <bk>
      <rc t="2" v="7046"/>
    </bk>
    <bk>
      <rc t="2" v="7047"/>
    </bk>
    <bk>
      <rc t="2" v="7048"/>
    </bk>
    <bk>
      <rc t="2" v="7049"/>
    </bk>
    <bk>
      <rc t="2" v="7050"/>
    </bk>
    <bk>
      <rc t="2" v="7051"/>
    </bk>
    <bk>
      <rc t="2" v="7052"/>
    </bk>
    <bk>
      <rc t="2" v="7053"/>
    </bk>
    <bk>
      <rc t="2" v="7054"/>
    </bk>
    <bk>
      <rc t="2" v="7055"/>
    </bk>
    <bk>
      <rc t="2" v="7056"/>
    </bk>
    <bk>
      <rc t="2" v="7057"/>
    </bk>
    <bk>
      <rc t="2" v="7058"/>
    </bk>
    <bk>
      <rc t="2" v="7059"/>
    </bk>
    <bk>
      <rc t="2" v="7060"/>
    </bk>
    <bk>
      <rc t="2" v="7061"/>
    </bk>
    <bk>
      <rc t="2" v="7062"/>
    </bk>
    <bk>
      <rc t="2" v="7063"/>
    </bk>
    <bk>
      <rc t="2" v="7064"/>
    </bk>
    <bk>
      <rc t="2" v="7065"/>
    </bk>
    <bk>
      <rc t="2" v="7066"/>
    </bk>
    <bk>
      <rc t="2" v="7067"/>
    </bk>
    <bk>
      <rc t="2" v="7068"/>
    </bk>
    <bk>
      <rc t="2" v="7069"/>
    </bk>
    <bk>
      <rc t="2" v="7070"/>
    </bk>
    <bk>
      <rc t="2" v="7071"/>
    </bk>
    <bk>
      <rc t="2" v="7072"/>
    </bk>
    <bk>
      <rc t="2" v="7073"/>
    </bk>
    <bk>
      <rc t="2" v="7074"/>
    </bk>
    <bk>
      <rc t="2" v="7075"/>
    </bk>
    <bk>
      <rc t="2" v="7076"/>
    </bk>
    <bk>
      <rc t="2" v="7077"/>
    </bk>
    <bk>
      <rc t="2" v="7078"/>
    </bk>
    <bk>
      <rc t="2" v="7079"/>
    </bk>
    <bk>
      <rc t="2" v="7080"/>
    </bk>
    <bk>
      <rc t="2" v="7081"/>
    </bk>
    <bk>
      <rc t="2" v="7082"/>
    </bk>
    <bk>
      <rc t="2" v="7083"/>
    </bk>
    <bk>
      <rc t="2" v="7084"/>
    </bk>
    <bk>
      <rc t="2" v="7085"/>
    </bk>
    <bk>
      <rc t="2" v="7086"/>
    </bk>
    <bk>
      <rc t="2" v="7087"/>
    </bk>
    <bk>
      <rc t="2" v="7088"/>
    </bk>
    <bk>
      <rc t="2" v="7089"/>
    </bk>
    <bk>
      <rc t="2" v="7090"/>
    </bk>
    <bk>
      <rc t="2" v="7091"/>
    </bk>
    <bk>
      <rc t="2" v="7092"/>
    </bk>
    <bk>
      <rc t="2" v="7093"/>
    </bk>
    <bk>
      <rc t="2" v="7094"/>
    </bk>
    <bk>
      <rc t="2" v="7095"/>
    </bk>
    <bk>
      <rc t="2" v="7096"/>
    </bk>
    <bk>
      <rc t="2" v="7097"/>
    </bk>
    <bk>
      <rc t="2" v="7098"/>
    </bk>
    <bk>
      <rc t="2" v="7099"/>
    </bk>
    <bk>
      <rc t="2" v="7100"/>
    </bk>
    <bk>
      <rc t="2" v="7101"/>
    </bk>
    <bk>
      <rc t="2" v="7102"/>
    </bk>
    <bk>
      <rc t="2" v="7103"/>
    </bk>
    <bk>
      <rc t="2" v="7104"/>
    </bk>
    <bk>
      <rc t="2" v="7105"/>
    </bk>
    <bk>
      <rc t="2" v="7106"/>
    </bk>
    <bk>
      <rc t="2" v="7107"/>
    </bk>
    <bk>
      <rc t="2" v="7108"/>
    </bk>
    <bk>
      <rc t="2" v="7109"/>
    </bk>
    <bk>
      <rc t="2" v="7110"/>
    </bk>
    <bk>
      <rc t="2" v="7111"/>
    </bk>
    <bk>
      <rc t="2" v="7112"/>
    </bk>
    <bk>
      <rc t="2" v="7113"/>
    </bk>
    <bk>
      <rc t="2" v="7114"/>
    </bk>
    <bk>
      <rc t="2" v="7115"/>
    </bk>
    <bk>
      <rc t="2" v="7116"/>
    </bk>
    <bk>
      <rc t="2" v="7117"/>
    </bk>
    <bk>
      <rc t="2" v="7118"/>
    </bk>
    <bk>
      <rc t="2" v="7119"/>
    </bk>
    <bk>
      <rc t="2" v="7120"/>
    </bk>
    <bk>
      <rc t="2" v="7121"/>
    </bk>
    <bk>
      <rc t="2" v="7122"/>
    </bk>
    <bk>
      <rc t="2" v="7123"/>
    </bk>
    <bk>
      <rc t="2" v="7124"/>
    </bk>
    <bk>
      <rc t="2" v="7125"/>
    </bk>
    <bk>
      <rc t="2" v="7126"/>
    </bk>
    <bk>
      <rc t="2" v="7127"/>
    </bk>
    <bk>
      <rc t="2" v="7128"/>
    </bk>
    <bk>
      <rc t="2" v="7129"/>
    </bk>
    <bk>
      <rc t="2" v="7130"/>
    </bk>
    <bk>
      <rc t="2" v="7131"/>
    </bk>
    <bk>
      <rc t="2" v="7132"/>
    </bk>
    <bk>
      <rc t="2" v="7133"/>
    </bk>
    <bk>
      <rc t="2" v="7134"/>
    </bk>
    <bk>
      <rc t="2" v="7135"/>
    </bk>
    <bk>
      <rc t="2" v="7136"/>
    </bk>
    <bk>
      <rc t="2" v="7137"/>
    </bk>
    <bk>
      <rc t="2" v="7138"/>
    </bk>
    <bk>
      <rc t="2" v="7139"/>
    </bk>
    <bk>
      <rc t="2" v="7140"/>
    </bk>
    <bk>
      <rc t="2" v="7141"/>
    </bk>
    <bk>
      <rc t="2" v="7142"/>
    </bk>
    <bk>
      <rc t="2" v="7143"/>
    </bk>
    <bk>
      <rc t="2" v="7144"/>
    </bk>
    <bk>
      <rc t="2" v="7145"/>
    </bk>
    <bk>
      <rc t="2" v="7146"/>
    </bk>
    <bk>
      <rc t="2" v="7147"/>
    </bk>
    <bk>
      <rc t="2" v="7148"/>
    </bk>
    <bk>
      <rc t="2" v="7149"/>
    </bk>
    <bk>
      <rc t="2" v="7150"/>
    </bk>
    <bk>
      <rc t="2" v="7151"/>
    </bk>
    <bk>
      <rc t="2" v="7152"/>
    </bk>
    <bk>
      <rc t="2" v="7153"/>
    </bk>
    <bk>
      <rc t="2" v="7154"/>
    </bk>
    <bk>
      <rc t="2" v="7155"/>
    </bk>
    <bk>
      <rc t="2" v="7156"/>
    </bk>
    <bk>
      <rc t="2" v="7157"/>
    </bk>
    <bk>
      <rc t="2" v="7158"/>
    </bk>
    <bk>
      <rc t="2" v="7159"/>
    </bk>
    <bk>
      <rc t="2" v="7160"/>
    </bk>
    <bk>
      <rc t="2" v="7161"/>
    </bk>
    <bk>
      <rc t="2" v="7162"/>
    </bk>
    <bk>
      <rc t="2" v="7163"/>
    </bk>
    <bk>
      <rc t="2" v="7164"/>
    </bk>
    <bk>
      <rc t="2" v="7165"/>
    </bk>
    <bk>
      <rc t="2" v="7166"/>
    </bk>
    <bk>
      <rc t="2" v="7167"/>
    </bk>
    <bk>
      <rc t="2" v="7168"/>
    </bk>
    <bk>
      <rc t="2" v="7169"/>
    </bk>
    <bk>
      <rc t="2" v="7170"/>
    </bk>
    <bk>
      <rc t="2" v="7171"/>
    </bk>
    <bk>
      <rc t="2" v="7172"/>
    </bk>
    <bk>
      <rc t="2" v="7173"/>
    </bk>
    <bk>
      <rc t="2" v="7174"/>
    </bk>
    <bk>
      <rc t="2" v="7175"/>
    </bk>
    <bk>
      <rc t="2" v="7176"/>
    </bk>
    <bk>
      <rc t="2" v="7177"/>
    </bk>
    <bk>
      <rc t="2" v="7178"/>
    </bk>
    <bk>
      <rc t="2" v="7179"/>
    </bk>
    <bk>
      <rc t="2" v="7180"/>
    </bk>
    <bk>
      <rc t="2" v="7181"/>
    </bk>
    <bk>
      <rc t="2" v="7182"/>
    </bk>
    <bk>
      <rc t="2" v="7183"/>
    </bk>
    <bk>
      <rc t="2" v="7184"/>
    </bk>
    <bk>
      <rc t="2" v="7185"/>
    </bk>
    <bk>
      <rc t="2" v="7186"/>
    </bk>
    <bk>
      <rc t="2" v="7187"/>
    </bk>
    <bk>
      <rc t="2" v="7188"/>
    </bk>
    <bk>
      <rc t="2" v="7189"/>
    </bk>
    <bk>
      <rc t="2" v="7190"/>
    </bk>
    <bk>
      <rc t="2" v="7191"/>
    </bk>
    <bk>
      <rc t="2" v="7192"/>
    </bk>
    <bk>
      <rc t="2" v="7193"/>
    </bk>
    <bk>
      <rc t="2" v="7194"/>
    </bk>
    <bk>
      <rc t="2" v="7195"/>
    </bk>
    <bk>
      <rc t="2" v="7196"/>
    </bk>
    <bk>
      <rc t="2" v="7197"/>
    </bk>
    <bk>
      <rc t="2" v="7198"/>
    </bk>
    <bk>
      <rc t="2" v="7199"/>
    </bk>
    <bk>
      <rc t="2" v="7200"/>
    </bk>
    <bk>
      <rc t="2" v="7201"/>
    </bk>
    <bk>
      <rc t="2" v="7202"/>
    </bk>
    <bk>
      <rc t="2" v="7203"/>
    </bk>
    <bk>
      <rc t="2" v="7204"/>
    </bk>
    <bk>
      <rc t="2" v="7205"/>
    </bk>
    <bk>
      <rc t="2" v="7206"/>
    </bk>
    <bk>
      <rc t="2" v="7207"/>
    </bk>
    <bk>
      <rc t="2" v="7208"/>
    </bk>
    <bk>
      <rc t="2" v="7209"/>
    </bk>
    <bk>
      <rc t="2" v="7210"/>
    </bk>
    <bk>
      <rc t="2" v="7211"/>
    </bk>
    <bk>
      <rc t="2" v="7212"/>
    </bk>
    <bk>
      <rc t="2" v="7213"/>
    </bk>
    <bk>
      <rc t="2" v="7214"/>
    </bk>
    <bk>
      <rc t="2" v="7215"/>
    </bk>
    <bk>
      <rc t="2" v="7216"/>
    </bk>
    <bk>
      <rc t="2" v="7217"/>
    </bk>
    <bk>
      <rc t="2" v="7218"/>
    </bk>
    <bk>
      <rc t="2" v="7219"/>
    </bk>
    <bk>
      <rc t="2" v="7220"/>
    </bk>
    <bk>
      <rc t="2" v="7221"/>
    </bk>
    <bk>
      <rc t="2" v="7222"/>
    </bk>
    <bk>
      <rc t="2" v="7223"/>
    </bk>
    <bk>
      <rc t="2" v="7224"/>
    </bk>
    <bk>
      <rc t="2" v="7225"/>
    </bk>
    <bk>
      <rc t="2" v="7226"/>
    </bk>
    <bk>
      <rc t="2" v="7227"/>
    </bk>
    <bk>
      <rc t="2" v="7228"/>
    </bk>
    <bk>
      <rc t="2" v="7229"/>
    </bk>
    <bk>
      <rc t="2" v="7230"/>
    </bk>
    <bk>
      <rc t="2" v="7231"/>
    </bk>
    <bk>
      <rc t="2" v="7232"/>
    </bk>
    <bk>
      <rc t="2" v="7233"/>
    </bk>
    <bk>
      <rc t="2" v="7234"/>
    </bk>
    <bk>
      <rc t="2" v="7235"/>
    </bk>
    <bk>
      <rc t="2" v="7236"/>
    </bk>
    <bk>
      <rc t="2" v="7237"/>
    </bk>
    <bk>
      <rc t="2" v="7238"/>
    </bk>
    <bk>
      <rc t="2" v="7239"/>
    </bk>
    <bk>
      <rc t="2" v="7240"/>
    </bk>
    <bk>
      <rc t="2" v="7241"/>
    </bk>
    <bk>
      <rc t="2" v="7242"/>
    </bk>
    <bk>
      <rc t="2" v="7243"/>
    </bk>
    <bk>
      <rc t="2" v="7244"/>
    </bk>
    <bk>
      <rc t="2" v="7245"/>
    </bk>
    <bk>
      <rc t="2" v="7246"/>
    </bk>
    <bk>
      <rc t="2" v="7247"/>
    </bk>
    <bk>
      <rc t="2" v="7248"/>
    </bk>
    <bk>
      <rc t="2" v="7249"/>
    </bk>
    <bk>
      <rc t="2" v="7250"/>
    </bk>
    <bk>
      <rc t="2" v="7251"/>
    </bk>
    <bk>
      <rc t="2" v="7252"/>
    </bk>
    <bk>
      <rc t="2" v="7253"/>
    </bk>
    <bk>
      <rc t="2" v="7254"/>
    </bk>
    <bk>
      <rc t="2" v="7255"/>
    </bk>
    <bk>
      <rc t="2" v="7256"/>
    </bk>
    <bk>
      <rc t="2" v="7257"/>
    </bk>
    <bk>
      <rc t="2" v="7258"/>
    </bk>
    <bk>
      <rc t="2" v="7259"/>
    </bk>
    <bk>
      <rc t="2" v="7260"/>
    </bk>
    <bk>
      <rc t="2" v="7261"/>
    </bk>
    <bk>
      <rc t="2" v="7262"/>
    </bk>
    <bk>
      <rc t="2" v="7263"/>
    </bk>
    <bk>
      <rc t="2" v="7264"/>
    </bk>
    <bk>
      <rc t="2" v="7265"/>
    </bk>
    <bk>
      <rc t="2" v="7266"/>
    </bk>
    <bk>
      <rc t="2" v="7267"/>
    </bk>
    <bk>
      <rc t="2" v="7268"/>
    </bk>
    <bk>
      <rc t="2" v="7269"/>
    </bk>
    <bk>
      <rc t="2" v="7270"/>
    </bk>
    <bk>
      <rc t="2" v="7271"/>
    </bk>
    <bk>
      <rc t="2" v="7272"/>
    </bk>
    <bk>
      <rc t="2" v="7273"/>
    </bk>
    <bk>
      <rc t="2" v="7274"/>
    </bk>
    <bk>
      <rc t="2" v="7275"/>
    </bk>
    <bk>
      <rc t="2" v="7276"/>
    </bk>
    <bk>
      <rc t="2" v="7277"/>
    </bk>
    <bk>
      <rc t="2" v="7278"/>
    </bk>
    <bk>
      <rc t="2" v="7279"/>
    </bk>
    <bk>
      <rc t="2" v="7280"/>
    </bk>
    <bk>
      <rc t="2" v="7281"/>
    </bk>
    <bk>
      <rc t="2" v="7282"/>
    </bk>
    <bk>
      <rc t="2" v="7283"/>
    </bk>
    <bk>
      <rc t="2" v="7284"/>
    </bk>
    <bk>
      <rc t="2" v="7285"/>
    </bk>
    <bk>
      <rc t="2" v="7286"/>
    </bk>
    <bk>
      <rc t="2" v="7287"/>
    </bk>
    <bk>
      <rc t="2" v="7288"/>
    </bk>
    <bk>
      <rc t="2" v="7289"/>
    </bk>
    <bk>
      <rc t="2" v="7290"/>
    </bk>
    <bk>
      <rc t="2" v="7291"/>
    </bk>
    <bk>
      <rc t="2" v="7292"/>
    </bk>
    <bk>
      <rc t="2" v="7293"/>
    </bk>
    <bk>
      <rc t="2" v="7294"/>
    </bk>
    <bk>
      <rc t="2" v="7295"/>
    </bk>
    <bk>
      <rc t="2" v="7296"/>
    </bk>
    <bk>
      <rc t="2" v="7297"/>
    </bk>
    <bk>
      <rc t="2" v="7298"/>
    </bk>
    <bk>
      <rc t="2" v="7299"/>
    </bk>
    <bk>
      <rc t="2" v="7300"/>
    </bk>
    <bk>
      <rc t="2" v="7301"/>
    </bk>
    <bk>
      <rc t="2" v="7302"/>
    </bk>
    <bk>
      <rc t="2" v="7303"/>
    </bk>
    <bk>
      <rc t="2" v="7304"/>
    </bk>
    <bk>
      <rc t="2" v="7305"/>
    </bk>
    <bk>
      <rc t="2" v="7306"/>
    </bk>
    <bk>
      <rc t="2" v="7307"/>
    </bk>
    <bk>
      <rc t="2" v="7308"/>
    </bk>
    <bk>
      <rc t="2" v="7309"/>
    </bk>
    <bk>
      <rc t="2" v="7310"/>
    </bk>
    <bk>
      <rc t="2" v="7311"/>
    </bk>
    <bk>
      <rc t="2" v="7312"/>
    </bk>
    <bk>
      <rc t="2" v="7313"/>
    </bk>
    <bk>
      <rc t="2" v="7314"/>
    </bk>
    <bk>
      <rc t="2" v="7315"/>
    </bk>
    <bk>
      <rc t="2" v="7316"/>
    </bk>
    <bk>
      <rc t="2" v="7317"/>
    </bk>
    <bk>
      <rc t="2" v="7318"/>
    </bk>
    <bk>
      <rc t="2" v="7319"/>
    </bk>
    <bk>
      <rc t="2" v="7320"/>
    </bk>
    <bk>
      <rc t="2" v="7321"/>
    </bk>
    <bk>
      <rc t="2" v="7322"/>
    </bk>
    <bk>
      <rc t="2" v="7323"/>
    </bk>
    <bk>
      <rc t="2" v="7324"/>
    </bk>
    <bk>
      <rc t="2" v="7325"/>
    </bk>
    <bk>
      <rc t="2" v="7326"/>
    </bk>
    <bk>
      <rc t="2" v="7327"/>
    </bk>
    <bk>
      <rc t="2" v="7328"/>
    </bk>
    <bk>
      <rc t="2" v="7329"/>
    </bk>
    <bk>
      <rc t="2" v="7330"/>
    </bk>
    <bk>
      <rc t="2" v="7331"/>
    </bk>
    <bk>
      <rc t="2" v="7332"/>
    </bk>
    <bk>
      <rc t="2" v="7333"/>
    </bk>
    <bk>
      <rc t="2" v="7334"/>
    </bk>
    <bk>
      <rc t="2" v="7335"/>
    </bk>
    <bk>
      <rc t="2" v="7336"/>
    </bk>
    <bk>
      <rc t="2" v="7337"/>
    </bk>
    <bk>
      <rc t="2" v="7338"/>
    </bk>
    <bk>
      <rc t="2" v="7339"/>
    </bk>
    <bk>
      <rc t="2" v="7340"/>
    </bk>
    <bk>
      <rc t="2" v="7341"/>
    </bk>
    <bk>
      <rc t="2" v="7342"/>
    </bk>
    <bk>
      <rc t="2" v="7343"/>
    </bk>
    <bk>
      <rc t="2" v="7344"/>
    </bk>
    <bk>
      <rc t="2" v="7345"/>
    </bk>
    <bk>
      <rc t="2" v="7346"/>
    </bk>
    <bk>
      <rc t="2" v="7347"/>
    </bk>
    <bk>
      <rc t="2" v="7348"/>
    </bk>
    <bk>
      <rc t="2" v="7349"/>
    </bk>
    <bk>
      <rc t="2" v="7350"/>
    </bk>
    <bk>
      <rc t="2" v="7351"/>
    </bk>
    <bk>
      <rc t="2" v="7352"/>
    </bk>
    <bk>
      <rc t="2" v="7353"/>
    </bk>
    <bk>
      <rc t="2" v="7354"/>
    </bk>
    <bk>
      <rc t="2" v="7355"/>
    </bk>
    <bk>
      <rc t="2" v="7356"/>
    </bk>
    <bk>
      <rc t="2" v="7357"/>
    </bk>
    <bk>
      <rc t="2" v="7358"/>
    </bk>
    <bk>
      <rc t="2" v="7359"/>
    </bk>
    <bk>
      <rc t="2" v="7360"/>
    </bk>
    <bk>
      <rc t="2" v="7361"/>
    </bk>
    <bk>
      <rc t="2" v="7362"/>
    </bk>
    <bk>
      <rc t="2" v="7363"/>
    </bk>
    <bk>
      <rc t="2" v="7364"/>
    </bk>
    <bk>
      <rc t="2" v="7365"/>
    </bk>
    <bk>
      <rc t="2" v="7366"/>
    </bk>
    <bk>
      <rc t="2" v="7367"/>
    </bk>
    <bk>
      <rc t="2" v="7368"/>
    </bk>
    <bk>
      <rc t="2" v="7369"/>
    </bk>
    <bk>
      <rc t="2" v="7370"/>
    </bk>
    <bk>
      <rc t="2" v="7371"/>
    </bk>
    <bk>
      <rc t="2" v="7372"/>
    </bk>
    <bk>
      <rc t="2" v="7373"/>
    </bk>
    <bk>
      <rc t="2" v="7374"/>
    </bk>
    <bk>
      <rc t="2" v="7375"/>
    </bk>
    <bk>
      <rc t="2" v="7376"/>
    </bk>
    <bk>
      <rc t="2" v="7377"/>
    </bk>
    <bk>
      <rc t="2" v="7378"/>
    </bk>
    <bk>
      <rc t="2" v="7379"/>
    </bk>
    <bk>
      <rc t="2" v="7380"/>
    </bk>
    <bk>
      <rc t="2" v="7381"/>
    </bk>
    <bk>
      <rc t="2" v="7382"/>
    </bk>
    <bk>
      <rc t="2" v="7383"/>
    </bk>
    <bk>
      <rc t="2" v="7384"/>
    </bk>
    <bk>
      <rc t="2" v="7385"/>
    </bk>
    <bk>
      <rc t="2" v="7386"/>
    </bk>
    <bk>
      <rc t="2" v="7387"/>
    </bk>
    <bk>
      <rc t="2" v="7388"/>
    </bk>
    <bk>
      <rc t="2" v="7389"/>
    </bk>
    <bk>
      <rc t="2" v="7390"/>
    </bk>
    <bk>
      <rc t="2" v="7391"/>
    </bk>
    <bk>
      <rc t="2" v="7392"/>
    </bk>
    <bk>
      <rc t="2" v="7393"/>
    </bk>
    <bk>
      <rc t="2" v="7394"/>
    </bk>
    <bk>
      <rc t="2" v="7395"/>
    </bk>
    <bk>
      <rc t="2" v="7396"/>
    </bk>
    <bk>
      <rc t="2" v="7397"/>
    </bk>
    <bk>
      <rc t="2" v="7398"/>
    </bk>
    <bk>
      <rc t="2" v="7399"/>
    </bk>
    <bk>
      <rc t="2" v="7400"/>
    </bk>
    <bk>
      <rc t="2" v="7401"/>
    </bk>
    <bk>
      <rc t="2" v="7402"/>
    </bk>
    <bk>
      <rc t="2" v="7403"/>
    </bk>
    <bk>
      <rc t="2" v="7404"/>
    </bk>
    <bk>
      <rc t="2" v="7405"/>
    </bk>
    <bk>
      <rc t="2" v="7406"/>
    </bk>
    <bk>
      <rc t="2" v="7407"/>
    </bk>
    <bk>
      <rc t="2" v="7408"/>
    </bk>
    <bk>
      <rc t="2" v="7409"/>
    </bk>
    <bk>
      <rc t="2" v="7410"/>
    </bk>
    <bk>
      <rc t="2" v="7411"/>
    </bk>
    <bk>
      <rc t="2" v="7412"/>
    </bk>
    <bk>
      <rc t="2" v="7413"/>
    </bk>
    <bk>
      <rc t="2" v="7414"/>
    </bk>
    <bk>
      <rc t="2" v="7415"/>
    </bk>
    <bk>
      <rc t="2" v="7416"/>
    </bk>
    <bk>
      <rc t="2" v="7417"/>
    </bk>
    <bk>
      <rc t="2" v="7418"/>
    </bk>
    <bk>
      <rc t="2" v="7419"/>
    </bk>
    <bk>
      <rc t="2" v="7420"/>
    </bk>
    <bk>
      <rc t="2" v="7421"/>
    </bk>
    <bk>
      <rc t="2" v="7422"/>
    </bk>
    <bk>
      <rc t="2" v="7423"/>
    </bk>
    <bk>
      <rc t="2" v="7424"/>
    </bk>
    <bk>
      <rc t="2" v="7425"/>
    </bk>
    <bk>
      <rc t="2" v="7426"/>
    </bk>
    <bk>
      <rc t="2" v="7427"/>
    </bk>
    <bk>
      <rc t="2" v="7428"/>
    </bk>
    <bk>
      <rc t="2" v="7429"/>
    </bk>
    <bk>
      <rc t="2" v="7430"/>
    </bk>
    <bk>
      <rc t="2" v="7431"/>
    </bk>
    <bk>
      <rc t="2" v="7432"/>
    </bk>
    <bk>
      <rc t="2" v="7433"/>
    </bk>
    <bk>
      <rc t="2" v="7434"/>
    </bk>
    <bk>
      <rc t="2" v="7435"/>
    </bk>
    <bk>
      <rc t="2" v="7436"/>
    </bk>
    <bk>
      <rc t="2" v="7437"/>
    </bk>
    <bk>
      <rc t="2" v="7438"/>
    </bk>
    <bk>
      <rc t="2" v="7439"/>
    </bk>
    <bk>
      <rc t="2" v="7440"/>
    </bk>
    <bk>
      <rc t="2" v="7441"/>
    </bk>
    <bk>
      <rc t="2" v="7442"/>
    </bk>
    <bk>
      <rc t="2" v="7443"/>
    </bk>
    <bk>
      <rc t="2" v="7444"/>
    </bk>
    <bk>
      <rc t="2" v="7445"/>
    </bk>
    <bk>
      <rc t="2" v="7446"/>
    </bk>
    <bk>
      <rc t="2" v="7447"/>
    </bk>
    <bk>
      <rc t="2" v="7448"/>
    </bk>
    <bk>
      <rc t="2" v="7449"/>
    </bk>
    <bk>
      <rc t="2" v="7450"/>
    </bk>
    <bk>
      <rc t="2" v="7451"/>
    </bk>
    <bk>
      <rc t="2" v="7452"/>
    </bk>
    <bk>
      <rc t="2" v="7453"/>
    </bk>
    <bk>
      <rc t="2" v="7454"/>
    </bk>
    <bk>
      <rc t="2" v="7455"/>
    </bk>
    <bk>
      <rc t="2" v="7456"/>
    </bk>
    <bk>
      <rc t="2" v="7457"/>
    </bk>
    <bk>
      <rc t="2" v="7458"/>
    </bk>
    <bk>
      <rc t="2" v="7459"/>
    </bk>
    <bk>
      <rc t="2" v="7460"/>
    </bk>
    <bk>
      <rc t="2" v="7461"/>
    </bk>
    <bk>
      <rc t="2" v="7462"/>
    </bk>
    <bk>
      <rc t="2" v="7463"/>
    </bk>
    <bk>
      <rc t="2" v="7464"/>
    </bk>
    <bk>
      <rc t="2" v="7465"/>
    </bk>
    <bk>
      <rc t="2" v="7466"/>
    </bk>
    <bk>
      <rc t="2" v="7467"/>
    </bk>
    <bk>
      <rc t="2" v="7468"/>
    </bk>
    <bk>
      <rc t="2" v="7469"/>
    </bk>
    <bk>
      <rc t="2" v="7470"/>
    </bk>
    <bk>
      <rc t="2" v="7471"/>
    </bk>
    <bk>
      <rc t="2" v="7472"/>
    </bk>
    <bk>
      <rc t="2" v="7473"/>
    </bk>
    <bk>
      <rc t="2" v="7474"/>
    </bk>
    <bk>
      <rc t="2" v="7475"/>
    </bk>
    <bk>
      <rc t="2" v="7476"/>
    </bk>
    <bk>
      <rc t="2" v="7477"/>
    </bk>
    <bk>
      <rc t="2" v="7478"/>
    </bk>
    <bk>
      <rc t="2" v="7479"/>
    </bk>
    <bk>
      <rc t="2" v="7480"/>
    </bk>
    <bk>
      <rc t="2" v="7481"/>
    </bk>
    <bk>
      <rc t="2" v="7482"/>
    </bk>
    <bk>
      <rc t="2" v="7483"/>
    </bk>
    <bk>
      <rc t="2" v="7484"/>
    </bk>
    <bk>
      <rc t="2" v="7485"/>
    </bk>
    <bk>
      <rc t="2" v="7486"/>
    </bk>
    <bk>
      <rc t="2" v="7487"/>
    </bk>
    <bk>
      <rc t="2" v="7488"/>
    </bk>
    <bk>
      <rc t="2" v="7489"/>
    </bk>
    <bk>
      <rc t="2" v="7490"/>
    </bk>
    <bk>
      <rc t="2" v="7491"/>
    </bk>
    <bk>
      <rc t="2" v="7492"/>
    </bk>
    <bk>
      <rc t="2" v="7493"/>
    </bk>
    <bk>
      <rc t="2" v="7494"/>
    </bk>
    <bk>
      <rc t="2" v="7495"/>
    </bk>
    <bk>
      <rc t="2" v="7496"/>
    </bk>
    <bk>
      <rc t="2" v="7497"/>
    </bk>
    <bk>
      <rc t="2" v="7498"/>
    </bk>
    <bk>
      <rc t="2" v="7499"/>
    </bk>
    <bk>
      <rc t="2" v="7500"/>
    </bk>
    <bk>
      <rc t="2" v="7501"/>
    </bk>
    <bk>
      <rc t="2" v="7502"/>
    </bk>
    <bk>
      <rc t="2" v="7503"/>
    </bk>
    <bk>
      <rc t="2" v="7504"/>
    </bk>
    <bk>
      <rc t="2" v="7505"/>
    </bk>
    <bk>
      <rc t="2" v="7506"/>
    </bk>
    <bk>
      <rc t="2" v="7507"/>
    </bk>
    <bk>
      <rc t="2" v="7508"/>
    </bk>
    <bk>
      <rc t="2" v="7509"/>
    </bk>
    <bk>
      <rc t="2" v="7510"/>
    </bk>
    <bk>
      <rc t="2" v="7511"/>
    </bk>
    <bk>
      <rc t="2" v="7512"/>
    </bk>
    <bk>
      <rc t="2" v="7513"/>
    </bk>
    <bk>
      <rc t="2" v="7514"/>
    </bk>
    <bk>
      <rc t="2" v="7515"/>
    </bk>
    <bk>
      <rc t="2" v="7516"/>
    </bk>
    <bk>
      <rc t="2" v="7517"/>
    </bk>
    <bk>
      <rc t="2" v="7518"/>
    </bk>
    <bk>
      <rc t="2" v="7519"/>
    </bk>
    <bk>
      <rc t="2" v="7520"/>
    </bk>
    <bk>
      <rc t="2" v="7521"/>
    </bk>
    <bk>
      <rc t="2" v="7522"/>
    </bk>
    <bk>
      <rc t="2" v="7523"/>
    </bk>
    <bk>
      <rc t="2" v="7524"/>
    </bk>
    <bk>
      <rc t="2" v="7525"/>
    </bk>
    <bk>
      <rc t="2" v="7526"/>
    </bk>
    <bk>
      <rc t="2" v="7527"/>
    </bk>
    <bk>
      <rc t="2" v="7528"/>
    </bk>
    <bk>
      <rc t="2" v="7529"/>
    </bk>
    <bk>
      <rc t="2" v="7530"/>
    </bk>
    <bk>
      <rc t="2" v="7531"/>
    </bk>
    <bk>
      <rc t="2" v="7532"/>
    </bk>
    <bk>
      <rc t="2" v="7533"/>
    </bk>
    <bk>
      <rc t="2" v="7534"/>
    </bk>
    <bk>
      <rc t="2" v="7535"/>
    </bk>
    <bk>
      <rc t="2" v="7536"/>
    </bk>
    <bk>
      <rc t="2" v="7537"/>
    </bk>
    <bk>
      <rc t="2" v="7538"/>
    </bk>
    <bk>
      <rc t="2" v="7539"/>
    </bk>
    <bk>
      <rc t="2" v="7540"/>
    </bk>
    <bk>
      <rc t="2" v="7541"/>
    </bk>
    <bk>
      <rc t="2" v="7542"/>
    </bk>
    <bk>
      <rc t="2" v="7543"/>
    </bk>
    <bk>
      <rc t="2" v="7544"/>
    </bk>
    <bk>
      <rc t="2" v="7545"/>
    </bk>
    <bk>
      <rc t="2" v="7546"/>
    </bk>
    <bk>
      <rc t="2" v="7547"/>
    </bk>
    <bk>
      <rc t="2" v="7548"/>
    </bk>
    <bk>
      <rc t="2" v="7549"/>
    </bk>
    <bk>
      <rc t="2" v="7550"/>
    </bk>
    <bk>
      <rc t="2" v="7551"/>
    </bk>
    <bk>
      <rc t="2" v="7552"/>
    </bk>
    <bk>
      <rc t="2" v="7553"/>
    </bk>
    <bk>
      <rc t="2" v="7554"/>
    </bk>
    <bk>
      <rc t="2" v="7555"/>
    </bk>
    <bk>
      <rc t="2" v="7556"/>
    </bk>
    <bk>
      <rc t="2" v="7557"/>
    </bk>
    <bk>
      <rc t="2" v="7558"/>
    </bk>
    <bk>
      <rc t="2" v="7559"/>
    </bk>
    <bk>
      <rc t="2" v="7560"/>
    </bk>
    <bk>
      <rc t="2" v="7561"/>
    </bk>
    <bk>
      <rc t="2" v="7562"/>
    </bk>
    <bk>
      <rc t="2" v="7563"/>
    </bk>
    <bk>
      <rc t="2" v="7564"/>
    </bk>
    <bk>
      <rc t="2" v="7565"/>
    </bk>
    <bk>
      <rc t="2" v="7566"/>
    </bk>
    <bk>
      <rc t="2" v="7567"/>
    </bk>
    <bk>
      <rc t="2" v="7568"/>
    </bk>
    <bk>
      <rc t="2" v="7569"/>
    </bk>
    <bk>
      <rc t="2" v="7570"/>
    </bk>
    <bk>
      <rc t="2" v="7571"/>
    </bk>
    <bk>
      <rc t="2" v="7572"/>
    </bk>
    <bk>
      <rc t="2" v="7573"/>
    </bk>
    <bk>
      <rc t="2" v="7574"/>
    </bk>
    <bk>
      <rc t="2" v="7575"/>
    </bk>
    <bk>
      <rc t="2" v="7576"/>
    </bk>
    <bk>
      <rc t="2" v="7577"/>
    </bk>
    <bk>
      <rc t="2" v="7578"/>
    </bk>
    <bk>
      <rc t="2" v="7579"/>
    </bk>
    <bk>
      <rc t="2" v="7580"/>
    </bk>
    <bk>
      <rc t="2" v="7581"/>
    </bk>
    <bk>
      <rc t="2" v="7582"/>
    </bk>
    <bk>
      <rc t="2" v="7583"/>
    </bk>
    <bk>
      <rc t="2" v="7584"/>
    </bk>
    <bk>
      <rc t="2" v="7585"/>
    </bk>
    <bk>
      <rc t="2" v="7586"/>
    </bk>
    <bk>
      <rc t="2" v="7587"/>
    </bk>
    <bk>
      <rc t="2" v="7588"/>
    </bk>
    <bk>
      <rc t="2" v="7589"/>
    </bk>
    <bk>
      <rc t="2" v="7590"/>
    </bk>
    <bk>
      <rc t="2" v="7591"/>
    </bk>
    <bk>
      <rc t="2" v="7592"/>
    </bk>
    <bk>
      <rc t="2" v="7593"/>
    </bk>
    <bk>
      <rc t="2" v="7594"/>
    </bk>
    <bk>
      <rc t="2" v="7595"/>
    </bk>
    <bk>
      <rc t="2" v="7596"/>
    </bk>
    <bk>
      <rc t="2" v="7597"/>
    </bk>
    <bk>
      <rc t="2" v="7598"/>
    </bk>
    <bk>
      <rc t="2" v="7599"/>
    </bk>
    <bk>
      <rc t="2" v="7600"/>
    </bk>
    <bk>
      <rc t="2" v="7601"/>
    </bk>
    <bk>
      <rc t="2" v="7602"/>
    </bk>
    <bk>
      <rc t="2" v="7603"/>
    </bk>
    <bk>
      <rc t="2" v="7604"/>
    </bk>
    <bk>
      <rc t="2" v="7605"/>
    </bk>
    <bk>
      <rc t="2" v="7606"/>
    </bk>
    <bk>
      <rc t="2" v="7607"/>
    </bk>
    <bk>
      <rc t="2" v="7608"/>
    </bk>
    <bk>
      <rc t="2" v="7609"/>
    </bk>
    <bk>
      <rc t="2" v="7610"/>
    </bk>
    <bk>
      <rc t="2" v="7611"/>
    </bk>
    <bk>
      <rc t="2" v="7612"/>
    </bk>
    <bk>
      <rc t="2" v="7613"/>
    </bk>
    <bk>
      <rc t="2" v="7614"/>
    </bk>
    <bk>
      <rc t="2" v="7615"/>
    </bk>
    <bk>
      <rc t="2" v="7616"/>
    </bk>
    <bk>
      <rc t="2" v="7617"/>
    </bk>
    <bk>
      <rc t="2" v="7618"/>
    </bk>
    <bk>
      <rc t="2" v="7619"/>
    </bk>
    <bk>
      <rc t="2" v="7620"/>
    </bk>
    <bk>
      <rc t="2" v="7621"/>
    </bk>
    <bk>
      <rc t="2" v="7622"/>
    </bk>
    <bk>
      <rc t="2" v="7623"/>
    </bk>
    <bk>
      <rc t="2" v="7624"/>
    </bk>
    <bk>
      <rc t="2" v="7625"/>
    </bk>
    <bk>
      <rc t="2" v="7626"/>
    </bk>
    <bk>
      <rc t="2" v="7627"/>
    </bk>
    <bk>
      <rc t="2" v="7628"/>
    </bk>
    <bk>
      <rc t="2" v="7629"/>
    </bk>
    <bk>
      <rc t="2" v="7630"/>
    </bk>
    <bk>
      <rc t="2" v="7631"/>
    </bk>
    <bk>
      <rc t="2" v="7632"/>
    </bk>
    <bk>
      <rc t="2" v="7633"/>
    </bk>
    <bk>
      <rc t="2" v="7634"/>
    </bk>
    <bk>
      <rc t="2" v="7635"/>
    </bk>
    <bk>
      <rc t="2" v="7636"/>
    </bk>
    <bk>
      <rc t="2" v="7637"/>
    </bk>
    <bk>
      <rc t="2" v="7638"/>
    </bk>
    <bk>
      <rc t="2" v="7639"/>
    </bk>
    <bk>
      <rc t="2" v="7640"/>
    </bk>
    <bk>
      <rc t="2" v="7641"/>
    </bk>
    <bk>
      <rc t="2" v="7642"/>
    </bk>
    <bk>
      <rc t="2" v="7643"/>
    </bk>
    <bk>
      <rc t="2" v="7644"/>
    </bk>
    <bk>
      <rc t="2" v="7645"/>
    </bk>
    <bk>
      <rc t="2" v="7646"/>
    </bk>
    <bk>
      <rc t="2" v="7647"/>
    </bk>
    <bk>
      <rc t="2" v="7648"/>
    </bk>
    <bk>
      <rc t="2" v="7649"/>
    </bk>
    <bk>
      <rc t="2" v="7650"/>
    </bk>
    <bk>
      <rc t="2" v="7651"/>
    </bk>
    <bk>
      <rc t="2" v="7652"/>
    </bk>
    <bk>
      <rc t="2" v="7653"/>
    </bk>
    <bk>
      <rc t="2" v="7654"/>
    </bk>
    <bk>
      <rc t="2" v="7655"/>
    </bk>
    <bk>
      <rc t="2" v="7656"/>
    </bk>
    <bk>
      <rc t="2" v="7657"/>
    </bk>
    <bk>
      <rc t="2" v="7658"/>
    </bk>
    <bk>
      <rc t="2" v="7659"/>
    </bk>
    <bk>
      <rc t="2" v="7660"/>
    </bk>
    <bk>
      <rc t="2" v="7661"/>
    </bk>
    <bk>
      <rc t="2" v="7662"/>
    </bk>
    <bk>
      <rc t="2" v="7663"/>
    </bk>
    <bk>
      <rc t="2" v="7664"/>
    </bk>
    <bk>
      <rc t="2" v="7665"/>
    </bk>
    <bk>
      <rc t="2" v="7666"/>
    </bk>
    <bk>
      <rc t="2" v="7667"/>
    </bk>
    <bk>
      <rc t="2" v="7668"/>
    </bk>
    <bk>
      <rc t="2" v="7669"/>
    </bk>
    <bk>
      <rc t="2" v="7670"/>
    </bk>
    <bk>
      <rc t="2" v="7671"/>
    </bk>
    <bk>
      <rc t="2" v="7672"/>
    </bk>
    <bk>
      <rc t="2" v="7673"/>
    </bk>
    <bk>
      <rc t="2" v="7674"/>
    </bk>
    <bk>
      <rc t="2" v="7675"/>
    </bk>
    <bk>
      <rc t="2" v="7676"/>
    </bk>
    <bk>
      <rc t="2" v="7677"/>
    </bk>
    <bk>
      <rc t="2" v="7678"/>
    </bk>
    <bk>
      <rc t="2" v="7679"/>
    </bk>
    <bk>
      <rc t="2" v="7680"/>
    </bk>
    <bk>
      <rc t="2" v="7681"/>
    </bk>
    <bk>
      <rc t="2" v="7682"/>
    </bk>
    <bk>
      <rc t="2" v="7683"/>
    </bk>
    <bk>
      <rc t="2" v="7684"/>
    </bk>
    <bk>
      <rc t="2" v="7685"/>
    </bk>
    <bk>
      <rc t="2" v="7686"/>
    </bk>
    <bk>
      <rc t="2" v="7687"/>
    </bk>
    <bk>
      <rc t="2" v="7688"/>
    </bk>
    <bk>
      <rc t="2" v="7689"/>
    </bk>
    <bk>
      <rc t="2" v="7690"/>
    </bk>
    <bk>
      <rc t="2" v="7691"/>
    </bk>
    <bk>
      <rc t="2" v="7692"/>
    </bk>
    <bk>
      <rc t="2" v="7693"/>
    </bk>
    <bk>
      <rc t="2" v="7694"/>
    </bk>
    <bk>
      <rc t="2" v="7695"/>
    </bk>
    <bk>
      <rc t="2" v="7696"/>
    </bk>
    <bk>
      <rc t="2" v="7697"/>
    </bk>
    <bk>
      <rc t="2" v="7698"/>
    </bk>
    <bk>
      <rc t="2" v="7699"/>
    </bk>
    <bk>
      <rc t="2" v="7700"/>
    </bk>
    <bk>
      <rc t="2" v="7701"/>
    </bk>
    <bk>
      <rc t="2" v="7702"/>
    </bk>
    <bk>
      <rc t="2" v="7703"/>
    </bk>
    <bk>
      <rc t="2" v="7704"/>
    </bk>
    <bk>
      <rc t="2" v="7705"/>
    </bk>
    <bk>
      <rc t="2" v="7706"/>
    </bk>
    <bk>
      <rc t="2" v="7707"/>
    </bk>
    <bk>
      <rc t="2" v="7708"/>
    </bk>
    <bk>
      <rc t="2" v="7709"/>
    </bk>
    <bk>
      <rc t="2" v="7710"/>
    </bk>
    <bk>
      <rc t="2" v="7711"/>
    </bk>
    <bk>
      <rc t="2" v="7712"/>
    </bk>
    <bk>
      <rc t="2" v="7713"/>
    </bk>
    <bk>
      <rc t="2" v="7714"/>
    </bk>
    <bk>
      <rc t="2" v="7715"/>
    </bk>
    <bk>
      <rc t="2" v="7716"/>
    </bk>
    <bk>
      <rc t="2" v="7717"/>
    </bk>
    <bk>
      <rc t="2" v="7718"/>
    </bk>
    <bk>
      <rc t="2" v="7719"/>
    </bk>
    <bk>
      <rc t="2" v="7720"/>
    </bk>
    <bk>
      <rc t="2" v="7721"/>
    </bk>
    <bk>
      <rc t="2" v="7722"/>
    </bk>
    <bk>
      <rc t="2" v="7723"/>
    </bk>
    <bk>
      <rc t="2" v="7724"/>
    </bk>
    <bk>
      <rc t="2" v="7725"/>
    </bk>
    <bk>
      <rc t="2" v="7726"/>
    </bk>
    <bk>
      <rc t="2" v="7727"/>
    </bk>
    <bk>
      <rc t="2" v="7728"/>
    </bk>
    <bk>
      <rc t="2" v="7729"/>
    </bk>
    <bk>
      <rc t="2" v="7730"/>
    </bk>
    <bk>
      <rc t="2" v="7731"/>
    </bk>
    <bk>
      <rc t="2" v="7732"/>
    </bk>
    <bk>
      <rc t="2" v="7733"/>
    </bk>
    <bk>
      <rc t="2" v="7734"/>
    </bk>
    <bk>
      <rc t="2" v="7735"/>
    </bk>
    <bk>
      <rc t="2" v="7736"/>
    </bk>
    <bk>
      <rc t="2" v="7737"/>
    </bk>
    <bk>
      <rc t="2" v="7738"/>
    </bk>
    <bk>
      <rc t="2" v="7739"/>
    </bk>
    <bk>
      <rc t="2" v="7740"/>
    </bk>
    <bk>
      <rc t="2" v="7741"/>
    </bk>
    <bk>
      <rc t="2" v="7742"/>
    </bk>
    <bk>
      <rc t="2" v="7743"/>
    </bk>
    <bk>
      <rc t="2" v="7744"/>
    </bk>
    <bk>
      <rc t="2" v="7745"/>
    </bk>
    <bk>
      <rc t="2" v="7746"/>
    </bk>
    <bk>
      <rc t="2" v="7747"/>
    </bk>
    <bk>
      <rc t="2" v="7748"/>
    </bk>
    <bk>
      <rc t="2" v="7749"/>
    </bk>
    <bk>
      <rc t="2" v="7750"/>
    </bk>
    <bk>
      <rc t="2" v="7751"/>
    </bk>
    <bk>
      <rc t="2" v="7752"/>
    </bk>
    <bk>
      <rc t="2" v="7753"/>
    </bk>
    <bk>
      <rc t="2" v="7754"/>
    </bk>
    <bk>
      <rc t="2" v="7755"/>
    </bk>
    <bk>
      <rc t="2" v="7756"/>
    </bk>
    <bk>
      <rc t="2" v="7757"/>
    </bk>
    <bk>
      <rc t="2" v="7758"/>
    </bk>
    <bk>
      <rc t="2" v="7759"/>
    </bk>
    <bk>
      <rc t="2" v="7760"/>
    </bk>
    <bk>
      <rc t="2" v="7761"/>
    </bk>
    <bk>
      <rc t="2" v="7762"/>
    </bk>
    <bk>
      <rc t="2" v="7763"/>
    </bk>
    <bk>
      <rc t="2" v="7764"/>
    </bk>
    <bk>
      <rc t="2" v="7765"/>
    </bk>
    <bk>
      <rc t="2" v="7766"/>
    </bk>
    <bk>
      <rc t="2" v="7767"/>
    </bk>
    <bk>
      <rc t="2" v="7768"/>
    </bk>
    <bk>
      <rc t="2" v="7769"/>
    </bk>
    <bk>
      <rc t="2" v="7770"/>
    </bk>
    <bk>
      <rc t="2" v="7771"/>
    </bk>
    <bk>
      <rc t="2" v="7772"/>
    </bk>
    <bk>
      <rc t="2" v="7773"/>
    </bk>
    <bk>
      <rc t="2" v="7774"/>
    </bk>
    <bk>
      <rc t="2" v="7775"/>
    </bk>
    <bk>
      <rc t="2" v="7776"/>
    </bk>
    <bk>
      <rc t="2" v="7777"/>
    </bk>
    <bk>
      <rc t="2" v="7778"/>
    </bk>
    <bk>
      <rc t="2" v="7779"/>
    </bk>
    <bk>
      <rc t="2" v="7780"/>
    </bk>
    <bk>
      <rc t="2" v="7781"/>
    </bk>
    <bk>
      <rc t="2" v="7782"/>
    </bk>
    <bk>
      <rc t="2" v="7783"/>
    </bk>
    <bk>
      <rc t="2" v="7784"/>
    </bk>
    <bk>
      <rc t="2" v="7785"/>
    </bk>
    <bk>
      <rc t="2" v="7786"/>
    </bk>
    <bk>
      <rc t="2" v="7787"/>
    </bk>
    <bk>
      <rc t="2" v="7788"/>
    </bk>
    <bk>
      <rc t="2" v="7789"/>
    </bk>
    <bk>
      <rc t="2" v="7790"/>
    </bk>
    <bk>
      <rc t="2" v="7791"/>
    </bk>
    <bk>
      <rc t="2" v="7792"/>
    </bk>
    <bk>
      <rc t="2" v="7793"/>
    </bk>
    <bk>
      <rc t="2" v="7794"/>
    </bk>
    <bk>
      <rc t="2" v="7795"/>
    </bk>
    <bk>
      <rc t="2" v="7796"/>
    </bk>
    <bk>
      <rc t="2" v="7797"/>
    </bk>
    <bk>
      <rc t="2" v="7798"/>
    </bk>
    <bk>
      <rc t="2" v="7799"/>
    </bk>
    <bk>
      <rc t="2" v="7800"/>
    </bk>
    <bk>
      <rc t="2" v="7801"/>
    </bk>
    <bk>
      <rc t="2" v="7802"/>
    </bk>
    <bk>
      <rc t="2" v="7803"/>
    </bk>
    <bk>
      <rc t="2" v="7804"/>
    </bk>
    <bk>
      <rc t="2" v="7805"/>
    </bk>
    <bk>
      <rc t="2" v="7806"/>
    </bk>
    <bk>
      <rc t="2" v="7807"/>
    </bk>
    <bk>
      <rc t="2" v="7808"/>
    </bk>
    <bk>
      <rc t="2" v="7809"/>
    </bk>
    <bk>
      <rc t="2" v="7810"/>
    </bk>
    <bk>
      <rc t="2" v="7811"/>
    </bk>
    <bk>
      <rc t="2" v="7812"/>
    </bk>
    <bk>
      <rc t="2" v="7813"/>
    </bk>
    <bk>
      <rc t="2" v="7814"/>
    </bk>
    <bk>
      <rc t="2" v="7815"/>
    </bk>
    <bk>
      <rc t="2" v="7816"/>
    </bk>
    <bk>
      <rc t="2" v="7817"/>
    </bk>
    <bk>
      <rc t="2" v="7818"/>
    </bk>
    <bk>
      <rc t="2" v="7819"/>
    </bk>
    <bk>
      <rc t="2" v="7820"/>
    </bk>
    <bk>
      <rc t="2" v="7821"/>
    </bk>
    <bk>
      <rc t="2" v="7822"/>
    </bk>
    <bk>
      <rc t="2" v="7823"/>
    </bk>
    <bk>
      <rc t="2" v="7824"/>
    </bk>
    <bk>
      <rc t="2" v="7825"/>
    </bk>
    <bk>
      <rc t="2" v="7826"/>
    </bk>
    <bk>
      <rc t="2" v="7827"/>
    </bk>
    <bk>
      <rc t="2" v="7828"/>
    </bk>
    <bk>
      <rc t="2" v="7829"/>
    </bk>
    <bk>
      <rc t="2" v="7830"/>
    </bk>
    <bk>
      <rc t="2" v="7831"/>
    </bk>
    <bk>
      <rc t="2" v="7832"/>
    </bk>
    <bk>
      <rc t="2" v="7833"/>
    </bk>
    <bk>
      <rc t="2" v="7834"/>
    </bk>
    <bk>
      <rc t="2" v="7835"/>
    </bk>
    <bk>
      <rc t="2" v="7836"/>
    </bk>
    <bk>
      <rc t="2" v="7837"/>
    </bk>
    <bk>
      <rc t="2" v="7838"/>
    </bk>
    <bk>
      <rc t="2" v="7839"/>
    </bk>
    <bk>
      <rc t="2" v="7840"/>
    </bk>
    <bk>
      <rc t="2" v="7841"/>
    </bk>
    <bk>
      <rc t="2" v="7842"/>
    </bk>
    <bk>
      <rc t="2" v="7843"/>
    </bk>
    <bk>
      <rc t="2" v="7844"/>
    </bk>
    <bk>
      <rc t="2" v="7845"/>
    </bk>
    <bk>
      <rc t="2" v="7846"/>
    </bk>
    <bk>
      <rc t="2" v="7847"/>
    </bk>
    <bk>
      <rc t="2" v="7848"/>
    </bk>
    <bk>
      <rc t="2" v="7849"/>
    </bk>
    <bk>
      <rc t="2" v="7850"/>
    </bk>
    <bk>
      <rc t="2" v="7851"/>
    </bk>
    <bk>
      <rc t="2" v="7852"/>
    </bk>
    <bk>
      <rc t="2" v="7853"/>
    </bk>
    <bk>
      <rc t="2" v="7854"/>
    </bk>
    <bk>
      <rc t="2" v="7855"/>
    </bk>
    <bk>
      <rc t="2" v="7856"/>
    </bk>
    <bk>
      <rc t="2" v="7857"/>
    </bk>
    <bk>
      <rc t="2" v="7858"/>
    </bk>
    <bk>
      <rc t="2" v="7859"/>
    </bk>
    <bk>
      <rc t="2" v="7860"/>
    </bk>
    <bk>
      <rc t="2" v="7861"/>
    </bk>
    <bk>
      <rc t="2" v="7862"/>
    </bk>
    <bk>
      <rc t="2" v="7863"/>
    </bk>
    <bk>
      <rc t="2" v="7864"/>
    </bk>
    <bk>
      <rc t="2" v="7865"/>
    </bk>
    <bk>
      <rc t="2" v="7866"/>
    </bk>
    <bk>
      <rc t="2" v="7867"/>
    </bk>
    <bk>
      <rc t="2" v="7868"/>
    </bk>
    <bk>
      <rc t="2" v="7869"/>
    </bk>
    <bk>
      <rc t="2" v="7870"/>
    </bk>
    <bk>
      <rc t="2" v="7871"/>
    </bk>
    <bk>
      <rc t="2" v="7872"/>
    </bk>
    <bk>
      <rc t="2" v="7873"/>
    </bk>
    <bk>
      <rc t="2" v="7874"/>
    </bk>
    <bk>
      <rc t="2" v="7875"/>
    </bk>
    <bk>
      <rc t="2" v="7876"/>
    </bk>
    <bk>
      <rc t="2" v="7877"/>
    </bk>
    <bk>
      <rc t="2" v="7878"/>
    </bk>
    <bk>
      <rc t="2" v="7879"/>
    </bk>
    <bk>
      <rc t="2" v="7880"/>
    </bk>
    <bk>
      <rc t="2" v="7881"/>
    </bk>
    <bk>
      <rc t="2" v="7882"/>
    </bk>
    <bk>
      <rc t="2" v="7883"/>
    </bk>
    <bk>
      <rc t="2" v="7884"/>
    </bk>
    <bk>
      <rc t="2" v="7885"/>
    </bk>
    <bk>
      <rc t="2" v="7886"/>
    </bk>
    <bk>
      <rc t="2" v="7887"/>
    </bk>
    <bk>
      <rc t="2" v="7888"/>
    </bk>
    <bk>
      <rc t="2" v="7889"/>
    </bk>
    <bk>
      <rc t="2" v="7890"/>
    </bk>
    <bk>
      <rc t="2" v="7891"/>
    </bk>
    <bk>
      <rc t="2" v="7892"/>
    </bk>
    <bk>
      <rc t="2" v="7893"/>
    </bk>
    <bk>
      <rc t="2" v="7894"/>
    </bk>
    <bk>
      <rc t="2" v="7895"/>
    </bk>
    <bk>
      <rc t="2" v="7896"/>
    </bk>
    <bk>
      <rc t="2" v="7897"/>
    </bk>
    <bk>
      <rc t="2" v="7898"/>
    </bk>
    <bk>
      <rc t="2" v="7899"/>
    </bk>
    <bk>
      <rc t="2" v="7900"/>
    </bk>
    <bk>
      <rc t="2" v="7901"/>
    </bk>
    <bk>
      <rc t="2" v="7902"/>
    </bk>
    <bk>
      <rc t="2" v="7903"/>
    </bk>
    <bk>
      <rc t="2" v="7904"/>
    </bk>
    <bk>
      <rc t="2" v="7905"/>
    </bk>
    <bk>
      <rc t="2" v="7906"/>
    </bk>
    <bk>
      <rc t="2" v="7907"/>
    </bk>
    <bk>
      <rc t="2" v="7908"/>
    </bk>
    <bk>
      <rc t="2" v="7909"/>
    </bk>
    <bk>
      <rc t="2" v="7910"/>
    </bk>
    <bk>
      <rc t="2" v="7911"/>
    </bk>
    <bk>
      <rc t="2" v="7912"/>
    </bk>
    <bk>
      <rc t="2" v="7913"/>
    </bk>
    <bk>
      <rc t="2" v="7914"/>
    </bk>
    <bk>
      <rc t="2" v="7915"/>
    </bk>
    <bk>
      <rc t="2" v="7916"/>
    </bk>
    <bk>
      <rc t="2" v="7917"/>
    </bk>
    <bk>
      <rc t="2" v="7918"/>
    </bk>
    <bk>
      <rc t="2" v="7919"/>
    </bk>
    <bk>
      <rc t="2" v="7920"/>
    </bk>
    <bk>
      <rc t="2" v="7921"/>
    </bk>
    <bk>
      <rc t="2" v="7922"/>
    </bk>
    <bk>
      <rc t="2" v="7923"/>
    </bk>
    <bk>
      <rc t="2" v="7924"/>
    </bk>
    <bk>
      <rc t="2" v="7925"/>
    </bk>
    <bk>
      <rc t="2" v="7926"/>
    </bk>
    <bk>
      <rc t="2" v="7927"/>
    </bk>
    <bk>
      <rc t="2" v="7928"/>
    </bk>
    <bk>
      <rc t="2" v="7929"/>
    </bk>
    <bk>
      <rc t="2" v="7930"/>
    </bk>
    <bk>
      <rc t="2" v="7931"/>
    </bk>
    <bk>
      <rc t="2" v="7932"/>
    </bk>
    <bk>
      <rc t="2" v="7933"/>
    </bk>
    <bk>
      <rc t="2" v="7934"/>
    </bk>
    <bk>
      <rc t="2" v="7935"/>
    </bk>
    <bk>
      <rc t="2" v="7936"/>
    </bk>
    <bk>
      <rc t="2" v="7937"/>
    </bk>
    <bk>
      <rc t="2" v="7938"/>
    </bk>
    <bk>
      <rc t="2" v="7939"/>
    </bk>
    <bk>
      <rc t="2" v="7940"/>
    </bk>
    <bk>
      <rc t="2" v="7941"/>
    </bk>
    <bk>
      <rc t="2" v="7942"/>
    </bk>
    <bk>
      <rc t="2" v="7943"/>
    </bk>
    <bk>
      <rc t="2" v="7944"/>
    </bk>
    <bk>
      <rc t="2" v="7945"/>
    </bk>
    <bk>
      <rc t="2" v="7946"/>
    </bk>
    <bk>
      <rc t="2" v="7947"/>
    </bk>
    <bk>
      <rc t="2" v="7948"/>
    </bk>
    <bk>
      <rc t="2" v="7949"/>
    </bk>
    <bk>
      <rc t="2" v="7950"/>
    </bk>
    <bk>
      <rc t="2" v="7951"/>
    </bk>
    <bk>
      <rc t="2" v="7952"/>
    </bk>
    <bk>
      <rc t="2" v="7953"/>
    </bk>
    <bk>
      <rc t="2" v="7954"/>
    </bk>
    <bk>
      <rc t="2" v="7955"/>
    </bk>
    <bk>
      <rc t="2" v="7956"/>
    </bk>
    <bk>
      <rc t="2" v="7957"/>
    </bk>
    <bk>
      <rc t="2" v="7958"/>
    </bk>
    <bk>
      <rc t="2" v="7959"/>
    </bk>
    <bk>
      <rc t="2" v="7960"/>
    </bk>
    <bk>
      <rc t="2" v="7961"/>
    </bk>
    <bk>
      <rc t="2" v="7962"/>
    </bk>
    <bk>
      <rc t="2" v="7963"/>
    </bk>
    <bk>
      <rc t="2" v="7964"/>
    </bk>
    <bk>
      <rc t="2" v="7965"/>
    </bk>
    <bk>
      <rc t="2" v="7966"/>
    </bk>
    <bk>
      <rc t="2" v="7967"/>
    </bk>
    <bk>
      <rc t="2" v="7968"/>
    </bk>
    <bk>
      <rc t="2" v="7969"/>
    </bk>
    <bk>
      <rc t="2" v="7970"/>
    </bk>
    <bk>
      <rc t="2" v="7971"/>
    </bk>
    <bk>
      <rc t="2" v="7972"/>
    </bk>
    <bk>
      <rc t="2" v="7973"/>
    </bk>
    <bk>
      <rc t="2" v="7974"/>
    </bk>
    <bk>
      <rc t="2" v="7975"/>
    </bk>
    <bk>
      <rc t="2" v="7976"/>
    </bk>
    <bk>
      <rc t="2" v="7977"/>
    </bk>
    <bk>
      <rc t="2" v="7978"/>
    </bk>
    <bk>
      <rc t="2" v="7979"/>
    </bk>
    <bk>
      <rc t="2" v="7980"/>
    </bk>
    <bk>
      <rc t="2" v="7981"/>
    </bk>
    <bk>
      <rc t="2" v="7982"/>
    </bk>
    <bk>
      <rc t="2" v="7983"/>
    </bk>
    <bk>
      <rc t="2" v="7984"/>
    </bk>
    <bk>
      <rc t="2" v="7985"/>
    </bk>
    <bk>
      <rc t="2" v="7986"/>
    </bk>
    <bk>
      <rc t="2" v="7987"/>
    </bk>
    <bk>
      <rc t="2" v="7988"/>
    </bk>
    <bk>
      <rc t="2" v="7989"/>
    </bk>
    <bk>
      <rc t="2" v="7990"/>
    </bk>
    <bk>
      <rc t="2" v="7991"/>
    </bk>
    <bk>
      <rc t="2" v="7992"/>
    </bk>
    <bk>
      <rc t="2" v="7993"/>
    </bk>
    <bk>
      <rc t="2" v="7994"/>
    </bk>
    <bk>
      <rc t="2" v="7995"/>
    </bk>
    <bk>
      <rc t="2" v="7996"/>
    </bk>
    <bk>
      <rc t="2" v="7997"/>
    </bk>
    <bk>
      <rc t="2" v="7998"/>
    </bk>
    <bk>
      <rc t="2" v="7999"/>
    </bk>
    <bk>
      <rc t="2" v="8000"/>
    </bk>
    <bk>
      <rc t="2" v="8001"/>
    </bk>
    <bk>
      <rc t="2" v="8002"/>
    </bk>
    <bk>
      <rc t="2" v="8003"/>
    </bk>
    <bk>
      <rc t="2" v="8004"/>
    </bk>
    <bk>
      <rc t="2" v="8005"/>
    </bk>
    <bk>
      <rc t="2" v="8006"/>
    </bk>
    <bk>
      <rc t="2" v="8007"/>
    </bk>
    <bk>
      <rc t="2" v="8008"/>
    </bk>
    <bk>
      <rc t="2" v="8009"/>
    </bk>
    <bk>
      <rc t="2" v="8010"/>
    </bk>
    <bk>
      <rc t="2" v="8011"/>
    </bk>
    <bk>
      <rc t="2" v="8012"/>
    </bk>
    <bk>
      <rc t="2" v="8013"/>
    </bk>
    <bk>
      <rc t="2" v="8014"/>
    </bk>
    <bk>
      <rc t="2" v="8015"/>
    </bk>
    <bk>
      <rc t="2" v="8016"/>
    </bk>
    <bk>
      <rc t="2" v="8017"/>
    </bk>
    <bk>
      <rc t="2" v="8018"/>
    </bk>
    <bk>
      <rc t="2" v="8019"/>
    </bk>
    <bk>
      <rc t="2" v="8020"/>
    </bk>
    <bk>
      <rc t="2" v="8021"/>
    </bk>
    <bk>
      <rc t="2" v="8022"/>
    </bk>
    <bk>
      <rc t="2" v="8023"/>
    </bk>
    <bk>
      <rc t="2" v="8024"/>
    </bk>
    <bk>
      <rc t="2" v="8025"/>
    </bk>
    <bk>
      <rc t="2" v="8026"/>
    </bk>
    <bk>
      <rc t="2" v="8027"/>
    </bk>
    <bk>
      <rc t="2" v="8028"/>
    </bk>
    <bk>
      <rc t="2" v="8029"/>
    </bk>
    <bk>
      <rc t="2" v="8030"/>
    </bk>
    <bk>
      <rc t="2" v="8031"/>
    </bk>
    <bk>
      <rc t="2" v="8032"/>
    </bk>
    <bk>
      <rc t="2" v="8033"/>
    </bk>
    <bk>
      <rc t="2" v="8034"/>
    </bk>
    <bk>
      <rc t="2" v="8035"/>
    </bk>
    <bk>
      <rc t="2" v="8036"/>
    </bk>
    <bk>
      <rc t="2" v="8037"/>
    </bk>
    <bk>
      <rc t="2" v="8038"/>
    </bk>
    <bk>
      <rc t="2" v="8039"/>
    </bk>
    <bk>
      <rc t="2" v="8040"/>
    </bk>
    <bk>
      <rc t="2" v="8041"/>
    </bk>
    <bk>
      <rc t="2" v="8042"/>
    </bk>
    <bk>
      <rc t="2" v="8043"/>
    </bk>
    <bk>
      <rc t="2" v="8044"/>
    </bk>
    <bk>
      <rc t="2" v="8045"/>
    </bk>
    <bk>
      <rc t="2" v="8046"/>
    </bk>
    <bk>
      <rc t="2" v="8047"/>
    </bk>
    <bk>
      <rc t="2" v="8048"/>
    </bk>
    <bk>
      <rc t="2" v="8049"/>
    </bk>
    <bk>
      <rc t="2" v="8050"/>
    </bk>
    <bk>
      <rc t="2" v="8051"/>
    </bk>
    <bk>
      <rc t="2" v="8052"/>
    </bk>
    <bk>
      <rc t="2" v="8053"/>
    </bk>
    <bk>
      <rc t="2" v="8054"/>
    </bk>
    <bk>
      <rc t="2" v="8055"/>
    </bk>
    <bk>
      <rc t="2" v="8056"/>
    </bk>
    <bk>
      <rc t="2" v="8057"/>
    </bk>
    <bk>
      <rc t="2" v="8058"/>
    </bk>
    <bk>
      <rc t="2" v="8059"/>
    </bk>
    <bk>
      <rc t="2" v="8060"/>
    </bk>
    <bk>
      <rc t="2" v="8061"/>
    </bk>
    <bk>
      <rc t="2" v="8062"/>
    </bk>
    <bk>
      <rc t="2" v="8063"/>
    </bk>
    <bk>
      <rc t="2" v="8064"/>
    </bk>
    <bk>
      <rc t="2" v="8065"/>
    </bk>
    <bk>
      <rc t="2" v="8066"/>
    </bk>
    <bk>
      <rc t="2" v="8067"/>
    </bk>
    <bk>
      <rc t="2" v="8068"/>
    </bk>
    <bk>
      <rc t="2" v="8069"/>
    </bk>
    <bk>
      <rc t="2" v="8070"/>
    </bk>
    <bk>
      <rc t="2" v="8071"/>
    </bk>
    <bk>
      <rc t="2" v="8072"/>
    </bk>
    <bk>
      <rc t="2" v="8073"/>
    </bk>
    <bk>
      <rc t="2" v="8074"/>
    </bk>
    <bk>
      <rc t="2" v="8075"/>
    </bk>
    <bk>
      <rc t="2" v="8076"/>
    </bk>
    <bk>
      <rc t="2" v="8077"/>
    </bk>
    <bk>
      <rc t="2" v="8078"/>
    </bk>
    <bk>
      <rc t="2" v="8079"/>
    </bk>
    <bk>
      <rc t="2" v="8080"/>
    </bk>
    <bk>
      <rc t="2" v="8081"/>
    </bk>
    <bk>
      <rc t="2" v="8082"/>
    </bk>
    <bk>
      <rc t="2" v="8083"/>
    </bk>
    <bk>
      <rc t="2" v="8084"/>
    </bk>
    <bk>
      <rc t="2" v="8085"/>
    </bk>
    <bk>
      <rc t="2" v="8086"/>
    </bk>
    <bk>
      <rc t="2" v="8087"/>
    </bk>
    <bk>
      <rc t="2" v="8088"/>
    </bk>
    <bk>
      <rc t="2" v="8089"/>
    </bk>
    <bk>
      <rc t="2" v="8090"/>
    </bk>
    <bk>
      <rc t="2" v="8091"/>
    </bk>
    <bk>
      <rc t="2" v="8092"/>
    </bk>
    <bk>
      <rc t="2" v="8093"/>
    </bk>
    <bk>
      <rc t="2" v="8094"/>
    </bk>
    <bk>
      <rc t="2" v="8095"/>
    </bk>
    <bk>
      <rc t="2" v="8096"/>
    </bk>
    <bk>
      <rc t="2" v="8097"/>
    </bk>
    <bk>
      <rc t="2" v="8098"/>
    </bk>
    <bk>
      <rc t="2" v="8099"/>
    </bk>
    <bk>
      <rc t="2" v="8100"/>
    </bk>
    <bk>
      <rc t="2" v="8101"/>
    </bk>
    <bk>
      <rc t="2" v="8102"/>
    </bk>
    <bk>
      <rc t="2" v="8103"/>
    </bk>
    <bk>
      <rc t="2" v="8104"/>
    </bk>
    <bk>
      <rc t="2" v="8105"/>
    </bk>
    <bk>
      <rc t="2" v="8106"/>
    </bk>
    <bk>
      <rc t="2" v="8107"/>
    </bk>
    <bk>
      <rc t="2" v="8108"/>
    </bk>
    <bk>
      <rc t="2" v="8109"/>
    </bk>
    <bk>
      <rc t="2" v="8110"/>
    </bk>
    <bk>
      <rc t="2" v="8111"/>
    </bk>
    <bk>
      <rc t="2" v="8112"/>
    </bk>
    <bk>
      <rc t="2" v="8113"/>
    </bk>
    <bk>
      <rc t="2" v="8114"/>
    </bk>
    <bk>
      <rc t="2" v="8115"/>
    </bk>
    <bk>
      <rc t="2" v="8116"/>
    </bk>
    <bk>
      <rc t="2" v="8117"/>
    </bk>
    <bk>
      <rc t="2" v="8118"/>
    </bk>
    <bk>
      <rc t="2" v="8119"/>
    </bk>
    <bk>
      <rc t="2" v="8120"/>
    </bk>
    <bk>
      <rc t="2" v="8121"/>
    </bk>
    <bk>
      <rc t="2" v="8122"/>
    </bk>
    <bk>
      <rc t="2" v="8123"/>
    </bk>
    <bk>
      <rc t="2" v="8124"/>
    </bk>
    <bk>
      <rc t="2" v="8125"/>
    </bk>
    <bk>
      <rc t="2" v="8126"/>
    </bk>
    <bk>
      <rc t="2" v="8127"/>
    </bk>
    <bk>
      <rc t="2" v="8128"/>
    </bk>
    <bk>
      <rc t="2" v="8129"/>
    </bk>
    <bk>
      <rc t="2" v="8130"/>
    </bk>
    <bk>
      <rc t="2" v="8131"/>
    </bk>
    <bk>
      <rc t="2" v="8132"/>
    </bk>
    <bk>
      <rc t="2" v="8133"/>
    </bk>
    <bk>
      <rc t="2" v="8134"/>
    </bk>
    <bk>
      <rc t="2" v="8135"/>
    </bk>
    <bk>
      <rc t="2" v="8136"/>
    </bk>
    <bk>
      <rc t="2" v="8137"/>
    </bk>
    <bk>
      <rc t="2" v="8138"/>
    </bk>
    <bk>
      <rc t="2" v="8139"/>
    </bk>
    <bk>
      <rc t="2" v="8140"/>
    </bk>
    <bk>
      <rc t="2" v="8141"/>
    </bk>
    <bk>
      <rc t="2" v="8142"/>
    </bk>
    <bk>
      <rc t="2" v="8143"/>
    </bk>
    <bk>
      <rc t="2" v="8144"/>
    </bk>
    <bk>
      <rc t="2" v="8145"/>
    </bk>
    <bk>
      <rc t="2" v="8146"/>
    </bk>
    <bk>
      <rc t="2" v="8147"/>
    </bk>
    <bk>
      <rc t="2" v="8148"/>
    </bk>
    <bk>
      <rc t="2" v="8149"/>
    </bk>
    <bk>
      <rc t="2" v="8150"/>
    </bk>
    <bk>
      <rc t="2" v="8151"/>
    </bk>
    <bk>
      <rc t="2" v="8152"/>
    </bk>
    <bk>
      <rc t="2" v="8153"/>
    </bk>
    <bk>
      <rc t="2" v="8154"/>
    </bk>
    <bk>
      <rc t="2" v="8155"/>
    </bk>
    <bk>
      <rc t="2" v="8156"/>
    </bk>
    <bk>
      <rc t="2" v="8157"/>
    </bk>
    <bk>
      <rc t="2" v="8158"/>
    </bk>
    <bk>
      <rc t="2" v="8159"/>
    </bk>
    <bk>
      <rc t="2" v="8160"/>
    </bk>
    <bk>
      <rc t="2" v="8161"/>
    </bk>
    <bk>
      <rc t="2" v="8162"/>
    </bk>
    <bk>
      <rc t="2" v="8163"/>
    </bk>
    <bk>
      <rc t="2" v="8164"/>
    </bk>
    <bk>
      <rc t="2" v="8165"/>
    </bk>
    <bk>
      <rc t="2" v="8166"/>
    </bk>
    <bk>
      <rc t="2" v="8167"/>
    </bk>
    <bk>
      <rc t="2" v="8168"/>
    </bk>
    <bk>
      <rc t="2" v="8169"/>
    </bk>
    <bk>
      <rc t="2" v="8170"/>
    </bk>
    <bk>
      <rc t="2" v="8171"/>
    </bk>
    <bk>
      <rc t="2" v="8172"/>
    </bk>
    <bk>
      <rc t="2" v="8173"/>
    </bk>
    <bk>
      <rc t="2" v="8174"/>
    </bk>
    <bk>
      <rc t="2" v="8175"/>
    </bk>
    <bk>
      <rc t="2" v="8176"/>
    </bk>
    <bk>
      <rc t="2" v="8177"/>
    </bk>
    <bk>
      <rc t="2" v="8178"/>
    </bk>
    <bk>
      <rc t="2" v="8179"/>
    </bk>
    <bk>
      <rc t="2" v="8180"/>
    </bk>
    <bk>
      <rc t="2" v="8181"/>
    </bk>
    <bk>
      <rc t="2" v="8182"/>
    </bk>
    <bk>
      <rc t="2" v="8183"/>
    </bk>
    <bk>
      <rc t="2" v="8184"/>
    </bk>
    <bk>
      <rc t="2" v="8185"/>
    </bk>
    <bk>
      <rc t="2" v="8186"/>
    </bk>
    <bk>
      <rc t="2" v="8187"/>
    </bk>
    <bk>
      <rc t="2" v="8188"/>
    </bk>
    <bk>
      <rc t="2" v="8189"/>
    </bk>
    <bk>
      <rc t="2" v="8190"/>
    </bk>
    <bk>
      <rc t="2" v="8191"/>
    </bk>
    <bk>
      <rc t="2" v="8192"/>
    </bk>
    <bk>
      <rc t="2" v="8193"/>
    </bk>
    <bk>
      <rc t="2" v="8194"/>
    </bk>
    <bk>
      <rc t="2" v="8195"/>
    </bk>
    <bk>
      <rc t="2" v="8196"/>
    </bk>
    <bk>
      <rc t="2" v="8197"/>
    </bk>
    <bk>
      <rc t="2" v="8198"/>
    </bk>
    <bk>
      <rc t="2" v="8199"/>
    </bk>
    <bk>
      <rc t="2" v="8200"/>
    </bk>
    <bk>
      <rc t="2" v="8201"/>
    </bk>
    <bk>
      <rc t="2" v="8202"/>
    </bk>
    <bk>
      <rc t="2" v="8203"/>
    </bk>
    <bk>
      <rc t="2" v="8204"/>
    </bk>
    <bk>
      <rc t="2" v="8205"/>
    </bk>
    <bk>
      <rc t="2" v="8206"/>
    </bk>
    <bk>
      <rc t="2" v="8207"/>
    </bk>
    <bk>
      <rc t="2" v="8208"/>
    </bk>
    <bk>
      <rc t="2" v="8209"/>
    </bk>
    <bk>
      <rc t="2" v="8210"/>
    </bk>
    <bk>
      <rc t="2" v="8211"/>
    </bk>
    <bk>
      <rc t="2" v="8212"/>
    </bk>
    <bk>
      <rc t="2" v="8213"/>
    </bk>
    <bk>
      <rc t="2" v="8214"/>
    </bk>
    <bk>
      <rc t="2" v="8215"/>
    </bk>
    <bk>
      <rc t="2" v="8216"/>
    </bk>
    <bk>
      <rc t="2" v="8217"/>
    </bk>
    <bk>
      <rc t="2" v="8218"/>
    </bk>
    <bk>
      <rc t="2" v="8219"/>
    </bk>
    <bk>
      <rc t="2" v="8220"/>
    </bk>
    <bk>
      <rc t="2" v="8221"/>
    </bk>
    <bk>
      <rc t="2" v="8222"/>
    </bk>
    <bk>
      <rc t="2" v="8223"/>
    </bk>
    <bk>
      <rc t="2" v="8224"/>
    </bk>
    <bk>
      <rc t="2" v="8225"/>
    </bk>
    <bk>
      <rc t="2" v="8226"/>
    </bk>
    <bk>
      <rc t="2" v="8227"/>
    </bk>
    <bk>
      <rc t="2" v="8228"/>
    </bk>
    <bk>
      <rc t="2" v="8229"/>
    </bk>
    <bk>
      <rc t="2" v="8230"/>
    </bk>
    <bk>
      <rc t="2" v="8231"/>
    </bk>
    <bk>
      <rc t="2" v="8232"/>
    </bk>
    <bk>
      <rc t="2" v="8233"/>
    </bk>
    <bk>
      <rc t="2" v="8234"/>
    </bk>
    <bk>
      <rc t="2" v="8235"/>
    </bk>
    <bk>
      <rc t="2" v="8236"/>
    </bk>
    <bk>
      <rc t="2" v="8237"/>
    </bk>
    <bk>
      <rc t="2" v="8238"/>
    </bk>
    <bk>
      <rc t="2" v="8239"/>
    </bk>
    <bk>
      <rc t="2" v="8240"/>
    </bk>
    <bk>
      <rc t="2" v="8241"/>
    </bk>
    <bk>
      <rc t="2" v="8242"/>
    </bk>
    <bk>
      <rc t="2" v="8243"/>
    </bk>
    <bk>
      <rc t="2" v="8244"/>
    </bk>
    <bk>
      <rc t="2" v="8245"/>
    </bk>
    <bk>
      <rc t="2" v="8246"/>
    </bk>
    <bk>
      <rc t="2" v="8247"/>
    </bk>
    <bk>
      <rc t="2" v="8248"/>
    </bk>
    <bk>
      <rc t="2" v="8249"/>
    </bk>
    <bk>
      <rc t="2" v="8250"/>
    </bk>
    <bk>
      <rc t="2" v="8251"/>
    </bk>
    <bk>
      <rc t="2" v="8252"/>
    </bk>
    <bk>
      <rc t="2" v="8253"/>
    </bk>
    <bk>
      <rc t="2" v="8254"/>
    </bk>
    <bk>
      <rc t="2" v="8255"/>
    </bk>
    <bk>
      <rc t="2" v="8256"/>
    </bk>
    <bk>
      <rc t="2" v="8257"/>
    </bk>
    <bk>
      <rc t="2" v="8258"/>
    </bk>
    <bk>
      <rc t="2" v="8259"/>
    </bk>
    <bk>
      <rc t="2" v="8260"/>
    </bk>
    <bk>
      <rc t="2" v="8261"/>
    </bk>
    <bk>
      <rc t="2" v="8262"/>
    </bk>
    <bk>
      <rc t="2" v="8263"/>
    </bk>
    <bk>
      <rc t="2" v="8264"/>
    </bk>
    <bk>
      <rc t="2" v="8265"/>
    </bk>
    <bk>
      <rc t="2" v="8266"/>
    </bk>
    <bk>
      <rc t="2" v="8267"/>
    </bk>
    <bk>
      <rc t="2" v="8268"/>
    </bk>
    <bk>
      <rc t="2" v="8269"/>
    </bk>
    <bk>
      <rc t="2" v="8270"/>
    </bk>
    <bk>
      <rc t="2" v="8271"/>
    </bk>
    <bk>
      <rc t="2" v="8272"/>
    </bk>
    <bk>
      <rc t="2" v="8273"/>
    </bk>
    <bk>
      <rc t="2" v="8274"/>
    </bk>
    <bk>
      <rc t="2" v="8275"/>
    </bk>
    <bk>
      <rc t="2" v="8276"/>
    </bk>
    <bk>
      <rc t="2" v="8277"/>
    </bk>
    <bk>
      <rc t="2" v="8278"/>
    </bk>
    <bk>
      <rc t="2" v="8279"/>
    </bk>
    <bk>
      <rc t="2" v="8280"/>
    </bk>
    <bk>
      <rc t="2" v="8281"/>
    </bk>
    <bk>
      <rc t="2" v="8282"/>
    </bk>
    <bk>
      <rc t="2" v="8283"/>
    </bk>
    <bk>
      <rc t="2" v="8284"/>
    </bk>
    <bk>
      <rc t="2" v="8285"/>
    </bk>
    <bk>
      <rc t="2" v="8286"/>
    </bk>
    <bk>
      <rc t="2" v="8287"/>
    </bk>
    <bk>
      <rc t="2" v="8288"/>
    </bk>
    <bk>
      <rc t="2" v="8289"/>
    </bk>
    <bk>
      <rc t="2" v="8290"/>
    </bk>
    <bk>
      <rc t="2" v="8291"/>
    </bk>
    <bk>
      <rc t="2" v="8292"/>
    </bk>
    <bk>
      <rc t="2" v="8293"/>
    </bk>
    <bk>
      <rc t="2" v="8294"/>
    </bk>
    <bk>
      <rc t="2" v="8295"/>
    </bk>
    <bk>
      <rc t="2" v="8296"/>
    </bk>
    <bk>
      <rc t="2" v="8297"/>
    </bk>
    <bk>
      <rc t="2" v="8298"/>
    </bk>
    <bk>
      <rc t="2" v="8299"/>
    </bk>
    <bk>
      <rc t="2" v="8300"/>
    </bk>
    <bk>
      <rc t="2" v="8301"/>
    </bk>
    <bk>
      <rc t="2" v="8302"/>
    </bk>
    <bk>
      <rc t="2" v="8303"/>
    </bk>
    <bk>
      <rc t="2" v="8304"/>
    </bk>
    <bk>
      <rc t="2" v="8305"/>
    </bk>
    <bk>
      <rc t="2" v="8306"/>
    </bk>
    <bk>
      <rc t="2" v="8307"/>
    </bk>
    <bk>
      <rc t="2" v="8308"/>
    </bk>
    <bk>
      <rc t="2" v="8309"/>
    </bk>
    <bk>
      <rc t="2" v="8310"/>
    </bk>
    <bk>
      <rc t="2" v="8311"/>
    </bk>
    <bk>
      <rc t="2" v="8312"/>
    </bk>
    <bk>
      <rc t="2" v="8313"/>
    </bk>
    <bk>
      <rc t="2" v="8314"/>
    </bk>
    <bk>
      <rc t="2" v="8315"/>
    </bk>
    <bk>
      <rc t="2" v="8316"/>
    </bk>
    <bk>
      <rc t="2" v="8317"/>
    </bk>
    <bk>
      <rc t="2" v="8318"/>
    </bk>
    <bk>
      <rc t="2" v="8319"/>
    </bk>
    <bk>
      <rc t="2" v="8320"/>
    </bk>
    <bk>
      <rc t="2" v="8321"/>
    </bk>
    <bk>
      <rc t="2" v="8322"/>
    </bk>
    <bk>
      <rc t="2" v="8323"/>
    </bk>
    <bk>
      <rc t="2" v="8324"/>
    </bk>
    <bk>
      <rc t="2" v="8325"/>
    </bk>
    <bk>
      <rc t="2" v="8326"/>
    </bk>
    <bk>
      <rc t="2" v="8327"/>
    </bk>
    <bk>
      <rc t="2" v="8328"/>
    </bk>
    <bk>
      <rc t="2" v="8329"/>
    </bk>
    <bk>
      <rc t="2" v="8330"/>
    </bk>
    <bk>
      <rc t="2" v="8331"/>
    </bk>
    <bk>
      <rc t="2" v="8332"/>
    </bk>
    <bk>
      <rc t="2" v="8333"/>
    </bk>
    <bk>
      <rc t="2" v="8334"/>
    </bk>
    <bk>
      <rc t="2" v="8335"/>
    </bk>
    <bk>
      <rc t="2" v="8336"/>
    </bk>
    <bk>
      <rc t="2" v="8337"/>
    </bk>
    <bk>
      <rc t="2" v="8338"/>
    </bk>
    <bk>
      <rc t="2" v="8339"/>
    </bk>
    <bk>
      <rc t="2" v="8340"/>
    </bk>
    <bk>
      <rc t="2" v="8341"/>
    </bk>
    <bk>
      <rc t="2" v="8342"/>
    </bk>
    <bk>
      <rc t="2" v="8343"/>
    </bk>
    <bk>
      <rc t="2" v="8344"/>
    </bk>
    <bk>
      <rc t="2" v="8345"/>
    </bk>
    <bk>
      <rc t="2" v="8346"/>
    </bk>
    <bk>
      <rc t="2" v="8347"/>
    </bk>
    <bk>
      <rc t="2" v="8348"/>
    </bk>
    <bk>
      <rc t="2" v="8349"/>
    </bk>
    <bk>
      <rc t="2" v="8350"/>
    </bk>
    <bk>
      <rc t="2" v="8351"/>
    </bk>
    <bk>
      <rc t="2" v="8352"/>
    </bk>
    <bk>
      <rc t="2" v="8353"/>
    </bk>
    <bk>
      <rc t="2" v="8354"/>
    </bk>
    <bk>
      <rc t="2" v="8355"/>
    </bk>
    <bk>
      <rc t="2" v="8356"/>
    </bk>
    <bk>
      <rc t="2" v="8357"/>
    </bk>
    <bk>
      <rc t="2" v="8358"/>
    </bk>
    <bk>
      <rc t="2" v="8359"/>
    </bk>
    <bk>
      <rc t="2" v="8360"/>
    </bk>
    <bk>
      <rc t="2" v="8361"/>
    </bk>
    <bk>
      <rc t="2" v="8362"/>
    </bk>
    <bk>
      <rc t="2" v="8363"/>
    </bk>
    <bk>
      <rc t="2" v="8364"/>
    </bk>
    <bk>
      <rc t="2" v="8365"/>
    </bk>
    <bk>
      <rc t="2" v="8366"/>
    </bk>
    <bk>
      <rc t="2" v="8367"/>
    </bk>
    <bk>
      <rc t="2" v="8368"/>
    </bk>
    <bk>
      <rc t="2" v="8369"/>
    </bk>
    <bk>
      <rc t="2" v="8370"/>
    </bk>
    <bk>
      <rc t="2" v="8371"/>
    </bk>
    <bk>
      <rc t="2" v="8372"/>
    </bk>
    <bk>
      <rc t="2" v="8373"/>
    </bk>
    <bk>
      <rc t="2" v="8374"/>
    </bk>
    <bk>
      <rc t="2" v="8375"/>
    </bk>
    <bk>
      <rc t="2" v="8376"/>
    </bk>
    <bk>
      <rc t="2" v="8377"/>
    </bk>
    <bk>
      <rc t="2" v="8378"/>
    </bk>
    <bk>
      <rc t="2" v="8379"/>
    </bk>
    <bk>
      <rc t="2" v="8380"/>
    </bk>
    <bk>
      <rc t="2" v="8381"/>
    </bk>
    <bk>
      <rc t="2" v="8382"/>
    </bk>
    <bk>
      <rc t="2" v="8383"/>
    </bk>
    <bk>
      <rc t="2" v="8384"/>
    </bk>
    <bk>
      <rc t="2" v="8385"/>
    </bk>
    <bk>
      <rc t="2" v="8386"/>
    </bk>
    <bk>
      <rc t="2" v="8387"/>
    </bk>
    <bk>
      <rc t="2" v="8388"/>
    </bk>
    <bk>
      <rc t="2" v="8389"/>
    </bk>
    <bk>
      <rc t="2" v="8390"/>
    </bk>
    <bk>
      <rc t="2" v="8391"/>
    </bk>
    <bk>
      <rc t="2" v="8392"/>
    </bk>
    <bk>
      <rc t="2" v="8393"/>
    </bk>
    <bk>
      <rc t="2" v="8394"/>
    </bk>
    <bk>
      <rc t="2" v="8395"/>
    </bk>
    <bk>
      <rc t="2" v="8396"/>
    </bk>
    <bk>
      <rc t="2" v="8397"/>
    </bk>
    <bk>
      <rc t="2" v="8398"/>
    </bk>
    <bk>
      <rc t="2" v="8399"/>
    </bk>
    <bk>
      <rc t="2" v="8400"/>
    </bk>
    <bk>
      <rc t="2" v="8401"/>
    </bk>
    <bk>
      <rc t="2" v="8402"/>
    </bk>
    <bk>
      <rc t="2" v="8403"/>
    </bk>
    <bk>
      <rc t="2" v="8404"/>
    </bk>
    <bk>
      <rc t="2" v="8405"/>
    </bk>
    <bk>
      <rc t="2" v="8406"/>
    </bk>
    <bk>
      <rc t="2" v="8407"/>
    </bk>
    <bk>
      <rc t="2" v="8408"/>
    </bk>
    <bk>
      <rc t="2" v="8409"/>
    </bk>
    <bk>
      <rc t="2" v="8410"/>
    </bk>
    <bk>
      <rc t="2" v="8411"/>
    </bk>
    <bk>
      <rc t="2" v="8412"/>
    </bk>
    <bk>
      <rc t="2" v="8413"/>
    </bk>
    <bk>
      <rc t="2" v="8414"/>
    </bk>
    <bk>
      <rc t="2" v="8415"/>
    </bk>
    <bk>
      <rc t="2" v="8416"/>
    </bk>
    <bk>
      <rc t="2" v="8417"/>
    </bk>
    <bk>
      <rc t="2" v="8418"/>
    </bk>
    <bk>
      <rc t="2" v="8419"/>
    </bk>
    <bk>
      <rc t="2" v="8420"/>
    </bk>
    <bk>
      <rc t="2" v="8421"/>
    </bk>
    <bk>
      <rc t="2" v="8422"/>
    </bk>
    <bk>
      <rc t="2" v="8423"/>
    </bk>
    <bk>
      <rc t="2" v="8424"/>
    </bk>
    <bk>
      <rc t="2" v="8425"/>
    </bk>
    <bk>
      <rc t="2" v="8426"/>
    </bk>
    <bk>
      <rc t="2" v="8427"/>
    </bk>
    <bk>
      <rc t="2" v="8428"/>
    </bk>
    <bk>
      <rc t="2" v="8429"/>
    </bk>
    <bk>
      <rc t="2" v="8430"/>
    </bk>
    <bk>
      <rc t="2" v="8431"/>
    </bk>
    <bk>
      <rc t="2" v="8432"/>
    </bk>
    <bk>
      <rc t="2" v="8433"/>
    </bk>
    <bk>
      <rc t="2" v="8434"/>
    </bk>
    <bk>
      <rc t="2" v="8435"/>
    </bk>
    <bk>
      <rc t="2" v="8436"/>
    </bk>
    <bk>
      <rc t="2" v="8437"/>
    </bk>
    <bk>
      <rc t="2" v="8438"/>
    </bk>
    <bk>
      <rc t="2" v="8439"/>
    </bk>
    <bk>
      <rc t="2" v="8440"/>
    </bk>
    <bk>
      <rc t="2" v="8441"/>
    </bk>
    <bk>
      <rc t="2" v="8442"/>
    </bk>
    <bk>
      <rc t="2" v="8443"/>
    </bk>
    <bk>
      <rc t="2" v="8444"/>
    </bk>
    <bk>
      <rc t="2" v="8445"/>
    </bk>
    <bk>
      <rc t="2" v="8446"/>
    </bk>
    <bk>
      <rc t="2" v="8447"/>
    </bk>
    <bk>
      <rc t="2" v="8448"/>
    </bk>
    <bk>
      <rc t="2" v="8449"/>
    </bk>
    <bk>
      <rc t="2" v="8450"/>
    </bk>
    <bk>
      <rc t="2" v="8451"/>
    </bk>
    <bk>
      <rc t="2" v="8452"/>
    </bk>
    <bk>
      <rc t="2" v="8453"/>
    </bk>
    <bk>
      <rc t="2" v="8454"/>
    </bk>
    <bk>
      <rc t="2" v="8455"/>
    </bk>
    <bk>
      <rc t="2" v="8456"/>
    </bk>
    <bk>
      <rc t="2" v="8457"/>
    </bk>
    <bk>
      <rc t="2" v="8458"/>
    </bk>
    <bk>
      <rc t="2" v="8459"/>
    </bk>
    <bk>
      <rc t="2" v="8460"/>
    </bk>
    <bk>
      <rc t="2" v="8461"/>
    </bk>
    <bk>
      <rc t="2" v="8462"/>
    </bk>
    <bk>
      <rc t="2" v="8463"/>
    </bk>
    <bk>
      <rc t="2" v="8464"/>
    </bk>
    <bk>
      <rc t="2" v="8465"/>
    </bk>
    <bk>
      <rc t="2" v="8466"/>
    </bk>
    <bk>
      <rc t="2" v="8467"/>
    </bk>
    <bk>
      <rc t="2" v="8468"/>
    </bk>
    <bk>
      <rc t="2" v="8469"/>
    </bk>
    <bk>
      <rc t="2" v="8470"/>
    </bk>
    <bk>
      <rc t="2" v="8471"/>
    </bk>
    <bk>
      <rc t="2" v="8472"/>
    </bk>
    <bk>
      <rc t="2" v="8473"/>
    </bk>
    <bk>
      <rc t="2" v="8474"/>
    </bk>
    <bk>
      <rc t="2" v="8475"/>
    </bk>
    <bk>
      <rc t="2" v="8476"/>
    </bk>
    <bk>
      <rc t="2" v="8477"/>
    </bk>
    <bk>
      <rc t="2" v="8478"/>
    </bk>
    <bk>
      <rc t="2" v="8479"/>
    </bk>
    <bk>
      <rc t="2" v="8480"/>
    </bk>
    <bk>
      <rc t="2" v="8481"/>
    </bk>
    <bk>
      <rc t="2" v="8482"/>
    </bk>
    <bk>
      <rc t="2" v="8483"/>
    </bk>
    <bk>
      <rc t="2" v="8484"/>
    </bk>
    <bk>
      <rc t="2" v="8485"/>
    </bk>
    <bk>
      <rc t="2" v="8486"/>
    </bk>
    <bk>
      <rc t="2" v="8487"/>
    </bk>
    <bk>
      <rc t="2" v="8488"/>
    </bk>
    <bk>
      <rc t="2" v="8489"/>
    </bk>
    <bk>
      <rc t="2" v="8490"/>
    </bk>
    <bk>
      <rc t="2" v="8491"/>
    </bk>
    <bk>
      <rc t="2" v="8492"/>
    </bk>
    <bk>
      <rc t="2" v="8493"/>
    </bk>
    <bk>
      <rc t="2" v="8494"/>
    </bk>
    <bk>
      <rc t="2" v="8495"/>
    </bk>
    <bk>
      <rc t="2" v="8496"/>
    </bk>
    <bk>
      <rc t="2" v="8497"/>
    </bk>
    <bk>
      <rc t="2" v="8498"/>
    </bk>
    <bk>
      <rc t="2" v="8499"/>
    </bk>
    <bk>
      <rc t="2" v="8500"/>
    </bk>
    <bk>
      <rc t="2" v="8501"/>
    </bk>
    <bk>
      <rc t="2" v="8502"/>
    </bk>
    <bk>
      <rc t="2" v="8503"/>
    </bk>
    <bk>
      <rc t="2" v="8504"/>
    </bk>
    <bk>
      <rc t="2" v="8505"/>
    </bk>
    <bk>
      <rc t="2" v="8506"/>
    </bk>
    <bk>
      <rc t="2" v="8507"/>
    </bk>
    <bk>
      <rc t="2" v="8508"/>
    </bk>
    <bk>
      <rc t="2" v="8509"/>
    </bk>
    <bk>
      <rc t="2" v="8510"/>
    </bk>
    <bk>
      <rc t="2" v="8511"/>
    </bk>
    <bk>
      <rc t="2" v="8512"/>
    </bk>
    <bk>
      <rc t="2" v="8513"/>
    </bk>
    <bk>
      <rc t="2" v="8514"/>
    </bk>
    <bk>
      <rc t="2" v="8515"/>
    </bk>
    <bk>
      <rc t="2" v="8516"/>
    </bk>
    <bk>
      <rc t="2" v="8517"/>
    </bk>
    <bk>
      <rc t="2" v="8518"/>
    </bk>
    <bk>
      <rc t="2" v="8519"/>
    </bk>
    <bk>
      <rc t="2" v="8520"/>
    </bk>
    <bk>
      <rc t="2" v="8521"/>
    </bk>
    <bk>
      <rc t="2" v="8522"/>
    </bk>
    <bk>
      <rc t="2" v="8523"/>
    </bk>
    <bk>
      <rc t="2" v="8524"/>
    </bk>
    <bk>
      <rc t="2" v="8525"/>
    </bk>
    <bk>
      <rc t="2" v="8526"/>
    </bk>
    <bk>
      <rc t="2" v="8527"/>
    </bk>
    <bk>
      <rc t="2" v="8528"/>
    </bk>
    <bk>
      <rc t="2" v="8529"/>
    </bk>
    <bk>
      <rc t="2" v="8530"/>
    </bk>
    <bk>
      <rc t="2" v="8531"/>
    </bk>
    <bk>
      <rc t="2" v="8532"/>
    </bk>
    <bk>
      <rc t="2" v="8533"/>
    </bk>
    <bk>
      <rc t="2" v="8534"/>
    </bk>
    <bk>
      <rc t="2" v="8535"/>
    </bk>
    <bk>
      <rc t="2" v="8536"/>
    </bk>
    <bk>
      <rc t="2" v="8537"/>
    </bk>
    <bk>
      <rc t="2" v="8538"/>
    </bk>
    <bk>
      <rc t="2" v="8539"/>
    </bk>
    <bk>
      <rc t="2" v="8540"/>
    </bk>
    <bk>
      <rc t="2" v="8541"/>
    </bk>
    <bk>
      <rc t="2" v="8542"/>
    </bk>
    <bk>
      <rc t="2" v="8543"/>
    </bk>
    <bk>
      <rc t="2" v="8544"/>
    </bk>
    <bk>
      <rc t="2" v="8545"/>
    </bk>
    <bk>
      <rc t="2" v="8546"/>
    </bk>
    <bk>
      <rc t="2" v="8547"/>
    </bk>
    <bk>
      <rc t="2" v="8548"/>
    </bk>
    <bk>
      <rc t="2" v="8549"/>
    </bk>
    <bk>
      <rc t="2" v="8550"/>
    </bk>
    <bk>
      <rc t="2" v="8551"/>
    </bk>
    <bk>
      <rc t="2" v="8552"/>
    </bk>
    <bk>
      <rc t="2" v="8553"/>
    </bk>
    <bk>
      <rc t="2" v="8554"/>
    </bk>
    <bk>
      <rc t="2" v="8555"/>
    </bk>
    <bk>
      <rc t="2" v="8556"/>
    </bk>
    <bk>
      <rc t="2" v="8557"/>
    </bk>
    <bk>
      <rc t="2" v="8558"/>
    </bk>
    <bk>
      <rc t="2" v="8559"/>
    </bk>
    <bk>
      <rc t="2" v="8560"/>
    </bk>
    <bk>
      <rc t="2" v="8561"/>
    </bk>
    <bk>
      <rc t="2" v="8562"/>
    </bk>
    <bk>
      <rc t="2" v="8563"/>
    </bk>
    <bk>
      <rc t="2" v="8564"/>
    </bk>
    <bk>
      <rc t="2" v="8565"/>
    </bk>
    <bk>
      <rc t="2" v="8566"/>
    </bk>
    <bk>
      <rc t="2" v="8567"/>
    </bk>
    <bk>
      <rc t="2" v="8568"/>
    </bk>
    <bk>
      <rc t="2" v="8569"/>
    </bk>
    <bk>
      <rc t="2" v="8570"/>
    </bk>
    <bk>
      <rc t="2" v="8571"/>
    </bk>
    <bk>
      <rc t="2" v="8572"/>
    </bk>
    <bk>
      <rc t="2" v="8573"/>
    </bk>
    <bk>
      <rc t="2" v="8574"/>
    </bk>
    <bk>
      <rc t="2" v="8575"/>
    </bk>
    <bk>
      <rc t="2" v="8576"/>
    </bk>
    <bk>
      <rc t="2" v="8577"/>
    </bk>
    <bk>
      <rc t="2" v="8578"/>
    </bk>
    <bk>
      <rc t="2" v="8579"/>
    </bk>
    <bk>
      <rc t="2" v="8580"/>
    </bk>
    <bk>
      <rc t="2" v="8581"/>
    </bk>
    <bk>
      <rc t="2" v="8582"/>
    </bk>
    <bk>
      <rc t="2" v="8583"/>
    </bk>
    <bk>
      <rc t="2" v="8584"/>
    </bk>
    <bk>
      <rc t="2" v="8585"/>
    </bk>
    <bk>
      <rc t="2" v="8586"/>
    </bk>
    <bk>
      <rc t="2" v="8587"/>
    </bk>
    <bk>
      <rc t="2" v="8588"/>
    </bk>
    <bk>
      <rc t="2" v="8589"/>
    </bk>
    <bk>
      <rc t="2" v="8590"/>
    </bk>
    <bk>
      <rc t="2" v="8591"/>
    </bk>
    <bk>
      <rc t="2" v="8592"/>
    </bk>
    <bk>
      <rc t="2" v="8593"/>
    </bk>
    <bk>
      <rc t="2" v="8594"/>
    </bk>
    <bk>
      <rc t="2" v="8595"/>
    </bk>
    <bk>
      <rc t="2" v="8596"/>
    </bk>
    <bk>
      <rc t="2" v="8597"/>
    </bk>
    <bk>
      <rc t="2" v="8598"/>
    </bk>
    <bk>
      <rc t="2" v="8599"/>
    </bk>
    <bk>
      <rc t="2" v="8600"/>
    </bk>
    <bk>
      <rc t="2" v="8601"/>
    </bk>
    <bk>
      <rc t="2" v="8602"/>
    </bk>
    <bk>
      <rc t="2" v="8603"/>
    </bk>
    <bk>
      <rc t="2" v="8604"/>
    </bk>
    <bk>
      <rc t="2" v="8605"/>
    </bk>
    <bk>
      <rc t="2" v="8606"/>
    </bk>
    <bk>
      <rc t="2" v="8607"/>
    </bk>
    <bk>
      <rc t="2" v="8608"/>
    </bk>
    <bk>
      <rc t="2" v="8609"/>
    </bk>
    <bk>
      <rc t="2" v="8610"/>
    </bk>
    <bk>
      <rc t="2" v="8611"/>
    </bk>
    <bk>
      <rc t="2" v="8612"/>
    </bk>
    <bk>
      <rc t="2" v="8613"/>
    </bk>
    <bk>
      <rc t="2" v="8614"/>
    </bk>
    <bk>
      <rc t="2" v="8615"/>
    </bk>
    <bk>
      <rc t="2" v="8616"/>
    </bk>
    <bk>
      <rc t="2" v="8617"/>
    </bk>
    <bk>
      <rc t="2" v="8618"/>
    </bk>
    <bk>
      <rc t="2" v="8619"/>
    </bk>
    <bk>
      <rc t="2" v="8620"/>
    </bk>
    <bk>
      <rc t="2" v="8621"/>
    </bk>
    <bk>
      <rc t="2" v="8622"/>
    </bk>
    <bk>
      <rc t="2" v="8623"/>
    </bk>
    <bk>
      <rc t="2" v="8624"/>
    </bk>
    <bk>
      <rc t="2" v="8625"/>
    </bk>
    <bk>
      <rc t="2" v="8626"/>
    </bk>
    <bk>
      <rc t="2" v="8627"/>
    </bk>
    <bk>
      <rc t="2" v="8628"/>
    </bk>
    <bk>
      <rc t="2" v="8629"/>
    </bk>
    <bk>
      <rc t="2" v="8630"/>
    </bk>
    <bk>
      <rc t="2" v="8631"/>
    </bk>
    <bk>
      <rc t="2" v="8632"/>
    </bk>
    <bk>
      <rc t="2" v="8633"/>
    </bk>
    <bk>
      <rc t="2" v="8634"/>
    </bk>
    <bk>
      <rc t="2" v="8635"/>
    </bk>
    <bk>
      <rc t="2" v="8636"/>
    </bk>
    <bk>
      <rc t="2" v="8637"/>
    </bk>
    <bk>
      <rc t="2" v="8638"/>
    </bk>
    <bk>
      <rc t="2" v="8639"/>
    </bk>
    <bk>
      <rc t="2" v="8640"/>
    </bk>
    <bk>
      <rc t="2" v="8641"/>
    </bk>
    <bk>
      <rc t="2" v="8642"/>
    </bk>
    <bk>
      <rc t="2" v="8643"/>
    </bk>
    <bk>
      <rc t="2" v="8644"/>
    </bk>
    <bk>
      <rc t="2" v="8645"/>
    </bk>
    <bk>
      <rc t="2" v="8646"/>
    </bk>
    <bk>
      <rc t="2" v="8647"/>
    </bk>
    <bk>
      <rc t="2" v="8648"/>
    </bk>
    <bk>
      <rc t="2" v="8649"/>
    </bk>
    <bk>
      <rc t="2" v="8650"/>
    </bk>
    <bk>
      <rc t="2" v="8651"/>
    </bk>
    <bk>
      <rc t="2" v="8652"/>
    </bk>
    <bk>
      <rc t="2" v="8653"/>
    </bk>
    <bk>
      <rc t="2" v="8654"/>
    </bk>
    <bk>
      <rc t="2" v="8655"/>
    </bk>
    <bk>
      <rc t="2" v="8656"/>
    </bk>
    <bk>
      <rc t="2" v="8657"/>
    </bk>
    <bk>
      <rc t="2" v="8658"/>
    </bk>
    <bk>
      <rc t="2" v="8659"/>
    </bk>
    <bk>
      <rc t="2" v="8660"/>
    </bk>
    <bk>
      <rc t="2" v="8661"/>
    </bk>
    <bk>
      <rc t="2" v="8662"/>
    </bk>
    <bk>
      <rc t="2" v="8663"/>
    </bk>
    <bk>
      <rc t="2" v="8664"/>
    </bk>
    <bk>
      <rc t="2" v="8665"/>
    </bk>
    <bk>
      <rc t="2" v="8666"/>
    </bk>
    <bk>
      <rc t="2" v="8667"/>
    </bk>
    <bk>
      <rc t="2" v="8668"/>
    </bk>
    <bk>
      <rc t="2" v="8669"/>
    </bk>
    <bk>
      <rc t="2" v="8670"/>
    </bk>
    <bk>
      <rc t="2" v="8671"/>
    </bk>
    <bk>
      <rc t="2" v="8672"/>
    </bk>
    <bk>
      <rc t="2" v="8673"/>
    </bk>
    <bk>
      <rc t="2" v="8674"/>
    </bk>
    <bk>
      <rc t="2" v="8675"/>
    </bk>
    <bk>
      <rc t="2" v="8676"/>
    </bk>
    <bk>
      <rc t="2" v="8677"/>
    </bk>
    <bk>
      <rc t="2" v="8678"/>
    </bk>
    <bk>
      <rc t="2" v="8679"/>
    </bk>
    <bk>
      <rc t="2" v="8680"/>
    </bk>
    <bk>
      <rc t="2" v="8681"/>
    </bk>
    <bk>
      <rc t="2" v="8682"/>
    </bk>
    <bk>
      <rc t="2" v="8683"/>
    </bk>
    <bk>
      <rc t="2" v="8684"/>
    </bk>
    <bk>
      <rc t="2" v="8685"/>
    </bk>
    <bk>
      <rc t="2" v="8686"/>
    </bk>
    <bk>
      <rc t="2" v="8687"/>
    </bk>
    <bk>
      <rc t="2" v="8688"/>
    </bk>
    <bk>
      <rc t="2" v="8689"/>
    </bk>
    <bk>
      <rc t="2" v="8690"/>
    </bk>
    <bk>
      <rc t="2" v="8691"/>
    </bk>
    <bk>
      <rc t="2" v="8692"/>
    </bk>
    <bk>
      <rc t="2" v="8693"/>
    </bk>
    <bk>
      <rc t="2" v="8694"/>
    </bk>
    <bk>
      <rc t="2" v="8695"/>
    </bk>
    <bk>
      <rc t="2" v="8696"/>
    </bk>
    <bk>
      <rc t="2" v="8697"/>
    </bk>
    <bk>
      <rc t="2" v="8698"/>
    </bk>
    <bk>
      <rc t="2" v="8699"/>
    </bk>
    <bk>
      <rc t="2" v="8700"/>
    </bk>
    <bk>
      <rc t="2" v="8701"/>
    </bk>
    <bk>
      <rc t="2" v="8702"/>
    </bk>
    <bk>
      <rc t="2" v="8703"/>
    </bk>
    <bk>
      <rc t="2" v="8704"/>
    </bk>
    <bk>
      <rc t="2" v="8705"/>
    </bk>
    <bk>
      <rc t="2" v="8706"/>
    </bk>
    <bk>
      <rc t="2" v="8707"/>
    </bk>
    <bk>
      <rc t="2" v="8708"/>
    </bk>
    <bk>
      <rc t="2" v="8709"/>
    </bk>
    <bk>
      <rc t="2" v="8710"/>
    </bk>
    <bk>
      <rc t="2" v="8711"/>
    </bk>
    <bk>
      <rc t="2" v="8712"/>
    </bk>
    <bk>
      <rc t="2" v="8713"/>
    </bk>
    <bk>
      <rc t="2" v="8714"/>
    </bk>
    <bk>
      <rc t="2" v="8715"/>
    </bk>
    <bk>
      <rc t="2" v="8716"/>
    </bk>
    <bk>
      <rc t="2" v="8717"/>
    </bk>
    <bk>
      <rc t="2" v="8718"/>
    </bk>
    <bk>
      <rc t="2" v="8719"/>
    </bk>
    <bk>
      <rc t="2" v="8720"/>
    </bk>
    <bk>
      <rc t="2" v="8721"/>
    </bk>
    <bk>
      <rc t="2" v="8722"/>
    </bk>
    <bk>
      <rc t="2" v="8723"/>
    </bk>
    <bk>
      <rc t="2" v="8724"/>
    </bk>
    <bk>
      <rc t="2" v="8725"/>
    </bk>
    <bk>
      <rc t="2" v="8726"/>
    </bk>
    <bk>
      <rc t="2" v="8727"/>
    </bk>
    <bk>
      <rc t="2" v="8728"/>
    </bk>
    <bk>
      <rc t="2" v="8729"/>
    </bk>
    <bk>
      <rc t="2" v="8730"/>
    </bk>
    <bk>
      <rc t="2" v="8731"/>
    </bk>
    <bk>
      <rc t="2" v="8732"/>
    </bk>
    <bk>
      <rc t="2" v="8733"/>
    </bk>
    <bk>
      <rc t="2" v="8734"/>
    </bk>
    <bk>
      <rc t="2" v="8735"/>
    </bk>
    <bk>
      <rc t="2" v="8736"/>
    </bk>
    <bk>
      <rc t="2" v="8737"/>
    </bk>
    <bk>
      <rc t="2" v="8738"/>
    </bk>
    <bk>
      <rc t="2" v="8739"/>
    </bk>
    <bk>
      <rc t="2" v="8740"/>
    </bk>
    <bk>
      <rc t="2" v="8741"/>
    </bk>
    <bk>
      <rc t="2" v="8742"/>
    </bk>
    <bk>
      <rc t="2" v="8743"/>
    </bk>
    <bk>
      <rc t="2" v="8744"/>
    </bk>
    <bk>
      <rc t="2" v="8745"/>
    </bk>
    <bk>
      <rc t="2" v="8746"/>
    </bk>
    <bk>
      <rc t="2" v="8747"/>
    </bk>
    <bk>
      <rc t="2" v="8748"/>
    </bk>
    <bk>
      <rc t="2" v="8749"/>
    </bk>
    <bk>
      <rc t="2" v="8750"/>
    </bk>
    <bk>
      <rc t="2" v="8751"/>
    </bk>
    <bk>
      <rc t="2" v="8752"/>
    </bk>
    <bk>
      <rc t="2" v="8753"/>
    </bk>
    <bk>
      <rc t="2" v="8754"/>
    </bk>
    <bk>
      <rc t="2" v="8755"/>
    </bk>
    <bk>
      <rc t="2" v="8756"/>
    </bk>
    <bk>
      <rc t="2" v="8757"/>
    </bk>
    <bk>
      <rc t="2" v="8758"/>
    </bk>
    <bk>
      <rc t="2" v="8759"/>
    </bk>
    <bk>
      <rc t="2" v="8760"/>
    </bk>
    <bk>
      <rc t="2" v="8761"/>
    </bk>
    <bk>
      <rc t="2" v="8762"/>
    </bk>
    <bk>
      <rc t="2" v="8763"/>
    </bk>
    <bk>
      <rc t="2" v="8764"/>
    </bk>
    <bk>
      <rc t="2" v="8765"/>
    </bk>
    <bk>
      <rc t="2" v="8766"/>
    </bk>
    <bk>
      <rc t="2" v="8767"/>
    </bk>
    <bk>
      <rc t="2" v="8768"/>
    </bk>
    <bk>
      <rc t="2" v="8769"/>
    </bk>
    <bk>
      <rc t="2" v="8770"/>
    </bk>
    <bk>
      <rc t="2" v="8771"/>
    </bk>
    <bk>
      <rc t="2" v="8772"/>
    </bk>
    <bk>
      <rc t="2" v="8773"/>
    </bk>
    <bk>
      <rc t="2" v="8774"/>
    </bk>
    <bk>
      <rc t="2" v="8775"/>
    </bk>
    <bk>
      <rc t="2" v="8776"/>
    </bk>
    <bk>
      <rc t="2" v="8777"/>
    </bk>
    <bk>
      <rc t="2" v="8778"/>
    </bk>
    <bk>
      <rc t="2" v="8779"/>
    </bk>
    <bk>
      <rc t="2" v="8780"/>
    </bk>
    <bk>
      <rc t="2" v="8781"/>
    </bk>
    <bk>
      <rc t="2" v="8782"/>
    </bk>
    <bk>
      <rc t="2" v="8783"/>
    </bk>
    <bk>
      <rc t="2" v="8784"/>
    </bk>
    <bk>
      <rc t="2" v="8785"/>
    </bk>
    <bk>
      <rc t="2" v="8786"/>
    </bk>
    <bk>
      <rc t="2" v="8787"/>
    </bk>
    <bk>
      <rc t="2" v="8788"/>
    </bk>
    <bk>
      <rc t="2" v="8789"/>
    </bk>
    <bk>
      <rc t="2" v="8790"/>
    </bk>
    <bk>
      <rc t="2" v="8791"/>
    </bk>
    <bk>
      <rc t="2" v="8792"/>
    </bk>
    <bk>
      <rc t="2" v="8793"/>
    </bk>
    <bk>
      <rc t="2" v="8794"/>
    </bk>
    <bk>
      <rc t="2" v="8795"/>
    </bk>
    <bk>
      <rc t="2" v="8796"/>
    </bk>
    <bk>
      <rc t="2" v="8797"/>
    </bk>
    <bk>
      <rc t="2" v="8798"/>
    </bk>
    <bk>
      <rc t="2" v="8799"/>
    </bk>
    <bk>
      <rc t="2" v="8800"/>
    </bk>
    <bk>
      <rc t="2" v="8801"/>
    </bk>
    <bk>
      <rc t="2" v="8802"/>
    </bk>
    <bk>
      <rc t="2" v="8803"/>
    </bk>
    <bk>
      <rc t="2" v="8804"/>
    </bk>
    <bk>
      <rc t="2" v="8805"/>
    </bk>
    <bk>
      <rc t="2" v="8806"/>
    </bk>
    <bk>
      <rc t="2" v="8807"/>
    </bk>
    <bk>
      <rc t="2" v="8808"/>
    </bk>
    <bk>
      <rc t="2" v="8809"/>
    </bk>
    <bk>
      <rc t="2" v="8810"/>
    </bk>
    <bk>
      <rc t="2" v="8811"/>
    </bk>
    <bk>
      <rc t="2" v="8812"/>
    </bk>
    <bk>
      <rc t="2" v="8813"/>
    </bk>
    <bk>
      <rc t="2" v="8814"/>
    </bk>
    <bk>
      <rc t="2" v="8815"/>
    </bk>
    <bk>
      <rc t="2" v="8816"/>
    </bk>
    <bk>
      <rc t="2" v="8817"/>
    </bk>
    <bk>
      <rc t="2" v="8818"/>
    </bk>
    <bk>
      <rc t="2" v="8819"/>
    </bk>
    <bk>
      <rc t="2" v="8820"/>
    </bk>
    <bk>
      <rc t="2" v="8821"/>
    </bk>
    <bk>
      <rc t="2" v="8822"/>
    </bk>
    <bk>
      <rc t="2" v="8823"/>
    </bk>
    <bk>
      <rc t="2" v="8824"/>
    </bk>
    <bk>
      <rc t="2" v="8825"/>
    </bk>
    <bk>
      <rc t="2" v="8826"/>
    </bk>
    <bk>
      <rc t="2" v="8827"/>
    </bk>
    <bk>
      <rc t="2" v="8828"/>
    </bk>
    <bk>
      <rc t="2" v="8829"/>
    </bk>
    <bk>
      <rc t="2" v="8830"/>
    </bk>
    <bk>
      <rc t="2" v="8831"/>
    </bk>
    <bk>
      <rc t="2" v="8832"/>
    </bk>
    <bk>
      <rc t="2" v="8833"/>
    </bk>
    <bk>
      <rc t="2" v="8834"/>
    </bk>
    <bk>
      <rc t="2" v="8835"/>
    </bk>
    <bk>
      <rc t="2" v="8836"/>
    </bk>
    <bk>
      <rc t="2" v="8837"/>
    </bk>
    <bk>
      <rc t="2" v="8838"/>
    </bk>
    <bk>
      <rc t="2" v="8839"/>
    </bk>
    <bk>
      <rc t="2" v="8840"/>
    </bk>
    <bk>
      <rc t="2" v="8841"/>
    </bk>
    <bk>
      <rc t="2" v="8842"/>
    </bk>
    <bk>
      <rc t="2" v="8843"/>
    </bk>
    <bk>
      <rc t="2" v="8844"/>
    </bk>
    <bk>
      <rc t="2" v="8845"/>
    </bk>
    <bk>
      <rc t="2" v="8846"/>
    </bk>
    <bk>
      <rc t="2" v="8847"/>
    </bk>
    <bk>
      <rc t="2" v="8848"/>
    </bk>
    <bk>
      <rc t="2" v="8849"/>
    </bk>
    <bk>
      <rc t="2" v="8850"/>
    </bk>
    <bk>
      <rc t="2" v="8851"/>
    </bk>
    <bk>
      <rc t="2" v="8852"/>
    </bk>
    <bk>
      <rc t="2" v="8853"/>
    </bk>
    <bk>
      <rc t="2" v="8854"/>
    </bk>
    <bk>
      <rc t="2" v="8855"/>
    </bk>
    <bk>
      <rc t="2" v="8856"/>
    </bk>
    <bk>
      <rc t="2" v="8857"/>
    </bk>
    <bk>
      <rc t="2" v="8858"/>
    </bk>
    <bk>
      <rc t="2" v="8859"/>
    </bk>
    <bk>
      <rc t="2" v="8860"/>
    </bk>
    <bk>
      <rc t="2" v="8861"/>
    </bk>
    <bk>
      <rc t="2" v="8862"/>
    </bk>
    <bk>
      <rc t="2" v="8863"/>
    </bk>
    <bk>
      <rc t="2" v="8864"/>
    </bk>
    <bk>
      <rc t="2" v="8865"/>
    </bk>
    <bk>
      <rc t="2" v="8866"/>
    </bk>
    <bk>
      <rc t="2" v="8867"/>
    </bk>
    <bk>
      <rc t="2" v="8868"/>
    </bk>
    <bk>
      <rc t="2" v="8869"/>
    </bk>
    <bk>
      <rc t="2" v="8870"/>
    </bk>
    <bk>
      <rc t="2" v="8871"/>
    </bk>
    <bk>
      <rc t="2" v="8872"/>
    </bk>
    <bk>
      <rc t="2" v="8873"/>
    </bk>
    <bk>
      <rc t="2" v="8874"/>
    </bk>
    <bk>
      <rc t="2" v="8875"/>
    </bk>
    <bk>
      <rc t="2" v="8876"/>
    </bk>
    <bk>
      <rc t="2" v="8877"/>
    </bk>
    <bk>
      <rc t="2" v="8878"/>
    </bk>
    <bk>
      <rc t="2" v="8879"/>
    </bk>
    <bk>
      <rc t="2" v="8880"/>
    </bk>
    <bk>
      <rc t="2" v="8881"/>
    </bk>
    <bk>
      <rc t="2" v="8882"/>
    </bk>
    <bk>
      <rc t="2" v="8883"/>
    </bk>
    <bk>
      <rc t="2" v="8884"/>
    </bk>
    <bk>
      <rc t="2" v="8885"/>
    </bk>
    <bk>
      <rc t="2" v="8886"/>
    </bk>
    <bk>
      <rc t="2" v="8887"/>
    </bk>
    <bk>
      <rc t="2" v="8888"/>
    </bk>
    <bk>
      <rc t="2" v="8889"/>
    </bk>
    <bk>
      <rc t="2" v="8890"/>
    </bk>
    <bk>
      <rc t="2" v="8891"/>
    </bk>
    <bk>
      <rc t="2" v="8892"/>
    </bk>
    <bk>
      <rc t="2" v="8893"/>
    </bk>
    <bk>
      <rc t="2" v="8894"/>
    </bk>
    <bk>
      <rc t="2" v="8895"/>
    </bk>
    <bk>
      <rc t="2" v="8896"/>
    </bk>
    <bk>
      <rc t="2" v="8897"/>
    </bk>
    <bk>
      <rc t="2" v="8898"/>
    </bk>
    <bk>
      <rc t="2" v="8899"/>
    </bk>
    <bk>
      <rc t="2" v="8900"/>
    </bk>
    <bk>
      <rc t="2" v="8901"/>
    </bk>
    <bk>
      <rc t="2" v="8902"/>
    </bk>
    <bk>
      <rc t="2" v="8903"/>
    </bk>
    <bk>
      <rc t="2" v="8904"/>
    </bk>
    <bk>
      <rc t="2" v="8905"/>
    </bk>
    <bk>
      <rc t="2" v="8906"/>
    </bk>
    <bk>
      <rc t="2" v="8907"/>
    </bk>
    <bk>
      <rc t="2" v="8908"/>
    </bk>
    <bk>
      <rc t="2" v="8909"/>
    </bk>
    <bk>
      <rc t="2" v="8910"/>
    </bk>
    <bk>
      <rc t="2" v="8911"/>
    </bk>
    <bk>
      <rc t="2" v="8912"/>
    </bk>
    <bk>
      <rc t="2" v="8913"/>
    </bk>
    <bk>
      <rc t="2" v="8914"/>
    </bk>
    <bk>
      <rc t="2" v="8915"/>
    </bk>
    <bk>
      <rc t="2" v="8916"/>
    </bk>
    <bk>
      <rc t="2" v="8917"/>
    </bk>
    <bk>
      <rc t="2" v="8918"/>
    </bk>
    <bk>
      <rc t="2" v="8919"/>
    </bk>
    <bk>
      <rc t="2" v="8920"/>
    </bk>
    <bk>
      <rc t="2" v="8921"/>
    </bk>
    <bk>
      <rc t="2" v="8922"/>
    </bk>
    <bk>
      <rc t="2" v="8923"/>
    </bk>
    <bk>
      <rc t="2" v="8924"/>
    </bk>
    <bk>
      <rc t="2" v="8925"/>
    </bk>
    <bk>
      <rc t="2" v="8926"/>
    </bk>
    <bk>
      <rc t="2" v="8927"/>
    </bk>
    <bk>
      <rc t="2" v="8928"/>
    </bk>
    <bk>
      <rc t="2" v="8929"/>
    </bk>
    <bk>
      <rc t="2" v="8930"/>
    </bk>
    <bk>
      <rc t="2" v="8931"/>
    </bk>
    <bk>
      <rc t="2" v="8932"/>
    </bk>
    <bk>
      <rc t="2" v="8933"/>
    </bk>
    <bk>
      <rc t="2" v="8934"/>
    </bk>
    <bk>
      <rc t="2" v="8935"/>
    </bk>
    <bk>
      <rc t="2" v="8936"/>
    </bk>
    <bk>
      <rc t="2" v="8937"/>
    </bk>
    <bk>
      <rc t="2" v="8938"/>
    </bk>
    <bk>
      <rc t="2" v="8939"/>
    </bk>
    <bk>
      <rc t="2" v="8940"/>
    </bk>
    <bk>
      <rc t="2" v="8941"/>
    </bk>
    <bk>
      <rc t="2" v="8942"/>
    </bk>
    <bk>
      <rc t="2" v="8943"/>
    </bk>
    <bk>
      <rc t="2" v="8944"/>
    </bk>
    <bk>
      <rc t="2" v="8945"/>
    </bk>
    <bk>
      <rc t="2" v="8946"/>
    </bk>
    <bk>
      <rc t="2" v="8947"/>
    </bk>
    <bk>
      <rc t="2" v="8948"/>
    </bk>
    <bk>
      <rc t="2" v="8949"/>
    </bk>
    <bk>
      <rc t="2" v="8950"/>
    </bk>
    <bk>
      <rc t="2" v="8951"/>
    </bk>
    <bk>
      <rc t="2" v="8952"/>
    </bk>
    <bk>
      <rc t="2" v="8953"/>
    </bk>
    <bk>
      <rc t="2" v="8954"/>
    </bk>
    <bk>
      <rc t="2" v="8955"/>
    </bk>
    <bk>
      <rc t="2" v="8956"/>
    </bk>
    <bk>
      <rc t="2" v="8957"/>
    </bk>
    <bk>
      <rc t="2" v="8958"/>
    </bk>
    <bk>
      <rc t="2" v="8959"/>
    </bk>
    <bk>
      <rc t="2" v="8960"/>
    </bk>
    <bk>
      <rc t="2" v="8961"/>
    </bk>
    <bk>
      <rc t="2" v="8962"/>
    </bk>
    <bk>
      <rc t="2" v="8963"/>
    </bk>
    <bk>
      <rc t="2" v="8964"/>
    </bk>
    <bk>
      <rc t="2" v="8965"/>
    </bk>
    <bk>
      <rc t="2" v="8966"/>
    </bk>
    <bk>
      <rc t="2" v="8967"/>
    </bk>
    <bk>
      <rc t="2" v="8968"/>
    </bk>
    <bk>
      <rc t="2" v="8969"/>
    </bk>
    <bk>
      <rc t="2" v="8970"/>
    </bk>
    <bk>
      <rc t="2" v="8971"/>
    </bk>
    <bk>
      <rc t="2" v="8972"/>
    </bk>
    <bk>
      <rc t="2" v="8973"/>
    </bk>
    <bk>
      <rc t="2" v="8974"/>
    </bk>
    <bk>
      <rc t="2" v="8975"/>
    </bk>
    <bk>
      <rc t="2" v="8976"/>
    </bk>
    <bk>
      <rc t="2" v="8977"/>
    </bk>
    <bk>
      <rc t="2" v="8978"/>
    </bk>
    <bk>
      <rc t="2" v="8979"/>
    </bk>
    <bk>
      <rc t="2" v="8980"/>
    </bk>
    <bk>
      <rc t="2" v="8981"/>
    </bk>
    <bk>
      <rc t="2" v="8982"/>
    </bk>
    <bk>
      <rc t="2" v="8983"/>
    </bk>
    <bk>
      <rc t="2" v="8984"/>
    </bk>
    <bk>
      <rc t="2" v="8985"/>
    </bk>
    <bk>
      <rc t="2" v="8986"/>
    </bk>
    <bk>
      <rc t="2" v="8987"/>
    </bk>
    <bk>
      <rc t="2" v="8988"/>
    </bk>
    <bk>
      <rc t="2" v="8989"/>
    </bk>
    <bk>
      <rc t="2" v="8990"/>
    </bk>
    <bk>
      <rc t="2" v="8991"/>
    </bk>
    <bk>
      <rc t="2" v="8992"/>
    </bk>
    <bk>
      <rc t="2" v="8993"/>
    </bk>
    <bk>
      <rc t="2" v="8994"/>
    </bk>
    <bk>
      <rc t="2" v="8995"/>
    </bk>
    <bk>
      <rc t="2" v="8996"/>
    </bk>
    <bk>
      <rc t="2" v="8997"/>
    </bk>
    <bk>
      <rc t="2" v="8998"/>
    </bk>
    <bk>
      <rc t="2" v="8999"/>
    </bk>
    <bk>
      <rc t="2" v="9000"/>
    </bk>
    <bk>
      <rc t="2" v="9001"/>
    </bk>
    <bk>
      <rc t="2" v="9002"/>
    </bk>
    <bk>
      <rc t="2" v="9003"/>
    </bk>
    <bk>
      <rc t="2" v="9004"/>
    </bk>
    <bk>
      <rc t="2" v="9005"/>
    </bk>
    <bk>
      <rc t="2" v="9006"/>
    </bk>
    <bk>
      <rc t="2" v="9007"/>
    </bk>
    <bk>
      <rc t="2" v="9008"/>
    </bk>
    <bk>
      <rc t="2" v="9009"/>
    </bk>
    <bk>
      <rc t="2" v="9010"/>
    </bk>
    <bk>
      <rc t="2" v="9011"/>
    </bk>
    <bk>
      <rc t="2" v="9012"/>
    </bk>
    <bk>
      <rc t="2" v="9013"/>
    </bk>
    <bk>
      <rc t="2" v="9014"/>
    </bk>
    <bk>
      <rc t="2" v="9015"/>
    </bk>
    <bk>
      <rc t="2" v="9016"/>
    </bk>
    <bk>
      <rc t="2" v="9017"/>
    </bk>
    <bk>
      <rc t="2" v="9018"/>
    </bk>
    <bk>
      <rc t="2" v="9019"/>
    </bk>
    <bk>
      <rc t="2" v="9020"/>
    </bk>
    <bk>
      <rc t="2" v="9021"/>
    </bk>
    <bk>
      <rc t="2" v="9022"/>
    </bk>
    <bk>
      <rc t="2" v="9023"/>
    </bk>
    <bk>
      <rc t="2" v="9024"/>
    </bk>
    <bk>
      <rc t="2" v="9025"/>
    </bk>
    <bk>
      <rc t="2" v="9026"/>
    </bk>
    <bk>
      <rc t="2" v="9027"/>
    </bk>
    <bk>
      <rc t="2" v="9028"/>
    </bk>
    <bk>
      <rc t="2" v="9029"/>
    </bk>
    <bk>
      <rc t="2" v="9030"/>
    </bk>
    <bk>
      <rc t="2" v="9031"/>
    </bk>
    <bk>
      <rc t="2" v="9032"/>
    </bk>
    <bk>
      <rc t="2" v="9033"/>
    </bk>
    <bk>
      <rc t="2" v="9034"/>
    </bk>
    <bk>
      <rc t="2" v="9035"/>
    </bk>
    <bk>
      <rc t="2" v="9036"/>
    </bk>
    <bk>
      <rc t="2" v="9037"/>
    </bk>
    <bk>
      <rc t="2" v="9038"/>
    </bk>
    <bk>
      <rc t="2" v="9039"/>
    </bk>
    <bk>
      <rc t="2" v="9040"/>
    </bk>
    <bk>
      <rc t="2" v="9041"/>
    </bk>
    <bk>
      <rc t="2" v="9042"/>
    </bk>
    <bk>
      <rc t="2" v="9043"/>
    </bk>
    <bk>
      <rc t="2" v="9044"/>
    </bk>
    <bk>
      <rc t="2" v="9045"/>
    </bk>
    <bk>
      <rc t="2" v="9046"/>
    </bk>
    <bk>
      <rc t="2" v="9047"/>
    </bk>
    <bk>
      <rc t="2" v="9048"/>
    </bk>
    <bk>
      <rc t="2" v="9049"/>
    </bk>
    <bk>
      <rc t="2" v="9050"/>
    </bk>
    <bk>
      <rc t="2" v="9051"/>
    </bk>
    <bk>
      <rc t="2" v="9052"/>
    </bk>
    <bk>
      <rc t="2" v="9053"/>
    </bk>
    <bk>
      <rc t="2" v="9054"/>
    </bk>
    <bk>
      <rc t="2" v="9055"/>
    </bk>
    <bk>
      <rc t="2" v="9056"/>
    </bk>
    <bk>
      <rc t="2" v="9057"/>
    </bk>
    <bk>
      <rc t="2" v="9058"/>
    </bk>
    <bk>
      <rc t="2" v="9059"/>
    </bk>
    <bk>
      <rc t="2" v="9060"/>
    </bk>
    <bk>
      <rc t="2" v="9061"/>
    </bk>
    <bk>
      <rc t="2" v="9062"/>
    </bk>
    <bk>
      <rc t="2" v="9063"/>
    </bk>
    <bk>
      <rc t="2" v="9064"/>
    </bk>
    <bk>
      <rc t="2" v="9065"/>
    </bk>
    <bk>
      <rc t="2" v="9066"/>
    </bk>
    <bk>
      <rc t="2" v="9067"/>
    </bk>
    <bk>
      <rc t="2" v="9068"/>
    </bk>
    <bk>
      <rc t="2" v="9069"/>
    </bk>
    <bk>
      <rc t="2" v="9070"/>
    </bk>
    <bk>
      <rc t="2" v="9071"/>
    </bk>
    <bk>
      <rc t="2" v="9072"/>
    </bk>
    <bk>
      <rc t="2" v="9073"/>
    </bk>
    <bk>
      <rc t="2" v="9074"/>
    </bk>
    <bk>
      <rc t="2" v="9075"/>
    </bk>
    <bk>
      <rc t="2" v="9076"/>
    </bk>
    <bk>
      <rc t="2" v="9077"/>
    </bk>
    <bk>
      <rc t="2" v="9078"/>
    </bk>
    <bk>
      <rc t="2" v="9079"/>
    </bk>
    <bk>
      <rc t="2" v="9080"/>
    </bk>
    <bk>
      <rc t="2" v="9081"/>
    </bk>
    <bk>
      <rc t="2" v="9082"/>
    </bk>
    <bk>
      <rc t="2" v="9083"/>
    </bk>
    <bk>
      <rc t="2" v="9084"/>
    </bk>
    <bk>
      <rc t="2" v="9085"/>
    </bk>
    <bk>
      <rc t="2" v="9086"/>
    </bk>
    <bk>
      <rc t="2" v="9087"/>
    </bk>
    <bk>
      <rc t="2" v="9088"/>
    </bk>
    <bk>
      <rc t="2" v="9089"/>
    </bk>
    <bk>
      <rc t="2" v="9090"/>
    </bk>
    <bk>
      <rc t="2" v="9091"/>
    </bk>
    <bk>
      <rc t="2" v="9092"/>
    </bk>
    <bk>
      <rc t="2" v="9093"/>
    </bk>
    <bk>
      <rc t="2" v="9094"/>
    </bk>
    <bk>
      <rc t="2" v="9095"/>
    </bk>
    <bk>
      <rc t="2" v="9096"/>
    </bk>
    <bk>
      <rc t="2" v="9097"/>
    </bk>
    <bk>
      <rc t="2" v="9098"/>
    </bk>
    <bk>
      <rc t="2" v="9099"/>
    </bk>
    <bk>
      <rc t="2" v="9100"/>
    </bk>
    <bk>
      <rc t="2" v="9101"/>
    </bk>
    <bk>
      <rc t="2" v="9102"/>
    </bk>
    <bk>
      <rc t="2" v="9103"/>
    </bk>
    <bk>
      <rc t="2" v="9104"/>
    </bk>
    <bk>
      <rc t="2" v="9105"/>
    </bk>
    <bk>
      <rc t="2" v="9106"/>
    </bk>
    <bk>
      <rc t="2" v="9107"/>
    </bk>
    <bk>
      <rc t="2" v="9108"/>
    </bk>
    <bk>
      <rc t="2" v="9109"/>
    </bk>
    <bk>
      <rc t="2" v="9110"/>
    </bk>
    <bk>
      <rc t="2" v="9111"/>
    </bk>
    <bk>
      <rc t="2" v="9112"/>
    </bk>
    <bk>
      <rc t="2" v="9113"/>
    </bk>
    <bk>
      <rc t="2" v="9114"/>
    </bk>
    <bk>
      <rc t="2" v="9115"/>
    </bk>
    <bk>
      <rc t="2" v="9116"/>
    </bk>
    <bk>
      <rc t="2" v="9117"/>
    </bk>
    <bk>
      <rc t="2" v="9118"/>
    </bk>
    <bk>
      <rc t="2" v="9119"/>
    </bk>
    <bk>
      <rc t="2" v="9120"/>
    </bk>
    <bk>
      <rc t="2" v="9121"/>
    </bk>
    <bk>
      <rc t="2" v="9122"/>
    </bk>
    <bk>
      <rc t="2" v="9123"/>
    </bk>
    <bk>
      <rc t="2" v="9124"/>
    </bk>
    <bk>
      <rc t="2" v="9125"/>
    </bk>
    <bk>
      <rc t="2" v="9126"/>
    </bk>
    <bk>
      <rc t="2" v="9127"/>
    </bk>
    <bk>
      <rc t="2" v="9128"/>
    </bk>
    <bk>
      <rc t="2" v="9129"/>
    </bk>
    <bk>
      <rc t="2" v="9130"/>
    </bk>
    <bk>
      <rc t="2" v="9131"/>
    </bk>
    <bk>
      <rc t="2" v="9132"/>
    </bk>
    <bk>
      <rc t="2" v="9133"/>
    </bk>
    <bk>
      <rc t="2" v="9134"/>
    </bk>
    <bk>
      <rc t="2" v="9135"/>
    </bk>
    <bk>
      <rc t="2" v="9136"/>
    </bk>
    <bk>
      <rc t="2" v="9137"/>
    </bk>
    <bk>
      <rc t="2" v="9138"/>
    </bk>
    <bk>
      <rc t="2" v="9139"/>
    </bk>
    <bk>
      <rc t="2" v="9140"/>
    </bk>
    <bk>
      <rc t="2" v="9141"/>
    </bk>
    <bk>
      <rc t="2" v="9142"/>
    </bk>
    <bk>
      <rc t="2" v="9143"/>
    </bk>
    <bk>
      <rc t="2" v="9144"/>
    </bk>
    <bk>
      <rc t="2" v="9145"/>
    </bk>
    <bk>
      <rc t="2" v="9146"/>
    </bk>
    <bk>
      <rc t="2" v="9147"/>
    </bk>
    <bk>
      <rc t="2" v="9148"/>
    </bk>
    <bk>
      <rc t="2" v="9149"/>
    </bk>
    <bk>
      <rc t="2" v="9150"/>
    </bk>
    <bk>
      <rc t="2" v="9151"/>
    </bk>
    <bk>
      <rc t="2" v="9152"/>
    </bk>
    <bk>
      <rc t="2" v="9153"/>
    </bk>
    <bk>
      <rc t="2" v="9154"/>
    </bk>
    <bk>
      <rc t="2" v="9155"/>
    </bk>
    <bk>
      <rc t="2" v="9156"/>
    </bk>
    <bk>
      <rc t="2" v="9157"/>
    </bk>
    <bk>
      <rc t="2" v="9158"/>
    </bk>
    <bk>
      <rc t="2" v="9159"/>
    </bk>
    <bk>
      <rc t="2" v="9160"/>
    </bk>
    <bk>
      <rc t="2" v="9161"/>
    </bk>
    <bk>
      <rc t="2" v="9162"/>
    </bk>
    <bk>
      <rc t="2" v="9163"/>
    </bk>
    <bk>
      <rc t="2" v="9164"/>
    </bk>
    <bk>
      <rc t="2" v="9165"/>
    </bk>
    <bk>
      <rc t="2" v="9166"/>
    </bk>
    <bk>
      <rc t="2" v="9167"/>
    </bk>
    <bk>
      <rc t="2" v="9168"/>
    </bk>
    <bk>
      <rc t="2" v="9169"/>
    </bk>
    <bk>
      <rc t="2" v="9170"/>
    </bk>
    <bk>
      <rc t="2" v="9171"/>
    </bk>
    <bk>
      <rc t="2" v="9172"/>
    </bk>
    <bk>
      <rc t="2" v="9173"/>
    </bk>
    <bk>
      <rc t="2" v="9174"/>
    </bk>
    <bk>
      <rc t="2" v="9175"/>
    </bk>
    <bk>
      <rc t="2" v="9176"/>
    </bk>
    <bk>
      <rc t="2" v="9177"/>
    </bk>
    <bk>
      <rc t="2" v="9178"/>
    </bk>
    <bk>
      <rc t="2" v="9179"/>
    </bk>
    <bk>
      <rc t="2" v="9180"/>
    </bk>
    <bk>
      <rc t="2" v="9181"/>
    </bk>
    <bk>
      <rc t="2" v="9182"/>
    </bk>
    <bk>
      <rc t="2" v="9183"/>
    </bk>
    <bk>
      <rc t="2" v="9184"/>
    </bk>
    <bk>
      <rc t="2" v="9185"/>
    </bk>
    <bk>
      <rc t="2" v="9186"/>
    </bk>
    <bk>
      <rc t="2" v="9187"/>
    </bk>
    <bk>
      <rc t="2" v="9188"/>
    </bk>
    <bk>
      <rc t="2" v="9189"/>
    </bk>
    <bk>
      <rc t="2" v="9190"/>
    </bk>
    <bk>
      <rc t="2" v="9191"/>
    </bk>
    <bk>
      <rc t="2" v="9192"/>
    </bk>
    <bk>
      <rc t="2" v="9193"/>
    </bk>
    <bk>
      <rc t="2" v="9194"/>
    </bk>
    <bk>
      <rc t="2" v="9195"/>
    </bk>
    <bk>
      <rc t="2" v="9196"/>
    </bk>
    <bk>
      <rc t="2" v="9197"/>
    </bk>
    <bk>
      <rc t="2" v="9198"/>
    </bk>
    <bk>
      <rc t="2" v="9199"/>
    </bk>
    <bk>
      <rc t="2" v="9200"/>
    </bk>
    <bk>
      <rc t="2" v="9201"/>
    </bk>
    <bk>
      <rc t="2" v="9202"/>
    </bk>
    <bk>
      <rc t="2" v="9203"/>
    </bk>
    <bk>
      <rc t="2" v="9204"/>
    </bk>
    <bk>
      <rc t="2" v="9205"/>
    </bk>
    <bk>
      <rc t="2" v="9206"/>
    </bk>
    <bk>
      <rc t="2" v="9207"/>
    </bk>
    <bk>
      <rc t="2" v="9208"/>
    </bk>
    <bk>
      <rc t="2" v="9209"/>
    </bk>
    <bk>
      <rc t="2" v="9210"/>
    </bk>
    <bk>
      <rc t="2" v="9211"/>
    </bk>
    <bk>
      <rc t="2" v="9212"/>
    </bk>
    <bk>
      <rc t="2" v="9213"/>
    </bk>
    <bk>
      <rc t="2" v="9214"/>
    </bk>
    <bk>
      <rc t="2" v="9215"/>
    </bk>
    <bk>
      <rc t="2" v="9216"/>
    </bk>
    <bk>
      <rc t="2" v="9217"/>
    </bk>
    <bk>
      <rc t="2" v="9218"/>
    </bk>
    <bk>
      <rc t="2" v="9219"/>
    </bk>
    <bk>
      <rc t="2" v="9220"/>
    </bk>
    <bk>
      <rc t="2" v="9221"/>
    </bk>
    <bk>
      <rc t="2" v="9222"/>
    </bk>
    <bk>
      <rc t="2" v="9223"/>
    </bk>
    <bk>
      <rc t="2" v="9224"/>
    </bk>
    <bk>
      <rc t="2" v="9225"/>
    </bk>
    <bk>
      <rc t="2" v="9226"/>
    </bk>
    <bk>
      <rc t="2" v="9227"/>
    </bk>
    <bk>
      <rc t="2" v="9228"/>
    </bk>
    <bk>
      <rc t="2" v="9229"/>
    </bk>
    <bk>
      <rc t="2" v="9230"/>
    </bk>
    <bk>
      <rc t="2" v="9231"/>
    </bk>
    <bk>
      <rc t="2" v="9232"/>
    </bk>
    <bk>
      <rc t="2" v="9233"/>
    </bk>
    <bk>
      <rc t="2" v="9234"/>
    </bk>
    <bk>
      <rc t="2" v="9235"/>
    </bk>
    <bk>
      <rc t="2" v="9236"/>
    </bk>
    <bk>
      <rc t="2" v="9237"/>
    </bk>
    <bk>
      <rc t="2" v="9238"/>
    </bk>
    <bk>
      <rc t="2" v="9239"/>
    </bk>
    <bk>
      <rc t="2" v="9240"/>
    </bk>
    <bk>
      <rc t="2" v="9241"/>
    </bk>
    <bk>
      <rc t="2" v="9242"/>
    </bk>
    <bk>
      <rc t="2" v="9243"/>
    </bk>
    <bk>
      <rc t="2" v="9244"/>
    </bk>
    <bk>
      <rc t="2" v="9245"/>
    </bk>
    <bk>
      <rc t="2" v="9246"/>
    </bk>
    <bk>
      <rc t="2" v="9247"/>
    </bk>
    <bk>
      <rc t="2" v="9248"/>
    </bk>
    <bk>
      <rc t="2" v="9249"/>
    </bk>
    <bk>
      <rc t="2" v="9250"/>
    </bk>
    <bk>
      <rc t="2" v="9251"/>
    </bk>
    <bk>
      <rc t="2" v="9252"/>
    </bk>
    <bk>
      <rc t="2" v="9253"/>
    </bk>
    <bk>
      <rc t="2" v="9254"/>
    </bk>
    <bk>
      <rc t="2" v="9255"/>
    </bk>
    <bk>
      <rc t="2" v="9256"/>
    </bk>
    <bk>
      <rc t="2" v="9257"/>
    </bk>
    <bk>
      <rc t="2" v="9258"/>
    </bk>
    <bk>
      <rc t="2" v="9259"/>
    </bk>
    <bk>
      <rc t="2" v="9260"/>
    </bk>
    <bk>
      <rc t="2" v="9261"/>
    </bk>
    <bk>
      <rc t="2" v="9262"/>
    </bk>
    <bk>
      <rc t="2" v="9263"/>
    </bk>
    <bk>
      <rc t="2" v="9264"/>
    </bk>
    <bk>
      <rc t="2" v="9265"/>
    </bk>
    <bk>
      <rc t="2" v="9266"/>
    </bk>
    <bk>
      <rc t="2" v="9267"/>
    </bk>
    <bk>
      <rc t="2" v="9268"/>
    </bk>
    <bk>
      <rc t="2" v="9269"/>
    </bk>
    <bk>
      <rc t="2" v="9270"/>
    </bk>
    <bk>
      <rc t="2" v="9271"/>
    </bk>
    <bk>
      <rc t="2" v="9272"/>
    </bk>
    <bk>
      <rc t="2" v="9273"/>
    </bk>
    <bk>
      <rc t="2" v="9274"/>
    </bk>
    <bk>
      <rc t="2" v="9275"/>
    </bk>
    <bk>
      <rc t="2" v="9276"/>
    </bk>
    <bk>
      <rc t="2" v="9277"/>
    </bk>
    <bk>
      <rc t="2" v="9278"/>
    </bk>
    <bk>
      <rc t="2" v="9279"/>
    </bk>
    <bk>
      <rc t="2" v="9280"/>
    </bk>
    <bk>
      <rc t="2" v="9281"/>
    </bk>
    <bk>
      <rc t="2" v="9282"/>
    </bk>
    <bk>
      <rc t="2" v="9283"/>
    </bk>
    <bk>
      <rc t="2" v="9284"/>
    </bk>
    <bk>
      <rc t="2" v="9285"/>
    </bk>
    <bk>
      <rc t="2" v="9286"/>
    </bk>
    <bk>
      <rc t="2" v="9287"/>
    </bk>
    <bk>
      <rc t="2" v="9288"/>
    </bk>
    <bk>
      <rc t="2" v="9289"/>
    </bk>
    <bk>
      <rc t="2" v="9290"/>
    </bk>
    <bk>
      <rc t="2" v="9291"/>
    </bk>
    <bk>
      <rc t="2" v="9292"/>
    </bk>
    <bk>
      <rc t="2" v="9293"/>
    </bk>
    <bk>
      <rc t="2" v="9294"/>
    </bk>
    <bk>
      <rc t="2" v="9295"/>
    </bk>
    <bk>
      <rc t="2" v="9296"/>
    </bk>
    <bk>
      <rc t="2" v="9297"/>
    </bk>
    <bk>
      <rc t="2" v="9298"/>
    </bk>
    <bk>
      <rc t="2" v="9299"/>
    </bk>
    <bk>
      <rc t="2" v="9300"/>
    </bk>
    <bk>
      <rc t="2" v="9301"/>
    </bk>
    <bk>
      <rc t="2" v="9302"/>
    </bk>
    <bk>
      <rc t="2" v="9303"/>
    </bk>
    <bk>
      <rc t="2" v="9304"/>
    </bk>
    <bk>
      <rc t="2" v="9305"/>
    </bk>
    <bk>
      <rc t="2" v="9306"/>
    </bk>
    <bk>
      <rc t="2" v="9307"/>
    </bk>
    <bk>
      <rc t="2" v="9308"/>
    </bk>
    <bk>
      <rc t="2" v="9309"/>
    </bk>
    <bk>
      <rc t="2" v="9310"/>
    </bk>
    <bk>
      <rc t="2" v="9311"/>
    </bk>
    <bk>
      <rc t="2" v="9312"/>
    </bk>
    <bk>
      <rc t="2" v="9313"/>
    </bk>
    <bk>
      <rc t="2" v="9314"/>
    </bk>
    <bk>
      <rc t="2" v="9315"/>
    </bk>
    <bk>
      <rc t="2" v="9316"/>
    </bk>
    <bk>
      <rc t="2" v="9317"/>
    </bk>
    <bk>
      <rc t="2" v="9318"/>
    </bk>
    <bk>
      <rc t="2" v="9319"/>
    </bk>
    <bk>
      <rc t="2" v="9320"/>
    </bk>
    <bk>
      <rc t="2" v="9321"/>
    </bk>
    <bk>
      <rc t="2" v="9322"/>
    </bk>
    <bk>
      <rc t="2" v="9323"/>
    </bk>
    <bk>
      <rc t="2" v="9324"/>
    </bk>
    <bk>
      <rc t="2" v="9325"/>
    </bk>
    <bk>
      <rc t="2" v="9326"/>
    </bk>
    <bk>
      <rc t="2" v="9327"/>
    </bk>
    <bk>
      <rc t="2" v="9328"/>
    </bk>
    <bk>
      <rc t="2" v="9329"/>
    </bk>
    <bk>
      <rc t="2" v="9330"/>
    </bk>
    <bk>
      <rc t="2" v="9331"/>
    </bk>
    <bk>
      <rc t="2" v="9332"/>
    </bk>
    <bk>
      <rc t="2" v="9333"/>
    </bk>
    <bk>
      <rc t="2" v="9334"/>
    </bk>
    <bk>
      <rc t="2" v="9335"/>
    </bk>
    <bk>
      <rc t="2" v="9336"/>
    </bk>
    <bk>
      <rc t="2" v="9337"/>
    </bk>
    <bk>
      <rc t="2" v="9338"/>
    </bk>
    <bk>
      <rc t="2" v="9339"/>
    </bk>
    <bk>
      <rc t="2" v="9340"/>
    </bk>
    <bk>
      <rc t="2" v="9341"/>
    </bk>
    <bk>
      <rc t="2" v="9342"/>
    </bk>
    <bk>
      <rc t="2" v="9343"/>
    </bk>
    <bk>
      <rc t="2" v="9344"/>
    </bk>
    <bk>
      <rc t="2" v="9345"/>
    </bk>
    <bk>
      <rc t="2" v="9346"/>
    </bk>
    <bk>
      <rc t="2" v="9347"/>
    </bk>
    <bk>
      <rc t="2" v="9348"/>
    </bk>
    <bk>
      <rc t="2" v="9349"/>
    </bk>
    <bk>
      <rc t="2" v="9350"/>
    </bk>
    <bk>
      <rc t="2" v="9351"/>
    </bk>
    <bk>
      <rc t="2" v="9352"/>
    </bk>
    <bk>
      <rc t="2" v="9353"/>
    </bk>
    <bk>
      <rc t="2" v="9354"/>
    </bk>
    <bk>
      <rc t="2" v="9355"/>
    </bk>
    <bk>
      <rc t="2" v="9356"/>
    </bk>
    <bk>
      <rc t="2" v="9357"/>
    </bk>
    <bk>
      <rc t="2" v="9358"/>
    </bk>
    <bk>
      <rc t="2" v="9359"/>
    </bk>
    <bk>
      <rc t="2" v="9360"/>
    </bk>
    <bk>
      <rc t="2" v="9361"/>
    </bk>
    <bk>
      <rc t="2" v="9362"/>
    </bk>
    <bk>
      <rc t="2" v="9363"/>
    </bk>
    <bk>
      <rc t="2" v="9364"/>
    </bk>
    <bk>
      <rc t="2" v="9365"/>
    </bk>
    <bk>
      <rc t="2" v="9366"/>
    </bk>
    <bk>
      <rc t="2" v="9367"/>
    </bk>
    <bk>
      <rc t="2" v="9368"/>
    </bk>
    <bk>
      <rc t="2" v="9369"/>
    </bk>
    <bk>
      <rc t="2" v="9370"/>
    </bk>
    <bk>
      <rc t="2" v="9371"/>
    </bk>
    <bk>
      <rc t="2" v="9372"/>
    </bk>
    <bk>
      <rc t="2" v="9373"/>
    </bk>
    <bk>
      <rc t="2" v="9374"/>
    </bk>
    <bk>
      <rc t="2" v="9375"/>
    </bk>
    <bk>
      <rc t="2" v="9376"/>
    </bk>
    <bk>
      <rc t="2" v="9377"/>
    </bk>
    <bk>
      <rc t="2" v="9378"/>
    </bk>
    <bk>
      <rc t="2" v="9379"/>
    </bk>
    <bk>
      <rc t="2" v="9380"/>
    </bk>
    <bk>
      <rc t="2" v="9381"/>
    </bk>
    <bk>
      <rc t="2" v="9382"/>
    </bk>
    <bk>
      <rc t="2" v="9383"/>
    </bk>
    <bk>
      <rc t="2" v="9384"/>
    </bk>
    <bk>
      <rc t="2" v="9385"/>
    </bk>
    <bk>
      <rc t="2" v="9386"/>
    </bk>
    <bk>
      <rc t="2" v="9387"/>
    </bk>
    <bk>
      <rc t="2" v="9388"/>
    </bk>
    <bk>
      <rc t="2" v="9389"/>
    </bk>
    <bk>
      <rc t="2" v="9390"/>
    </bk>
    <bk>
      <rc t="2" v="9391"/>
    </bk>
    <bk>
      <rc t="2" v="9392"/>
    </bk>
    <bk>
      <rc t="2" v="9393"/>
    </bk>
    <bk>
      <rc t="2" v="9394"/>
    </bk>
    <bk>
      <rc t="2" v="9395"/>
    </bk>
    <bk>
      <rc t="2" v="9396"/>
    </bk>
    <bk>
      <rc t="2" v="9397"/>
    </bk>
    <bk>
      <rc t="2" v="9398"/>
    </bk>
    <bk>
      <rc t="2" v="9399"/>
    </bk>
    <bk>
      <rc t="2" v="9400"/>
    </bk>
    <bk>
      <rc t="2" v="9401"/>
    </bk>
    <bk>
      <rc t="2" v="9402"/>
    </bk>
    <bk>
      <rc t="2" v="9403"/>
    </bk>
    <bk>
      <rc t="2" v="9404"/>
    </bk>
    <bk>
      <rc t="2" v="9405"/>
    </bk>
    <bk>
      <rc t="2" v="9406"/>
    </bk>
    <bk>
      <rc t="2" v="9407"/>
    </bk>
    <bk>
      <rc t="2" v="9408"/>
    </bk>
    <bk>
      <rc t="2" v="9409"/>
    </bk>
    <bk>
      <rc t="2" v="9410"/>
    </bk>
    <bk>
      <rc t="2" v="9411"/>
    </bk>
    <bk>
      <rc t="2" v="9412"/>
    </bk>
    <bk>
      <rc t="2" v="9413"/>
    </bk>
    <bk>
      <rc t="2" v="9414"/>
    </bk>
    <bk>
      <rc t="2" v="9415"/>
    </bk>
    <bk>
      <rc t="2" v="9416"/>
    </bk>
    <bk>
      <rc t="2" v="9417"/>
    </bk>
    <bk>
      <rc t="2" v="9418"/>
    </bk>
    <bk>
      <rc t="2" v="9419"/>
    </bk>
    <bk>
      <rc t="2" v="9420"/>
    </bk>
    <bk>
      <rc t="2" v="9421"/>
    </bk>
    <bk>
      <rc t="2" v="9422"/>
    </bk>
    <bk>
      <rc t="2" v="9423"/>
    </bk>
    <bk>
      <rc t="2" v="9424"/>
    </bk>
    <bk>
      <rc t="2" v="9425"/>
    </bk>
    <bk>
      <rc t="2" v="9426"/>
    </bk>
    <bk>
      <rc t="2" v="9427"/>
    </bk>
    <bk>
      <rc t="2" v="9428"/>
    </bk>
    <bk>
      <rc t="2" v="9429"/>
    </bk>
    <bk>
      <rc t="2" v="9430"/>
    </bk>
    <bk>
      <rc t="2" v="9431"/>
    </bk>
    <bk>
      <rc t="2" v="9432"/>
    </bk>
    <bk>
      <rc t="2" v="9433"/>
    </bk>
    <bk>
      <rc t="2" v="9434"/>
    </bk>
    <bk>
      <rc t="2" v="9435"/>
    </bk>
    <bk>
      <rc t="2" v="9436"/>
    </bk>
    <bk>
      <rc t="2" v="9437"/>
    </bk>
    <bk>
      <rc t="2" v="9438"/>
    </bk>
    <bk>
      <rc t="2" v="9439"/>
    </bk>
    <bk>
      <rc t="2" v="9440"/>
    </bk>
    <bk>
      <rc t="2" v="9441"/>
    </bk>
    <bk>
      <rc t="2" v="9442"/>
    </bk>
    <bk>
      <rc t="2" v="9443"/>
    </bk>
    <bk>
      <rc t="2" v="9444"/>
    </bk>
    <bk>
      <rc t="2" v="9445"/>
    </bk>
    <bk>
      <rc t="2" v="9446"/>
    </bk>
    <bk>
      <rc t="2" v="9447"/>
    </bk>
    <bk>
      <rc t="2" v="9448"/>
    </bk>
    <bk>
      <rc t="2" v="9449"/>
    </bk>
    <bk>
      <rc t="2" v="9450"/>
    </bk>
    <bk>
      <rc t="2" v="9451"/>
    </bk>
    <bk>
      <rc t="2" v="9452"/>
    </bk>
    <bk>
      <rc t="2" v="9453"/>
    </bk>
    <bk>
      <rc t="2" v="9454"/>
    </bk>
    <bk>
      <rc t="2" v="9455"/>
    </bk>
    <bk>
      <rc t="2" v="9456"/>
    </bk>
    <bk>
      <rc t="2" v="9457"/>
    </bk>
    <bk>
      <rc t="2" v="9458"/>
    </bk>
    <bk>
      <rc t="2" v="9459"/>
    </bk>
    <bk>
      <rc t="2" v="9460"/>
    </bk>
    <bk>
      <rc t="2" v="9461"/>
    </bk>
    <bk>
      <rc t="2" v="9462"/>
    </bk>
    <bk>
      <rc t="2" v="9463"/>
    </bk>
    <bk>
      <rc t="2" v="9464"/>
    </bk>
    <bk>
      <rc t="2" v="9465"/>
    </bk>
    <bk>
      <rc t="2" v="9466"/>
    </bk>
    <bk>
      <rc t="2" v="9467"/>
    </bk>
    <bk>
      <rc t="2" v="9468"/>
    </bk>
    <bk>
      <rc t="2" v="9469"/>
    </bk>
    <bk>
      <rc t="2" v="9470"/>
    </bk>
    <bk>
      <rc t="2" v="9471"/>
    </bk>
    <bk>
      <rc t="2" v="9472"/>
    </bk>
    <bk>
      <rc t="2" v="9473"/>
    </bk>
    <bk>
      <rc t="2" v="9474"/>
    </bk>
    <bk>
      <rc t="2" v="9475"/>
    </bk>
    <bk>
      <rc t="2" v="9476"/>
    </bk>
    <bk>
      <rc t="2" v="9477"/>
    </bk>
    <bk>
      <rc t="2" v="9478"/>
    </bk>
    <bk>
      <rc t="2" v="9479"/>
    </bk>
    <bk>
      <rc t="2" v="9480"/>
    </bk>
    <bk>
      <rc t="2" v="9481"/>
    </bk>
    <bk>
      <rc t="2" v="9482"/>
    </bk>
    <bk>
      <rc t="2" v="9483"/>
    </bk>
    <bk>
      <rc t="2" v="9484"/>
    </bk>
    <bk>
      <rc t="2" v="9485"/>
    </bk>
    <bk>
      <rc t="2" v="9486"/>
    </bk>
    <bk>
      <rc t="2" v="9487"/>
    </bk>
    <bk>
      <rc t="2" v="9488"/>
    </bk>
    <bk>
      <rc t="2" v="9489"/>
    </bk>
    <bk>
      <rc t="2" v="9490"/>
    </bk>
    <bk>
      <rc t="2" v="9491"/>
    </bk>
    <bk>
      <rc t="2" v="9492"/>
    </bk>
    <bk>
      <rc t="2" v="9493"/>
    </bk>
    <bk>
      <rc t="2" v="9494"/>
    </bk>
    <bk>
      <rc t="2" v="9495"/>
    </bk>
    <bk>
      <rc t="2" v="9496"/>
    </bk>
    <bk>
      <rc t="2" v="9497"/>
    </bk>
    <bk>
      <rc t="2" v="9498"/>
    </bk>
    <bk>
      <rc t="2" v="9499"/>
    </bk>
    <bk>
      <rc t="2" v="9500"/>
    </bk>
    <bk>
      <rc t="2" v="9501"/>
    </bk>
    <bk>
      <rc t="2" v="9502"/>
    </bk>
    <bk>
      <rc t="2" v="9503"/>
    </bk>
    <bk>
      <rc t="2" v="9504"/>
    </bk>
    <bk>
      <rc t="2" v="9505"/>
    </bk>
    <bk>
      <rc t="2" v="9506"/>
    </bk>
    <bk>
      <rc t="2" v="9507"/>
    </bk>
    <bk>
      <rc t="2" v="9508"/>
    </bk>
    <bk>
      <rc t="2" v="9509"/>
    </bk>
    <bk>
      <rc t="2" v="9510"/>
    </bk>
    <bk>
      <rc t="2" v="9511"/>
    </bk>
    <bk>
      <rc t="2" v="9512"/>
    </bk>
    <bk>
      <rc t="2" v="9513"/>
    </bk>
    <bk>
      <rc t="2" v="9514"/>
    </bk>
    <bk>
      <rc t="2" v="9515"/>
    </bk>
    <bk>
      <rc t="2" v="9516"/>
    </bk>
    <bk>
      <rc t="2" v="9517"/>
    </bk>
    <bk>
      <rc t="2" v="9518"/>
    </bk>
    <bk>
      <rc t="2" v="9519"/>
    </bk>
    <bk>
      <rc t="2" v="9520"/>
    </bk>
    <bk>
      <rc t="2" v="9521"/>
    </bk>
    <bk>
      <rc t="2" v="9522"/>
    </bk>
    <bk>
      <rc t="2" v="9523"/>
    </bk>
    <bk>
      <rc t="2" v="9524"/>
    </bk>
    <bk>
      <rc t="2" v="9525"/>
    </bk>
    <bk>
      <rc t="2" v="9526"/>
    </bk>
    <bk>
      <rc t="2" v="9527"/>
    </bk>
    <bk>
      <rc t="2" v="9528"/>
    </bk>
    <bk>
      <rc t="2" v="9529"/>
    </bk>
    <bk>
      <rc t="2" v="9530"/>
    </bk>
    <bk>
      <rc t="2" v="9531"/>
    </bk>
    <bk>
      <rc t="2" v="9532"/>
    </bk>
    <bk>
      <rc t="2" v="9533"/>
    </bk>
    <bk>
      <rc t="2" v="9534"/>
    </bk>
    <bk>
      <rc t="2" v="9535"/>
    </bk>
    <bk>
      <rc t="2" v="9536"/>
    </bk>
    <bk>
      <rc t="2" v="9537"/>
    </bk>
    <bk>
      <rc t="2" v="9538"/>
    </bk>
    <bk>
      <rc t="2" v="9539"/>
    </bk>
    <bk>
      <rc t="2" v="9540"/>
    </bk>
    <bk>
      <rc t="2" v="9541"/>
    </bk>
    <bk>
      <rc t="2" v="9542"/>
    </bk>
    <bk>
      <rc t="2" v="9543"/>
    </bk>
    <bk>
      <rc t="2" v="9544"/>
    </bk>
    <bk>
      <rc t="2" v="9545"/>
    </bk>
    <bk>
      <rc t="2" v="9546"/>
    </bk>
    <bk>
      <rc t="2" v="9547"/>
    </bk>
    <bk>
      <rc t="2" v="9548"/>
    </bk>
    <bk>
      <rc t="2" v="9549"/>
    </bk>
    <bk>
      <rc t="2" v="9550"/>
    </bk>
    <bk>
      <rc t="2" v="9551"/>
    </bk>
    <bk>
      <rc t="2" v="9552"/>
    </bk>
    <bk>
      <rc t="2" v="9553"/>
    </bk>
    <bk>
      <rc t="2" v="9554"/>
    </bk>
    <bk>
      <rc t="2" v="9555"/>
    </bk>
    <bk>
      <rc t="2" v="9556"/>
    </bk>
    <bk>
      <rc t="2" v="9557"/>
    </bk>
    <bk>
      <rc t="2" v="9558"/>
    </bk>
    <bk>
      <rc t="2" v="9559"/>
    </bk>
    <bk>
      <rc t="2" v="9560"/>
    </bk>
    <bk>
      <rc t="2" v="9561"/>
    </bk>
    <bk>
      <rc t="2" v="9562"/>
    </bk>
    <bk>
      <rc t="2" v="9563"/>
    </bk>
    <bk>
      <rc t="2" v="9564"/>
    </bk>
    <bk>
      <rc t="2" v="9565"/>
    </bk>
    <bk>
      <rc t="2" v="9566"/>
    </bk>
    <bk>
      <rc t="2" v="9567"/>
    </bk>
    <bk>
      <rc t="2" v="9568"/>
    </bk>
    <bk>
      <rc t="2" v="9569"/>
    </bk>
    <bk>
      <rc t="2" v="9570"/>
    </bk>
    <bk>
      <rc t="2" v="9571"/>
    </bk>
    <bk>
      <rc t="2" v="9572"/>
    </bk>
    <bk>
      <rc t="2" v="9573"/>
    </bk>
    <bk>
      <rc t="2" v="9574"/>
    </bk>
    <bk>
      <rc t="2" v="9575"/>
    </bk>
    <bk>
      <rc t="2" v="9576"/>
    </bk>
    <bk>
      <rc t="2" v="9577"/>
    </bk>
    <bk>
      <rc t="2" v="9578"/>
    </bk>
    <bk>
      <rc t="2" v="9579"/>
    </bk>
    <bk>
      <rc t="2" v="9580"/>
    </bk>
    <bk>
      <rc t="2" v="9581"/>
    </bk>
    <bk>
      <rc t="2" v="9582"/>
    </bk>
    <bk>
      <rc t="2" v="9583"/>
    </bk>
    <bk>
      <rc t="2" v="9584"/>
    </bk>
    <bk>
      <rc t="2" v="9585"/>
    </bk>
    <bk>
      <rc t="2" v="9586"/>
    </bk>
    <bk>
      <rc t="2" v="9587"/>
    </bk>
    <bk>
      <rc t="2" v="9588"/>
    </bk>
    <bk>
      <rc t="2" v="9589"/>
    </bk>
    <bk>
      <rc t="2" v="9590"/>
    </bk>
    <bk>
      <rc t="2" v="9591"/>
    </bk>
    <bk>
      <rc t="2" v="9592"/>
    </bk>
    <bk>
      <rc t="2" v="9593"/>
    </bk>
    <bk>
      <rc t="2" v="9594"/>
    </bk>
    <bk>
      <rc t="2" v="9595"/>
    </bk>
    <bk>
      <rc t="2" v="9596"/>
    </bk>
    <bk>
      <rc t="2" v="9597"/>
    </bk>
    <bk>
      <rc t="2" v="9598"/>
    </bk>
    <bk>
      <rc t="2" v="9599"/>
    </bk>
    <bk>
      <rc t="2" v="9600"/>
    </bk>
    <bk>
      <rc t="2" v="9601"/>
    </bk>
    <bk>
      <rc t="2" v="9602"/>
    </bk>
    <bk>
      <rc t="2" v="9603"/>
    </bk>
    <bk>
      <rc t="2" v="9604"/>
    </bk>
    <bk>
      <rc t="2" v="9605"/>
    </bk>
    <bk>
      <rc t="2" v="9606"/>
    </bk>
    <bk>
      <rc t="2" v="9607"/>
    </bk>
    <bk>
      <rc t="2" v="9608"/>
    </bk>
    <bk>
      <rc t="2" v="9609"/>
    </bk>
    <bk>
      <rc t="2" v="9610"/>
    </bk>
    <bk>
      <rc t="2" v="9611"/>
    </bk>
    <bk>
      <rc t="2" v="9612"/>
    </bk>
    <bk>
      <rc t="2" v="9613"/>
    </bk>
    <bk>
      <rc t="2" v="9614"/>
    </bk>
    <bk>
      <rc t="2" v="9615"/>
    </bk>
    <bk>
      <rc t="2" v="9616"/>
    </bk>
    <bk>
      <rc t="2" v="9617"/>
    </bk>
    <bk>
      <rc t="2" v="9618"/>
    </bk>
    <bk>
      <rc t="2" v="9619"/>
    </bk>
    <bk>
      <rc t="2" v="9620"/>
    </bk>
    <bk>
      <rc t="2" v="9621"/>
    </bk>
    <bk>
      <rc t="2" v="9622"/>
    </bk>
    <bk>
      <rc t="2" v="9623"/>
    </bk>
    <bk>
      <rc t="2" v="9624"/>
    </bk>
    <bk>
      <rc t="2" v="9625"/>
    </bk>
    <bk>
      <rc t="2" v="9626"/>
    </bk>
    <bk>
      <rc t="2" v="9627"/>
    </bk>
    <bk>
      <rc t="2" v="9628"/>
    </bk>
    <bk>
      <rc t="2" v="9629"/>
    </bk>
    <bk>
      <rc t="2" v="9630"/>
    </bk>
    <bk>
      <rc t="2" v="9631"/>
    </bk>
    <bk>
      <rc t="2" v="9632"/>
    </bk>
    <bk>
      <rc t="2" v="9633"/>
    </bk>
    <bk>
      <rc t="2" v="9634"/>
    </bk>
    <bk>
      <rc t="2" v="9635"/>
    </bk>
    <bk>
      <rc t="2" v="9636"/>
    </bk>
    <bk>
      <rc t="2" v="9637"/>
    </bk>
    <bk>
      <rc t="2" v="9638"/>
    </bk>
    <bk>
      <rc t="2" v="9639"/>
    </bk>
    <bk>
      <rc t="2" v="9640"/>
    </bk>
    <bk>
      <rc t="2" v="9641"/>
    </bk>
    <bk>
      <rc t="2" v="9642"/>
    </bk>
    <bk>
      <rc t="2" v="9643"/>
    </bk>
    <bk>
      <rc t="2" v="9644"/>
    </bk>
    <bk>
      <rc t="2" v="9645"/>
    </bk>
    <bk>
      <rc t="2" v="9646"/>
    </bk>
    <bk>
      <rc t="2" v="9647"/>
    </bk>
    <bk>
      <rc t="2" v="9648"/>
    </bk>
    <bk>
      <rc t="2" v="9649"/>
    </bk>
    <bk>
      <rc t="2" v="9650"/>
    </bk>
    <bk>
      <rc t="2" v="9651"/>
    </bk>
    <bk>
      <rc t="2" v="9652"/>
    </bk>
    <bk>
      <rc t="2" v="9653"/>
    </bk>
    <bk>
      <rc t="2" v="9654"/>
    </bk>
    <bk>
      <rc t="2" v="9655"/>
    </bk>
    <bk>
      <rc t="2" v="9656"/>
    </bk>
    <bk>
      <rc t="2" v="9657"/>
    </bk>
    <bk>
      <rc t="2" v="9658"/>
    </bk>
    <bk>
      <rc t="2" v="9659"/>
    </bk>
    <bk>
      <rc t="2" v="9660"/>
    </bk>
    <bk>
      <rc t="2" v="9661"/>
    </bk>
    <bk>
      <rc t="2" v="9662"/>
    </bk>
    <bk>
      <rc t="2" v="9663"/>
    </bk>
    <bk>
      <rc t="2" v="9664"/>
    </bk>
    <bk>
      <rc t="2" v="9665"/>
    </bk>
    <bk>
      <rc t="2" v="9666"/>
    </bk>
    <bk>
      <rc t="2" v="9667"/>
    </bk>
    <bk>
      <rc t="2" v="9668"/>
    </bk>
    <bk>
      <rc t="2" v="9669"/>
    </bk>
    <bk>
      <rc t="2" v="9670"/>
    </bk>
    <bk>
      <rc t="2" v="9671"/>
    </bk>
    <bk>
      <rc t="2" v="9672"/>
    </bk>
    <bk>
      <rc t="2" v="9673"/>
    </bk>
    <bk>
      <rc t="2" v="9674"/>
    </bk>
    <bk>
      <rc t="2" v="9675"/>
    </bk>
    <bk>
      <rc t="2" v="9676"/>
    </bk>
    <bk>
      <rc t="2" v="9677"/>
    </bk>
    <bk>
      <rc t="2" v="9678"/>
    </bk>
    <bk>
      <rc t="2" v="9679"/>
    </bk>
    <bk>
      <rc t="2" v="9680"/>
    </bk>
    <bk>
      <rc t="2" v="9681"/>
    </bk>
    <bk>
      <rc t="2" v="9682"/>
    </bk>
    <bk>
      <rc t="2" v="9683"/>
    </bk>
    <bk>
      <rc t="2" v="9684"/>
    </bk>
    <bk>
      <rc t="2" v="9685"/>
    </bk>
    <bk>
      <rc t="2" v="9686"/>
    </bk>
    <bk>
      <rc t="2" v="9687"/>
    </bk>
    <bk>
      <rc t="2" v="9688"/>
    </bk>
    <bk>
      <rc t="2" v="9689"/>
    </bk>
    <bk>
      <rc t="2" v="9690"/>
    </bk>
    <bk>
      <rc t="2" v="9691"/>
    </bk>
    <bk>
      <rc t="2" v="9692"/>
    </bk>
    <bk>
      <rc t="2" v="9693"/>
    </bk>
    <bk>
      <rc t="2" v="9694"/>
    </bk>
    <bk>
      <rc t="2" v="9695"/>
    </bk>
    <bk>
      <rc t="2" v="9696"/>
    </bk>
    <bk>
      <rc t="2" v="9697"/>
    </bk>
    <bk>
      <rc t="2" v="9698"/>
    </bk>
    <bk>
      <rc t="2" v="9699"/>
    </bk>
    <bk>
      <rc t="2" v="9700"/>
    </bk>
    <bk>
      <rc t="2" v="9701"/>
    </bk>
    <bk>
      <rc t="2" v="9702"/>
    </bk>
    <bk>
      <rc t="2" v="9703"/>
    </bk>
    <bk>
      <rc t="2" v="9704"/>
    </bk>
    <bk>
      <rc t="2" v="9705"/>
    </bk>
    <bk>
      <rc t="2" v="9706"/>
    </bk>
    <bk>
      <rc t="2" v="9707"/>
    </bk>
    <bk>
      <rc t="2" v="9708"/>
    </bk>
    <bk>
      <rc t="2" v="9709"/>
    </bk>
    <bk>
      <rc t="2" v="9710"/>
    </bk>
    <bk>
      <rc t="2" v="9711"/>
    </bk>
    <bk>
      <rc t="2" v="9712"/>
    </bk>
    <bk>
      <rc t="2" v="9713"/>
    </bk>
    <bk>
      <rc t="2" v="9714"/>
    </bk>
    <bk>
      <rc t="2" v="9715"/>
    </bk>
    <bk>
      <rc t="2" v="9716"/>
    </bk>
    <bk>
      <rc t="2" v="9717"/>
    </bk>
    <bk>
      <rc t="2" v="9718"/>
    </bk>
    <bk>
      <rc t="2" v="9719"/>
    </bk>
    <bk>
      <rc t="2" v="9720"/>
    </bk>
    <bk>
      <rc t="2" v="9721"/>
    </bk>
    <bk>
      <rc t="2" v="9722"/>
    </bk>
    <bk>
      <rc t="2" v="9723"/>
    </bk>
    <bk>
      <rc t="2" v="9724"/>
    </bk>
    <bk>
      <rc t="2" v="9725"/>
    </bk>
    <bk>
      <rc t="2" v="9726"/>
    </bk>
    <bk>
      <rc t="2" v="9727"/>
    </bk>
    <bk>
      <rc t="2" v="9728"/>
    </bk>
    <bk>
      <rc t="2" v="9729"/>
    </bk>
    <bk>
      <rc t="2" v="9730"/>
    </bk>
    <bk>
      <rc t="2" v="9731"/>
    </bk>
    <bk>
      <rc t="2" v="9732"/>
    </bk>
    <bk>
      <rc t="2" v="9733"/>
    </bk>
    <bk>
      <rc t="2" v="9734"/>
    </bk>
    <bk>
      <rc t="2" v="9735"/>
    </bk>
    <bk>
      <rc t="2" v="9736"/>
    </bk>
    <bk>
      <rc t="2" v="9737"/>
    </bk>
    <bk>
      <rc t="2" v="9738"/>
    </bk>
    <bk>
      <rc t="2" v="9739"/>
    </bk>
    <bk>
      <rc t="2" v="9740"/>
    </bk>
    <bk>
      <rc t="2" v="9741"/>
    </bk>
    <bk>
      <rc t="2" v="9742"/>
    </bk>
    <bk>
      <rc t="2" v="9743"/>
    </bk>
    <bk>
      <rc t="2" v="9744"/>
    </bk>
    <bk>
      <rc t="2" v="9745"/>
    </bk>
    <bk>
      <rc t="2" v="9746"/>
    </bk>
    <bk>
      <rc t="2" v="9747"/>
    </bk>
    <bk>
      <rc t="2" v="9748"/>
    </bk>
    <bk>
      <rc t="2" v="9749"/>
    </bk>
    <bk>
      <rc t="2" v="9750"/>
    </bk>
    <bk>
      <rc t="2" v="9751"/>
    </bk>
    <bk>
      <rc t="2" v="9752"/>
    </bk>
    <bk>
      <rc t="2" v="9753"/>
    </bk>
    <bk>
      <rc t="2" v="9754"/>
    </bk>
    <bk>
      <rc t="2" v="9755"/>
    </bk>
    <bk>
      <rc t="2" v="9756"/>
    </bk>
    <bk>
      <rc t="2" v="9757"/>
    </bk>
    <bk>
      <rc t="2" v="9758"/>
    </bk>
    <bk>
      <rc t="2" v="9759"/>
    </bk>
    <bk>
      <rc t="2" v="9760"/>
    </bk>
    <bk>
      <rc t="2" v="9761"/>
    </bk>
    <bk>
      <rc t="2" v="9762"/>
    </bk>
    <bk>
      <rc t="2" v="9763"/>
    </bk>
    <bk>
      <rc t="2" v="9764"/>
    </bk>
    <bk>
      <rc t="2" v="9765"/>
    </bk>
    <bk>
      <rc t="2" v="9766"/>
    </bk>
    <bk>
      <rc t="2" v="9767"/>
    </bk>
    <bk>
      <rc t="2" v="9768"/>
    </bk>
    <bk>
      <rc t="2" v="9769"/>
    </bk>
    <bk>
      <rc t="2" v="9770"/>
    </bk>
    <bk>
      <rc t="2" v="9771"/>
    </bk>
    <bk>
      <rc t="2" v="9772"/>
    </bk>
    <bk>
      <rc t="2" v="9773"/>
    </bk>
    <bk>
      <rc t="2" v="9774"/>
    </bk>
    <bk>
      <rc t="2" v="9775"/>
    </bk>
    <bk>
      <rc t="2" v="9776"/>
    </bk>
    <bk>
      <rc t="2" v="9777"/>
    </bk>
    <bk>
      <rc t="2" v="9778"/>
    </bk>
    <bk>
      <rc t="2" v="9779"/>
    </bk>
    <bk>
      <rc t="2" v="9780"/>
    </bk>
    <bk>
      <rc t="2" v="9781"/>
    </bk>
    <bk>
      <rc t="2" v="9782"/>
    </bk>
    <bk>
      <rc t="2" v="9783"/>
    </bk>
    <bk>
      <rc t="2" v="9784"/>
    </bk>
    <bk>
      <rc t="2" v="9785"/>
    </bk>
    <bk>
      <rc t="2" v="9786"/>
    </bk>
    <bk>
      <rc t="2" v="9787"/>
    </bk>
    <bk>
      <rc t="2" v="9788"/>
    </bk>
    <bk>
      <rc t="2" v="9789"/>
    </bk>
    <bk>
      <rc t="2" v="9790"/>
    </bk>
    <bk>
      <rc t="2" v="9791"/>
    </bk>
    <bk>
      <rc t="2" v="9792"/>
    </bk>
    <bk>
      <rc t="2" v="9793"/>
    </bk>
    <bk>
      <rc t="2" v="9794"/>
    </bk>
    <bk>
      <rc t="2" v="9795"/>
    </bk>
    <bk>
      <rc t="2" v="9796"/>
    </bk>
    <bk>
      <rc t="2" v="9797"/>
    </bk>
    <bk>
      <rc t="2" v="9798"/>
    </bk>
    <bk>
      <rc t="2" v="9799"/>
    </bk>
    <bk>
      <rc t="2" v="9800"/>
    </bk>
    <bk>
      <rc t="2" v="9801"/>
    </bk>
    <bk>
      <rc t="2" v="9802"/>
    </bk>
    <bk>
      <rc t="2" v="9803"/>
    </bk>
    <bk>
      <rc t="2" v="9804"/>
    </bk>
    <bk>
      <rc t="2" v="9805"/>
    </bk>
    <bk>
      <rc t="2" v="9806"/>
    </bk>
    <bk>
      <rc t="2" v="9807"/>
    </bk>
    <bk>
      <rc t="2" v="9808"/>
    </bk>
    <bk>
      <rc t="2" v="9809"/>
    </bk>
    <bk>
      <rc t="2" v="9810"/>
    </bk>
    <bk>
      <rc t="2" v="9811"/>
    </bk>
    <bk>
      <rc t="2" v="9812"/>
    </bk>
    <bk>
      <rc t="2" v="9813"/>
    </bk>
    <bk>
      <rc t="2" v="9814"/>
    </bk>
    <bk>
      <rc t="2" v="9815"/>
    </bk>
    <bk>
      <rc t="2" v="9816"/>
    </bk>
    <bk>
      <rc t="2" v="9817"/>
    </bk>
    <bk>
      <rc t="2" v="9818"/>
    </bk>
    <bk>
      <rc t="2" v="9819"/>
    </bk>
    <bk>
      <rc t="2" v="9820"/>
    </bk>
    <bk>
      <rc t="2" v="9821"/>
    </bk>
    <bk>
      <rc t="2" v="9822"/>
    </bk>
    <bk>
      <rc t="2" v="9823"/>
    </bk>
    <bk>
      <rc t="2" v="9824"/>
    </bk>
    <bk>
      <rc t="2" v="9825"/>
    </bk>
    <bk>
      <rc t="2" v="9826"/>
    </bk>
    <bk>
      <rc t="2" v="9827"/>
    </bk>
    <bk>
      <rc t="2" v="9828"/>
    </bk>
    <bk>
      <rc t="2" v="9829"/>
    </bk>
    <bk>
      <rc t="2" v="9830"/>
    </bk>
    <bk>
      <rc t="2" v="9831"/>
    </bk>
    <bk>
      <rc t="2" v="9832"/>
    </bk>
    <bk>
      <rc t="2" v="9833"/>
    </bk>
    <bk>
      <rc t="2" v="9834"/>
    </bk>
    <bk>
      <rc t="2" v="9835"/>
    </bk>
    <bk>
      <rc t="2" v="9836"/>
    </bk>
    <bk>
      <rc t="2" v="9837"/>
    </bk>
    <bk>
      <rc t="2" v="9838"/>
    </bk>
    <bk>
      <rc t="2" v="9839"/>
    </bk>
    <bk>
      <rc t="2" v="9840"/>
    </bk>
    <bk>
      <rc t="2" v="9841"/>
    </bk>
    <bk>
      <rc t="2" v="9842"/>
    </bk>
    <bk>
      <rc t="2" v="9843"/>
    </bk>
    <bk>
      <rc t="2" v="9844"/>
    </bk>
    <bk>
      <rc t="2" v="9845"/>
    </bk>
    <bk>
      <rc t="2" v="9846"/>
    </bk>
    <bk>
      <rc t="2" v="9847"/>
    </bk>
    <bk>
      <rc t="2" v="9848"/>
    </bk>
    <bk>
      <rc t="2" v="9849"/>
    </bk>
    <bk>
      <rc t="2" v="9850"/>
    </bk>
    <bk>
      <rc t="2" v="9851"/>
    </bk>
    <bk>
      <rc t="2" v="9852"/>
    </bk>
    <bk>
      <rc t="2" v="9853"/>
    </bk>
    <bk>
      <rc t="2" v="9854"/>
    </bk>
    <bk>
      <rc t="2" v="9855"/>
    </bk>
    <bk>
      <rc t="2" v="9856"/>
    </bk>
    <bk>
      <rc t="2" v="9857"/>
    </bk>
    <bk>
      <rc t="2" v="9858"/>
    </bk>
    <bk>
      <rc t="2" v="9859"/>
    </bk>
    <bk>
      <rc t="2" v="9860"/>
    </bk>
    <bk>
      <rc t="2" v="9861"/>
    </bk>
    <bk>
      <rc t="2" v="9862"/>
    </bk>
    <bk>
      <rc t="2" v="9863"/>
    </bk>
    <bk>
      <rc t="2" v="9864"/>
    </bk>
    <bk>
      <rc t="2" v="9865"/>
    </bk>
    <bk>
      <rc t="2" v="9866"/>
    </bk>
    <bk>
      <rc t="2" v="9867"/>
    </bk>
    <bk>
      <rc t="2" v="9868"/>
    </bk>
    <bk>
      <rc t="2" v="9869"/>
    </bk>
    <bk>
      <rc t="2" v="9870"/>
    </bk>
    <bk>
      <rc t="2" v="9871"/>
    </bk>
    <bk>
      <rc t="2" v="9872"/>
    </bk>
    <bk>
      <rc t="2" v="9873"/>
    </bk>
    <bk>
      <rc t="2" v="9874"/>
    </bk>
    <bk>
      <rc t="2" v="9875"/>
    </bk>
    <bk>
      <rc t="2" v="9876"/>
    </bk>
    <bk>
      <rc t="2" v="9877"/>
    </bk>
    <bk>
      <rc t="2" v="9878"/>
    </bk>
    <bk>
      <rc t="2" v="9879"/>
    </bk>
    <bk>
      <rc t="2" v="9880"/>
    </bk>
    <bk>
      <rc t="2" v="9881"/>
    </bk>
    <bk>
      <rc t="2" v="9882"/>
    </bk>
    <bk>
      <rc t="2" v="9883"/>
    </bk>
    <bk>
      <rc t="2" v="9884"/>
    </bk>
    <bk>
      <rc t="2" v="9885"/>
    </bk>
    <bk>
      <rc t="2" v="9886"/>
    </bk>
    <bk>
      <rc t="2" v="9887"/>
    </bk>
    <bk>
      <rc t="2" v="9888"/>
    </bk>
    <bk>
      <rc t="2" v="9889"/>
    </bk>
    <bk>
      <rc t="2" v="9890"/>
    </bk>
    <bk>
      <rc t="2" v="9891"/>
    </bk>
    <bk>
      <rc t="2" v="9892"/>
    </bk>
    <bk>
      <rc t="2" v="9893"/>
    </bk>
    <bk>
      <rc t="2" v="9894"/>
    </bk>
    <bk>
      <rc t="2" v="9895"/>
    </bk>
    <bk>
      <rc t="2" v="9896"/>
    </bk>
    <bk>
      <rc t="2" v="9897"/>
    </bk>
    <bk>
      <rc t="2" v="9898"/>
    </bk>
    <bk>
      <rc t="2" v="9899"/>
    </bk>
    <bk>
      <rc t="2" v="9900"/>
    </bk>
    <bk>
      <rc t="2" v="9901"/>
    </bk>
    <bk>
      <rc t="2" v="9902"/>
    </bk>
    <bk>
      <rc t="2" v="9903"/>
    </bk>
    <bk>
      <rc t="2" v="9904"/>
    </bk>
    <bk>
      <rc t="2" v="9905"/>
    </bk>
    <bk>
      <rc t="2" v="9906"/>
    </bk>
    <bk>
      <rc t="2" v="9907"/>
    </bk>
    <bk>
      <rc t="2" v="9908"/>
    </bk>
    <bk>
      <rc t="2" v="9909"/>
    </bk>
    <bk>
      <rc t="2" v="9910"/>
    </bk>
    <bk>
      <rc t="2" v="9911"/>
    </bk>
    <bk>
      <rc t="2" v="9912"/>
    </bk>
    <bk>
      <rc t="2" v="9913"/>
    </bk>
    <bk>
      <rc t="2" v="9914"/>
    </bk>
    <bk>
      <rc t="2" v="9915"/>
    </bk>
    <bk>
      <rc t="2" v="9916"/>
    </bk>
    <bk>
      <rc t="2" v="9917"/>
    </bk>
    <bk>
      <rc t="2" v="9918"/>
    </bk>
    <bk>
      <rc t="2" v="9919"/>
    </bk>
    <bk>
      <rc t="2" v="9920"/>
    </bk>
    <bk>
      <rc t="2" v="9921"/>
    </bk>
    <bk>
      <rc t="2" v="9922"/>
    </bk>
    <bk>
      <rc t="2" v="9923"/>
    </bk>
    <bk>
      <rc t="2" v="9924"/>
    </bk>
    <bk>
      <rc t="2" v="9925"/>
    </bk>
    <bk>
      <rc t="2" v="9926"/>
    </bk>
    <bk>
      <rc t="2" v="9927"/>
    </bk>
    <bk>
      <rc t="2" v="9928"/>
    </bk>
    <bk>
      <rc t="2" v="9929"/>
    </bk>
    <bk>
      <rc t="2" v="9930"/>
    </bk>
    <bk>
      <rc t="2" v="9931"/>
    </bk>
    <bk>
      <rc t="2" v="9932"/>
    </bk>
    <bk>
      <rc t="2" v="9933"/>
    </bk>
    <bk>
      <rc t="2" v="9934"/>
    </bk>
    <bk>
      <rc t="2" v="9935"/>
    </bk>
    <bk>
      <rc t="2" v="9936"/>
    </bk>
    <bk>
      <rc t="2" v="9937"/>
    </bk>
    <bk>
      <rc t="2" v="9938"/>
    </bk>
    <bk>
      <rc t="2" v="9939"/>
    </bk>
    <bk>
      <rc t="2" v="9940"/>
    </bk>
    <bk>
      <rc t="2" v="9941"/>
    </bk>
    <bk>
      <rc t="2" v="9942"/>
    </bk>
    <bk>
      <rc t="2" v="9943"/>
    </bk>
    <bk>
      <rc t="2" v="9944"/>
    </bk>
    <bk>
      <rc t="2" v="9945"/>
    </bk>
    <bk>
      <rc t="2" v="9946"/>
    </bk>
    <bk>
      <rc t="2" v="9947"/>
    </bk>
    <bk>
      <rc t="2" v="9948"/>
    </bk>
    <bk>
      <rc t="2" v="9949"/>
    </bk>
    <bk>
      <rc t="2" v="9950"/>
    </bk>
    <bk>
      <rc t="2" v="9951"/>
    </bk>
    <bk>
      <rc t="2" v="9952"/>
    </bk>
    <bk>
      <rc t="2" v="9953"/>
    </bk>
    <bk>
      <rc t="2" v="9954"/>
    </bk>
    <bk>
      <rc t="2" v="9955"/>
    </bk>
    <bk>
      <rc t="2" v="9956"/>
    </bk>
    <bk>
      <rc t="2" v="9957"/>
    </bk>
    <bk>
      <rc t="2" v="9958"/>
    </bk>
    <bk>
      <rc t="2" v="9959"/>
    </bk>
    <bk>
      <rc t="2" v="9960"/>
    </bk>
    <bk>
      <rc t="2" v="9961"/>
    </bk>
    <bk>
      <rc t="2" v="9962"/>
    </bk>
    <bk>
      <rc t="2" v="9963"/>
    </bk>
    <bk>
      <rc t="2" v="9964"/>
    </bk>
    <bk>
      <rc t="2" v="9965"/>
    </bk>
    <bk>
      <rc t="2" v="9966"/>
    </bk>
    <bk>
      <rc t="2" v="9967"/>
    </bk>
    <bk>
      <rc t="2" v="9968"/>
    </bk>
    <bk>
      <rc t="2" v="9969"/>
    </bk>
    <bk>
      <rc t="2" v="9970"/>
    </bk>
    <bk>
      <rc t="2" v="9971"/>
    </bk>
    <bk>
      <rc t="2" v="9972"/>
    </bk>
    <bk>
      <rc t="2" v="9973"/>
    </bk>
    <bk>
      <rc t="2" v="9974"/>
    </bk>
    <bk>
      <rc t="2" v="9975"/>
    </bk>
    <bk>
      <rc t="2" v="9976"/>
    </bk>
    <bk>
      <rc t="2" v="9977"/>
    </bk>
    <bk>
      <rc t="2" v="9978"/>
    </bk>
    <bk>
      <rc t="2" v="9979"/>
    </bk>
    <bk>
      <rc t="2" v="9980"/>
    </bk>
    <bk>
      <rc t="2" v="9981"/>
    </bk>
    <bk>
      <rc t="2" v="9982"/>
    </bk>
    <bk>
      <rc t="2" v="9983"/>
    </bk>
    <bk>
      <rc t="2" v="9984"/>
    </bk>
    <bk>
      <rc t="2" v="9985"/>
    </bk>
    <bk>
      <rc t="2" v="9986"/>
    </bk>
    <bk>
      <rc t="2" v="9987"/>
    </bk>
    <bk>
      <rc t="2" v="9988"/>
    </bk>
    <bk>
      <rc t="2" v="9989"/>
    </bk>
    <bk>
      <rc t="2" v="9990"/>
    </bk>
    <bk>
      <rc t="2" v="9991"/>
    </bk>
    <bk>
      <rc t="2" v="9992"/>
    </bk>
    <bk>
      <rc t="2" v="9993"/>
    </bk>
    <bk>
      <rc t="2" v="9994"/>
    </bk>
    <bk>
      <rc t="2" v="9995"/>
    </bk>
    <bk>
      <rc t="2" v="9996"/>
    </bk>
    <bk>
      <rc t="2" v="9997"/>
    </bk>
    <bk>
      <rc t="2" v="9998"/>
    </bk>
    <bk>
      <rc t="2" v="9999"/>
    </bk>
    <bk>
      <rc t="2" v="10000"/>
    </bk>
    <bk>
      <rc t="2" v="10001"/>
    </bk>
    <bk>
      <rc t="2" v="10002"/>
    </bk>
    <bk>
      <rc t="2" v="10003"/>
    </bk>
    <bk>
      <rc t="2" v="10004"/>
    </bk>
    <bk>
      <rc t="2" v="10005"/>
    </bk>
    <bk>
      <rc t="2" v="10006"/>
    </bk>
    <bk>
      <rc t="2" v="10007"/>
    </bk>
    <bk>
      <rc t="2" v="10008"/>
    </bk>
    <bk>
      <rc t="2" v="10009"/>
    </bk>
    <bk>
      <rc t="2" v="10010"/>
    </bk>
    <bk>
      <rc t="2" v="10011"/>
    </bk>
    <bk>
      <rc t="2" v="10012"/>
    </bk>
    <bk>
      <rc t="2" v="10013"/>
    </bk>
    <bk>
      <rc t="2" v="10014"/>
    </bk>
    <bk>
      <rc t="2" v="10015"/>
    </bk>
    <bk>
      <rc t="2" v="10016"/>
    </bk>
    <bk>
      <rc t="2" v="10017"/>
    </bk>
    <bk>
      <rc t="2" v="10018"/>
    </bk>
    <bk>
      <rc t="2" v="10019"/>
    </bk>
    <bk>
      <rc t="2" v="10020"/>
    </bk>
    <bk>
      <rc t="2" v="10021"/>
    </bk>
    <bk>
      <rc t="2" v="10022"/>
    </bk>
    <bk>
      <rc t="2" v="10023"/>
    </bk>
    <bk>
      <rc t="2" v="10024"/>
    </bk>
    <bk>
      <rc t="2" v="10025"/>
    </bk>
    <bk>
      <rc t="2" v="10026"/>
    </bk>
    <bk>
      <rc t="2" v="10027"/>
    </bk>
    <bk>
      <rc t="2" v="10028"/>
    </bk>
    <bk>
      <rc t="2" v="10029"/>
    </bk>
    <bk>
      <rc t="2" v="10030"/>
    </bk>
    <bk>
      <rc t="2" v="10031"/>
    </bk>
    <bk>
      <rc t="2" v="10032"/>
    </bk>
    <bk>
      <rc t="2" v="10033"/>
    </bk>
    <bk>
      <rc t="2" v="10034"/>
    </bk>
    <bk>
      <rc t="2" v="10035"/>
    </bk>
    <bk>
      <rc t="2" v="10036"/>
    </bk>
    <bk>
      <rc t="2" v="10037"/>
    </bk>
    <bk>
      <rc t="2" v="10038"/>
    </bk>
    <bk>
      <rc t="2" v="10039"/>
    </bk>
    <bk>
      <rc t="2" v="10040"/>
    </bk>
    <bk>
      <rc t="2" v="10041"/>
    </bk>
    <bk>
      <rc t="2" v="10042"/>
    </bk>
    <bk>
      <rc t="2" v="10043"/>
    </bk>
    <bk>
      <rc t="2" v="10044"/>
    </bk>
    <bk>
      <rc t="2" v="10045"/>
    </bk>
    <bk>
      <rc t="2" v="10046"/>
    </bk>
    <bk>
      <rc t="2" v="10047"/>
    </bk>
    <bk>
      <rc t="2" v="10048"/>
    </bk>
    <bk>
      <rc t="2" v="10049"/>
    </bk>
    <bk>
      <rc t="2" v="10050"/>
    </bk>
    <bk>
      <rc t="2" v="10051"/>
    </bk>
    <bk>
      <rc t="2" v="10052"/>
    </bk>
    <bk>
      <rc t="2" v="10053"/>
    </bk>
    <bk>
      <rc t="2" v="10054"/>
    </bk>
    <bk>
      <rc t="2" v="10055"/>
    </bk>
    <bk>
      <rc t="2" v="10056"/>
    </bk>
    <bk>
      <rc t="2" v="10057"/>
    </bk>
    <bk>
      <rc t="2" v="10058"/>
    </bk>
    <bk>
      <rc t="2" v="10059"/>
    </bk>
    <bk>
      <rc t="2" v="10060"/>
    </bk>
    <bk>
      <rc t="2" v="10061"/>
    </bk>
    <bk>
      <rc t="2" v="10062"/>
    </bk>
    <bk>
      <rc t="2" v="10063"/>
    </bk>
    <bk>
      <rc t="2" v="10064"/>
    </bk>
    <bk>
      <rc t="2" v="10065"/>
    </bk>
    <bk>
      <rc t="2" v="10066"/>
    </bk>
    <bk>
      <rc t="2" v="10067"/>
    </bk>
    <bk>
      <rc t="2" v="10068"/>
    </bk>
    <bk>
      <rc t="2" v="10069"/>
    </bk>
    <bk>
      <rc t="2" v="10070"/>
    </bk>
    <bk>
      <rc t="2" v="10071"/>
    </bk>
    <bk>
      <rc t="2" v="10072"/>
    </bk>
    <bk>
      <rc t="2" v="10073"/>
    </bk>
    <bk>
      <rc t="2" v="10074"/>
    </bk>
    <bk>
      <rc t="2" v="10075"/>
    </bk>
    <bk>
      <rc t="2" v="10076"/>
    </bk>
    <bk>
      <rc t="2" v="10077"/>
    </bk>
    <bk>
      <rc t="2" v="10078"/>
    </bk>
    <bk>
      <rc t="2" v="10079"/>
    </bk>
    <bk>
      <rc t="2" v="10080"/>
    </bk>
    <bk>
      <rc t="2" v="10081"/>
    </bk>
    <bk>
      <rc t="2" v="10082"/>
    </bk>
    <bk>
      <rc t="2" v="10083"/>
    </bk>
    <bk>
      <rc t="2" v="10084"/>
    </bk>
    <bk>
      <rc t="2" v="10085"/>
    </bk>
    <bk>
      <rc t="2" v="10086"/>
    </bk>
    <bk>
      <rc t="2" v="10087"/>
    </bk>
    <bk>
      <rc t="2" v="10088"/>
    </bk>
    <bk>
      <rc t="2" v="10089"/>
    </bk>
    <bk>
      <rc t="2" v="10090"/>
    </bk>
    <bk>
      <rc t="2" v="10091"/>
    </bk>
    <bk>
      <rc t="2" v="10092"/>
    </bk>
    <bk>
      <rc t="2" v="10093"/>
    </bk>
    <bk>
      <rc t="2" v="10094"/>
    </bk>
    <bk>
      <rc t="2" v="10095"/>
    </bk>
    <bk>
      <rc t="2" v="10096"/>
    </bk>
    <bk>
      <rc t="2" v="10097"/>
    </bk>
    <bk>
      <rc t="2" v="10098"/>
    </bk>
    <bk>
      <rc t="2" v="10099"/>
    </bk>
    <bk>
      <rc t="2" v="10100"/>
    </bk>
    <bk>
      <rc t="2" v="10101"/>
    </bk>
    <bk>
      <rc t="2" v="10102"/>
    </bk>
    <bk>
      <rc t="2" v="10103"/>
    </bk>
    <bk>
      <rc t="2" v="10104"/>
    </bk>
    <bk>
      <rc t="2" v="10105"/>
    </bk>
    <bk>
      <rc t="2" v="10106"/>
    </bk>
    <bk>
      <rc t="2" v="10107"/>
    </bk>
    <bk>
      <rc t="2" v="10108"/>
    </bk>
    <bk>
      <rc t="2" v="10109"/>
    </bk>
    <bk>
      <rc t="2" v="10110"/>
    </bk>
    <bk>
      <rc t="2" v="10111"/>
    </bk>
    <bk>
      <rc t="2" v="10112"/>
    </bk>
    <bk>
      <rc t="2" v="10113"/>
    </bk>
    <bk>
      <rc t="2" v="10114"/>
    </bk>
    <bk>
      <rc t="2" v="10115"/>
    </bk>
    <bk>
      <rc t="2" v="10116"/>
    </bk>
    <bk>
      <rc t="2" v="10117"/>
    </bk>
    <bk>
      <rc t="2" v="10118"/>
    </bk>
    <bk>
      <rc t="2" v="10119"/>
    </bk>
    <bk>
      <rc t="2" v="10120"/>
    </bk>
    <bk>
      <rc t="2" v="10121"/>
    </bk>
    <bk>
      <rc t="2" v="10122"/>
    </bk>
    <bk>
      <rc t="2" v="10123"/>
    </bk>
    <bk>
      <rc t="2" v="10124"/>
    </bk>
    <bk>
      <rc t="2" v="10125"/>
    </bk>
    <bk>
      <rc t="2" v="10126"/>
    </bk>
    <bk>
      <rc t="2" v="10127"/>
    </bk>
    <bk>
      <rc t="2" v="10128"/>
    </bk>
    <bk>
      <rc t="2" v="10129"/>
    </bk>
    <bk>
      <rc t="2" v="10130"/>
    </bk>
    <bk>
      <rc t="2" v="10131"/>
    </bk>
    <bk>
      <rc t="2" v="10132"/>
    </bk>
    <bk>
      <rc t="2" v="10133"/>
    </bk>
    <bk>
      <rc t="2" v="10134"/>
    </bk>
    <bk>
      <rc t="2" v="10135"/>
    </bk>
    <bk>
      <rc t="2" v="10136"/>
    </bk>
    <bk>
      <rc t="2" v="10137"/>
    </bk>
    <bk>
      <rc t="2" v="10138"/>
    </bk>
    <bk>
      <rc t="2" v="10139"/>
    </bk>
    <bk>
      <rc t="2" v="10140"/>
    </bk>
    <bk>
      <rc t="2" v="10141"/>
    </bk>
    <bk>
      <rc t="2" v="10142"/>
    </bk>
    <bk>
      <rc t="2" v="10143"/>
    </bk>
    <bk>
      <rc t="2" v="10144"/>
    </bk>
    <bk>
      <rc t="2" v="10145"/>
    </bk>
    <bk>
      <rc t="2" v="10146"/>
    </bk>
    <bk>
      <rc t="2" v="10147"/>
    </bk>
    <bk>
      <rc t="2" v="10148"/>
    </bk>
    <bk>
      <rc t="2" v="10149"/>
    </bk>
    <bk>
      <rc t="2" v="10150"/>
    </bk>
    <bk>
      <rc t="2" v="10151"/>
    </bk>
    <bk>
      <rc t="2" v="10152"/>
    </bk>
    <bk>
      <rc t="2" v="10153"/>
    </bk>
    <bk>
      <rc t="2" v="10154"/>
    </bk>
    <bk>
      <rc t="2" v="10155"/>
    </bk>
    <bk>
      <rc t="2" v="10156"/>
    </bk>
    <bk>
      <rc t="2" v="10157"/>
    </bk>
    <bk>
      <rc t="2" v="10158"/>
    </bk>
    <bk>
      <rc t="2" v="10159"/>
    </bk>
    <bk>
      <rc t="2" v="10160"/>
    </bk>
    <bk>
      <rc t="2" v="10161"/>
    </bk>
    <bk>
      <rc t="2" v="10162"/>
    </bk>
    <bk>
      <rc t="2" v="10163"/>
    </bk>
    <bk>
      <rc t="2" v="10164"/>
    </bk>
    <bk>
      <rc t="2" v="10165"/>
    </bk>
    <bk>
      <rc t="2" v="10166"/>
    </bk>
    <bk>
      <rc t="2" v="10167"/>
    </bk>
    <bk>
      <rc t="2" v="10168"/>
    </bk>
    <bk>
      <rc t="2" v="10169"/>
    </bk>
    <bk>
      <rc t="2" v="10170"/>
    </bk>
    <bk>
      <rc t="2" v="10171"/>
    </bk>
    <bk>
      <rc t="2" v="10172"/>
    </bk>
    <bk>
      <rc t="2" v="10173"/>
    </bk>
    <bk>
      <rc t="2" v="10174"/>
    </bk>
    <bk>
      <rc t="2" v="10175"/>
    </bk>
    <bk>
      <rc t="2" v="10176"/>
    </bk>
    <bk>
      <rc t="2" v="10177"/>
    </bk>
    <bk>
      <rc t="2" v="10178"/>
    </bk>
    <bk>
      <rc t="2" v="10179"/>
    </bk>
    <bk>
      <rc t="2" v="10180"/>
    </bk>
    <bk>
      <rc t="2" v="10181"/>
    </bk>
    <bk>
      <rc t="2" v="10182"/>
    </bk>
    <bk>
      <rc t="2" v="10183"/>
    </bk>
    <bk>
      <rc t="2" v="10184"/>
    </bk>
    <bk>
      <rc t="2" v="10185"/>
    </bk>
    <bk>
      <rc t="2" v="10186"/>
    </bk>
    <bk>
      <rc t="2" v="10187"/>
    </bk>
    <bk>
      <rc t="2" v="10188"/>
    </bk>
    <bk>
      <rc t="2" v="10189"/>
    </bk>
    <bk>
      <rc t="2" v="10190"/>
    </bk>
    <bk>
      <rc t="2" v="10191"/>
    </bk>
    <bk>
      <rc t="2" v="10192"/>
    </bk>
    <bk>
      <rc t="2" v="10193"/>
    </bk>
    <bk>
      <rc t="2" v="10194"/>
    </bk>
    <bk>
      <rc t="2" v="10195"/>
    </bk>
    <bk>
      <rc t="2" v="10196"/>
    </bk>
    <bk>
      <rc t="2" v="10197"/>
    </bk>
    <bk>
      <rc t="2" v="10198"/>
    </bk>
    <bk>
      <rc t="2" v="10199"/>
    </bk>
    <bk>
      <rc t="2" v="10200"/>
    </bk>
    <bk>
      <rc t="2" v="10201"/>
    </bk>
    <bk>
      <rc t="2" v="10202"/>
    </bk>
    <bk>
      <rc t="2" v="10203"/>
    </bk>
    <bk>
      <rc t="2" v="10204"/>
    </bk>
    <bk>
      <rc t="2" v="10205"/>
    </bk>
    <bk>
      <rc t="2" v="10206"/>
    </bk>
    <bk>
      <rc t="2" v="10207"/>
    </bk>
    <bk>
      <rc t="2" v="10208"/>
    </bk>
    <bk>
      <rc t="2" v="10209"/>
    </bk>
    <bk>
      <rc t="2" v="10210"/>
    </bk>
    <bk>
      <rc t="2" v="10211"/>
    </bk>
    <bk>
      <rc t="2" v="10212"/>
    </bk>
    <bk>
      <rc t="2" v="10213"/>
    </bk>
    <bk>
      <rc t="2" v="10214"/>
    </bk>
    <bk>
      <rc t="2" v="10215"/>
    </bk>
    <bk>
      <rc t="2" v="10216"/>
    </bk>
    <bk>
      <rc t="2" v="10217"/>
    </bk>
    <bk>
      <rc t="2" v="10218"/>
    </bk>
    <bk>
      <rc t="2" v="10219"/>
    </bk>
    <bk>
      <rc t="2" v="10220"/>
    </bk>
    <bk>
      <rc t="2" v="10221"/>
    </bk>
    <bk>
      <rc t="2" v="10222"/>
    </bk>
    <bk>
      <rc t="2" v="10223"/>
    </bk>
    <bk>
      <rc t="2" v="10224"/>
    </bk>
    <bk>
      <rc t="2" v="10225"/>
    </bk>
    <bk>
      <rc t="2" v="10226"/>
    </bk>
    <bk>
      <rc t="2" v="10227"/>
    </bk>
    <bk>
      <rc t="2" v="10228"/>
    </bk>
    <bk>
      <rc t="2" v="10229"/>
    </bk>
    <bk>
      <rc t="2" v="10230"/>
    </bk>
    <bk>
      <rc t="2" v="10231"/>
    </bk>
    <bk>
      <rc t="2" v="10232"/>
    </bk>
    <bk>
      <rc t="2" v="10233"/>
    </bk>
    <bk>
      <rc t="2" v="10234"/>
    </bk>
    <bk>
      <rc t="2" v="10235"/>
    </bk>
    <bk>
      <rc t="2" v="10236"/>
    </bk>
    <bk>
      <rc t="2" v="10237"/>
    </bk>
    <bk>
      <rc t="2" v="10238"/>
    </bk>
    <bk>
      <rc t="2" v="10239"/>
    </bk>
    <bk>
      <rc t="2" v="10240"/>
    </bk>
    <bk>
      <rc t="2" v="10241"/>
    </bk>
    <bk>
      <rc t="2" v="10242"/>
    </bk>
    <bk>
      <rc t="2" v="10243"/>
    </bk>
    <bk>
      <rc t="2" v="10244"/>
    </bk>
    <bk>
      <rc t="2" v="10245"/>
    </bk>
    <bk>
      <rc t="2" v="10246"/>
    </bk>
    <bk>
      <rc t="2" v="10247"/>
    </bk>
    <bk>
      <rc t="2" v="10248"/>
    </bk>
    <bk>
      <rc t="2" v="10249"/>
    </bk>
    <bk>
      <rc t="2" v="10250"/>
    </bk>
    <bk>
      <rc t="2" v="10251"/>
    </bk>
    <bk>
      <rc t="2" v="10252"/>
    </bk>
    <bk>
      <rc t="2" v="10253"/>
    </bk>
    <bk>
      <rc t="2" v="10254"/>
    </bk>
    <bk>
      <rc t="2" v="10255"/>
    </bk>
    <bk>
      <rc t="2" v="10256"/>
    </bk>
    <bk>
      <rc t="2" v="10257"/>
    </bk>
    <bk>
      <rc t="2" v="10258"/>
    </bk>
    <bk>
      <rc t="2" v="10259"/>
    </bk>
    <bk>
      <rc t="2" v="10260"/>
    </bk>
    <bk>
      <rc t="2" v="10261"/>
    </bk>
    <bk>
      <rc t="2" v="10262"/>
    </bk>
    <bk>
      <rc t="2" v="10263"/>
    </bk>
    <bk>
      <rc t="2" v="10264"/>
    </bk>
    <bk>
      <rc t="2" v="10265"/>
    </bk>
    <bk>
      <rc t="2" v="10266"/>
    </bk>
    <bk>
      <rc t="2" v="10267"/>
    </bk>
    <bk>
      <rc t="2" v="10268"/>
    </bk>
    <bk>
      <rc t="2" v="10269"/>
    </bk>
    <bk>
      <rc t="2" v="10270"/>
    </bk>
    <bk>
      <rc t="2" v="10271"/>
    </bk>
    <bk>
      <rc t="2" v="10272"/>
    </bk>
    <bk>
      <rc t="2" v="10273"/>
    </bk>
    <bk>
      <rc t="2" v="10274"/>
    </bk>
    <bk>
      <rc t="2" v="10275"/>
    </bk>
    <bk>
      <rc t="2" v="10276"/>
    </bk>
    <bk>
      <rc t="2" v="10277"/>
    </bk>
    <bk>
      <rc t="2" v="10278"/>
    </bk>
    <bk>
      <rc t="2" v="10279"/>
    </bk>
    <bk>
      <rc t="2" v="10280"/>
    </bk>
    <bk>
      <rc t="2" v="10281"/>
    </bk>
    <bk>
      <rc t="2" v="10282"/>
    </bk>
    <bk>
      <rc t="2" v="10283"/>
    </bk>
    <bk>
      <rc t="2" v="10284"/>
    </bk>
    <bk>
      <rc t="2" v="10285"/>
    </bk>
    <bk>
      <rc t="2" v="10286"/>
    </bk>
    <bk>
      <rc t="2" v="10287"/>
    </bk>
    <bk>
      <rc t="2" v="10288"/>
    </bk>
    <bk>
      <rc t="2" v="10289"/>
    </bk>
    <bk>
      <rc t="2" v="10290"/>
    </bk>
    <bk>
      <rc t="2" v="10291"/>
    </bk>
    <bk>
      <rc t="2" v="10292"/>
    </bk>
    <bk>
      <rc t="2" v="10293"/>
    </bk>
    <bk>
      <rc t="2" v="10294"/>
    </bk>
    <bk>
      <rc t="2" v="10295"/>
    </bk>
    <bk>
      <rc t="2" v="10296"/>
    </bk>
    <bk>
      <rc t="2" v="10297"/>
    </bk>
    <bk>
      <rc t="2" v="10298"/>
    </bk>
    <bk>
      <rc t="2" v="10299"/>
    </bk>
    <bk>
      <rc t="2" v="10300"/>
    </bk>
    <bk>
      <rc t="2" v="10301"/>
    </bk>
    <bk>
      <rc t="2" v="10302"/>
    </bk>
    <bk>
      <rc t="2" v="10303"/>
    </bk>
    <bk>
      <rc t="2" v="10304"/>
    </bk>
    <bk>
      <rc t="2" v="10305"/>
    </bk>
    <bk>
      <rc t="2" v="10306"/>
    </bk>
    <bk>
      <rc t="2" v="10307"/>
    </bk>
    <bk>
      <rc t="2" v="10308"/>
    </bk>
    <bk>
      <rc t="2" v="10309"/>
    </bk>
    <bk>
      <rc t="2" v="10310"/>
    </bk>
    <bk>
      <rc t="2" v="10311"/>
    </bk>
    <bk>
      <rc t="2" v="10312"/>
    </bk>
    <bk>
      <rc t="2" v="10313"/>
    </bk>
    <bk>
      <rc t="2" v="10314"/>
    </bk>
    <bk>
      <rc t="2" v="10315"/>
    </bk>
    <bk>
      <rc t="2" v="10316"/>
    </bk>
    <bk>
      <rc t="2" v="10317"/>
    </bk>
    <bk>
      <rc t="2" v="10318"/>
    </bk>
    <bk>
      <rc t="2" v="10319"/>
    </bk>
    <bk>
      <rc t="2" v="10320"/>
    </bk>
    <bk>
      <rc t="2" v="10321"/>
    </bk>
    <bk>
      <rc t="2" v="10322"/>
    </bk>
    <bk>
      <rc t="2" v="10323"/>
    </bk>
    <bk>
      <rc t="2" v="10324"/>
    </bk>
    <bk>
      <rc t="2" v="10325"/>
    </bk>
    <bk>
      <rc t="2" v="10326"/>
    </bk>
    <bk>
      <rc t="2" v="10327"/>
    </bk>
    <bk>
      <rc t="2" v="10328"/>
    </bk>
    <bk>
      <rc t="2" v="10329"/>
    </bk>
    <bk>
      <rc t="2" v="10330"/>
    </bk>
    <bk>
      <rc t="2" v="10331"/>
    </bk>
    <bk>
      <rc t="2" v="10332"/>
    </bk>
    <bk>
      <rc t="2" v="10333"/>
    </bk>
    <bk>
      <rc t="2" v="10334"/>
    </bk>
    <bk>
      <rc t="2" v="10335"/>
    </bk>
    <bk>
      <rc t="2" v="10336"/>
    </bk>
    <bk>
      <rc t="2" v="10337"/>
    </bk>
    <bk>
      <rc t="2" v="10338"/>
    </bk>
    <bk>
      <rc t="2" v="10339"/>
    </bk>
    <bk>
      <rc t="2" v="10340"/>
    </bk>
    <bk>
      <rc t="2" v="10341"/>
    </bk>
    <bk>
      <rc t="2" v="10342"/>
    </bk>
    <bk>
      <rc t="2" v="10343"/>
    </bk>
    <bk>
      <rc t="2" v="10344"/>
    </bk>
    <bk>
      <rc t="2" v="10345"/>
    </bk>
    <bk>
      <rc t="2" v="10346"/>
    </bk>
    <bk>
      <rc t="2" v="10347"/>
    </bk>
    <bk>
      <rc t="2" v="10348"/>
    </bk>
    <bk>
      <rc t="2" v="10349"/>
    </bk>
    <bk>
      <rc t="2" v="10350"/>
    </bk>
    <bk>
      <rc t="2" v="10351"/>
    </bk>
    <bk>
      <rc t="2" v="10352"/>
    </bk>
    <bk>
      <rc t="2" v="10353"/>
    </bk>
    <bk>
      <rc t="2" v="10354"/>
    </bk>
    <bk>
      <rc t="2" v="10355"/>
    </bk>
    <bk>
      <rc t="2" v="10356"/>
    </bk>
    <bk>
      <rc t="2" v="10357"/>
    </bk>
    <bk>
      <rc t="2" v="10358"/>
    </bk>
    <bk>
      <rc t="2" v="10359"/>
    </bk>
    <bk>
      <rc t="2" v="10360"/>
    </bk>
    <bk>
      <rc t="2" v="10361"/>
    </bk>
    <bk>
      <rc t="2" v="10362"/>
    </bk>
    <bk>
      <rc t="2" v="10363"/>
    </bk>
    <bk>
      <rc t="2" v="10364"/>
    </bk>
    <bk>
      <rc t="2" v="10365"/>
    </bk>
    <bk>
      <rc t="2" v="10366"/>
    </bk>
    <bk>
      <rc t="2" v="10367"/>
    </bk>
    <bk>
      <rc t="2" v="10368"/>
    </bk>
    <bk>
      <rc t="2" v="10369"/>
    </bk>
    <bk>
      <rc t="2" v="10370"/>
    </bk>
    <bk>
      <rc t="2" v="10371"/>
    </bk>
    <bk>
      <rc t="2" v="10372"/>
    </bk>
    <bk>
      <rc t="2" v="10373"/>
    </bk>
    <bk>
      <rc t="2" v="10374"/>
    </bk>
    <bk>
      <rc t="2" v="10375"/>
    </bk>
    <bk>
      <rc t="2" v="10376"/>
    </bk>
    <bk>
      <rc t="2" v="10377"/>
    </bk>
    <bk>
      <rc t="2" v="10378"/>
    </bk>
    <bk>
      <rc t="2" v="10379"/>
    </bk>
    <bk>
      <rc t="2" v="10380"/>
    </bk>
    <bk>
      <rc t="2" v="10381"/>
    </bk>
    <bk>
      <rc t="2" v="10382"/>
    </bk>
    <bk>
      <rc t="2" v="10383"/>
    </bk>
    <bk>
      <rc t="2" v="10384"/>
    </bk>
    <bk>
      <rc t="2" v="10385"/>
    </bk>
    <bk>
      <rc t="2" v="10386"/>
    </bk>
    <bk>
      <rc t="2" v="10387"/>
    </bk>
    <bk>
      <rc t="2" v="10388"/>
    </bk>
    <bk>
      <rc t="2" v="10389"/>
    </bk>
    <bk>
      <rc t="2" v="10390"/>
    </bk>
    <bk>
      <rc t="2" v="10391"/>
    </bk>
    <bk>
      <rc t="2" v="10392"/>
    </bk>
    <bk>
      <rc t="2" v="10393"/>
    </bk>
    <bk>
      <rc t="2" v="10394"/>
    </bk>
    <bk>
      <rc t="2" v="10395"/>
    </bk>
    <bk>
      <rc t="2" v="10396"/>
    </bk>
    <bk>
      <rc t="2" v="10397"/>
    </bk>
    <bk>
      <rc t="2" v="10398"/>
    </bk>
    <bk>
      <rc t="2" v="10399"/>
    </bk>
    <bk>
      <rc t="2" v="10400"/>
    </bk>
    <bk>
      <rc t="2" v="10401"/>
    </bk>
    <bk>
      <rc t="2" v="10402"/>
    </bk>
    <bk>
      <rc t="2" v="10403"/>
    </bk>
    <bk>
      <rc t="2" v="10404"/>
    </bk>
    <bk>
      <rc t="2" v="10405"/>
    </bk>
    <bk>
      <rc t="2" v="10406"/>
    </bk>
    <bk>
      <rc t="2" v="10407"/>
    </bk>
    <bk>
      <rc t="2" v="10408"/>
    </bk>
    <bk>
      <rc t="2" v="10409"/>
    </bk>
    <bk>
      <rc t="2" v="10410"/>
    </bk>
    <bk>
      <rc t="2" v="10411"/>
    </bk>
    <bk>
      <rc t="2" v="10412"/>
    </bk>
    <bk>
      <rc t="2" v="10413"/>
    </bk>
    <bk>
      <rc t="2" v="10414"/>
    </bk>
    <bk>
      <rc t="2" v="10415"/>
    </bk>
    <bk>
      <rc t="2" v="10416"/>
    </bk>
    <bk>
      <rc t="2" v="10417"/>
    </bk>
    <bk>
      <rc t="2" v="10418"/>
    </bk>
    <bk>
      <rc t="2" v="10419"/>
    </bk>
    <bk>
      <rc t="2" v="10420"/>
    </bk>
    <bk>
      <rc t="2" v="10421"/>
    </bk>
    <bk>
      <rc t="2" v="10422"/>
    </bk>
    <bk>
      <rc t="2" v="10423"/>
    </bk>
    <bk>
      <rc t="2" v="10424"/>
    </bk>
    <bk>
      <rc t="2" v="10425"/>
    </bk>
    <bk>
      <rc t="2" v="10426"/>
    </bk>
    <bk>
      <rc t="2" v="10427"/>
    </bk>
    <bk>
      <rc t="2" v="10428"/>
    </bk>
    <bk>
      <rc t="2" v="10429"/>
    </bk>
    <bk>
      <rc t="2" v="10430"/>
    </bk>
    <bk>
      <rc t="2" v="10431"/>
    </bk>
    <bk>
      <rc t="2" v="10432"/>
    </bk>
    <bk>
      <rc t="2" v="10433"/>
    </bk>
    <bk>
      <rc t="2" v="10434"/>
    </bk>
    <bk>
      <rc t="2" v="10435"/>
    </bk>
    <bk>
      <rc t="2" v="10436"/>
    </bk>
    <bk>
      <rc t="2" v="10437"/>
    </bk>
    <bk>
      <rc t="2" v="10438"/>
    </bk>
    <bk>
      <rc t="2" v="10439"/>
    </bk>
    <bk>
      <rc t="2" v="10440"/>
    </bk>
    <bk>
      <rc t="2" v="10441"/>
    </bk>
    <bk>
      <rc t="2" v="10442"/>
    </bk>
    <bk>
      <rc t="2" v="10443"/>
    </bk>
    <bk>
      <rc t="2" v="10444"/>
    </bk>
    <bk>
      <rc t="2" v="10445"/>
    </bk>
    <bk>
      <rc t="2" v="10446"/>
    </bk>
    <bk>
      <rc t="2" v="10447"/>
    </bk>
    <bk>
      <rc t="2" v="10448"/>
    </bk>
    <bk>
      <rc t="2" v="10449"/>
    </bk>
    <bk>
      <rc t="2" v="10450"/>
    </bk>
    <bk>
      <rc t="2" v="10451"/>
    </bk>
    <bk>
      <rc t="2" v="10452"/>
    </bk>
    <bk>
      <rc t="2" v="10453"/>
    </bk>
    <bk>
      <rc t="2" v="10454"/>
    </bk>
    <bk>
      <rc t="2" v="10455"/>
    </bk>
    <bk>
      <rc t="2" v="10456"/>
    </bk>
    <bk>
      <rc t="2" v="10457"/>
    </bk>
    <bk>
      <rc t="2" v="10458"/>
    </bk>
    <bk>
      <rc t="2" v="10459"/>
    </bk>
    <bk>
      <rc t="2" v="10460"/>
    </bk>
    <bk>
      <rc t="2" v="10461"/>
    </bk>
    <bk>
      <rc t="2" v="10462"/>
    </bk>
    <bk>
      <rc t="2" v="10463"/>
    </bk>
    <bk>
      <rc t="2" v="10464"/>
    </bk>
    <bk>
      <rc t="2" v="10465"/>
    </bk>
    <bk>
      <rc t="2" v="10466"/>
    </bk>
    <bk>
      <rc t="2" v="10467"/>
    </bk>
    <bk>
      <rc t="2" v="10468"/>
    </bk>
    <bk>
      <rc t="2" v="10469"/>
    </bk>
    <bk>
      <rc t="2" v="10470"/>
    </bk>
    <bk>
      <rc t="2" v="10471"/>
    </bk>
    <bk>
      <rc t="2" v="10472"/>
    </bk>
    <bk>
      <rc t="2" v="10473"/>
    </bk>
    <bk>
      <rc t="2" v="10474"/>
    </bk>
    <bk>
      <rc t="2" v="10475"/>
    </bk>
    <bk>
      <rc t="2" v="10476"/>
    </bk>
    <bk>
      <rc t="2" v="10477"/>
    </bk>
    <bk>
      <rc t="2" v="10478"/>
    </bk>
    <bk>
      <rc t="2" v="10479"/>
    </bk>
    <bk>
      <rc t="2" v="10480"/>
    </bk>
    <bk>
      <rc t="2" v="10481"/>
    </bk>
    <bk>
      <rc t="2" v="10482"/>
    </bk>
    <bk>
      <rc t="2" v="10483"/>
    </bk>
    <bk>
      <rc t="2" v="10484"/>
    </bk>
    <bk>
      <rc t="2" v="10485"/>
    </bk>
    <bk>
      <rc t="2" v="10486"/>
    </bk>
    <bk>
      <rc t="2" v="10487"/>
    </bk>
    <bk>
      <rc t="2" v="10488"/>
    </bk>
    <bk>
      <rc t="2" v="10489"/>
    </bk>
    <bk>
      <rc t="2" v="10490"/>
    </bk>
    <bk>
      <rc t="2" v="10491"/>
    </bk>
    <bk>
      <rc t="2" v="10492"/>
    </bk>
    <bk>
      <rc t="2" v="10493"/>
    </bk>
    <bk>
      <rc t="2" v="10494"/>
    </bk>
    <bk>
      <rc t="2" v="10495"/>
    </bk>
    <bk>
      <rc t="2" v="10496"/>
    </bk>
    <bk>
      <rc t="2" v="10497"/>
    </bk>
    <bk>
      <rc t="2" v="10498"/>
    </bk>
    <bk>
      <rc t="2" v="10499"/>
    </bk>
    <bk>
      <rc t="2" v="10500"/>
    </bk>
    <bk>
      <rc t="2" v="10501"/>
    </bk>
    <bk>
      <rc t="2" v="10502"/>
    </bk>
    <bk>
      <rc t="2" v="10503"/>
    </bk>
    <bk>
      <rc t="2" v="10504"/>
    </bk>
    <bk>
      <rc t="2" v="10505"/>
    </bk>
    <bk>
      <rc t="2" v="10506"/>
    </bk>
    <bk>
      <rc t="2" v="10507"/>
    </bk>
    <bk>
      <rc t="2" v="10508"/>
    </bk>
    <bk>
      <rc t="2" v="10509"/>
    </bk>
    <bk>
      <rc t="2" v="10510"/>
    </bk>
    <bk>
      <rc t="2" v="10511"/>
    </bk>
    <bk>
      <rc t="2" v="10512"/>
    </bk>
    <bk>
      <rc t="2" v="10513"/>
    </bk>
    <bk>
      <rc t="2" v="10514"/>
    </bk>
    <bk>
      <rc t="2" v="10515"/>
    </bk>
    <bk>
      <rc t="2" v="10516"/>
    </bk>
    <bk>
      <rc t="2" v="10517"/>
    </bk>
    <bk>
      <rc t="2" v="10518"/>
    </bk>
    <bk>
      <rc t="2" v="10519"/>
    </bk>
    <bk>
      <rc t="2" v="10520"/>
    </bk>
    <bk>
      <rc t="2" v="10521"/>
    </bk>
    <bk>
      <rc t="2" v="10522"/>
    </bk>
    <bk>
      <rc t="2" v="10523"/>
    </bk>
    <bk>
      <rc t="2" v="10524"/>
    </bk>
    <bk>
      <rc t="2" v="10525"/>
    </bk>
    <bk>
      <rc t="2" v="10526"/>
    </bk>
    <bk>
      <rc t="2" v="10527"/>
    </bk>
    <bk>
      <rc t="2" v="10528"/>
    </bk>
    <bk>
      <rc t="2" v="10529"/>
    </bk>
    <bk>
      <rc t="2" v="10530"/>
    </bk>
    <bk>
      <rc t="2" v="10531"/>
    </bk>
    <bk>
      <rc t="2" v="10532"/>
    </bk>
    <bk>
      <rc t="2" v="10533"/>
    </bk>
    <bk>
      <rc t="2" v="10534"/>
    </bk>
    <bk>
      <rc t="2" v="10535"/>
    </bk>
    <bk>
      <rc t="2" v="10536"/>
    </bk>
    <bk>
      <rc t="2" v="10537"/>
    </bk>
    <bk>
      <rc t="2" v="10538"/>
    </bk>
    <bk>
      <rc t="2" v="10539"/>
    </bk>
    <bk>
      <rc t="2" v="10540"/>
    </bk>
    <bk>
      <rc t="2" v="10541"/>
    </bk>
    <bk>
      <rc t="2" v="10542"/>
    </bk>
    <bk>
      <rc t="2" v="10543"/>
    </bk>
    <bk>
      <rc t="2" v="10544"/>
    </bk>
    <bk>
      <rc t="2" v="10545"/>
    </bk>
    <bk>
      <rc t="2" v="10546"/>
    </bk>
    <bk>
      <rc t="2" v="10547"/>
    </bk>
    <bk>
      <rc t="2" v="10548"/>
    </bk>
    <bk>
      <rc t="2" v="10549"/>
    </bk>
    <bk>
      <rc t="2" v="10550"/>
    </bk>
    <bk>
      <rc t="2" v="10551"/>
    </bk>
    <bk>
      <rc t="2" v="10552"/>
    </bk>
    <bk>
      <rc t="2" v="10553"/>
    </bk>
    <bk>
      <rc t="2" v="10554"/>
    </bk>
    <bk>
      <rc t="2" v="10555"/>
    </bk>
    <bk>
      <rc t="2" v="10556"/>
    </bk>
    <bk>
      <rc t="2" v="10557"/>
    </bk>
    <bk>
      <rc t="2" v="10558"/>
    </bk>
    <bk>
      <rc t="2" v="10559"/>
    </bk>
    <bk>
      <rc t="2" v="10560"/>
    </bk>
    <bk>
      <rc t="2" v="10561"/>
    </bk>
    <bk>
      <rc t="2" v="10562"/>
    </bk>
    <bk>
      <rc t="2" v="10563"/>
    </bk>
    <bk>
      <rc t="2" v="10564"/>
    </bk>
    <bk>
      <rc t="2" v="10565"/>
    </bk>
    <bk>
      <rc t="2" v="10566"/>
    </bk>
    <bk>
      <rc t="2" v="10567"/>
    </bk>
    <bk>
      <rc t="2" v="10568"/>
    </bk>
    <bk>
      <rc t="2" v="10569"/>
    </bk>
    <bk>
      <rc t="2" v="10570"/>
    </bk>
    <bk>
      <rc t="2" v="10571"/>
    </bk>
    <bk>
      <rc t="2" v="10572"/>
    </bk>
    <bk>
      <rc t="2" v="10573"/>
    </bk>
    <bk>
      <rc t="2" v="10574"/>
    </bk>
    <bk>
      <rc t="2" v="10575"/>
    </bk>
    <bk>
      <rc t="2" v="10576"/>
    </bk>
    <bk>
      <rc t="2" v="10577"/>
    </bk>
    <bk>
      <rc t="2" v="10578"/>
    </bk>
    <bk>
      <rc t="2" v="10579"/>
    </bk>
    <bk>
      <rc t="2" v="10580"/>
    </bk>
    <bk>
      <rc t="2" v="10581"/>
    </bk>
    <bk>
      <rc t="2" v="10582"/>
    </bk>
    <bk>
      <rc t="2" v="10583"/>
    </bk>
    <bk>
      <rc t="2" v="10584"/>
    </bk>
    <bk>
      <rc t="2" v="10585"/>
    </bk>
    <bk>
      <rc t="2" v="10586"/>
    </bk>
    <bk>
      <rc t="2" v="10587"/>
    </bk>
    <bk>
      <rc t="2" v="10588"/>
    </bk>
    <bk>
      <rc t="2" v="10589"/>
    </bk>
    <bk>
      <rc t="2" v="10590"/>
    </bk>
    <bk>
      <rc t="2" v="10591"/>
    </bk>
    <bk>
      <rc t="2" v="10592"/>
    </bk>
    <bk>
      <rc t="2" v="10593"/>
    </bk>
    <bk>
      <rc t="2" v="10594"/>
    </bk>
    <bk>
      <rc t="2" v="10595"/>
    </bk>
    <bk>
      <rc t="2" v="10596"/>
    </bk>
    <bk>
      <rc t="2" v="10597"/>
    </bk>
    <bk>
      <rc t="2" v="10598"/>
    </bk>
    <bk>
      <rc t="2" v="10599"/>
    </bk>
    <bk>
      <rc t="2" v="10600"/>
    </bk>
    <bk>
      <rc t="2" v="10601"/>
    </bk>
    <bk>
      <rc t="2" v="10602"/>
    </bk>
    <bk>
      <rc t="2" v="10603"/>
    </bk>
    <bk>
      <rc t="2" v="10604"/>
    </bk>
    <bk>
      <rc t="2" v="10605"/>
    </bk>
    <bk>
      <rc t="2" v="10606"/>
    </bk>
    <bk>
      <rc t="2" v="10607"/>
    </bk>
    <bk>
      <rc t="2" v="10608"/>
    </bk>
    <bk>
      <rc t="2" v="10609"/>
    </bk>
    <bk>
      <rc t="2" v="10610"/>
    </bk>
    <bk>
      <rc t="2" v="10611"/>
    </bk>
    <bk>
      <rc t="2" v="10612"/>
    </bk>
    <bk>
      <rc t="2" v="10613"/>
    </bk>
    <bk>
      <rc t="2" v="10614"/>
    </bk>
    <bk>
      <rc t="2" v="10615"/>
    </bk>
    <bk>
      <rc t="2" v="10616"/>
    </bk>
    <bk>
      <rc t="2" v="10617"/>
    </bk>
    <bk>
      <rc t="2" v="10618"/>
    </bk>
    <bk>
      <rc t="2" v="10619"/>
    </bk>
    <bk>
      <rc t="2" v="10620"/>
    </bk>
    <bk>
      <rc t="2" v="10621"/>
    </bk>
    <bk>
      <rc t="2" v="10622"/>
    </bk>
    <bk>
      <rc t="2" v="10623"/>
    </bk>
    <bk>
      <rc t="2" v="10624"/>
    </bk>
    <bk>
      <rc t="2" v="10625"/>
    </bk>
    <bk>
      <rc t="2" v="10626"/>
    </bk>
    <bk>
      <rc t="2" v="10627"/>
    </bk>
    <bk>
      <rc t="2" v="10628"/>
    </bk>
    <bk>
      <rc t="2" v="10629"/>
    </bk>
    <bk>
      <rc t="2" v="10630"/>
    </bk>
    <bk>
      <rc t="2" v="10631"/>
    </bk>
    <bk>
      <rc t="2" v="10632"/>
    </bk>
    <bk>
      <rc t="2" v="10633"/>
    </bk>
    <bk>
      <rc t="2" v="10634"/>
    </bk>
    <bk>
      <rc t="2" v="10635"/>
    </bk>
    <bk>
      <rc t="2" v="10636"/>
    </bk>
    <bk>
      <rc t="2" v="10637"/>
    </bk>
    <bk>
      <rc t="2" v="10638"/>
    </bk>
    <bk>
      <rc t="2" v="10639"/>
    </bk>
    <bk>
      <rc t="2" v="10640"/>
    </bk>
    <bk>
      <rc t="2" v="10641"/>
    </bk>
    <bk>
      <rc t="2" v="10642"/>
    </bk>
    <bk>
      <rc t="2" v="10643"/>
    </bk>
    <bk>
      <rc t="2" v="10644"/>
    </bk>
    <bk>
      <rc t="2" v="10645"/>
    </bk>
    <bk>
      <rc t="2" v="10646"/>
    </bk>
    <bk>
      <rc t="2" v="10647"/>
    </bk>
    <bk>
      <rc t="2" v="10648"/>
    </bk>
    <bk>
      <rc t="2" v="10649"/>
    </bk>
    <bk>
      <rc t="2" v="10650"/>
    </bk>
    <bk>
      <rc t="2" v="10651"/>
    </bk>
    <bk>
      <rc t="2" v="10652"/>
    </bk>
    <bk>
      <rc t="2" v="10653"/>
    </bk>
    <bk>
      <rc t="2" v="10654"/>
    </bk>
    <bk>
      <rc t="2" v="10655"/>
    </bk>
    <bk>
      <rc t="2" v="10656"/>
    </bk>
    <bk>
      <rc t="2" v="10657"/>
    </bk>
    <bk>
      <rc t="2" v="10658"/>
    </bk>
    <bk>
      <rc t="2" v="10659"/>
    </bk>
    <bk>
      <rc t="2" v="10660"/>
    </bk>
    <bk>
      <rc t="2" v="10661"/>
    </bk>
    <bk>
      <rc t="2" v="10662"/>
    </bk>
    <bk>
      <rc t="2" v="10663"/>
    </bk>
    <bk>
      <rc t="2" v="10664"/>
    </bk>
    <bk>
      <rc t="2" v="10665"/>
    </bk>
    <bk>
      <rc t="2" v="10666"/>
    </bk>
    <bk>
      <rc t="2" v="10667"/>
    </bk>
    <bk>
      <rc t="2" v="10668"/>
    </bk>
    <bk>
      <rc t="2" v="10669"/>
    </bk>
    <bk>
      <rc t="2" v="10670"/>
    </bk>
    <bk>
      <rc t="2" v="10671"/>
    </bk>
    <bk>
      <rc t="2" v="10672"/>
    </bk>
    <bk>
      <rc t="2" v="10673"/>
    </bk>
    <bk>
      <rc t="2" v="10674"/>
    </bk>
    <bk>
      <rc t="2" v="10675"/>
    </bk>
    <bk>
      <rc t="2" v="10676"/>
    </bk>
    <bk>
      <rc t="2" v="10677"/>
    </bk>
    <bk>
      <rc t="2" v="10678"/>
    </bk>
    <bk>
      <rc t="2" v="10679"/>
    </bk>
    <bk>
      <rc t="2" v="10680"/>
    </bk>
    <bk>
      <rc t="2" v="10681"/>
    </bk>
    <bk>
      <rc t="2" v="10682"/>
    </bk>
    <bk>
      <rc t="2" v="10683"/>
    </bk>
    <bk>
      <rc t="2" v="10684"/>
    </bk>
    <bk>
      <rc t="2" v="10685"/>
    </bk>
    <bk>
      <rc t="2" v="10686"/>
    </bk>
    <bk>
      <rc t="2" v="10687"/>
    </bk>
    <bk>
      <rc t="2" v="10688"/>
    </bk>
    <bk>
      <rc t="2" v="10689"/>
    </bk>
    <bk>
      <rc t="2" v="10690"/>
    </bk>
    <bk>
      <rc t="2" v="10691"/>
    </bk>
    <bk>
      <rc t="2" v="10692"/>
    </bk>
    <bk>
      <rc t="2" v="10693"/>
    </bk>
    <bk>
      <rc t="2" v="10694"/>
    </bk>
    <bk>
      <rc t="2" v="10695"/>
    </bk>
    <bk>
      <rc t="2" v="10696"/>
    </bk>
    <bk>
      <rc t="2" v="10697"/>
    </bk>
    <bk>
      <rc t="2" v="10698"/>
    </bk>
    <bk>
      <rc t="2" v="10699"/>
    </bk>
    <bk>
      <rc t="2" v="10700"/>
    </bk>
    <bk>
      <rc t="2" v="10701"/>
    </bk>
    <bk>
      <rc t="2" v="10702"/>
    </bk>
    <bk>
      <rc t="2" v="10703"/>
    </bk>
    <bk>
      <rc t="2" v="10704"/>
    </bk>
    <bk>
      <rc t="2" v="10705"/>
    </bk>
    <bk>
      <rc t="2" v="10706"/>
    </bk>
    <bk>
      <rc t="2" v="10707"/>
    </bk>
    <bk>
      <rc t="2" v="10708"/>
    </bk>
    <bk>
      <rc t="2" v="10709"/>
    </bk>
    <bk>
      <rc t="2" v="10710"/>
    </bk>
    <bk>
      <rc t="2" v="10711"/>
    </bk>
    <bk>
      <rc t="2" v="10712"/>
    </bk>
    <bk>
      <rc t="2" v="10713"/>
    </bk>
    <bk>
      <rc t="2" v="10714"/>
    </bk>
    <bk>
      <rc t="2" v="10715"/>
    </bk>
    <bk>
      <rc t="2" v="10716"/>
    </bk>
    <bk>
      <rc t="2" v="10717"/>
    </bk>
    <bk>
      <rc t="2" v="10718"/>
    </bk>
    <bk>
      <rc t="2" v="10719"/>
    </bk>
    <bk>
      <rc t="2" v="10720"/>
    </bk>
    <bk>
      <rc t="2" v="10721"/>
    </bk>
    <bk>
      <rc t="2" v="10722"/>
    </bk>
    <bk>
      <rc t="2" v="10723"/>
    </bk>
    <bk>
      <rc t="2" v="10724"/>
    </bk>
    <bk>
      <rc t="2" v="10725"/>
    </bk>
    <bk>
      <rc t="2" v="10726"/>
    </bk>
    <bk>
      <rc t="2" v="10727"/>
    </bk>
    <bk>
      <rc t="2" v="10728"/>
    </bk>
    <bk>
      <rc t="2" v="10729"/>
    </bk>
    <bk>
      <rc t="2" v="10730"/>
    </bk>
    <bk>
      <rc t="2" v="10731"/>
    </bk>
    <bk>
      <rc t="2" v="10732"/>
    </bk>
    <bk>
      <rc t="2" v="10733"/>
    </bk>
    <bk>
      <rc t="2" v="10734"/>
    </bk>
    <bk>
      <rc t="2" v="10735"/>
    </bk>
    <bk>
      <rc t="2" v="10736"/>
    </bk>
    <bk>
      <rc t="2" v="10737"/>
    </bk>
    <bk>
      <rc t="2" v="10738"/>
    </bk>
    <bk>
      <rc t="2" v="10739"/>
    </bk>
    <bk>
      <rc t="2" v="10740"/>
    </bk>
    <bk>
      <rc t="2" v="10741"/>
    </bk>
    <bk>
      <rc t="2" v="10742"/>
    </bk>
    <bk>
      <rc t="2" v="10743"/>
    </bk>
    <bk>
      <rc t="2" v="10744"/>
    </bk>
    <bk>
      <rc t="2" v="10745"/>
    </bk>
    <bk>
      <rc t="2" v="10746"/>
    </bk>
    <bk>
      <rc t="2" v="10747"/>
    </bk>
    <bk>
      <rc t="2" v="10748"/>
    </bk>
    <bk>
      <rc t="2" v="10749"/>
    </bk>
    <bk>
      <rc t="2" v="10750"/>
    </bk>
    <bk>
      <rc t="2" v="10751"/>
    </bk>
    <bk>
      <rc t="2" v="10752"/>
    </bk>
    <bk>
      <rc t="2" v="10753"/>
    </bk>
    <bk>
      <rc t="2" v="10754"/>
    </bk>
    <bk>
      <rc t="2" v="10755"/>
    </bk>
    <bk>
      <rc t="2" v="10756"/>
    </bk>
    <bk>
      <rc t="2" v="10757"/>
    </bk>
    <bk>
      <rc t="2" v="10758"/>
    </bk>
    <bk>
      <rc t="2" v="10759"/>
    </bk>
    <bk>
      <rc t="2" v="10760"/>
    </bk>
    <bk>
      <rc t="2" v="10761"/>
    </bk>
    <bk>
      <rc t="2" v="10762"/>
    </bk>
    <bk>
      <rc t="2" v="10763"/>
    </bk>
    <bk>
      <rc t="2" v="10764"/>
    </bk>
    <bk>
      <rc t="2" v="10765"/>
    </bk>
    <bk>
      <rc t="2" v="10766"/>
    </bk>
    <bk>
      <rc t="2" v="10767"/>
    </bk>
    <bk>
      <rc t="2" v="10768"/>
    </bk>
    <bk>
      <rc t="2" v="10769"/>
    </bk>
    <bk>
      <rc t="2" v="10770"/>
    </bk>
    <bk>
      <rc t="2" v="10771"/>
    </bk>
    <bk>
      <rc t="2" v="10772"/>
    </bk>
    <bk>
      <rc t="2" v="10773"/>
    </bk>
    <bk>
      <rc t="2" v="10774"/>
    </bk>
    <bk>
      <rc t="2" v="10775"/>
    </bk>
    <bk>
      <rc t="2" v="10776"/>
    </bk>
    <bk>
      <rc t="2" v="10777"/>
    </bk>
    <bk>
      <rc t="2" v="10778"/>
    </bk>
    <bk>
      <rc t="2" v="10779"/>
    </bk>
    <bk>
      <rc t="2" v="10780"/>
    </bk>
    <bk>
      <rc t="2" v="10781"/>
    </bk>
    <bk>
      <rc t="2" v="10782"/>
    </bk>
    <bk>
      <rc t="2" v="10783"/>
    </bk>
    <bk>
      <rc t="2" v="10784"/>
    </bk>
    <bk>
      <rc t="2" v="10785"/>
    </bk>
    <bk>
      <rc t="2" v="10786"/>
    </bk>
    <bk>
      <rc t="2" v="10787"/>
    </bk>
    <bk>
      <rc t="2" v="10788"/>
    </bk>
    <bk>
      <rc t="2" v="10789"/>
    </bk>
    <bk>
      <rc t="2" v="10790"/>
    </bk>
    <bk>
      <rc t="2" v="10791"/>
    </bk>
    <bk>
      <rc t="2" v="10792"/>
    </bk>
    <bk>
      <rc t="2" v="10793"/>
    </bk>
    <bk>
      <rc t="2" v="10794"/>
    </bk>
    <bk>
      <rc t="2" v="10795"/>
    </bk>
    <bk>
      <rc t="2" v="10796"/>
    </bk>
    <bk>
      <rc t="2" v="10797"/>
    </bk>
    <bk>
      <rc t="2" v="10798"/>
    </bk>
    <bk>
      <rc t="2" v="10799"/>
    </bk>
    <bk>
      <rc t="2" v="10800"/>
    </bk>
    <bk>
      <rc t="2" v="10801"/>
    </bk>
    <bk>
      <rc t="2" v="10802"/>
    </bk>
    <bk>
      <rc t="2" v="10803"/>
    </bk>
    <bk>
      <rc t="2" v="10804"/>
    </bk>
    <bk>
      <rc t="2" v="10805"/>
    </bk>
    <bk>
      <rc t="2" v="10806"/>
    </bk>
    <bk>
      <rc t="2" v="10807"/>
    </bk>
    <bk>
      <rc t="2" v="10808"/>
    </bk>
    <bk>
      <rc t="2" v="10809"/>
    </bk>
    <bk>
      <rc t="2" v="10810"/>
    </bk>
    <bk>
      <rc t="2" v="10811"/>
    </bk>
    <bk>
      <rc t="2" v="10812"/>
    </bk>
    <bk>
      <rc t="2" v="10813"/>
    </bk>
    <bk>
      <rc t="2" v="10814"/>
    </bk>
    <bk>
      <rc t="2" v="10815"/>
    </bk>
    <bk>
      <rc t="2" v="10816"/>
    </bk>
    <bk>
      <rc t="2" v="10817"/>
    </bk>
    <bk>
      <rc t="2" v="10818"/>
    </bk>
    <bk>
      <rc t="2" v="10819"/>
    </bk>
    <bk>
      <rc t="2" v="10820"/>
    </bk>
    <bk>
      <rc t="2" v="10821"/>
    </bk>
    <bk>
      <rc t="2" v="10822"/>
    </bk>
    <bk>
      <rc t="2" v="10823"/>
    </bk>
    <bk>
      <rc t="2" v="10824"/>
    </bk>
    <bk>
      <rc t="2" v="10825"/>
    </bk>
    <bk>
      <rc t="2" v="10826"/>
    </bk>
    <bk>
      <rc t="2" v="10827"/>
    </bk>
    <bk>
      <rc t="2" v="10828"/>
    </bk>
    <bk>
      <rc t="2" v="10829"/>
    </bk>
    <bk>
      <rc t="2" v="10830"/>
    </bk>
    <bk>
      <rc t="2" v="10831"/>
    </bk>
    <bk>
      <rc t="2" v="10832"/>
    </bk>
    <bk>
      <rc t="2" v="10833"/>
    </bk>
    <bk>
      <rc t="2" v="10834"/>
    </bk>
    <bk>
      <rc t="2" v="10835"/>
    </bk>
    <bk>
      <rc t="2" v="10836"/>
    </bk>
    <bk>
      <rc t="2" v="10837"/>
    </bk>
    <bk>
      <rc t="2" v="10838"/>
    </bk>
    <bk>
      <rc t="2" v="10839"/>
    </bk>
    <bk>
      <rc t="2" v="10840"/>
    </bk>
    <bk>
      <rc t="2" v="10841"/>
    </bk>
    <bk>
      <rc t="2" v="10842"/>
    </bk>
    <bk>
      <rc t="2" v="10843"/>
    </bk>
    <bk>
      <rc t="2" v="10844"/>
    </bk>
    <bk>
      <rc t="2" v="10845"/>
    </bk>
    <bk>
      <rc t="2" v="10846"/>
    </bk>
    <bk>
      <rc t="2" v="10847"/>
    </bk>
    <bk>
      <rc t="2" v="10848"/>
    </bk>
    <bk>
      <rc t="2" v="10849"/>
    </bk>
    <bk>
      <rc t="2" v="10850"/>
    </bk>
    <bk>
      <rc t="2" v="10851"/>
    </bk>
    <bk>
      <rc t="2" v="10852"/>
    </bk>
    <bk>
      <rc t="2" v="10853"/>
    </bk>
    <bk>
      <rc t="2" v="10854"/>
    </bk>
    <bk>
      <rc t="2" v="10855"/>
    </bk>
    <bk>
      <rc t="2" v="10856"/>
    </bk>
    <bk>
      <rc t="2" v="10857"/>
    </bk>
    <bk>
      <rc t="2" v="10858"/>
    </bk>
    <bk>
      <rc t="2" v="10859"/>
    </bk>
    <bk>
      <rc t="2" v="10860"/>
    </bk>
    <bk>
      <rc t="2" v="10861"/>
    </bk>
    <bk>
      <rc t="2" v="10862"/>
    </bk>
    <bk>
      <rc t="2" v="10863"/>
    </bk>
    <bk>
      <rc t="2" v="10864"/>
    </bk>
    <bk>
      <rc t="2" v="10865"/>
    </bk>
    <bk>
      <rc t="2" v="10866"/>
    </bk>
    <bk>
      <rc t="2" v="10867"/>
    </bk>
    <bk>
      <rc t="2" v="10868"/>
    </bk>
    <bk>
      <rc t="2" v="10869"/>
    </bk>
    <bk>
      <rc t="2" v="10870"/>
    </bk>
    <bk>
      <rc t="2" v="10871"/>
    </bk>
    <bk>
      <rc t="2" v="10872"/>
    </bk>
    <bk>
      <rc t="2" v="10873"/>
    </bk>
    <bk>
      <rc t="2" v="10874"/>
    </bk>
    <bk>
      <rc t="2" v="10875"/>
    </bk>
    <bk>
      <rc t="2" v="10876"/>
    </bk>
    <bk>
      <rc t="2" v="10877"/>
    </bk>
    <bk>
      <rc t="2" v="10878"/>
    </bk>
    <bk>
      <rc t="2" v="10879"/>
    </bk>
    <bk>
      <rc t="2" v="10880"/>
    </bk>
    <bk>
      <rc t="2" v="10881"/>
    </bk>
    <bk>
      <rc t="2" v="10882"/>
    </bk>
    <bk>
      <rc t="2" v="10883"/>
    </bk>
    <bk>
      <rc t="2" v="10884"/>
    </bk>
    <bk>
      <rc t="2" v="10885"/>
    </bk>
    <bk>
      <rc t="2" v="10886"/>
    </bk>
    <bk>
      <rc t="2" v="10887"/>
    </bk>
    <bk>
      <rc t="2" v="10888"/>
    </bk>
    <bk>
      <rc t="2" v="10889"/>
    </bk>
    <bk>
      <rc t="2" v="10890"/>
    </bk>
    <bk>
      <rc t="2" v="10891"/>
    </bk>
    <bk>
      <rc t="2" v="10892"/>
    </bk>
    <bk>
      <rc t="2" v="10893"/>
    </bk>
    <bk>
      <rc t="2" v="10894"/>
    </bk>
    <bk>
      <rc t="2" v="10895"/>
    </bk>
    <bk>
      <rc t="2" v="10896"/>
    </bk>
    <bk>
      <rc t="2" v="10897"/>
    </bk>
    <bk>
      <rc t="2" v="10898"/>
    </bk>
    <bk>
      <rc t="2" v="10899"/>
    </bk>
    <bk>
      <rc t="2" v="10900"/>
    </bk>
    <bk>
      <rc t="2" v="10901"/>
    </bk>
    <bk>
      <rc t="2" v="10902"/>
    </bk>
    <bk>
      <rc t="2" v="10903"/>
    </bk>
    <bk>
      <rc t="2" v="10904"/>
    </bk>
    <bk>
      <rc t="2" v="10905"/>
    </bk>
    <bk>
      <rc t="2" v="10906"/>
    </bk>
    <bk>
      <rc t="2" v="10907"/>
    </bk>
    <bk>
      <rc t="2" v="10908"/>
    </bk>
    <bk>
      <rc t="2" v="10909"/>
    </bk>
    <bk>
      <rc t="2" v="10910"/>
    </bk>
    <bk>
      <rc t="2" v="10911"/>
    </bk>
    <bk>
      <rc t="2" v="10912"/>
    </bk>
    <bk>
      <rc t="2" v="10913"/>
    </bk>
    <bk>
      <rc t="2" v="10914"/>
    </bk>
    <bk>
      <rc t="2" v="10915"/>
    </bk>
    <bk>
      <rc t="2" v="10916"/>
    </bk>
    <bk>
      <rc t="2" v="10917"/>
    </bk>
    <bk>
      <rc t="2" v="10918"/>
    </bk>
    <bk>
      <rc t="2" v="10919"/>
    </bk>
    <bk>
      <rc t="2" v="10920"/>
    </bk>
    <bk>
      <rc t="2" v="10921"/>
    </bk>
    <bk>
      <rc t="2" v="10922"/>
    </bk>
    <bk>
      <rc t="2" v="10923"/>
    </bk>
    <bk>
      <rc t="2" v="10924"/>
    </bk>
    <bk>
      <rc t="2" v="10925"/>
    </bk>
    <bk>
      <rc t="2" v="10926"/>
    </bk>
    <bk>
      <rc t="2" v="10927"/>
    </bk>
    <bk>
      <rc t="2" v="10928"/>
    </bk>
    <bk>
      <rc t="2" v="10929"/>
    </bk>
    <bk>
      <rc t="2" v="10930"/>
    </bk>
    <bk>
      <rc t="2" v="10931"/>
    </bk>
    <bk>
      <rc t="2" v="10932"/>
    </bk>
    <bk>
      <rc t="2" v="10933"/>
    </bk>
    <bk>
      <rc t="2" v="10934"/>
    </bk>
    <bk>
      <rc t="2" v="10935"/>
    </bk>
    <bk>
      <rc t="2" v="10936"/>
    </bk>
    <bk>
      <rc t="2" v="10937"/>
    </bk>
    <bk>
      <rc t="2" v="10938"/>
    </bk>
    <bk>
      <rc t="2" v="10939"/>
    </bk>
    <bk>
      <rc t="2" v="10940"/>
    </bk>
    <bk>
      <rc t="2" v="10941"/>
    </bk>
    <bk>
      <rc t="2" v="10942"/>
    </bk>
    <bk>
      <rc t="2" v="10943"/>
    </bk>
    <bk>
      <rc t="2" v="10944"/>
    </bk>
    <bk>
      <rc t="2" v="10945"/>
    </bk>
    <bk>
      <rc t="2" v="10946"/>
    </bk>
    <bk>
      <rc t="2" v="10947"/>
    </bk>
    <bk>
      <rc t="2" v="10948"/>
    </bk>
    <bk>
      <rc t="2" v="10949"/>
    </bk>
    <bk>
      <rc t="2" v="10950"/>
    </bk>
    <bk>
      <rc t="2" v="10951"/>
    </bk>
    <bk>
      <rc t="2" v="10952"/>
    </bk>
    <bk>
      <rc t="2" v="10953"/>
    </bk>
    <bk>
      <rc t="2" v="10954"/>
    </bk>
    <bk>
      <rc t="2" v="10955"/>
    </bk>
    <bk>
      <rc t="2" v="10956"/>
    </bk>
    <bk>
      <rc t="2" v="10957"/>
    </bk>
    <bk>
      <rc t="2" v="10958"/>
    </bk>
    <bk>
      <rc t="2" v="10959"/>
    </bk>
    <bk>
      <rc t="2" v="10960"/>
    </bk>
    <bk>
      <rc t="2" v="10961"/>
    </bk>
    <bk>
      <rc t="2" v="10962"/>
    </bk>
    <bk>
      <rc t="2" v="10963"/>
    </bk>
    <bk>
      <rc t="2" v="10964"/>
    </bk>
    <bk>
      <rc t="2" v="10965"/>
    </bk>
    <bk>
      <rc t="2" v="10966"/>
    </bk>
    <bk>
      <rc t="2" v="10967"/>
    </bk>
    <bk>
      <rc t="2" v="10968"/>
    </bk>
    <bk>
      <rc t="2" v="10969"/>
    </bk>
    <bk>
      <rc t="2" v="10970"/>
    </bk>
    <bk>
      <rc t="2" v="10971"/>
    </bk>
    <bk>
      <rc t="2" v="10972"/>
    </bk>
    <bk>
      <rc t="2" v="10973"/>
    </bk>
    <bk>
      <rc t="2" v="10974"/>
    </bk>
    <bk>
      <rc t="2" v="10975"/>
    </bk>
    <bk>
      <rc t="2" v="10976"/>
    </bk>
    <bk>
      <rc t="2" v="10977"/>
    </bk>
    <bk>
      <rc t="2" v="10978"/>
    </bk>
    <bk>
      <rc t="2" v="10979"/>
    </bk>
    <bk>
      <rc t="2" v="10980"/>
    </bk>
    <bk>
      <rc t="2" v="10981"/>
    </bk>
    <bk>
      <rc t="2" v="10982"/>
    </bk>
    <bk>
      <rc t="2" v="10983"/>
    </bk>
    <bk>
      <rc t="2" v="10984"/>
    </bk>
    <bk>
      <rc t="2" v="10985"/>
    </bk>
    <bk>
      <rc t="2" v="10986"/>
    </bk>
    <bk>
      <rc t="2" v="10987"/>
    </bk>
    <bk>
      <rc t="2" v="10988"/>
    </bk>
    <bk>
      <rc t="2" v="10989"/>
    </bk>
    <bk>
      <rc t="2" v="10990"/>
    </bk>
    <bk>
      <rc t="2" v="10991"/>
    </bk>
    <bk>
      <rc t="2" v="10992"/>
    </bk>
    <bk>
      <rc t="2" v="10993"/>
    </bk>
    <bk>
      <rc t="2" v="10994"/>
    </bk>
    <bk>
      <rc t="2" v="10995"/>
    </bk>
    <bk>
      <rc t="2" v="10996"/>
    </bk>
    <bk>
      <rc t="2" v="10997"/>
    </bk>
    <bk>
      <rc t="2" v="10998"/>
    </bk>
    <bk>
      <rc t="2" v="10999"/>
    </bk>
    <bk>
      <rc t="2" v="11000"/>
    </bk>
    <bk>
      <rc t="2" v="11001"/>
    </bk>
    <bk>
      <rc t="2" v="11002"/>
    </bk>
    <bk>
      <rc t="2" v="11003"/>
    </bk>
    <bk>
      <rc t="2" v="11004"/>
    </bk>
    <bk>
      <rc t="2" v="11005"/>
    </bk>
    <bk>
      <rc t="2" v="11006"/>
    </bk>
    <bk>
      <rc t="2" v="11007"/>
    </bk>
    <bk>
      <rc t="2" v="11008"/>
    </bk>
    <bk>
      <rc t="2" v="11009"/>
    </bk>
    <bk>
      <rc t="2" v="11010"/>
    </bk>
    <bk>
      <rc t="2" v="11011"/>
    </bk>
    <bk>
      <rc t="2" v="11012"/>
    </bk>
    <bk>
      <rc t="2" v="11013"/>
    </bk>
    <bk>
      <rc t="2" v="11014"/>
    </bk>
    <bk>
      <rc t="2" v="11015"/>
    </bk>
    <bk>
      <rc t="2" v="11016"/>
    </bk>
    <bk>
      <rc t="2" v="11017"/>
    </bk>
    <bk>
      <rc t="2" v="11018"/>
    </bk>
    <bk>
      <rc t="2" v="11019"/>
    </bk>
    <bk>
      <rc t="2" v="11020"/>
    </bk>
    <bk>
      <rc t="2" v="11021"/>
    </bk>
    <bk>
      <rc t="2" v="11022"/>
    </bk>
    <bk>
      <rc t="2" v="11023"/>
    </bk>
    <bk>
      <rc t="2" v="11024"/>
    </bk>
    <bk>
      <rc t="2" v="11025"/>
    </bk>
    <bk>
      <rc t="2" v="11026"/>
    </bk>
    <bk>
      <rc t="2" v="11027"/>
    </bk>
    <bk>
      <rc t="2" v="11028"/>
    </bk>
    <bk>
      <rc t="2" v="11029"/>
    </bk>
    <bk>
      <rc t="2" v="11030"/>
    </bk>
    <bk>
      <rc t="2" v="11031"/>
    </bk>
    <bk>
      <rc t="2" v="11032"/>
    </bk>
    <bk>
      <rc t="2" v="11033"/>
    </bk>
    <bk>
      <rc t="2" v="11034"/>
    </bk>
    <bk>
      <rc t="2" v="11035"/>
    </bk>
    <bk>
      <rc t="2" v="11036"/>
    </bk>
    <bk>
      <rc t="2" v="11037"/>
    </bk>
    <bk>
      <rc t="2" v="11038"/>
    </bk>
    <bk>
      <rc t="2" v="11039"/>
    </bk>
    <bk>
      <rc t="2" v="11040"/>
    </bk>
    <bk>
      <rc t="2" v="11041"/>
    </bk>
    <bk>
      <rc t="2" v="11042"/>
    </bk>
    <bk>
      <rc t="2" v="11043"/>
    </bk>
    <bk>
      <rc t="2" v="11044"/>
    </bk>
    <bk>
      <rc t="2" v="11045"/>
    </bk>
    <bk>
      <rc t="2" v="11046"/>
    </bk>
    <bk>
      <rc t="2" v="11047"/>
    </bk>
    <bk>
      <rc t="2" v="11048"/>
    </bk>
    <bk>
      <rc t="2" v="11049"/>
    </bk>
    <bk>
      <rc t="2" v="11050"/>
    </bk>
    <bk>
      <rc t="2" v="11051"/>
    </bk>
    <bk>
      <rc t="2" v="11052"/>
    </bk>
    <bk>
      <rc t="2" v="11053"/>
    </bk>
    <bk>
      <rc t="2" v="11054"/>
    </bk>
    <bk>
      <rc t="2" v="11055"/>
    </bk>
    <bk>
      <rc t="2" v="11056"/>
    </bk>
    <bk>
      <rc t="2" v="11057"/>
    </bk>
    <bk>
      <rc t="2" v="11058"/>
    </bk>
    <bk>
      <rc t="2" v="11059"/>
    </bk>
    <bk>
      <rc t="2" v="11060"/>
    </bk>
    <bk>
      <rc t="2" v="11061"/>
    </bk>
    <bk>
      <rc t="2" v="11062"/>
    </bk>
    <bk>
      <rc t="2" v="11063"/>
    </bk>
    <bk>
      <rc t="2" v="11064"/>
    </bk>
    <bk>
      <rc t="2" v="11065"/>
    </bk>
    <bk>
      <rc t="2" v="11066"/>
    </bk>
    <bk>
      <rc t="2" v="11067"/>
    </bk>
    <bk>
      <rc t="2" v="11068"/>
    </bk>
    <bk>
      <rc t="2" v="11069"/>
    </bk>
    <bk>
      <rc t="2" v="11070"/>
    </bk>
    <bk>
      <rc t="2" v="11071"/>
    </bk>
    <bk>
      <rc t="2" v="11072"/>
    </bk>
    <bk>
      <rc t="2" v="11073"/>
    </bk>
    <bk>
      <rc t="2" v="11074"/>
    </bk>
    <bk>
      <rc t="2" v="11075"/>
    </bk>
    <bk>
      <rc t="2" v="11076"/>
    </bk>
    <bk>
      <rc t="2" v="11077"/>
    </bk>
    <bk>
      <rc t="2" v="11078"/>
    </bk>
    <bk>
      <rc t="2" v="11079"/>
    </bk>
    <bk>
      <rc t="2" v="11080"/>
    </bk>
    <bk>
      <rc t="2" v="11081"/>
    </bk>
    <bk>
      <rc t="2" v="11082"/>
    </bk>
    <bk>
      <rc t="2" v="11083"/>
    </bk>
    <bk>
      <rc t="2" v="11084"/>
    </bk>
    <bk>
      <rc t="2" v="11085"/>
    </bk>
    <bk>
      <rc t="2" v="11086"/>
    </bk>
    <bk>
      <rc t="2" v="11087"/>
    </bk>
    <bk>
      <rc t="2" v="11088"/>
    </bk>
    <bk>
      <rc t="2" v="11089"/>
    </bk>
    <bk>
      <rc t="2" v="11090"/>
    </bk>
    <bk>
      <rc t="2" v="11091"/>
    </bk>
    <bk>
      <rc t="2" v="11092"/>
    </bk>
    <bk>
      <rc t="2" v="11093"/>
    </bk>
    <bk>
      <rc t="2" v="11094"/>
    </bk>
    <bk>
      <rc t="2" v="11095"/>
    </bk>
    <bk>
      <rc t="2" v="11096"/>
    </bk>
    <bk>
      <rc t="2" v="11097"/>
    </bk>
    <bk>
      <rc t="2" v="11098"/>
    </bk>
    <bk>
      <rc t="2" v="11099"/>
    </bk>
    <bk>
      <rc t="2" v="11100"/>
    </bk>
    <bk>
      <rc t="2" v="11101"/>
    </bk>
    <bk>
      <rc t="2" v="11102"/>
    </bk>
    <bk>
      <rc t="2" v="11103"/>
    </bk>
    <bk>
      <rc t="2" v="11104"/>
    </bk>
    <bk>
      <rc t="2" v="11105"/>
    </bk>
    <bk>
      <rc t="2" v="11106"/>
    </bk>
    <bk>
      <rc t="2" v="11107"/>
    </bk>
    <bk>
      <rc t="2" v="11108"/>
    </bk>
    <bk>
      <rc t="2" v="11109"/>
    </bk>
    <bk>
      <rc t="2" v="11110"/>
    </bk>
    <bk>
      <rc t="2" v="11111"/>
    </bk>
    <bk>
      <rc t="2" v="11112"/>
    </bk>
    <bk>
      <rc t="2" v="11113"/>
    </bk>
    <bk>
      <rc t="2" v="11114"/>
    </bk>
    <bk>
      <rc t="2" v="11115"/>
    </bk>
    <bk>
      <rc t="2" v="11116"/>
    </bk>
    <bk>
      <rc t="2" v="11117"/>
    </bk>
    <bk>
      <rc t="2" v="11118"/>
    </bk>
    <bk>
      <rc t="2" v="11119"/>
    </bk>
    <bk>
      <rc t="2" v="11120"/>
    </bk>
    <bk>
      <rc t="2" v="11121"/>
    </bk>
    <bk>
      <rc t="2" v="11122"/>
    </bk>
    <bk>
      <rc t="2" v="11123"/>
    </bk>
    <bk>
      <rc t="2" v="11124"/>
    </bk>
    <bk>
      <rc t="2" v="11125"/>
    </bk>
    <bk>
      <rc t="2" v="11126"/>
    </bk>
    <bk>
      <rc t="2" v="11127"/>
    </bk>
    <bk>
      <rc t="2" v="11128"/>
    </bk>
    <bk>
      <rc t="2" v="11129"/>
    </bk>
    <bk>
      <rc t="2" v="11130"/>
    </bk>
    <bk>
      <rc t="2" v="11131"/>
    </bk>
    <bk>
      <rc t="2" v="11132"/>
    </bk>
    <bk>
      <rc t="2" v="11133"/>
    </bk>
    <bk>
      <rc t="2" v="11134"/>
    </bk>
    <bk>
      <rc t="2" v="11135"/>
    </bk>
    <bk>
      <rc t="2" v="11136"/>
    </bk>
    <bk>
      <rc t="2" v="11137"/>
    </bk>
    <bk>
      <rc t="2" v="11138"/>
    </bk>
    <bk>
      <rc t="2" v="11139"/>
    </bk>
    <bk>
      <rc t="2" v="11140"/>
    </bk>
    <bk>
      <rc t="2" v="11141"/>
    </bk>
    <bk>
      <rc t="2" v="11142"/>
    </bk>
    <bk>
      <rc t="2" v="11143"/>
    </bk>
    <bk>
      <rc t="2" v="11144"/>
    </bk>
    <bk>
      <rc t="2" v="11145"/>
    </bk>
    <bk>
      <rc t="2" v="11146"/>
    </bk>
    <bk>
      <rc t="2" v="11147"/>
    </bk>
    <bk>
      <rc t="2" v="11148"/>
    </bk>
    <bk>
      <rc t="2" v="11149"/>
    </bk>
    <bk>
      <rc t="2" v="11150"/>
    </bk>
    <bk>
      <rc t="2" v="11151"/>
    </bk>
    <bk>
      <rc t="2" v="11152"/>
    </bk>
    <bk>
      <rc t="2" v="11153"/>
    </bk>
    <bk>
      <rc t="2" v="11154"/>
    </bk>
    <bk>
      <rc t="2" v="11155"/>
    </bk>
    <bk>
      <rc t="2" v="11156"/>
    </bk>
    <bk>
      <rc t="2" v="11157"/>
    </bk>
    <bk>
      <rc t="2" v="11158"/>
    </bk>
    <bk>
      <rc t="2" v="11159"/>
    </bk>
    <bk>
      <rc t="2" v="11160"/>
    </bk>
    <bk>
      <rc t="2" v="11161"/>
    </bk>
    <bk>
      <rc t="2" v="11162"/>
    </bk>
    <bk>
      <rc t="2" v="11163"/>
    </bk>
    <bk>
      <rc t="2" v="11164"/>
    </bk>
    <bk>
      <rc t="2" v="11165"/>
    </bk>
    <bk>
      <rc t="2" v="11166"/>
    </bk>
    <bk>
      <rc t="2" v="11167"/>
    </bk>
    <bk>
      <rc t="2" v="11168"/>
    </bk>
    <bk>
      <rc t="2" v="11169"/>
    </bk>
    <bk>
      <rc t="2" v="11170"/>
    </bk>
    <bk>
      <rc t="2" v="11171"/>
    </bk>
    <bk>
      <rc t="2" v="11172"/>
    </bk>
    <bk>
      <rc t="2" v="11173"/>
    </bk>
    <bk>
      <rc t="2" v="11174"/>
    </bk>
    <bk>
      <rc t="2" v="11175"/>
    </bk>
    <bk>
      <rc t="2" v="11176"/>
    </bk>
    <bk>
      <rc t="2" v="11177"/>
    </bk>
    <bk>
      <rc t="2" v="11178"/>
    </bk>
    <bk>
      <rc t="2" v="11179"/>
    </bk>
    <bk>
      <rc t="2" v="11180"/>
    </bk>
    <bk>
      <rc t="2" v="11181"/>
    </bk>
    <bk>
      <rc t="2" v="11182"/>
    </bk>
    <bk>
      <rc t="2" v="11183"/>
    </bk>
    <bk>
      <rc t="2" v="11184"/>
    </bk>
    <bk>
      <rc t="2" v="11185"/>
    </bk>
    <bk>
      <rc t="2" v="11186"/>
    </bk>
    <bk>
      <rc t="2" v="11187"/>
    </bk>
    <bk>
      <rc t="2" v="11188"/>
    </bk>
    <bk>
      <rc t="2" v="11189"/>
    </bk>
    <bk>
      <rc t="2" v="11190"/>
    </bk>
    <bk>
      <rc t="2" v="11191"/>
    </bk>
    <bk>
      <rc t="2" v="11192"/>
    </bk>
    <bk>
      <rc t="2" v="11193"/>
    </bk>
    <bk>
      <rc t="2" v="11194"/>
    </bk>
    <bk>
      <rc t="2" v="11195"/>
    </bk>
    <bk>
      <rc t="2" v="11196"/>
    </bk>
    <bk>
      <rc t="2" v="11197"/>
    </bk>
    <bk>
      <rc t="2" v="11198"/>
    </bk>
    <bk>
      <rc t="2" v="11199"/>
    </bk>
    <bk>
      <rc t="2" v="11200"/>
    </bk>
    <bk>
      <rc t="2" v="11201"/>
    </bk>
    <bk>
      <rc t="2" v="11202"/>
    </bk>
    <bk>
      <rc t="2" v="11203"/>
    </bk>
    <bk>
      <rc t="2" v="11204"/>
    </bk>
    <bk>
      <rc t="2" v="11205"/>
    </bk>
    <bk>
      <rc t="2" v="11206"/>
    </bk>
    <bk>
      <rc t="2" v="11207"/>
    </bk>
    <bk>
      <rc t="2" v="11208"/>
    </bk>
    <bk>
      <rc t="2" v="11209"/>
    </bk>
    <bk>
      <rc t="2" v="11210"/>
    </bk>
    <bk>
      <rc t="2" v="11211"/>
    </bk>
    <bk>
      <rc t="2" v="11212"/>
    </bk>
    <bk>
      <rc t="2" v="11213"/>
    </bk>
    <bk>
      <rc t="2" v="11214"/>
    </bk>
    <bk>
      <rc t="2" v="11215"/>
    </bk>
    <bk>
      <rc t="2" v="11216"/>
    </bk>
    <bk>
      <rc t="2" v="11217"/>
    </bk>
    <bk>
      <rc t="2" v="11218"/>
    </bk>
    <bk>
      <rc t="2" v="11219"/>
    </bk>
    <bk>
      <rc t="2" v="11220"/>
    </bk>
    <bk>
      <rc t="2" v="11221"/>
    </bk>
    <bk>
      <rc t="2" v="11222"/>
    </bk>
    <bk>
      <rc t="2" v="11223"/>
    </bk>
    <bk>
      <rc t="2" v="11224"/>
    </bk>
    <bk>
      <rc t="2" v="11225"/>
    </bk>
    <bk>
      <rc t="2" v="11226"/>
    </bk>
    <bk>
      <rc t="2" v="11227"/>
    </bk>
    <bk>
      <rc t="2" v="11228"/>
    </bk>
    <bk>
      <rc t="2" v="11229"/>
    </bk>
    <bk>
      <rc t="2" v="11230"/>
    </bk>
    <bk>
      <rc t="2" v="11231"/>
    </bk>
    <bk>
      <rc t="2" v="11232"/>
    </bk>
    <bk>
      <rc t="2" v="11233"/>
    </bk>
    <bk>
      <rc t="2" v="11234"/>
    </bk>
    <bk>
      <rc t="2" v="11235"/>
    </bk>
    <bk>
      <rc t="2" v="11236"/>
    </bk>
    <bk>
      <rc t="2" v="11237"/>
    </bk>
    <bk>
      <rc t="2" v="11238"/>
    </bk>
    <bk>
      <rc t="2" v="11239"/>
    </bk>
    <bk>
      <rc t="2" v="11240"/>
    </bk>
    <bk>
      <rc t="2" v="11241"/>
    </bk>
    <bk>
      <rc t="2" v="11242"/>
    </bk>
    <bk>
      <rc t="2" v="11243"/>
    </bk>
    <bk>
      <rc t="2" v="11244"/>
    </bk>
    <bk>
      <rc t="2" v="11245"/>
    </bk>
    <bk>
      <rc t="2" v="11246"/>
    </bk>
    <bk>
      <rc t="2" v="11247"/>
    </bk>
    <bk>
      <rc t="2" v="11248"/>
    </bk>
    <bk>
      <rc t="2" v="11249"/>
    </bk>
    <bk>
      <rc t="2" v="11250"/>
    </bk>
    <bk>
      <rc t="2" v="11251"/>
    </bk>
    <bk>
      <rc t="2" v="11252"/>
    </bk>
    <bk>
      <rc t="2" v="11253"/>
    </bk>
    <bk>
      <rc t="2" v="11254"/>
    </bk>
    <bk>
      <rc t="2" v="11255"/>
    </bk>
    <bk>
      <rc t="2" v="11256"/>
    </bk>
    <bk>
      <rc t="2" v="11257"/>
    </bk>
    <bk>
      <rc t="2" v="11258"/>
    </bk>
    <bk>
      <rc t="2" v="11259"/>
    </bk>
    <bk>
      <rc t="2" v="11260"/>
    </bk>
    <bk>
      <rc t="2" v="11261"/>
    </bk>
    <bk>
      <rc t="2" v="11262"/>
    </bk>
    <bk>
      <rc t="2" v="11263"/>
    </bk>
    <bk>
      <rc t="2" v="11264"/>
    </bk>
    <bk>
      <rc t="2" v="11265"/>
    </bk>
    <bk>
      <rc t="2" v="11266"/>
    </bk>
    <bk>
      <rc t="2" v="11267"/>
    </bk>
    <bk>
      <rc t="2" v="11268"/>
    </bk>
    <bk>
      <rc t="2" v="11269"/>
    </bk>
    <bk>
      <rc t="2" v="11270"/>
    </bk>
    <bk>
      <rc t="2" v="11271"/>
    </bk>
    <bk>
      <rc t="2" v="11272"/>
    </bk>
    <bk>
      <rc t="2" v="11273"/>
    </bk>
    <bk>
      <rc t="2" v="11274"/>
    </bk>
    <bk>
      <rc t="2" v="11275"/>
    </bk>
    <bk>
      <rc t="2" v="11276"/>
    </bk>
    <bk>
      <rc t="2" v="11277"/>
    </bk>
    <bk>
      <rc t="2" v="11278"/>
    </bk>
    <bk>
      <rc t="2" v="11279"/>
    </bk>
    <bk>
      <rc t="2" v="11280"/>
    </bk>
    <bk>
      <rc t="2" v="11281"/>
    </bk>
    <bk>
      <rc t="2" v="11282"/>
    </bk>
    <bk>
      <rc t="2" v="11283"/>
    </bk>
    <bk>
      <rc t="2" v="11284"/>
    </bk>
    <bk>
      <rc t="2" v="11285"/>
    </bk>
    <bk>
      <rc t="2" v="11286"/>
    </bk>
    <bk>
      <rc t="2" v="11287"/>
    </bk>
    <bk>
      <rc t="2" v="11288"/>
    </bk>
    <bk>
      <rc t="2" v="11289"/>
    </bk>
    <bk>
      <rc t="2" v="11290"/>
    </bk>
    <bk>
      <rc t="2" v="11291"/>
    </bk>
    <bk>
      <rc t="2" v="11292"/>
    </bk>
    <bk>
      <rc t="2" v="11293"/>
    </bk>
    <bk>
      <rc t="2" v="11294"/>
    </bk>
    <bk>
      <rc t="2" v="11295"/>
    </bk>
    <bk>
      <rc t="2" v="11296"/>
    </bk>
    <bk>
      <rc t="2" v="11297"/>
    </bk>
    <bk>
      <rc t="2" v="11298"/>
    </bk>
    <bk>
      <rc t="2" v="11299"/>
    </bk>
    <bk>
      <rc t="2" v="11300"/>
    </bk>
    <bk>
      <rc t="2" v="11301"/>
    </bk>
    <bk>
      <rc t="2" v="11302"/>
    </bk>
    <bk>
      <rc t="2" v="11303"/>
    </bk>
    <bk>
      <rc t="2" v="11304"/>
    </bk>
    <bk>
      <rc t="2" v="11305"/>
    </bk>
    <bk>
      <rc t="2" v="11306"/>
    </bk>
    <bk>
      <rc t="2" v="11307"/>
    </bk>
    <bk>
      <rc t="2" v="11308"/>
    </bk>
    <bk>
      <rc t="2" v="11309"/>
    </bk>
    <bk>
      <rc t="2" v="11310"/>
    </bk>
    <bk>
      <rc t="2" v="11311"/>
    </bk>
    <bk>
      <rc t="2" v="11312"/>
    </bk>
    <bk>
      <rc t="2" v="11313"/>
    </bk>
    <bk>
      <rc t="2" v="11314"/>
    </bk>
    <bk>
      <rc t="2" v="11315"/>
    </bk>
    <bk>
      <rc t="2" v="11316"/>
    </bk>
    <bk>
      <rc t="2" v="11317"/>
    </bk>
    <bk>
      <rc t="2" v="11318"/>
    </bk>
    <bk>
      <rc t="2" v="11319"/>
    </bk>
    <bk>
      <rc t="2" v="11320"/>
    </bk>
    <bk>
      <rc t="2" v="11321"/>
    </bk>
    <bk>
      <rc t="2" v="11322"/>
    </bk>
    <bk>
      <rc t="2" v="11323"/>
    </bk>
    <bk>
      <rc t="2" v="11324"/>
    </bk>
    <bk>
      <rc t="2" v="11325"/>
    </bk>
    <bk>
      <rc t="2" v="11326"/>
    </bk>
    <bk>
      <rc t="2" v="11327"/>
    </bk>
    <bk>
      <rc t="2" v="11328"/>
    </bk>
    <bk>
      <rc t="2" v="11329"/>
    </bk>
    <bk>
      <rc t="2" v="11330"/>
    </bk>
    <bk>
      <rc t="2" v="11331"/>
    </bk>
    <bk>
      <rc t="2" v="11332"/>
    </bk>
    <bk>
      <rc t="2" v="11333"/>
    </bk>
    <bk>
      <rc t="2" v="11334"/>
    </bk>
    <bk>
      <rc t="2" v="11335"/>
    </bk>
    <bk>
      <rc t="2" v="11336"/>
    </bk>
    <bk>
      <rc t="2" v="11337"/>
    </bk>
    <bk>
      <rc t="2" v="11338"/>
    </bk>
    <bk>
      <rc t="2" v="11339"/>
    </bk>
    <bk>
      <rc t="2" v="11340"/>
    </bk>
    <bk>
      <rc t="2" v="11341"/>
    </bk>
    <bk>
      <rc t="2" v="11342"/>
    </bk>
    <bk>
      <rc t="2" v="11343"/>
    </bk>
    <bk>
      <rc t="2" v="11344"/>
    </bk>
    <bk>
      <rc t="2" v="11345"/>
    </bk>
    <bk>
      <rc t="2" v="11346"/>
    </bk>
    <bk>
      <rc t="2" v="11347"/>
    </bk>
    <bk>
      <rc t="2" v="11348"/>
    </bk>
    <bk>
      <rc t="2" v="11349"/>
    </bk>
    <bk>
      <rc t="2" v="11350"/>
    </bk>
    <bk>
      <rc t="2" v="11351"/>
    </bk>
    <bk>
      <rc t="2" v="11352"/>
    </bk>
    <bk>
      <rc t="2" v="11353"/>
    </bk>
    <bk>
      <rc t="2" v="11354"/>
    </bk>
    <bk>
      <rc t="2" v="11355"/>
    </bk>
    <bk>
      <rc t="2" v="11356"/>
    </bk>
    <bk>
      <rc t="2" v="11357"/>
    </bk>
    <bk>
      <rc t="2" v="11358"/>
    </bk>
    <bk>
      <rc t="2" v="11359"/>
    </bk>
    <bk>
      <rc t="2" v="11360"/>
    </bk>
    <bk>
      <rc t="2" v="11361"/>
    </bk>
    <bk>
      <rc t="2" v="11362"/>
    </bk>
    <bk>
      <rc t="2" v="11363"/>
    </bk>
    <bk>
      <rc t="2" v="11364"/>
    </bk>
    <bk>
      <rc t="2" v="11365"/>
    </bk>
    <bk>
      <rc t="2" v="11366"/>
    </bk>
    <bk>
      <rc t="2" v="11367"/>
    </bk>
    <bk>
      <rc t="2" v="11368"/>
    </bk>
    <bk>
      <rc t="2" v="11369"/>
    </bk>
    <bk>
      <rc t="2" v="11370"/>
    </bk>
    <bk>
      <rc t="2" v="11371"/>
    </bk>
    <bk>
      <rc t="2" v="11372"/>
    </bk>
    <bk>
      <rc t="2" v="11373"/>
    </bk>
    <bk>
      <rc t="2" v="11374"/>
    </bk>
    <bk>
      <rc t="2" v="11375"/>
    </bk>
    <bk>
      <rc t="2" v="11376"/>
    </bk>
    <bk>
      <rc t="2" v="11377"/>
    </bk>
    <bk>
      <rc t="2" v="11378"/>
    </bk>
    <bk>
      <rc t="2" v="11379"/>
    </bk>
    <bk>
      <rc t="2" v="11380"/>
    </bk>
    <bk>
      <rc t="2" v="11381"/>
    </bk>
    <bk>
      <rc t="2" v="11382"/>
    </bk>
    <bk>
      <rc t="2" v="11383"/>
    </bk>
    <bk>
      <rc t="2" v="11384"/>
    </bk>
    <bk>
      <rc t="2" v="11385"/>
    </bk>
    <bk>
      <rc t="2" v="11386"/>
    </bk>
    <bk>
      <rc t="2" v="11387"/>
    </bk>
    <bk>
      <rc t="2" v="11388"/>
    </bk>
    <bk>
      <rc t="2" v="11389"/>
    </bk>
    <bk>
      <rc t="2" v="11390"/>
    </bk>
    <bk>
      <rc t="2" v="11391"/>
    </bk>
    <bk>
      <rc t="2" v="11392"/>
    </bk>
    <bk>
      <rc t="2" v="11393"/>
    </bk>
    <bk>
      <rc t="2" v="11394"/>
    </bk>
    <bk>
      <rc t="2" v="11395"/>
    </bk>
    <bk>
      <rc t="2" v="11396"/>
    </bk>
    <bk>
      <rc t="2" v="11397"/>
    </bk>
    <bk>
      <rc t="2" v="11398"/>
    </bk>
    <bk>
      <rc t="2" v="11399"/>
    </bk>
    <bk>
      <rc t="2" v="11400"/>
    </bk>
    <bk>
      <rc t="2" v="11401"/>
    </bk>
    <bk>
      <rc t="2" v="11402"/>
    </bk>
    <bk>
      <rc t="2" v="11403"/>
    </bk>
    <bk>
      <rc t="2" v="11404"/>
    </bk>
    <bk>
      <rc t="2" v="11405"/>
    </bk>
    <bk>
      <rc t="2" v="11406"/>
    </bk>
    <bk>
      <rc t="2" v="11407"/>
    </bk>
    <bk>
      <rc t="2" v="11408"/>
    </bk>
    <bk>
      <rc t="2" v="11409"/>
    </bk>
    <bk>
      <rc t="2" v="11410"/>
    </bk>
    <bk>
      <rc t="2" v="11411"/>
    </bk>
    <bk>
      <rc t="2" v="11412"/>
    </bk>
    <bk>
      <rc t="2" v="11413"/>
    </bk>
    <bk>
      <rc t="2" v="11414"/>
    </bk>
    <bk>
      <rc t="2" v="11415"/>
    </bk>
    <bk>
      <rc t="2" v="11416"/>
    </bk>
    <bk>
      <rc t="2" v="11417"/>
    </bk>
    <bk>
      <rc t="2" v="11418"/>
    </bk>
    <bk>
      <rc t="2" v="11419"/>
    </bk>
    <bk>
      <rc t="2" v="11420"/>
    </bk>
    <bk>
      <rc t="2" v="11421"/>
    </bk>
    <bk>
      <rc t="2" v="11422"/>
    </bk>
    <bk>
      <rc t="2" v="11423"/>
    </bk>
    <bk>
      <rc t="2" v="11424"/>
    </bk>
    <bk>
      <rc t="2" v="11425"/>
    </bk>
    <bk>
      <rc t="2" v="11426"/>
    </bk>
    <bk>
      <rc t="2" v="11427"/>
    </bk>
    <bk>
      <rc t="2" v="11428"/>
    </bk>
    <bk>
      <rc t="2" v="11429"/>
    </bk>
    <bk>
      <rc t="2" v="11430"/>
    </bk>
    <bk>
      <rc t="2" v="11431"/>
    </bk>
    <bk>
      <rc t="2" v="11432"/>
    </bk>
    <bk>
      <rc t="2" v="11433"/>
    </bk>
    <bk>
      <rc t="2" v="11434"/>
    </bk>
    <bk>
      <rc t="2" v="11435"/>
    </bk>
    <bk>
      <rc t="2" v="11436"/>
    </bk>
    <bk>
      <rc t="2" v="11437"/>
    </bk>
    <bk>
      <rc t="2" v="11438"/>
    </bk>
    <bk>
      <rc t="2" v="11439"/>
    </bk>
    <bk>
      <rc t="2" v="11440"/>
    </bk>
    <bk>
      <rc t="2" v="11441"/>
    </bk>
    <bk>
      <rc t="2" v="11442"/>
    </bk>
    <bk>
      <rc t="2" v="11443"/>
    </bk>
    <bk>
      <rc t="2" v="11444"/>
    </bk>
    <bk>
      <rc t="2" v="11445"/>
    </bk>
    <bk>
      <rc t="2" v="11446"/>
    </bk>
    <bk>
      <rc t="2" v="11447"/>
    </bk>
    <bk>
      <rc t="2" v="11448"/>
    </bk>
    <bk>
      <rc t="2" v="11449"/>
    </bk>
    <bk>
      <rc t="2" v="11450"/>
    </bk>
    <bk>
      <rc t="2" v="11451"/>
    </bk>
    <bk>
      <rc t="2" v="11452"/>
    </bk>
    <bk>
      <rc t="2" v="11453"/>
    </bk>
    <bk>
      <rc t="2" v="11454"/>
    </bk>
    <bk>
      <rc t="2" v="11455"/>
    </bk>
    <bk>
      <rc t="2" v="11456"/>
    </bk>
    <bk>
      <rc t="2" v="11457"/>
    </bk>
    <bk>
      <rc t="2" v="11458"/>
    </bk>
    <bk>
      <rc t="2" v="11459"/>
    </bk>
    <bk>
      <rc t="2" v="11460"/>
    </bk>
    <bk>
      <rc t="2" v="11461"/>
    </bk>
    <bk>
      <rc t="2" v="11462"/>
    </bk>
    <bk>
      <rc t="2" v="11463"/>
    </bk>
    <bk>
      <rc t="2" v="11464"/>
    </bk>
    <bk>
      <rc t="2" v="11465"/>
    </bk>
    <bk>
      <rc t="2" v="11466"/>
    </bk>
    <bk>
      <rc t="2" v="11467"/>
    </bk>
    <bk>
      <rc t="2" v="11468"/>
    </bk>
    <bk>
      <rc t="2" v="11469"/>
    </bk>
    <bk>
      <rc t="2" v="11470"/>
    </bk>
    <bk>
      <rc t="2" v="11471"/>
    </bk>
    <bk>
      <rc t="2" v="11472"/>
    </bk>
    <bk>
      <rc t="2" v="11473"/>
    </bk>
    <bk>
      <rc t="2" v="11474"/>
    </bk>
    <bk>
      <rc t="2" v="11475"/>
    </bk>
    <bk>
      <rc t="2" v="11476"/>
    </bk>
    <bk>
      <rc t="2" v="11477"/>
    </bk>
    <bk>
      <rc t="2" v="11478"/>
    </bk>
    <bk>
      <rc t="2" v="11479"/>
    </bk>
    <bk>
      <rc t="2" v="11480"/>
    </bk>
    <bk>
      <rc t="2" v="11481"/>
    </bk>
    <bk>
      <rc t="2" v="11482"/>
    </bk>
    <bk>
      <rc t="2" v="11483"/>
    </bk>
    <bk>
      <rc t="2" v="11484"/>
    </bk>
    <bk>
      <rc t="2" v="11485"/>
    </bk>
    <bk>
      <rc t="2" v="11486"/>
    </bk>
    <bk>
      <rc t="2" v="11487"/>
    </bk>
    <bk>
      <rc t="2" v="11488"/>
    </bk>
    <bk>
      <rc t="2" v="11489"/>
    </bk>
    <bk>
      <rc t="2" v="11490"/>
    </bk>
    <bk>
      <rc t="2" v="11491"/>
    </bk>
    <bk>
      <rc t="2" v="11492"/>
    </bk>
    <bk>
      <rc t="2" v="11493"/>
    </bk>
    <bk>
      <rc t="2" v="11494"/>
    </bk>
    <bk>
      <rc t="2" v="11495"/>
    </bk>
    <bk>
      <rc t="2" v="11496"/>
    </bk>
    <bk>
      <rc t="2" v="11497"/>
    </bk>
    <bk>
      <rc t="2" v="11498"/>
    </bk>
    <bk>
      <rc t="2" v="11499"/>
    </bk>
    <bk>
      <rc t="2" v="11500"/>
    </bk>
    <bk>
      <rc t="2" v="11501"/>
    </bk>
    <bk>
      <rc t="2" v="11502"/>
    </bk>
    <bk>
      <rc t="2" v="11503"/>
    </bk>
    <bk>
      <rc t="2" v="11504"/>
    </bk>
    <bk>
      <rc t="2" v="11505"/>
    </bk>
    <bk>
      <rc t="2" v="11506"/>
    </bk>
    <bk>
      <rc t="2" v="11507"/>
    </bk>
    <bk>
      <rc t="2" v="11508"/>
    </bk>
    <bk>
      <rc t="2" v="11509"/>
    </bk>
    <bk>
      <rc t="2" v="11510"/>
    </bk>
    <bk>
      <rc t="2" v="11511"/>
    </bk>
    <bk>
      <rc t="2" v="11512"/>
    </bk>
    <bk>
      <rc t="2" v="11513"/>
    </bk>
    <bk>
      <rc t="2" v="11514"/>
    </bk>
    <bk>
      <rc t="2" v="11515"/>
    </bk>
    <bk>
      <rc t="2" v="11516"/>
    </bk>
    <bk>
      <rc t="2" v="11517"/>
    </bk>
    <bk>
      <rc t="2" v="11518"/>
    </bk>
    <bk>
      <rc t="2" v="11519"/>
    </bk>
    <bk>
      <rc t="2" v="11520"/>
    </bk>
    <bk>
      <rc t="2" v="11521"/>
    </bk>
    <bk>
      <rc t="2" v="11522"/>
    </bk>
    <bk>
      <rc t="2" v="11523"/>
    </bk>
    <bk>
      <rc t="2" v="11524"/>
    </bk>
    <bk>
      <rc t="2" v="11525"/>
    </bk>
    <bk>
      <rc t="2" v="11526"/>
    </bk>
    <bk>
      <rc t="2" v="11527"/>
    </bk>
    <bk>
      <rc t="2" v="11528"/>
    </bk>
    <bk>
      <rc t="2" v="11529"/>
    </bk>
    <bk>
      <rc t="2" v="11530"/>
    </bk>
    <bk>
      <rc t="2" v="11531"/>
    </bk>
    <bk>
      <rc t="2" v="11532"/>
    </bk>
    <bk>
      <rc t="2" v="11533"/>
    </bk>
    <bk>
      <rc t="2" v="11534"/>
    </bk>
    <bk>
      <rc t="2" v="11535"/>
    </bk>
    <bk>
      <rc t="2" v="11536"/>
    </bk>
    <bk>
      <rc t="2" v="11537"/>
    </bk>
    <bk>
      <rc t="2" v="11538"/>
    </bk>
    <bk>
      <rc t="2" v="11539"/>
    </bk>
    <bk>
      <rc t="2" v="11540"/>
    </bk>
    <bk>
      <rc t="2" v="11541"/>
    </bk>
    <bk>
      <rc t="2" v="11542"/>
    </bk>
    <bk>
      <rc t="2" v="11543"/>
    </bk>
    <bk>
      <rc t="2" v="11544"/>
    </bk>
    <bk>
      <rc t="2" v="11545"/>
    </bk>
    <bk>
      <rc t="2" v="11546"/>
    </bk>
    <bk>
      <rc t="2" v="11547"/>
    </bk>
    <bk>
      <rc t="2" v="11548"/>
    </bk>
    <bk>
      <rc t="2" v="11549"/>
    </bk>
    <bk>
      <rc t="2" v="11550"/>
    </bk>
    <bk>
      <rc t="2" v="11551"/>
    </bk>
    <bk>
      <rc t="2" v="11552"/>
    </bk>
    <bk>
      <rc t="2" v="11553"/>
    </bk>
    <bk>
      <rc t="2" v="11554"/>
    </bk>
    <bk>
      <rc t="2" v="11555"/>
    </bk>
    <bk>
      <rc t="2" v="11556"/>
    </bk>
    <bk>
      <rc t="2" v="11557"/>
    </bk>
    <bk>
      <rc t="2" v="11558"/>
    </bk>
    <bk>
      <rc t="2" v="11559"/>
    </bk>
    <bk>
      <rc t="2" v="11560"/>
    </bk>
    <bk>
      <rc t="2" v="11561"/>
    </bk>
    <bk>
      <rc t="2" v="11562"/>
    </bk>
    <bk>
      <rc t="2" v="11563"/>
    </bk>
    <bk>
      <rc t="2" v="11564"/>
    </bk>
    <bk>
      <rc t="2" v="11565"/>
    </bk>
    <bk>
      <rc t="2" v="11566"/>
    </bk>
    <bk>
      <rc t="2" v="11567"/>
    </bk>
    <bk>
      <rc t="2" v="11568"/>
    </bk>
    <bk>
      <rc t="2" v="11569"/>
    </bk>
    <bk>
      <rc t="2" v="11570"/>
    </bk>
    <bk>
      <rc t="2" v="11571"/>
    </bk>
    <bk>
      <rc t="2" v="11572"/>
    </bk>
    <bk>
      <rc t="2" v="11573"/>
    </bk>
    <bk>
      <rc t="2" v="11574"/>
    </bk>
    <bk>
      <rc t="2" v="11575"/>
    </bk>
    <bk>
      <rc t="2" v="11576"/>
    </bk>
    <bk>
      <rc t="2" v="11577"/>
    </bk>
    <bk>
      <rc t="2" v="11578"/>
    </bk>
    <bk>
      <rc t="2" v="11579"/>
    </bk>
    <bk>
      <rc t="2" v="11580"/>
    </bk>
    <bk>
      <rc t="2" v="11581"/>
    </bk>
    <bk>
      <rc t="2" v="11582"/>
    </bk>
    <bk>
      <rc t="2" v="11583"/>
    </bk>
    <bk>
      <rc t="2" v="11584"/>
    </bk>
    <bk>
      <rc t="2" v="11585"/>
    </bk>
    <bk>
      <rc t="2" v="11586"/>
    </bk>
    <bk>
      <rc t="2" v="11587"/>
    </bk>
    <bk>
      <rc t="2" v="11588"/>
    </bk>
    <bk>
      <rc t="2" v="11589"/>
    </bk>
    <bk>
      <rc t="2" v="11590"/>
    </bk>
    <bk>
      <rc t="2" v="11591"/>
    </bk>
    <bk>
      <rc t="2" v="11592"/>
    </bk>
    <bk>
      <rc t="2" v="11593"/>
    </bk>
    <bk>
      <rc t="2" v="11594"/>
    </bk>
    <bk>
      <rc t="2" v="11595"/>
    </bk>
    <bk>
      <rc t="2" v="11596"/>
    </bk>
    <bk>
      <rc t="2" v="11597"/>
    </bk>
    <bk>
      <rc t="2" v="11598"/>
    </bk>
    <bk>
      <rc t="2" v="11599"/>
    </bk>
    <bk>
      <rc t="2" v="11600"/>
    </bk>
    <bk>
      <rc t="2" v="11601"/>
    </bk>
    <bk>
      <rc t="2" v="11602"/>
    </bk>
    <bk>
      <rc t="2" v="11603"/>
    </bk>
    <bk>
      <rc t="2" v="11604"/>
    </bk>
    <bk>
      <rc t="2" v="11605"/>
    </bk>
    <bk>
      <rc t="2" v="11606"/>
    </bk>
    <bk>
      <rc t="2" v="11607"/>
    </bk>
    <bk>
      <rc t="2" v="11608"/>
    </bk>
    <bk>
      <rc t="2" v="11609"/>
    </bk>
    <bk>
      <rc t="2" v="11610"/>
    </bk>
    <bk>
      <rc t="2" v="11611"/>
    </bk>
    <bk>
      <rc t="2" v="11612"/>
    </bk>
    <bk>
      <rc t="2" v="11613"/>
    </bk>
    <bk>
      <rc t="2" v="11614"/>
    </bk>
    <bk>
      <rc t="2" v="11615"/>
    </bk>
    <bk>
      <rc t="2" v="11616"/>
    </bk>
    <bk>
      <rc t="2" v="11617"/>
    </bk>
    <bk>
      <rc t="2" v="11618"/>
    </bk>
    <bk>
      <rc t="2" v="11619"/>
    </bk>
    <bk>
      <rc t="2" v="11620"/>
    </bk>
    <bk>
      <rc t="2" v="11621"/>
    </bk>
    <bk>
      <rc t="2" v="11622"/>
    </bk>
    <bk>
      <rc t="2" v="11623"/>
    </bk>
    <bk>
      <rc t="2" v="11624"/>
    </bk>
    <bk>
      <rc t="2" v="11625"/>
    </bk>
    <bk>
      <rc t="2" v="11626"/>
    </bk>
    <bk>
      <rc t="2" v="11627"/>
    </bk>
    <bk>
      <rc t="2" v="11628"/>
    </bk>
    <bk>
      <rc t="2" v="11629"/>
    </bk>
    <bk>
      <rc t="2" v="11630"/>
    </bk>
    <bk>
      <rc t="2" v="11631"/>
    </bk>
    <bk>
      <rc t="2" v="11632"/>
    </bk>
    <bk>
      <rc t="2" v="11633"/>
    </bk>
    <bk>
      <rc t="2" v="11634"/>
    </bk>
    <bk>
      <rc t="2" v="11635"/>
    </bk>
    <bk>
      <rc t="2" v="11636"/>
    </bk>
    <bk>
      <rc t="2" v="11637"/>
    </bk>
    <bk>
      <rc t="2" v="11638"/>
    </bk>
    <bk>
      <rc t="2" v="11639"/>
    </bk>
    <bk>
      <rc t="2" v="11640"/>
    </bk>
    <bk>
      <rc t="2" v="11641"/>
    </bk>
    <bk>
      <rc t="2" v="11642"/>
    </bk>
    <bk>
      <rc t="2" v="11643"/>
    </bk>
    <bk>
      <rc t="2" v="11644"/>
    </bk>
    <bk>
      <rc t="2" v="11645"/>
    </bk>
    <bk>
      <rc t="2" v="11646"/>
    </bk>
    <bk>
      <rc t="2" v="11647"/>
    </bk>
    <bk>
      <rc t="2" v="11648"/>
    </bk>
    <bk>
      <rc t="2" v="11649"/>
    </bk>
    <bk>
      <rc t="2" v="11650"/>
    </bk>
    <bk>
      <rc t="2" v="11651"/>
    </bk>
    <bk>
      <rc t="2" v="11652"/>
    </bk>
    <bk>
      <rc t="2" v="11653"/>
    </bk>
    <bk>
      <rc t="2" v="11654"/>
    </bk>
    <bk>
      <rc t="2" v="11655"/>
    </bk>
    <bk>
      <rc t="2" v="11656"/>
    </bk>
    <bk>
      <rc t="2" v="11657"/>
    </bk>
    <bk>
      <rc t="2" v="11658"/>
    </bk>
    <bk>
      <rc t="2" v="11659"/>
    </bk>
    <bk>
      <rc t="2" v="11660"/>
    </bk>
    <bk>
      <rc t="2" v="11661"/>
    </bk>
    <bk>
      <rc t="2" v="11662"/>
    </bk>
    <bk>
      <rc t="2" v="11663"/>
    </bk>
    <bk>
      <rc t="2" v="11664"/>
    </bk>
    <bk>
      <rc t="2" v="11665"/>
    </bk>
    <bk>
      <rc t="2" v="11666"/>
    </bk>
    <bk>
      <rc t="2" v="11667"/>
    </bk>
    <bk>
      <rc t="2" v="11668"/>
    </bk>
    <bk>
      <rc t="2" v="11669"/>
    </bk>
    <bk>
      <rc t="2" v="11670"/>
    </bk>
    <bk>
      <rc t="2" v="11671"/>
    </bk>
    <bk>
      <rc t="2" v="11672"/>
    </bk>
    <bk>
      <rc t="2" v="11673"/>
    </bk>
    <bk>
      <rc t="2" v="11674"/>
    </bk>
    <bk>
      <rc t="2" v="11675"/>
    </bk>
    <bk>
      <rc t="2" v="11676"/>
    </bk>
    <bk>
      <rc t="2" v="11677"/>
    </bk>
    <bk>
      <rc t="2" v="11678"/>
    </bk>
    <bk>
      <rc t="2" v="11679"/>
    </bk>
    <bk>
      <rc t="2" v="11680"/>
    </bk>
    <bk>
      <rc t="2" v="11681"/>
    </bk>
    <bk>
      <rc t="2" v="11682"/>
    </bk>
    <bk>
      <rc t="2" v="11683"/>
    </bk>
    <bk>
      <rc t="2" v="11684"/>
    </bk>
    <bk>
      <rc t="2" v="11685"/>
    </bk>
    <bk>
      <rc t="2" v="11686"/>
    </bk>
    <bk>
      <rc t="2" v="11687"/>
    </bk>
    <bk>
      <rc t="2" v="11688"/>
    </bk>
    <bk>
      <rc t="2" v="11689"/>
    </bk>
    <bk>
      <rc t="2" v="11690"/>
    </bk>
    <bk>
      <rc t="2" v="11691"/>
    </bk>
    <bk>
      <rc t="2" v="11692"/>
    </bk>
    <bk>
      <rc t="2" v="11693"/>
    </bk>
    <bk>
      <rc t="2" v="11694"/>
    </bk>
    <bk>
      <rc t="2" v="11695"/>
    </bk>
    <bk>
      <rc t="2" v="11696"/>
    </bk>
    <bk>
      <rc t="2" v="11697"/>
    </bk>
    <bk>
      <rc t="2" v="11698"/>
    </bk>
    <bk>
      <rc t="2" v="11699"/>
    </bk>
    <bk>
      <rc t="2" v="11700"/>
    </bk>
    <bk>
      <rc t="2" v="11701"/>
    </bk>
    <bk>
      <rc t="2" v="11702"/>
    </bk>
    <bk>
      <rc t="2" v="11703"/>
    </bk>
    <bk>
      <rc t="2" v="11704"/>
    </bk>
    <bk>
      <rc t="2" v="11705"/>
    </bk>
    <bk>
      <rc t="2" v="11706"/>
    </bk>
    <bk>
      <rc t="2" v="11707"/>
    </bk>
    <bk>
      <rc t="2" v="11708"/>
    </bk>
    <bk>
      <rc t="2" v="11709"/>
    </bk>
    <bk>
      <rc t="2" v="11710"/>
    </bk>
    <bk>
      <rc t="2" v="11711"/>
    </bk>
    <bk>
      <rc t="2" v="11712"/>
    </bk>
    <bk>
      <rc t="2" v="11713"/>
    </bk>
    <bk>
      <rc t="2" v="11714"/>
    </bk>
    <bk>
      <rc t="2" v="11715"/>
    </bk>
    <bk>
      <rc t="2" v="11716"/>
    </bk>
    <bk>
      <rc t="2" v="11717"/>
    </bk>
    <bk>
      <rc t="2" v="11718"/>
    </bk>
    <bk>
      <rc t="2" v="11719"/>
    </bk>
    <bk>
      <rc t="2" v="11720"/>
    </bk>
    <bk>
      <rc t="2" v="11721"/>
    </bk>
    <bk>
      <rc t="2" v="11722"/>
    </bk>
    <bk>
      <rc t="2" v="11723"/>
    </bk>
    <bk>
      <rc t="2" v="11724"/>
    </bk>
    <bk>
      <rc t="2" v="11725"/>
    </bk>
    <bk>
      <rc t="2" v="11726"/>
    </bk>
    <bk>
      <rc t="2" v="11727"/>
    </bk>
    <bk>
      <rc t="2" v="11728"/>
    </bk>
    <bk>
      <rc t="2" v="11729"/>
    </bk>
    <bk>
      <rc t="2" v="11730"/>
    </bk>
    <bk>
      <rc t="2" v="11731"/>
    </bk>
    <bk>
      <rc t="2" v="11732"/>
    </bk>
    <bk>
      <rc t="2" v="11733"/>
    </bk>
    <bk>
      <rc t="2" v="11734"/>
    </bk>
    <bk>
      <rc t="2" v="11735"/>
    </bk>
    <bk>
      <rc t="2" v="11736"/>
    </bk>
    <bk>
      <rc t="2" v="11737"/>
    </bk>
    <bk>
      <rc t="2" v="11738"/>
    </bk>
    <bk>
      <rc t="2" v="11739"/>
    </bk>
    <bk>
      <rc t="2" v="11740"/>
    </bk>
    <bk>
      <rc t="2" v="11741"/>
    </bk>
    <bk>
      <rc t="2" v="11742"/>
    </bk>
    <bk>
      <rc t="2" v="11743"/>
    </bk>
    <bk>
      <rc t="2" v="11744"/>
    </bk>
    <bk>
      <rc t="2" v="11745"/>
    </bk>
    <bk>
      <rc t="2" v="11746"/>
    </bk>
    <bk>
      <rc t="2" v="11747"/>
    </bk>
    <bk>
      <rc t="2" v="11748"/>
    </bk>
    <bk>
      <rc t="2" v="11749"/>
    </bk>
    <bk>
      <rc t="2" v="11750"/>
    </bk>
    <bk>
      <rc t="2" v="11751"/>
    </bk>
    <bk>
      <rc t="2" v="11752"/>
    </bk>
    <bk>
      <rc t="2" v="11753"/>
    </bk>
    <bk>
      <rc t="2" v="11754"/>
    </bk>
    <bk>
      <rc t="2" v="11755"/>
    </bk>
    <bk>
      <rc t="2" v="11756"/>
    </bk>
    <bk>
      <rc t="2" v="11757"/>
    </bk>
    <bk>
      <rc t="2" v="11758"/>
    </bk>
    <bk>
      <rc t="2" v="11759"/>
    </bk>
    <bk>
      <rc t="2" v="11760"/>
    </bk>
    <bk>
      <rc t="2" v="11761"/>
    </bk>
    <bk>
      <rc t="2" v="11762"/>
    </bk>
    <bk>
      <rc t="2" v="11763"/>
    </bk>
    <bk>
      <rc t="2" v="11764"/>
    </bk>
    <bk>
      <rc t="2" v="11765"/>
    </bk>
    <bk>
      <rc t="2" v="11766"/>
    </bk>
    <bk>
      <rc t="2" v="11767"/>
    </bk>
    <bk>
      <rc t="2" v="11768"/>
    </bk>
    <bk>
      <rc t="2" v="11769"/>
    </bk>
    <bk>
      <rc t="2" v="11770"/>
    </bk>
    <bk>
      <rc t="2" v="11771"/>
    </bk>
    <bk>
      <rc t="2" v="11772"/>
    </bk>
    <bk>
      <rc t="2" v="11773"/>
    </bk>
    <bk>
      <rc t="2" v="11774"/>
    </bk>
    <bk>
      <rc t="2" v="11775"/>
    </bk>
    <bk>
      <rc t="2" v="11776"/>
    </bk>
    <bk>
      <rc t="2" v="11777"/>
    </bk>
    <bk>
      <rc t="2" v="11778"/>
    </bk>
    <bk>
      <rc t="2" v="11779"/>
    </bk>
    <bk>
      <rc t="2" v="11780"/>
    </bk>
    <bk>
      <rc t="2" v="11781"/>
    </bk>
    <bk>
      <rc t="2" v="11782"/>
    </bk>
    <bk>
      <rc t="2" v="11783"/>
    </bk>
    <bk>
      <rc t="2" v="11784"/>
    </bk>
    <bk>
      <rc t="2" v="11785"/>
    </bk>
    <bk>
      <rc t="2" v="11786"/>
    </bk>
    <bk>
      <rc t="2" v="11787"/>
    </bk>
    <bk>
      <rc t="2" v="11788"/>
    </bk>
    <bk>
      <rc t="2" v="11789"/>
    </bk>
    <bk>
      <rc t="2" v="11790"/>
    </bk>
    <bk>
      <rc t="2" v="11791"/>
    </bk>
    <bk>
      <rc t="2" v="11792"/>
    </bk>
    <bk>
      <rc t="2" v="11793"/>
    </bk>
    <bk>
      <rc t="2" v="11794"/>
    </bk>
    <bk>
      <rc t="2" v="11795"/>
    </bk>
    <bk>
      <rc t="2" v="11796"/>
    </bk>
    <bk>
      <rc t="2" v="11797"/>
    </bk>
    <bk>
      <rc t="2" v="11798"/>
    </bk>
    <bk>
      <rc t="2" v="11799"/>
    </bk>
    <bk>
      <rc t="2" v="11800"/>
    </bk>
    <bk>
      <rc t="2" v="11801"/>
    </bk>
    <bk>
      <rc t="2" v="11802"/>
    </bk>
    <bk>
      <rc t="2" v="11803"/>
    </bk>
    <bk>
      <rc t="2" v="11804"/>
    </bk>
    <bk>
      <rc t="2" v="11805"/>
    </bk>
    <bk>
      <rc t="2" v="11806"/>
    </bk>
    <bk>
      <rc t="2" v="11807"/>
    </bk>
    <bk>
      <rc t="2" v="11808"/>
    </bk>
    <bk>
      <rc t="2" v="11809"/>
    </bk>
    <bk>
      <rc t="2" v="11810"/>
    </bk>
    <bk>
      <rc t="2" v="11811"/>
    </bk>
    <bk>
      <rc t="2" v="11812"/>
    </bk>
    <bk>
      <rc t="2" v="11813"/>
    </bk>
    <bk>
      <rc t="2" v="11814"/>
    </bk>
    <bk>
      <rc t="2" v="11815"/>
    </bk>
    <bk>
      <rc t="2" v="11816"/>
    </bk>
    <bk>
      <rc t="2" v="11817"/>
    </bk>
    <bk>
      <rc t="2" v="11818"/>
    </bk>
    <bk>
      <rc t="2" v="11819"/>
    </bk>
    <bk>
      <rc t="2" v="11820"/>
    </bk>
    <bk>
      <rc t="2" v="11821"/>
    </bk>
    <bk>
      <rc t="2" v="11822"/>
    </bk>
    <bk>
      <rc t="2" v="11823"/>
    </bk>
    <bk>
      <rc t="2" v="11824"/>
    </bk>
    <bk>
      <rc t="2" v="11825"/>
    </bk>
    <bk>
      <rc t="2" v="11826"/>
    </bk>
    <bk>
      <rc t="2" v="11827"/>
    </bk>
    <bk>
      <rc t="2" v="11828"/>
    </bk>
    <bk>
      <rc t="2" v="11829"/>
    </bk>
    <bk>
      <rc t="2" v="11830"/>
    </bk>
    <bk>
      <rc t="2" v="11831"/>
    </bk>
    <bk>
      <rc t="2" v="11832"/>
    </bk>
    <bk>
      <rc t="2" v="11833"/>
    </bk>
    <bk>
      <rc t="2" v="11834"/>
    </bk>
    <bk>
      <rc t="2" v="11835"/>
    </bk>
    <bk>
      <rc t="2" v="11836"/>
    </bk>
    <bk>
      <rc t="2" v="11837"/>
    </bk>
    <bk>
      <rc t="2" v="11838"/>
    </bk>
    <bk>
      <rc t="2" v="11839"/>
    </bk>
    <bk>
      <rc t="2" v="11840"/>
    </bk>
    <bk>
      <rc t="2" v="11841"/>
    </bk>
    <bk>
      <rc t="2" v="11842"/>
    </bk>
    <bk>
      <rc t="2" v="11843"/>
    </bk>
    <bk>
      <rc t="2" v="11844"/>
    </bk>
    <bk>
      <rc t="2" v="11845"/>
    </bk>
    <bk>
      <rc t="2" v="11846"/>
    </bk>
    <bk>
      <rc t="2" v="11847"/>
    </bk>
    <bk>
      <rc t="2" v="11848"/>
    </bk>
    <bk>
      <rc t="2" v="11849"/>
    </bk>
    <bk>
      <rc t="2" v="11850"/>
    </bk>
    <bk>
      <rc t="2" v="11851"/>
    </bk>
    <bk>
      <rc t="2" v="11852"/>
    </bk>
    <bk>
      <rc t="2" v="11853"/>
    </bk>
    <bk>
      <rc t="2" v="11854"/>
    </bk>
    <bk>
      <rc t="2" v="11855"/>
    </bk>
    <bk>
      <rc t="2" v="11856"/>
    </bk>
    <bk>
      <rc t="2" v="11857"/>
    </bk>
    <bk>
      <rc t="2" v="11858"/>
    </bk>
    <bk>
      <rc t="2" v="11859"/>
    </bk>
    <bk>
      <rc t="2" v="11860"/>
    </bk>
    <bk>
      <rc t="2" v="11861"/>
    </bk>
    <bk>
      <rc t="2" v="11862"/>
    </bk>
    <bk>
      <rc t="2" v="11863"/>
    </bk>
    <bk>
      <rc t="2" v="11864"/>
    </bk>
    <bk>
      <rc t="2" v="11865"/>
    </bk>
    <bk>
      <rc t="2" v="11866"/>
    </bk>
    <bk>
      <rc t="2" v="11867"/>
    </bk>
    <bk>
      <rc t="2" v="11868"/>
    </bk>
    <bk>
      <rc t="2" v="11869"/>
    </bk>
    <bk>
      <rc t="2" v="11870"/>
    </bk>
    <bk>
      <rc t="2" v="11871"/>
    </bk>
    <bk>
      <rc t="2" v="11872"/>
    </bk>
    <bk>
      <rc t="2" v="11873"/>
    </bk>
    <bk>
      <rc t="2" v="11874"/>
    </bk>
    <bk>
      <rc t="2" v="11875"/>
    </bk>
    <bk>
      <rc t="2" v="11876"/>
    </bk>
    <bk>
      <rc t="2" v="11877"/>
    </bk>
    <bk>
      <rc t="2" v="11878"/>
    </bk>
    <bk>
      <rc t="2" v="11879"/>
    </bk>
    <bk>
      <rc t="2" v="11880"/>
    </bk>
    <bk>
      <rc t="2" v="11881"/>
    </bk>
    <bk>
      <rc t="2" v="11882"/>
    </bk>
    <bk>
      <rc t="2" v="11883"/>
    </bk>
    <bk>
      <rc t="2" v="11884"/>
    </bk>
    <bk>
      <rc t="2" v="11885"/>
    </bk>
    <bk>
      <rc t="2" v="11886"/>
    </bk>
    <bk>
      <rc t="2" v="11887"/>
    </bk>
    <bk>
      <rc t="2" v="11888"/>
    </bk>
    <bk>
      <rc t="2" v="11889"/>
    </bk>
    <bk>
      <rc t="2" v="11890"/>
    </bk>
    <bk>
      <rc t="2" v="11891"/>
    </bk>
    <bk>
      <rc t="2" v="11892"/>
    </bk>
    <bk>
      <rc t="2" v="11893"/>
    </bk>
    <bk>
      <rc t="2" v="11894"/>
    </bk>
    <bk>
      <rc t="2" v="11895"/>
    </bk>
    <bk>
      <rc t="2" v="11896"/>
    </bk>
    <bk>
      <rc t="2" v="11897"/>
    </bk>
    <bk>
      <rc t="2" v="11898"/>
    </bk>
    <bk>
      <rc t="2" v="11899"/>
    </bk>
    <bk>
      <rc t="2" v="11900"/>
    </bk>
    <bk>
      <rc t="2" v="11901"/>
    </bk>
    <bk>
      <rc t="2" v="11902"/>
    </bk>
    <bk>
      <rc t="2" v="11903"/>
    </bk>
    <bk>
      <rc t="2" v="11904"/>
    </bk>
    <bk>
      <rc t="2" v="11905"/>
    </bk>
    <bk>
      <rc t="2" v="11906"/>
    </bk>
    <bk>
      <rc t="2" v="11907"/>
    </bk>
    <bk>
      <rc t="2" v="11908"/>
    </bk>
    <bk>
      <rc t="2" v="11909"/>
    </bk>
    <bk>
      <rc t="2" v="11910"/>
    </bk>
    <bk>
      <rc t="2" v="11911"/>
    </bk>
    <bk>
      <rc t="2" v="11912"/>
    </bk>
    <bk>
      <rc t="2" v="11913"/>
    </bk>
    <bk>
      <rc t="2" v="11914"/>
    </bk>
    <bk>
      <rc t="2" v="11915"/>
    </bk>
    <bk>
      <rc t="2" v="11916"/>
    </bk>
    <bk>
      <rc t="2" v="11917"/>
    </bk>
    <bk>
      <rc t="2" v="11918"/>
    </bk>
    <bk>
      <rc t="2" v="11919"/>
    </bk>
    <bk>
      <rc t="2" v="11920"/>
    </bk>
    <bk>
      <rc t="2" v="11921"/>
    </bk>
    <bk>
      <rc t="2" v="11922"/>
    </bk>
    <bk>
      <rc t="2" v="11923"/>
    </bk>
    <bk>
      <rc t="2" v="11924"/>
    </bk>
    <bk>
      <rc t="2" v="11925"/>
    </bk>
    <bk>
      <rc t="2" v="11926"/>
    </bk>
    <bk>
      <rc t="2" v="11927"/>
    </bk>
    <bk>
      <rc t="2" v="11928"/>
    </bk>
    <bk>
      <rc t="2" v="11929"/>
    </bk>
    <bk>
      <rc t="2" v="11930"/>
    </bk>
    <bk>
      <rc t="2" v="11931"/>
    </bk>
    <bk>
      <rc t="2" v="11932"/>
    </bk>
    <bk>
      <rc t="2" v="11933"/>
    </bk>
    <bk>
      <rc t="2" v="11934"/>
    </bk>
    <bk>
      <rc t="2" v="11935"/>
    </bk>
    <bk>
      <rc t="2" v="11936"/>
    </bk>
    <bk>
      <rc t="2" v="11937"/>
    </bk>
    <bk>
      <rc t="2" v="11938"/>
    </bk>
    <bk>
      <rc t="2" v="11939"/>
    </bk>
    <bk>
      <rc t="2" v="11940"/>
    </bk>
    <bk>
      <rc t="2" v="11941"/>
    </bk>
    <bk>
      <rc t="2" v="11942"/>
    </bk>
    <bk>
      <rc t="2" v="11943"/>
    </bk>
    <bk>
      <rc t="2" v="11944"/>
    </bk>
    <bk>
      <rc t="2" v="11945"/>
    </bk>
    <bk>
      <rc t="2" v="11946"/>
    </bk>
    <bk>
      <rc t="2" v="11947"/>
    </bk>
    <bk>
      <rc t="2" v="11948"/>
    </bk>
    <bk>
      <rc t="2" v="11949"/>
    </bk>
    <bk>
      <rc t="2" v="11950"/>
    </bk>
    <bk>
      <rc t="2" v="11951"/>
    </bk>
    <bk>
      <rc t="2" v="11952"/>
    </bk>
    <bk>
      <rc t="2" v="11953"/>
    </bk>
    <bk>
      <rc t="2" v="11954"/>
    </bk>
    <bk>
      <rc t="2" v="11955"/>
    </bk>
    <bk>
      <rc t="2" v="11956"/>
    </bk>
    <bk>
      <rc t="2" v="11957"/>
    </bk>
    <bk>
      <rc t="2" v="11958"/>
    </bk>
    <bk>
      <rc t="2" v="11959"/>
    </bk>
    <bk>
      <rc t="2" v="11960"/>
    </bk>
    <bk>
      <rc t="2" v="11961"/>
    </bk>
    <bk>
      <rc t="2" v="11962"/>
    </bk>
    <bk>
      <rc t="2" v="11963"/>
    </bk>
    <bk>
      <rc t="2" v="11964"/>
    </bk>
    <bk>
      <rc t="2" v="11965"/>
    </bk>
    <bk>
      <rc t="2" v="11966"/>
    </bk>
    <bk>
      <rc t="2" v="11967"/>
    </bk>
    <bk>
      <rc t="2" v="11968"/>
    </bk>
    <bk>
      <rc t="2" v="11969"/>
    </bk>
    <bk>
      <rc t="2" v="11970"/>
    </bk>
    <bk>
      <rc t="2" v="11971"/>
    </bk>
    <bk>
      <rc t="2" v="11972"/>
    </bk>
    <bk>
      <rc t="2" v="11973"/>
    </bk>
    <bk>
      <rc t="2" v="11974"/>
    </bk>
    <bk>
      <rc t="2" v="11975"/>
    </bk>
    <bk>
      <rc t="2" v="11976"/>
    </bk>
    <bk>
      <rc t="2" v="11977"/>
    </bk>
    <bk>
      <rc t="2" v="11978"/>
    </bk>
    <bk>
      <rc t="2" v="11979"/>
    </bk>
    <bk>
      <rc t="2" v="11980"/>
    </bk>
    <bk>
      <rc t="2" v="11981"/>
    </bk>
    <bk>
      <rc t="2" v="11982"/>
    </bk>
    <bk>
      <rc t="2" v="11983"/>
    </bk>
    <bk>
      <rc t="2" v="11984"/>
    </bk>
    <bk>
      <rc t="2" v="11985"/>
    </bk>
    <bk>
      <rc t="2" v="11986"/>
    </bk>
    <bk>
      <rc t="2" v="11987"/>
    </bk>
    <bk>
      <rc t="2" v="11988"/>
    </bk>
    <bk>
      <rc t="2" v="11989"/>
    </bk>
    <bk>
      <rc t="2" v="11990"/>
    </bk>
    <bk>
      <rc t="2" v="11991"/>
    </bk>
    <bk>
      <rc t="2" v="11992"/>
    </bk>
    <bk>
      <rc t="2" v="11993"/>
    </bk>
    <bk>
      <rc t="2" v="11994"/>
    </bk>
    <bk>
      <rc t="2" v="11995"/>
    </bk>
    <bk>
      <rc t="2" v="11996"/>
    </bk>
    <bk>
      <rc t="2" v="11997"/>
    </bk>
    <bk>
      <rc t="2" v="11998"/>
    </bk>
    <bk>
      <rc t="2" v="11999"/>
    </bk>
    <bk>
      <rc t="2" v="12000"/>
    </bk>
    <bk>
      <rc t="2" v="12001"/>
    </bk>
    <bk>
      <rc t="2" v="12002"/>
    </bk>
    <bk>
      <rc t="2" v="12003"/>
    </bk>
    <bk>
      <rc t="2" v="12004"/>
    </bk>
    <bk>
      <rc t="2" v="12005"/>
    </bk>
    <bk>
      <rc t="2" v="12006"/>
    </bk>
    <bk>
      <rc t="2" v="12007"/>
    </bk>
    <bk>
      <rc t="2" v="12008"/>
    </bk>
    <bk>
      <rc t="2" v="12009"/>
    </bk>
    <bk>
      <rc t="2" v="12010"/>
    </bk>
    <bk>
      <rc t="2" v="12011"/>
    </bk>
    <bk>
      <rc t="2" v="12012"/>
    </bk>
    <bk>
      <rc t="2" v="12013"/>
    </bk>
    <bk>
      <rc t="2" v="12014"/>
    </bk>
    <bk>
      <rc t="2" v="12015"/>
    </bk>
    <bk>
      <rc t="2" v="12016"/>
    </bk>
    <bk>
      <rc t="2" v="12017"/>
    </bk>
    <bk>
      <rc t="2" v="12018"/>
    </bk>
    <bk>
      <rc t="2" v="12019"/>
    </bk>
    <bk>
      <rc t="2" v="12020"/>
    </bk>
    <bk>
      <rc t="2" v="12021"/>
    </bk>
    <bk>
      <rc t="2" v="12022"/>
    </bk>
    <bk>
      <rc t="2" v="12023"/>
    </bk>
    <bk>
      <rc t="2" v="12024"/>
    </bk>
    <bk>
      <rc t="2" v="12025"/>
    </bk>
    <bk>
      <rc t="2" v="12026"/>
    </bk>
    <bk>
      <rc t="2" v="12027"/>
    </bk>
    <bk>
      <rc t="2" v="12028"/>
    </bk>
    <bk>
      <rc t="2" v="12029"/>
    </bk>
    <bk>
      <rc t="2" v="12030"/>
    </bk>
    <bk>
      <rc t="2" v="12031"/>
    </bk>
    <bk>
      <rc t="2" v="12032"/>
    </bk>
    <bk>
      <rc t="2" v="12033"/>
    </bk>
    <bk>
      <rc t="2" v="12034"/>
    </bk>
    <bk>
      <rc t="2" v="12035"/>
    </bk>
    <bk>
      <rc t="2" v="12036"/>
    </bk>
    <bk>
      <rc t="2" v="12037"/>
    </bk>
    <bk>
      <rc t="2" v="12038"/>
    </bk>
    <bk>
      <rc t="2" v="12039"/>
    </bk>
    <bk>
      <rc t="2" v="12040"/>
    </bk>
    <bk>
      <rc t="2" v="12041"/>
    </bk>
    <bk>
      <rc t="2" v="12042"/>
    </bk>
    <bk>
      <rc t="2" v="12043"/>
    </bk>
    <bk>
      <rc t="2" v="12044"/>
    </bk>
    <bk>
      <rc t="2" v="12045"/>
    </bk>
    <bk>
      <rc t="2" v="12046"/>
    </bk>
    <bk>
      <rc t="2" v="12047"/>
    </bk>
    <bk>
      <rc t="2" v="12048"/>
    </bk>
    <bk>
      <rc t="2" v="12049"/>
    </bk>
    <bk>
      <rc t="2" v="12050"/>
    </bk>
    <bk>
      <rc t="2" v="12051"/>
    </bk>
    <bk>
      <rc t="2" v="12052"/>
    </bk>
    <bk>
      <rc t="2" v="12053"/>
    </bk>
    <bk>
      <rc t="2" v="12054"/>
    </bk>
    <bk>
      <rc t="2" v="12055"/>
    </bk>
    <bk>
      <rc t="2" v="12056"/>
    </bk>
    <bk>
      <rc t="2" v="12057"/>
    </bk>
    <bk>
      <rc t="2" v="12058"/>
    </bk>
    <bk>
      <rc t="2" v="12059"/>
    </bk>
    <bk>
      <rc t="2" v="12060"/>
    </bk>
    <bk>
      <rc t="2" v="12061"/>
    </bk>
    <bk>
      <rc t="2" v="12062"/>
    </bk>
    <bk>
      <rc t="2" v="12063"/>
    </bk>
    <bk>
      <rc t="2" v="12064"/>
    </bk>
    <bk>
      <rc t="2" v="12065"/>
    </bk>
    <bk>
      <rc t="2" v="12066"/>
    </bk>
    <bk>
      <rc t="2" v="12067"/>
    </bk>
    <bk>
      <rc t="2" v="12068"/>
    </bk>
    <bk>
      <rc t="2" v="12069"/>
    </bk>
    <bk>
      <rc t="2" v="12070"/>
    </bk>
    <bk>
      <rc t="2" v="12071"/>
    </bk>
    <bk>
      <rc t="2" v="12072"/>
    </bk>
    <bk>
      <rc t="2" v="12073"/>
    </bk>
    <bk>
      <rc t="2" v="12074"/>
    </bk>
    <bk>
      <rc t="2" v="12075"/>
    </bk>
    <bk>
      <rc t="2" v="12076"/>
    </bk>
    <bk>
      <rc t="2" v="12077"/>
    </bk>
    <bk>
      <rc t="2" v="12078"/>
    </bk>
    <bk>
      <rc t="2" v="12079"/>
    </bk>
    <bk>
      <rc t="2" v="12080"/>
    </bk>
    <bk>
      <rc t="2" v="12081"/>
    </bk>
    <bk>
      <rc t="2" v="12082"/>
    </bk>
    <bk>
      <rc t="2" v="12083"/>
    </bk>
    <bk>
      <rc t="2" v="12084"/>
    </bk>
    <bk>
      <rc t="2" v="12085"/>
    </bk>
    <bk>
      <rc t="2" v="12086"/>
    </bk>
    <bk>
      <rc t="2" v="12087"/>
    </bk>
    <bk>
      <rc t="2" v="12088"/>
    </bk>
    <bk>
      <rc t="2" v="12089"/>
    </bk>
    <bk>
      <rc t="2" v="12090"/>
    </bk>
    <bk>
      <rc t="2" v="12091"/>
    </bk>
    <bk>
      <rc t="2" v="12092"/>
    </bk>
    <bk>
      <rc t="2" v="12093"/>
    </bk>
    <bk>
      <rc t="2" v="12094"/>
    </bk>
    <bk>
      <rc t="2" v="12095"/>
    </bk>
    <bk>
      <rc t="2" v="12096"/>
    </bk>
    <bk>
      <rc t="2" v="12097"/>
    </bk>
    <bk>
      <rc t="2" v="12098"/>
    </bk>
    <bk>
      <rc t="2" v="12099"/>
    </bk>
    <bk>
      <rc t="2" v="12100"/>
    </bk>
    <bk>
      <rc t="2" v="12101"/>
    </bk>
    <bk>
      <rc t="2" v="12102"/>
    </bk>
    <bk>
      <rc t="2" v="12103"/>
    </bk>
    <bk>
      <rc t="2" v="12104"/>
    </bk>
    <bk>
      <rc t="2" v="12105"/>
    </bk>
    <bk>
      <rc t="2" v="12106"/>
    </bk>
    <bk>
      <rc t="2" v="12107"/>
    </bk>
    <bk>
      <rc t="2" v="12108"/>
    </bk>
    <bk>
      <rc t="2" v="12109"/>
    </bk>
    <bk>
      <rc t="2" v="12110"/>
    </bk>
    <bk>
      <rc t="2" v="12111"/>
    </bk>
    <bk>
      <rc t="2" v="12112"/>
    </bk>
    <bk>
      <rc t="2" v="12113"/>
    </bk>
    <bk>
      <rc t="2" v="12114"/>
    </bk>
    <bk>
      <rc t="2" v="12115"/>
    </bk>
    <bk>
      <rc t="2" v="12116"/>
    </bk>
    <bk>
      <rc t="2" v="12117"/>
    </bk>
    <bk>
      <rc t="2" v="12118"/>
    </bk>
    <bk>
      <rc t="2" v="12119"/>
    </bk>
    <bk>
      <rc t="2" v="12120"/>
    </bk>
    <bk>
      <rc t="2" v="12121"/>
    </bk>
    <bk>
      <rc t="2" v="12122"/>
    </bk>
    <bk>
      <rc t="2" v="12123"/>
    </bk>
    <bk>
      <rc t="2" v="12124"/>
    </bk>
    <bk>
      <rc t="2" v="12125"/>
    </bk>
    <bk>
      <rc t="2" v="12126"/>
    </bk>
    <bk>
      <rc t="2" v="12127"/>
    </bk>
    <bk>
      <rc t="2" v="12128"/>
    </bk>
    <bk>
      <rc t="2" v="12129"/>
    </bk>
    <bk>
      <rc t="2" v="12130"/>
    </bk>
    <bk>
      <rc t="2" v="12131"/>
    </bk>
    <bk>
      <rc t="2" v="12132"/>
    </bk>
    <bk>
      <rc t="2" v="12133"/>
    </bk>
    <bk>
      <rc t="2" v="12134"/>
    </bk>
    <bk>
      <rc t="2" v="12135"/>
    </bk>
    <bk>
      <rc t="2" v="12136"/>
    </bk>
    <bk>
      <rc t="2" v="12137"/>
    </bk>
    <bk>
      <rc t="2" v="12138"/>
    </bk>
    <bk>
      <rc t="2" v="12139"/>
    </bk>
    <bk>
      <rc t="2" v="12140"/>
    </bk>
    <bk>
      <rc t="2" v="12141"/>
    </bk>
    <bk>
      <rc t="2" v="12142"/>
    </bk>
    <bk>
      <rc t="2" v="12143"/>
    </bk>
    <bk>
      <rc t="2" v="12144"/>
    </bk>
    <bk>
      <rc t="2" v="12145"/>
    </bk>
    <bk>
      <rc t="2" v="12146"/>
    </bk>
    <bk>
      <rc t="2" v="12147"/>
    </bk>
    <bk>
      <rc t="2" v="12148"/>
    </bk>
    <bk>
      <rc t="2" v="12149"/>
    </bk>
    <bk>
      <rc t="2" v="12150"/>
    </bk>
    <bk>
      <rc t="2" v="12151"/>
    </bk>
    <bk>
      <rc t="2" v="12152"/>
    </bk>
    <bk>
      <rc t="2" v="12153"/>
    </bk>
    <bk>
      <rc t="2" v="12154"/>
    </bk>
    <bk>
      <rc t="2" v="12155"/>
    </bk>
    <bk>
      <rc t="2" v="12156"/>
    </bk>
    <bk>
      <rc t="2" v="12157"/>
    </bk>
    <bk>
      <rc t="2" v="12158"/>
    </bk>
    <bk>
      <rc t="2" v="12159"/>
    </bk>
    <bk>
      <rc t="2" v="12160"/>
    </bk>
    <bk>
      <rc t="2" v="12161"/>
    </bk>
    <bk>
      <rc t="2" v="12162"/>
    </bk>
    <bk>
      <rc t="2" v="12163"/>
    </bk>
    <bk>
      <rc t="2" v="12164"/>
    </bk>
    <bk>
      <rc t="2" v="12165"/>
    </bk>
    <bk>
      <rc t="2" v="12166"/>
    </bk>
    <bk>
      <rc t="2" v="12167"/>
    </bk>
    <bk>
      <rc t="2" v="12168"/>
    </bk>
    <bk>
      <rc t="2" v="12169"/>
    </bk>
    <bk>
      <rc t="2" v="12170"/>
    </bk>
    <bk>
      <rc t="2" v="12171"/>
    </bk>
    <bk>
      <rc t="2" v="12172"/>
    </bk>
    <bk>
      <rc t="2" v="12173"/>
    </bk>
    <bk>
      <rc t="2" v="12174"/>
    </bk>
    <bk>
      <rc t="2" v="12175"/>
    </bk>
    <bk>
      <rc t="2" v="12176"/>
    </bk>
    <bk>
      <rc t="2" v="12177"/>
    </bk>
    <bk>
      <rc t="2" v="12178"/>
    </bk>
    <bk>
      <rc t="2" v="12179"/>
    </bk>
    <bk>
      <rc t="2" v="12180"/>
    </bk>
    <bk>
      <rc t="2" v="12181"/>
    </bk>
    <bk>
      <rc t="2" v="12182"/>
    </bk>
    <bk>
      <rc t="2" v="12183"/>
    </bk>
    <bk>
      <rc t="2" v="12184"/>
    </bk>
    <bk>
      <rc t="2" v="12185"/>
    </bk>
    <bk>
      <rc t="2" v="12186"/>
    </bk>
    <bk>
      <rc t="2" v="12187"/>
    </bk>
    <bk>
      <rc t="2" v="12188"/>
    </bk>
    <bk>
      <rc t="2" v="12189"/>
    </bk>
    <bk>
      <rc t="2" v="12190"/>
    </bk>
    <bk>
      <rc t="2" v="12191"/>
    </bk>
    <bk>
      <rc t="2" v="12192"/>
    </bk>
    <bk>
      <rc t="2" v="12193"/>
    </bk>
    <bk>
      <rc t="2" v="12194"/>
    </bk>
    <bk>
      <rc t="2" v="12195"/>
    </bk>
    <bk>
      <rc t="2" v="12196"/>
    </bk>
    <bk>
      <rc t="2" v="12197"/>
    </bk>
    <bk>
      <rc t="2" v="12198"/>
    </bk>
    <bk>
      <rc t="2" v="12199"/>
    </bk>
    <bk>
      <rc t="2" v="12200"/>
    </bk>
    <bk>
      <rc t="2" v="12201"/>
    </bk>
    <bk>
      <rc t="2" v="12202"/>
    </bk>
    <bk>
      <rc t="2" v="12203"/>
    </bk>
    <bk>
      <rc t="2" v="12204"/>
    </bk>
    <bk>
      <rc t="2" v="12205"/>
    </bk>
    <bk>
      <rc t="2" v="12206"/>
    </bk>
    <bk>
      <rc t="2" v="12207"/>
    </bk>
    <bk>
      <rc t="2" v="12208"/>
    </bk>
    <bk>
      <rc t="2" v="12209"/>
    </bk>
    <bk>
      <rc t="2" v="12210"/>
    </bk>
    <bk>
      <rc t="2" v="12211"/>
    </bk>
    <bk>
      <rc t="2" v="12212"/>
    </bk>
    <bk>
      <rc t="2" v="12213"/>
    </bk>
    <bk>
      <rc t="2" v="12214"/>
    </bk>
    <bk>
      <rc t="2" v="12215"/>
    </bk>
    <bk>
      <rc t="2" v="12216"/>
    </bk>
    <bk>
      <rc t="2" v="12217"/>
    </bk>
    <bk>
      <rc t="2" v="12218"/>
    </bk>
    <bk>
      <rc t="2" v="12219"/>
    </bk>
    <bk>
      <rc t="2" v="12220"/>
    </bk>
    <bk>
      <rc t="2" v="12221"/>
    </bk>
    <bk>
      <rc t="2" v="12222"/>
    </bk>
    <bk>
      <rc t="2" v="12223"/>
    </bk>
    <bk>
      <rc t="2" v="12224"/>
    </bk>
    <bk>
      <rc t="2" v="12225"/>
    </bk>
    <bk>
      <rc t="2" v="12226"/>
    </bk>
    <bk>
      <rc t="2" v="12227"/>
    </bk>
    <bk>
      <rc t="2" v="12228"/>
    </bk>
    <bk>
      <rc t="2" v="12229"/>
    </bk>
    <bk>
      <rc t="2" v="12230"/>
    </bk>
    <bk>
      <rc t="2" v="12231"/>
    </bk>
    <bk>
      <rc t="2" v="12232"/>
    </bk>
    <bk>
      <rc t="2" v="12233"/>
    </bk>
    <bk>
      <rc t="2" v="12234"/>
    </bk>
    <bk>
      <rc t="2" v="12235"/>
    </bk>
    <bk>
      <rc t="2" v="12236"/>
    </bk>
    <bk>
      <rc t="2" v="12237"/>
    </bk>
    <bk>
      <rc t="2" v="12238"/>
    </bk>
    <bk>
      <rc t="2" v="12239"/>
    </bk>
    <bk>
      <rc t="2" v="12240"/>
    </bk>
    <bk>
      <rc t="2" v="12241"/>
    </bk>
    <bk>
      <rc t="2" v="12242"/>
    </bk>
    <bk>
      <rc t="2" v="12243"/>
    </bk>
    <bk>
      <rc t="2" v="12244"/>
    </bk>
    <bk>
      <rc t="2" v="12245"/>
    </bk>
    <bk>
      <rc t="2" v="12246"/>
    </bk>
    <bk>
      <rc t="2" v="12247"/>
    </bk>
    <bk>
      <rc t="2" v="12248"/>
    </bk>
    <bk>
      <rc t="2" v="12249"/>
    </bk>
    <bk>
      <rc t="2" v="12250"/>
    </bk>
    <bk>
      <rc t="2" v="12251"/>
    </bk>
    <bk>
      <rc t="2" v="12252"/>
    </bk>
    <bk>
      <rc t="2" v="12253"/>
    </bk>
    <bk>
      <rc t="2" v="12254"/>
    </bk>
    <bk>
      <rc t="2" v="12255"/>
    </bk>
    <bk>
      <rc t="2" v="12256"/>
    </bk>
    <bk>
      <rc t="2" v="12257"/>
    </bk>
    <bk>
      <rc t="2" v="12258"/>
    </bk>
    <bk>
      <rc t="2" v="12259"/>
    </bk>
    <bk>
      <rc t="2" v="12260"/>
    </bk>
    <bk>
      <rc t="2" v="12261"/>
    </bk>
    <bk>
      <rc t="2" v="12262"/>
    </bk>
    <bk>
      <rc t="2" v="12263"/>
    </bk>
    <bk>
      <rc t="2" v="12264"/>
    </bk>
    <bk>
      <rc t="2" v="12265"/>
    </bk>
    <bk>
      <rc t="2" v="12266"/>
    </bk>
    <bk>
      <rc t="2" v="12267"/>
    </bk>
    <bk>
      <rc t="2" v="12268"/>
    </bk>
    <bk>
      <rc t="2" v="12269"/>
    </bk>
    <bk>
      <rc t="2" v="12270"/>
    </bk>
    <bk>
      <rc t="2" v="12271"/>
    </bk>
    <bk>
      <rc t="2" v="12272"/>
    </bk>
    <bk>
      <rc t="2" v="12273"/>
    </bk>
    <bk>
      <rc t="2" v="12274"/>
    </bk>
    <bk>
      <rc t="2" v="12275"/>
    </bk>
    <bk>
      <rc t="2" v="12276"/>
    </bk>
    <bk>
      <rc t="2" v="12277"/>
    </bk>
    <bk>
      <rc t="2" v="12278"/>
    </bk>
    <bk>
      <rc t="2" v="12279"/>
    </bk>
    <bk>
      <rc t="2" v="12280"/>
    </bk>
    <bk>
      <rc t="2" v="12281"/>
    </bk>
    <bk>
      <rc t="2" v="12282"/>
    </bk>
    <bk>
      <rc t="2" v="12283"/>
    </bk>
    <bk>
      <rc t="2" v="12284"/>
    </bk>
    <bk>
      <rc t="2" v="12285"/>
    </bk>
    <bk>
      <rc t="2" v="12286"/>
    </bk>
    <bk>
      <rc t="2" v="12287"/>
    </bk>
    <bk>
      <rc t="2" v="12288"/>
    </bk>
    <bk>
      <rc t="2" v="12289"/>
    </bk>
    <bk>
      <rc t="2" v="12290"/>
    </bk>
    <bk>
      <rc t="2" v="12291"/>
    </bk>
    <bk>
      <rc t="2" v="12292"/>
    </bk>
    <bk>
      <rc t="2" v="12293"/>
    </bk>
    <bk>
      <rc t="2" v="12294"/>
    </bk>
    <bk>
      <rc t="2" v="12295"/>
    </bk>
    <bk>
      <rc t="2" v="12296"/>
    </bk>
    <bk>
      <rc t="2" v="12297"/>
    </bk>
    <bk>
      <rc t="2" v="12298"/>
    </bk>
    <bk>
      <rc t="2" v="12299"/>
    </bk>
    <bk>
      <rc t="2" v="12300"/>
    </bk>
    <bk>
      <rc t="2" v="12301"/>
    </bk>
    <bk>
      <rc t="2" v="12302"/>
    </bk>
    <bk>
      <rc t="2" v="12303"/>
    </bk>
    <bk>
      <rc t="2" v="12304"/>
    </bk>
    <bk>
      <rc t="2" v="12305"/>
    </bk>
    <bk>
      <rc t="2" v="12306"/>
    </bk>
    <bk>
      <rc t="2" v="12307"/>
    </bk>
    <bk>
      <rc t="2" v="12308"/>
    </bk>
    <bk>
      <rc t="2" v="12309"/>
    </bk>
    <bk>
      <rc t="2" v="12310"/>
    </bk>
    <bk>
      <rc t="2" v="12311"/>
    </bk>
    <bk>
      <rc t="2" v="12312"/>
    </bk>
    <bk>
      <rc t="2" v="12313"/>
    </bk>
    <bk>
      <rc t="2" v="12314"/>
    </bk>
    <bk>
      <rc t="2" v="12315"/>
    </bk>
    <bk>
      <rc t="2" v="12316"/>
    </bk>
    <bk>
      <rc t="2" v="12317"/>
    </bk>
    <bk>
      <rc t="2" v="12318"/>
    </bk>
    <bk>
      <rc t="2" v="12319"/>
    </bk>
    <bk>
      <rc t="2" v="12320"/>
    </bk>
    <bk>
      <rc t="2" v="12321"/>
    </bk>
    <bk>
      <rc t="2" v="12322"/>
    </bk>
    <bk>
      <rc t="2" v="12323"/>
    </bk>
    <bk>
      <rc t="2" v="12324"/>
    </bk>
    <bk>
      <rc t="2" v="12325"/>
    </bk>
    <bk>
      <rc t="2" v="12326"/>
    </bk>
    <bk>
      <rc t="2" v="12327"/>
    </bk>
    <bk>
      <rc t="2" v="12328"/>
    </bk>
    <bk>
      <rc t="2" v="12329"/>
    </bk>
    <bk>
      <rc t="2" v="12330"/>
    </bk>
    <bk>
      <rc t="2" v="12331"/>
    </bk>
    <bk>
      <rc t="2" v="12332"/>
    </bk>
    <bk>
      <rc t="2" v="12333"/>
    </bk>
    <bk>
      <rc t="2" v="12334"/>
    </bk>
    <bk>
      <rc t="2" v="12335"/>
    </bk>
    <bk>
      <rc t="2" v="12336"/>
    </bk>
    <bk>
      <rc t="2" v="12337"/>
    </bk>
    <bk>
      <rc t="2" v="12338"/>
    </bk>
    <bk>
      <rc t="2" v="12339"/>
    </bk>
    <bk>
      <rc t="2" v="12340"/>
    </bk>
    <bk>
      <rc t="2" v="12341"/>
    </bk>
    <bk>
      <rc t="2" v="12342"/>
    </bk>
    <bk>
      <rc t="2" v="12343"/>
    </bk>
    <bk>
      <rc t="2" v="12344"/>
    </bk>
    <bk>
      <rc t="2" v="12345"/>
    </bk>
    <bk>
      <rc t="2" v="12346"/>
    </bk>
    <bk>
      <rc t="2" v="12347"/>
    </bk>
    <bk>
      <rc t="2" v="12348"/>
    </bk>
    <bk>
      <rc t="2" v="12349"/>
    </bk>
    <bk>
      <rc t="2" v="12350"/>
    </bk>
    <bk>
      <rc t="2" v="12351"/>
    </bk>
    <bk>
      <rc t="2" v="12352"/>
    </bk>
    <bk>
      <rc t="2" v="12353"/>
    </bk>
    <bk>
      <rc t="2" v="12354"/>
    </bk>
    <bk>
      <rc t="2" v="12355"/>
    </bk>
    <bk>
      <rc t="2" v="12356"/>
    </bk>
    <bk>
      <rc t="2" v="12357"/>
    </bk>
    <bk>
      <rc t="2" v="12358"/>
    </bk>
    <bk>
      <rc t="2" v="12359"/>
    </bk>
    <bk>
      <rc t="2" v="12360"/>
    </bk>
    <bk>
      <rc t="2" v="12361"/>
    </bk>
    <bk>
      <rc t="2" v="12362"/>
    </bk>
    <bk>
      <rc t="2" v="12363"/>
    </bk>
    <bk>
      <rc t="2" v="12364"/>
    </bk>
    <bk>
      <rc t="2" v="12365"/>
    </bk>
    <bk>
      <rc t="2" v="12366"/>
    </bk>
    <bk>
      <rc t="2" v="12367"/>
    </bk>
    <bk>
      <rc t="2" v="12368"/>
    </bk>
    <bk>
      <rc t="2" v="12369"/>
    </bk>
    <bk>
      <rc t="2" v="12370"/>
    </bk>
    <bk>
      <rc t="2" v="12371"/>
    </bk>
    <bk>
      <rc t="2" v="12372"/>
    </bk>
    <bk>
      <rc t="2" v="12373"/>
    </bk>
    <bk>
      <rc t="2" v="12374"/>
    </bk>
    <bk>
      <rc t="2" v="12375"/>
    </bk>
    <bk>
      <rc t="2" v="12376"/>
    </bk>
    <bk>
      <rc t="2" v="12377"/>
    </bk>
    <bk>
      <rc t="2" v="12378"/>
    </bk>
    <bk>
      <rc t="2" v="12379"/>
    </bk>
    <bk>
      <rc t="2" v="12380"/>
    </bk>
    <bk>
      <rc t="2" v="12381"/>
    </bk>
    <bk>
      <rc t="2" v="12382"/>
    </bk>
    <bk>
      <rc t="2" v="12383"/>
    </bk>
    <bk>
      <rc t="2" v="12384"/>
    </bk>
    <bk>
      <rc t="2" v="12385"/>
    </bk>
    <bk>
      <rc t="2" v="12386"/>
    </bk>
    <bk>
      <rc t="2" v="12387"/>
    </bk>
    <bk>
      <rc t="2" v="12388"/>
    </bk>
    <bk>
      <rc t="2" v="12389"/>
    </bk>
    <bk>
      <rc t="2" v="12390"/>
    </bk>
    <bk>
      <rc t="2" v="12391"/>
    </bk>
    <bk>
      <rc t="2" v="12392"/>
    </bk>
    <bk>
      <rc t="2" v="12393"/>
    </bk>
    <bk>
      <rc t="2" v="12394"/>
    </bk>
    <bk>
      <rc t="2" v="12395"/>
    </bk>
    <bk>
      <rc t="2" v="12396"/>
    </bk>
    <bk>
      <rc t="2" v="12397"/>
    </bk>
    <bk>
      <rc t="2" v="12398"/>
    </bk>
    <bk>
      <rc t="2" v="12399"/>
    </bk>
    <bk>
      <rc t="2" v="12400"/>
    </bk>
    <bk>
      <rc t="2" v="12401"/>
    </bk>
    <bk>
      <rc t="2" v="12402"/>
    </bk>
    <bk>
      <rc t="2" v="12403"/>
    </bk>
    <bk>
      <rc t="2" v="12404"/>
    </bk>
    <bk>
      <rc t="2" v="12405"/>
    </bk>
    <bk>
      <rc t="2" v="12406"/>
    </bk>
    <bk>
      <rc t="2" v="12407"/>
    </bk>
    <bk>
      <rc t="2" v="12408"/>
    </bk>
    <bk>
      <rc t="2" v="12409"/>
    </bk>
    <bk>
      <rc t="2" v="12410"/>
    </bk>
    <bk>
      <rc t="2" v="12411"/>
    </bk>
    <bk>
      <rc t="2" v="12412"/>
    </bk>
    <bk>
      <rc t="2" v="12413"/>
    </bk>
    <bk>
      <rc t="2" v="12414"/>
    </bk>
    <bk>
      <rc t="2" v="12415"/>
    </bk>
    <bk>
      <rc t="2" v="12416"/>
    </bk>
    <bk>
      <rc t="2" v="12417"/>
    </bk>
    <bk>
      <rc t="2" v="12418"/>
    </bk>
    <bk>
      <rc t="2" v="12419"/>
    </bk>
    <bk>
      <rc t="2" v="12420"/>
    </bk>
    <bk>
      <rc t="2" v="12421"/>
    </bk>
    <bk>
      <rc t="2" v="12422"/>
    </bk>
    <bk>
      <rc t="2" v="12423"/>
    </bk>
    <bk>
      <rc t="2" v="12424"/>
    </bk>
    <bk>
      <rc t="2" v="12425"/>
    </bk>
    <bk>
      <rc t="2" v="12426"/>
    </bk>
    <bk>
      <rc t="2" v="12427"/>
    </bk>
    <bk>
      <rc t="2" v="12428"/>
    </bk>
    <bk>
      <rc t="2" v="12429"/>
    </bk>
    <bk>
      <rc t="2" v="12430"/>
    </bk>
    <bk>
      <rc t="2" v="12431"/>
    </bk>
    <bk>
      <rc t="2" v="12432"/>
    </bk>
    <bk>
      <rc t="2" v="12433"/>
    </bk>
    <bk>
      <rc t="2" v="12434"/>
    </bk>
    <bk>
      <rc t="2" v="12435"/>
    </bk>
    <bk>
      <rc t="2" v="12436"/>
    </bk>
    <bk>
      <rc t="2" v="12437"/>
    </bk>
    <bk>
      <rc t="2" v="12438"/>
    </bk>
    <bk>
      <rc t="2" v="12439"/>
    </bk>
    <bk>
      <rc t="2" v="12440"/>
    </bk>
    <bk>
      <rc t="2" v="12441"/>
    </bk>
    <bk>
      <rc t="2" v="12442"/>
    </bk>
    <bk>
      <rc t="2" v="12443"/>
    </bk>
    <bk>
      <rc t="2" v="12444"/>
    </bk>
    <bk>
      <rc t="2" v="12445"/>
    </bk>
    <bk>
      <rc t="2" v="12446"/>
    </bk>
    <bk>
      <rc t="2" v="12447"/>
    </bk>
    <bk>
      <rc t="2" v="12448"/>
    </bk>
    <bk>
      <rc t="2" v="12449"/>
    </bk>
    <bk>
      <rc t="2" v="12450"/>
    </bk>
    <bk>
      <rc t="2" v="12451"/>
    </bk>
    <bk>
      <rc t="2" v="12452"/>
    </bk>
    <bk>
      <rc t="2" v="12453"/>
    </bk>
    <bk>
      <rc t="2" v="12454"/>
    </bk>
    <bk>
      <rc t="2" v="12455"/>
    </bk>
    <bk>
      <rc t="2" v="12456"/>
    </bk>
    <bk>
      <rc t="2" v="12457"/>
    </bk>
    <bk>
      <rc t="2" v="12458"/>
    </bk>
    <bk>
      <rc t="2" v="12459"/>
    </bk>
    <bk>
      <rc t="2" v="12460"/>
    </bk>
    <bk>
      <rc t="2" v="12461"/>
    </bk>
    <bk>
      <rc t="2" v="12462"/>
    </bk>
    <bk>
      <rc t="2" v="12463"/>
    </bk>
    <bk>
      <rc t="2" v="12464"/>
    </bk>
    <bk>
      <rc t="2" v="12465"/>
    </bk>
    <bk>
      <rc t="2" v="12466"/>
    </bk>
    <bk>
      <rc t="2" v="12467"/>
    </bk>
    <bk>
      <rc t="2" v="12468"/>
    </bk>
    <bk>
      <rc t="2" v="12469"/>
    </bk>
    <bk>
      <rc t="2" v="12470"/>
    </bk>
    <bk>
      <rc t="2" v="12471"/>
    </bk>
    <bk>
      <rc t="2" v="12472"/>
    </bk>
    <bk>
      <rc t="2" v="12473"/>
    </bk>
    <bk>
      <rc t="2" v="12474"/>
    </bk>
    <bk>
      <rc t="2" v="12475"/>
    </bk>
    <bk>
      <rc t="2" v="12476"/>
    </bk>
    <bk>
      <rc t="2" v="12477"/>
    </bk>
    <bk>
      <rc t="2" v="12478"/>
    </bk>
    <bk>
      <rc t="2" v="12479"/>
    </bk>
    <bk>
      <rc t="2" v="12480"/>
    </bk>
    <bk>
      <rc t="2" v="12481"/>
    </bk>
    <bk>
      <rc t="2" v="12482"/>
    </bk>
    <bk>
      <rc t="2" v="12483"/>
    </bk>
    <bk>
      <rc t="2" v="12484"/>
    </bk>
    <bk>
      <rc t="2" v="12485"/>
    </bk>
    <bk>
      <rc t="2" v="12486"/>
    </bk>
    <bk>
      <rc t="2" v="12487"/>
    </bk>
    <bk>
      <rc t="2" v="12488"/>
    </bk>
    <bk>
      <rc t="2" v="12489"/>
    </bk>
    <bk>
      <rc t="2" v="12490"/>
    </bk>
    <bk>
      <rc t="2" v="12491"/>
    </bk>
    <bk>
      <rc t="2" v="12492"/>
    </bk>
    <bk>
      <rc t="2" v="12493"/>
    </bk>
    <bk>
      <rc t="2" v="12494"/>
    </bk>
    <bk>
      <rc t="2" v="12495"/>
    </bk>
    <bk>
      <rc t="2" v="12496"/>
    </bk>
    <bk>
      <rc t="2" v="12497"/>
    </bk>
    <bk>
      <rc t="2" v="12498"/>
    </bk>
    <bk>
      <rc t="2" v="12499"/>
    </bk>
    <bk>
      <rc t="2" v="12500"/>
    </bk>
    <bk>
      <rc t="2" v="12501"/>
    </bk>
    <bk>
      <rc t="2" v="12502"/>
    </bk>
    <bk>
      <rc t="2" v="12503"/>
    </bk>
    <bk>
      <rc t="2" v="12504"/>
    </bk>
    <bk>
      <rc t="2" v="12505"/>
    </bk>
    <bk>
      <rc t="2" v="12506"/>
    </bk>
    <bk>
      <rc t="2" v="12507"/>
    </bk>
    <bk>
      <rc t="2" v="12508"/>
    </bk>
    <bk>
      <rc t="2" v="12509"/>
    </bk>
    <bk>
      <rc t="2" v="12510"/>
    </bk>
    <bk>
      <rc t="2" v="12511"/>
    </bk>
    <bk>
      <rc t="2" v="12512"/>
    </bk>
    <bk>
      <rc t="2" v="12513"/>
    </bk>
    <bk>
      <rc t="2" v="12514"/>
    </bk>
    <bk>
      <rc t="2" v="12515"/>
    </bk>
    <bk>
      <rc t="2" v="12516"/>
    </bk>
    <bk>
      <rc t="2" v="12517"/>
    </bk>
    <bk>
      <rc t="2" v="12518"/>
    </bk>
    <bk>
      <rc t="2" v="12519"/>
    </bk>
    <bk>
      <rc t="2" v="12520"/>
    </bk>
    <bk>
      <rc t="2" v="12521"/>
    </bk>
    <bk>
      <rc t="2" v="12522"/>
    </bk>
    <bk>
      <rc t="2" v="12523"/>
    </bk>
    <bk>
      <rc t="2" v="12524"/>
    </bk>
    <bk>
      <rc t="2" v="12525"/>
    </bk>
    <bk>
      <rc t="2" v="12526"/>
    </bk>
    <bk>
      <rc t="2" v="12527"/>
    </bk>
    <bk>
      <rc t="2" v="12528"/>
    </bk>
    <bk>
      <rc t="2" v="12529"/>
    </bk>
    <bk>
      <rc t="2" v="12530"/>
    </bk>
    <bk>
      <rc t="2" v="12531"/>
    </bk>
    <bk>
      <rc t="2" v="12532"/>
    </bk>
    <bk>
      <rc t="2" v="12533"/>
    </bk>
    <bk>
      <rc t="2" v="12534"/>
    </bk>
    <bk>
      <rc t="2" v="12535"/>
    </bk>
    <bk>
      <rc t="2" v="12536"/>
    </bk>
    <bk>
      <rc t="2" v="12537"/>
    </bk>
    <bk>
      <rc t="2" v="12538"/>
    </bk>
    <bk>
      <rc t="2" v="12539"/>
    </bk>
    <bk>
      <rc t="2" v="12540"/>
    </bk>
    <bk>
      <rc t="2" v="12541"/>
    </bk>
    <bk>
      <rc t="2" v="12542"/>
    </bk>
    <bk>
      <rc t="2" v="12543"/>
    </bk>
    <bk>
      <rc t="2" v="12544"/>
    </bk>
    <bk>
      <rc t="2" v="12545"/>
    </bk>
    <bk>
      <rc t="2" v="12546"/>
    </bk>
    <bk>
      <rc t="2" v="12547"/>
    </bk>
    <bk>
      <rc t="2" v="12548"/>
    </bk>
    <bk>
      <rc t="2" v="12549"/>
    </bk>
    <bk>
      <rc t="2" v="12550"/>
    </bk>
    <bk>
      <rc t="2" v="12551"/>
    </bk>
    <bk>
      <rc t="2" v="12552"/>
    </bk>
    <bk>
      <rc t="2" v="12553"/>
    </bk>
    <bk>
      <rc t="2" v="12554"/>
    </bk>
    <bk>
      <rc t="2" v="12555"/>
    </bk>
    <bk>
      <rc t="2" v="12556"/>
    </bk>
    <bk>
      <rc t="2" v="12557"/>
    </bk>
    <bk>
      <rc t="2" v="12558"/>
    </bk>
    <bk>
      <rc t="2" v="12559"/>
    </bk>
    <bk>
      <rc t="2" v="12560"/>
    </bk>
    <bk>
      <rc t="2" v="12561"/>
    </bk>
    <bk>
      <rc t="2" v="12562"/>
    </bk>
    <bk>
      <rc t="2" v="12563"/>
    </bk>
    <bk>
      <rc t="2" v="12564"/>
    </bk>
    <bk>
      <rc t="2" v="12565"/>
    </bk>
    <bk>
      <rc t="2" v="12566"/>
    </bk>
    <bk>
      <rc t="2" v="12567"/>
    </bk>
    <bk>
      <rc t="2" v="12568"/>
    </bk>
    <bk>
      <rc t="2" v="12569"/>
    </bk>
    <bk>
      <rc t="2" v="12570"/>
    </bk>
    <bk>
      <rc t="2" v="12571"/>
    </bk>
    <bk>
      <rc t="2" v="12572"/>
    </bk>
    <bk>
      <rc t="2" v="12573"/>
    </bk>
    <bk>
      <rc t="2" v="12574"/>
    </bk>
    <bk>
      <rc t="2" v="12575"/>
    </bk>
    <bk>
      <rc t="2" v="12576"/>
    </bk>
    <bk>
      <rc t="2" v="12577"/>
    </bk>
    <bk>
      <rc t="2" v="12578"/>
    </bk>
    <bk>
      <rc t="2" v="12579"/>
    </bk>
    <bk>
      <rc t="2" v="12580"/>
    </bk>
    <bk>
      <rc t="2" v="12581"/>
    </bk>
    <bk>
      <rc t="2" v="12582"/>
    </bk>
    <bk>
      <rc t="2" v="12583"/>
    </bk>
    <bk>
      <rc t="2" v="12584"/>
    </bk>
    <bk>
      <rc t="2" v="12585"/>
    </bk>
    <bk>
      <rc t="2" v="12586"/>
    </bk>
    <bk>
      <rc t="2" v="12587"/>
    </bk>
    <bk>
      <rc t="2" v="12588"/>
    </bk>
    <bk>
      <rc t="2" v="12589"/>
    </bk>
    <bk>
      <rc t="2" v="12590"/>
    </bk>
    <bk>
      <rc t="2" v="12591"/>
    </bk>
    <bk>
      <rc t="2" v="12592"/>
    </bk>
    <bk>
      <rc t="2" v="12593"/>
    </bk>
    <bk>
      <rc t="2" v="12594"/>
    </bk>
    <bk>
      <rc t="2" v="12595"/>
    </bk>
    <bk>
      <rc t="2" v="12596"/>
    </bk>
    <bk>
      <rc t="2" v="12597"/>
    </bk>
    <bk>
      <rc t="2" v="12598"/>
    </bk>
    <bk>
      <rc t="2" v="12599"/>
    </bk>
    <bk>
      <rc t="2" v="12600"/>
    </bk>
    <bk>
      <rc t="2" v="12601"/>
    </bk>
    <bk>
      <rc t="2" v="12602"/>
    </bk>
    <bk>
      <rc t="2" v="12603"/>
    </bk>
    <bk>
      <rc t="2" v="12604"/>
    </bk>
    <bk>
      <rc t="2" v="12605"/>
    </bk>
    <bk>
      <rc t="2" v="12606"/>
    </bk>
    <bk>
      <rc t="2" v="12607"/>
    </bk>
    <bk>
      <rc t="2" v="12608"/>
    </bk>
    <bk>
      <rc t="2" v="12609"/>
    </bk>
    <bk>
      <rc t="2" v="12610"/>
    </bk>
    <bk>
      <rc t="2" v="12611"/>
    </bk>
    <bk>
      <rc t="2" v="12612"/>
    </bk>
    <bk>
      <rc t="2" v="12613"/>
    </bk>
    <bk>
      <rc t="2" v="12614"/>
    </bk>
    <bk>
      <rc t="2" v="12615"/>
    </bk>
    <bk>
      <rc t="2" v="12616"/>
    </bk>
    <bk>
      <rc t="2" v="12617"/>
    </bk>
    <bk>
      <rc t="2" v="12618"/>
    </bk>
    <bk>
      <rc t="2" v="12619"/>
    </bk>
    <bk>
      <rc t="2" v="12620"/>
    </bk>
    <bk>
      <rc t="2" v="12621"/>
    </bk>
    <bk>
      <rc t="2" v="12622"/>
    </bk>
    <bk>
      <rc t="2" v="12623"/>
    </bk>
    <bk>
      <rc t="2" v="12624"/>
    </bk>
    <bk>
      <rc t="2" v="12625"/>
    </bk>
    <bk>
      <rc t="2" v="12626"/>
    </bk>
    <bk>
      <rc t="2" v="12627"/>
    </bk>
    <bk>
      <rc t="2" v="12628"/>
    </bk>
    <bk>
      <rc t="2" v="12629"/>
    </bk>
    <bk>
      <rc t="2" v="12630"/>
    </bk>
    <bk>
      <rc t="2" v="12631"/>
    </bk>
    <bk>
      <rc t="2" v="12632"/>
    </bk>
    <bk>
      <rc t="2" v="12633"/>
    </bk>
    <bk>
      <rc t="2" v="12634"/>
    </bk>
    <bk>
      <rc t="2" v="12635"/>
    </bk>
    <bk>
      <rc t="2" v="12636"/>
    </bk>
    <bk>
      <rc t="2" v="12637"/>
    </bk>
    <bk>
      <rc t="2" v="12638"/>
    </bk>
    <bk>
      <rc t="2" v="12639"/>
    </bk>
    <bk>
      <rc t="2" v="12640"/>
    </bk>
    <bk>
      <rc t="2" v="12641"/>
    </bk>
    <bk>
      <rc t="2" v="12642"/>
    </bk>
    <bk>
      <rc t="2" v="12643"/>
    </bk>
    <bk>
      <rc t="2" v="12644"/>
    </bk>
    <bk>
      <rc t="2" v="12645"/>
    </bk>
    <bk>
      <rc t="2" v="12646"/>
    </bk>
    <bk>
      <rc t="2" v="12647"/>
    </bk>
    <bk>
      <rc t="2" v="12648"/>
    </bk>
    <bk>
      <rc t="2" v="12649"/>
    </bk>
    <bk>
      <rc t="2" v="12650"/>
    </bk>
    <bk>
      <rc t="2" v="12651"/>
    </bk>
    <bk>
      <rc t="2" v="12652"/>
    </bk>
    <bk>
      <rc t="2" v="12653"/>
    </bk>
    <bk>
      <rc t="2" v="12654"/>
    </bk>
    <bk>
      <rc t="2" v="12655"/>
    </bk>
    <bk>
      <rc t="2" v="12656"/>
    </bk>
    <bk>
      <rc t="2" v="12657"/>
    </bk>
    <bk>
      <rc t="2" v="12658"/>
    </bk>
    <bk>
      <rc t="2" v="12659"/>
    </bk>
    <bk>
      <rc t="2" v="12660"/>
    </bk>
    <bk>
      <rc t="2" v="12661"/>
    </bk>
    <bk>
      <rc t="2" v="12662"/>
    </bk>
    <bk>
      <rc t="2" v="12663"/>
    </bk>
    <bk>
      <rc t="2" v="12664"/>
    </bk>
    <bk>
      <rc t="2" v="12665"/>
    </bk>
    <bk>
      <rc t="2" v="12666"/>
    </bk>
    <bk>
      <rc t="2" v="12667"/>
    </bk>
    <bk>
      <rc t="2" v="12668"/>
    </bk>
    <bk>
      <rc t="2" v="12669"/>
    </bk>
    <bk>
      <rc t="2" v="12670"/>
    </bk>
    <bk>
      <rc t="2" v="12671"/>
    </bk>
    <bk>
      <rc t="2" v="12672"/>
    </bk>
    <bk>
      <rc t="2" v="12673"/>
    </bk>
    <bk>
      <rc t="2" v="12674"/>
    </bk>
    <bk>
      <rc t="2" v="12675"/>
    </bk>
    <bk>
      <rc t="2" v="12676"/>
    </bk>
    <bk>
      <rc t="2" v="12677"/>
    </bk>
    <bk>
      <rc t="2" v="12678"/>
    </bk>
    <bk>
      <rc t="2" v="12679"/>
    </bk>
    <bk>
      <rc t="2" v="12680"/>
    </bk>
    <bk>
      <rc t="2" v="12681"/>
    </bk>
    <bk>
      <rc t="2" v="12682"/>
    </bk>
    <bk>
      <rc t="2" v="12683"/>
    </bk>
    <bk>
      <rc t="2" v="12684"/>
    </bk>
    <bk>
      <rc t="2" v="12685"/>
    </bk>
    <bk>
      <rc t="2" v="12686"/>
    </bk>
    <bk>
      <rc t="2" v="12687"/>
    </bk>
    <bk>
      <rc t="2" v="12688"/>
    </bk>
    <bk>
      <rc t="2" v="12689"/>
    </bk>
    <bk>
      <rc t="2" v="12690"/>
    </bk>
    <bk>
      <rc t="2" v="12691"/>
    </bk>
    <bk>
      <rc t="2" v="12692"/>
    </bk>
    <bk>
      <rc t="2" v="12693"/>
    </bk>
    <bk>
      <rc t="2" v="12694"/>
    </bk>
    <bk>
      <rc t="2" v="12695"/>
    </bk>
    <bk>
      <rc t="2" v="12696"/>
    </bk>
    <bk>
      <rc t="2" v="12697"/>
    </bk>
    <bk>
      <rc t="2" v="12698"/>
    </bk>
    <bk>
      <rc t="2" v="12699"/>
    </bk>
    <bk>
      <rc t="2" v="12700"/>
    </bk>
    <bk>
      <rc t="2" v="12701"/>
    </bk>
    <bk>
      <rc t="2" v="12702"/>
    </bk>
    <bk>
      <rc t="2" v="12703"/>
    </bk>
    <bk>
      <rc t="2" v="12704"/>
    </bk>
    <bk>
      <rc t="2" v="12705"/>
    </bk>
    <bk>
      <rc t="2" v="12706"/>
    </bk>
    <bk>
      <rc t="2" v="12707"/>
    </bk>
    <bk>
      <rc t="2" v="12708"/>
    </bk>
    <bk>
      <rc t="2" v="12709"/>
    </bk>
    <bk>
      <rc t="2" v="12710"/>
    </bk>
    <bk>
      <rc t="2" v="12711"/>
    </bk>
    <bk>
      <rc t="2" v="12712"/>
    </bk>
    <bk>
      <rc t="2" v="12713"/>
    </bk>
    <bk>
      <rc t="2" v="12714"/>
    </bk>
    <bk>
      <rc t="2" v="12715"/>
    </bk>
    <bk>
      <rc t="2" v="12716"/>
    </bk>
    <bk>
      <rc t="2" v="12717"/>
    </bk>
    <bk>
      <rc t="2" v="12718"/>
    </bk>
    <bk>
      <rc t="2" v="12719"/>
    </bk>
    <bk>
      <rc t="2" v="12720"/>
    </bk>
    <bk>
      <rc t="2" v="12721"/>
    </bk>
    <bk>
      <rc t="2" v="12722"/>
    </bk>
    <bk>
      <rc t="2" v="12723"/>
    </bk>
    <bk>
      <rc t="2" v="12724"/>
    </bk>
    <bk>
      <rc t="2" v="12725"/>
    </bk>
    <bk>
      <rc t="2" v="12726"/>
    </bk>
    <bk>
      <rc t="2" v="12727"/>
    </bk>
    <bk>
      <rc t="2" v="12728"/>
    </bk>
    <bk>
      <rc t="2" v="12729"/>
    </bk>
    <bk>
      <rc t="2" v="12730"/>
    </bk>
    <bk>
      <rc t="2" v="12731"/>
    </bk>
    <bk>
      <rc t="2" v="12732"/>
    </bk>
    <bk>
      <rc t="2" v="12733"/>
    </bk>
    <bk>
      <rc t="2" v="12734"/>
    </bk>
    <bk>
      <rc t="2" v="12735"/>
    </bk>
    <bk>
      <rc t="2" v="12736"/>
    </bk>
    <bk>
      <rc t="2" v="12737"/>
    </bk>
    <bk>
      <rc t="2" v="12738"/>
    </bk>
    <bk>
      <rc t="2" v="12739"/>
    </bk>
    <bk>
      <rc t="2" v="12740"/>
    </bk>
    <bk>
      <rc t="2" v="12741"/>
    </bk>
    <bk>
      <rc t="2" v="12742"/>
    </bk>
    <bk>
      <rc t="2" v="12743"/>
    </bk>
    <bk>
      <rc t="2" v="12744"/>
    </bk>
    <bk>
      <rc t="2" v="12745"/>
    </bk>
    <bk>
      <rc t="2" v="12746"/>
    </bk>
    <bk>
      <rc t="2" v="12747"/>
    </bk>
    <bk>
      <rc t="2" v="12748"/>
    </bk>
    <bk>
      <rc t="2" v="12749"/>
    </bk>
    <bk>
      <rc t="2" v="12750"/>
    </bk>
    <bk>
      <rc t="2" v="12751"/>
    </bk>
    <bk>
      <rc t="2" v="12752"/>
    </bk>
    <bk>
      <rc t="2" v="12753"/>
    </bk>
    <bk>
      <rc t="2" v="12754"/>
    </bk>
    <bk>
      <rc t="2" v="12755"/>
    </bk>
    <bk>
      <rc t="2" v="12756"/>
    </bk>
    <bk>
      <rc t="2" v="12757"/>
    </bk>
    <bk>
      <rc t="2" v="12758"/>
    </bk>
    <bk>
      <rc t="2" v="12759"/>
    </bk>
    <bk>
      <rc t="2" v="12760"/>
    </bk>
    <bk>
      <rc t="2" v="12761"/>
    </bk>
    <bk>
      <rc t="2" v="12762"/>
    </bk>
    <bk>
      <rc t="2" v="12763"/>
    </bk>
    <bk>
      <rc t="2" v="12764"/>
    </bk>
    <bk>
      <rc t="2" v="12765"/>
    </bk>
    <bk>
      <rc t="2" v="12766"/>
    </bk>
    <bk>
      <rc t="2" v="12767"/>
    </bk>
    <bk>
      <rc t="2" v="12768"/>
    </bk>
    <bk>
      <rc t="2" v="12769"/>
    </bk>
    <bk>
      <rc t="2" v="12770"/>
    </bk>
    <bk>
      <rc t="2" v="12771"/>
    </bk>
    <bk>
      <rc t="2" v="12772"/>
    </bk>
    <bk>
      <rc t="2" v="12773"/>
    </bk>
    <bk>
      <rc t="2" v="12774"/>
    </bk>
    <bk>
      <rc t="2" v="12775"/>
    </bk>
    <bk>
      <rc t="2" v="12776"/>
    </bk>
    <bk>
      <rc t="2" v="12777"/>
    </bk>
    <bk>
      <rc t="2" v="12778"/>
    </bk>
    <bk>
      <rc t="2" v="12779"/>
    </bk>
    <bk>
      <rc t="2" v="12780"/>
    </bk>
    <bk>
      <rc t="2" v="12781"/>
    </bk>
    <bk>
      <rc t="2" v="12782"/>
    </bk>
    <bk>
      <rc t="2" v="12783"/>
    </bk>
    <bk>
      <rc t="2" v="12784"/>
    </bk>
    <bk>
      <rc t="2" v="12785"/>
    </bk>
    <bk>
      <rc t="2" v="12786"/>
    </bk>
    <bk>
      <rc t="2" v="12787"/>
    </bk>
    <bk>
      <rc t="2" v="12788"/>
    </bk>
    <bk>
      <rc t="2" v="12789"/>
    </bk>
    <bk>
      <rc t="2" v="12790"/>
    </bk>
    <bk>
      <rc t="2" v="12791"/>
    </bk>
    <bk>
      <rc t="2" v="12792"/>
    </bk>
    <bk>
      <rc t="2" v="12793"/>
    </bk>
    <bk>
      <rc t="2" v="12794"/>
    </bk>
    <bk>
      <rc t="2" v="12795"/>
    </bk>
    <bk>
      <rc t="2" v="12796"/>
    </bk>
    <bk>
      <rc t="2" v="12797"/>
    </bk>
    <bk>
      <rc t="2" v="12798"/>
    </bk>
    <bk>
      <rc t="2" v="12799"/>
    </bk>
    <bk>
      <rc t="2" v="12800"/>
    </bk>
    <bk>
      <rc t="2" v="12801"/>
    </bk>
    <bk>
      <rc t="2" v="12802"/>
    </bk>
    <bk>
      <rc t="2" v="12803"/>
    </bk>
    <bk>
      <rc t="2" v="12804"/>
    </bk>
    <bk>
      <rc t="2" v="12805"/>
    </bk>
    <bk>
      <rc t="2" v="12806"/>
    </bk>
    <bk>
      <rc t="2" v="12807"/>
    </bk>
    <bk>
      <rc t="2" v="12808"/>
    </bk>
    <bk>
      <rc t="2" v="12809"/>
    </bk>
    <bk>
      <rc t="2" v="12810"/>
    </bk>
    <bk>
      <rc t="2" v="12811"/>
    </bk>
    <bk>
      <rc t="2" v="12812"/>
    </bk>
    <bk>
      <rc t="2" v="12813"/>
    </bk>
    <bk>
      <rc t="2" v="12814"/>
    </bk>
    <bk>
      <rc t="2" v="12815"/>
    </bk>
    <bk>
      <rc t="2" v="12816"/>
    </bk>
    <bk>
      <rc t="2" v="12817"/>
    </bk>
    <bk>
      <rc t="2" v="12818"/>
    </bk>
    <bk>
      <rc t="2" v="12819"/>
    </bk>
    <bk>
      <rc t="2" v="12820"/>
    </bk>
    <bk>
      <rc t="2" v="12821"/>
    </bk>
    <bk>
      <rc t="2" v="12822"/>
    </bk>
    <bk>
      <rc t="2" v="12823"/>
    </bk>
    <bk>
      <rc t="2" v="12824"/>
    </bk>
    <bk>
      <rc t="2" v="12825"/>
    </bk>
    <bk>
      <rc t="2" v="12826"/>
    </bk>
    <bk>
      <rc t="2" v="12827"/>
    </bk>
    <bk>
      <rc t="2" v="12828"/>
    </bk>
    <bk>
      <rc t="2" v="12829"/>
    </bk>
    <bk>
      <rc t="2" v="12830"/>
    </bk>
    <bk>
      <rc t="2" v="12831"/>
    </bk>
    <bk>
      <rc t="2" v="12832"/>
    </bk>
    <bk>
      <rc t="2" v="12833"/>
    </bk>
    <bk>
      <rc t="2" v="12834"/>
    </bk>
    <bk>
      <rc t="2" v="12835"/>
    </bk>
    <bk>
      <rc t="2" v="12836"/>
    </bk>
    <bk>
      <rc t="2" v="12837"/>
    </bk>
    <bk>
      <rc t="2" v="12838"/>
    </bk>
    <bk>
      <rc t="2" v="12839"/>
    </bk>
    <bk>
      <rc t="2" v="12840"/>
    </bk>
    <bk>
      <rc t="2" v="12841"/>
    </bk>
    <bk>
      <rc t="2" v="12842"/>
    </bk>
    <bk>
      <rc t="2" v="12843"/>
    </bk>
    <bk>
      <rc t="2" v="12844"/>
    </bk>
    <bk>
      <rc t="2" v="12845"/>
    </bk>
    <bk>
      <rc t="2" v="12846"/>
    </bk>
    <bk>
      <rc t="2" v="12847"/>
    </bk>
    <bk>
      <rc t="2" v="12848"/>
    </bk>
    <bk>
      <rc t="2" v="12849"/>
    </bk>
    <bk>
      <rc t="2" v="12850"/>
    </bk>
    <bk>
      <rc t="2" v="12851"/>
    </bk>
    <bk>
      <rc t="2" v="12852"/>
    </bk>
    <bk>
      <rc t="2" v="12853"/>
    </bk>
    <bk>
      <rc t="2" v="12854"/>
    </bk>
    <bk>
      <rc t="2" v="12855"/>
    </bk>
    <bk>
      <rc t="2" v="12856"/>
    </bk>
    <bk>
      <rc t="2" v="12857"/>
    </bk>
    <bk>
      <rc t="2" v="12858"/>
    </bk>
    <bk>
      <rc t="2" v="12859"/>
    </bk>
    <bk>
      <rc t="2" v="12860"/>
    </bk>
    <bk>
      <rc t="2" v="12861"/>
    </bk>
    <bk>
      <rc t="2" v="12862"/>
    </bk>
    <bk>
      <rc t="2" v="12863"/>
    </bk>
    <bk>
      <rc t="2" v="12864"/>
    </bk>
    <bk>
      <rc t="2" v="12865"/>
    </bk>
    <bk>
      <rc t="2" v="12866"/>
    </bk>
    <bk>
      <rc t="2" v="12867"/>
    </bk>
    <bk>
      <rc t="2" v="12868"/>
    </bk>
    <bk>
      <rc t="2" v="12869"/>
    </bk>
    <bk>
      <rc t="2" v="12870"/>
    </bk>
    <bk>
      <rc t="2" v="12871"/>
    </bk>
    <bk>
      <rc t="2" v="12872"/>
    </bk>
    <bk>
      <rc t="2" v="12873"/>
    </bk>
    <bk>
      <rc t="2" v="12874"/>
    </bk>
    <bk>
      <rc t="2" v="12875"/>
    </bk>
    <bk>
      <rc t="2" v="12876"/>
    </bk>
    <bk>
      <rc t="2" v="12877"/>
    </bk>
    <bk>
      <rc t="2" v="12878"/>
    </bk>
    <bk>
      <rc t="2" v="12879"/>
    </bk>
    <bk>
      <rc t="2" v="12880"/>
    </bk>
    <bk>
      <rc t="2" v="12881"/>
    </bk>
    <bk>
      <rc t="2" v="12882"/>
    </bk>
    <bk>
      <rc t="2" v="12883"/>
    </bk>
    <bk>
      <rc t="2" v="12884"/>
    </bk>
    <bk>
      <rc t="2" v="12885"/>
    </bk>
    <bk>
      <rc t="2" v="12886"/>
    </bk>
    <bk>
      <rc t="2" v="12887"/>
    </bk>
    <bk>
      <rc t="2" v="12888"/>
    </bk>
    <bk>
      <rc t="2" v="12889"/>
    </bk>
    <bk>
      <rc t="2" v="12890"/>
    </bk>
    <bk>
      <rc t="2" v="12891"/>
    </bk>
    <bk>
      <rc t="2" v="12892"/>
    </bk>
    <bk>
      <rc t="2" v="12893"/>
    </bk>
    <bk>
      <rc t="2" v="12894"/>
    </bk>
    <bk>
      <rc t="2" v="12895"/>
    </bk>
    <bk>
      <rc t="2" v="12896"/>
    </bk>
    <bk>
      <rc t="2" v="12897"/>
    </bk>
    <bk>
      <rc t="2" v="12898"/>
    </bk>
    <bk>
      <rc t="2" v="12899"/>
    </bk>
    <bk>
      <rc t="2" v="12900"/>
    </bk>
    <bk>
      <rc t="2" v="12901"/>
    </bk>
    <bk>
      <rc t="2" v="12902"/>
    </bk>
    <bk>
      <rc t="2" v="12903"/>
    </bk>
    <bk>
      <rc t="2" v="12904"/>
    </bk>
    <bk>
      <rc t="2" v="12905"/>
    </bk>
    <bk>
      <rc t="2" v="12906"/>
    </bk>
    <bk>
      <rc t="2" v="12907"/>
    </bk>
    <bk>
      <rc t="2" v="12908"/>
    </bk>
    <bk>
      <rc t="2" v="12909"/>
    </bk>
    <bk>
      <rc t="2" v="12910"/>
    </bk>
    <bk>
      <rc t="2" v="12911"/>
    </bk>
    <bk>
      <rc t="2" v="12912"/>
    </bk>
    <bk>
      <rc t="2" v="12913"/>
    </bk>
    <bk>
      <rc t="2" v="12914"/>
    </bk>
    <bk>
      <rc t="2" v="12915"/>
    </bk>
    <bk>
      <rc t="2" v="12916"/>
    </bk>
    <bk>
      <rc t="2" v="12917"/>
    </bk>
    <bk>
      <rc t="2" v="12918"/>
    </bk>
    <bk>
      <rc t="2" v="12919"/>
    </bk>
    <bk>
      <rc t="2" v="12920"/>
    </bk>
    <bk>
      <rc t="2" v="12921"/>
    </bk>
    <bk>
      <rc t="2" v="12922"/>
    </bk>
    <bk>
      <rc t="2" v="12923"/>
    </bk>
    <bk>
      <rc t="2" v="12924"/>
    </bk>
    <bk>
      <rc t="2" v="12925"/>
    </bk>
    <bk>
      <rc t="2" v="12926"/>
    </bk>
    <bk>
      <rc t="2" v="12927"/>
    </bk>
    <bk>
      <rc t="2" v="12928"/>
    </bk>
    <bk>
      <rc t="2" v="12929"/>
    </bk>
    <bk>
      <rc t="2" v="12930"/>
    </bk>
    <bk>
      <rc t="2" v="12931"/>
    </bk>
    <bk>
      <rc t="2" v="12932"/>
    </bk>
    <bk>
      <rc t="2" v="12933"/>
    </bk>
    <bk>
      <rc t="2" v="12934"/>
    </bk>
    <bk>
      <rc t="2" v="12935"/>
    </bk>
    <bk>
      <rc t="2" v="12936"/>
    </bk>
    <bk>
      <rc t="2" v="12937"/>
    </bk>
    <bk>
      <rc t="2" v="12938"/>
    </bk>
    <bk>
      <rc t="2" v="12939"/>
    </bk>
    <bk>
      <rc t="2" v="12940"/>
    </bk>
    <bk>
      <rc t="2" v="12941"/>
    </bk>
    <bk>
      <rc t="2" v="12942"/>
    </bk>
    <bk>
      <rc t="2" v="12943"/>
    </bk>
    <bk>
      <rc t="2" v="12944"/>
    </bk>
    <bk>
      <rc t="2" v="12945"/>
    </bk>
    <bk>
      <rc t="2" v="12946"/>
    </bk>
    <bk>
      <rc t="2" v="12947"/>
    </bk>
    <bk>
      <rc t="2" v="12948"/>
    </bk>
    <bk>
      <rc t="2" v="12949"/>
    </bk>
    <bk>
      <rc t="2" v="12950"/>
    </bk>
    <bk>
      <rc t="2" v="12951"/>
    </bk>
    <bk>
      <rc t="2" v="12952"/>
    </bk>
    <bk>
      <rc t="2" v="12953"/>
    </bk>
    <bk>
      <rc t="2" v="12954"/>
    </bk>
    <bk>
      <rc t="2" v="12955"/>
    </bk>
    <bk>
      <rc t="2" v="12956"/>
    </bk>
    <bk>
      <rc t="2" v="12957"/>
    </bk>
    <bk>
      <rc t="2" v="12958"/>
    </bk>
    <bk>
      <rc t="2" v="12959"/>
    </bk>
    <bk>
      <rc t="2" v="12960"/>
    </bk>
    <bk>
      <rc t="2" v="12961"/>
    </bk>
    <bk>
      <rc t="2" v="12962"/>
    </bk>
    <bk>
      <rc t="2" v="12963"/>
    </bk>
    <bk>
      <rc t="2" v="12964"/>
    </bk>
    <bk>
      <rc t="2" v="12965"/>
    </bk>
    <bk>
      <rc t="2" v="12966"/>
    </bk>
    <bk>
      <rc t="2" v="12967"/>
    </bk>
    <bk>
      <rc t="2" v="12968"/>
    </bk>
    <bk>
      <rc t="2" v="12969"/>
    </bk>
    <bk>
      <rc t="2" v="12970"/>
    </bk>
    <bk>
      <rc t="2" v="12971"/>
    </bk>
    <bk>
      <rc t="2" v="12972"/>
    </bk>
    <bk>
      <rc t="2" v="12973"/>
    </bk>
    <bk>
      <rc t="2" v="12974"/>
    </bk>
    <bk>
      <rc t="2" v="12975"/>
    </bk>
    <bk>
      <rc t="2" v="12976"/>
    </bk>
    <bk>
      <rc t="2" v="12977"/>
    </bk>
    <bk>
      <rc t="2" v="12978"/>
    </bk>
    <bk>
      <rc t="2" v="12979"/>
    </bk>
    <bk>
      <rc t="2" v="12980"/>
    </bk>
    <bk>
      <rc t="2" v="12981"/>
    </bk>
    <bk>
      <rc t="2" v="12982"/>
    </bk>
    <bk>
      <rc t="2" v="12983"/>
    </bk>
    <bk>
      <rc t="2" v="12984"/>
    </bk>
    <bk>
      <rc t="2" v="12985"/>
    </bk>
    <bk>
      <rc t="2" v="12986"/>
    </bk>
    <bk>
      <rc t="2" v="12987"/>
    </bk>
    <bk>
      <rc t="2" v="12988"/>
    </bk>
    <bk>
      <rc t="2" v="12989"/>
    </bk>
    <bk>
      <rc t="2" v="12990"/>
    </bk>
    <bk>
      <rc t="2" v="12991"/>
    </bk>
    <bk>
      <rc t="2" v="12992"/>
    </bk>
    <bk>
      <rc t="2" v="12993"/>
    </bk>
    <bk>
      <rc t="2" v="12994"/>
    </bk>
    <bk>
      <rc t="2" v="12995"/>
    </bk>
    <bk>
      <rc t="2" v="12996"/>
    </bk>
    <bk>
      <rc t="2" v="12997"/>
    </bk>
    <bk>
      <rc t="2" v="12998"/>
    </bk>
    <bk>
      <rc t="2" v="12999"/>
    </bk>
    <bk>
      <rc t="2" v="13000"/>
    </bk>
    <bk>
      <rc t="2" v="13001"/>
    </bk>
    <bk>
      <rc t="2" v="13002"/>
    </bk>
    <bk>
      <rc t="2" v="13003"/>
    </bk>
    <bk>
      <rc t="2" v="13004"/>
    </bk>
    <bk>
      <rc t="2" v="13005"/>
    </bk>
    <bk>
      <rc t="2" v="13006"/>
    </bk>
    <bk>
      <rc t="2" v="13007"/>
    </bk>
    <bk>
      <rc t="2" v="13008"/>
    </bk>
    <bk>
      <rc t="2" v="13009"/>
    </bk>
    <bk>
      <rc t="2" v="13010"/>
    </bk>
    <bk>
      <rc t="2" v="13011"/>
    </bk>
    <bk>
      <rc t="2" v="13012"/>
    </bk>
    <bk>
      <rc t="2" v="13013"/>
    </bk>
    <bk>
      <rc t="2" v="13014"/>
    </bk>
    <bk>
      <rc t="2" v="13015"/>
    </bk>
    <bk>
      <rc t="2" v="13016"/>
    </bk>
    <bk>
      <rc t="2" v="13017"/>
    </bk>
    <bk>
      <rc t="2" v="13018"/>
    </bk>
    <bk>
      <rc t="2" v="13019"/>
    </bk>
    <bk>
      <rc t="2" v="13020"/>
    </bk>
    <bk>
      <rc t="2" v="13021"/>
    </bk>
    <bk>
      <rc t="2" v="13022"/>
    </bk>
    <bk>
      <rc t="2" v="13023"/>
    </bk>
    <bk>
      <rc t="2" v="13024"/>
    </bk>
    <bk>
      <rc t="2" v="13025"/>
    </bk>
    <bk>
      <rc t="2" v="13026"/>
    </bk>
    <bk>
      <rc t="2" v="13027"/>
    </bk>
    <bk>
      <rc t="2" v="13028"/>
    </bk>
    <bk>
      <rc t="2" v="13029"/>
    </bk>
    <bk>
      <rc t="2" v="13030"/>
    </bk>
    <bk>
      <rc t="2" v="13031"/>
    </bk>
    <bk>
      <rc t="2" v="13032"/>
    </bk>
    <bk>
      <rc t="2" v="13033"/>
    </bk>
    <bk>
      <rc t="2" v="13034"/>
    </bk>
    <bk>
      <rc t="2" v="13035"/>
    </bk>
    <bk>
      <rc t="2" v="13036"/>
    </bk>
    <bk>
      <rc t="2" v="13037"/>
    </bk>
    <bk>
      <rc t="2" v="13038"/>
    </bk>
    <bk>
      <rc t="2" v="13039"/>
    </bk>
    <bk>
      <rc t="2" v="13040"/>
    </bk>
    <bk>
      <rc t="2" v="13041"/>
    </bk>
    <bk>
      <rc t="2" v="13042"/>
    </bk>
    <bk>
      <rc t="2" v="13043"/>
    </bk>
    <bk>
      <rc t="2" v="13044"/>
    </bk>
    <bk>
      <rc t="2" v="13045"/>
    </bk>
    <bk>
      <rc t="2" v="13046"/>
    </bk>
    <bk>
      <rc t="2" v="13047"/>
    </bk>
    <bk>
      <rc t="2" v="13048"/>
    </bk>
    <bk>
      <rc t="2" v="13049"/>
    </bk>
    <bk>
      <rc t="2" v="13050"/>
    </bk>
    <bk>
      <rc t="2" v="13051"/>
    </bk>
    <bk>
      <rc t="2" v="13052"/>
    </bk>
    <bk>
      <rc t="2" v="13053"/>
    </bk>
    <bk>
      <rc t="2" v="13054"/>
    </bk>
    <bk>
      <rc t="2" v="13055"/>
    </bk>
    <bk>
      <rc t="2" v="13056"/>
    </bk>
    <bk>
      <rc t="2" v="13057"/>
    </bk>
    <bk>
      <rc t="2" v="13058"/>
    </bk>
    <bk>
      <rc t="2" v="13059"/>
    </bk>
    <bk>
      <rc t="2" v="13060"/>
    </bk>
    <bk>
      <rc t="2" v="13061"/>
    </bk>
    <bk>
      <rc t="2" v="13062"/>
    </bk>
    <bk>
      <rc t="2" v="13063"/>
    </bk>
    <bk>
      <rc t="2" v="13064"/>
    </bk>
    <bk>
      <rc t="2" v="13065"/>
    </bk>
    <bk>
      <rc t="2" v="13066"/>
    </bk>
    <bk>
      <rc t="2" v="13067"/>
    </bk>
    <bk>
      <rc t="2" v="13068"/>
    </bk>
    <bk>
      <rc t="2" v="13069"/>
    </bk>
    <bk>
      <rc t="2" v="13070"/>
    </bk>
    <bk>
      <rc t="2" v="13071"/>
    </bk>
    <bk>
      <rc t="2" v="13072"/>
    </bk>
    <bk>
      <rc t="2" v="13073"/>
    </bk>
    <bk>
      <rc t="2" v="13074"/>
    </bk>
    <bk>
      <rc t="2" v="13075"/>
    </bk>
    <bk>
      <rc t="2" v="13076"/>
    </bk>
    <bk>
      <rc t="2" v="13077"/>
    </bk>
    <bk>
      <rc t="2" v="13078"/>
    </bk>
    <bk>
      <rc t="2" v="13079"/>
    </bk>
    <bk>
      <rc t="2" v="13080"/>
    </bk>
    <bk>
      <rc t="2" v="13081"/>
    </bk>
    <bk>
      <rc t="2" v="13082"/>
    </bk>
    <bk>
      <rc t="2" v="13083"/>
    </bk>
    <bk>
      <rc t="2" v="13084"/>
    </bk>
    <bk>
      <rc t="2" v="13085"/>
    </bk>
    <bk>
      <rc t="2" v="13086"/>
    </bk>
    <bk>
      <rc t="2" v="13087"/>
    </bk>
    <bk>
      <rc t="2" v="13088"/>
    </bk>
    <bk>
      <rc t="2" v="13089"/>
    </bk>
    <bk>
      <rc t="2" v="13090"/>
    </bk>
    <bk>
      <rc t="2" v="13091"/>
    </bk>
    <bk>
      <rc t="2" v="13092"/>
    </bk>
    <bk>
      <rc t="2" v="13093"/>
    </bk>
    <bk>
      <rc t="2" v="13094"/>
    </bk>
    <bk>
      <rc t="2" v="13095"/>
    </bk>
    <bk>
      <rc t="2" v="13096"/>
    </bk>
    <bk>
      <rc t="2" v="13097"/>
    </bk>
    <bk>
      <rc t="2" v="13098"/>
    </bk>
    <bk>
      <rc t="2" v="13099"/>
    </bk>
    <bk>
      <rc t="2" v="13100"/>
    </bk>
    <bk>
      <rc t="2" v="13101"/>
    </bk>
    <bk>
      <rc t="2" v="13102"/>
    </bk>
    <bk>
      <rc t="2" v="13103"/>
    </bk>
    <bk>
      <rc t="2" v="13104"/>
    </bk>
    <bk>
      <rc t="2" v="13105"/>
    </bk>
    <bk>
      <rc t="2" v="13106"/>
    </bk>
    <bk>
      <rc t="2" v="13107"/>
    </bk>
    <bk>
      <rc t="2" v="13108"/>
    </bk>
    <bk>
      <rc t="2" v="13109"/>
    </bk>
    <bk>
      <rc t="2" v="13110"/>
    </bk>
    <bk>
      <rc t="2" v="13111"/>
    </bk>
    <bk>
      <rc t="2" v="13112"/>
    </bk>
    <bk>
      <rc t="2" v="13113"/>
    </bk>
    <bk>
      <rc t="2" v="13114"/>
    </bk>
    <bk>
      <rc t="2" v="13115"/>
    </bk>
    <bk>
      <rc t="2" v="13116"/>
    </bk>
    <bk>
      <rc t="2" v="13117"/>
    </bk>
    <bk>
      <rc t="2" v="13118"/>
    </bk>
    <bk>
      <rc t="2" v="13119"/>
    </bk>
    <bk>
      <rc t="2" v="13120"/>
    </bk>
    <bk>
      <rc t="2" v="13121"/>
    </bk>
    <bk>
      <rc t="2" v="13122"/>
    </bk>
    <bk>
      <rc t="2" v="13123"/>
    </bk>
    <bk>
      <rc t="2" v="13124"/>
    </bk>
    <bk>
      <rc t="2" v="13125"/>
    </bk>
    <bk>
      <rc t="2" v="13126"/>
    </bk>
    <bk>
      <rc t="2" v="13127"/>
    </bk>
    <bk>
      <rc t="2" v="13128"/>
    </bk>
    <bk>
      <rc t="2" v="13129"/>
    </bk>
    <bk>
      <rc t="2" v="13130"/>
    </bk>
    <bk>
      <rc t="2" v="13131"/>
    </bk>
    <bk>
      <rc t="2" v="13132"/>
    </bk>
    <bk>
      <rc t="2" v="13133"/>
    </bk>
    <bk>
      <rc t="2" v="13134"/>
    </bk>
    <bk>
      <rc t="2" v="13135"/>
    </bk>
    <bk>
      <rc t="2" v="13136"/>
    </bk>
    <bk>
      <rc t="2" v="13137"/>
    </bk>
    <bk>
      <rc t="2" v="13138"/>
    </bk>
    <bk>
      <rc t="2" v="13139"/>
    </bk>
    <bk>
      <rc t="2" v="13140"/>
    </bk>
    <bk>
      <rc t="2" v="13141"/>
    </bk>
    <bk>
      <rc t="2" v="13142"/>
    </bk>
    <bk>
      <rc t="2" v="13143"/>
    </bk>
    <bk>
      <rc t="2" v="13144"/>
    </bk>
    <bk>
      <rc t="2" v="13145"/>
    </bk>
    <bk>
      <rc t="2" v="13146"/>
    </bk>
    <bk>
      <rc t="2" v="13147"/>
    </bk>
    <bk>
      <rc t="2" v="13148"/>
    </bk>
    <bk>
      <rc t="2" v="13149"/>
    </bk>
    <bk>
      <rc t="2" v="13150"/>
    </bk>
    <bk>
      <rc t="2" v="13151"/>
    </bk>
    <bk>
      <rc t="2" v="13152"/>
    </bk>
    <bk>
      <rc t="2" v="13153"/>
    </bk>
    <bk>
      <rc t="2" v="13154"/>
    </bk>
    <bk>
      <rc t="2" v="13155"/>
    </bk>
    <bk>
      <rc t="2" v="13156"/>
    </bk>
    <bk>
      <rc t="2" v="13157"/>
    </bk>
    <bk>
      <rc t="2" v="13158"/>
    </bk>
    <bk>
      <rc t="2" v="13159"/>
    </bk>
    <bk>
      <rc t="2" v="13160"/>
    </bk>
    <bk>
      <rc t="2" v="13161"/>
    </bk>
    <bk>
      <rc t="2" v="13162"/>
    </bk>
    <bk>
      <rc t="2" v="13163"/>
    </bk>
    <bk>
      <rc t="2" v="13164"/>
    </bk>
    <bk>
      <rc t="2" v="13165"/>
    </bk>
    <bk>
      <rc t="2" v="13166"/>
    </bk>
    <bk>
      <rc t="2" v="13167"/>
    </bk>
    <bk>
      <rc t="2" v="13168"/>
    </bk>
    <bk>
      <rc t="2" v="13169"/>
    </bk>
    <bk>
      <rc t="2" v="13170"/>
    </bk>
    <bk>
      <rc t="2" v="13171"/>
    </bk>
    <bk>
      <rc t="2" v="13172"/>
    </bk>
    <bk>
      <rc t="2" v="13173"/>
    </bk>
    <bk>
      <rc t="2" v="13174"/>
    </bk>
    <bk>
      <rc t="2" v="13175"/>
    </bk>
    <bk>
      <rc t="2" v="13176"/>
    </bk>
    <bk>
      <rc t="2" v="13177"/>
    </bk>
    <bk>
      <rc t="2" v="13178"/>
    </bk>
    <bk>
      <rc t="2" v="13179"/>
    </bk>
    <bk>
      <rc t="2" v="13180"/>
    </bk>
    <bk>
      <rc t="2" v="13181"/>
    </bk>
    <bk>
      <rc t="2" v="13182"/>
    </bk>
    <bk>
      <rc t="2" v="13183"/>
    </bk>
    <bk>
      <rc t="2" v="13184"/>
    </bk>
    <bk>
      <rc t="2" v="13185"/>
    </bk>
    <bk>
      <rc t="2" v="13186"/>
    </bk>
    <bk>
      <rc t="2" v="13187"/>
    </bk>
    <bk>
      <rc t="2" v="13188"/>
    </bk>
    <bk>
      <rc t="2" v="13189"/>
    </bk>
    <bk>
      <rc t="2" v="13190"/>
    </bk>
    <bk>
      <rc t="2" v="13191"/>
    </bk>
    <bk>
      <rc t="2" v="13192"/>
    </bk>
    <bk>
      <rc t="2" v="13193"/>
    </bk>
    <bk>
      <rc t="2" v="13194"/>
    </bk>
    <bk>
      <rc t="2" v="13195"/>
    </bk>
    <bk>
      <rc t="2" v="13196"/>
    </bk>
    <bk>
      <rc t="2" v="13197"/>
    </bk>
    <bk>
      <rc t="2" v="13198"/>
    </bk>
    <bk>
      <rc t="2" v="13199"/>
    </bk>
    <bk>
      <rc t="2" v="13200"/>
    </bk>
    <bk>
      <rc t="2" v="13201"/>
    </bk>
    <bk>
      <rc t="2" v="13202"/>
    </bk>
    <bk>
      <rc t="2" v="13203"/>
    </bk>
    <bk>
      <rc t="2" v="13204"/>
    </bk>
    <bk>
      <rc t="2" v="13205"/>
    </bk>
    <bk>
      <rc t="2" v="13206"/>
    </bk>
    <bk>
      <rc t="2" v="13207"/>
    </bk>
    <bk>
      <rc t="2" v="13208"/>
    </bk>
    <bk>
      <rc t="2" v="13209"/>
    </bk>
    <bk>
      <rc t="2" v="13210"/>
    </bk>
    <bk>
      <rc t="2" v="13211"/>
    </bk>
    <bk>
      <rc t="2" v="13212"/>
    </bk>
    <bk>
      <rc t="2" v="13213"/>
    </bk>
    <bk>
      <rc t="2" v="13214"/>
    </bk>
    <bk>
      <rc t="2" v="13215"/>
    </bk>
    <bk>
      <rc t="2" v="13216"/>
    </bk>
    <bk>
      <rc t="2" v="13217"/>
    </bk>
    <bk>
      <rc t="2" v="13218"/>
    </bk>
    <bk>
      <rc t="2" v="13219"/>
    </bk>
    <bk>
      <rc t="2" v="13220"/>
    </bk>
    <bk>
      <rc t="2" v="13221"/>
    </bk>
    <bk>
      <rc t="2" v="13222"/>
    </bk>
    <bk>
      <rc t="2" v="13223"/>
    </bk>
    <bk>
      <rc t="2" v="13224"/>
    </bk>
    <bk>
      <rc t="2" v="13225"/>
    </bk>
    <bk>
      <rc t="2" v="13226"/>
    </bk>
    <bk>
      <rc t="2" v="13227"/>
    </bk>
    <bk>
      <rc t="2" v="13228"/>
    </bk>
    <bk>
      <rc t="2" v="13229"/>
    </bk>
    <bk>
      <rc t="2" v="13230"/>
    </bk>
    <bk>
      <rc t="2" v="13231"/>
    </bk>
    <bk>
      <rc t="2" v="13232"/>
    </bk>
    <bk>
      <rc t="2" v="13233"/>
    </bk>
    <bk>
      <rc t="2" v="13234"/>
    </bk>
    <bk>
      <rc t="2" v="13235"/>
    </bk>
    <bk>
      <rc t="2" v="13236"/>
    </bk>
    <bk>
      <rc t="2" v="13237"/>
    </bk>
    <bk>
      <rc t="2" v="13238"/>
    </bk>
    <bk>
      <rc t="2" v="13239"/>
    </bk>
    <bk>
      <rc t="2" v="13240"/>
    </bk>
    <bk>
      <rc t="2" v="13241"/>
    </bk>
    <bk>
      <rc t="2" v="13242"/>
    </bk>
    <bk>
      <rc t="2" v="13243"/>
    </bk>
    <bk>
      <rc t="2" v="13244"/>
    </bk>
    <bk>
      <rc t="2" v="13245"/>
    </bk>
    <bk>
      <rc t="2" v="13246"/>
    </bk>
    <bk>
      <rc t="2" v="13247"/>
    </bk>
    <bk>
      <rc t="2" v="13248"/>
    </bk>
    <bk>
      <rc t="2" v="13249"/>
    </bk>
    <bk>
      <rc t="2" v="13250"/>
    </bk>
    <bk>
      <rc t="2" v="13251"/>
    </bk>
    <bk>
      <rc t="2" v="13252"/>
    </bk>
    <bk>
      <rc t="2" v="13253"/>
    </bk>
    <bk>
      <rc t="2" v="13254"/>
    </bk>
    <bk>
      <rc t="2" v="13255"/>
    </bk>
    <bk>
      <rc t="2" v="13256"/>
    </bk>
    <bk>
      <rc t="2" v="13257"/>
    </bk>
    <bk>
      <rc t="2" v="13258"/>
    </bk>
    <bk>
      <rc t="2" v="13259"/>
    </bk>
    <bk>
      <rc t="2" v="13260"/>
    </bk>
    <bk>
      <rc t="2" v="13261"/>
    </bk>
    <bk>
      <rc t="2" v="13262"/>
    </bk>
    <bk>
      <rc t="2" v="13263"/>
    </bk>
    <bk>
      <rc t="2" v="13264"/>
    </bk>
    <bk>
      <rc t="2" v="13265"/>
    </bk>
    <bk>
      <rc t="2" v="13266"/>
    </bk>
    <bk>
      <rc t="2" v="13267"/>
    </bk>
    <bk>
      <rc t="2" v="13268"/>
    </bk>
    <bk>
      <rc t="2" v="13269"/>
    </bk>
    <bk>
      <rc t="2" v="13270"/>
    </bk>
    <bk>
      <rc t="2" v="13271"/>
    </bk>
    <bk>
      <rc t="2" v="13272"/>
    </bk>
    <bk>
      <rc t="2" v="13273"/>
    </bk>
    <bk>
      <rc t="2" v="13274"/>
    </bk>
    <bk>
      <rc t="2" v="13275"/>
    </bk>
    <bk>
      <rc t="2" v="13276"/>
    </bk>
    <bk>
      <rc t="2" v="13277"/>
    </bk>
    <bk>
      <rc t="2" v="13278"/>
    </bk>
    <bk>
      <rc t="2" v="13279"/>
    </bk>
    <bk>
      <rc t="2" v="13280"/>
    </bk>
    <bk>
      <rc t="2" v="13281"/>
    </bk>
    <bk>
      <rc t="2" v="13282"/>
    </bk>
    <bk>
      <rc t="2" v="13283"/>
    </bk>
    <bk>
      <rc t="2" v="13284"/>
    </bk>
    <bk>
      <rc t="2" v="13285"/>
    </bk>
    <bk>
      <rc t="2" v="13286"/>
    </bk>
    <bk>
      <rc t="2" v="13287"/>
    </bk>
    <bk>
      <rc t="2" v="13288"/>
    </bk>
    <bk>
      <rc t="2" v="13289"/>
    </bk>
    <bk>
      <rc t="2" v="13290"/>
    </bk>
    <bk>
      <rc t="2" v="13291"/>
    </bk>
    <bk>
      <rc t="2" v="13292"/>
    </bk>
    <bk>
      <rc t="2" v="13293"/>
    </bk>
    <bk>
      <rc t="2" v="13294"/>
    </bk>
    <bk>
      <rc t="2" v="13295"/>
    </bk>
    <bk>
      <rc t="2" v="13296"/>
    </bk>
    <bk>
      <rc t="2" v="13297"/>
    </bk>
    <bk>
      <rc t="2" v="13298"/>
    </bk>
    <bk>
      <rc t="2" v="13299"/>
    </bk>
    <bk>
      <rc t="2" v="13300"/>
    </bk>
    <bk>
      <rc t="2" v="13301"/>
    </bk>
    <bk>
      <rc t="2" v="13302"/>
    </bk>
    <bk>
      <rc t="2" v="13303"/>
    </bk>
    <bk>
      <rc t="2" v="13304"/>
    </bk>
    <bk>
      <rc t="2" v="13305"/>
    </bk>
    <bk>
      <rc t="2" v="13306"/>
    </bk>
    <bk>
      <rc t="2" v="13307"/>
    </bk>
    <bk>
      <rc t="2" v="13308"/>
    </bk>
    <bk>
      <rc t="2" v="13309"/>
    </bk>
    <bk>
      <rc t="2" v="13310"/>
    </bk>
    <bk>
      <rc t="2" v="13311"/>
    </bk>
    <bk>
      <rc t="2" v="13312"/>
    </bk>
    <bk>
      <rc t="2" v="13313"/>
    </bk>
    <bk>
      <rc t="2" v="13314"/>
    </bk>
    <bk>
      <rc t="2" v="13315"/>
    </bk>
    <bk>
      <rc t="2" v="13316"/>
    </bk>
    <bk>
      <rc t="2" v="13317"/>
    </bk>
    <bk>
      <rc t="2" v="13318"/>
    </bk>
    <bk>
      <rc t="2" v="13319"/>
    </bk>
    <bk>
      <rc t="2" v="13320"/>
    </bk>
    <bk>
      <rc t="2" v="13321"/>
    </bk>
    <bk>
      <rc t="2" v="13322"/>
    </bk>
    <bk>
      <rc t="2" v="13323"/>
    </bk>
    <bk>
      <rc t="2" v="13324"/>
    </bk>
    <bk>
      <rc t="2" v="13325"/>
    </bk>
    <bk>
      <rc t="2" v="13326"/>
    </bk>
    <bk>
      <rc t="2" v="13327"/>
    </bk>
    <bk>
      <rc t="2" v="13328"/>
    </bk>
    <bk>
      <rc t="2" v="13329"/>
    </bk>
    <bk>
      <rc t="2" v="13330"/>
    </bk>
    <bk>
      <rc t="2" v="13331"/>
    </bk>
    <bk>
      <rc t="2" v="13332"/>
    </bk>
    <bk>
      <rc t="2" v="13333"/>
    </bk>
    <bk>
      <rc t="2" v="13334"/>
    </bk>
    <bk>
      <rc t="2" v="13335"/>
    </bk>
    <bk>
      <rc t="2" v="13336"/>
    </bk>
    <bk>
      <rc t="2" v="13337"/>
    </bk>
    <bk>
      <rc t="2" v="13338"/>
    </bk>
    <bk>
      <rc t="2" v="13339"/>
    </bk>
    <bk>
      <rc t="2" v="13340"/>
    </bk>
    <bk>
      <rc t="2" v="13341"/>
    </bk>
    <bk>
      <rc t="2" v="13342"/>
    </bk>
    <bk>
      <rc t="2" v="13343"/>
    </bk>
    <bk>
      <rc t="2" v="13344"/>
    </bk>
    <bk>
      <rc t="2" v="13345"/>
    </bk>
    <bk>
      <rc t="2" v="13346"/>
    </bk>
    <bk>
      <rc t="2" v="13347"/>
    </bk>
    <bk>
      <rc t="2" v="13348"/>
    </bk>
    <bk>
      <rc t="2" v="13349"/>
    </bk>
    <bk>
      <rc t="2" v="13350"/>
    </bk>
    <bk>
      <rc t="2" v="13351"/>
    </bk>
    <bk>
      <rc t="2" v="13352"/>
    </bk>
    <bk>
      <rc t="2" v="13353"/>
    </bk>
    <bk>
      <rc t="2" v="13354"/>
    </bk>
    <bk>
      <rc t="2" v="13355"/>
    </bk>
    <bk>
      <rc t="2" v="13356"/>
    </bk>
    <bk>
      <rc t="2" v="13357"/>
    </bk>
    <bk>
      <rc t="2" v="13358"/>
    </bk>
    <bk>
      <rc t="2" v="13359"/>
    </bk>
    <bk>
      <rc t="2" v="13360"/>
    </bk>
    <bk>
      <rc t="2" v="13361"/>
    </bk>
    <bk>
      <rc t="2" v="13362"/>
    </bk>
    <bk>
      <rc t="2" v="13363"/>
    </bk>
    <bk>
      <rc t="2" v="13364"/>
    </bk>
    <bk>
      <rc t="2" v="13365"/>
    </bk>
    <bk>
      <rc t="2" v="13366"/>
    </bk>
    <bk>
      <rc t="2" v="13367"/>
    </bk>
    <bk>
      <rc t="2" v="13368"/>
    </bk>
    <bk>
      <rc t="2" v="13369"/>
    </bk>
    <bk>
      <rc t="2" v="13370"/>
    </bk>
    <bk>
      <rc t="2" v="13371"/>
    </bk>
    <bk>
      <rc t="2" v="13372"/>
    </bk>
    <bk>
      <rc t="2" v="13373"/>
    </bk>
    <bk>
      <rc t="2" v="13374"/>
    </bk>
    <bk>
      <rc t="2" v="13375"/>
    </bk>
    <bk>
      <rc t="2" v="13376"/>
    </bk>
    <bk>
      <rc t="2" v="13377"/>
    </bk>
    <bk>
      <rc t="2" v="13378"/>
    </bk>
    <bk>
      <rc t="2" v="13379"/>
    </bk>
    <bk>
      <rc t="2" v="13380"/>
    </bk>
    <bk>
      <rc t="2" v="13381"/>
    </bk>
    <bk>
      <rc t="2" v="13382"/>
    </bk>
    <bk>
      <rc t="2" v="13383"/>
    </bk>
    <bk>
      <rc t="2" v="13384"/>
    </bk>
    <bk>
      <rc t="2" v="13385"/>
    </bk>
    <bk>
      <rc t="2" v="13386"/>
    </bk>
    <bk>
      <rc t="2" v="13387"/>
    </bk>
    <bk>
      <rc t="2" v="13388"/>
    </bk>
    <bk>
      <rc t="2" v="13389"/>
    </bk>
    <bk>
      <rc t="2" v="13390"/>
    </bk>
    <bk>
      <rc t="2" v="13391"/>
    </bk>
    <bk>
      <rc t="2" v="13392"/>
    </bk>
    <bk>
      <rc t="2" v="13393"/>
    </bk>
    <bk>
      <rc t="2" v="13394"/>
    </bk>
    <bk>
      <rc t="2" v="13395"/>
    </bk>
    <bk>
      <rc t="2" v="13396"/>
    </bk>
    <bk>
      <rc t="2" v="13397"/>
    </bk>
    <bk>
      <rc t="2" v="13398"/>
    </bk>
    <bk>
      <rc t="2" v="13399"/>
    </bk>
    <bk>
      <rc t="2" v="13400"/>
    </bk>
    <bk>
      <rc t="2" v="13401"/>
    </bk>
    <bk>
      <rc t="2" v="13402"/>
    </bk>
    <bk>
      <rc t="2" v="13403"/>
    </bk>
    <bk>
      <rc t="2" v="13404"/>
    </bk>
    <bk>
      <rc t="2" v="13405"/>
    </bk>
    <bk>
      <rc t="2" v="13406"/>
    </bk>
    <bk>
      <rc t="2" v="13407"/>
    </bk>
    <bk>
      <rc t="2" v="13408"/>
    </bk>
    <bk>
      <rc t="2" v="13409"/>
    </bk>
    <bk>
      <rc t="2" v="13410"/>
    </bk>
    <bk>
      <rc t="2" v="13411"/>
    </bk>
    <bk>
      <rc t="2" v="13412"/>
    </bk>
    <bk>
      <rc t="2" v="13413"/>
    </bk>
    <bk>
      <rc t="2" v="13414"/>
    </bk>
    <bk>
      <rc t="2" v="13415"/>
    </bk>
    <bk>
      <rc t="2" v="13416"/>
    </bk>
    <bk>
      <rc t="2" v="13417"/>
    </bk>
    <bk>
      <rc t="2" v="13418"/>
    </bk>
    <bk>
      <rc t="2" v="13419"/>
    </bk>
    <bk>
      <rc t="2" v="13420"/>
    </bk>
    <bk>
      <rc t="2" v="13421"/>
    </bk>
    <bk>
      <rc t="2" v="13422"/>
    </bk>
    <bk>
      <rc t="2" v="13423"/>
    </bk>
    <bk>
      <rc t="2" v="13424"/>
    </bk>
    <bk>
      <rc t="2" v="13425"/>
    </bk>
    <bk>
      <rc t="2" v="13426"/>
    </bk>
    <bk>
      <rc t="2" v="13427"/>
    </bk>
    <bk>
      <rc t="2" v="13428"/>
    </bk>
    <bk>
      <rc t="2" v="13429"/>
    </bk>
    <bk>
      <rc t="2" v="13430"/>
    </bk>
    <bk>
      <rc t="2" v="13431"/>
    </bk>
    <bk>
      <rc t="2" v="13432"/>
    </bk>
    <bk>
      <rc t="2" v="13433"/>
    </bk>
    <bk>
      <rc t="2" v="13434"/>
    </bk>
    <bk>
      <rc t="2" v="13435"/>
    </bk>
    <bk>
      <rc t="2" v="13436"/>
    </bk>
    <bk>
      <rc t="2" v="13437"/>
    </bk>
    <bk>
      <rc t="2" v="13438"/>
    </bk>
    <bk>
      <rc t="2" v="13439"/>
    </bk>
    <bk>
      <rc t="2" v="13440"/>
    </bk>
    <bk>
      <rc t="2" v="13441"/>
    </bk>
    <bk>
      <rc t="2" v="13442"/>
    </bk>
    <bk>
      <rc t="2" v="13443"/>
    </bk>
    <bk>
      <rc t="2" v="13444"/>
    </bk>
    <bk>
      <rc t="2" v="13445"/>
    </bk>
    <bk>
      <rc t="2" v="13446"/>
    </bk>
    <bk>
      <rc t="2" v="13447"/>
    </bk>
    <bk>
      <rc t="2" v="13448"/>
    </bk>
    <bk>
      <rc t="2" v="13449"/>
    </bk>
    <bk>
      <rc t="2" v="13450"/>
    </bk>
    <bk>
      <rc t="2" v="13451"/>
    </bk>
    <bk>
      <rc t="2" v="13452"/>
    </bk>
    <bk>
      <rc t="2" v="13453"/>
    </bk>
    <bk>
      <rc t="2" v="13454"/>
    </bk>
    <bk>
      <rc t="2" v="13455"/>
    </bk>
    <bk>
      <rc t="2" v="13456"/>
    </bk>
    <bk>
      <rc t="2" v="13457"/>
    </bk>
    <bk>
      <rc t="2" v="13458"/>
    </bk>
    <bk>
      <rc t="2" v="13459"/>
    </bk>
    <bk>
      <rc t="2" v="13460"/>
    </bk>
    <bk>
      <rc t="2" v="13461"/>
    </bk>
    <bk>
      <rc t="2" v="13462"/>
    </bk>
    <bk>
      <rc t="2" v="13463"/>
    </bk>
    <bk>
      <rc t="2" v="13464"/>
    </bk>
    <bk>
      <rc t="2" v="13465"/>
    </bk>
    <bk>
      <rc t="2" v="13466"/>
    </bk>
    <bk>
      <rc t="2" v="13467"/>
    </bk>
    <bk>
      <rc t="2" v="13468"/>
    </bk>
    <bk>
      <rc t="2" v="13469"/>
    </bk>
    <bk>
      <rc t="2" v="13470"/>
    </bk>
    <bk>
      <rc t="2" v="13471"/>
    </bk>
    <bk>
      <rc t="2" v="13472"/>
    </bk>
    <bk>
      <rc t="2" v="13473"/>
    </bk>
    <bk>
      <rc t="2" v="13474"/>
    </bk>
    <bk>
      <rc t="2" v="13475"/>
    </bk>
    <bk>
      <rc t="2" v="13476"/>
    </bk>
    <bk>
      <rc t="2" v="13477"/>
    </bk>
    <bk>
      <rc t="2" v="13478"/>
    </bk>
    <bk>
      <rc t="2" v="13479"/>
    </bk>
    <bk>
      <rc t="2" v="13480"/>
    </bk>
    <bk>
      <rc t="2" v="13481"/>
    </bk>
    <bk>
      <rc t="2" v="13482"/>
    </bk>
    <bk>
      <rc t="2" v="13483"/>
    </bk>
    <bk>
      <rc t="2" v="13484"/>
    </bk>
    <bk>
      <rc t="2" v="13485"/>
    </bk>
    <bk>
      <rc t="2" v="13486"/>
    </bk>
    <bk>
      <rc t="2" v="13487"/>
    </bk>
    <bk>
      <rc t="2" v="13488"/>
    </bk>
    <bk>
      <rc t="2" v="13489"/>
    </bk>
    <bk>
      <rc t="2" v="13490"/>
    </bk>
    <bk>
      <rc t="2" v="13491"/>
    </bk>
    <bk>
      <rc t="2" v="13492"/>
    </bk>
    <bk>
      <rc t="2" v="13493"/>
    </bk>
    <bk>
      <rc t="2" v="13494"/>
    </bk>
    <bk>
      <rc t="2" v="13495"/>
    </bk>
    <bk>
      <rc t="2" v="13496"/>
    </bk>
    <bk>
      <rc t="2" v="13497"/>
    </bk>
    <bk>
      <rc t="2" v="13498"/>
    </bk>
    <bk>
      <rc t="2" v="13499"/>
    </bk>
    <bk>
      <rc t="2" v="13500"/>
    </bk>
    <bk>
      <rc t="2" v="13501"/>
    </bk>
    <bk>
      <rc t="2" v="13502"/>
    </bk>
    <bk>
      <rc t="2" v="13503"/>
    </bk>
    <bk>
      <rc t="2" v="13504"/>
    </bk>
    <bk>
      <rc t="2" v="13505"/>
    </bk>
    <bk>
      <rc t="2" v="13506"/>
    </bk>
    <bk>
      <rc t="2" v="13507"/>
    </bk>
    <bk>
      <rc t="2" v="13508"/>
    </bk>
    <bk>
      <rc t="2" v="13509"/>
    </bk>
    <bk>
      <rc t="2" v="13510"/>
    </bk>
    <bk>
      <rc t="2" v="13511"/>
    </bk>
    <bk>
      <rc t="2" v="13512"/>
    </bk>
    <bk>
      <rc t="2" v="13513"/>
    </bk>
    <bk>
      <rc t="2" v="13514"/>
    </bk>
    <bk>
      <rc t="2" v="13515"/>
    </bk>
    <bk>
      <rc t="2" v="13516"/>
    </bk>
    <bk>
      <rc t="2" v="13517"/>
    </bk>
    <bk>
      <rc t="2" v="13518"/>
    </bk>
    <bk>
      <rc t="2" v="13519"/>
    </bk>
    <bk>
      <rc t="2" v="13520"/>
    </bk>
    <bk>
      <rc t="2" v="13521"/>
    </bk>
    <bk>
      <rc t="2" v="13522"/>
    </bk>
    <bk>
      <rc t="2" v="13523"/>
    </bk>
    <bk>
      <rc t="2" v="13524"/>
    </bk>
    <bk>
      <rc t="2" v="13525"/>
    </bk>
    <bk>
      <rc t="2" v="13526"/>
    </bk>
    <bk>
      <rc t="2" v="13527"/>
    </bk>
    <bk>
      <rc t="2" v="13528"/>
    </bk>
    <bk>
      <rc t="2" v="13529"/>
    </bk>
    <bk>
      <rc t="2" v="13530"/>
    </bk>
    <bk>
      <rc t="2" v="13531"/>
    </bk>
    <bk>
      <rc t="2" v="13532"/>
    </bk>
    <bk>
      <rc t="2" v="13533"/>
    </bk>
    <bk>
      <rc t="2" v="13534"/>
    </bk>
    <bk>
      <rc t="2" v="13535"/>
    </bk>
    <bk>
      <rc t="2" v="13536"/>
    </bk>
    <bk>
      <rc t="2" v="13537"/>
    </bk>
    <bk>
      <rc t="2" v="13538"/>
    </bk>
    <bk>
      <rc t="2" v="13539"/>
    </bk>
    <bk>
      <rc t="2" v="13540"/>
    </bk>
    <bk>
      <rc t="2" v="13541"/>
    </bk>
    <bk>
      <rc t="2" v="13542"/>
    </bk>
    <bk>
      <rc t="2" v="13543"/>
    </bk>
    <bk>
      <rc t="2" v="13544"/>
    </bk>
    <bk>
      <rc t="2" v="13545"/>
    </bk>
    <bk>
      <rc t="2" v="13546"/>
    </bk>
    <bk>
      <rc t="2" v="13547"/>
    </bk>
    <bk>
      <rc t="2" v="13548"/>
    </bk>
    <bk>
      <rc t="2" v="13549"/>
    </bk>
    <bk>
      <rc t="2" v="13550"/>
    </bk>
    <bk>
      <rc t="2" v="13551"/>
    </bk>
    <bk>
      <rc t="2" v="13552"/>
    </bk>
    <bk>
      <rc t="2" v="13553"/>
    </bk>
    <bk>
      <rc t="2" v="13554"/>
    </bk>
    <bk>
      <rc t="2" v="13555"/>
    </bk>
    <bk>
      <rc t="2" v="13556"/>
    </bk>
    <bk>
      <rc t="2" v="13557"/>
    </bk>
    <bk>
      <rc t="2" v="13558"/>
    </bk>
    <bk>
      <rc t="2" v="13559"/>
    </bk>
    <bk>
      <rc t="2" v="13560"/>
    </bk>
    <bk>
      <rc t="2" v="13561"/>
    </bk>
    <bk>
      <rc t="2" v="13562"/>
    </bk>
    <bk>
      <rc t="2" v="13563"/>
    </bk>
    <bk>
      <rc t="2" v="13564"/>
    </bk>
    <bk>
      <rc t="2" v="13565"/>
    </bk>
    <bk>
      <rc t="2" v="13566"/>
    </bk>
    <bk>
      <rc t="2" v="13567"/>
    </bk>
    <bk>
      <rc t="2" v="13568"/>
    </bk>
    <bk>
      <rc t="2" v="13569"/>
    </bk>
    <bk>
      <rc t="2" v="13570"/>
    </bk>
    <bk>
      <rc t="2" v="13571"/>
    </bk>
    <bk>
      <rc t="2" v="13572"/>
    </bk>
    <bk>
      <rc t="2" v="13573"/>
    </bk>
    <bk>
      <rc t="2" v="13574"/>
    </bk>
    <bk>
      <rc t="2" v="13575"/>
    </bk>
    <bk>
      <rc t="2" v="13576"/>
    </bk>
    <bk>
      <rc t="2" v="13577"/>
    </bk>
    <bk>
      <rc t="2" v="13578"/>
    </bk>
    <bk>
      <rc t="2" v="13579"/>
    </bk>
    <bk>
      <rc t="2" v="13580"/>
    </bk>
    <bk>
      <rc t="2" v="13581"/>
    </bk>
    <bk>
      <rc t="2" v="13582"/>
    </bk>
    <bk>
      <rc t="2" v="13583"/>
    </bk>
    <bk>
      <rc t="2" v="13584"/>
    </bk>
    <bk>
      <rc t="2" v="13585"/>
    </bk>
    <bk>
      <rc t="2" v="13586"/>
    </bk>
    <bk>
      <rc t="2" v="13587"/>
    </bk>
    <bk>
      <rc t="2" v="13588"/>
    </bk>
    <bk>
      <rc t="2" v="13589"/>
    </bk>
    <bk>
      <rc t="2" v="13590"/>
    </bk>
    <bk>
      <rc t="2" v="13591"/>
    </bk>
    <bk>
      <rc t="2" v="13592"/>
    </bk>
    <bk>
      <rc t="2" v="13593"/>
    </bk>
    <bk>
      <rc t="2" v="13594"/>
    </bk>
    <bk>
      <rc t="2" v="13595"/>
    </bk>
    <bk>
      <rc t="2" v="13596"/>
    </bk>
    <bk>
      <rc t="2" v="13597"/>
    </bk>
    <bk>
      <rc t="2" v="13598"/>
    </bk>
    <bk>
      <rc t="2" v="13599"/>
    </bk>
    <bk>
      <rc t="2" v="13600"/>
    </bk>
    <bk>
      <rc t="2" v="13601"/>
    </bk>
    <bk>
      <rc t="2" v="13602"/>
    </bk>
    <bk>
      <rc t="2" v="13603"/>
    </bk>
    <bk>
      <rc t="2" v="13604"/>
    </bk>
    <bk>
      <rc t="2" v="13605"/>
    </bk>
    <bk>
      <rc t="2" v="13606"/>
    </bk>
    <bk>
      <rc t="2" v="13607"/>
    </bk>
    <bk>
      <rc t="2" v="13608"/>
    </bk>
    <bk>
      <rc t="2" v="13609"/>
    </bk>
    <bk>
      <rc t="2" v="13610"/>
    </bk>
    <bk>
      <rc t="2" v="13611"/>
    </bk>
    <bk>
      <rc t="2" v="13612"/>
    </bk>
    <bk>
      <rc t="2" v="13613"/>
    </bk>
    <bk>
      <rc t="2" v="13614"/>
    </bk>
    <bk>
      <rc t="2" v="13615"/>
    </bk>
    <bk>
      <rc t="2" v="13616"/>
    </bk>
    <bk>
      <rc t="2" v="13617"/>
    </bk>
    <bk>
      <rc t="2" v="13618"/>
    </bk>
    <bk>
      <rc t="2" v="13619"/>
    </bk>
    <bk>
      <rc t="2" v="13620"/>
    </bk>
    <bk>
      <rc t="2" v="13621"/>
    </bk>
    <bk>
      <rc t="2" v="13622"/>
    </bk>
    <bk>
      <rc t="2" v="13623"/>
    </bk>
    <bk>
      <rc t="2" v="13624"/>
    </bk>
    <bk>
      <rc t="2" v="13625"/>
    </bk>
    <bk>
      <rc t="2" v="13626"/>
    </bk>
    <bk>
      <rc t="2" v="13627"/>
    </bk>
    <bk>
      <rc t="2" v="13628"/>
    </bk>
    <bk>
      <rc t="2" v="13629"/>
    </bk>
    <bk>
      <rc t="2" v="13630"/>
    </bk>
    <bk>
      <rc t="2" v="13631"/>
    </bk>
    <bk>
      <rc t="2" v="13632"/>
    </bk>
    <bk>
      <rc t="2" v="13633"/>
    </bk>
    <bk>
      <rc t="2" v="13634"/>
    </bk>
    <bk>
      <rc t="2" v="13635"/>
    </bk>
    <bk>
      <rc t="2" v="13636"/>
    </bk>
    <bk>
      <rc t="2" v="13637"/>
    </bk>
    <bk>
      <rc t="2" v="13638"/>
    </bk>
    <bk>
      <rc t="2" v="13639"/>
    </bk>
    <bk>
      <rc t="2" v="13640"/>
    </bk>
    <bk>
      <rc t="2" v="13641"/>
    </bk>
    <bk>
      <rc t="2" v="13642"/>
    </bk>
    <bk>
      <rc t="2" v="13643"/>
    </bk>
    <bk>
      <rc t="2" v="13644"/>
    </bk>
    <bk>
      <rc t="2" v="13645"/>
    </bk>
    <bk>
      <rc t="2" v="13646"/>
    </bk>
    <bk>
      <rc t="2" v="13647"/>
    </bk>
    <bk>
      <rc t="2" v="13648"/>
    </bk>
    <bk>
      <rc t="2" v="13649"/>
    </bk>
    <bk>
      <rc t="2" v="13650"/>
    </bk>
    <bk>
      <rc t="2" v="13651"/>
    </bk>
    <bk>
      <rc t="2" v="13652"/>
    </bk>
    <bk>
      <rc t="2" v="13653"/>
    </bk>
    <bk>
      <rc t="2" v="13654"/>
    </bk>
    <bk>
      <rc t="2" v="13655"/>
    </bk>
    <bk>
      <rc t="2" v="13656"/>
    </bk>
    <bk>
      <rc t="2" v="13657"/>
    </bk>
    <bk>
      <rc t="2" v="13658"/>
    </bk>
    <bk>
      <rc t="2" v="13659"/>
    </bk>
    <bk>
      <rc t="2" v="13660"/>
    </bk>
    <bk>
      <rc t="2" v="13661"/>
    </bk>
    <bk>
      <rc t="2" v="13662"/>
    </bk>
    <bk>
      <rc t="2" v="13663"/>
    </bk>
    <bk>
      <rc t="2" v="13664"/>
    </bk>
    <bk>
      <rc t="2" v="13665"/>
    </bk>
    <bk>
      <rc t="2" v="13666"/>
    </bk>
    <bk>
      <rc t="2" v="13667"/>
    </bk>
    <bk>
      <rc t="2" v="13668"/>
    </bk>
    <bk>
      <rc t="2" v="13669"/>
    </bk>
    <bk>
      <rc t="2" v="13670"/>
    </bk>
    <bk>
      <rc t="2" v="13671"/>
    </bk>
    <bk>
      <rc t="2" v="13672"/>
    </bk>
    <bk>
      <rc t="2" v="13673"/>
    </bk>
    <bk>
      <rc t="2" v="13674"/>
    </bk>
    <bk>
      <rc t="2" v="13675"/>
    </bk>
    <bk>
      <rc t="2" v="13676"/>
    </bk>
    <bk>
      <rc t="2" v="13677"/>
    </bk>
    <bk>
      <rc t="2" v="13678"/>
    </bk>
    <bk>
      <rc t="2" v="13679"/>
    </bk>
    <bk>
      <rc t="2" v="13680"/>
    </bk>
    <bk>
      <rc t="2" v="13681"/>
    </bk>
    <bk>
      <rc t="2" v="13682"/>
    </bk>
    <bk>
      <rc t="2" v="13683"/>
    </bk>
    <bk>
      <rc t="2" v="13684"/>
    </bk>
    <bk>
      <rc t="2" v="13685"/>
    </bk>
    <bk>
      <rc t="2" v="13686"/>
    </bk>
    <bk>
      <rc t="2" v="13687"/>
    </bk>
    <bk>
      <rc t="2" v="13688"/>
    </bk>
    <bk>
      <rc t="2" v="13689"/>
    </bk>
    <bk>
      <rc t="2" v="13690"/>
    </bk>
    <bk>
      <rc t="2" v="13691"/>
    </bk>
    <bk>
      <rc t="2" v="13692"/>
    </bk>
    <bk>
      <rc t="2" v="13693"/>
    </bk>
    <bk>
      <rc t="2" v="13694"/>
    </bk>
    <bk>
      <rc t="2" v="13695"/>
    </bk>
    <bk>
      <rc t="2" v="13696"/>
    </bk>
    <bk>
      <rc t="2" v="13697"/>
    </bk>
    <bk>
      <rc t="2" v="13698"/>
    </bk>
    <bk>
      <rc t="2" v="13699"/>
    </bk>
    <bk>
      <rc t="2" v="13700"/>
    </bk>
    <bk>
      <rc t="2" v="13701"/>
    </bk>
    <bk>
      <rc t="2" v="13702"/>
    </bk>
    <bk>
      <rc t="2" v="13703"/>
    </bk>
    <bk>
      <rc t="2" v="13704"/>
    </bk>
    <bk>
      <rc t="2" v="13705"/>
    </bk>
    <bk>
      <rc t="2" v="13706"/>
    </bk>
    <bk>
      <rc t="2" v="13707"/>
    </bk>
    <bk>
      <rc t="2" v="13708"/>
    </bk>
    <bk>
      <rc t="2" v="13709"/>
    </bk>
    <bk>
      <rc t="2" v="13710"/>
    </bk>
    <bk>
      <rc t="2" v="13711"/>
    </bk>
    <bk>
      <rc t="2" v="13712"/>
    </bk>
    <bk>
      <rc t="2" v="13713"/>
    </bk>
    <bk>
      <rc t="2" v="13714"/>
    </bk>
    <bk>
      <rc t="2" v="13715"/>
    </bk>
    <bk>
      <rc t="2" v="13716"/>
    </bk>
    <bk>
      <rc t="2" v="13717"/>
    </bk>
    <bk>
      <rc t="2" v="13718"/>
    </bk>
    <bk>
      <rc t="2" v="13719"/>
    </bk>
    <bk>
      <rc t="2" v="13720"/>
    </bk>
    <bk>
      <rc t="2" v="13721"/>
    </bk>
    <bk>
      <rc t="2" v="13722"/>
    </bk>
    <bk>
      <rc t="2" v="13723"/>
    </bk>
    <bk>
      <rc t="2" v="13724"/>
    </bk>
    <bk>
      <rc t="2" v="13725"/>
    </bk>
    <bk>
      <rc t="2" v="13726"/>
    </bk>
    <bk>
      <rc t="2" v="13727"/>
    </bk>
    <bk>
      <rc t="2" v="13728"/>
    </bk>
    <bk>
      <rc t="2" v="13729"/>
    </bk>
    <bk>
      <rc t="2" v="13730"/>
    </bk>
    <bk>
      <rc t="2" v="13731"/>
    </bk>
    <bk>
      <rc t="2" v="13732"/>
    </bk>
    <bk>
      <rc t="2" v="13733"/>
    </bk>
    <bk>
      <rc t="2" v="13734"/>
    </bk>
    <bk>
      <rc t="2" v="13735"/>
    </bk>
    <bk>
      <rc t="2" v="13736"/>
    </bk>
    <bk>
      <rc t="2" v="13737"/>
    </bk>
    <bk>
      <rc t="2" v="13738"/>
    </bk>
    <bk>
      <rc t="2" v="13739"/>
    </bk>
    <bk>
      <rc t="2" v="13740"/>
    </bk>
    <bk>
      <rc t="2" v="13741"/>
    </bk>
    <bk>
      <rc t="2" v="13742"/>
    </bk>
    <bk>
      <rc t="2" v="13743"/>
    </bk>
    <bk>
      <rc t="2" v="13744"/>
    </bk>
    <bk>
      <rc t="2" v="13745"/>
    </bk>
    <bk>
      <rc t="2" v="13746"/>
    </bk>
    <bk>
      <rc t="2" v="13747"/>
    </bk>
    <bk>
      <rc t="2" v="13748"/>
    </bk>
    <bk>
      <rc t="2" v="13749"/>
    </bk>
    <bk>
      <rc t="2" v="13750"/>
    </bk>
    <bk>
      <rc t="2" v="13751"/>
    </bk>
    <bk>
      <rc t="2" v="13752"/>
    </bk>
    <bk>
      <rc t="2" v="13753"/>
    </bk>
    <bk>
      <rc t="2" v="13754"/>
    </bk>
    <bk>
      <rc t="2" v="13755"/>
    </bk>
    <bk>
      <rc t="2" v="13756"/>
    </bk>
    <bk>
      <rc t="2" v="13757"/>
    </bk>
    <bk>
      <rc t="2" v="13758"/>
    </bk>
    <bk>
      <rc t="2" v="13759"/>
    </bk>
    <bk>
      <rc t="2" v="13760"/>
    </bk>
    <bk>
      <rc t="2" v="13761"/>
    </bk>
    <bk>
      <rc t="2" v="13762"/>
    </bk>
    <bk>
      <rc t="2" v="13763"/>
    </bk>
    <bk>
      <rc t="2" v="13764"/>
    </bk>
    <bk>
      <rc t="2" v="13765"/>
    </bk>
    <bk>
      <rc t="2" v="13766"/>
    </bk>
    <bk>
      <rc t="2" v="13767"/>
    </bk>
    <bk>
      <rc t="2" v="13768"/>
    </bk>
    <bk>
      <rc t="2" v="13769"/>
    </bk>
    <bk>
      <rc t="2" v="13770"/>
    </bk>
    <bk>
      <rc t="2" v="13771"/>
    </bk>
    <bk>
      <rc t="2" v="13772"/>
    </bk>
    <bk>
      <rc t="2" v="13773"/>
    </bk>
    <bk>
      <rc t="2" v="13774"/>
    </bk>
    <bk>
      <rc t="2" v="13775"/>
    </bk>
    <bk>
      <rc t="2" v="13776"/>
    </bk>
    <bk>
      <rc t="2" v="13777"/>
    </bk>
    <bk>
      <rc t="2" v="13778"/>
    </bk>
    <bk>
      <rc t="2" v="13779"/>
    </bk>
    <bk>
      <rc t="2" v="13780"/>
    </bk>
    <bk>
      <rc t="2" v="13781"/>
    </bk>
    <bk>
      <rc t="2" v="13782"/>
    </bk>
    <bk>
      <rc t="2" v="13783"/>
    </bk>
    <bk>
      <rc t="2" v="13784"/>
    </bk>
    <bk>
      <rc t="2" v="13785"/>
    </bk>
    <bk>
      <rc t="2" v="13786"/>
    </bk>
    <bk>
      <rc t="2" v="13787"/>
    </bk>
    <bk>
      <rc t="2" v="13788"/>
    </bk>
    <bk>
      <rc t="2" v="13789"/>
    </bk>
    <bk>
      <rc t="2" v="13790"/>
    </bk>
    <bk>
      <rc t="2" v="13791"/>
    </bk>
    <bk>
      <rc t="2" v="13792"/>
    </bk>
    <bk>
      <rc t="2" v="13793"/>
    </bk>
    <bk>
      <rc t="2" v="13794"/>
    </bk>
    <bk>
      <rc t="2" v="13795"/>
    </bk>
    <bk>
      <rc t="2" v="13796"/>
    </bk>
    <bk>
      <rc t="2" v="13797"/>
    </bk>
    <bk>
      <rc t="2" v="13798"/>
    </bk>
    <bk>
      <rc t="2" v="13799"/>
    </bk>
    <bk>
      <rc t="2" v="13800"/>
    </bk>
    <bk>
      <rc t="2" v="13801"/>
    </bk>
    <bk>
      <rc t="2" v="13802"/>
    </bk>
    <bk>
      <rc t="2" v="13803"/>
    </bk>
    <bk>
      <rc t="2" v="13804"/>
    </bk>
    <bk>
      <rc t="2" v="13805"/>
    </bk>
    <bk>
      <rc t="2" v="13806"/>
    </bk>
    <bk>
      <rc t="2" v="13807"/>
    </bk>
    <bk>
      <rc t="2" v="13808"/>
    </bk>
    <bk>
      <rc t="2" v="13809"/>
    </bk>
    <bk>
      <rc t="2" v="13810"/>
    </bk>
    <bk>
      <rc t="2" v="13811"/>
    </bk>
    <bk>
      <rc t="2" v="13812"/>
    </bk>
    <bk>
      <rc t="2" v="13813"/>
    </bk>
    <bk>
      <rc t="2" v="13814"/>
    </bk>
    <bk>
      <rc t="2" v="13815"/>
    </bk>
    <bk>
      <rc t="2" v="13816"/>
    </bk>
    <bk>
      <rc t="2" v="13817"/>
    </bk>
    <bk>
      <rc t="2" v="13818"/>
    </bk>
    <bk>
      <rc t="2" v="13819"/>
    </bk>
    <bk>
      <rc t="2" v="13820"/>
    </bk>
    <bk>
      <rc t="2" v="13821"/>
    </bk>
    <bk>
      <rc t="2" v="13822"/>
    </bk>
    <bk>
      <rc t="2" v="13823"/>
    </bk>
    <bk>
      <rc t="2" v="13824"/>
    </bk>
    <bk>
      <rc t="2" v="13825"/>
    </bk>
    <bk>
      <rc t="2" v="13826"/>
    </bk>
    <bk>
      <rc t="2" v="13827"/>
    </bk>
    <bk>
      <rc t="2" v="13828"/>
    </bk>
    <bk>
      <rc t="2" v="13829"/>
    </bk>
    <bk>
      <rc t="2" v="13830"/>
    </bk>
    <bk>
      <rc t="2" v="13831"/>
    </bk>
    <bk>
      <rc t="2" v="13832"/>
    </bk>
    <bk>
      <rc t="2" v="13833"/>
    </bk>
    <bk>
      <rc t="2" v="13834"/>
    </bk>
    <bk>
      <rc t="2" v="13835"/>
    </bk>
    <bk>
      <rc t="2" v="13836"/>
    </bk>
    <bk>
      <rc t="2" v="13837"/>
    </bk>
    <bk>
      <rc t="2" v="13838"/>
    </bk>
    <bk>
      <rc t="2" v="13839"/>
    </bk>
    <bk>
      <rc t="2" v="13840"/>
    </bk>
    <bk>
      <rc t="2" v="13841"/>
    </bk>
    <bk>
      <rc t="2" v="13842"/>
    </bk>
    <bk>
      <rc t="2" v="13843"/>
    </bk>
    <bk>
      <rc t="2" v="13844"/>
    </bk>
    <bk>
      <rc t="2" v="13845"/>
    </bk>
    <bk>
      <rc t="2" v="13846"/>
    </bk>
    <bk>
      <rc t="2" v="13847"/>
    </bk>
    <bk>
      <rc t="2" v="13848"/>
    </bk>
    <bk>
      <rc t="2" v="13849"/>
    </bk>
    <bk>
      <rc t="2" v="13850"/>
    </bk>
    <bk>
      <rc t="2" v="13851"/>
    </bk>
    <bk>
      <rc t="2" v="13852"/>
    </bk>
    <bk>
      <rc t="2" v="13853"/>
    </bk>
    <bk>
      <rc t="2" v="13854"/>
    </bk>
    <bk>
      <rc t="2" v="13855"/>
    </bk>
    <bk>
      <rc t="2" v="13856"/>
    </bk>
    <bk>
      <rc t="2" v="13857"/>
    </bk>
    <bk>
      <rc t="2" v="13858"/>
    </bk>
    <bk>
      <rc t="2" v="13859"/>
    </bk>
    <bk>
      <rc t="2" v="13860"/>
    </bk>
    <bk>
      <rc t="2" v="13861"/>
    </bk>
    <bk>
      <rc t="2" v="13862"/>
    </bk>
    <bk>
      <rc t="2" v="13863"/>
    </bk>
    <bk>
      <rc t="2" v="13864"/>
    </bk>
    <bk>
      <rc t="2" v="13865"/>
    </bk>
    <bk>
      <rc t="2" v="13866"/>
    </bk>
    <bk>
      <rc t="2" v="13867"/>
    </bk>
    <bk>
      <rc t="2" v="13868"/>
    </bk>
    <bk>
      <rc t="2" v="13869"/>
    </bk>
    <bk>
      <rc t="2" v="13870"/>
    </bk>
    <bk>
      <rc t="2" v="13871"/>
    </bk>
    <bk>
      <rc t="2" v="13872"/>
    </bk>
    <bk>
      <rc t="2" v="13873"/>
    </bk>
    <bk>
      <rc t="2" v="13874"/>
    </bk>
    <bk>
      <rc t="2" v="13875"/>
    </bk>
    <bk>
      <rc t="2" v="13876"/>
    </bk>
    <bk>
      <rc t="2" v="13877"/>
    </bk>
    <bk>
      <rc t="2" v="13878"/>
    </bk>
    <bk>
      <rc t="2" v="13879"/>
    </bk>
    <bk>
      <rc t="2" v="13880"/>
    </bk>
    <bk>
      <rc t="2" v="13881"/>
    </bk>
    <bk>
      <rc t="2" v="13882"/>
    </bk>
    <bk>
      <rc t="2" v="13883"/>
    </bk>
    <bk>
      <rc t="2" v="13884"/>
    </bk>
    <bk>
      <rc t="2" v="13885"/>
    </bk>
    <bk>
      <rc t="2" v="13886"/>
    </bk>
    <bk>
      <rc t="2" v="13887"/>
    </bk>
    <bk>
      <rc t="2" v="13888"/>
    </bk>
    <bk>
      <rc t="2" v="13889"/>
    </bk>
    <bk>
      <rc t="2" v="13890"/>
    </bk>
    <bk>
      <rc t="2" v="13891"/>
    </bk>
    <bk>
      <rc t="2" v="13892"/>
    </bk>
    <bk>
      <rc t="2" v="13893"/>
    </bk>
    <bk>
      <rc t="2" v="13894"/>
    </bk>
    <bk>
      <rc t="2" v="13895"/>
    </bk>
    <bk>
      <rc t="2" v="13896"/>
    </bk>
    <bk>
      <rc t="2" v="13897"/>
    </bk>
    <bk>
      <rc t="2" v="13898"/>
    </bk>
    <bk>
      <rc t="2" v="13899"/>
    </bk>
    <bk>
      <rc t="2" v="13900"/>
    </bk>
    <bk>
      <rc t="2" v="13901"/>
    </bk>
    <bk>
      <rc t="2" v="13902"/>
    </bk>
    <bk>
      <rc t="2" v="13903"/>
    </bk>
    <bk>
      <rc t="2" v="13904"/>
    </bk>
    <bk>
      <rc t="2" v="13905"/>
    </bk>
    <bk>
      <rc t="2" v="13906"/>
    </bk>
    <bk>
      <rc t="2" v="13907"/>
    </bk>
    <bk>
      <rc t="2" v="13908"/>
    </bk>
    <bk>
      <rc t="2" v="13909"/>
    </bk>
    <bk>
      <rc t="2" v="13910"/>
    </bk>
    <bk>
      <rc t="2" v="13911"/>
    </bk>
    <bk>
      <rc t="2" v="13912"/>
    </bk>
    <bk>
      <rc t="2" v="13913"/>
    </bk>
    <bk>
      <rc t="2" v="13914"/>
    </bk>
    <bk>
      <rc t="2" v="13915"/>
    </bk>
    <bk>
      <rc t="2" v="13916"/>
    </bk>
    <bk>
      <rc t="2" v="13917"/>
    </bk>
    <bk>
      <rc t="2" v="13918"/>
    </bk>
    <bk>
      <rc t="2" v="13919"/>
    </bk>
    <bk>
      <rc t="2" v="13920"/>
    </bk>
    <bk>
      <rc t="2" v="13921"/>
    </bk>
    <bk>
      <rc t="2" v="13922"/>
    </bk>
    <bk>
      <rc t="2" v="13923"/>
    </bk>
    <bk>
      <rc t="2" v="13924"/>
    </bk>
    <bk>
      <rc t="2" v="13925"/>
    </bk>
    <bk>
      <rc t="2" v="13926"/>
    </bk>
    <bk>
      <rc t="2" v="13927"/>
    </bk>
    <bk>
      <rc t="2" v="13928"/>
    </bk>
    <bk>
      <rc t="2" v="13929"/>
    </bk>
    <bk>
      <rc t="2" v="13930"/>
    </bk>
    <bk>
      <rc t="2" v="13931"/>
    </bk>
    <bk>
      <rc t="2" v="13932"/>
    </bk>
    <bk>
      <rc t="2" v="13933"/>
    </bk>
    <bk>
      <rc t="2" v="13934"/>
    </bk>
    <bk>
      <rc t="2" v="13935"/>
    </bk>
    <bk>
      <rc t="2" v="13936"/>
    </bk>
    <bk>
      <rc t="2" v="13937"/>
    </bk>
    <bk>
      <rc t="2" v="13938"/>
    </bk>
    <bk>
      <rc t="2" v="13939"/>
    </bk>
    <bk>
      <rc t="2" v="13940"/>
    </bk>
    <bk>
      <rc t="2" v="13941"/>
    </bk>
    <bk>
      <rc t="2" v="13942"/>
    </bk>
    <bk>
      <rc t="2" v="13943"/>
    </bk>
    <bk>
      <rc t="2" v="13944"/>
    </bk>
    <bk>
      <rc t="2" v="13945"/>
    </bk>
    <bk>
      <rc t="2" v="13946"/>
    </bk>
    <bk>
      <rc t="2" v="13947"/>
    </bk>
    <bk>
      <rc t="2" v="13948"/>
    </bk>
    <bk>
      <rc t="2" v="13949"/>
    </bk>
    <bk>
      <rc t="2" v="13950"/>
    </bk>
    <bk>
      <rc t="2" v="13951"/>
    </bk>
    <bk>
      <rc t="2" v="13952"/>
    </bk>
    <bk>
      <rc t="2" v="13953"/>
    </bk>
    <bk>
      <rc t="2" v="13954"/>
    </bk>
    <bk>
      <rc t="2" v="13955"/>
    </bk>
    <bk>
      <rc t="2" v="13956"/>
    </bk>
    <bk>
      <rc t="2" v="13957"/>
    </bk>
    <bk>
      <rc t="2" v="13958"/>
    </bk>
    <bk>
      <rc t="2" v="13959"/>
    </bk>
    <bk>
      <rc t="2" v="13960"/>
    </bk>
    <bk>
      <rc t="2" v="13961"/>
    </bk>
    <bk>
      <rc t="2" v="13962"/>
    </bk>
    <bk>
      <rc t="2" v="13963"/>
    </bk>
    <bk>
      <rc t="2" v="13964"/>
    </bk>
    <bk>
      <rc t="2" v="13965"/>
    </bk>
    <bk>
      <rc t="2" v="13966"/>
    </bk>
    <bk>
      <rc t="2" v="13967"/>
    </bk>
    <bk>
      <rc t="2" v="13968"/>
    </bk>
    <bk>
      <rc t="2" v="13969"/>
    </bk>
    <bk>
      <rc t="2" v="13970"/>
    </bk>
    <bk>
      <rc t="2" v="13971"/>
    </bk>
    <bk>
      <rc t="2" v="13972"/>
    </bk>
    <bk>
      <rc t="2" v="13973"/>
    </bk>
    <bk>
      <rc t="2" v="13974"/>
    </bk>
    <bk>
      <rc t="2" v="13975"/>
    </bk>
    <bk>
      <rc t="2" v="13976"/>
    </bk>
    <bk>
      <rc t="2" v="13977"/>
    </bk>
    <bk>
      <rc t="2" v="13978"/>
    </bk>
    <bk>
      <rc t="2" v="13979"/>
    </bk>
    <bk>
      <rc t="2" v="13980"/>
    </bk>
    <bk>
      <rc t="2" v="13981"/>
    </bk>
    <bk>
      <rc t="2" v="13982"/>
    </bk>
    <bk>
      <rc t="2" v="13983"/>
    </bk>
    <bk>
      <rc t="2" v="13984"/>
    </bk>
    <bk>
      <rc t="2" v="13985"/>
    </bk>
    <bk>
      <rc t="2" v="13986"/>
    </bk>
    <bk>
      <rc t="2" v="13987"/>
    </bk>
    <bk>
      <rc t="2" v="13988"/>
    </bk>
    <bk>
      <rc t="2" v="13989"/>
    </bk>
    <bk>
      <rc t="2" v="13990"/>
    </bk>
    <bk>
      <rc t="2" v="13991"/>
    </bk>
    <bk>
      <rc t="2" v="13992"/>
    </bk>
    <bk>
      <rc t="2" v="13993"/>
    </bk>
    <bk>
      <rc t="2" v="13994"/>
    </bk>
    <bk>
      <rc t="2" v="13995"/>
    </bk>
    <bk>
      <rc t="2" v="13996"/>
    </bk>
    <bk>
      <rc t="2" v="13997"/>
    </bk>
    <bk>
      <rc t="2" v="13998"/>
    </bk>
    <bk>
      <rc t="2" v="13999"/>
    </bk>
    <bk>
      <rc t="2" v="14000"/>
    </bk>
    <bk>
      <rc t="2" v="14001"/>
    </bk>
    <bk>
      <rc t="2" v="14002"/>
    </bk>
    <bk>
      <rc t="2" v="14003"/>
    </bk>
    <bk>
      <rc t="2" v="14004"/>
    </bk>
    <bk>
      <rc t="2" v="14005"/>
    </bk>
    <bk>
      <rc t="2" v="14006"/>
    </bk>
    <bk>
      <rc t="2" v="14007"/>
    </bk>
    <bk>
      <rc t="2" v="14008"/>
    </bk>
    <bk>
      <rc t="2" v="14009"/>
    </bk>
    <bk>
      <rc t="2" v="14010"/>
    </bk>
    <bk>
      <rc t="2" v="14011"/>
    </bk>
    <bk>
      <rc t="2" v="14012"/>
    </bk>
    <bk>
      <rc t="2" v="14013"/>
    </bk>
    <bk>
      <rc t="2" v="14014"/>
    </bk>
    <bk>
      <rc t="2" v="14015"/>
    </bk>
    <bk>
      <rc t="2" v="14016"/>
    </bk>
    <bk>
      <rc t="2" v="14017"/>
    </bk>
    <bk>
      <rc t="2" v="14018"/>
    </bk>
    <bk>
      <rc t="2" v="14019"/>
    </bk>
    <bk>
      <rc t="2" v="14020"/>
    </bk>
    <bk>
      <rc t="2" v="14021"/>
    </bk>
    <bk>
      <rc t="2" v="14022"/>
    </bk>
    <bk>
      <rc t="2" v="14023"/>
    </bk>
    <bk>
      <rc t="2" v="14024"/>
    </bk>
    <bk>
      <rc t="2" v="14025"/>
    </bk>
    <bk>
      <rc t="2" v="14026"/>
    </bk>
    <bk>
      <rc t="2" v="14027"/>
    </bk>
    <bk>
      <rc t="2" v="14028"/>
    </bk>
    <bk>
      <rc t="2" v="14029"/>
    </bk>
    <bk>
      <rc t="2" v="14030"/>
    </bk>
    <bk>
      <rc t="2" v="14031"/>
    </bk>
    <bk>
      <rc t="2" v="14032"/>
    </bk>
    <bk>
      <rc t="2" v="14033"/>
    </bk>
    <bk>
      <rc t="2" v="14034"/>
    </bk>
    <bk>
      <rc t="2" v="14035"/>
    </bk>
    <bk>
      <rc t="2" v="14036"/>
    </bk>
    <bk>
      <rc t="2" v="14037"/>
    </bk>
    <bk>
      <rc t="2" v="14038"/>
    </bk>
    <bk>
      <rc t="2" v="14039"/>
    </bk>
    <bk>
      <rc t="2" v="14040"/>
    </bk>
    <bk>
      <rc t="2" v="14041"/>
    </bk>
    <bk>
      <rc t="2" v="14042"/>
    </bk>
    <bk>
      <rc t="2" v="14043"/>
    </bk>
    <bk>
      <rc t="2" v="14044"/>
    </bk>
    <bk>
      <rc t="2" v="14045"/>
    </bk>
    <bk>
      <rc t="2" v="14046"/>
    </bk>
    <bk>
      <rc t="2" v="14047"/>
    </bk>
    <bk>
      <rc t="2" v="14048"/>
    </bk>
    <bk>
      <rc t="2" v="14049"/>
    </bk>
    <bk>
      <rc t="2" v="14050"/>
    </bk>
    <bk>
      <rc t="2" v="14051"/>
    </bk>
    <bk>
      <rc t="2" v="14052"/>
    </bk>
    <bk>
      <rc t="2" v="14053"/>
    </bk>
    <bk>
      <rc t="2" v="14054"/>
    </bk>
    <bk>
      <rc t="2" v="14055"/>
    </bk>
    <bk>
      <rc t="2" v="14056"/>
    </bk>
    <bk>
      <rc t="2" v="14057"/>
    </bk>
    <bk>
      <rc t="2" v="14058"/>
    </bk>
    <bk>
      <rc t="2" v="14059"/>
    </bk>
    <bk>
      <rc t="2" v="14060"/>
    </bk>
    <bk>
      <rc t="2" v="14061"/>
    </bk>
    <bk>
      <rc t="2" v="14062"/>
    </bk>
    <bk>
      <rc t="2" v="14063"/>
    </bk>
    <bk>
      <rc t="2" v="14064"/>
    </bk>
    <bk>
      <rc t="2" v="14065"/>
    </bk>
    <bk>
      <rc t="2" v="14066"/>
    </bk>
    <bk>
      <rc t="2" v="14067"/>
    </bk>
    <bk>
      <rc t="2" v="14068"/>
    </bk>
    <bk>
      <rc t="2" v="14069"/>
    </bk>
    <bk>
      <rc t="2" v="14070"/>
    </bk>
    <bk>
      <rc t="2" v="14071"/>
    </bk>
    <bk>
      <rc t="2" v="14072"/>
    </bk>
    <bk>
      <rc t="2" v="14073"/>
    </bk>
    <bk>
      <rc t="2" v="14074"/>
    </bk>
    <bk>
      <rc t="2" v="14075"/>
    </bk>
    <bk>
      <rc t="2" v="14076"/>
    </bk>
    <bk>
      <rc t="2" v="14077"/>
    </bk>
    <bk>
      <rc t="2" v="14078"/>
    </bk>
    <bk>
      <rc t="2" v="14079"/>
    </bk>
    <bk>
      <rc t="2" v="14080"/>
    </bk>
    <bk>
      <rc t="2" v="14081"/>
    </bk>
    <bk>
      <rc t="2" v="14082"/>
    </bk>
    <bk>
      <rc t="2" v="14083"/>
    </bk>
    <bk>
      <rc t="2" v="14084"/>
    </bk>
    <bk>
      <rc t="2" v="14085"/>
    </bk>
    <bk>
      <rc t="2" v="14086"/>
    </bk>
    <bk>
      <rc t="2" v="14087"/>
    </bk>
    <bk>
      <rc t="2" v="14088"/>
    </bk>
    <bk>
      <rc t="2" v="14089"/>
    </bk>
    <bk>
      <rc t="2" v="14090"/>
    </bk>
    <bk>
      <rc t="2" v="14091"/>
    </bk>
    <bk>
      <rc t="2" v="14092"/>
    </bk>
    <bk>
      <rc t="2" v="14093"/>
    </bk>
    <bk>
      <rc t="2" v="14094"/>
    </bk>
    <bk>
      <rc t="2" v="14095"/>
    </bk>
    <bk>
      <rc t="2" v="14096"/>
    </bk>
    <bk>
      <rc t="2" v="14097"/>
    </bk>
    <bk>
      <rc t="2" v="14098"/>
    </bk>
    <bk>
      <rc t="2" v="14099"/>
    </bk>
    <bk>
      <rc t="2" v="14100"/>
    </bk>
    <bk>
      <rc t="2" v="14101"/>
    </bk>
    <bk>
      <rc t="2" v="14102"/>
    </bk>
    <bk>
      <rc t="2" v="14103"/>
    </bk>
    <bk>
      <rc t="2" v="14104"/>
    </bk>
    <bk>
      <rc t="2" v="14105"/>
    </bk>
    <bk>
      <rc t="2" v="14106"/>
    </bk>
    <bk>
      <rc t="2" v="14107"/>
    </bk>
    <bk>
      <rc t="2" v="14108"/>
    </bk>
    <bk>
      <rc t="2" v="14109"/>
    </bk>
    <bk>
      <rc t="2" v="14110"/>
    </bk>
    <bk>
      <rc t="2" v="14111"/>
    </bk>
    <bk>
      <rc t="2" v="14112"/>
    </bk>
    <bk>
      <rc t="2" v="14113"/>
    </bk>
    <bk>
      <rc t="2" v="14114"/>
    </bk>
    <bk>
      <rc t="2" v="14115"/>
    </bk>
    <bk>
      <rc t="2" v="14116"/>
    </bk>
    <bk>
      <rc t="2" v="14117"/>
    </bk>
    <bk>
      <rc t="2" v="14118"/>
    </bk>
    <bk>
      <rc t="2" v="14119"/>
    </bk>
    <bk>
      <rc t="2" v="14120"/>
    </bk>
    <bk>
      <rc t="2" v="14121"/>
    </bk>
    <bk>
      <rc t="2" v="14122"/>
    </bk>
    <bk>
      <rc t="2" v="14123"/>
    </bk>
    <bk>
      <rc t="2" v="14124"/>
    </bk>
    <bk>
      <rc t="2" v="14125"/>
    </bk>
    <bk>
      <rc t="2" v="14126"/>
    </bk>
    <bk>
      <rc t="2" v="14127"/>
    </bk>
    <bk>
      <rc t="2" v="14128"/>
    </bk>
    <bk>
      <rc t="2" v="14129"/>
    </bk>
    <bk>
      <rc t="2" v="14130"/>
    </bk>
    <bk>
      <rc t="2" v="14131"/>
    </bk>
    <bk>
      <rc t="2" v="14132"/>
    </bk>
    <bk>
      <rc t="2" v="14133"/>
    </bk>
    <bk>
      <rc t="2" v="14134"/>
    </bk>
    <bk>
      <rc t="2" v="14135"/>
    </bk>
    <bk>
      <rc t="2" v="14136"/>
    </bk>
    <bk>
      <rc t="2" v="14137"/>
    </bk>
    <bk>
      <rc t="2" v="14138"/>
    </bk>
    <bk>
      <rc t="2" v="14139"/>
    </bk>
    <bk>
      <rc t="2" v="14140"/>
    </bk>
    <bk>
      <rc t="2" v="14141"/>
    </bk>
    <bk>
      <rc t="2" v="14142"/>
    </bk>
    <bk>
      <rc t="2" v="14143"/>
    </bk>
    <bk>
      <rc t="2" v="14144"/>
    </bk>
    <bk>
      <rc t="2" v="14145"/>
    </bk>
    <bk>
      <rc t="2" v="14146"/>
    </bk>
    <bk>
      <rc t="2" v="14147"/>
    </bk>
    <bk>
      <rc t="2" v="14148"/>
    </bk>
    <bk>
      <rc t="2" v="14149"/>
    </bk>
    <bk>
      <rc t="2" v="14150"/>
    </bk>
    <bk>
      <rc t="2" v="14151"/>
    </bk>
    <bk>
      <rc t="2" v="14152"/>
    </bk>
    <bk>
      <rc t="2" v="14153"/>
    </bk>
    <bk>
      <rc t="2" v="14154"/>
    </bk>
    <bk>
      <rc t="2" v="14155"/>
    </bk>
    <bk>
      <rc t="2" v="14156"/>
    </bk>
    <bk>
      <rc t="2" v="14157"/>
    </bk>
    <bk>
      <rc t="2" v="14158"/>
    </bk>
    <bk>
      <rc t="2" v="14159"/>
    </bk>
    <bk>
      <rc t="2" v="14160"/>
    </bk>
    <bk>
      <rc t="2" v="14161"/>
    </bk>
    <bk>
      <rc t="2" v="14162"/>
    </bk>
    <bk>
      <rc t="2" v="14163"/>
    </bk>
    <bk>
      <rc t="2" v="14164"/>
    </bk>
    <bk>
      <rc t="2" v="14165"/>
    </bk>
    <bk>
      <rc t="2" v="14166"/>
    </bk>
    <bk>
      <rc t="2" v="14167"/>
    </bk>
    <bk>
      <rc t="2" v="14168"/>
    </bk>
    <bk>
      <rc t="2" v="14169"/>
    </bk>
    <bk>
      <rc t="2" v="14170"/>
    </bk>
    <bk>
      <rc t="2" v="14171"/>
    </bk>
    <bk>
      <rc t="2" v="14172"/>
    </bk>
    <bk>
      <rc t="2" v="14173"/>
    </bk>
    <bk>
      <rc t="2" v="14174"/>
    </bk>
    <bk>
      <rc t="2" v="14175"/>
    </bk>
    <bk>
      <rc t="2" v="14176"/>
    </bk>
    <bk>
      <rc t="2" v="14177"/>
    </bk>
    <bk>
      <rc t="2" v="14178"/>
    </bk>
    <bk>
      <rc t="2" v="14179"/>
    </bk>
    <bk>
      <rc t="2" v="14180"/>
    </bk>
    <bk>
      <rc t="2" v="14181"/>
    </bk>
    <bk>
      <rc t="2" v="14182"/>
    </bk>
    <bk>
      <rc t="2" v="14183"/>
    </bk>
    <bk>
      <rc t="2" v="14184"/>
    </bk>
    <bk>
      <rc t="2" v="14185"/>
    </bk>
    <bk>
      <rc t="2" v="14186"/>
    </bk>
    <bk>
      <rc t="2" v="14187"/>
    </bk>
    <bk>
      <rc t="2" v="14188"/>
    </bk>
    <bk>
      <rc t="2" v="14189"/>
    </bk>
    <bk>
      <rc t="2" v="14190"/>
    </bk>
    <bk>
      <rc t="2" v="14191"/>
    </bk>
    <bk>
      <rc t="2" v="14192"/>
    </bk>
    <bk>
      <rc t="2" v="14193"/>
    </bk>
    <bk>
      <rc t="2" v="14194"/>
    </bk>
    <bk>
      <rc t="2" v="14195"/>
    </bk>
    <bk>
      <rc t="2" v="14196"/>
    </bk>
    <bk>
      <rc t="2" v="14197"/>
    </bk>
    <bk>
      <rc t="2" v="14198"/>
    </bk>
    <bk>
      <rc t="2" v="14199"/>
    </bk>
    <bk>
      <rc t="2" v="14200"/>
    </bk>
    <bk>
      <rc t="2" v="14201"/>
    </bk>
    <bk>
      <rc t="2" v="14202"/>
    </bk>
    <bk>
      <rc t="2" v="14203"/>
    </bk>
    <bk>
      <rc t="2" v="14204"/>
    </bk>
    <bk>
      <rc t="2" v="14205"/>
    </bk>
    <bk>
      <rc t="2" v="14206"/>
    </bk>
    <bk>
      <rc t="2" v="14207"/>
    </bk>
    <bk>
      <rc t="2" v="14208"/>
    </bk>
    <bk>
      <rc t="2" v="14209"/>
    </bk>
    <bk>
      <rc t="2" v="14210"/>
    </bk>
    <bk>
      <rc t="2" v="14211"/>
    </bk>
    <bk>
      <rc t="2" v="14212"/>
    </bk>
    <bk>
      <rc t="2" v="14213"/>
    </bk>
    <bk>
      <rc t="2" v="14214"/>
    </bk>
    <bk>
      <rc t="2" v="14215"/>
    </bk>
    <bk>
      <rc t="2" v="14216"/>
    </bk>
    <bk>
      <rc t="2" v="14217"/>
    </bk>
    <bk>
      <rc t="2" v="14218"/>
    </bk>
    <bk>
      <rc t="2" v="14219"/>
    </bk>
    <bk>
      <rc t="2" v="14220"/>
    </bk>
    <bk>
      <rc t="2" v="14221"/>
    </bk>
    <bk>
      <rc t="2" v="14222"/>
    </bk>
    <bk>
      <rc t="2" v="14223"/>
    </bk>
    <bk>
      <rc t="2" v="14224"/>
    </bk>
    <bk>
      <rc t="2" v="14225"/>
    </bk>
    <bk>
      <rc t="2" v="14226"/>
    </bk>
    <bk>
      <rc t="2" v="14227"/>
    </bk>
    <bk>
      <rc t="2" v="14228"/>
    </bk>
    <bk>
      <rc t="2" v="14229"/>
    </bk>
    <bk>
      <rc t="2" v="14230"/>
    </bk>
    <bk>
      <rc t="2" v="14231"/>
    </bk>
    <bk>
      <rc t="2" v="14232"/>
    </bk>
    <bk>
      <rc t="2" v="14233"/>
    </bk>
    <bk>
      <rc t="2" v="14234"/>
    </bk>
    <bk>
      <rc t="2" v="14235"/>
    </bk>
    <bk>
      <rc t="2" v="14236"/>
    </bk>
    <bk>
      <rc t="2" v="14237"/>
    </bk>
    <bk>
      <rc t="2" v="14238"/>
    </bk>
    <bk>
      <rc t="2" v="14239"/>
    </bk>
    <bk>
      <rc t="2" v="14240"/>
    </bk>
    <bk>
      <rc t="2" v="14241"/>
    </bk>
    <bk>
      <rc t="2" v="14242"/>
    </bk>
    <bk>
      <rc t="2" v="14243"/>
    </bk>
    <bk>
      <rc t="2" v="14244"/>
    </bk>
    <bk>
      <rc t="2" v="14245"/>
    </bk>
    <bk>
      <rc t="2" v="14246"/>
    </bk>
    <bk>
      <rc t="2" v="14247"/>
    </bk>
    <bk>
      <rc t="2" v="14248"/>
    </bk>
    <bk>
      <rc t="2" v="14249"/>
    </bk>
    <bk>
      <rc t="2" v="14250"/>
    </bk>
    <bk>
      <rc t="2" v="14251"/>
    </bk>
    <bk>
      <rc t="2" v="14252"/>
    </bk>
    <bk>
      <rc t="2" v="14253"/>
    </bk>
    <bk>
      <rc t="2" v="14254"/>
    </bk>
    <bk>
      <rc t="2" v="14255"/>
    </bk>
    <bk>
      <rc t="2" v="14256"/>
    </bk>
    <bk>
      <rc t="2" v="14257"/>
    </bk>
    <bk>
      <rc t="2" v="14258"/>
    </bk>
    <bk>
      <rc t="2" v="14259"/>
    </bk>
    <bk>
      <rc t="2" v="14260"/>
    </bk>
    <bk>
      <rc t="2" v="14261"/>
    </bk>
    <bk>
      <rc t="2" v="14262"/>
    </bk>
    <bk>
      <rc t="2" v="14263"/>
    </bk>
    <bk>
      <rc t="2" v="14264"/>
    </bk>
    <bk>
      <rc t="2" v="14265"/>
    </bk>
    <bk>
      <rc t="2" v="14266"/>
    </bk>
    <bk>
      <rc t="2" v="14267"/>
    </bk>
    <bk>
      <rc t="2" v="14268"/>
    </bk>
    <bk>
      <rc t="2" v="14269"/>
    </bk>
    <bk>
      <rc t="2" v="14270"/>
    </bk>
    <bk>
      <rc t="2" v="14271"/>
    </bk>
    <bk>
      <rc t="2" v="14272"/>
    </bk>
    <bk>
      <rc t="2" v="14273"/>
    </bk>
    <bk>
      <rc t="2" v="14274"/>
    </bk>
    <bk>
      <rc t="2" v="14275"/>
    </bk>
    <bk>
      <rc t="2" v="14276"/>
    </bk>
    <bk>
      <rc t="2" v="14277"/>
    </bk>
    <bk>
      <rc t="2" v="14278"/>
    </bk>
    <bk>
      <rc t="2" v="14279"/>
    </bk>
    <bk>
      <rc t="2" v="14280"/>
    </bk>
    <bk>
      <rc t="2" v="14281"/>
    </bk>
    <bk>
      <rc t="2" v="14282"/>
    </bk>
    <bk>
      <rc t="2" v="14283"/>
    </bk>
    <bk>
      <rc t="2" v="14284"/>
    </bk>
    <bk>
      <rc t="2" v="14285"/>
    </bk>
    <bk>
      <rc t="2" v="14286"/>
    </bk>
    <bk>
      <rc t="2" v="14287"/>
    </bk>
    <bk>
      <rc t="2" v="14288"/>
    </bk>
    <bk>
      <rc t="2" v="14289"/>
    </bk>
    <bk>
      <rc t="2" v="14290"/>
    </bk>
    <bk>
      <rc t="2" v="14291"/>
    </bk>
    <bk>
      <rc t="2" v="14292"/>
    </bk>
    <bk>
      <rc t="2" v="14293"/>
    </bk>
    <bk>
      <rc t="2" v="14294"/>
    </bk>
    <bk>
      <rc t="2" v="14295"/>
    </bk>
    <bk>
      <rc t="2" v="14296"/>
    </bk>
    <bk>
      <rc t="2" v="14297"/>
    </bk>
    <bk>
      <rc t="2" v="14298"/>
    </bk>
    <bk>
      <rc t="2" v="14299"/>
    </bk>
    <bk>
      <rc t="2" v="14300"/>
    </bk>
    <bk>
      <rc t="2" v="14301"/>
    </bk>
    <bk>
      <rc t="2" v="14302"/>
    </bk>
    <bk>
      <rc t="2" v="14303"/>
    </bk>
    <bk>
      <rc t="2" v="14304"/>
    </bk>
    <bk>
      <rc t="2" v="14305"/>
    </bk>
    <bk>
      <rc t="2" v="14306"/>
    </bk>
    <bk>
      <rc t="2" v="14307"/>
    </bk>
    <bk>
      <rc t="2" v="14308"/>
    </bk>
    <bk>
      <rc t="2" v="14309"/>
    </bk>
    <bk>
      <rc t="2" v="14310"/>
    </bk>
    <bk>
      <rc t="2" v="14311"/>
    </bk>
    <bk>
      <rc t="2" v="14312"/>
    </bk>
    <bk>
      <rc t="2" v="14313"/>
    </bk>
    <bk>
      <rc t="2" v="14314"/>
    </bk>
    <bk>
      <rc t="2" v="14315"/>
    </bk>
    <bk>
      <rc t="2" v="14316"/>
    </bk>
    <bk>
      <rc t="2" v="14317"/>
    </bk>
    <bk>
      <rc t="2" v="14318"/>
    </bk>
    <bk>
      <rc t="2" v="14319"/>
    </bk>
    <bk>
      <rc t="2" v="14320"/>
    </bk>
    <bk>
      <rc t="2" v="14321"/>
    </bk>
    <bk>
      <rc t="2" v="14322"/>
    </bk>
    <bk>
      <rc t="2" v="14323"/>
    </bk>
    <bk>
      <rc t="2" v="14324"/>
    </bk>
    <bk>
      <rc t="2" v="14325"/>
    </bk>
    <bk>
      <rc t="2" v="14326"/>
    </bk>
    <bk>
      <rc t="2" v="14327"/>
    </bk>
    <bk>
      <rc t="2" v="14328"/>
    </bk>
    <bk>
      <rc t="2" v="14329"/>
    </bk>
    <bk>
      <rc t="2" v="14330"/>
    </bk>
    <bk>
      <rc t="2" v="14331"/>
    </bk>
    <bk>
      <rc t="2" v="14332"/>
    </bk>
    <bk>
      <rc t="2" v="14333"/>
    </bk>
    <bk>
      <rc t="2" v="14334"/>
    </bk>
    <bk>
      <rc t="2" v="14335"/>
    </bk>
    <bk>
      <rc t="2" v="14336"/>
    </bk>
    <bk>
      <rc t="2" v="14337"/>
    </bk>
    <bk>
      <rc t="2" v="14338"/>
    </bk>
    <bk>
      <rc t="2" v="14339"/>
    </bk>
    <bk>
      <rc t="2" v="14340"/>
    </bk>
    <bk>
      <rc t="2" v="14341"/>
    </bk>
    <bk>
      <rc t="2" v="14342"/>
    </bk>
    <bk>
      <rc t="2" v="14343"/>
    </bk>
    <bk>
      <rc t="2" v="14344"/>
    </bk>
    <bk>
      <rc t="2" v="14345"/>
    </bk>
    <bk>
      <rc t="2" v="14346"/>
    </bk>
    <bk>
      <rc t="2" v="14347"/>
    </bk>
    <bk>
      <rc t="2" v="14348"/>
    </bk>
    <bk>
      <rc t="2" v="14349"/>
    </bk>
    <bk>
      <rc t="2" v="14350"/>
    </bk>
    <bk>
      <rc t="2" v="14351"/>
    </bk>
    <bk>
      <rc t="2" v="14352"/>
    </bk>
    <bk>
      <rc t="2" v="14353"/>
    </bk>
    <bk>
      <rc t="2" v="14354"/>
    </bk>
    <bk>
      <rc t="2" v="14355"/>
    </bk>
    <bk>
      <rc t="2" v="14356"/>
    </bk>
    <bk>
      <rc t="2" v="14357"/>
    </bk>
    <bk>
      <rc t="2" v="14358"/>
    </bk>
    <bk>
      <rc t="2" v="14359"/>
    </bk>
    <bk>
      <rc t="2" v="14360"/>
    </bk>
    <bk>
      <rc t="2" v="14361"/>
    </bk>
    <bk>
      <rc t="2" v="14362"/>
    </bk>
    <bk>
      <rc t="2" v="14363"/>
    </bk>
    <bk>
      <rc t="2" v="14364"/>
    </bk>
    <bk>
      <rc t="2" v="14365"/>
    </bk>
    <bk>
      <rc t="2" v="14366"/>
    </bk>
    <bk>
      <rc t="2" v="14367"/>
    </bk>
    <bk>
      <rc t="2" v="14368"/>
    </bk>
    <bk>
      <rc t="2" v="14369"/>
    </bk>
    <bk>
      <rc t="2" v="14370"/>
    </bk>
    <bk>
      <rc t="2" v="14371"/>
    </bk>
    <bk>
      <rc t="2" v="14372"/>
    </bk>
    <bk>
      <rc t="2" v="14373"/>
    </bk>
    <bk>
      <rc t="2" v="14374"/>
    </bk>
    <bk>
      <rc t="2" v="14375"/>
    </bk>
    <bk>
      <rc t="2" v="14376"/>
    </bk>
    <bk>
      <rc t="2" v="14377"/>
    </bk>
    <bk>
      <rc t="2" v="14378"/>
    </bk>
    <bk>
      <rc t="2" v="14379"/>
    </bk>
    <bk>
      <rc t="2" v="14380"/>
    </bk>
    <bk>
      <rc t="2" v="14381"/>
    </bk>
    <bk>
      <rc t="2" v="14382"/>
    </bk>
    <bk>
      <rc t="2" v="14383"/>
    </bk>
    <bk>
      <rc t="2" v="14384"/>
    </bk>
    <bk>
      <rc t="2" v="14385"/>
    </bk>
    <bk>
      <rc t="2" v="14386"/>
    </bk>
    <bk>
      <rc t="2" v="14387"/>
    </bk>
    <bk>
      <rc t="2" v="14388"/>
    </bk>
    <bk>
      <rc t="2" v="14389"/>
    </bk>
    <bk>
      <rc t="2" v="14390"/>
    </bk>
    <bk>
      <rc t="2" v="14391"/>
    </bk>
    <bk>
      <rc t="2" v="14392"/>
    </bk>
    <bk>
      <rc t="2" v="14393"/>
    </bk>
    <bk>
      <rc t="2" v="14394"/>
    </bk>
    <bk>
      <rc t="2" v="14395"/>
    </bk>
    <bk>
      <rc t="2" v="14396"/>
    </bk>
    <bk>
      <rc t="2" v="14397"/>
    </bk>
    <bk>
      <rc t="2" v="14398"/>
    </bk>
    <bk>
      <rc t="2" v="14399"/>
    </bk>
    <bk>
      <rc t="2" v="14400"/>
    </bk>
    <bk>
      <rc t="2" v="14401"/>
    </bk>
    <bk>
      <rc t="2" v="14402"/>
    </bk>
    <bk>
      <rc t="2" v="14403"/>
    </bk>
    <bk>
      <rc t="2" v="14404"/>
    </bk>
    <bk>
      <rc t="2" v="14405"/>
    </bk>
    <bk>
      <rc t="2" v="14406"/>
    </bk>
    <bk>
      <rc t="2" v="14407"/>
    </bk>
    <bk>
      <rc t="2" v="14408"/>
    </bk>
    <bk>
      <rc t="2" v="14409"/>
    </bk>
    <bk>
      <rc t="2" v="14410"/>
    </bk>
    <bk>
      <rc t="2" v="14411"/>
    </bk>
    <bk>
      <rc t="2" v="14412"/>
    </bk>
    <bk>
      <rc t="2" v="14413"/>
    </bk>
    <bk>
      <rc t="2" v="14414"/>
    </bk>
    <bk>
      <rc t="2" v="14415"/>
    </bk>
    <bk>
      <rc t="2" v="14416"/>
    </bk>
    <bk>
      <rc t="2" v="14417"/>
    </bk>
    <bk>
      <rc t="2" v="14418"/>
    </bk>
    <bk>
      <rc t="2" v="14419"/>
    </bk>
    <bk>
      <rc t="2" v="14420"/>
    </bk>
    <bk>
      <rc t="2" v="14421"/>
    </bk>
    <bk>
      <rc t="2" v="14422"/>
    </bk>
    <bk>
      <rc t="2" v="14423"/>
    </bk>
    <bk>
      <rc t="2" v="14424"/>
    </bk>
    <bk>
      <rc t="2" v="14425"/>
    </bk>
    <bk>
      <rc t="2" v="14426"/>
    </bk>
    <bk>
      <rc t="2" v="14427"/>
    </bk>
    <bk>
      <rc t="2" v="14428"/>
    </bk>
    <bk>
      <rc t="2" v="14429"/>
    </bk>
    <bk>
      <rc t="2" v="14430"/>
    </bk>
    <bk>
      <rc t="2" v="14431"/>
    </bk>
    <bk>
      <rc t="2" v="14432"/>
    </bk>
    <bk>
      <rc t="2" v="14433"/>
    </bk>
    <bk>
      <rc t="2" v="14434"/>
    </bk>
    <bk>
      <rc t="2" v="14435"/>
    </bk>
    <bk>
      <rc t="2" v="14436"/>
    </bk>
    <bk>
      <rc t="2" v="14437"/>
    </bk>
    <bk>
      <rc t="2" v="14438"/>
    </bk>
    <bk>
      <rc t="2" v="14439"/>
    </bk>
    <bk>
      <rc t="2" v="14440"/>
    </bk>
    <bk>
      <rc t="2" v="14441"/>
    </bk>
    <bk>
      <rc t="2" v="14442"/>
    </bk>
    <bk>
      <rc t="2" v="14443"/>
    </bk>
    <bk>
      <rc t="2" v="14444"/>
    </bk>
    <bk>
      <rc t="2" v="14445"/>
    </bk>
    <bk>
      <rc t="2" v="14446"/>
    </bk>
    <bk>
      <rc t="2" v="14447"/>
    </bk>
    <bk>
      <rc t="2" v="14448"/>
    </bk>
    <bk>
      <rc t="2" v="14449"/>
    </bk>
    <bk>
      <rc t="2" v="14450"/>
    </bk>
    <bk>
      <rc t="2" v="14451"/>
    </bk>
    <bk>
      <rc t="2" v="14452"/>
    </bk>
    <bk>
      <rc t="2" v="14453"/>
    </bk>
    <bk>
      <rc t="2" v="14454"/>
    </bk>
    <bk>
      <rc t="2" v="14455"/>
    </bk>
    <bk>
      <rc t="2" v="14456"/>
    </bk>
    <bk>
      <rc t="2" v="14457"/>
    </bk>
    <bk>
      <rc t="2" v="14458"/>
    </bk>
    <bk>
      <rc t="2" v="14459"/>
    </bk>
    <bk>
      <rc t="2" v="14460"/>
    </bk>
    <bk>
      <rc t="2" v="14461"/>
    </bk>
    <bk>
      <rc t="2" v="14462"/>
    </bk>
    <bk>
      <rc t="2" v="14463"/>
    </bk>
    <bk>
      <rc t="2" v="14464"/>
    </bk>
    <bk>
      <rc t="2" v="14465"/>
    </bk>
    <bk>
      <rc t="2" v="14466"/>
    </bk>
    <bk>
      <rc t="2" v="14467"/>
    </bk>
    <bk>
      <rc t="2" v="14468"/>
    </bk>
    <bk>
      <rc t="2" v="14469"/>
    </bk>
    <bk>
      <rc t="2" v="14470"/>
    </bk>
    <bk>
      <rc t="2" v="14471"/>
    </bk>
    <bk>
      <rc t="2" v="14472"/>
    </bk>
    <bk>
      <rc t="2" v="14473"/>
    </bk>
    <bk>
      <rc t="2" v="14474"/>
    </bk>
    <bk>
      <rc t="2" v="14475"/>
    </bk>
    <bk>
      <rc t="2" v="14476"/>
    </bk>
    <bk>
      <rc t="2" v="14477"/>
    </bk>
    <bk>
      <rc t="2" v="14478"/>
    </bk>
    <bk>
      <rc t="2" v="14479"/>
    </bk>
    <bk>
      <rc t="2" v="14480"/>
    </bk>
    <bk>
      <rc t="2" v="14481"/>
    </bk>
    <bk>
      <rc t="2" v="14482"/>
    </bk>
    <bk>
      <rc t="2" v="14483"/>
    </bk>
    <bk>
      <rc t="2" v="14484"/>
    </bk>
    <bk>
      <rc t="2" v="14485"/>
    </bk>
    <bk>
      <rc t="2" v="14486"/>
    </bk>
    <bk>
      <rc t="2" v="14487"/>
    </bk>
    <bk>
      <rc t="2" v="14488"/>
    </bk>
    <bk>
      <rc t="2" v="14489"/>
    </bk>
    <bk>
      <rc t="2" v="14490"/>
    </bk>
    <bk>
      <rc t="2" v="14491"/>
    </bk>
    <bk>
      <rc t="2" v="14492"/>
    </bk>
    <bk>
      <rc t="2" v="14493"/>
    </bk>
    <bk>
      <rc t="2" v="14494"/>
    </bk>
    <bk>
      <rc t="2" v="14495"/>
    </bk>
    <bk>
      <rc t="2" v="14496"/>
    </bk>
    <bk>
      <rc t="2" v="14497"/>
    </bk>
    <bk>
      <rc t="2" v="14498"/>
    </bk>
    <bk>
      <rc t="2" v="14499"/>
    </bk>
    <bk>
      <rc t="2" v="14500"/>
    </bk>
    <bk>
      <rc t="2" v="14501"/>
    </bk>
    <bk>
      <rc t="2" v="14502"/>
    </bk>
    <bk>
      <rc t="2" v="14503"/>
    </bk>
    <bk>
      <rc t="2" v="14504"/>
    </bk>
    <bk>
      <rc t="2" v="14505"/>
    </bk>
    <bk>
      <rc t="2" v="14506"/>
    </bk>
    <bk>
      <rc t="2" v="14507"/>
    </bk>
    <bk>
      <rc t="2" v="14508"/>
    </bk>
    <bk>
      <rc t="2" v="14509"/>
    </bk>
    <bk>
      <rc t="2" v="14510"/>
    </bk>
    <bk>
      <rc t="2" v="14511"/>
    </bk>
    <bk>
      <rc t="2" v="14512"/>
    </bk>
    <bk>
      <rc t="2" v="14513"/>
    </bk>
    <bk>
      <rc t="2" v="14514"/>
    </bk>
    <bk>
      <rc t="2" v="14515"/>
    </bk>
    <bk>
      <rc t="2" v="14516"/>
    </bk>
    <bk>
      <rc t="2" v="14517"/>
    </bk>
    <bk>
      <rc t="2" v="14518"/>
    </bk>
    <bk>
      <rc t="2" v="14519"/>
    </bk>
    <bk>
      <rc t="2" v="14520"/>
    </bk>
    <bk>
      <rc t="2" v="14521"/>
    </bk>
    <bk>
      <rc t="2" v="14522"/>
    </bk>
    <bk>
      <rc t="2" v="14523"/>
    </bk>
    <bk>
      <rc t="2" v="14524"/>
    </bk>
    <bk>
      <rc t="2" v="14525"/>
    </bk>
    <bk>
      <rc t="2" v="14526"/>
    </bk>
    <bk>
      <rc t="2" v="14527"/>
    </bk>
    <bk>
      <rc t="2" v="14528"/>
    </bk>
    <bk>
      <rc t="2" v="14529"/>
    </bk>
    <bk>
      <rc t="2" v="14530"/>
    </bk>
    <bk>
      <rc t="2" v="14531"/>
    </bk>
    <bk>
      <rc t="2" v="14532"/>
    </bk>
    <bk>
      <rc t="2" v="14533"/>
    </bk>
    <bk>
      <rc t="2" v="14534"/>
    </bk>
    <bk>
      <rc t="2" v="14535"/>
    </bk>
    <bk>
      <rc t="2" v="14536"/>
    </bk>
    <bk>
      <rc t="2" v="14537"/>
    </bk>
    <bk>
      <rc t="2" v="14538"/>
    </bk>
    <bk>
      <rc t="2" v="14539"/>
    </bk>
    <bk>
      <rc t="2" v="14540"/>
    </bk>
    <bk>
      <rc t="2" v="14541"/>
    </bk>
    <bk>
      <rc t="2" v="14542"/>
    </bk>
    <bk>
      <rc t="2" v="14543"/>
    </bk>
    <bk>
      <rc t="2" v="14544"/>
    </bk>
    <bk>
      <rc t="2" v="14545"/>
    </bk>
    <bk>
      <rc t="2" v="14546"/>
    </bk>
    <bk>
      <rc t="2" v="14547"/>
    </bk>
    <bk>
      <rc t="2" v="14548"/>
    </bk>
    <bk>
      <rc t="2" v="14549"/>
    </bk>
    <bk>
      <rc t="2" v="14550"/>
    </bk>
    <bk>
      <rc t="2" v="14551"/>
    </bk>
    <bk>
      <rc t="2" v="14552"/>
    </bk>
    <bk>
      <rc t="2" v="14553"/>
    </bk>
    <bk>
      <rc t="2" v="14554"/>
    </bk>
    <bk>
      <rc t="2" v="14555"/>
    </bk>
    <bk>
      <rc t="2" v="14556"/>
    </bk>
    <bk>
      <rc t="2" v="14557"/>
    </bk>
    <bk>
      <rc t="2" v="14558"/>
    </bk>
    <bk>
      <rc t="2" v="14559"/>
    </bk>
    <bk>
      <rc t="2" v="14560"/>
    </bk>
    <bk>
      <rc t="2" v="14561"/>
    </bk>
    <bk>
      <rc t="2" v="14562"/>
    </bk>
    <bk>
      <rc t="2" v="14563"/>
    </bk>
    <bk>
      <rc t="2" v="14564"/>
    </bk>
    <bk>
      <rc t="2" v="14565"/>
    </bk>
    <bk>
      <rc t="2" v="14566"/>
    </bk>
    <bk>
      <rc t="2" v="14567"/>
    </bk>
    <bk>
      <rc t="2" v="14568"/>
    </bk>
    <bk>
      <rc t="2" v="14569"/>
    </bk>
    <bk>
      <rc t="2" v="14570"/>
    </bk>
    <bk>
      <rc t="2" v="14571"/>
    </bk>
    <bk>
      <rc t="2" v="14572"/>
    </bk>
    <bk>
      <rc t="2" v="14573"/>
    </bk>
    <bk>
      <rc t="2" v="14574"/>
    </bk>
    <bk>
      <rc t="2" v="14575"/>
    </bk>
    <bk>
      <rc t="2" v="14576"/>
    </bk>
    <bk>
      <rc t="2" v="14577"/>
    </bk>
    <bk>
      <rc t="2" v="14578"/>
    </bk>
    <bk>
      <rc t="2" v="14579"/>
    </bk>
    <bk>
      <rc t="2" v="14580"/>
    </bk>
    <bk>
      <rc t="2" v="14581"/>
    </bk>
    <bk>
      <rc t="2" v="14582"/>
    </bk>
    <bk>
      <rc t="2" v="14583"/>
    </bk>
    <bk>
      <rc t="2" v="14584"/>
    </bk>
    <bk>
      <rc t="2" v="14585"/>
    </bk>
    <bk>
      <rc t="2" v="14586"/>
    </bk>
    <bk>
      <rc t="2" v="14587"/>
    </bk>
    <bk>
      <rc t="2" v="14588"/>
    </bk>
    <bk>
      <rc t="2" v="14589"/>
    </bk>
    <bk>
      <rc t="2" v="14590"/>
    </bk>
    <bk>
      <rc t="2" v="14591"/>
    </bk>
    <bk>
      <rc t="2" v="14592"/>
    </bk>
    <bk>
      <rc t="2" v="14593"/>
    </bk>
    <bk>
      <rc t="2" v="14594"/>
    </bk>
    <bk>
      <rc t="2" v="14595"/>
    </bk>
    <bk>
      <rc t="2" v="14596"/>
    </bk>
    <bk>
      <rc t="2" v="14597"/>
    </bk>
    <bk>
      <rc t="2" v="14598"/>
    </bk>
    <bk>
      <rc t="2" v="14599"/>
    </bk>
    <bk>
      <rc t="2" v="14600"/>
    </bk>
    <bk>
      <rc t="2" v="14601"/>
    </bk>
    <bk>
      <rc t="2" v="14602"/>
    </bk>
    <bk>
      <rc t="2" v="14603"/>
    </bk>
    <bk>
      <rc t="2" v="14604"/>
    </bk>
    <bk>
      <rc t="2" v="14605"/>
    </bk>
    <bk>
      <rc t="2" v="14606"/>
    </bk>
    <bk>
      <rc t="2" v="14607"/>
    </bk>
    <bk>
      <rc t="2" v="14608"/>
    </bk>
    <bk>
      <rc t="2" v="14609"/>
    </bk>
    <bk>
      <rc t="2" v="14610"/>
    </bk>
    <bk>
      <rc t="2" v="14611"/>
    </bk>
    <bk>
      <rc t="2" v="14612"/>
    </bk>
    <bk>
      <rc t="2" v="14613"/>
    </bk>
    <bk>
      <rc t="2" v="14614"/>
    </bk>
    <bk>
      <rc t="2" v="14615"/>
    </bk>
    <bk>
      <rc t="2" v="14616"/>
    </bk>
    <bk>
      <rc t="2" v="14617"/>
    </bk>
    <bk>
      <rc t="2" v="14618"/>
    </bk>
    <bk>
      <rc t="2" v="14619"/>
    </bk>
    <bk>
      <rc t="2" v="14620"/>
    </bk>
    <bk>
      <rc t="2" v="14621"/>
    </bk>
    <bk>
      <rc t="2" v="14622"/>
    </bk>
    <bk>
      <rc t="2" v="14623"/>
    </bk>
    <bk>
      <rc t="2" v="14624"/>
    </bk>
    <bk>
      <rc t="2" v="14625"/>
    </bk>
    <bk>
      <rc t="2" v="14626"/>
    </bk>
    <bk>
      <rc t="2" v="14627"/>
    </bk>
    <bk>
      <rc t="2" v="14628"/>
    </bk>
    <bk>
      <rc t="2" v="14629"/>
    </bk>
    <bk>
      <rc t="2" v="14630"/>
    </bk>
    <bk>
      <rc t="2" v="14631"/>
    </bk>
    <bk>
      <rc t="2" v="14632"/>
    </bk>
    <bk>
      <rc t="2" v="14633"/>
    </bk>
    <bk>
      <rc t="2" v="14634"/>
    </bk>
    <bk>
      <rc t="2" v="14635"/>
    </bk>
    <bk>
      <rc t="2" v="14636"/>
    </bk>
    <bk>
      <rc t="2" v="14637"/>
    </bk>
    <bk>
      <rc t="2" v="14638"/>
    </bk>
    <bk>
      <rc t="2" v="14639"/>
    </bk>
    <bk>
      <rc t="2" v="14640"/>
    </bk>
    <bk>
      <rc t="2" v="14641"/>
    </bk>
    <bk>
      <rc t="2" v="14642"/>
    </bk>
    <bk>
      <rc t="2" v="14643"/>
    </bk>
    <bk>
      <rc t="2" v="14644"/>
    </bk>
    <bk>
      <rc t="2" v="14645"/>
    </bk>
    <bk>
      <rc t="2" v="14646"/>
    </bk>
    <bk>
      <rc t="2" v="14647"/>
    </bk>
    <bk>
      <rc t="2" v="14648"/>
    </bk>
    <bk>
      <rc t="2" v="14649"/>
    </bk>
    <bk>
      <rc t="2" v="14650"/>
    </bk>
    <bk>
      <rc t="2" v="14651"/>
    </bk>
    <bk>
      <rc t="2" v="14652"/>
    </bk>
    <bk>
      <rc t="2" v="14653"/>
    </bk>
    <bk>
      <rc t="2" v="14654"/>
    </bk>
    <bk>
      <rc t="2" v="14655"/>
    </bk>
    <bk>
      <rc t="2" v="14656"/>
    </bk>
    <bk>
      <rc t="2" v="14657"/>
    </bk>
    <bk>
      <rc t="2" v="14658"/>
    </bk>
    <bk>
      <rc t="2" v="14659"/>
    </bk>
    <bk>
      <rc t="2" v="14660"/>
    </bk>
    <bk>
      <rc t="2" v="14661"/>
    </bk>
    <bk>
      <rc t="2" v="14662"/>
    </bk>
    <bk>
      <rc t="2" v="14663"/>
    </bk>
    <bk>
      <rc t="2" v="14664"/>
    </bk>
    <bk>
      <rc t="2" v="14665"/>
    </bk>
    <bk>
      <rc t="2" v="14666"/>
    </bk>
    <bk>
      <rc t="2" v="14667"/>
    </bk>
    <bk>
      <rc t="2" v="14668"/>
    </bk>
    <bk>
      <rc t="2" v="14669"/>
    </bk>
    <bk>
      <rc t="2" v="14670"/>
    </bk>
    <bk>
      <rc t="2" v="14671"/>
    </bk>
    <bk>
      <rc t="2" v="14672"/>
    </bk>
    <bk>
      <rc t="2" v="14673"/>
    </bk>
    <bk>
      <rc t="2" v="14674"/>
    </bk>
    <bk>
      <rc t="2" v="14675"/>
    </bk>
    <bk>
      <rc t="2" v="14676"/>
    </bk>
    <bk>
      <rc t="2" v="14677"/>
    </bk>
    <bk>
      <rc t="2" v="14678"/>
    </bk>
    <bk>
      <rc t="2" v="14679"/>
    </bk>
    <bk>
      <rc t="2" v="14680"/>
    </bk>
    <bk>
      <rc t="2" v="14681"/>
    </bk>
    <bk>
      <rc t="2" v="14682"/>
    </bk>
    <bk>
      <rc t="2" v="14683"/>
    </bk>
    <bk>
      <rc t="2" v="14684"/>
    </bk>
    <bk>
      <rc t="2" v="14685"/>
    </bk>
    <bk>
      <rc t="2" v="14686"/>
    </bk>
    <bk>
      <rc t="2" v="14687"/>
    </bk>
    <bk>
      <rc t="2" v="14688"/>
    </bk>
    <bk>
      <rc t="2" v="14689"/>
    </bk>
    <bk>
      <rc t="2" v="14690"/>
    </bk>
    <bk>
      <rc t="2" v="14691"/>
    </bk>
    <bk>
      <rc t="2" v="14692"/>
    </bk>
    <bk>
      <rc t="2" v="14693"/>
    </bk>
    <bk>
      <rc t="2" v="14694"/>
    </bk>
    <bk>
      <rc t="2" v="14695"/>
    </bk>
    <bk>
      <rc t="2" v="14696"/>
    </bk>
    <bk>
      <rc t="2" v="14697"/>
    </bk>
    <bk>
      <rc t="2" v="14698"/>
    </bk>
    <bk>
      <rc t="2" v="14699"/>
    </bk>
    <bk>
      <rc t="2" v="14700"/>
    </bk>
    <bk>
      <rc t="2" v="14701"/>
    </bk>
    <bk>
      <rc t="2" v="14702"/>
    </bk>
    <bk>
      <rc t="2" v="14703"/>
    </bk>
    <bk>
      <rc t="2" v="14704"/>
    </bk>
    <bk>
      <rc t="2" v="14705"/>
    </bk>
    <bk>
      <rc t="2" v="14706"/>
    </bk>
    <bk>
      <rc t="2" v="14707"/>
    </bk>
    <bk>
      <rc t="2" v="14708"/>
    </bk>
    <bk>
      <rc t="2" v="14709"/>
    </bk>
    <bk>
      <rc t="2" v="14710"/>
    </bk>
    <bk>
      <rc t="2" v="14711"/>
    </bk>
    <bk>
      <rc t="2" v="14712"/>
    </bk>
    <bk>
      <rc t="2" v="14713"/>
    </bk>
    <bk>
      <rc t="2" v="14714"/>
    </bk>
    <bk>
      <rc t="2" v="14715"/>
    </bk>
    <bk>
      <rc t="2" v="14716"/>
    </bk>
    <bk>
      <rc t="2" v="14717"/>
    </bk>
    <bk>
      <rc t="2" v="14718"/>
    </bk>
    <bk>
      <rc t="2" v="14719"/>
    </bk>
    <bk>
      <rc t="2" v="14720"/>
    </bk>
    <bk>
      <rc t="2" v="14721"/>
    </bk>
    <bk>
      <rc t="2" v="14722"/>
    </bk>
    <bk>
      <rc t="2" v="14723"/>
    </bk>
    <bk>
      <rc t="2" v="14724"/>
    </bk>
    <bk>
      <rc t="2" v="14725"/>
    </bk>
    <bk>
      <rc t="2" v="14726"/>
    </bk>
    <bk>
      <rc t="2" v="14727"/>
    </bk>
    <bk>
      <rc t="2" v="14728"/>
    </bk>
    <bk>
      <rc t="2" v="14729"/>
    </bk>
    <bk>
      <rc t="2" v="14730"/>
    </bk>
    <bk>
      <rc t="2" v="14731"/>
    </bk>
    <bk>
      <rc t="2" v="14732"/>
    </bk>
    <bk>
      <rc t="2" v="14733"/>
    </bk>
    <bk>
      <rc t="2" v="14734"/>
    </bk>
    <bk>
      <rc t="2" v="14735"/>
    </bk>
    <bk>
      <rc t="2" v="14736"/>
    </bk>
    <bk>
      <rc t="2" v="14737"/>
    </bk>
    <bk>
      <rc t="2" v="14738"/>
    </bk>
    <bk>
      <rc t="2" v="14739"/>
    </bk>
    <bk>
      <rc t="2" v="14740"/>
    </bk>
    <bk>
      <rc t="2" v="14741"/>
    </bk>
    <bk>
      <rc t="2" v="14742"/>
    </bk>
    <bk>
      <rc t="2" v="14743"/>
    </bk>
    <bk>
      <rc t="2" v="14744"/>
    </bk>
    <bk>
      <rc t="2" v="14745"/>
    </bk>
    <bk>
      <rc t="2" v="14746"/>
    </bk>
    <bk>
      <rc t="2" v="14747"/>
    </bk>
    <bk>
      <rc t="2" v="14748"/>
    </bk>
    <bk>
      <rc t="2" v="14749"/>
    </bk>
    <bk>
      <rc t="2" v="14750"/>
    </bk>
    <bk>
      <rc t="2" v="14751"/>
    </bk>
    <bk>
      <rc t="2" v="14752"/>
    </bk>
    <bk>
      <rc t="2" v="14753"/>
    </bk>
    <bk>
      <rc t="2" v="14754"/>
    </bk>
    <bk>
      <rc t="2" v="14755"/>
    </bk>
    <bk>
      <rc t="2" v="14756"/>
    </bk>
    <bk>
      <rc t="2" v="14757"/>
    </bk>
    <bk>
      <rc t="2" v="14758"/>
    </bk>
    <bk>
      <rc t="2" v="14759"/>
    </bk>
    <bk>
      <rc t="2" v="14760"/>
    </bk>
    <bk>
      <rc t="2" v="14761"/>
    </bk>
    <bk>
      <rc t="2" v="14762"/>
    </bk>
    <bk>
      <rc t="2" v="14763"/>
    </bk>
    <bk>
      <rc t="2" v="14764"/>
    </bk>
    <bk>
      <rc t="2" v="14765"/>
    </bk>
    <bk>
      <rc t="2" v="14766"/>
    </bk>
    <bk>
      <rc t="2" v="14767"/>
    </bk>
    <bk>
      <rc t="2" v="14768"/>
    </bk>
    <bk>
      <rc t="2" v="14769"/>
    </bk>
    <bk>
      <rc t="2" v="14770"/>
    </bk>
    <bk>
      <rc t="2" v="14771"/>
    </bk>
    <bk>
      <rc t="2" v="14772"/>
    </bk>
    <bk>
      <rc t="2" v="14773"/>
    </bk>
    <bk>
      <rc t="2" v="14774"/>
    </bk>
    <bk>
      <rc t="2" v="14775"/>
    </bk>
    <bk>
      <rc t="2" v="14776"/>
    </bk>
    <bk>
      <rc t="2" v="14777"/>
    </bk>
    <bk>
      <rc t="2" v="14778"/>
    </bk>
    <bk>
      <rc t="2" v="14779"/>
    </bk>
    <bk>
      <rc t="2" v="14780"/>
    </bk>
    <bk>
      <rc t="2" v="14781"/>
    </bk>
    <bk>
      <rc t="2" v="14782"/>
    </bk>
    <bk>
      <rc t="2" v="14783"/>
    </bk>
    <bk>
      <rc t="2" v="14784"/>
    </bk>
    <bk>
      <rc t="2" v="14785"/>
    </bk>
    <bk>
      <rc t="2" v="14786"/>
    </bk>
    <bk>
      <rc t="2" v="14787"/>
    </bk>
    <bk>
      <rc t="2" v="14788"/>
    </bk>
    <bk>
      <rc t="2" v="14789"/>
    </bk>
    <bk>
      <rc t="2" v="14790"/>
    </bk>
    <bk>
      <rc t="2" v="14791"/>
    </bk>
    <bk>
      <rc t="2" v="14792"/>
    </bk>
    <bk>
      <rc t="2" v="14793"/>
    </bk>
    <bk>
      <rc t="2" v="14794"/>
    </bk>
    <bk>
      <rc t="2" v="14795"/>
    </bk>
    <bk>
      <rc t="2" v="14796"/>
    </bk>
    <bk>
      <rc t="2" v="14797"/>
    </bk>
    <bk>
      <rc t="2" v="14798"/>
    </bk>
    <bk>
      <rc t="2" v="14799"/>
    </bk>
    <bk>
      <rc t="2" v="14800"/>
    </bk>
    <bk>
      <rc t="2" v="14801"/>
    </bk>
    <bk>
      <rc t="2" v="14802"/>
    </bk>
    <bk>
      <rc t="2" v="14803"/>
    </bk>
    <bk>
      <rc t="2" v="14804"/>
    </bk>
    <bk>
      <rc t="2" v="14805"/>
    </bk>
    <bk>
      <rc t="2" v="14806"/>
    </bk>
    <bk>
      <rc t="2" v="14807"/>
    </bk>
    <bk>
      <rc t="2" v="14808"/>
    </bk>
    <bk>
      <rc t="2" v="14809"/>
    </bk>
    <bk>
      <rc t="2" v="14810"/>
    </bk>
    <bk>
      <rc t="2" v="14811"/>
    </bk>
    <bk>
      <rc t="2" v="14812"/>
    </bk>
    <bk>
      <rc t="2" v="14813"/>
    </bk>
    <bk>
      <rc t="2" v="14814"/>
    </bk>
    <bk>
      <rc t="2" v="14815"/>
    </bk>
    <bk>
      <rc t="2" v="14816"/>
    </bk>
    <bk>
      <rc t="2" v="14817"/>
    </bk>
    <bk>
      <rc t="2" v="14818"/>
    </bk>
    <bk>
      <rc t="2" v="14819"/>
    </bk>
    <bk>
      <rc t="2" v="14820"/>
    </bk>
    <bk>
      <rc t="2" v="14821"/>
    </bk>
    <bk>
      <rc t="2" v="14822"/>
    </bk>
    <bk>
      <rc t="2" v="14823"/>
    </bk>
    <bk>
      <rc t="2" v="14824"/>
    </bk>
    <bk>
      <rc t="2" v="14825"/>
    </bk>
    <bk>
      <rc t="2" v="14826"/>
    </bk>
    <bk>
      <rc t="2" v="14827"/>
    </bk>
    <bk>
      <rc t="2" v="14828"/>
    </bk>
    <bk>
      <rc t="2" v="14829"/>
    </bk>
    <bk>
      <rc t="2" v="14830"/>
    </bk>
    <bk>
      <rc t="2" v="14831"/>
    </bk>
    <bk>
      <rc t="2" v="14832"/>
    </bk>
    <bk>
      <rc t="2" v="14833"/>
    </bk>
    <bk>
      <rc t="2" v="14834"/>
    </bk>
    <bk>
      <rc t="2" v="14835"/>
    </bk>
    <bk>
      <rc t="2" v="14836"/>
    </bk>
    <bk>
      <rc t="2" v="14837"/>
    </bk>
    <bk>
      <rc t="2" v="14838"/>
    </bk>
    <bk>
      <rc t="2" v="14839"/>
    </bk>
    <bk>
      <rc t="2" v="14840"/>
    </bk>
    <bk>
      <rc t="2" v="14841"/>
    </bk>
    <bk>
      <rc t="2" v="14842"/>
    </bk>
    <bk>
      <rc t="2" v="14843"/>
    </bk>
    <bk>
      <rc t="2" v="14844"/>
    </bk>
    <bk>
      <rc t="2" v="14845"/>
    </bk>
    <bk>
      <rc t="2" v="14846"/>
    </bk>
    <bk>
      <rc t="2" v="14847"/>
    </bk>
    <bk>
      <rc t="2" v="14848"/>
    </bk>
    <bk>
      <rc t="2" v="14849"/>
    </bk>
    <bk>
      <rc t="2" v="14850"/>
    </bk>
    <bk>
      <rc t="2" v="14851"/>
    </bk>
    <bk>
      <rc t="2" v="14852"/>
    </bk>
    <bk>
      <rc t="2" v="14853"/>
    </bk>
    <bk>
      <rc t="2" v="14854"/>
    </bk>
    <bk>
      <rc t="2" v="14855"/>
    </bk>
    <bk>
      <rc t="2" v="14856"/>
    </bk>
    <bk>
      <rc t="2" v="14857"/>
    </bk>
    <bk>
      <rc t="2" v="14858"/>
    </bk>
    <bk>
      <rc t="2" v="14859"/>
    </bk>
    <bk>
      <rc t="2" v="14860"/>
    </bk>
    <bk>
      <rc t="2" v="14861"/>
    </bk>
    <bk>
      <rc t="2" v="14862"/>
    </bk>
    <bk>
      <rc t="2" v="14863"/>
    </bk>
    <bk>
      <rc t="2" v="14864"/>
    </bk>
    <bk>
      <rc t="2" v="14865"/>
    </bk>
    <bk>
      <rc t="2" v="14866"/>
    </bk>
    <bk>
      <rc t="2" v="14867"/>
    </bk>
    <bk>
      <rc t="2" v="14868"/>
    </bk>
    <bk>
      <rc t="2" v="14869"/>
    </bk>
    <bk>
      <rc t="2" v="14870"/>
    </bk>
    <bk>
      <rc t="2" v="14871"/>
    </bk>
    <bk>
      <rc t="2" v="14872"/>
    </bk>
    <bk>
      <rc t="2" v="14873"/>
    </bk>
    <bk>
      <rc t="2" v="14874"/>
    </bk>
    <bk>
      <rc t="2" v="14875"/>
    </bk>
    <bk>
      <rc t="2" v="14876"/>
    </bk>
    <bk>
      <rc t="2" v="14877"/>
    </bk>
    <bk>
      <rc t="2" v="14878"/>
    </bk>
    <bk>
      <rc t="2" v="14879"/>
    </bk>
    <bk>
      <rc t="2" v="14880"/>
    </bk>
    <bk>
      <rc t="2" v="14881"/>
    </bk>
    <bk>
      <rc t="2" v="14882"/>
    </bk>
    <bk>
      <rc t="2" v="14883"/>
    </bk>
    <bk>
      <rc t="2" v="14884"/>
    </bk>
    <bk>
      <rc t="2" v="14885"/>
    </bk>
    <bk>
      <rc t="2" v="14886"/>
    </bk>
    <bk>
      <rc t="2" v="14887"/>
    </bk>
    <bk>
      <rc t="2" v="14888"/>
    </bk>
    <bk>
      <rc t="2" v="14889"/>
    </bk>
    <bk>
      <rc t="2" v="14890"/>
    </bk>
    <bk>
      <rc t="2" v="14891"/>
    </bk>
    <bk>
      <rc t="2" v="14892"/>
    </bk>
    <bk>
      <rc t="2" v="14893"/>
    </bk>
    <bk>
      <rc t="2" v="14894"/>
    </bk>
    <bk>
      <rc t="2" v="14895"/>
    </bk>
    <bk>
      <rc t="2" v="14896"/>
    </bk>
    <bk>
      <rc t="2" v="14897"/>
    </bk>
    <bk>
      <rc t="2" v="14898"/>
    </bk>
    <bk>
      <rc t="2" v="14899"/>
    </bk>
    <bk>
      <rc t="2" v="14900"/>
    </bk>
    <bk>
      <rc t="2" v="14901"/>
    </bk>
    <bk>
      <rc t="2" v="14902"/>
    </bk>
    <bk>
      <rc t="2" v="14903"/>
    </bk>
    <bk>
      <rc t="2" v="14904"/>
    </bk>
    <bk>
      <rc t="2" v="14905"/>
    </bk>
    <bk>
      <rc t="2" v="14906"/>
    </bk>
    <bk>
      <rc t="2" v="14907"/>
    </bk>
    <bk>
      <rc t="2" v="14908"/>
    </bk>
    <bk>
      <rc t="2" v="14909"/>
    </bk>
    <bk>
      <rc t="2" v="14910"/>
    </bk>
    <bk>
      <rc t="2" v="14911"/>
    </bk>
    <bk>
      <rc t="2" v="14912"/>
    </bk>
    <bk>
      <rc t="2" v="14913"/>
    </bk>
    <bk>
      <rc t="2" v="14914"/>
    </bk>
    <bk>
      <rc t="2" v="14915"/>
    </bk>
    <bk>
      <rc t="2" v="14916"/>
    </bk>
    <bk>
      <rc t="2" v="14917"/>
    </bk>
    <bk>
      <rc t="2" v="14918"/>
    </bk>
    <bk>
      <rc t="2" v="14919"/>
    </bk>
    <bk>
      <rc t="2" v="14920"/>
    </bk>
    <bk>
      <rc t="2" v="14921"/>
    </bk>
    <bk>
      <rc t="2" v="14922"/>
    </bk>
    <bk>
      <rc t="2" v="14923"/>
    </bk>
    <bk>
      <rc t="2" v="14924"/>
    </bk>
    <bk>
      <rc t="2" v="14925"/>
    </bk>
    <bk>
      <rc t="2" v="14926"/>
    </bk>
    <bk>
      <rc t="2" v="14927"/>
    </bk>
    <bk>
      <rc t="2" v="14928"/>
    </bk>
    <bk>
      <rc t="2" v="14929"/>
    </bk>
    <bk>
      <rc t="2" v="14930"/>
    </bk>
    <bk>
      <rc t="2" v="14931"/>
    </bk>
    <bk>
      <rc t="2" v="14932"/>
    </bk>
    <bk>
      <rc t="2" v="14933"/>
    </bk>
    <bk>
      <rc t="2" v="14934"/>
    </bk>
    <bk>
      <rc t="2" v="14935"/>
    </bk>
    <bk>
      <rc t="2" v="14936"/>
    </bk>
    <bk>
      <rc t="2" v="14937"/>
    </bk>
    <bk>
      <rc t="2" v="14938"/>
    </bk>
    <bk>
      <rc t="2" v="14939"/>
    </bk>
    <bk>
      <rc t="2" v="14940"/>
    </bk>
    <bk>
      <rc t="2" v="14941"/>
    </bk>
    <bk>
      <rc t="2" v="14942"/>
    </bk>
    <bk>
      <rc t="2" v="14943"/>
    </bk>
    <bk>
      <rc t="2" v="14944"/>
    </bk>
    <bk>
      <rc t="2" v="14945"/>
    </bk>
    <bk>
      <rc t="2" v="14946"/>
    </bk>
    <bk>
      <rc t="2" v="14947"/>
    </bk>
    <bk>
      <rc t="2" v="14948"/>
    </bk>
    <bk>
      <rc t="2" v="14949"/>
    </bk>
    <bk>
      <rc t="2" v="14950"/>
    </bk>
    <bk>
      <rc t="2" v="14951"/>
    </bk>
    <bk>
      <rc t="2" v="14952"/>
    </bk>
    <bk>
      <rc t="2" v="14953"/>
    </bk>
    <bk>
      <rc t="2" v="14954"/>
    </bk>
    <bk>
      <rc t="2" v="14955"/>
    </bk>
    <bk>
      <rc t="2" v="14956"/>
    </bk>
    <bk>
      <rc t="2" v="14957"/>
    </bk>
    <bk>
      <rc t="2" v="14958"/>
    </bk>
    <bk>
      <rc t="2" v="14959"/>
    </bk>
    <bk>
      <rc t="2" v="14960"/>
    </bk>
    <bk>
      <rc t="2" v="14961"/>
    </bk>
    <bk>
      <rc t="2" v="14962"/>
    </bk>
    <bk>
      <rc t="2" v="14963"/>
    </bk>
    <bk>
      <rc t="2" v="14964"/>
    </bk>
    <bk>
      <rc t="2" v="14965"/>
    </bk>
    <bk>
      <rc t="2" v="14966"/>
    </bk>
    <bk>
      <rc t="2" v="14967"/>
    </bk>
    <bk>
      <rc t="2" v="14968"/>
    </bk>
    <bk>
      <rc t="2" v="14969"/>
    </bk>
    <bk>
      <rc t="2" v="14970"/>
    </bk>
    <bk>
      <rc t="2" v="14971"/>
    </bk>
    <bk>
      <rc t="2" v="14972"/>
    </bk>
    <bk>
      <rc t="2" v="14973"/>
    </bk>
    <bk>
      <rc t="2" v="14974"/>
    </bk>
    <bk>
      <rc t="2" v="14975"/>
    </bk>
    <bk>
      <rc t="2" v="14976"/>
    </bk>
    <bk>
      <rc t="2" v="14977"/>
    </bk>
    <bk>
      <rc t="2" v="14978"/>
    </bk>
    <bk>
      <rc t="2" v="14979"/>
    </bk>
    <bk>
      <rc t="2" v="14980"/>
    </bk>
    <bk>
      <rc t="2" v="14981"/>
    </bk>
    <bk>
      <rc t="2" v="14982"/>
    </bk>
    <bk>
      <rc t="2" v="14983"/>
    </bk>
    <bk>
      <rc t="2" v="14984"/>
    </bk>
    <bk>
      <rc t="2" v="14985"/>
    </bk>
    <bk>
      <rc t="2" v="14986"/>
    </bk>
    <bk>
      <rc t="2" v="14987"/>
    </bk>
    <bk>
      <rc t="2" v="14988"/>
    </bk>
    <bk>
      <rc t="2" v="14989"/>
    </bk>
    <bk>
      <rc t="2" v="14990"/>
    </bk>
    <bk>
      <rc t="2" v="14991"/>
    </bk>
    <bk>
      <rc t="2" v="14992"/>
    </bk>
    <bk>
      <rc t="2" v="14993"/>
    </bk>
    <bk>
      <rc t="2" v="14994"/>
    </bk>
    <bk>
      <rc t="2" v="14995"/>
    </bk>
    <bk>
      <rc t="2" v="14996"/>
    </bk>
    <bk>
      <rc t="2" v="14997"/>
    </bk>
    <bk>
      <rc t="2" v="14998"/>
    </bk>
    <bk>
      <rc t="2" v="14999"/>
    </bk>
    <bk>
      <rc t="2" v="15000"/>
    </bk>
    <bk>
      <rc t="2" v="15001"/>
    </bk>
    <bk>
      <rc t="2" v="15002"/>
    </bk>
    <bk>
      <rc t="2" v="15003"/>
    </bk>
    <bk>
      <rc t="2" v="15004"/>
    </bk>
    <bk>
      <rc t="2" v="15005"/>
    </bk>
    <bk>
      <rc t="2" v="15006"/>
    </bk>
    <bk>
      <rc t="2" v="15007"/>
    </bk>
    <bk>
      <rc t="2" v="15008"/>
    </bk>
    <bk>
      <rc t="2" v="15009"/>
    </bk>
    <bk>
      <rc t="2" v="15010"/>
    </bk>
    <bk>
      <rc t="2" v="15011"/>
    </bk>
    <bk>
      <rc t="2" v="15012"/>
    </bk>
    <bk>
      <rc t="2" v="15013"/>
    </bk>
    <bk>
      <rc t="2" v="15014"/>
    </bk>
    <bk>
      <rc t="2" v="15015"/>
    </bk>
    <bk>
      <rc t="2" v="15016"/>
    </bk>
    <bk>
      <rc t="2" v="15017"/>
    </bk>
    <bk>
      <rc t="2" v="15018"/>
    </bk>
    <bk>
      <rc t="2" v="15019"/>
    </bk>
    <bk>
      <rc t="2" v="15020"/>
    </bk>
    <bk>
      <rc t="2" v="15021"/>
    </bk>
    <bk>
      <rc t="2" v="15022"/>
    </bk>
    <bk>
      <rc t="2" v="15023"/>
    </bk>
    <bk>
      <rc t="2" v="15024"/>
    </bk>
    <bk>
      <rc t="2" v="15025"/>
    </bk>
    <bk>
      <rc t="2" v="15026"/>
    </bk>
    <bk>
      <rc t="2" v="15027"/>
    </bk>
    <bk>
      <rc t="2" v="15028"/>
    </bk>
    <bk>
      <rc t="2" v="15029"/>
    </bk>
    <bk>
      <rc t="2" v="15030"/>
    </bk>
    <bk>
      <rc t="2" v="15031"/>
    </bk>
    <bk>
      <rc t="2" v="15032"/>
    </bk>
    <bk>
      <rc t="2" v="15033"/>
    </bk>
    <bk>
      <rc t="2" v="15034"/>
    </bk>
    <bk>
      <rc t="2" v="15035"/>
    </bk>
    <bk>
      <rc t="2" v="15036"/>
    </bk>
    <bk>
      <rc t="2" v="15037"/>
    </bk>
    <bk>
      <rc t="2" v="15038"/>
    </bk>
    <bk>
      <rc t="2" v="15039"/>
    </bk>
    <bk>
      <rc t="2" v="15040"/>
    </bk>
    <bk>
      <rc t="2" v="15041"/>
    </bk>
    <bk>
      <rc t="2" v="15042"/>
    </bk>
    <bk>
      <rc t="2" v="15043"/>
    </bk>
    <bk>
      <rc t="2" v="15044"/>
    </bk>
    <bk>
      <rc t="2" v="15045"/>
    </bk>
    <bk>
      <rc t="2" v="15046"/>
    </bk>
    <bk>
      <rc t="2" v="15047"/>
    </bk>
    <bk>
      <rc t="2" v="15048"/>
    </bk>
    <bk>
      <rc t="2" v="15049"/>
    </bk>
    <bk>
      <rc t="2" v="15050"/>
    </bk>
    <bk>
      <rc t="2" v="15051"/>
    </bk>
    <bk>
      <rc t="2" v="15052"/>
    </bk>
    <bk>
      <rc t="2" v="15053"/>
    </bk>
    <bk>
      <rc t="2" v="15054"/>
    </bk>
    <bk>
      <rc t="2" v="15055"/>
    </bk>
    <bk>
      <rc t="2" v="15056"/>
    </bk>
    <bk>
      <rc t="2" v="15057"/>
    </bk>
    <bk>
      <rc t="2" v="15058"/>
    </bk>
    <bk>
      <rc t="2" v="15059"/>
    </bk>
    <bk>
      <rc t="2" v="15060"/>
    </bk>
    <bk>
      <rc t="2" v="15061"/>
    </bk>
    <bk>
      <rc t="2" v="15062"/>
    </bk>
    <bk>
      <rc t="2" v="15063"/>
    </bk>
    <bk>
      <rc t="2" v="15064"/>
    </bk>
    <bk>
      <rc t="2" v="15065"/>
    </bk>
    <bk>
      <rc t="2" v="15066"/>
    </bk>
    <bk>
      <rc t="2" v="15067"/>
    </bk>
    <bk>
      <rc t="2" v="15068"/>
    </bk>
    <bk>
      <rc t="2" v="15069"/>
    </bk>
    <bk>
      <rc t="2" v="15070"/>
    </bk>
    <bk>
      <rc t="2" v="15071"/>
    </bk>
    <bk>
      <rc t="2" v="15072"/>
    </bk>
    <bk>
      <rc t="2" v="15073"/>
    </bk>
    <bk>
      <rc t="2" v="15074"/>
    </bk>
    <bk>
      <rc t="2" v="15075"/>
    </bk>
    <bk>
      <rc t="2" v="15076"/>
    </bk>
    <bk>
      <rc t="2" v="15077"/>
    </bk>
    <bk>
      <rc t="2" v="15078"/>
    </bk>
    <bk>
      <rc t="2" v="15079"/>
    </bk>
    <bk>
      <rc t="2" v="15080"/>
    </bk>
    <bk>
      <rc t="2" v="15081"/>
    </bk>
    <bk>
      <rc t="2" v="15082"/>
    </bk>
    <bk>
      <rc t="2" v="15083"/>
    </bk>
    <bk>
      <rc t="2" v="15084"/>
    </bk>
    <bk>
      <rc t="2" v="15085"/>
    </bk>
    <bk>
      <rc t="2" v="15086"/>
    </bk>
    <bk>
      <rc t="2" v="15087"/>
    </bk>
    <bk>
      <rc t="2" v="15088"/>
    </bk>
    <bk>
      <rc t="2" v="15089"/>
    </bk>
    <bk>
      <rc t="2" v="15090"/>
    </bk>
    <bk>
      <rc t="2" v="15091"/>
    </bk>
    <bk>
      <rc t="2" v="15092"/>
    </bk>
    <bk>
      <rc t="2" v="15093"/>
    </bk>
    <bk>
      <rc t="2" v="15094"/>
    </bk>
    <bk>
      <rc t="2" v="15095"/>
    </bk>
    <bk>
      <rc t="2" v="15096"/>
    </bk>
    <bk>
      <rc t="2" v="15097"/>
    </bk>
    <bk>
      <rc t="2" v="15098"/>
    </bk>
    <bk>
      <rc t="2" v="15099"/>
    </bk>
    <bk>
      <rc t="2" v="15100"/>
    </bk>
    <bk>
      <rc t="2" v="15101"/>
    </bk>
    <bk>
      <rc t="2" v="15102"/>
    </bk>
    <bk>
      <rc t="2" v="15103"/>
    </bk>
    <bk>
      <rc t="2" v="15104"/>
    </bk>
    <bk>
      <rc t="2" v="15105"/>
    </bk>
    <bk>
      <rc t="2" v="15106"/>
    </bk>
    <bk>
      <rc t="2" v="15107"/>
    </bk>
    <bk>
      <rc t="2" v="15108"/>
    </bk>
    <bk>
      <rc t="2" v="15109"/>
    </bk>
    <bk>
      <rc t="2" v="15110"/>
    </bk>
    <bk>
      <rc t="2" v="15111"/>
    </bk>
    <bk>
      <rc t="2" v="15112"/>
    </bk>
    <bk>
      <rc t="2" v="15113"/>
    </bk>
    <bk>
      <rc t="2" v="15114"/>
    </bk>
    <bk>
      <rc t="2" v="15115"/>
    </bk>
    <bk>
      <rc t="2" v="15116"/>
    </bk>
    <bk>
      <rc t="2" v="15117"/>
    </bk>
    <bk>
      <rc t="2" v="15118"/>
    </bk>
    <bk>
      <rc t="2" v="15119"/>
    </bk>
    <bk>
      <rc t="2" v="15120"/>
    </bk>
    <bk>
      <rc t="2" v="15121"/>
    </bk>
    <bk>
      <rc t="2" v="15122"/>
    </bk>
    <bk>
      <rc t="2" v="15123"/>
    </bk>
    <bk>
      <rc t="2" v="15124"/>
    </bk>
    <bk>
      <rc t="2" v="15125"/>
    </bk>
    <bk>
      <rc t="2" v="15126"/>
    </bk>
    <bk>
      <rc t="2" v="15127"/>
    </bk>
    <bk>
      <rc t="2" v="15128"/>
    </bk>
    <bk>
      <rc t="2" v="15129"/>
    </bk>
    <bk>
      <rc t="2" v="15130"/>
    </bk>
    <bk>
      <rc t="2" v="15131"/>
    </bk>
    <bk>
      <rc t="2" v="15132"/>
    </bk>
    <bk>
      <rc t="2" v="15133"/>
    </bk>
    <bk>
      <rc t="2" v="15134"/>
    </bk>
    <bk>
      <rc t="2" v="15135"/>
    </bk>
    <bk>
      <rc t="2" v="15136"/>
    </bk>
    <bk>
      <rc t="2" v="15137"/>
    </bk>
    <bk>
      <rc t="2" v="15138"/>
    </bk>
    <bk>
      <rc t="2" v="15139"/>
    </bk>
    <bk>
      <rc t="2" v="15140"/>
    </bk>
    <bk>
      <rc t="2" v="15141"/>
    </bk>
    <bk>
      <rc t="2" v="15142"/>
    </bk>
    <bk>
      <rc t="2" v="15143"/>
    </bk>
    <bk>
      <rc t="2" v="15144"/>
    </bk>
    <bk>
      <rc t="2" v="15145"/>
    </bk>
    <bk>
      <rc t="2" v="15146"/>
    </bk>
    <bk>
      <rc t="2" v="15147"/>
    </bk>
    <bk>
      <rc t="2" v="15148"/>
    </bk>
    <bk>
      <rc t="2" v="15149"/>
    </bk>
    <bk>
      <rc t="2" v="15150"/>
    </bk>
    <bk>
      <rc t="2" v="15151"/>
    </bk>
    <bk>
      <rc t="2" v="15152"/>
    </bk>
    <bk>
      <rc t="2" v="15153"/>
    </bk>
    <bk>
      <rc t="2" v="15154"/>
    </bk>
    <bk>
      <rc t="2" v="15155"/>
    </bk>
    <bk>
      <rc t="2" v="15156"/>
    </bk>
    <bk>
      <rc t="2" v="15157"/>
    </bk>
    <bk>
      <rc t="2" v="15158"/>
    </bk>
    <bk>
      <rc t="2" v="15159"/>
    </bk>
    <bk>
      <rc t="2" v="15160"/>
    </bk>
    <bk>
      <rc t="2" v="15161"/>
    </bk>
    <bk>
      <rc t="2" v="15162"/>
    </bk>
    <bk>
      <rc t="2" v="15163"/>
    </bk>
    <bk>
      <rc t="2" v="15164"/>
    </bk>
    <bk>
      <rc t="2" v="15165"/>
    </bk>
    <bk>
      <rc t="2" v="15166"/>
    </bk>
    <bk>
      <rc t="2" v="15167"/>
    </bk>
    <bk>
      <rc t="2" v="15168"/>
    </bk>
    <bk>
      <rc t="2" v="15169"/>
    </bk>
    <bk>
      <rc t="2" v="15170"/>
    </bk>
    <bk>
      <rc t="2" v="15171"/>
    </bk>
    <bk>
      <rc t="2" v="15172"/>
    </bk>
    <bk>
      <rc t="2" v="15173"/>
    </bk>
    <bk>
      <rc t="2" v="15174"/>
    </bk>
    <bk>
      <rc t="2" v="15175"/>
    </bk>
    <bk>
      <rc t="2" v="15176"/>
    </bk>
    <bk>
      <rc t="2" v="15177"/>
    </bk>
    <bk>
      <rc t="2" v="15178"/>
    </bk>
    <bk>
      <rc t="2" v="15179"/>
    </bk>
    <bk>
      <rc t="2" v="15180"/>
    </bk>
    <bk>
      <rc t="2" v="15181"/>
    </bk>
    <bk>
      <rc t="2" v="15182"/>
    </bk>
    <bk>
      <rc t="2" v="15183"/>
    </bk>
    <bk>
      <rc t="2" v="15184"/>
    </bk>
    <bk>
      <rc t="2" v="15185"/>
    </bk>
    <bk>
      <rc t="2" v="15186"/>
    </bk>
    <bk>
      <rc t="2" v="15187"/>
    </bk>
    <bk>
      <rc t="2" v="15188"/>
    </bk>
    <bk>
      <rc t="2" v="15189"/>
    </bk>
    <bk>
      <rc t="2" v="15190"/>
    </bk>
    <bk>
      <rc t="2" v="15191"/>
    </bk>
    <bk>
      <rc t="2" v="15192"/>
    </bk>
    <bk>
      <rc t="2" v="15193"/>
    </bk>
    <bk>
      <rc t="2" v="15194"/>
    </bk>
    <bk>
      <rc t="2" v="15195"/>
    </bk>
    <bk>
      <rc t="2" v="15196"/>
    </bk>
    <bk>
      <rc t="2" v="15197"/>
    </bk>
    <bk>
      <rc t="2" v="15198"/>
    </bk>
    <bk>
      <rc t="2" v="15199"/>
    </bk>
    <bk>
      <rc t="2" v="15200"/>
    </bk>
    <bk>
      <rc t="2" v="15201"/>
    </bk>
    <bk>
      <rc t="2" v="15202"/>
    </bk>
    <bk>
      <rc t="2" v="15203"/>
    </bk>
    <bk>
      <rc t="2" v="15204"/>
    </bk>
    <bk>
      <rc t="2" v="15205"/>
    </bk>
    <bk>
      <rc t="2" v="15206"/>
    </bk>
    <bk>
      <rc t="2" v="15207"/>
    </bk>
    <bk>
      <rc t="2" v="15208"/>
    </bk>
    <bk>
      <rc t="2" v="15209"/>
    </bk>
    <bk>
      <rc t="2" v="15210"/>
    </bk>
    <bk>
      <rc t="2" v="15211"/>
    </bk>
    <bk>
      <rc t="2" v="15212"/>
    </bk>
    <bk>
      <rc t="2" v="15213"/>
    </bk>
    <bk>
      <rc t="2" v="15214"/>
    </bk>
    <bk>
      <rc t="2" v="15215"/>
    </bk>
    <bk>
      <rc t="2" v="15216"/>
    </bk>
    <bk>
      <rc t="2" v="15217"/>
    </bk>
    <bk>
      <rc t="2" v="15218"/>
    </bk>
    <bk>
      <rc t="2" v="15219"/>
    </bk>
    <bk>
      <rc t="2" v="15220"/>
    </bk>
    <bk>
      <rc t="2" v="15221"/>
    </bk>
    <bk>
      <rc t="2" v="15222"/>
    </bk>
    <bk>
      <rc t="2" v="15223"/>
    </bk>
    <bk>
      <rc t="2" v="15224"/>
    </bk>
    <bk>
      <rc t="2" v="15225"/>
    </bk>
    <bk>
      <rc t="2" v="15226"/>
    </bk>
    <bk>
      <rc t="2" v="15227"/>
    </bk>
    <bk>
      <rc t="2" v="15228"/>
    </bk>
    <bk>
      <rc t="2" v="15229"/>
    </bk>
    <bk>
      <rc t="2" v="15230"/>
    </bk>
    <bk>
      <rc t="2" v="15231"/>
    </bk>
    <bk>
      <rc t="2" v="15232"/>
    </bk>
    <bk>
      <rc t="2" v="15233"/>
    </bk>
    <bk>
      <rc t="2" v="15234"/>
    </bk>
    <bk>
      <rc t="2" v="15235"/>
    </bk>
    <bk>
      <rc t="2" v="15236"/>
    </bk>
    <bk>
      <rc t="2" v="15237"/>
    </bk>
    <bk>
      <rc t="2" v="15238"/>
    </bk>
    <bk>
      <rc t="2" v="15239"/>
    </bk>
    <bk>
      <rc t="2" v="15240"/>
    </bk>
    <bk>
      <rc t="2" v="15241"/>
    </bk>
    <bk>
      <rc t="2" v="15242"/>
    </bk>
    <bk>
      <rc t="2" v="15243"/>
    </bk>
    <bk>
      <rc t="2" v="15244"/>
    </bk>
    <bk>
      <rc t="2" v="15245"/>
    </bk>
    <bk>
      <rc t="2" v="15246"/>
    </bk>
    <bk>
      <rc t="2" v="15247"/>
    </bk>
    <bk>
      <rc t="2" v="15248"/>
    </bk>
    <bk>
      <rc t="2" v="15249"/>
    </bk>
    <bk>
      <rc t="2" v="15250"/>
    </bk>
    <bk>
      <rc t="2" v="15251"/>
    </bk>
    <bk>
      <rc t="2" v="15252"/>
    </bk>
    <bk>
      <rc t="2" v="15253"/>
    </bk>
    <bk>
      <rc t="2" v="15254"/>
    </bk>
    <bk>
      <rc t="2" v="15255"/>
    </bk>
    <bk>
      <rc t="2" v="15256"/>
    </bk>
    <bk>
      <rc t="2" v="15257"/>
    </bk>
    <bk>
      <rc t="2" v="15258"/>
    </bk>
    <bk>
      <rc t="2" v="15259"/>
    </bk>
    <bk>
      <rc t="2" v="15260"/>
    </bk>
    <bk>
      <rc t="2" v="15261"/>
    </bk>
    <bk>
      <rc t="2" v="15262"/>
    </bk>
    <bk>
      <rc t="2" v="15263"/>
    </bk>
    <bk>
      <rc t="2" v="15264"/>
    </bk>
    <bk>
      <rc t="2" v="15265"/>
    </bk>
    <bk>
      <rc t="2" v="15266"/>
    </bk>
    <bk>
      <rc t="2" v="15267"/>
    </bk>
    <bk>
      <rc t="2" v="15268"/>
    </bk>
    <bk>
      <rc t="2" v="15269"/>
    </bk>
    <bk>
      <rc t="2" v="15270"/>
    </bk>
    <bk>
      <rc t="2" v="15271"/>
    </bk>
    <bk>
      <rc t="2" v="15272"/>
    </bk>
    <bk>
      <rc t="2" v="15273"/>
    </bk>
    <bk>
      <rc t="2" v="15274"/>
    </bk>
    <bk>
      <rc t="2" v="15275"/>
    </bk>
    <bk>
      <rc t="2" v="15276"/>
    </bk>
    <bk>
      <rc t="2" v="15277"/>
    </bk>
    <bk>
      <rc t="2" v="15278"/>
    </bk>
    <bk>
      <rc t="2" v="15279"/>
    </bk>
    <bk>
      <rc t="2" v="15280"/>
    </bk>
    <bk>
      <rc t="2" v="15281"/>
    </bk>
    <bk>
      <rc t="2" v="15282"/>
    </bk>
    <bk>
      <rc t="2" v="15283"/>
    </bk>
    <bk>
      <rc t="2" v="15284"/>
    </bk>
    <bk>
      <rc t="2" v="15285"/>
    </bk>
    <bk>
      <rc t="2" v="15286"/>
    </bk>
    <bk>
      <rc t="2" v="15287"/>
    </bk>
    <bk>
      <rc t="2" v="15288"/>
    </bk>
    <bk>
      <rc t="2" v="15289"/>
    </bk>
    <bk>
      <rc t="2" v="15290"/>
    </bk>
    <bk>
      <rc t="2" v="15291"/>
    </bk>
    <bk>
      <rc t="2" v="15292"/>
    </bk>
    <bk>
      <rc t="2" v="15293"/>
    </bk>
    <bk>
      <rc t="2" v="15294"/>
    </bk>
    <bk>
      <rc t="2" v="15295"/>
    </bk>
    <bk>
      <rc t="2" v="15296"/>
    </bk>
    <bk>
      <rc t="2" v="15297"/>
    </bk>
    <bk>
      <rc t="2" v="15298"/>
    </bk>
    <bk>
      <rc t="2" v="15299"/>
    </bk>
    <bk>
      <rc t="2" v="15300"/>
    </bk>
    <bk>
      <rc t="2" v="15301"/>
    </bk>
    <bk>
      <rc t="2" v="15302"/>
    </bk>
    <bk>
      <rc t="2" v="15303"/>
    </bk>
    <bk>
      <rc t="2" v="15304"/>
    </bk>
    <bk>
      <rc t="2" v="15305"/>
    </bk>
    <bk>
      <rc t="2" v="15306"/>
    </bk>
    <bk>
      <rc t="2" v="15307"/>
    </bk>
    <bk>
      <rc t="2" v="15308"/>
    </bk>
    <bk>
      <rc t="2" v="15309"/>
    </bk>
    <bk>
      <rc t="2" v="15310"/>
    </bk>
    <bk>
      <rc t="2" v="15311"/>
    </bk>
    <bk>
      <rc t="2" v="15312"/>
    </bk>
    <bk>
      <rc t="2" v="15313"/>
    </bk>
    <bk>
      <rc t="2" v="15314"/>
    </bk>
    <bk>
      <rc t="2" v="15315"/>
    </bk>
    <bk>
      <rc t="2" v="15316"/>
    </bk>
    <bk>
      <rc t="2" v="15317"/>
    </bk>
    <bk>
      <rc t="2" v="15318"/>
    </bk>
    <bk>
      <rc t="2" v="15319"/>
    </bk>
    <bk>
      <rc t="2" v="15320"/>
    </bk>
    <bk>
      <rc t="2" v="15321"/>
    </bk>
    <bk>
      <rc t="2" v="15322"/>
    </bk>
    <bk>
      <rc t="2" v="15323"/>
    </bk>
    <bk>
      <rc t="2" v="15324"/>
    </bk>
    <bk>
      <rc t="2" v="15325"/>
    </bk>
    <bk>
      <rc t="2" v="15326"/>
    </bk>
    <bk>
      <rc t="2" v="15327"/>
    </bk>
    <bk>
      <rc t="2" v="15328"/>
    </bk>
    <bk>
      <rc t="2" v="15329"/>
    </bk>
    <bk>
      <rc t="2" v="15330"/>
    </bk>
    <bk>
      <rc t="2" v="15331"/>
    </bk>
    <bk>
      <rc t="2" v="15332"/>
    </bk>
    <bk>
      <rc t="2" v="15333"/>
    </bk>
    <bk>
      <rc t="2" v="15334"/>
    </bk>
    <bk>
      <rc t="2" v="15335"/>
    </bk>
    <bk>
      <rc t="2" v="15336"/>
    </bk>
    <bk>
      <rc t="2" v="15337"/>
    </bk>
    <bk>
      <rc t="2" v="15338"/>
    </bk>
    <bk>
      <rc t="2" v="15339"/>
    </bk>
    <bk>
      <rc t="2" v="15340"/>
    </bk>
    <bk>
      <rc t="2" v="15341"/>
    </bk>
    <bk>
      <rc t="2" v="15342"/>
    </bk>
    <bk>
      <rc t="2" v="15343"/>
    </bk>
    <bk>
      <rc t="2" v="15344"/>
    </bk>
    <bk>
      <rc t="2" v="15345"/>
    </bk>
    <bk>
      <rc t="2" v="15346"/>
    </bk>
    <bk>
      <rc t="2" v="15347"/>
    </bk>
    <bk>
      <rc t="2" v="15348"/>
    </bk>
    <bk>
      <rc t="2" v="15349"/>
    </bk>
    <bk>
      <rc t="2" v="15350"/>
    </bk>
    <bk>
      <rc t="2" v="15351"/>
    </bk>
    <bk>
      <rc t="2" v="15352"/>
    </bk>
    <bk>
      <rc t="2" v="15353"/>
    </bk>
    <bk>
      <rc t="2" v="15354"/>
    </bk>
    <bk>
      <rc t="2" v="15355"/>
    </bk>
    <bk>
      <rc t="2" v="15356"/>
    </bk>
    <bk>
      <rc t="2" v="15357"/>
    </bk>
    <bk>
      <rc t="2" v="15358"/>
    </bk>
    <bk>
      <rc t="2" v="15359"/>
    </bk>
    <bk>
      <rc t="2" v="15360"/>
    </bk>
    <bk>
      <rc t="2" v="15361"/>
    </bk>
    <bk>
      <rc t="2" v="15362"/>
    </bk>
    <bk>
      <rc t="2" v="15363"/>
    </bk>
    <bk>
      <rc t="2" v="15364"/>
    </bk>
    <bk>
      <rc t="2" v="15365"/>
    </bk>
    <bk>
      <rc t="2" v="15366"/>
    </bk>
    <bk>
      <rc t="2" v="15367"/>
    </bk>
    <bk>
      <rc t="2" v="15368"/>
    </bk>
    <bk>
      <rc t="2" v="15369"/>
    </bk>
    <bk>
      <rc t="2" v="15370"/>
    </bk>
    <bk>
      <rc t="2" v="15371"/>
    </bk>
    <bk>
      <rc t="2" v="15372"/>
    </bk>
    <bk>
      <rc t="2" v="15373"/>
    </bk>
    <bk>
      <rc t="2" v="15374"/>
    </bk>
    <bk>
      <rc t="2" v="15375"/>
    </bk>
    <bk>
      <rc t="2" v="15376"/>
    </bk>
    <bk>
      <rc t="2" v="15377"/>
    </bk>
    <bk>
      <rc t="2" v="15378"/>
    </bk>
    <bk>
      <rc t="2" v="15379"/>
    </bk>
    <bk>
      <rc t="2" v="15380"/>
    </bk>
    <bk>
      <rc t="2" v="15381"/>
    </bk>
    <bk>
      <rc t="2" v="15382"/>
    </bk>
    <bk>
      <rc t="2" v="15383"/>
    </bk>
    <bk>
      <rc t="2" v="15384"/>
    </bk>
    <bk>
      <rc t="2" v="15385"/>
    </bk>
    <bk>
      <rc t="2" v="15386"/>
    </bk>
    <bk>
      <rc t="2" v="15387"/>
    </bk>
    <bk>
      <rc t="2" v="15388"/>
    </bk>
    <bk>
      <rc t="2" v="15389"/>
    </bk>
    <bk>
      <rc t="2" v="15390"/>
    </bk>
    <bk>
      <rc t="2" v="15391"/>
    </bk>
    <bk>
      <rc t="2" v="15392"/>
    </bk>
    <bk>
      <rc t="2" v="15393"/>
    </bk>
    <bk>
      <rc t="2" v="15394"/>
    </bk>
    <bk>
      <rc t="2" v="15395"/>
    </bk>
    <bk>
      <rc t="2" v="15396"/>
    </bk>
    <bk>
      <rc t="2" v="15397"/>
    </bk>
    <bk>
      <rc t="2" v="15398"/>
    </bk>
    <bk>
      <rc t="2" v="15399"/>
    </bk>
    <bk>
      <rc t="2" v="15400"/>
    </bk>
    <bk>
      <rc t="2" v="15401"/>
    </bk>
    <bk>
      <rc t="2" v="15402"/>
    </bk>
    <bk>
      <rc t="2" v="15403"/>
    </bk>
    <bk>
      <rc t="2" v="15404"/>
    </bk>
    <bk>
      <rc t="2" v="15405"/>
    </bk>
    <bk>
      <rc t="2" v="15406"/>
    </bk>
    <bk>
      <rc t="2" v="15407"/>
    </bk>
    <bk>
      <rc t="2" v="15408"/>
    </bk>
    <bk>
      <rc t="2" v="15409"/>
    </bk>
    <bk>
      <rc t="2" v="15410"/>
    </bk>
    <bk>
      <rc t="2" v="15411"/>
    </bk>
    <bk>
      <rc t="2" v="15412"/>
    </bk>
    <bk>
      <rc t="2" v="15413"/>
    </bk>
    <bk>
      <rc t="2" v="15414"/>
    </bk>
    <bk>
      <rc t="2" v="15415"/>
    </bk>
    <bk>
      <rc t="2" v="15416"/>
    </bk>
    <bk>
      <rc t="2" v="15417"/>
    </bk>
    <bk>
      <rc t="2" v="15418"/>
    </bk>
    <bk>
      <rc t="2" v="15419"/>
    </bk>
    <bk>
      <rc t="2" v="15420"/>
    </bk>
    <bk>
      <rc t="2" v="15421"/>
    </bk>
    <bk>
      <rc t="2" v="15422"/>
    </bk>
    <bk>
      <rc t="2" v="15423"/>
    </bk>
    <bk>
      <rc t="2" v="15424"/>
    </bk>
    <bk>
      <rc t="2" v="15425"/>
    </bk>
    <bk>
      <rc t="2" v="15426"/>
    </bk>
    <bk>
      <rc t="2" v="15427"/>
    </bk>
    <bk>
      <rc t="2" v="15428"/>
    </bk>
    <bk>
      <rc t="2" v="15429"/>
    </bk>
    <bk>
      <rc t="2" v="15430"/>
    </bk>
    <bk>
      <rc t="2" v="15431"/>
    </bk>
    <bk>
      <rc t="2" v="15432"/>
    </bk>
    <bk>
      <rc t="2" v="15433"/>
    </bk>
    <bk>
      <rc t="2" v="15434"/>
    </bk>
    <bk>
      <rc t="2" v="15435"/>
    </bk>
    <bk>
      <rc t="2" v="15436"/>
    </bk>
    <bk>
      <rc t="2" v="15437"/>
    </bk>
    <bk>
      <rc t="2" v="15438"/>
    </bk>
    <bk>
      <rc t="2" v="15439"/>
    </bk>
    <bk>
      <rc t="2" v="15440"/>
    </bk>
    <bk>
      <rc t="2" v="15441"/>
    </bk>
    <bk>
      <rc t="2" v="15442"/>
    </bk>
    <bk>
      <rc t="2" v="15443"/>
    </bk>
    <bk>
      <rc t="2" v="15444"/>
    </bk>
    <bk>
      <rc t="2" v="15445"/>
    </bk>
    <bk>
      <rc t="2" v="15446"/>
    </bk>
    <bk>
      <rc t="2" v="15447"/>
    </bk>
    <bk>
      <rc t="2" v="15448"/>
    </bk>
    <bk>
      <rc t="2" v="15449"/>
    </bk>
    <bk>
      <rc t="2" v="15450"/>
    </bk>
    <bk>
      <rc t="2" v="15451"/>
    </bk>
    <bk>
      <rc t="2" v="15452"/>
    </bk>
    <bk>
      <rc t="2" v="15453"/>
    </bk>
    <bk>
      <rc t="2" v="15454"/>
    </bk>
    <bk>
      <rc t="2" v="15455"/>
    </bk>
    <bk>
      <rc t="2" v="15456"/>
    </bk>
    <bk>
      <rc t="2" v="15457"/>
    </bk>
    <bk>
      <rc t="2" v="15458"/>
    </bk>
    <bk>
      <rc t="2" v="15459"/>
    </bk>
    <bk>
      <rc t="2" v="15460"/>
    </bk>
    <bk>
      <rc t="2" v="15461"/>
    </bk>
    <bk>
      <rc t="2" v="15462"/>
    </bk>
    <bk>
      <rc t="2" v="15463"/>
    </bk>
    <bk>
      <rc t="2" v="15464"/>
    </bk>
    <bk>
      <rc t="2" v="15465"/>
    </bk>
    <bk>
      <rc t="2" v="15466"/>
    </bk>
    <bk>
      <rc t="2" v="15467"/>
    </bk>
    <bk>
      <rc t="2" v="15468"/>
    </bk>
    <bk>
      <rc t="2" v="15469"/>
    </bk>
    <bk>
      <rc t="2" v="15470"/>
    </bk>
    <bk>
      <rc t="2" v="15471"/>
    </bk>
    <bk>
      <rc t="2" v="15472"/>
    </bk>
    <bk>
      <rc t="2" v="15473"/>
    </bk>
    <bk>
      <rc t="2" v="15474"/>
    </bk>
    <bk>
      <rc t="2" v="15475"/>
    </bk>
    <bk>
      <rc t="2" v="15476"/>
    </bk>
    <bk>
      <rc t="2" v="15477"/>
    </bk>
    <bk>
      <rc t="2" v="15478"/>
    </bk>
    <bk>
      <rc t="2" v="15479"/>
    </bk>
    <bk>
      <rc t="2" v="15480"/>
    </bk>
    <bk>
      <rc t="2" v="15481"/>
    </bk>
    <bk>
      <rc t="2" v="15482"/>
    </bk>
    <bk>
      <rc t="2" v="15483"/>
    </bk>
    <bk>
      <rc t="2" v="15484"/>
    </bk>
    <bk>
      <rc t="2" v="15485"/>
    </bk>
    <bk>
      <rc t="2" v="15486"/>
    </bk>
    <bk>
      <rc t="2" v="15487"/>
    </bk>
    <bk>
      <rc t="2" v="15488"/>
    </bk>
    <bk>
      <rc t="2" v="15489"/>
    </bk>
    <bk>
      <rc t="2" v="15490"/>
    </bk>
    <bk>
      <rc t="2" v="15491"/>
    </bk>
    <bk>
      <rc t="2" v="15492"/>
    </bk>
    <bk>
      <rc t="2" v="15493"/>
    </bk>
    <bk>
      <rc t="2" v="15494"/>
    </bk>
    <bk>
      <rc t="2" v="15495"/>
    </bk>
    <bk>
      <rc t="2" v="15496"/>
    </bk>
    <bk>
      <rc t="2" v="15497"/>
    </bk>
    <bk>
      <rc t="2" v="15498"/>
    </bk>
    <bk>
      <rc t="2" v="15499"/>
    </bk>
    <bk>
      <rc t="2" v="15500"/>
    </bk>
    <bk>
      <rc t="2" v="15501"/>
    </bk>
    <bk>
      <rc t="2" v="15502"/>
    </bk>
    <bk>
      <rc t="2" v="15503"/>
    </bk>
    <bk>
      <rc t="2" v="15504"/>
    </bk>
    <bk>
      <rc t="2" v="15505"/>
    </bk>
    <bk>
      <rc t="2" v="15506"/>
    </bk>
    <bk>
      <rc t="2" v="15507"/>
    </bk>
    <bk>
      <rc t="2" v="15508"/>
    </bk>
    <bk>
      <rc t="2" v="15509"/>
    </bk>
    <bk>
      <rc t="2" v="15510"/>
    </bk>
    <bk>
      <rc t="2" v="15511"/>
    </bk>
    <bk>
      <rc t="2" v="15512"/>
    </bk>
    <bk>
      <rc t="2" v="15513"/>
    </bk>
    <bk>
      <rc t="2" v="15514"/>
    </bk>
    <bk>
      <rc t="2" v="15515"/>
    </bk>
    <bk>
      <rc t="2" v="15516"/>
    </bk>
    <bk>
      <rc t="2" v="15517"/>
    </bk>
    <bk>
      <rc t="2" v="15518"/>
    </bk>
    <bk>
      <rc t="2" v="15519"/>
    </bk>
    <bk>
      <rc t="2" v="15520"/>
    </bk>
    <bk>
      <rc t="2" v="15521"/>
    </bk>
    <bk>
      <rc t="2" v="15522"/>
    </bk>
    <bk>
      <rc t="2" v="15523"/>
    </bk>
    <bk>
      <rc t="2" v="15524"/>
    </bk>
    <bk>
      <rc t="2" v="15525"/>
    </bk>
    <bk>
      <rc t="2" v="15526"/>
    </bk>
    <bk>
      <rc t="2" v="15527"/>
    </bk>
    <bk>
      <rc t="2" v="15528"/>
    </bk>
    <bk>
      <rc t="2" v="15529"/>
    </bk>
    <bk>
      <rc t="2" v="15530"/>
    </bk>
    <bk>
      <rc t="2" v="15531"/>
    </bk>
    <bk>
      <rc t="2" v="15532"/>
    </bk>
    <bk>
      <rc t="2" v="15533"/>
    </bk>
    <bk>
      <rc t="2" v="15534"/>
    </bk>
    <bk>
      <rc t="2" v="15535"/>
    </bk>
    <bk>
      <rc t="2" v="15536"/>
    </bk>
    <bk>
      <rc t="2" v="15537"/>
    </bk>
    <bk>
      <rc t="2" v="15538"/>
    </bk>
    <bk>
      <rc t="2" v="15539"/>
    </bk>
    <bk>
      <rc t="2" v="15540"/>
    </bk>
    <bk>
      <rc t="2" v="15541"/>
    </bk>
    <bk>
      <rc t="2" v="15542"/>
    </bk>
    <bk>
      <rc t="2" v="15543"/>
    </bk>
    <bk>
      <rc t="2" v="15544"/>
    </bk>
    <bk>
      <rc t="2" v="15545"/>
    </bk>
    <bk>
      <rc t="2" v="15546"/>
    </bk>
    <bk>
      <rc t="2" v="15547"/>
    </bk>
    <bk>
      <rc t="2" v="15548"/>
    </bk>
    <bk>
      <rc t="2" v="15549"/>
    </bk>
    <bk>
      <rc t="2" v="15550"/>
    </bk>
    <bk>
      <rc t="2" v="15551"/>
    </bk>
    <bk>
      <rc t="2" v="15552"/>
    </bk>
    <bk>
      <rc t="2" v="15553"/>
    </bk>
    <bk>
      <rc t="2" v="15554"/>
    </bk>
    <bk>
      <rc t="2" v="15555"/>
    </bk>
    <bk>
      <rc t="2" v="15556"/>
    </bk>
    <bk>
      <rc t="2" v="15557"/>
    </bk>
    <bk>
      <rc t="2" v="15558"/>
    </bk>
    <bk>
      <rc t="2" v="15559"/>
    </bk>
    <bk>
      <rc t="2" v="15560"/>
    </bk>
    <bk>
      <rc t="2" v="15561"/>
    </bk>
    <bk>
      <rc t="2" v="15562"/>
    </bk>
    <bk>
      <rc t="2" v="15563"/>
    </bk>
    <bk>
      <rc t="2" v="15564"/>
    </bk>
    <bk>
      <rc t="2" v="15565"/>
    </bk>
    <bk>
      <rc t="2" v="15566"/>
    </bk>
    <bk>
      <rc t="2" v="15567"/>
    </bk>
    <bk>
      <rc t="2" v="15568"/>
    </bk>
    <bk>
      <rc t="2" v="15569"/>
    </bk>
    <bk>
      <rc t="2" v="15570"/>
    </bk>
    <bk>
      <rc t="2" v="15571"/>
    </bk>
    <bk>
      <rc t="2" v="15572"/>
    </bk>
    <bk>
      <rc t="2" v="15573"/>
    </bk>
    <bk>
      <rc t="2" v="15574"/>
    </bk>
    <bk>
      <rc t="2" v="15575"/>
    </bk>
    <bk>
      <rc t="2" v="15576"/>
    </bk>
    <bk>
      <rc t="2" v="15577"/>
    </bk>
    <bk>
      <rc t="2" v="15578"/>
    </bk>
    <bk>
      <rc t="2" v="15579"/>
    </bk>
    <bk>
      <rc t="2" v="15580"/>
    </bk>
    <bk>
      <rc t="2" v="15581"/>
    </bk>
    <bk>
      <rc t="2" v="15582"/>
    </bk>
    <bk>
      <rc t="2" v="15583"/>
    </bk>
    <bk>
      <rc t="2" v="15584"/>
    </bk>
    <bk>
      <rc t="2" v="15585"/>
    </bk>
    <bk>
      <rc t="2" v="15586"/>
    </bk>
    <bk>
      <rc t="2" v="15587"/>
    </bk>
    <bk>
      <rc t="2" v="15588"/>
    </bk>
    <bk>
      <rc t="2" v="15589"/>
    </bk>
    <bk>
      <rc t="2" v="15590"/>
    </bk>
    <bk>
      <rc t="2" v="15591"/>
    </bk>
    <bk>
      <rc t="2" v="15592"/>
    </bk>
    <bk>
      <rc t="2" v="15593"/>
    </bk>
    <bk>
      <rc t="2" v="15594"/>
    </bk>
    <bk>
      <rc t="2" v="15595"/>
    </bk>
    <bk>
      <rc t="2" v="15596"/>
    </bk>
    <bk>
      <rc t="2" v="15597"/>
    </bk>
    <bk>
      <rc t="2" v="15598"/>
    </bk>
    <bk>
      <rc t="2" v="15599"/>
    </bk>
    <bk>
      <rc t="2" v="15600"/>
    </bk>
    <bk>
      <rc t="2" v="15601"/>
    </bk>
    <bk>
      <rc t="2" v="15602"/>
    </bk>
    <bk>
      <rc t="2" v="15603"/>
    </bk>
    <bk>
      <rc t="2" v="15604"/>
    </bk>
    <bk>
      <rc t="2" v="15605"/>
    </bk>
    <bk>
      <rc t="2" v="15606"/>
    </bk>
    <bk>
      <rc t="2" v="15607"/>
    </bk>
    <bk>
      <rc t="2" v="15608"/>
    </bk>
    <bk>
      <rc t="2" v="15609"/>
    </bk>
    <bk>
      <rc t="2" v="15610"/>
    </bk>
    <bk>
      <rc t="2" v="15611"/>
    </bk>
    <bk>
      <rc t="2" v="15612"/>
    </bk>
    <bk>
      <rc t="2" v="15613"/>
    </bk>
    <bk>
      <rc t="2" v="15614"/>
    </bk>
    <bk>
      <rc t="2" v="15615"/>
    </bk>
    <bk>
      <rc t="2" v="15616"/>
    </bk>
    <bk>
      <rc t="2" v="15617"/>
    </bk>
    <bk>
      <rc t="2" v="15618"/>
    </bk>
    <bk>
      <rc t="2" v="15619"/>
    </bk>
    <bk>
      <rc t="2" v="15620"/>
    </bk>
    <bk>
      <rc t="2" v="15621"/>
    </bk>
    <bk>
      <rc t="2" v="15622"/>
    </bk>
    <bk>
      <rc t="2" v="15623"/>
    </bk>
    <bk>
      <rc t="2" v="15624"/>
    </bk>
    <bk>
      <rc t="2" v="15625"/>
    </bk>
    <bk>
      <rc t="2" v="15626"/>
    </bk>
    <bk>
      <rc t="2" v="15627"/>
    </bk>
    <bk>
      <rc t="2" v="15628"/>
    </bk>
    <bk>
      <rc t="2" v="15629"/>
    </bk>
    <bk>
      <rc t="2" v="15630"/>
    </bk>
    <bk>
      <rc t="2" v="15631"/>
    </bk>
    <bk>
      <rc t="2" v="15632"/>
    </bk>
    <bk>
      <rc t="2" v="15633"/>
    </bk>
    <bk>
      <rc t="2" v="15634"/>
    </bk>
    <bk>
      <rc t="2" v="15635"/>
    </bk>
    <bk>
      <rc t="2" v="15636"/>
    </bk>
    <bk>
      <rc t="2" v="15637"/>
    </bk>
    <bk>
      <rc t="2" v="15638"/>
    </bk>
    <bk>
      <rc t="2" v="15639"/>
    </bk>
    <bk>
      <rc t="2" v="15640"/>
    </bk>
    <bk>
      <rc t="2" v="15641"/>
    </bk>
    <bk>
      <rc t="2" v="15642"/>
    </bk>
    <bk>
      <rc t="2" v="15643"/>
    </bk>
    <bk>
      <rc t="2" v="15644"/>
    </bk>
    <bk>
      <rc t="2" v="15645"/>
    </bk>
    <bk>
      <rc t="2" v="15646"/>
    </bk>
    <bk>
      <rc t="2" v="15647"/>
    </bk>
    <bk>
      <rc t="2" v="15648"/>
    </bk>
    <bk>
      <rc t="2" v="15649"/>
    </bk>
    <bk>
      <rc t="2" v="15650"/>
    </bk>
    <bk>
      <rc t="2" v="15651"/>
    </bk>
    <bk>
      <rc t="2" v="15652"/>
    </bk>
    <bk>
      <rc t="2" v="15653"/>
    </bk>
    <bk>
      <rc t="2" v="15654"/>
    </bk>
    <bk>
      <rc t="2" v="15655"/>
    </bk>
    <bk>
      <rc t="2" v="15656"/>
    </bk>
    <bk>
      <rc t="2" v="15657"/>
    </bk>
    <bk>
      <rc t="2" v="15658"/>
    </bk>
    <bk>
      <rc t="2" v="15659"/>
    </bk>
    <bk>
      <rc t="2" v="15660"/>
    </bk>
    <bk>
      <rc t="2" v="15661"/>
    </bk>
    <bk>
      <rc t="2" v="15662"/>
    </bk>
    <bk>
      <rc t="2" v="15663"/>
    </bk>
    <bk>
      <rc t="2" v="15664"/>
    </bk>
    <bk>
      <rc t="2" v="15665"/>
    </bk>
    <bk>
      <rc t="2" v="15666"/>
    </bk>
    <bk>
      <rc t="2" v="15667"/>
    </bk>
    <bk>
      <rc t="2" v="15668"/>
    </bk>
    <bk>
      <rc t="2" v="15669"/>
    </bk>
    <bk>
      <rc t="2" v="15670"/>
    </bk>
    <bk>
      <rc t="2" v="15671"/>
    </bk>
    <bk>
      <rc t="2" v="15672"/>
    </bk>
    <bk>
      <rc t="2" v="15673"/>
    </bk>
    <bk>
      <rc t="2" v="15674"/>
    </bk>
    <bk>
      <rc t="2" v="15675"/>
    </bk>
    <bk>
      <rc t="2" v="15676"/>
    </bk>
    <bk>
      <rc t="2" v="15677"/>
    </bk>
    <bk>
      <rc t="2" v="15678"/>
    </bk>
    <bk>
      <rc t="2" v="15679"/>
    </bk>
    <bk>
      <rc t="2" v="15680"/>
    </bk>
    <bk>
      <rc t="2" v="15681"/>
    </bk>
    <bk>
      <rc t="2" v="15682"/>
    </bk>
    <bk>
      <rc t="2" v="15683"/>
    </bk>
    <bk>
      <rc t="2" v="15684"/>
    </bk>
    <bk>
      <rc t="2" v="15685"/>
    </bk>
    <bk>
      <rc t="2" v="15686"/>
    </bk>
    <bk>
      <rc t="2" v="15687"/>
    </bk>
    <bk>
      <rc t="2" v="15688"/>
    </bk>
    <bk>
      <rc t="2" v="15689"/>
    </bk>
    <bk>
      <rc t="2" v="15690"/>
    </bk>
    <bk>
      <rc t="2" v="15691"/>
    </bk>
    <bk>
      <rc t="2" v="15692"/>
    </bk>
    <bk>
      <rc t="2" v="15693"/>
    </bk>
    <bk>
      <rc t="2" v="15694"/>
    </bk>
    <bk>
      <rc t="2" v="15695"/>
    </bk>
    <bk>
      <rc t="2" v="15696"/>
    </bk>
    <bk>
      <rc t="2" v="15697"/>
    </bk>
    <bk>
      <rc t="2" v="15698"/>
    </bk>
    <bk>
      <rc t="2" v="15699"/>
    </bk>
    <bk>
      <rc t="2" v="15700"/>
    </bk>
    <bk>
      <rc t="2" v="15701"/>
    </bk>
    <bk>
      <rc t="2" v="15702"/>
    </bk>
    <bk>
      <rc t="2" v="15703"/>
    </bk>
    <bk>
      <rc t="2" v="15704"/>
    </bk>
    <bk>
      <rc t="2" v="15705"/>
    </bk>
    <bk>
      <rc t="2" v="15706"/>
    </bk>
    <bk>
      <rc t="2" v="15707"/>
    </bk>
    <bk>
      <rc t="2" v="15708"/>
    </bk>
    <bk>
      <rc t="2" v="15709"/>
    </bk>
    <bk>
      <rc t="2" v="15710"/>
    </bk>
    <bk>
      <rc t="2" v="15711"/>
    </bk>
    <bk>
      <rc t="2" v="15712"/>
    </bk>
    <bk>
      <rc t="2" v="15713"/>
    </bk>
    <bk>
      <rc t="2" v="15714"/>
    </bk>
    <bk>
      <rc t="2" v="15715"/>
    </bk>
    <bk>
      <rc t="2" v="15716"/>
    </bk>
    <bk>
      <rc t="2" v="15717"/>
    </bk>
    <bk>
      <rc t="2" v="15718"/>
    </bk>
    <bk>
      <rc t="2" v="15719"/>
    </bk>
    <bk>
      <rc t="2" v="15720"/>
    </bk>
    <bk>
      <rc t="2" v="15721"/>
    </bk>
    <bk>
      <rc t="2" v="15722"/>
    </bk>
    <bk>
      <rc t="2" v="15723"/>
    </bk>
    <bk>
      <rc t="2" v="15724"/>
    </bk>
    <bk>
      <rc t="2" v="15725"/>
    </bk>
    <bk>
      <rc t="2" v="15726"/>
    </bk>
    <bk>
      <rc t="2" v="15727"/>
    </bk>
    <bk>
      <rc t="2" v="15728"/>
    </bk>
    <bk>
      <rc t="2" v="15729"/>
    </bk>
    <bk>
      <rc t="2" v="15730"/>
    </bk>
    <bk>
      <rc t="2" v="15731"/>
    </bk>
    <bk>
      <rc t="2" v="15732"/>
    </bk>
    <bk>
      <rc t="2" v="15733"/>
    </bk>
    <bk>
      <rc t="2" v="15734"/>
    </bk>
    <bk>
      <rc t="2" v="15735"/>
    </bk>
    <bk>
      <rc t="2" v="15736"/>
    </bk>
    <bk>
      <rc t="2" v="15737"/>
    </bk>
    <bk>
      <rc t="2" v="15738"/>
    </bk>
    <bk>
      <rc t="2" v="15739"/>
    </bk>
    <bk>
      <rc t="2" v="15740"/>
    </bk>
    <bk>
      <rc t="2" v="15741"/>
    </bk>
    <bk>
      <rc t="2" v="15742"/>
    </bk>
    <bk>
      <rc t="2" v="15743"/>
    </bk>
    <bk>
      <rc t="2" v="15744"/>
    </bk>
    <bk>
      <rc t="2" v="15745"/>
    </bk>
    <bk>
      <rc t="2" v="15746"/>
    </bk>
    <bk>
      <rc t="2" v="15747"/>
    </bk>
    <bk>
      <rc t="2" v="15748"/>
    </bk>
    <bk>
      <rc t="2" v="15749"/>
    </bk>
    <bk>
      <rc t="2" v="15750"/>
    </bk>
    <bk>
      <rc t="2" v="15751"/>
    </bk>
    <bk>
      <rc t="2" v="15752"/>
    </bk>
    <bk>
      <rc t="2" v="15753"/>
    </bk>
    <bk>
      <rc t="2" v="15754"/>
    </bk>
    <bk>
      <rc t="2" v="15755"/>
    </bk>
    <bk>
      <rc t="2" v="15756"/>
    </bk>
    <bk>
      <rc t="2" v="15757"/>
    </bk>
    <bk>
      <rc t="2" v="15758"/>
    </bk>
    <bk>
      <rc t="2" v="15759"/>
    </bk>
    <bk>
      <rc t="2" v="15760"/>
    </bk>
    <bk>
      <rc t="2" v="15761"/>
    </bk>
    <bk>
      <rc t="2" v="15762"/>
    </bk>
    <bk>
      <rc t="2" v="15763"/>
    </bk>
    <bk>
      <rc t="2" v="15764"/>
    </bk>
    <bk>
      <rc t="2" v="15765"/>
    </bk>
    <bk>
      <rc t="2" v="15766"/>
    </bk>
    <bk>
      <rc t="2" v="15767"/>
    </bk>
    <bk>
      <rc t="2" v="15768"/>
    </bk>
    <bk>
      <rc t="2" v="15769"/>
    </bk>
    <bk>
      <rc t="2" v="15770"/>
    </bk>
    <bk>
      <rc t="2" v="15771"/>
    </bk>
    <bk>
      <rc t="2" v="15772"/>
    </bk>
    <bk>
      <rc t="2" v="15773"/>
    </bk>
    <bk>
      <rc t="2" v="15774"/>
    </bk>
    <bk>
      <rc t="2" v="15775"/>
    </bk>
    <bk>
      <rc t="2" v="15776"/>
    </bk>
    <bk>
      <rc t="2" v="15777"/>
    </bk>
    <bk>
      <rc t="2" v="15778"/>
    </bk>
    <bk>
      <rc t="2" v="15779"/>
    </bk>
    <bk>
      <rc t="2" v="15780"/>
    </bk>
    <bk>
      <rc t="2" v="15781"/>
    </bk>
    <bk>
      <rc t="2" v="15782"/>
    </bk>
    <bk>
      <rc t="2" v="15783"/>
    </bk>
    <bk>
      <rc t="2" v="15784"/>
    </bk>
    <bk>
      <rc t="2" v="15785"/>
    </bk>
    <bk>
      <rc t="2" v="15786"/>
    </bk>
    <bk>
      <rc t="2" v="15787"/>
    </bk>
    <bk>
      <rc t="2" v="15788"/>
    </bk>
    <bk>
      <rc t="2" v="15789"/>
    </bk>
    <bk>
      <rc t="2" v="15790"/>
    </bk>
    <bk>
      <rc t="2" v="15791"/>
    </bk>
    <bk>
      <rc t="2" v="15792"/>
    </bk>
    <bk>
      <rc t="2" v="15793"/>
    </bk>
    <bk>
      <rc t="2" v="15794"/>
    </bk>
    <bk>
      <rc t="2" v="15795"/>
    </bk>
    <bk>
      <rc t="2" v="15796"/>
    </bk>
    <bk>
      <rc t="2" v="15797"/>
    </bk>
    <bk>
      <rc t="2" v="15798"/>
    </bk>
    <bk>
      <rc t="2" v="15799"/>
    </bk>
    <bk>
      <rc t="2" v="15800"/>
    </bk>
    <bk>
      <rc t="2" v="15801"/>
    </bk>
    <bk>
      <rc t="2" v="15802"/>
    </bk>
    <bk>
      <rc t="2" v="15803"/>
    </bk>
    <bk>
      <rc t="2" v="15804"/>
    </bk>
    <bk>
      <rc t="2" v="15805"/>
    </bk>
    <bk>
      <rc t="2" v="15806"/>
    </bk>
    <bk>
      <rc t="2" v="15807"/>
    </bk>
    <bk>
      <rc t="2" v="15808"/>
    </bk>
    <bk>
      <rc t="2" v="15809"/>
    </bk>
    <bk>
      <rc t="2" v="15810"/>
    </bk>
    <bk>
      <rc t="2" v="15811"/>
    </bk>
    <bk>
      <rc t="2" v="15812"/>
    </bk>
    <bk>
      <rc t="2" v="15813"/>
    </bk>
    <bk>
      <rc t="2" v="15814"/>
    </bk>
    <bk>
      <rc t="2" v="15815"/>
    </bk>
    <bk>
      <rc t="2" v="15816"/>
    </bk>
    <bk>
      <rc t="2" v="15817"/>
    </bk>
    <bk>
      <rc t="2" v="15818"/>
    </bk>
    <bk>
      <rc t="2" v="15819"/>
    </bk>
    <bk>
      <rc t="2" v="15820"/>
    </bk>
    <bk>
      <rc t="2" v="15821"/>
    </bk>
    <bk>
      <rc t="2" v="15822"/>
    </bk>
    <bk>
      <rc t="2" v="15823"/>
    </bk>
    <bk>
      <rc t="2" v="15824"/>
    </bk>
    <bk>
      <rc t="2" v="15825"/>
    </bk>
    <bk>
      <rc t="2" v="15826"/>
    </bk>
    <bk>
      <rc t="2" v="15827"/>
    </bk>
    <bk>
      <rc t="2" v="15828"/>
    </bk>
    <bk>
      <rc t="2" v="15829"/>
    </bk>
    <bk>
      <rc t="2" v="15830"/>
    </bk>
    <bk>
      <rc t="2" v="15831"/>
    </bk>
    <bk>
      <rc t="2" v="15832"/>
    </bk>
    <bk>
      <rc t="2" v="15833"/>
    </bk>
    <bk>
      <rc t="2" v="15834"/>
    </bk>
    <bk>
      <rc t="2" v="15835"/>
    </bk>
    <bk>
      <rc t="2" v="15836"/>
    </bk>
    <bk>
      <rc t="2" v="15837"/>
    </bk>
    <bk>
      <rc t="2" v="15838"/>
    </bk>
    <bk>
      <rc t="2" v="15839"/>
    </bk>
    <bk>
      <rc t="2" v="15840"/>
    </bk>
    <bk>
      <rc t="2" v="15841"/>
    </bk>
    <bk>
      <rc t="2" v="15842"/>
    </bk>
    <bk>
      <rc t="2" v="15843"/>
    </bk>
    <bk>
      <rc t="2" v="15844"/>
    </bk>
    <bk>
      <rc t="2" v="15845"/>
    </bk>
    <bk>
      <rc t="2" v="15846"/>
    </bk>
    <bk>
      <rc t="2" v="15847"/>
    </bk>
    <bk>
      <rc t="2" v="15848"/>
    </bk>
    <bk>
      <rc t="2" v="15849"/>
    </bk>
    <bk>
      <rc t="2" v="15850"/>
    </bk>
    <bk>
      <rc t="2" v="15851"/>
    </bk>
    <bk>
      <rc t="2" v="15852"/>
    </bk>
    <bk>
      <rc t="2" v="15853"/>
    </bk>
    <bk>
      <rc t="2" v="15854"/>
    </bk>
    <bk>
      <rc t="2" v="15855"/>
    </bk>
    <bk>
      <rc t="2" v="15856"/>
    </bk>
    <bk>
      <rc t="2" v="15857"/>
    </bk>
    <bk>
      <rc t="2" v="15858"/>
    </bk>
    <bk>
      <rc t="2" v="15859"/>
    </bk>
    <bk>
      <rc t="2" v="15860"/>
    </bk>
    <bk>
      <rc t="2" v="15861"/>
    </bk>
    <bk>
      <rc t="2" v="15862"/>
    </bk>
    <bk>
      <rc t="2" v="15863"/>
    </bk>
    <bk>
      <rc t="2" v="15864"/>
    </bk>
    <bk>
      <rc t="2" v="15865"/>
    </bk>
    <bk>
      <rc t="2" v="15866"/>
    </bk>
    <bk>
      <rc t="2" v="15867"/>
    </bk>
    <bk>
      <rc t="2" v="15868"/>
    </bk>
    <bk>
      <rc t="2" v="15869"/>
    </bk>
    <bk>
      <rc t="2" v="15870"/>
    </bk>
    <bk>
      <rc t="2" v="15871"/>
    </bk>
    <bk>
      <rc t="2" v="15872"/>
    </bk>
    <bk>
      <rc t="2" v="15873"/>
    </bk>
    <bk>
      <rc t="2" v="15874"/>
    </bk>
    <bk>
      <rc t="2" v="15875"/>
    </bk>
    <bk>
      <rc t="2" v="15876"/>
    </bk>
    <bk>
      <rc t="2" v="15877"/>
    </bk>
    <bk>
      <rc t="2" v="15878"/>
    </bk>
    <bk>
      <rc t="2" v="15879"/>
    </bk>
    <bk>
      <rc t="2" v="15880"/>
    </bk>
    <bk>
      <rc t="2" v="15881"/>
    </bk>
    <bk>
      <rc t="2" v="15882"/>
    </bk>
    <bk>
      <rc t="2" v="15883"/>
    </bk>
    <bk>
      <rc t="2" v="15884"/>
    </bk>
    <bk>
      <rc t="2" v="15885"/>
    </bk>
    <bk>
      <rc t="2" v="15886"/>
    </bk>
    <bk>
      <rc t="2" v="15887"/>
    </bk>
    <bk>
      <rc t="2" v="15888"/>
    </bk>
    <bk>
      <rc t="2" v="15889"/>
    </bk>
    <bk>
      <rc t="2" v="15890"/>
    </bk>
    <bk>
      <rc t="2" v="15891"/>
    </bk>
    <bk>
      <rc t="2" v="15892"/>
    </bk>
    <bk>
      <rc t="2" v="15893"/>
    </bk>
    <bk>
      <rc t="2" v="15894"/>
    </bk>
    <bk>
      <rc t="2" v="15895"/>
    </bk>
    <bk>
      <rc t="2" v="15896"/>
    </bk>
    <bk>
      <rc t="2" v="15897"/>
    </bk>
    <bk>
      <rc t="2" v="15898"/>
    </bk>
    <bk>
      <rc t="2" v="15899"/>
    </bk>
    <bk>
      <rc t="2" v="15900"/>
    </bk>
    <bk>
      <rc t="2" v="15901"/>
    </bk>
    <bk>
      <rc t="2" v="15902"/>
    </bk>
    <bk>
      <rc t="2" v="15903"/>
    </bk>
    <bk>
      <rc t="2" v="15904"/>
    </bk>
    <bk>
      <rc t="2" v="15905"/>
    </bk>
    <bk>
      <rc t="2" v="15906"/>
    </bk>
    <bk>
      <rc t="2" v="15907"/>
    </bk>
    <bk>
      <rc t="2" v="15908"/>
    </bk>
    <bk>
      <rc t="2" v="15909"/>
    </bk>
    <bk>
      <rc t="2" v="15910"/>
    </bk>
    <bk>
      <rc t="2" v="15911"/>
    </bk>
    <bk>
      <rc t="2" v="15912"/>
    </bk>
    <bk>
      <rc t="2" v="15913"/>
    </bk>
    <bk>
      <rc t="2" v="15914"/>
    </bk>
    <bk>
      <rc t="2" v="15915"/>
    </bk>
    <bk>
      <rc t="2" v="15916"/>
    </bk>
    <bk>
      <rc t="2" v="15917"/>
    </bk>
    <bk>
      <rc t="2" v="15918"/>
    </bk>
    <bk>
      <rc t="2" v="15919"/>
    </bk>
    <bk>
      <rc t="2" v="15920"/>
    </bk>
    <bk>
      <rc t="2" v="15921"/>
    </bk>
    <bk>
      <rc t="2" v="15922"/>
    </bk>
    <bk>
      <rc t="2" v="15923"/>
    </bk>
    <bk>
      <rc t="2" v="15924"/>
    </bk>
    <bk>
      <rc t="2" v="15925"/>
    </bk>
    <bk>
      <rc t="2" v="15926"/>
    </bk>
    <bk>
      <rc t="2" v="15927"/>
    </bk>
    <bk>
      <rc t="2" v="15928"/>
    </bk>
    <bk>
      <rc t="2" v="15929"/>
    </bk>
    <bk>
      <rc t="2" v="15930"/>
    </bk>
    <bk>
      <rc t="2" v="15931"/>
    </bk>
    <bk>
      <rc t="2" v="15932"/>
    </bk>
    <bk>
      <rc t="2" v="15933"/>
    </bk>
    <bk>
      <rc t="2" v="15934"/>
    </bk>
    <bk>
      <rc t="2" v="15935"/>
    </bk>
    <bk>
      <rc t="2" v="15936"/>
    </bk>
    <bk>
      <rc t="2" v="15937"/>
    </bk>
    <bk>
      <rc t="2" v="15938"/>
    </bk>
    <bk>
      <rc t="2" v="15939"/>
    </bk>
    <bk>
      <rc t="2" v="15940"/>
    </bk>
    <bk>
      <rc t="2" v="15941"/>
    </bk>
    <bk>
      <rc t="2" v="15942"/>
    </bk>
    <bk>
      <rc t="2" v="15943"/>
    </bk>
    <bk>
      <rc t="2" v="15944"/>
    </bk>
    <bk>
      <rc t="2" v="15945"/>
    </bk>
    <bk>
      <rc t="2" v="15946"/>
    </bk>
    <bk>
      <rc t="2" v="15947"/>
    </bk>
    <bk>
      <rc t="2" v="15948"/>
    </bk>
    <bk>
      <rc t="2" v="15949"/>
    </bk>
    <bk>
      <rc t="2" v="15950"/>
    </bk>
    <bk>
      <rc t="2" v="15951"/>
    </bk>
    <bk>
      <rc t="2" v="15952"/>
    </bk>
    <bk>
      <rc t="2" v="15953"/>
    </bk>
    <bk>
      <rc t="2" v="15954"/>
    </bk>
    <bk>
      <rc t="2" v="15955"/>
    </bk>
    <bk>
      <rc t="2" v="15956"/>
    </bk>
    <bk>
      <rc t="2" v="15957"/>
    </bk>
    <bk>
      <rc t="2" v="15958"/>
    </bk>
    <bk>
      <rc t="2" v="15959"/>
    </bk>
    <bk>
      <rc t="2" v="15960"/>
    </bk>
    <bk>
      <rc t="2" v="15961"/>
    </bk>
    <bk>
      <rc t="2" v="15962"/>
    </bk>
    <bk>
      <rc t="2" v="15963"/>
    </bk>
    <bk>
      <rc t="2" v="15964"/>
    </bk>
    <bk>
      <rc t="2" v="15965"/>
    </bk>
    <bk>
      <rc t="2" v="15966"/>
    </bk>
    <bk>
      <rc t="2" v="15967"/>
    </bk>
    <bk>
      <rc t="2" v="15968"/>
    </bk>
    <bk>
      <rc t="2" v="15969"/>
    </bk>
    <bk>
      <rc t="2" v="15970"/>
    </bk>
    <bk>
      <rc t="2" v="15971"/>
    </bk>
    <bk>
      <rc t="2" v="15972"/>
    </bk>
    <bk>
      <rc t="2" v="15973"/>
    </bk>
    <bk>
      <rc t="2" v="15974"/>
    </bk>
    <bk>
      <rc t="2" v="15975"/>
    </bk>
    <bk>
      <rc t="2" v="15976"/>
    </bk>
    <bk>
      <rc t="2" v="15977"/>
    </bk>
    <bk>
      <rc t="2" v="15978"/>
    </bk>
    <bk>
      <rc t="2" v="15979"/>
    </bk>
    <bk>
      <rc t="2" v="15980"/>
    </bk>
    <bk>
      <rc t="2" v="15981"/>
    </bk>
    <bk>
      <rc t="2" v="15982"/>
    </bk>
    <bk>
      <rc t="2" v="15983"/>
    </bk>
    <bk>
      <rc t="2" v="15984"/>
    </bk>
    <bk>
      <rc t="2" v="15985"/>
    </bk>
    <bk>
      <rc t="2" v="15986"/>
    </bk>
    <bk>
      <rc t="2" v="15987"/>
    </bk>
    <bk>
      <rc t="2" v="15988"/>
    </bk>
    <bk>
      <rc t="2" v="15989"/>
    </bk>
    <bk>
      <rc t="2" v="15990"/>
    </bk>
    <bk>
      <rc t="2" v="15991"/>
    </bk>
    <bk>
      <rc t="2" v="15992"/>
    </bk>
    <bk>
      <rc t="2" v="15993"/>
    </bk>
    <bk>
      <rc t="2" v="15994"/>
    </bk>
    <bk>
      <rc t="2" v="15995"/>
    </bk>
    <bk>
      <rc t="2" v="15996"/>
    </bk>
    <bk>
      <rc t="2" v="15997"/>
    </bk>
    <bk>
      <rc t="2" v="15998"/>
    </bk>
    <bk>
      <rc t="2" v="15999"/>
    </bk>
    <bk>
      <rc t="2" v="16000"/>
    </bk>
    <bk>
      <rc t="2" v="16001"/>
    </bk>
    <bk>
      <rc t="2" v="16002"/>
    </bk>
    <bk>
      <rc t="2" v="16003"/>
    </bk>
    <bk>
      <rc t="2" v="16004"/>
    </bk>
    <bk>
      <rc t="2" v="16005"/>
    </bk>
    <bk>
      <rc t="2" v="16006"/>
    </bk>
    <bk>
      <rc t="2" v="16007"/>
    </bk>
    <bk>
      <rc t="2" v="16008"/>
    </bk>
    <bk>
      <rc t="2" v="16009"/>
    </bk>
    <bk>
      <rc t="2" v="16010"/>
    </bk>
    <bk>
      <rc t="2" v="16011"/>
    </bk>
    <bk>
      <rc t="2" v="16012"/>
    </bk>
    <bk>
      <rc t="2" v="16013"/>
    </bk>
    <bk>
      <rc t="2" v="16014"/>
    </bk>
    <bk>
      <rc t="2" v="16015"/>
    </bk>
    <bk>
      <rc t="2" v="16016"/>
    </bk>
    <bk>
      <rc t="2" v="16017"/>
    </bk>
    <bk>
      <rc t="2" v="16018"/>
    </bk>
    <bk>
      <rc t="2" v="16019"/>
    </bk>
    <bk>
      <rc t="2" v="16020"/>
    </bk>
    <bk>
      <rc t="2" v="16021"/>
    </bk>
    <bk>
      <rc t="2" v="16022"/>
    </bk>
    <bk>
      <rc t="2" v="16023"/>
    </bk>
    <bk>
      <rc t="2" v="16024"/>
    </bk>
    <bk>
      <rc t="2" v="16025"/>
    </bk>
    <bk>
      <rc t="2" v="16026"/>
    </bk>
    <bk>
      <rc t="2" v="16027"/>
    </bk>
    <bk>
      <rc t="2" v="16028"/>
    </bk>
    <bk>
      <rc t="2" v="16029"/>
    </bk>
    <bk>
      <rc t="2" v="16030"/>
    </bk>
    <bk>
      <rc t="2" v="16031"/>
    </bk>
    <bk>
      <rc t="2" v="16032"/>
    </bk>
    <bk>
      <rc t="2" v="16033"/>
    </bk>
    <bk>
      <rc t="2" v="16034"/>
    </bk>
    <bk>
      <rc t="2" v="16035"/>
    </bk>
    <bk>
      <rc t="2" v="16036"/>
    </bk>
    <bk>
      <rc t="2" v="16037"/>
    </bk>
    <bk>
      <rc t="2" v="16038"/>
    </bk>
    <bk>
      <rc t="2" v="16039"/>
    </bk>
    <bk>
      <rc t="2" v="16040"/>
    </bk>
    <bk>
      <rc t="2" v="16041"/>
    </bk>
    <bk>
      <rc t="2" v="16042"/>
    </bk>
    <bk>
      <rc t="2" v="16043"/>
    </bk>
    <bk>
      <rc t="2" v="16044"/>
    </bk>
    <bk>
      <rc t="2" v="16045"/>
    </bk>
    <bk>
      <rc t="2" v="16046"/>
    </bk>
    <bk>
      <rc t="2" v="16047"/>
    </bk>
    <bk>
      <rc t="2" v="16048"/>
    </bk>
    <bk>
      <rc t="2" v="16049"/>
    </bk>
    <bk>
      <rc t="2" v="16050"/>
    </bk>
    <bk>
      <rc t="2" v="16051"/>
    </bk>
    <bk>
      <rc t="2" v="16052"/>
    </bk>
    <bk>
      <rc t="2" v="16053"/>
    </bk>
    <bk>
      <rc t="2" v="16054"/>
    </bk>
    <bk>
      <rc t="2" v="16055"/>
    </bk>
    <bk>
      <rc t="2" v="16056"/>
    </bk>
    <bk>
      <rc t="2" v="16057"/>
    </bk>
    <bk>
      <rc t="2" v="16058"/>
    </bk>
    <bk>
      <rc t="2" v="16059"/>
    </bk>
    <bk>
      <rc t="2" v="16060"/>
    </bk>
    <bk>
      <rc t="2" v="16061"/>
    </bk>
    <bk>
      <rc t="2" v="16062"/>
    </bk>
    <bk>
      <rc t="2" v="16063"/>
    </bk>
    <bk>
      <rc t="2" v="16064"/>
    </bk>
    <bk>
      <rc t="2" v="16065"/>
    </bk>
    <bk>
      <rc t="2" v="16066"/>
    </bk>
    <bk>
      <rc t="2" v="16067"/>
    </bk>
    <bk>
      <rc t="2" v="16068"/>
    </bk>
    <bk>
      <rc t="2" v="16069"/>
    </bk>
    <bk>
      <rc t="2" v="16070"/>
    </bk>
    <bk>
      <rc t="2" v="16071"/>
    </bk>
    <bk>
      <rc t="2" v="16072"/>
    </bk>
    <bk>
      <rc t="2" v="16073"/>
    </bk>
    <bk>
      <rc t="2" v="16074"/>
    </bk>
    <bk>
      <rc t="2" v="16075"/>
    </bk>
    <bk>
      <rc t="2" v="16076"/>
    </bk>
    <bk>
      <rc t="2" v="16077"/>
    </bk>
    <bk>
      <rc t="2" v="16078"/>
    </bk>
    <bk>
      <rc t="2" v="16079"/>
    </bk>
    <bk>
      <rc t="2" v="16080"/>
    </bk>
    <bk>
      <rc t="2" v="16081"/>
    </bk>
    <bk>
      <rc t="2" v="16082"/>
    </bk>
    <bk>
      <rc t="2" v="16083"/>
    </bk>
    <bk>
      <rc t="2" v="16084"/>
    </bk>
    <bk>
      <rc t="2" v="16085"/>
    </bk>
    <bk>
      <rc t="2" v="16086"/>
    </bk>
    <bk>
      <rc t="2" v="16087"/>
    </bk>
    <bk>
      <rc t="2" v="16088"/>
    </bk>
    <bk>
      <rc t="2" v="16089"/>
    </bk>
    <bk>
      <rc t="2" v="16090"/>
    </bk>
    <bk>
      <rc t="2" v="16091"/>
    </bk>
    <bk>
      <rc t="2" v="16092"/>
    </bk>
    <bk>
      <rc t="2" v="16093"/>
    </bk>
    <bk>
      <rc t="2" v="16094"/>
    </bk>
    <bk>
      <rc t="2" v="16095"/>
    </bk>
    <bk>
      <rc t="2" v="16096"/>
    </bk>
    <bk>
      <rc t="2" v="16097"/>
    </bk>
    <bk>
      <rc t="2" v="16098"/>
    </bk>
    <bk>
      <rc t="2" v="16099"/>
    </bk>
    <bk>
      <rc t="2" v="16100"/>
    </bk>
    <bk>
      <rc t="2" v="16101"/>
    </bk>
    <bk>
      <rc t="2" v="16102"/>
    </bk>
    <bk>
      <rc t="2" v="16103"/>
    </bk>
    <bk>
      <rc t="2" v="16104"/>
    </bk>
    <bk>
      <rc t="2" v="16105"/>
    </bk>
    <bk>
      <rc t="2" v="16106"/>
    </bk>
    <bk>
      <rc t="2" v="16107"/>
    </bk>
    <bk>
      <rc t="2" v="16108"/>
    </bk>
    <bk>
      <rc t="2" v="16109"/>
    </bk>
    <bk>
      <rc t="2" v="16110"/>
    </bk>
    <bk>
      <rc t="2" v="16111"/>
    </bk>
    <bk>
      <rc t="2" v="16112"/>
    </bk>
    <bk>
      <rc t="2" v="16113"/>
    </bk>
    <bk>
      <rc t="2" v="16114"/>
    </bk>
    <bk>
      <rc t="2" v="16115"/>
    </bk>
    <bk>
      <rc t="2" v="16116"/>
    </bk>
    <bk>
      <rc t="2" v="16117"/>
    </bk>
    <bk>
      <rc t="2" v="16118"/>
    </bk>
    <bk>
      <rc t="2" v="16119"/>
    </bk>
    <bk>
      <rc t="2" v="16120"/>
    </bk>
    <bk>
      <rc t="2" v="16121"/>
    </bk>
    <bk>
      <rc t="2" v="16122"/>
    </bk>
    <bk>
      <rc t="2" v="16123"/>
    </bk>
    <bk>
      <rc t="2" v="16124"/>
    </bk>
    <bk>
      <rc t="2" v="16125"/>
    </bk>
    <bk>
      <rc t="2" v="16126"/>
    </bk>
    <bk>
      <rc t="2" v="16127"/>
    </bk>
    <bk>
      <rc t="2" v="16128"/>
    </bk>
    <bk>
      <rc t="2" v="16129"/>
    </bk>
    <bk>
      <rc t="2" v="16130"/>
    </bk>
    <bk>
      <rc t="2" v="16131"/>
    </bk>
    <bk>
      <rc t="2" v="16132"/>
    </bk>
    <bk>
      <rc t="2" v="16133"/>
    </bk>
    <bk>
      <rc t="2" v="16134"/>
    </bk>
    <bk>
      <rc t="2" v="16135"/>
    </bk>
    <bk>
      <rc t="2" v="16136"/>
    </bk>
    <bk>
      <rc t="2" v="16137"/>
    </bk>
    <bk>
      <rc t="2" v="16138"/>
    </bk>
    <bk>
      <rc t="2" v="16139"/>
    </bk>
    <bk>
      <rc t="2" v="16140"/>
    </bk>
    <bk>
      <rc t="2" v="16141"/>
    </bk>
    <bk>
      <rc t="2" v="16142"/>
    </bk>
    <bk>
      <rc t="2" v="16143"/>
    </bk>
    <bk>
      <rc t="2" v="16144"/>
    </bk>
    <bk>
      <rc t="2" v="16145"/>
    </bk>
    <bk>
      <rc t="2" v="16146"/>
    </bk>
    <bk>
      <rc t="2" v="16147"/>
    </bk>
    <bk>
      <rc t="2" v="16148"/>
    </bk>
    <bk>
      <rc t="2" v="16149"/>
    </bk>
    <bk>
      <rc t="2" v="16150"/>
    </bk>
    <bk>
      <rc t="2" v="16151"/>
    </bk>
    <bk>
      <rc t="2" v="16152"/>
    </bk>
    <bk>
      <rc t="2" v="16153"/>
    </bk>
    <bk>
      <rc t="2" v="16154"/>
    </bk>
    <bk>
      <rc t="2" v="16155"/>
    </bk>
    <bk>
      <rc t="2" v="16156"/>
    </bk>
    <bk>
      <rc t="2" v="16157"/>
    </bk>
    <bk>
      <rc t="2" v="16158"/>
    </bk>
    <bk>
      <rc t="2" v="16159"/>
    </bk>
    <bk>
      <rc t="2" v="16160"/>
    </bk>
    <bk>
      <rc t="2" v="16161"/>
    </bk>
    <bk>
      <rc t="2" v="16162"/>
    </bk>
    <bk>
      <rc t="2" v="16163"/>
    </bk>
    <bk>
      <rc t="2" v="16164"/>
    </bk>
    <bk>
      <rc t="2" v="16165"/>
    </bk>
    <bk>
      <rc t="2" v="16166"/>
    </bk>
    <bk>
      <rc t="2" v="16167"/>
    </bk>
    <bk>
      <rc t="2" v="16168"/>
    </bk>
    <bk>
      <rc t="2" v="16169"/>
    </bk>
    <bk>
      <rc t="2" v="16170"/>
    </bk>
    <bk>
      <rc t="2" v="16171"/>
    </bk>
    <bk>
      <rc t="2" v="16172"/>
    </bk>
    <bk>
      <rc t="2" v="16173"/>
    </bk>
    <bk>
      <rc t="2" v="16174"/>
    </bk>
    <bk>
      <rc t="2" v="16175"/>
    </bk>
    <bk>
      <rc t="2" v="16176"/>
    </bk>
    <bk>
      <rc t="2" v="16177"/>
    </bk>
    <bk>
      <rc t="2" v="16178"/>
    </bk>
    <bk>
      <rc t="2" v="16179"/>
    </bk>
    <bk>
      <rc t="2" v="16180"/>
    </bk>
    <bk>
      <rc t="2" v="16181"/>
    </bk>
    <bk>
      <rc t="2" v="16182"/>
    </bk>
    <bk>
      <rc t="2" v="16183"/>
    </bk>
    <bk>
      <rc t="2" v="16184"/>
    </bk>
    <bk>
      <rc t="2" v="16185"/>
    </bk>
    <bk>
      <rc t="2" v="16186"/>
    </bk>
    <bk>
      <rc t="2" v="16187"/>
    </bk>
    <bk>
      <rc t="2" v="16188"/>
    </bk>
    <bk>
      <rc t="2" v="16189"/>
    </bk>
    <bk>
      <rc t="2" v="16190"/>
    </bk>
    <bk>
      <rc t="2" v="16191"/>
    </bk>
    <bk>
      <rc t="2" v="16192"/>
    </bk>
    <bk>
      <rc t="2" v="16193"/>
    </bk>
    <bk>
      <rc t="2" v="16194"/>
    </bk>
    <bk>
      <rc t="2" v="16195"/>
    </bk>
    <bk>
      <rc t="2" v="16196"/>
    </bk>
    <bk>
      <rc t="2" v="16197"/>
    </bk>
    <bk>
      <rc t="2" v="16198"/>
    </bk>
    <bk>
      <rc t="2" v="16199"/>
    </bk>
    <bk>
      <rc t="2" v="16200"/>
    </bk>
    <bk>
      <rc t="2" v="16201"/>
    </bk>
    <bk>
      <rc t="2" v="16202"/>
    </bk>
    <bk>
      <rc t="2" v="16203"/>
    </bk>
    <bk>
      <rc t="2" v="16204"/>
    </bk>
    <bk>
      <rc t="2" v="16205"/>
    </bk>
    <bk>
      <rc t="2" v="16206"/>
    </bk>
    <bk>
      <rc t="2" v="16207"/>
    </bk>
    <bk>
      <rc t="2" v="16208"/>
    </bk>
    <bk>
      <rc t="2" v="16209"/>
    </bk>
    <bk>
      <rc t="2" v="16210"/>
    </bk>
    <bk>
      <rc t="2" v="16211"/>
    </bk>
    <bk>
      <rc t="2" v="16212"/>
    </bk>
    <bk>
      <rc t="2" v="16213"/>
    </bk>
    <bk>
      <rc t="2" v="16214"/>
    </bk>
    <bk>
      <rc t="2" v="16215"/>
    </bk>
    <bk>
      <rc t="2" v="16216"/>
    </bk>
    <bk>
      <rc t="2" v="16217"/>
    </bk>
    <bk>
      <rc t="2" v="16218"/>
    </bk>
    <bk>
      <rc t="2" v="16219"/>
    </bk>
    <bk>
      <rc t="2" v="16220"/>
    </bk>
    <bk>
      <rc t="2" v="16221"/>
    </bk>
    <bk>
      <rc t="2" v="16222"/>
    </bk>
    <bk>
      <rc t="2" v="16223"/>
    </bk>
    <bk>
      <rc t="2" v="16224"/>
    </bk>
    <bk>
      <rc t="2" v="16225"/>
    </bk>
    <bk>
      <rc t="2" v="16226"/>
    </bk>
    <bk>
      <rc t="2" v="16227"/>
    </bk>
    <bk>
      <rc t="2" v="16228"/>
    </bk>
    <bk>
      <rc t="2" v="16229"/>
    </bk>
    <bk>
      <rc t="2" v="16230"/>
    </bk>
    <bk>
      <rc t="2" v="16231"/>
    </bk>
    <bk>
      <rc t="2" v="16232"/>
    </bk>
    <bk>
      <rc t="2" v="16233"/>
    </bk>
    <bk>
      <rc t="2" v="16234"/>
    </bk>
    <bk>
      <rc t="2" v="16235"/>
    </bk>
    <bk>
      <rc t="2" v="16236"/>
    </bk>
    <bk>
      <rc t="2" v="16237"/>
    </bk>
    <bk>
      <rc t="2" v="16238"/>
    </bk>
    <bk>
      <rc t="2" v="16239"/>
    </bk>
    <bk>
      <rc t="2" v="16240"/>
    </bk>
    <bk>
      <rc t="2" v="16241"/>
    </bk>
    <bk>
      <rc t="2" v="16242"/>
    </bk>
    <bk>
      <rc t="2" v="16243"/>
    </bk>
    <bk>
      <rc t="2" v="16244"/>
    </bk>
    <bk>
      <rc t="2" v="16245"/>
    </bk>
    <bk>
      <rc t="2" v="16246"/>
    </bk>
    <bk>
      <rc t="2" v="16247"/>
    </bk>
    <bk>
      <rc t="2" v="16248"/>
    </bk>
    <bk>
      <rc t="2" v="16249"/>
    </bk>
    <bk>
      <rc t="2" v="16250"/>
    </bk>
    <bk>
      <rc t="2" v="16251"/>
    </bk>
    <bk>
      <rc t="2" v="16252"/>
    </bk>
    <bk>
      <rc t="2" v="16253"/>
    </bk>
    <bk>
      <rc t="2" v="16254"/>
    </bk>
    <bk>
      <rc t="2" v="16255"/>
    </bk>
    <bk>
      <rc t="2" v="16256"/>
    </bk>
    <bk>
      <rc t="2" v="16257"/>
    </bk>
    <bk>
      <rc t="2" v="16258"/>
    </bk>
    <bk>
      <rc t="2" v="16259"/>
    </bk>
    <bk>
      <rc t="2" v="16260"/>
    </bk>
    <bk>
      <rc t="2" v="16261"/>
    </bk>
    <bk>
      <rc t="2" v="16262"/>
    </bk>
    <bk>
      <rc t="2" v="16263"/>
    </bk>
    <bk>
      <rc t="2" v="16264"/>
    </bk>
    <bk>
      <rc t="2" v="16265"/>
    </bk>
    <bk>
      <rc t="2" v="16266"/>
    </bk>
    <bk>
      <rc t="2" v="16267"/>
    </bk>
    <bk>
      <rc t="2" v="16268"/>
    </bk>
    <bk>
      <rc t="2" v="16269"/>
    </bk>
    <bk>
      <rc t="2" v="16270"/>
    </bk>
    <bk>
      <rc t="2" v="16271"/>
    </bk>
    <bk>
      <rc t="2" v="16272"/>
    </bk>
    <bk>
      <rc t="2" v="16273"/>
    </bk>
    <bk>
      <rc t="2" v="16274"/>
    </bk>
    <bk>
      <rc t="2" v="16275"/>
    </bk>
    <bk>
      <rc t="2" v="16276"/>
    </bk>
    <bk>
      <rc t="2" v="16277"/>
    </bk>
    <bk>
      <rc t="2" v="16278"/>
    </bk>
    <bk>
      <rc t="2" v="16279"/>
    </bk>
    <bk>
      <rc t="2" v="16280"/>
    </bk>
    <bk>
      <rc t="2" v="16281"/>
    </bk>
    <bk>
      <rc t="2" v="16282"/>
    </bk>
    <bk>
      <rc t="2" v="16283"/>
    </bk>
    <bk>
      <rc t="2" v="16284"/>
    </bk>
    <bk>
      <rc t="2" v="16285"/>
    </bk>
    <bk>
      <rc t="2" v="16286"/>
    </bk>
    <bk>
      <rc t="2" v="16287"/>
    </bk>
    <bk>
      <rc t="2" v="16288"/>
    </bk>
    <bk>
      <rc t="2" v="16289"/>
    </bk>
    <bk>
      <rc t="2" v="16290"/>
    </bk>
    <bk>
      <rc t="2" v="16291"/>
    </bk>
    <bk>
      <rc t="2" v="16292"/>
    </bk>
    <bk>
      <rc t="2" v="16293"/>
    </bk>
    <bk>
      <rc t="2" v="16294"/>
    </bk>
    <bk>
      <rc t="2" v="16295"/>
    </bk>
    <bk>
      <rc t="2" v="16296"/>
    </bk>
    <bk>
      <rc t="2" v="16297"/>
    </bk>
    <bk>
      <rc t="2" v="16298"/>
    </bk>
    <bk>
      <rc t="2" v="16299"/>
    </bk>
    <bk>
      <rc t="2" v="16300"/>
    </bk>
    <bk>
      <rc t="2" v="16301"/>
    </bk>
    <bk>
      <rc t="2" v="16302"/>
    </bk>
    <bk>
      <rc t="2" v="16303"/>
    </bk>
    <bk>
      <rc t="2" v="16304"/>
    </bk>
    <bk>
      <rc t="2" v="16305"/>
    </bk>
    <bk>
      <rc t="2" v="16306"/>
    </bk>
    <bk>
      <rc t="2" v="16307"/>
    </bk>
    <bk>
      <rc t="2" v="16308"/>
    </bk>
    <bk>
      <rc t="2" v="16309"/>
    </bk>
    <bk>
      <rc t="2" v="16310"/>
    </bk>
    <bk>
      <rc t="2" v="16311"/>
    </bk>
    <bk>
      <rc t="2" v="16312"/>
    </bk>
    <bk>
      <rc t="2" v="16313"/>
    </bk>
    <bk>
      <rc t="2" v="16314"/>
    </bk>
    <bk>
      <rc t="2" v="16315"/>
    </bk>
    <bk>
      <rc t="2" v="16316"/>
    </bk>
    <bk>
      <rc t="2" v="16317"/>
    </bk>
    <bk>
      <rc t="2" v="16318"/>
    </bk>
    <bk>
      <rc t="2" v="16319"/>
    </bk>
    <bk>
      <rc t="2" v="16320"/>
    </bk>
    <bk>
      <rc t="2" v="16321"/>
    </bk>
    <bk>
      <rc t="2" v="16322"/>
    </bk>
    <bk>
      <rc t="2" v="16323"/>
    </bk>
    <bk>
      <rc t="2" v="16324"/>
    </bk>
    <bk>
      <rc t="2" v="16325"/>
    </bk>
    <bk>
      <rc t="2" v="16326"/>
    </bk>
    <bk>
      <rc t="2" v="16327"/>
    </bk>
    <bk>
      <rc t="2" v="16328"/>
    </bk>
    <bk>
      <rc t="2" v="16329"/>
    </bk>
    <bk>
      <rc t="2" v="16330"/>
    </bk>
    <bk>
      <rc t="2" v="16331"/>
    </bk>
    <bk>
      <rc t="2" v="16332"/>
    </bk>
    <bk>
      <rc t="2" v="16333"/>
    </bk>
    <bk>
      <rc t="2" v="16334"/>
    </bk>
    <bk>
      <rc t="2" v="16335"/>
    </bk>
    <bk>
      <rc t="2" v="16336"/>
    </bk>
    <bk>
      <rc t="2" v="16337"/>
    </bk>
    <bk>
      <rc t="2" v="16338"/>
    </bk>
    <bk>
      <rc t="2" v="16339"/>
    </bk>
    <bk>
      <rc t="2" v="16340"/>
    </bk>
    <bk>
      <rc t="2" v="16341"/>
    </bk>
    <bk>
      <rc t="2" v="16342"/>
    </bk>
    <bk>
      <rc t="2" v="16343"/>
    </bk>
    <bk>
      <rc t="2" v="16344"/>
    </bk>
    <bk>
      <rc t="2" v="16345"/>
    </bk>
    <bk>
      <rc t="2" v="16346"/>
    </bk>
    <bk>
      <rc t="2" v="16347"/>
    </bk>
    <bk>
      <rc t="2" v="16348"/>
    </bk>
    <bk>
      <rc t="2" v="16349"/>
    </bk>
    <bk>
      <rc t="2" v="16350"/>
    </bk>
    <bk>
      <rc t="2" v="16351"/>
    </bk>
    <bk>
      <rc t="2" v="16352"/>
    </bk>
    <bk>
      <rc t="2" v="16353"/>
    </bk>
    <bk>
      <rc t="2" v="16354"/>
    </bk>
    <bk>
      <rc t="2" v="16355"/>
    </bk>
    <bk>
      <rc t="2" v="16356"/>
    </bk>
    <bk>
      <rc t="2" v="16357"/>
    </bk>
    <bk>
      <rc t="2" v="16358"/>
    </bk>
    <bk>
      <rc t="2" v="16359"/>
    </bk>
    <bk>
      <rc t="2" v="16360"/>
    </bk>
    <bk>
      <rc t="2" v="16361"/>
    </bk>
    <bk>
      <rc t="2" v="16362"/>
    </bk>
    <bk>
      <rc t="2" v="16363"/>
    </bk>
    <bk>
      <rc t="2" v="16364"/>
    </bk>
    <bk>
      <rc t="2" v="16365"/>
    </bk>
    <bk>
      <rc t="2" v="16366"/>
    </bk>
    <bk>
      <rc t="2" v="16367"/>
    </bk>
    <bk>
      <rc t="2" v="16368"/>
    </bk>
    <bk>
      <rc t="2" v="16369"/>
    </bk>
    <bk>
      <rc t="2" v="16370"/>
    </bk>
    <bk>
      <rc t="2" v="16371"/>
    </bk>
    <bk>
      <rc t="2" v="16372"/>
    </bk>
    <bk>
      <rc t="2" v="16373"/>
    </bk>
    <bk>
      <rc t="2" v="16374"/>
    </bk>
    <bk>
      <rc t="2" v="16375"/>
    </bk>
    <bk>
      <rc t="2" v="16376"/>
    </bk>
    <bk>
      <rc t="2" v="16377"/>
    </bk>
    <bk>
      <rc t="2" v="16378"/>
    </bk>
    <bk>
      <rc t="2" v="16379"/>
    </bk>
    <bk>
      <rc t="2" v="16380"/>
    </bk>
    <bk>
      <rc t="2" v="16381"/>
    </bk>
    <bk>
      <rc t="2" v="16382"/>
    </bk>
    <bk>
      <rc t="2" v="16383"/>
    </bk>
    <bk>
      <rc t="2" v="16384"/>
    </bk>
    <bk>
      <rc t="2" v="16385"/>
    </bk>
    <bk>
      <rc t="2" v="16386"/>
    </bk>
    <bk>
      <rc t="2" v="16387"/>
    </bk>
    <bk>
      <rc t="2" v="16388"/>
    </bk>
    <bk>
      <rc t="2" v="16389"/>
    </bk>
    <bk>
      <rc t="2" v="16390"/>
    </bk>
    <bk>
      <rc t="2" v="16391"/>
    </bk>
    <bk>
      <rc t="2" v="16392"/>
    </bk>
    <bk>
      <rc t="2" v="16393"/>
    </bk>
    <bk>
      <rc t="2" v="16394"/>
    </bk>
    <bk>
      <rc t="2" v="16395"/>
    </bk>
    <bk>
      <rc t="2" v="16396"/>
    </bk>
    <bk>
      <rc t="2" v="16397"/>
    </bk>
    <bk>
      <rc t="2" v="16398"/>
    </bk>
    <bk>
      <rc t="2" v="16399"/>
    </bk>
    <bk>
      <rc t="2" v="16400"/>
    </bk>
    <bk>
      <rc t="2" v="16401"/>
    </bk>
    <bk>
      <rc t="2" v="16402"/>
    </bk>
    <bk>
      <rc t="2" v="16403"/>
    </bk>
    <bk>
      <rc t="2" v="16404"/>
    </bk>
    <bk>
      <rc t="2" v="16405"/>
    </bk>
    <bk>
      <rc t="2" v="16406"/>
    </bk>
    <bk>
      <rc t="2" v="16407"/>
    </bk>
    <bk>
      <rc t="2" v="16408"/>
    </bk>
    <bk>
      <rc t="2" v="16409"/>
    </bk>
    <bk>
      <rc t="2" v="16410"/>
    </bk>
    <bk>
      <rc t="2" v="16411"/>
    </bk>
    <bk>
      <rc t="2" v="16412"/>
    </bk>
    <bk>
      <rc t="2" v="16413"/>
    </bk>
    <bk>
      <rc t="2" v="16414"/>
    </bk>
    <bk>
      <rc t="2" v="16415"/>
    </bk>
    <bk>
      <rc t="2" v="16416"/>
    </bk>
    <bk>
      <rc t="2" v="16417"/>
    </bk>
    <bk>
      <rc t="2" v="16418"/>
    </bk>
    <bk>
      <rc t="2" v="16419"/>
    </bk>
    <bk>
      <rc t="2" v="16420"/>
    </bk>
    <bk>
      <rc t="2" v="16421"/>
    </bk>
    <bk>
      <rc t="2" v="16422"/>
    </bk>
    <bk>
      <rc t="2" v="16423"/>
    </bk>
    <bk>
      <rc t="2" v="16424"/>
    </bk>
    <bk>
      <rc t="2" v="16425"/>
    </bk>
    <bk>
      <rc t="2" v="16426"/>
    </bk>
    <bk>
      <rc t="2" v="16427"/>
    </bk>
    <bk>
      <rc t="2" v="16428"/>
    </bk>
    <bk>
      <rc t="2" v="16429"/>
    </bk>
    <bk>
      <rc t="2" v="16430"/>
    </bk>
    <bk>
      <rc t="2" v="16431"/>
    </bk>
    <bk>
      <rc t="2" v="16432"/>
    </bk>
    <bk>
      <rc t="2" v="16433"/>
    </bk>
    <bk>
      <rc t="2" v="16434"/>
    </bk>
    <bk>
      <rc t="2" v="16435"/>
    </bk>
    <bk>
      <rc t="2" v="16436"/>
    </bk>
    <bk>
      <rc t="2" v="16437"/>
    </bk>
    <bk>
      <rc t="2" v="16438"/>
    </bk>
    <bk>
      <rc t="2" v="16439"/>
    </bk>
    <bk>
      <rc t="2" v="16440"/>
    </bk>
    <bk>
      <rc t="2" v="16441"/>
    </bk>
    <bk>
      <rc t="2" v="16442"/>
    </bk>
    <bk>
      <rc t="2" v="16443"/>
    </bk>
    <bk>
      <rc t="2" v="16444"/>
    </bk>
    <bk>
      <rc t="2" v="16445"/>
    </bk>
    <bk>
      <rc t="2" v="16446"/>
    </bk>
    <bk>
      <rc t="2" v="16447"/>
    </bk>
    <bk>
      <rc t="2" v="16448"/>
    </bk>
    <bk>
      <rc t="2" v="16449"/>
    </bk>
    <bk>
      <rc t="2" v="16450"/>
    </bk>
    <bk>
      <rc t="2" v="16451"/>
    </bk>
    <bk>
      <rc t="2" v="16452"/>
    </bk>
    <bk>
      <rc t="2" v="16453"/>
    </bk>
    <bk>
      <rc t="2" v="16454"/>
    </bk>
    <bk>
      <rc t="2" v="16455"/>
    </bk>
    <bk>
      <rc t="2" v="16456"/>
    </bk>
    <bk>
      <rc t="2" v="16457"/>
    </bk>
    <bk>
      <rc t="2" v="16458"/>
    </bk>
    <bk>
      <rc t="2" v="16459"/>
    </bk>
    <bk>
      <rc t="2" v="16460"/>
    </bk>
    <bk>
      <rc t="2" v="16461"/>
    </bk>
    <bk>
      <rc t="2" v="16462"/>
    </bk>
    <bk>
      <rc t="2" v="16463"/>
    </bk>
    <bk>
      <rc t="2" v="16464"/>
    </bk>
    <bk>
      <rc t="2" v="16465"/>
    </bk>
    <bk>
      <rc t="2" v="16466"/>
    </bk>
    <bk>
      <rc t="2" v="16467"/>
    </bk>
    <bk>
      <rc t="2" v="16468"/>
    </bk>
    <bk>
      <rc t="2" v="16469"/>
    </bk>
    <bk>
      <rc t="2" v="16470"/>
    </bk>
    <bk>
      <rc t="2" v="16471"/>
    </bk>
    <bk>
      <rc t="2" v="16472"/>
    </bk>
    <bk>
      <rc t="2" v="16473"/>
    </bk>
    <bk>
      <rc t="2" v="16474"/>
    </bk>
    <bk>
      <rc t="2" v="16475"/>
    </bk>
    <bk>
      <rc t="2" v="16476"/>
    </bk>
    <bk>
      <rc t="2" v="16477"/>
    </bk>
    <bk>
      <rc t="2" v="16478"/>
    </bk>
    <bk>
      <rc t="2" v="16479"/>
    </bk>
    <bk>
      <rc t="2" v="16480"/>
    </bk>
    <bk>
      <rc t="2" v="16481"/>
    </bk>
    <bk>
      <rc t="2" v="16482"/>
    </bk>
    <bk>
      <rc t="2" v="16483"/>
    </bk>
    <bk>
      <rc t="2" v="16484"/>
    </bk>
    <bk>
      <rc t="2" v="16485"/>
    </bk>
    <bk>
      <rc t="2" v="16486"/>
    </bk>
    <bk>
      <rc t="2" v="16487"/>
    </bk>
    <bk>
      <rc t="2" v="16488"/>
    </bk>
    <bk>
      <rc t="2" v="16489"/>
    </bk>
    <bk>
      <rc t="2" v="16490"/>
    </bk>
    <bk>
      <rc t="2" v="16491"/>
    </bk>
    <bk>
      <rc t="2" v="16492"/>
    </bk>
    <bk>
      <rc t="2" v="16493"/>
    </bk>
    <bk>
      <rc t="2" v="16494"/>
    </bk>
    <bk>
      <rc t="2" v="16495"/>
    </bk>
    <bk>
      <rc t="2" v="16496"/>
    </bk>
    <bk>
      <rc t="2" v="16497"/>
    </bk>
    <bk>
      <rc t="2" v="16498"/>
    </bk>
    <bk>
      <rc t="2" v="16499"/>
    </bk>
    <bk>
      <rc t="2" v="16500"/>
    </bk>
    <bk>
      <rc t="2" v="16501"/>
    </bk>
    <bk>
      <rc t="2" v="16502"/>
    </bk>
    <bk>
      <rc t="2" v="16503"/>
    </bk>
    <bk>
      <rc t="2" v="16504"/>
    </bk>
    <bk>
      <rc t="2" v="16505"/>
    </bk>
    <bk>
      <rc t="2" v="16506"/>
    </bk>
    <bk>
      <rc t="2" v="16507"/>
    </bk>
    <bk>
      <rc t="2" v="16508"/>
    </bk>
    <bk>
      <rc t="2" v="16509"/>
    </bk>
    <bk>
      <rc t="2" v="16510"/>
    </bk>
    <bk>
      <rc t="2" v="16511"/>
    </bk>
    <bk>
      <rc t="2" v="16512"/>
    </bk>
    <bk>
      <rc t="2" v="16513"/>
    </bk>
    <bk>
      <rc t="2" v="16514"/>
    </bk>
    <bk>
      <rc t="2" v="16515"/>
    </bk>
    <bk>
      <rc t="2" v="16516"/>
    </bk>
    <bk>
      <rc t="2" v="16517"/>
    </bk>
    <bk>
      <rc t="2" v="16518"/>
    </bk>
    <bk>
      <rc t="2" v="16519"/>
    </bk>
    <bk>
      <rc t="2" v="16520"/>
    </bk>
    <bk>
      <rc t="2" v="16521"/>
    </bk>
    <bk>
      <rc t="2" v="16522"/>
    </bk>
    <bk>
      <rc t="2" v="16523"/>
    </bk>
    <bk>
      <rc t="2" v="16524"/>
    </bk>
    <bk>
      <rc t="2" v="16525"/>
    </bk>
    <bk>
      <rc t="2" v="16526"/>
    </bk>
    <bk>
      <rc t="2" v="16527"/>
    </bk>
    <bk>
      <rc t="2" v="16528"/>
    </bk>
    <bk>
      <rc t="2" v="16529"/>
    </bk>
    <bk>
      <rc t="2" v="16530"/>
    </bk>
    <bk>
      <rc t="2" v="16531"/>
    </bk>
    <bk>
      <rc t="2" v="16532"/>
    </bk>
    <bk>
      <rc t="2" v="16533"/>
    </bk>
    <bk>
      <rc t="2" v="16534"/>
    </bk>
    <bk>
      <rc t="2" v="16535"/>
    </bk>
    <bk>
      <rc t="2" v="16536"/>
    </bk>
    <bk>
      <rc t="2" v="16537"/>
    </bk>
    <bk>
      <rc t="2" v="16538"/>
    </bk>
    <bk>
      <rc t="2" v="16539"/>
    </bk>
    <bk>
      <rc t="2" v="16540"/>
    </bk>
    <bk>
      <rc t="2" v="16541"/>
    </bk>
    <bk>
      <rc t="2" v="16542"/>
    </bk>
    <bk>
      <rc t="2" v="16543"/>
    </bk>
    <bk>
      <rc t="2" v="16544"/>
    </bk>
    <bk>
      <rc t="2" v="16545"/>
    </bk>
    <bk>
      <rc t="2" v="16546"/>
    </bk>
    <bk>
      <rc t="2" v="16547"/>
    </bk>
    <bk>
      <rc t="2" v="16548"/>
    </bk>
    <bk>
      <rc t="2" v="16549"/>
    </bk>
    <bk>
      <rc t="2" v="16550"/>
    </bk>
    <bk>
      <rc t="2" v="16551"/>
    </bk>
    <bk>
      <rc t="2" v="16552"/>
    </bk>
    <bk>
      <rc t="2" v="16553"/>
    </bk>
    <bk>
      <rc t="2" v="16554"/>
    </bk>
    <bk>
      <rc t="2" v="16555"/>
    </bk>
    <bk>
      <rc t="2" v="16556"/>
    </bk>
    <bk>
      <rc t="2" v="16557"/>
    </bk>
    <bk>
      <rc t="2" v="16558"/>
    </bk>
    <bk>
      <rc t="2" v="16559"/>
    </bk>
    <bk>
      <rc t="2" v="16560"/>
    </bk>
    <bk>
      <rc t="2" v="16561"/>
    </bk>
    <bk>
      <rc t="2" v="16562"/>
    </bk>
    <bk>
      <rc t="2" v="16563"/>
    </bk>
    <bk>
      <rc t="2" v="16564"/>
    </bk>
    <bk>
      <rc t="2" v="16565"/>
    </bk>
    <bk>
      <rc t="2" v="16566"/>
    </bk>
    <bk>
      <rc t="2" v="16567"/>
    </bk>
    <bk>
      <rc t="2" v="16568"/>
    </bk>
    <bk>
      <rc t="2" v="16569"/>
    </bk>
    <bk>
      <rc t="2" v="16570"/>
    </bk>
    <bk>
      <rc t="2" v="16571"/>
    </bk>
    <bk>
      <rc t="2" v="16572"/>
    </bk>
    <bk>
      <rc t="2" v="16573"/>
    </bk>
    <bk>
      <rc t="2" v="16574"/>
    </bk>
    <bk>
      <rc t="2" v="16575"/>
    </bk>
    <bk>
      <rc t="2" v="16576"/>
    </bk>
    <bk>
      <rc t="2" v="16577"/>
    </bk>
    <bk>
      <rc t="2" v="16578"/>
    </bk>
    <bk>
      <rc t="2" v="16579"/>
    </bk>
    <bk>
      <rc t="2" v="16580"/>
    </bk>
    <bk>
      <rc t="2" v="16581"/>
    </bk>
    <bk>
      <rc t="2" v="16582"/>
    </bk>
    <bk>
      <rc t="2" v="16583"/>
    </bk>
    <bk>
      <rc t="2" v="16584"/>
    </bk>
    <bk>
      <rc t="2" v="16585"/>
    </bk>
    <bk>
      <rc t="2" v="16586"/>
    </bk>
    <bk>
      <rc t="2" v="16587"/>
    </bk>
    <bk>
      <rc t="2" v="16588"/>
    </bk>
    <bk>
      <rc t="2" v="16589"/>
    </bk>
    <bk>
      <rc t="2" v="16590"/>
    </bk>
    <bk>
      <rc t="2" v="16591"/>
    </bk>
    <bk>
      <rc t="2" v="16592"/>
    </bk>
    <bk>
      <rc t="2" v="16593"/>
    </bk>
    <bk>
      <rc t="2" v="16594"/>
    </bk>
    <bk>
      <rc t="2" v="16595"/>
    </bk>
    <bk>
      <rc t="2" v="16596"/>
    </bk>
    <bk>
      <rc t="2" v="16597"/>
    </bk>
    <bk>
      <rc t="2" v="16598"/>
    </bk>
    <bk>
      <rc t="2" v="16599"/>
    </bk>
    <bk>
      <rc t="2" v="16600"/>
    </bk>
    <bk>
      <rc t="2" v="16601"/>
    </bk>
    <bk>
      <rc t="2" v="16602"/>
    </bk>
    <bk>
      <rc t="2" v="16603"/>
    </bk>
    <bk>
      <rc t="2" v="16604"/>
    </bk>
    <bk>
      <rc t="2" v="16605"/>
    </bk>
    <bk>
      <rc t="2" v="16606"/>
    </bk>
    <bk>
      <rc t="2" v="16607"/>
    </bk>
    <bk>
      <rc t="2" v="16608"/>
    </bk>
    <bk>
      <rc t="2" v="16609"/>
    </bk>
    <bk>
      <rc t="2" v="16610"/>
    </bk>
    <bk>
      <rc t="2" v="16611"/>
    </bk>
    <bk>
      <rc t="2" v="16612"/>
    </bk>
    <bk>
      <rc t="2" v="16613"/>
    </bk>
    <bk>
      <rc t="2" v="16614"/>
    </bk>
    <bk>
      <rc t="2" v="16615"/>
    </bk>
    <bk>
      <rc t="2" v="16616"/>
    </bk>
    <bk>
      <rc t="2" v="16617"/>
    </bk>
    <bk>
      <rc t="2" v="16618"/>
    </bk>
    <bk>
      <rc t="2" v="16619"/>
    </bk>
    <bk>
      <rc t="2" v="16620"/>
    </bk>
    <bk>
      <rc t="2" v="16621"/>
    </bk>
    <bk>
      <rc t="2" v="16622"/>
    </bk>
    <bk>
      <rc t="2" v="16623"/>
    </bk>
    <bk>
      <rc t="2" v="16624"/>
    </bk>
    <bk>
      <rc t="2" v="16625"/>
    </bk>
    <bk>
      <rc t="2" v="16626"/>
    </bk>
    <bk>
      <rc t="2" v="16627"/>
    </bk>
    <bk>
      <rc t="2" v="16628"/>
    </bk>
    <bk>
      <rc t="2" v="16629"/>
    </bk>
    <bk>
      <rc t="2" v="16630"/>
    </bk>
    <bk>
      <rc t="2" v="16631"/>
    </bk>
    <bk>
      <rc t="2" v="16632"/>
    </bk>
    <bk>
      <rc t="2" v="16633"/>
    </bk>
    <bk>
      <rc t="2" v="16634"/>
    </bk>
    <bk>
      <rc t="2" v="16635"/>
    </bk>
    <bk>
      <rc t="2" v="16636"/>
    </bk>
    <bk>
      <rc t="2" v="16637"/>
    </bk>
    <bk>
      <rc t="2" v="16638"/>
    </bk>
    <bk>
      <rc t="2" v="16639"/>
    </bk>
    <bk>
      <rc t="2" v="16640"/>
    </bk>
    <bk>
      <rc t="2" v="16641"/>
    </bk>
    <bk>
      <rc t="2" v="16642"/>
    </bk>
    <bk>
      <rc t="2" v="16643"/>
    </bk>
    <bk>
      <rc t="2" v="16644"/>
    </bk>
    <bk>
      <rc t="2" v="16645"/>
    </bk>
    <bk>
      <rc t="2" v="16646"/>
    </bk>
    <bk>
      <rc t="2" v="16647"/>
    </bk>
    <bk>
      <rc t="2" v="16648"/>
    </bk>
    <bk>
      <rc t="2" v="16649"/>
    </bk>
    <bk>
      <rc t="2" v="16650"/>
    </bk>
    <bk>
      <rc t="2" v="16651"/>
    </bk>
    <bk>
      <rc t="2" v="16652"/>
    </bk>
    <bk>
      <rc t="2" v="16653"/>
    </bk>
    <bk>
      <rc t="2" v="16654"/>
    </bk>
    <bk>
      <rc t="2" v="16655"/>
    </bk>
    <bk>
      <rc t="2" v="16656"/>
    </bk>
    <bk>
      <rc t="2" v="16657"/>
    </bk>
    <bk>
      <rc t="2" v="16658"/>
    </bk>
    <bk>
      <rc t="2" v="16659"/>
    </bk>
    <bk>
      <rc t="2" v="16660"/>
    </bk>
    <bk>
      <rc t="2" v="16661"/>
    </bk>
    <bk>
      <rc t="2" v="16662"/>
    </bk>
    <bk>
      <rc t="2" v="16663"/>
    </bk>
    <bk>
      <rc t="2" v="16664"/>
    </bk>
    <bk>
      <rc t="2" v="16665"/>
    </bk>
    <bk>
      <rc t="2" v="16666"/>
    </bk>
    <bk>
      <rc t="2" v="16667"/>
    </bk>
    <bk>
      <rc t="2" v="16668"/>
    </bk>
    <bk>
      <rc t="2" v="16669"/>
    </bk>
    <bk>
      <rc t="2" v="16670"/>
    </bk>
    <bk>
      <rc t="2" v="16671"/>
    </bk>
    <bk>
      <rc t="2" v="16672"/>
    </bk>
    <bk>
      <rc t="2" v="16673"/>
    </bk>
    <bk>
      <rc t="2" v="16674"/>
    </bk>
    <bk>
      <rc t="2" v="16675"/>
    </bk>
    <bk>
      <rc t="2" v="16676"/>
    </bk>
    <bk>
      <rc t="2" v="16677"/>
    </bk>
    <bk>
      <rc t="2" v="16678"/>
    </bk>
    <bk>
      <rc t="2" v="16679"/>
    </bk>
    <bk>
      <rc t="2" v="16680"/>
    </bk>
    <bk>
      <rc t="2" v="16681"/>
    </bk>
    <bk>
      <rc t="2" v="16682"/>
    </bk>
    <bk>
      <rc t="2" v="16683"/>
    </bk>
    <bk>
      <rc t="2" v="16684"/>
    </bk>
    <bk>
      <rc t="2" v="16685"/>
    </bk>
    <bk>
      <rc t="2" v="16686"/>
    </bk>
    <bk>
      <rc t="2" v="16687"/>
    </bk>
    <bk>
      <rc t="2" v="16688"/>
    </bk>
    <bk>
      <rc t="2" v="16689"/>
    </bk>
    <bk>
      <rc t="2" v="16690"/>
    </bk>
    <bk>
      <rc t="2" v="16691"/>
    </bk>
    <bk>
      <rc t="2" v="16692"/>
    </bk>
    <bk>
      <rc t="2" v="16693"/>
    </bk>
    <bk>
      <rc t="2" v="16694"/>
    </bk>
    <bk>
      <rc t="2" v="16695"/>
    </bk>
    <bk>
      <rc t="2" v="16696"/>
    </bk>
    <bk>
      <rc t="2" v="16697"/>
    </bk>
    <bk>
      <rc t="2" v="16698"/>
    </bk>
    <bk>
      <rc t="2" v="16699"/>
    </bk>
    <bk>
      <rc t="2" v="16700"/>
    </bk>
    <bk>
      <rc t="2" v="16701"/>
    </bk>
    <bk>
      <rc t="2" v="16702"/>
    </bk>
    <bk>
      <rc t="2" v="16703"/>
    </bk>
    <bk>
      <rc t="2" v="16704"/>
    </bk>
    <bk>
      <rc t="2" v="16705"/>
    </bk>
    <bk>
      <rc t="2" v="16706"/>
    </bk>
    <bk>
      <rc t="2" v="16707"/>
    </bk>
    <bk>
      <rc t="2" v="16708"/>
    </bk>
    <bk>
      <rc t="2" v="16709"/>
    </bk>
    <bk>
      <rc t="2" v="16710"/>
    </bk>
    <bk>
      <rc t="2" v="16711"/>
    </bk>
    <bk>
      <rc t="2" v="16712"/>
    </bk>
    <bk>
      <rc t="2" v="16713"/>
    </bk>
    <bk>
      <rc t="2" v="16714"/>
    </bk>
    <bk>
      <rc t="2" v="16715"/>
    </bk>
    <bk>
      <rc t="2" v="16716"/>
    </bk>
    <bk>
      <rc t="2" v="16717"/>
    </bk>
    <bk>
      <rc t="2" v="16718"/>
    </bk>
    <bk>
      <rc t="2" v="16719"/>
    </bk>
    <bk>
      <rc t="2" v="16720"/>
    </bk>
    <bk>
      <rc t="2" v="16721"/>
    </bk>
    <bk>
      <rc t="2" v="16722"/>
    </bk>
    <bk>
      <rc t="2" v="16723"/>
    </bk>
    <bk>
      <rc t="2" v="16724"/>
    </bk>
    <bk>
      <rc t="2" v="16725"/>
    </bk>
    <bk>
      <rc t="2" v="16726"/>
    </bk>
    <bk>
      <rc t="2" v="16727"/>
    </bk>
    <bk>
      <rc t="2" v="16728"/>
    </bk>
    <bk>
      <rc t="2" v="16729"/>
    </bk>
    <bk>
      <rc t="2" v="16730"/>
    </bk>
    <bk>
      <rc t="2" v="16731"/>
    </bk>
    <bk>
      <rc t="2" v="16732"/>
    </bk>
    <bk>
      <rc t="2" v="16733"/>
    </bk>
    <bk>
      <rc t="2" v="16734"/>
    </bk>
    <bk>
      <rc t="2" v="16735"/>
    </bk>
    <bk>
      <rc t="2" v="16736"/>
    </bk>
    <bk>
      <rc t="2" v="16737"/>
    </bk>
    <bk>
      <rc t="2" v="16738"/>
    </bk>
    <bk>
      <rc t="2" v="16739"/>
    </bk>
    <bk>
      <rc t="2" v="16740"/>
    </bk>
    <bk>
      <rc t="2" v="16741"/>
    </bk>
    <bk>
      <rc t="2" v="16742"/>
    </bk>
    <bk>
      <rc t="2" v="16743"/>
    </bk>
    <bk>
      <rc t="2" v="16744"/>
    </bk>
    <bk>
      <rc t="2" v="16745"/>
    </bk>
    <bk>
      <rc t="2" v="16746"/>
    </bk>
    <bk>
      <rc t="2" v="16747"/>
    </bk>
    <bk>
      <rc t="2" v="16748"/>
    </bk>
    <bk>
      <rc t="2" v="16749"/>
    </bk>
    <bk>
      <rc t="2" v="16750"/>
    </bk>
    <bk>
      <rc t="2" v="16751"/>
    </bk>
    <bk>
      <rc t="2" v="16752"/>
    </bk>
    <bk>
      <rc t="2" v="16753"/>
    </bk>
    <bk>
      <rc t="2" v="16754"/>
    </bk>
    <bk>
      <rc t="2" v="16755"/>
    </bk>
    <bk>
      <rc t="2" v="16756"/>
    </bk>
    <bk>
      <rc t="2" v="16757"/>
    </bk>
    <bk>
      <rc t="2" v="16758"/>
    </bk>
    <bk>
      <rc t="2" v="16759"/>
    </bk>
    <bk>
      <rc t="2" v="16760"/>
    </bk>
    <bk>
      <rc t="2" v="16761"/>
    </bk>
    <bk>
      <rc t="2" v="16762"/>
    </bk>
    <bk>
      <rc t="2" v="16763"/>
    </bk>
    <bk>
      <rc t="2" v="16764"/>
    </bk>
    <bk>
      <rc t="2" v="16765"/>
    </bk>
    <bk>
      <rc t="2" v="16766"/>
    </bk>
    <bk>
      <rc t="2" v="16767"/>
    </bk>
    <bk>
      <rc t="2" v="16768"/>
    </bk>
    <bk>
      <rc t="2" v="16769"/>
    </bk>
    <bk>
      <rc t="2" v="16770"/>
    </bk>
    <bk>
      <rc t="2" v="16771"/>
    </bk>
    <bk>
      <rc t="2" v="16772"/>
    </bk>
    <bk>
      <rc t="2" v="16773"/>
    </bk>
    <bk>
      <rc t="2" v="16774"/>
    </bk>
    <bk>
      <rc t="2" v="16775"/>
    </bk>
    <bk>
      <rc t="2" v="16776"/>
    </bk>
    <bk>
      <rc t="2" v="16777"/>
    </bk>
    <bk>
      <rc t="2" v="16778"/>
    </bk>
    <bk>
      <rc t="2" v="16779"/>
    </bk>
    <bk>
      <rc t="2" v="16780"/>
    </bk>
    <bk>
      <rc t="2" v="16781"/>
    </bk>
    <bk>
      <rc t="2" v="16782"/>
    </bk>
    <bk>
      <rc t="2" v="16783"/>
    </bk>
    <bk>
      <rc t="2" v="16784"/>
    </bk>
    <bk>
      <rc t="2" v="16785"/>
    </bk>
    <bk>
      <rc t="2" v="16786"/>
    </bk>
    <bk>
      <rc t="2" v="16787"/>
    </bk>
    <bk>
      <rc t="2" v="16788"/>
    </bk>
    <bk>
      <rc t="2" v="16789"/>
    </bk>
    <bk>
      <rc t="2" v="16790"/>
    </bk>
    <bk>
      <rc t="2" v="16791"/>
    </bk>
    <bk>
      <rc t="2" v="16792"/>
    </bk>
    <bk>
      <rc t="2" v="16793"/>
    </bk>
    <bk>
      <rc t="2" v="16794"/>
    </bk>
    <bk>
      <rc t="2" v="16795"/>
    </bk>
    <bk>
      <rc t="2" v="16796"/>
    </bk>
    <bk>
      <rc t="2" v="16797"/>
    </bk>
    <bk>
      <rc t="2" v="16798"/>
    </bk>
    <bk>
      <rc t="2" v="16799"/>
    </bk>
    <bk>
      <rc t="2" v="16800"/>
    </bk>
    <bk>
      <rc t="2" v="16801"/>
    </bk>
    <bk>
      <rc t="2" v="16802"/>
    </bk>
    <bk>
      <rc t="2" v="16803"/>
    </bk>
    <bk>
      <rc t="2" v="16804"/>
    </bk>
    <bk>
      <rc t="2" v="16805"/>
    </bk>
    <bk>
      <rc t="2" v="16806"/>
    </bk>
    <bk>
      <rc t="2" v="16807"/>
    </bk>
    <bk>
      <rc t="2" v="16808"/>
    </bk>
    <bk>
      <rc t="2" v="16809"/>
    </bk>
    <bk>
      <rc t="2" v="16810"/>
    </bk>
    <bk>
      <rc t="2" v="16811"/>
    </bk>
    <bk>
      <rc t="2" v="16812"/>
    </bk>
    <bk>
      <rc t="2" v="16813"/>
    </bk>
    <bk>
      <rc t="2" v="16814"/>
    </bk>
    <bk>
      <rc t="2" v="16815"/>
    </bk>
    <bk>
      <rc t="2" v="16816"/>
    </bk>
    <bk>
      <rc t="2" v="16817"/>
    </bk>
    <bk>
      <rc t="2" v="16818"/>
    </bk>
    <bk>
      <rc t="2" v="16819"/>
    </bk>
    <bk>
      <rc t="2" v="16820"/>
    </bk>
    <bk>
      <rc t="2" v="16821"/>
    </bk>
    <bk>
      <rc t="2" v="16822"/>
    </bk>
    <bk>
      <rc t="2" v="16823"/>
    </bk>
    <bk>
      <rc t="2" v="16824"/>
    </bk>
    <bk>
      <rc t="2" v="16825"/>
    </bk>
    <bk>
      <rc t="2" v="16826"/>
    </bk>
    <bk>
      <rc t="2" v="16827"/>
    </bk>
    <bk>
      <rc t="2" v="16828"/>
    </bk>
    <bk>
      <rc t="2" v="16829"/>
    </bk>
    <bk>
      <rc t="2" v="16830"/>
    </bk>
    <bk>
      <rc t="2" v="16831"/>
    </bk>
    <bk>
      <rc t="2" v="16832"/>
    </bk>
    <bk>
      <rc t="2" v="16833"/>
    </bk>
    <bk>
      <rc t="2" v="16834"/>
    </bk>
    <bk>
      <rc t="2" v="16835"/>
    </bk>
    <bk>
      <rc t="2" v="16836"/>
    </bk>
    <bk>
      <rc t="2" v="16837"/>
    </bk>
    <bk>
      <rc t="2" v="16838"/>
    </bk>
    <bk>
      <rc t="2" v="16839"/>
    </bk>
    <bk>
      <rc t="2" v="16840"/>
    </bk>
    <bk>
      <rc t="2" v="16841"/>
    </bk>
    <bk>
      <rc t="2" v="16842"/>
    </bk>
    <bk>
      <rc t="2" v="16843"/>
    </bk>
    <bk>
      <rc t="2" v="16844"/>
    </bk>
    <bk>
      <rc t="2" v="16845"/>
    </bk>
    <bk>
      <rc t="2" v="16846"/>
    </bk>
    <bk>
      <rc t="2" v="16847"/>
    </bk>
    <bk>
      <rc t="2" v="16848"/>
    </bk>
    <bk>
      <rc t="2" v="16849"/>
    </bk>
    <bk>
      <rc t="2" v="16850"/>
    </bk>
    <bk>
      <rc t="2" v="16851"/>
    </bk>
    <bk>
      <rc t="2" v="16852"/>
    </bk>
    <bk>
      <rc t="2" v="16853"/>
    </bk>
    <bk>
      <rc t="2" v="16854"/>
    </bk>
    <bk>
      <rc t="2" v="16855"/>
    </bk>
    <bk>
      <rc t="2" v="16856"/>
    </bk>
    <bk>
      <rc t="2" v="16857"/>
    </bk>
    <bk>
      <rc t="2" v="16858"/>
    </bk>
    <bk>
      <rc t="2" v="16859"/>
    </bk>
    <bk>
      <rc t="2" v="16860"/>
    </bk>
    <bk>
      <rc t="2" v="16861"/>
    </bk>
    <bk>
      <rc t="2" v="16862"/>
    </bk>
    <bk>
      <rc t="2" v="16863"/>
    </bk>
    <bk>
      <rc t="2" v="16864"/>
    </bk>
    <bk>
      <rc t="2" v="16865"/>
    </bk>
    <bk>
      <rc t="2" v="16866"/>
    </bk>
    <bk>
      <rc t="2" v="16867"/>
    </bk>
    <bk>
      <rc t="2" v="16868"/>
    </bk>
    <bk>
      <rc t="2" v="16869"/>
    </bk>
    <bk>
      <rc t="2" v="16870"/>
    </bk>
    <bk>
      <rc t="2" v="16871"/>
    </bk>
    <bk>
      <rc t="2" v="16872"/>
    </bk>
    <bk>
      <rc t="2" v="16873"/>
    </bk>
    <bk>
      <rc t="2" v="16874"/>
    </bk>
    <bk>
      <rc t="2" v="16875"/>
    </bk>
    <bk>
      <rc t="2" v="16876"/>
    </bk>
    <bk>
      <rc t="2" v="16877"/>
    </bk>
    <bk>
      <rc t="2" v="16878"/>
    </bk>
    <bk>
      <rc t="2" v="16879"/>
    </bk>
    <bk>
      <rc t="2" v="16880"/>
    </bk>
    <bk>
      <rc t="2" v="16881"/>
    </bk>
    <bk>
      <rc t="2" v="16882"/>
    </bk>
    <bk>
      <rc t="2" v="16883"/>
    </bk>
    <bk>
      <rc t="2" v="16884"/>
    </bk>
    <bk>
      <rc t="2" v="16885"/>
    </bk>
    <bk>
      <rc t="2" v="16886"/>
    </bk>
    <bk>
      <rc t="2" v="16887"/>
    </bk>
    <bk>
      <rc t="2" v="16888"/>
    </bk>
    <bk>
      <rc t="2" v="16889"/>
    </bk>
    <bk>
      <rc t="2" v="16890"/>
    </bk>
    <bk>
      <rc t="2" v="16891"/>
    </bk>
    <bk>
      <rc t="2" v="16892"/>
    </bk>
    <bk>
      <rc t="2" v="16893"/>
    </bk>
    <bk>
      <rc t="2" v="16894"/>
    </bk>
    <bk>
      <rc t="2" v="16895"/>
    </bk>
    <bk>
      <rc t="2" v="16896"/>
    </bk>
    <bk>
      <rc t="2" v="16897"/>
    </bk>
    <bk>
      <rc t="2" v="16898"/>
    </bk>
    <bk>
      <rc t="2" v="16899"/>
    </bk>
    <bk>
      <rc t="2" v="16900"/>
    </bk>
    <bk>
      <rc t="2" v="16901"/>
    </bk>
    <bk>
      <rc t="2" v="16902"/>
    </bk>
    <bk>
      <rc t="2" v="16903"/>
    </bk>
    <bk>
      <rc t="2" v="16904"/>
    </bk>
    <bk>
      <rc t="2" v="16905"/>
    </bk>
    <bk>
      <rc t="2" v="16906"/>
    </bk>
    <bk>
      <rc t="2" v="16907"/>
    </bk>
    <bk>
      <rc t="2" v="16908"/>
    </bk>
    <bk>
      <rc t="2" v="16909"/>
    </bk>
    <bk>
      <rc t="2" v="16910"/>
    </bk>
    <bk>
      <rc t="2" v="16911"/>
    </bk>
    <bk>
      <rc t="2" v="16912"/>
    </bk>
    <bk>
      <rc t="2" v="16913"/>
    </bk>
    <bk>
      <rc t="2" v="16914"/>
    </bk>
    <bk>
      <rc t="2" v="16915"/>
    </bk>
    <bk>
      <rc t="2" v="16916"/>
    </bk>
    <bk>
      <rc t="2" v="16917"/>
    </bk>
    <bk>
      <rc t="2" v="16918"/>
    </bk>
    <bk>
      <rc t="2" v="16919"/>
    </bk>
    <bk>
      <rc t="2" v="16920"/>
    </bk>
    <bk>
      <rc t="2" v="16921"/>
    </bk>
    <bk>
      <rc t="2" v="16922"/>
    </bk>
    <bk>
      <rc t="2" v="16923"/>
    </bk>
    <bk>
      <rc t="2" v="16924"/>
    </bk>
    <bk>
      <rc t="2" v="16925"/>
    </bk>
    <bk>
      <rc t="2" v="16926"/>
    </bk>
    <bk>
      <rc t="2" v="16927"/>
    </bk>
    <bk>
      <rc t="2" v="16928"/>
    </bk>
    <bk>
      <rc t="2" v="16929"/>
    </bk>
    <bk>
      <rc t="2" v="16930"/>
    </bk>
    <bk>
      <rc t="2" v="16931"/>
    </bk>
    <bk>
      <rc t="2" v="16932"/>
    </bk>
    <bk>
      <rc t="2" v="16933"/>
    </bk>
    <bk>
      <rc t="2" v="16934"/>
    </bk>
    <bk>
      <rc t="2" v="16935"/>
    </bk>
    <bk>
      <rc t="2" v="16936"/>
    </bk>
    <bk>
      <rc t="2" v="16937"/>
    </bk>
    <bk>
      <rc t="2" v="16938"/>
    </bk>
    <bk>
      <rc t="2" v="16939"/>
    </bk>
    <bk>
      <rc t="2" v="16940"/>
    </bk>
    <bk>
      <rc t="2" v="16941"/>
    </bk>
    <bk>
      <rc t="2" v="16942"/>
    </bk>
    <bk>
      <rc t="2" v="16943"/>
    </bk>
    <bk>
      <rc t="2" v="16944"/>
    </bk>
    <bk>
      <rc t="2" v="16945"/>
    </bk>
    <bk>
      <rc t="2" v="16946"/>
    </bk>
    <bk>
      <rc t="2" v="16947"/>
    </bk>
    <bk>
      <rc t="2" v="16948"/>
    </bk>
    <bk>
      <rc t="2" v="16949"/>
    </bk>
    <bk>
      <rc t="2" v="16950"/>
    </bk>
    <bk>
      <rc t="2" v="16951"/>
    </bk>
    <bk>
      <rc t="2" v="16952"/>
    </bk>
    <bk>
      <rc t="2" v="16953"/>
    </bk>
    <bk>
      <rc t="2" v="16954"/>
    </bk>
    <bk>
      <rc t="2" v="16955"/>
    </bk>
    <bk>
      <rc t="2" v="16956"/>
    </bk>
    <bk>
      <rc t="2" v="16957"/>
    </bk>
    <bk>
      <rc t="2" v="16958"/>
    </bk>
    <bk>
      <rc t="2" v="16959"/>
    </bk>
    <bk>
      <rc t="2" v="16960"/>
    </bk>
    <bk>
      <rc t="2" v="16961"/>
    </bk>
    <bk>
      <rc t="2" v="16962"/>
    </bk>
    <bk>
      <rc t="2" v="16963"/>
    </bk>
    <bk>
      <rc t="2" v="16964"/>
    </bk>
    <bk>
      <rc t="2" v="16965"/>
    </bk>
    <bk>
      <rc t="2" v="16966"/>
    </bk>
    <bk>
      <rc t="2" v="16967"/>
    </bk>
    <bk>
      <rc t="2" v="16968"/>
    </bk>
    <bk>
      <rc t="2" v="16969"/>
    </bk>
    <bk>
      <rc t="2" v="16970"/>
    </bk>
    <bk>
      <rc t="2" v="16971"/>
    </bk>
    <bk>
      <rc t="2" v="16972"/>
    </bk>
    <bk>
      <rc t="2" v="16973"/>
    </bk>
    <bk>
      <rc t="2" v="16974"/>
    </bk>
    <bk>
      <rc t="2" v="16975"/>
    </bk>
    <bk>
      <rc t="2" v="16976"/>
    </bk>
    <bk>
      <rc t="2" v="16977"/>
    </bk>
    <bk>
      <rc t="2" v="16978"/>
    </bk>
    <bk>
      <rc t="2" v="16979"/>
    </bk>
    <bk>
      <rc t="2" v="16980"/>
    </bk>
    <bk>
      <rc t="2" v="16981"/>
    </bk>
    <bk>
      <rc t="2" v="16982"/>
    </bk>
    <bk>
      <rc t="2" v="16983"/>
    </bk>
    <bk>
      <rc t="2" v="16984"/>
    </bk>
    <bk>
      <rc t="2" v="16985"/>
    </bk>
    <bk>
      <rc t="2" v="16986"/>
    </bk>
    <bk>
      <rc t="2" v="16987"/>
    </bk>
    <bk>
      <rc t="2" v="16988"/>
    </bk>
    <bk>
      <rc t="2" v="16989"/>
    </bk>
    <bk>
      <rc t="2" v="16990"/>
    </bk>
    <bk>
      <rc t="2" v="16991"/>
    </bk>
    <bk>
      <rc t="2" v="16992"/>
    </bk>
    <bk>
      <rc t="2" v="16993"/>
    </bk>
    <bk>
      <rc t="2" v="16994"/>
    </bk>
    <bk>
      <rc t="2" v="16995"/>
    </bk>
    <bk>
      <rc t="2" v="16996"/>
    </bk>
    <bk>
      <rc t="2" v="16997"/>
    </bk>
    <bk>
      <rc t="2" v="16998"/>
    </bk>
    <bk>
      <rc t="2" v="16999"/>
    </bk>
    <bk>
      <rc t="2" v="17000"/>
    </bk>
    <bk>
      <rc t="2" v="17001"/>
    </bk>
    <bk>
      <rc t="2" v="17002"/>
    </bk>
    <bk>
      <rc t="2" v="17003"/>
    </bk>
    <bk>
      <rc t="2" v="17004"/>
    </bk>
    <bk>
      <rc t="2" v="17005"/>
    </bk>
    <bk>
      <rc t="2" v="17006"/>
    </bk>
    <bk>
      <rc t="2" v="17007"/>
    </bk>
    <bk>
      <rc t="2" v="17008"/>
    </bk>
    <bk>
      <rc t="2" v="17009"/>
    </bk>
    <bk>
      <rc t="2" v="17010"/>
    </bk>
    <bk>
      <rc t="2" v="17011"/>
    </bk>
    <bk>
      <rc t="2" v="17012"/>
    </bk>
    <bk>
      <rc t="2" v="17013"/>
    </bk>
    <bk>
      <rc t="2" v="17014"/>
    </bk>
    <bk>
      <rc t="2" v="17015"/>
    </bk>
    <bk>
      <rc t="2" v="17016"/>
    </bk>
    <bk>
      <rc t="2" v="17017"/>
    </bk>
    <bk>
      <rc t="2" v="17018"/>
    </bk>
    <bk>
      <rc t="2" v="17019"/>
    </bk>
    <bk>
      <rc t="2" v="17020"/>
    </bk>
    <bk>
      <rc t="2" v="17021"/>
    </bk>
    <bk>
      <rc t="2" v="17022"/>
    </bk>
    <bk>
      <rc t="2" v="17023"/>
    </bk>
    <bk>
      <rc t="2" v="17024"/>
    </bk>
    <bk>
      <rc t="2" v="17025"/>
    </bk>
    <bk>
      <rc t="2" v="17026"/>
    </bk>
    <bk>
      <rc t="2" v="17027"/>
    </bk>
    <bk>
      <rc t="2" v="17028"/>
    </bk>
    <bk>
      <rc t="2" v="17029"/>
    </bk>
    <bk>
      <rc t="2" v="17030"/>
    </bk>
    <bk>
      <rc t="2" v="17031"/>
    </bk>
    <bk>
      <rc t="2" v="17032"/>
    </bk>
    <bk>
      <rc t="2" v="17033"/>
    </bk>
    <bk>
      <rc t="2" v="17034"/>
    </bk>
    <bk>
      <rc t="2" v="17035"/>
    </bk>
    <bk>
      <rc t="2" v="17036"/>
    </bk>
    <bk>
      <rc t="2" v="17037"/>
    </bk>
    <bk>
      <rc t="2" v="17038"/>
    </bk>
    <bk>
      <rc t="2" v="17039"/>
    </bk>
    <bk>
      <rc t="2" v="17040"/>
    </bk>
    <bk>
      <rc t="2" v="17041"/>
    </bk>
    <bk>
      <rc t="2" v="17042"/>
    </bk>
    <bk>
      <rc t="2" v="17043"/>
    </bk>
    <bk>
      <rc t="2" v="17044"/>
    </bk>
    <bk>
      <rc t="2" v="17045"/>
    </bk>
    <bk>
      <rc t="2" v="17046"/>
    </bk>
    <bk>
      <rc t="2" v="17047"/>
    </bk>
    <bk>
      <rc t="2" v="17048"/>
    </bk>
    <bk>
      <rc t="2" v="17049"/>
    </bk>
    <bk>
      <rc t="2" v="17050"/>
    </bk>
    <bk>
      <rc t="2" v="17051"/>
    </bk>
    <bk>
      <rc t="2" v="17052"/>
    </bk>
    <bk>
      <rc t="2" v="17053"/>
    </bk>
    <bk>
      <rc t="2" v="17054"/>
    </bk>
    <bk>
      <rc t="2" v="17055"/>
    </bk>
    <bk>
      <rc t="2" v="17056"/>
    </bk>
    <bk>
      <rc t="2" v="17057"/>
    </bk>
    <bk>
      <rc t="2" v="17058"/>
    </bk>
    <bk>
      <rc t="2" v="17059"/>
    </bk>
    <bk>
      <rc t="2" v="17060"/>
    </bk>
    <bk>
      <rc t="2" v="17061"/>
    </bk>
    <bk>
      <rc t="2" v="17062"/>
    </bk>
    <bk>
      <rc t="2" v="17063"/>
    </bk>
    <bk>
      <rc t="2" v="17064"/>
    </bk>
    <bk>
      <rc t="2" v="17065"/>
    </bk>
    <bk>
      <rc t="2" v="17066"/>
    </bk>
    <bk>
      <rc t="2" v="17067"/>
    </bk>
    <bk>
      <rc t="2" v="17068"/>
    </bk>
    <bk>
      <rc t="2" v="17069"/>
    </bk>
    <bk>
      <rc t="2" v="17070"/>
    </bk>
    <bk>
      <rc t="2" v="17071"/>
    </bk>
    <bk>
      <rc t="2" v="17072"/>
    </bk>
    <bk>
      <rc t="2" v="17073"/>
    </bk>
    <bk>
      <rc t="2" v="17074"/>
    </bk>
    <bk>
      <rc t="2" v="17075"/>
    </bk>
    <bk>
      <rc t="2" v="17076"/>
    </bk>
    <bk>
      <rc t="2" v="17077"/>
    </bk>
    <bk>
      <rc t="2" v="17078"/>
    </bk>
    <bk>
      <rc t="2" v="17079"/>
    </bk>
    <bk>
      <rc t="2" v="17080"/>
    </bk>
    <bk>
      <rc t="2" v="17081"/>
    </bk>
    <bk>
      <rc t="2" v="17082"/>
    </bk>
    <bk>
      <rc t="2" v="17083"/>
    </bk>
    <bk>
      <rc t="2" v="17084"/>
    </bk>
    <bk>
      <rc t="2" v="17085"/>
    </bk>
    <bk>
      <rc t="2" v="17086"/>
    </bk>
    <bk>
      <rc t="2" v="17087"/>
    </bk>
    <bk>
      <rc t="2" v="17088"/>
    </bk>
    <bk>
      <rc t="2" v="17089"/>
    </bk>
    <bk>
      <rc t="2" v="17090"/>
    </bk>
    <bk>
      <rc t="2" v="17091"/>
    </bk>
    <bk>
      <rc t="2" v="17092"/>
    </bk>
    <bk>
      <rc t="2" v="17093"/>
    </bk>
    <bk>
      <rc t="2" v="17094"/>
    </bk>
    <bk>
      <rc t="2" v="17095"/>
    </bk>
    <bk>
      <rc t="2" v="17096"/>
    </bk>
    <bk>
      <rc t="2" v="17097"/>
    </bk>
    <bk>
      <rc t="2" v="17098"/>
    </bk>
    <bk>
      <rc t="2" v="17099"/>
    </bk>
    <bk>
      <rc t="2" v="17100"/>
    </bk>
    <bk>
      <rc t="2" v="17101"/>
    </bk>
    <bk>
      <rc t="2" v="17102"/>
    </bk>
    <bk>
      <rc t="2" v="17103"/>
    </bk>
    <bk>
      <rc t="2" v="17104"/>
    </bk>
    <bk>
      <rc t="2" v="17105"/>
    </bk>
    <bk>
      <rc t="2" v="17106"/>
    </bk>
    <bk>
      <rc t="2" v="17107"/>
    </bk>
    <bk>
      <rc t="2" v="17108"/>
    </bk>
    <bk>
      <rc t="2" v="17109"/>
    </bk>
    <bk>
      <rc t="2" v="17110"/>
    </bk>
    <bk>
      <rc t="2" v="17111"/>
    </bk>
    <bk>
      <rc t="2" v="17112"/>
    </bk>
    <bk>
      <rc t="2" v="17113"/>
    </bk>
    <bk>
      <rc t="2" v="17114"/>
    </bk>
    <bk>
      <rc t="2" v="17115"/>
    </bk>
    <bk>
      <rc t="2" v="17116"/>
    </bk>
    <bk>
      <rc t="2" v="17117"/>
    </bk>
    <bk>
      <rc t="2" v="17118"/>
    </bk>
    <bk>
      <rc t="2" v="17119"/>
    </bk>
    <bk>
      <rc t="2" v="17120"/>
    </bk>
    <bk>
      <rc t="2" v="17121"/>
    </bk>
    <bk>
      <rc t="2" v="17122"/>
    </bk>
    <bk>
      <rc t="2" v="17123"/>
    </bk>
    <bk>
      <rc t="2" v="17124"/>
    </bk>
    <bk>
      <rc t="2" v="17125"/>
    </bk>
    <bk>
      <rc t="2" v="17126"/>
    </bk>
    <bk>
      <rc t="2" v="17127"/>
    </bk>
    <bk>
      <rc t="2" v="17128"/>
    </bk>
    <bk>
      <rc t="2" v="17129"/>
    </bk>
    <bk>
      <rc t="2" v="17130"/>
    </bk>
    <bk>
      <rc t="2" v="17131"/>
    </bk>
    <bk>
      <rc t="2" v="17132"/>
    </bk>
    <bk>
      <rc t="2" v="17133"/>
    </bk>
    <bk>
      <rc t="2" v="17134"/>
    </bk>
    <bk>
      <rc t="2" v="17135"/>
    </bk>
    <bk>
      <rc t="2" v="17136"/>
    </bk>
    <bk>
      <rc t="2" v="17137"/>
    </bk>
    <bk>
      <rc t="2" v="17138"/>
    </bk>
    <bk>
      <rc t="2" v="17139"/>
    </bk>
    <bk>
      <rc t="2" v="17140"/>
    </bk>
    <bk>
      <rc t="2" v="17141"/>
    </bk>
    <bk>
      <rc t="2" v="17142"/>
    </bk>
    <bk>
      <rc t="2" v="17143"/>
    </bk>
    <bk>
      <rc t="2" v="17144"/>
    </bk>
    <bk>
      <rc t="2" v="17145"/>
    </bk>
    <bk>
      <rc t="2" v="17146"/>
    </bk>
    <bk>
      <rc t="2" v="17147"/>
    </bk>
    <bk>
      <rc t="2" v="17148"/>
    </bk>
    <bk>
      <rc t="2" v="17149"/>
    </bk>
    <bk>
      <rc t="2" v="17150"/>
    </bk>
    <bk>
      <rc t="2" v="17151"/>
    </bk>
    <bk>
      <rc t="2" v="17152"/>
    </bk>
    <bk>
      <rc t="2" v="17153"/>
    </bk>
    <bk>
      <rc t="2" v="17154"/>
    </bk>
    <bk>
      <rc t="2" v="17155"/>
    </bk>
    <bk>
      <rc t="2" v="17156"/>
    </bk>
    <bk>
      <rc t="2" v="17157"/>
    </bk>
    <bk>
      <rc t="2" v="17158"/>
    </bk>
    <bk>
      <rc t="2" v="17159"/>
    </bk>
    <bk>
      <rc t="2" v="17160"/>
    </bk>
    <bk>
      <rc t="2" v="17161"/>
    </bk>
    <bk>
      <rc t="2" v="17162"/>
    </bk>
    <bk>
      <rc t="2" v="17163"/>
    </bk>
    <bk>
      <rc t="2" v="17164"/>
    </bk>
    <bk>
      <rc t="2" v="17165"/>
    </bk>
    <bk>
      <rc t="2" v="17166"/>
    </bk>
    <bk>
      <rc t="2" v="17167"/>
    </bk>
    <bk>
      <rc t="2" v="17168"/>
    </bk>
    <bk>
      <rc t="2" v="17169"/>
    </bk>
    <bk>
      <rc t="2" v="17170"/>
    </bk>
    <bk>
      <rc t="2" v="17171"/>
    </bk>
    <bk>
      <rc t="2" v="17172"/>
    </bk>
    <bk>
      <rc t="2" v="17173"/>
    </bk>
    <bk>
      <rc t="2" v="17174"/>
    </bk>
    <bk>
      <rc t="2" v="17175"/>
    </bk>
    <bk>
      <rc t="2" v="17176"/>
    </bk>
    <bk>
      <rc t="2" v="17177"/>
    </bk>
    <bk>
      <rc t="2" v="17178"/>
    </bk>
    <bk>
      <rc t="2" v="17179"/>
    </bk>
    <bk>
      <rc t="2" v="17180"/>
    </bk>
    <bk>
      <rc t="2" v="17181"/>
    </bk>
    <bk>
      <rc t="2" v="17182"/>
    </bk>
    <bk>
      <rc t="2" v="17183"/>
    </bk>
    <bk>
      <rc t="2" v="17184"/>
    </bk>
    <bk>
      <rc t="2" v="17185"/>
    </bk>
    <bk>
      <rc t="2" v="17186"/>
    </bk>
    <bk>
      <rc t="2" v="17187"/>
    </bk>
    <bk>
      <rc t="2" v="17188"/>
    </bk>
    <bk>
      <rc t="2" v="17189"/>
    </bk>
    <bk>
      <rc t="2" v="17190"/>
    </bk>
    <bk>
      <rc t="2" v="17191"/>
    </bk>
    <bk>
      <rc t="2" v="17192"/>
    </bk>
    <bk>
      <rc t="2" v="17193"/>
    </bk>
    <bk>
      <rc t="2" v="17194"/>
    </bk>
    <bk>
      <rc t="2" v="17195"/>
    </bk>
    <bk>
      <rc t="2" v="17196"/>
    </bk>
    <bk>
      <rc t="2" v="17197"/>
    </bk>
    <bk>
      <rc t="2" v="17198"/>
    </bk>
    <bk>
      <rc t="2" v="17199"/>
    </bk>
    <bk>
      <rc t="2" v="17200"/>
    </bk>
    <bk>
      <rc t="2" v="17201"/>
    </bk>
    <bk>
      <rc t="2" v="17202"/>
    </bk>
    <bk>
      <rc t="2" v="17203"/>
    </bk>
    <bk>
      <rc t="2" v="17204"/>
    </bk>
    <bk>
      <rc t="2" v="17205"/>
    </bk>
    <bk>
      <rc t="2" v="17206"/>
    </bk>
    <bk>
      <rc t="2" v="17207"/>
    </bk>
    <bk>
      <rc t="2" v="17208"/>
    </bk>
    <bk>
      <rc t="2" v="17209"/>
    </bk>
    <bk>
      <rc t="2" v="17210"/>
    </bk>
    <bk>
      <rc t="2" v="17211"/>
    </bk>
    <bk>
      <rc t="2" v="17212"/>
    </bk>
    <bk>
      <rc t="2" v="17213"/>
    </bk>
    <bk>
      <rc t="2" v="17214"/>
    </bk>
    <bk>
      <rc t="2" v="17215"/>
    </bk>
    <bk>
      <rc t="2" v="17216"/>
    </bk>
    <bk>
      <rc t="2" v="17217"/>
    </bk>
    <bk>
      <rc t="2" v="17218"/>
    </bk>
    <bk>
      <rc t="2" v="17219"/>
    </bk>
    <bk>
      <rc t="2" v="17220"/>
    </bk>
    <bk>
      <rc t="2" v="17221"/>
    </bk>
    <bk>
      <rc t="2" v="17222"/>
    </bk>
    <bk>
      <rc t="2" v="17223"/>
    </bk>
    <bk>
      <rc t="2" v="17224"/>
    </bk>
    <bk>
      <rc t="2" v="17225"/>
    </bk>
    <bk>
      <rc t="2" v="17226"/>
    </bk>
    <bk>
      <rc t="2" v="17227"/>
    </bk>
    <bk>
      <rc t="2" v="17228"/>
    </bk>
    <bk>
      <rc t="2" v="17229"/>
    </bk>
    <bk>
      <rc t="2" v="17230"/>
    </bk>
    <bk>
      <rc t="2" v="17231"/>
    </bk>
    <bk>
      <rc t="2" v="17232"/>
    </bk>
    <bk>
      <rc t="2" v="17233"/>
    </bk>
    <bk>
      <rc t="2" v="17234"/>
    </bk>
    <bk>
      <rc t="2" v="17235"/>
    </bk>
    <bk>
      <rc t="2" v="17236"/>
    </bk>
    <bk>
      <rc t="2" v="17237"/>
    </bk>
    <bk>
      <rc t="2" v="17238"/>
    </bk>
    <bk>
      <rc t="2" v="17239"/>
    </bk>
    <bk>
      <rc t="2" v="17240"/>
    </bk>
    <bk>
      <rc t="2" v="17241"/>
    </bk>
    <bk>
      <rc t="2" v="17242"/>
    </bk>
    <bk>
      <rc t="2" v="17243"/>
    </bk>
    <bk>
      <rc t="2" v="17244"/>
    </bk>
    <bk>
      <rc t="2" v="17245"/>
    </bk>
    <bk>
      <rc t="2" v="17246"/>
    </bk>
    <bk>
      <rc t="2" v="17247"/>
    </bk>
    <bk>
      <rc t="2" v="17248"/>
    </bk>
    <bk>
      <rc t="2" v="17249"/>
    </bk>
    <bk>
      <rc t="2" v="17250"/>
    </bk>
    <bk>
      <rc t="2" v="17251"/>
    </bk>
    <bk>
      <rc t="2" v="17252"/>
    </bk>
    <bk>
      <rc t="2" v="17253"/>
    </bk>
    <bk>
      <rc t="2" v="17254"/>
    </bk>
    <bk>
      <rc t="2" v="17255"/>
    </bk>
    <bk>
      <rc t="2" v="17256"/>
    </bk>
    <bk>
      <rc t="2" v="17257"/>
    </bk>
    <bk>
      <rc t="2" v="17258"/>
    </bk>
    <bk>
      <rc t="2" v="17259"/>
    </bk>
    <bk>
      <rc t="2" v="17260"/>
    </bk>
    <bk>
      <rc t="2" v="17261"/>
    </bk>
    <bk>
      <rc t="2" v="17262"/>
    </bk>
    <bk>
      <rc t="2" v="17263"/>
    </bk>
    <bk>
      <rc t="2" v="17264"/>
    </bk>
    <bk>
      <rc t="2" v="17265"/>
    </bk>
    <bk>
      <rc t="2" v="17266"/>
    </bk>
    <bk>
      <rc t="2" v="17267"/>
    </bk>
    <bk>
      <rc t="2" v="17268"/>
    </bk>
    <bk>
      <rc t="2" v="17269"/>
    </bk>
    <bk>
      <rc t="2" v="17270"/>
    </bk>
    <bk>
      <rc t="2" v="17271"/>
    </bk>
    <bk>
      <rc t="2" v="17272"/>
    </bk>
    <bk>
      <rc t="2" v="17273"/>
    </bk>
    <bk>
      <rc t="2" v="17274"/>
    </bk>
    <bk>
      <rc t="2" v="17275"/>
    </bk>
    <bk>
      <rc t="2" v="17276"/>
    </bk>
    <bk>
      <rc t="2" v="17277"/>
    </bk>
    <bk>
      <rc t="2" v="17278"/>
    </bk>
    <bk>
      <rc t="2" v="17279"/>
    </bk>
    <bk>
      <rc t="2" v="17280"/>
    </bk>
    <bk>
      <rc t="2" v="17281"/>
    </bk>
    <bk>
      <rc t="2" v="17282"/>
    </bk>
    <bk>
      <rc t="2" v="17283"/>
    </bk>
    <bk>
      <rc t="2" v="17284"/>
    </bk>
    <bk>
      <rc t="2" v="17285"/>
    </bk>
    <bk>
      <rc t="2" v="17286"/>
    </bk>
    <bk>
      <rc t="2" v="17287"/>
    </bk>
    <bk>
      <rc t="2" v="17288"/>
    </bk>
    <bk>
      <rc t="2" v="17289"/>
    </bk>
    <bk>
      <rc t="2" v="17290"/>
    </bk>
    <bk>
      <rc t="2" v="17291"/>
    </bk>
    <bk>
      <rc t="2" v="17292"/>
    </bk>
    <bk>
      <rc t="2" v="17293"/>
    </bk>
    <bk>
      <rc t="2" v="17294"/>
    </bk>
    <bk>
      <rc t="2" v="17295"/>
    </bk>
    <bk>
      <rc t="2" v="17296"/>
    </bk>
    <bk>
      <rc t="2" v="17297"/>
    </bk>
    <bk>
      <rc t="2" v="17298"/>
    </bk>
    <bk>
      <rc t="2" v="17299"/>
    </bk>
    <bk>
      <rc t="2" v="17300"/>
    </bk>
    <bk>
      <rc t="2" v="17301"/>
    </bk>
    <bk>
      <rc t="2" v="17302"/>
    </bk>
    <bk>
      <rc t="2" v="17303"/>
    </bk>
    <bk>
      <rc t="2" v="17304"/>
    </bk>
    <bk>
      <rc t="2" v="17305"/>
    </bk>
    <bk>
      <rc t="2" v="17306"/>
    </bk>
    <bk>
      <rc t="2" v="17307"/>
    </bk>
    <bk>
      <rc t="2" v="17308"/>
    </bk>
    <bk>
      <rc t="2" v="17309"/>
    </bk>
    <bk>
      <rc t="2" v="17310"/>
    </bk>
    <bk>
      <rc t="2" v="17311"/>
    </bk>
    <bk>
      <rc t="2" v="17312"/>
    </bk>
    <bk>
      <rc t="2" v="17313"/>
    </bk>
    <bk>
      <rc t="2" v="17314"/>
    </bk>
    <bk>
      <rc t="2" v="17315"/>
    </bk>
    <bk>
      <rc t="2" v="17316"/>
    </bk>
    <bk>
      <rc t="2" v="17317"/>
    </bk>
    <bk>
      <rc t="2" v="17318"/>
    </bk>
    <bk>
      <rc t="2" v="17319"/>
    </bk>
    <bk>
      <rc t="2" v="17320"/>
    </bk>
    <bk>
      <rc t="2" v="17321"/>
    </bk>
    <bk>
      <rc t="2" v="17322"/>
    </bk>
    <bk>
      <rc t="2" v="17323"/>
    </bk>
    <bk>
      <rc t="2" v="17324"/>
    </bk>
    <bk>
      <rc t="2" v="17325"/>
    </bk>
    <bk>
      <rc t="2" v="17326"/>
    </bk>
    <bk>
      <rc t="2" v="17327"/>
    </bk>
    <bk>
      <rc t="2" v="17328"/>
    </bk>
    <bk>
      <rc t="2" v="17329"/>
    </bk>
    <bk>
      <rc t="2" v="17330"/>
    </bk>
    <bk>
      <rc t="2" v="17331"/>
    </bk>
    <bk>
      <rc t="2" v="17332"/>
    </bk>
    <bk>
      <rc t="2" v="17333"/>
    </bk>
    <bk>
      <rc t="2" v="17334"/>
    </bk>
    <bk>
      <rc t="2" v="17335"/>
    </bk>
    <bk>
      <rc t="2" v="17336"/>
    </bk>
    <bk>
      <rc t="2" v="17337"/>
    </bk>
    <bk>
      <rc t="2" v="17338"/>
    </bk>
    <bk>
      <rc t="2" v="17339"/>
    </bk>
    <bk>
      <rc t="2" v="17340"/>
    </bk>
    <bk>
      <rc t="2" v="17341"/>
    </bk>
    <bk>
      <rc t="2" v="17342"/>
    </bk>
    <bk>
      <rc t="2" v="17343"/>
    </bk>
    <bk>
      <rc t="2" v="17344"/>
    </bk>
    <bk>
      <rc t="2" v="17345"/>
    </bk>
    <bk>
      <rc t="2" v="17346"/>
    </bk>
    <bk>
      <rc t="2" v="17347"/>
    </bk>
    <bk>
      <rc t="2" v="17348"/>
    </bk>
    <bk>
      <rc t="2" v="17349"/>
    </bk>
    <bk>
      <rc t="2" v="17350"/>
    </bk>
    <bk>
      <rc t="2" v="17351"/>
    </bk>
    <bk>
      <rc t="2" v="17352"/>
    </bk>
    <bk>
      <rc t="2" v="17353"/>
    </bk>
    <bk>
      <rc t="2" v="17354"/>
    </bk>
    <bk>
      <rc t="2" v="17355"/>
    </bk>
    <bk>
      <rc t="2" v="17356"/>
    </bk>
    <bk>
      <rc t="2" v="17357"/>
    </bk>
    <bk>
      <rc t="2" v="17358"/>
    </bk>
    <bk>
      <rc t="2" v="17359"/>
    </bk>
    <bk>
      <rc t="2" v="17360"/>
    </bk>
    <bk>
      <rc t="2" v="17361"/>
    </bk>
    <bk>
      <rc t="2" v="17362"/>
    </bk>
    <bk>
      <rc t="2" v="17363"/>
    </bk>
    <bk>
      <rc t="2" v="17364"/>
    </bk>
    <bk>
      <rc t="2" v="17365"/>
    </bk>
    <bk>
      <rc t="2" v="17366"/>
    </bk>
    <bk>
      <rc t="2" v="17367"/>
    </bk>
    <bk>
      <rc t="2" v="17368"/>
    </bk>
    <bk>
      <rc t="2" v="17369"/>
    </bk>
    <bk>
      <rc t="2" v="17370"/>
    </bk>
    <bk>
      <rc t="2" v="17371"/>
    </bk>
    <bk>
      <rc t="2" v="17372"/>
    </bk>
    <bk>
      <rc t="2" v="17373"/>
    </bk>
    <bk>
      <rc t="2" v="17374"/>
    </bk>
    <bk>
      <rc t="2" v="17375"/>
    </bk>
    <bk>
      <rc t="2" v="17376"/>
    </bk>
    <bk>
      <rc t="2" v="17377"/>
    </bk>
    <bk>
      <rc t="2" v="17378"/>
    </bk>
    <bk>
      <rc t="2" v="17379"/>
    </bk>
    <bk>
      <rc t="2" v="17380"/>
    </bk>
    <bk>
      <rc t="2" v="17381"/>
    </bk>
    <bk>
      <rc t="2" v="17382"/>
    </bk>
    <bk>
      <rc t="2" v="17383"/>
    </bk>
    <bk>
      <rc t="2" v="17384"/>
    </bk>
    <bk>
      <rc t="2" v="17385"/>
    </bk>
    <bk>
      <rc t="2" v="17386"/>
    </bk>
    <bk>
      <rc t="2" v="17387"/>
    </bk>
    <bk>
      <rc t="2" v="17388"/>
    </bk>
    <bk>
      <rc t="2" v="17389"/>
    </bk>
    <bk>
      <rc t="2" v="17390"/>
    </bk>
    <bk>
      <rc t="2" v="17391"/>
    </bk>
    <bk>
      <rc t="2" v="17392"/>
    </bk>
    <bk>
      <rc t="2" v="17393"/>
    </bk>
    <bk>
      <rc t="2" v="17394"/>
    </bk>
    <bk>
      <rc t="2" v="17395"/>
    </bk>
    <bk>
      <rc t="2" v="17396"/>
    </bk>
    <bk>
      <rc t="2" v="17397"/>
    </bk>
    <bk>
      <rc t="2" v="17398"/>
    </bk>
    <bk>
      <rc t="2" v="17399"/>
    </bk>
    <bk>
      <rc t="2" v="17400"/>
    </bk>
    <bk>
      <rc t="2" v="17401"/>
    </bk>
    <bk>
      <rc t="2" v="17402"/>
    </bk>
    <bk>
      <rc t="2" v="17403"/>
    </bk>
    <bk>
      <rc t="2" v="17404"/>
    </bk>
    <bk>
      <rc t="2" v="17405"/>
    </bk>
    <bk>
      <rc t="2" v="17406"/>
    </bk>
    <bk>
      <rc t="2" v="17407"/>
    </bk>
    <bk>
      <rc t="2" v="17408"/>
    </bk>
    <bk>
      <rc t="2" v="17409"/>
    </bk>
    <bk>
      <rc t="2" v="17410"/>
    </bk>
    <bk>
      <rc t="2" v="17411"/>
    </bk>
    <bk>
      <rc t="2" v="17412"/>
    </bk>
    <bk>
      <rc t="2" v="17413"/>
    </bk>
    <bk>
      <rc t="2" v="17414"/>
    </bk>
    <bk>
      <rc t="2" v="17415"/>
    </bk>
    <bk>
      <rc t="2" v="17416"/>
    </bk>
    <bk>
      <rc t="2" v="17417"/>
    </bk>
    <bk>
      <rc t="2" v="17418"/>
    </bk>
    <bk>
      <rc t="2" v="17419"/>
    </bk>
    <bk>
      <rc t="2" v="17420"/>
    </bk>
    <bk>
      <rc t="2" v="17421"/>
    </bk>
    <bk>
      <rc t="2" v="17422"/>
    </bk>
    <bk>
      <rc t="2" v="17423"/>
    </bk>
    <bk>
      <rc t="2" v="17424"/>
    </bk>
    <bk>
      <rc t="2" v="17425"/>
    </bk>
    <bk>
      <rc t="2" v="17426"/>
    </bk>
    <bk>
      <rc t="2" v="17427"/>
    </bk>
    <bk>
      <rc t="2" v="17428"/>
    </bk>
    <bk>
      <rc t="2" v="17429"/>
    </bk>
    <bk>
      <rc t="2" v="17430"/>
    </bk>
    <bk>
      <rc t="2" v="17431"/>
    </bk>
    <bk>
      <rc t="2" v="17432"/>
    </bk>
    <bk>
      <rc t="2" v="17433"/>
    </bk>
    <bk>
      <rc t="2" v="17434"/>
    </bk>
    <bk>
      <rc t="2" v="17435"/>
    </bk>
    <bk>
      <rc t="2" v="17436"/>
    </bk>
    <bk>
      <rc t="2" v="17437"/>
    </bk>
    <bk>
      <rc t="2" v="17438"/>
    </bk>
    <bk>
      <rc t="2" v="17439"/>
    </bk>
    <bk>
      <rc t="2" v="17440"/>
    </bk>
    <bk>
      <rc t="2" v="17441"/>
    </bk>
    <bk>
      <rc t="2" v="17442"/>
    </bk>
    <bk>
      <rc t="2" v="17443"/>
    </bk>
    <bk>
      <rc t="2" v="17444"/>
    </bk>
    <bk>
      <rc t="2" v="17445"/>
    </bk>
    <bk>
      <rc t="2" v="17446"/>
    </bk>
    <bk>
      <rc t="2" v="17447"/>
    </bk>
    <bk>
      <rc t="2" v="17448"/>
    </bk>
    <bk>
      <rc t="2" v="17449"/>
    </bk>
    <bk>
      <rc t="2" v="17450"/>
    </bk>
    <bk>
      <rc t="2" v="17451"/>
    </bk>
    <bk>
      <rc t="2" v="17452"/>
    </bk>
    <bk>
      <rc t="2" v="17453"/>
    </bk>
    <bk>
      <rc t="2" v="17454"/>
    </bk>
    <bk>
      <rc t="2" v="17455"/>
    </bk>
    <bk>
      <rc t="2" v="17456"/>
    </bk>
    <bk>
      <rc t="2" v="17457"/>
    </bk>
    <bk>
      <rc t="2" v="17458"/>
    </bk>
    <bk>
      <rc t="2" v="17459"/>
    </bk>
    <bk>
      <rc t="2" v="17460"/>
    </bk>
    <bk>
      <rc t="2" v="17461"/>
    </bk>
    <bk>
      <rc t="2" v="17462"/>
    </bk>
    <bk>
      <rc t="2" v="17463"/>
    </bk>
    <bk>
      <rc t="2" v="17464"/>
    </bk>
    <bk>
      <rc t="2" v="17465"/>
    </bk>
    <bk>
      <rc t="2" v="17466"/>
    </bk>
    <bk>
      <rc t="2" v="17467"/>
    </bk>
    <bk>
      <rc t="2" v="17468"/>
    </bk>
    <bk>
      <rc t="2" v="17469"/>
    </bk>
    <bk>
      <rc t="2" v="17470"/>
    </bk>
    <bk>
      <rc t="2" v="17471"/>
    </bk>
    <bk>
      <rc t="2" v="17472"/>
    </bk>
    <bk>
      <rc t="2" v="17473"/>
    </bk>
    <bk>
      <rc t="2" v="17474"/>
    </bk>
    <bk>
      <rc t="2" v="17475"/>
    </bk>
    <bk>
      <rc t="2" v="17476"/>
    </bk>
    <bk>
      <rc t="2" v="17477"/>
    </bk>
    <bk>
      <rc t="2" v="17478"/>
    </bk>
    <bk>
      <rc t="2" v="17479"/>
    </bk>
    <bk>
      <rc t="2" v="17480"/>
    </bk>
    <bk>
      <rc t="2" v="17481"/>
    </bk>
    <bk>
      <rc t="2" v="17482"/>
    </bk>
    <bk>
      <rc t="2" v="17483"/>
    </bk>
    <bk>
      <rc t="2" v="17484"/>
    </bk>
    <bk>
      <rc t="2" v="17485"/>
    </bk>
    <bk>
      <rc t="2" v="17486"/>
    </bk>
    <bk>
      <rc t="2" v="17487"/>
    </bk>
    <bk>
      <rc t="2" v="17488"/>
    </bk>
    <bk>
      <rc t="2" v="17489"/>
    </bk>
    <bk>
      <rc t="2" v="17490"/>
    </bk>
    <bk>
      <rc t="2" v="17491"/>
    </bk>
    <bk>
      <rc t="2" v="17492"/>
    </bk>
    <bk>
      <rc t="2" v="17493"/>
    </bk>
    <bk>
      <rc t="2" v="17494"/>
    </bk>
    <bk>
      <rc t="2" v="17495"/>
    </bk>
    <bk>
      <rc t="2" v="17496"/>
    </bk>
    <bk>
      <rc t="2" v="17497"/>
    </bk>
    <bk>
      <rc t="2" v="17498"/>
    </bk>
    <bk>
      <rc t="2" v="17499"/>
    </bk>
    <bk>
      <rc t="2" v="17500"/>
    </bk>
    <bk>
      <rc t="2" v="17501"/>
    </bk>
    <bk>
      <rc t="2" v="17502"/>
    </bk>
    <bk>
      <rc t="2" v="17503"/>
    </bk>
    <bk>
      <rc t="2" v="17504"/>
    </bk>
    <bk>
      <rc t="2" v="17505"/>
    </bk>
    <bk>
      <rc t="2" v="17506"/>
    </bk>
    <bk>
      <rc t="2" v="17507"/>
    </bk>
    <bk>
      <rc t="2" v="17508"/>
    </bk>
    <bk>
      <rc t="2" v="17509"/>
    </bk>
    <bk>
      <rc t="2" v="17510"/>
    </bk>
    <bk>
      <rc t="2" v="17511"/>
    </bk>
    <bk>
      <rc t="2" v="17512"/>
    </bk>
    <bk>
      <rc t="2" v="17513"/>
    </bk>
    <bk>
      <rc t="2" v="17514"/>
    </bk>
    <bk>
      <rc t="2" v="17515"/>
    </bk>
    <bk>
      <rc t="2" v="17516"/>
    </bk>
    <bk>
      <rc t="2" v="17517"/>
    </bk>
    <bk>
      <rc t="2" v="17518"/>
    </bk>
    <bk>
      <rc t="2" v="17519"/>
    </bk>
    <bk>
      <rc t="2" v="17520"/>
    </bk>
    <bk>
      <rc t="2" v="17521"/>
    </bk>
    <bk>
      <rc t="2" v="17522"/>
    </bk>
    <bk>
      <rc t="2" v="17523"/>
    </bk>
    <bk>
      <rc t="2" v="17524"/>
    </bk>
    <bk>
      <rc t="2" v="17525"/>
    </bk>
    <bk>
      <rc t="2" v="17526"/>
    </bk>
    <bk>
      <rc t="2" v="17527"/>
    </bk>
    <bk>
      <rc t="2" v="17528"/>
    </bk>
    <bk>
      <rc t="2" v="17529"/>
    </bk>
    <bk>
      <rc t="2" v="17530"/>
    </bk>
    <bk>
      <rc t="2" v="17531"/>
    </bk>
    <bk>
      <rc t="2" v="17532"/>
    </bk>
    <bk>
      <rc t="2" v="17533"/>
    </bk>
    <bk>
      <rc t="2" v="17534"/>
    </bk>
    <bk>
      <rc t="2" v="17535"/>
    </bk>
    <bk>
      <rc t="2" v="17536"/>
    </bk>
    <bk>
      <rc t="2" v="17537"/>
    </bk>
    <bk>
      <rc t="2" v="17538"/>
    </bk>
    <bk>
      <rc t="2" v="17539"/>
    </bk>
    <bk>
      <rc t="2" v="17540"/>
    </bk>
    <bk>
      <rc t="2" v="17541"/>
    </bk>
    <bk>
      <rc t="2" v="17542"/>
    </bk>
    <bk>
      <rc t="2" v="17543"/>
    </bk>
    <bk>
      <rc t="2" v="17544"/>
    </bk>
    <bk>
      <rc t="2" v="17545"/>
    </bk>
    <bk>
      <rc t="2" v="17546"/>
    </bk>
    <bk>
      <rc t="2" v="17547"/>
    </bk>
    <bk>
      <rc t="2" v="17548"/>
    </bk>
    <bk>
      <rc t="2" v="17549"/>
    </bk>
    <bk>
      <rc t="2" v="17550"/>
    </bk>
    <bk>
      <rc t="2" v="17551"/>
    </bk>
    <bk>
      <rc t="2" v="17552"/>
    </bk>
    <bk>
      <rc t="2" v="17553"/>
    </bk>
    <bk>
      <rc t="2" v="17554"/>
    </bk>
    <bk>
      <rc t="2" v="17555"/>
    </bk>
    <bk>
      <rc t="2" v="17556"/>
    </bk>
    <bk>
      <rc t="2" v="17557"/>
    </bk>
    <bk>
      <rc t="2" v="17558"/>
    </bk>
    <bk>
      <rc t="2" v="17559"/>
    </bk>
    <bk>
      <rc t="2" v="17560"/>
    </bk>
    <bk>
      <rc t="2" v="17561"/>
    </bk>
    <bk>
      <rc t="2" v="17562"/>
    </bk>
    <bk>
      <rc t="2" v="17563"/>
    </bk>
    <bk>
      <rc t="2" v="17564"/>
    </bk>
    <bk>
      <rc t="2" v="17565"/>
    </bk>
    <bk>
      <rc t="2" v="17566"/>
    </bk>
    <bk>
      <rc t="2" v="17567"/>
    </bk>
    <bk>
      <rc t="2" v="17568"/>
    </bk>
    <bk>
      <rc t="2" v="17569"/>
    </bk>
    <bk>
      <rc t="2" v="17570"/>
    </bk>
    <bk>
      <rc t="2" v="17571"/>
    </bk>
    <bk>
      <rc t="2" v="17572"/>
    </bk>
    <bk>
      <rc t="2" v="17573"/>
    </bk>
    <bk>
      <rc t="2" v="17574"/>
    </bk>
    <bk>
      <rc t="2" v="17575"/>
    </bk>
    <bk>
      <rc t="2" v="17576"/>
    </bk>
    <bk>
      <rc t="2" v="17577"/>
    </bk>
    <bk>
      <rc t="2" v="17578"/>
    </bk>
    <bk>
      <rc t="2" v="17579"/>
    </bk>
    <bk>
      <rc t="2" v="17580"/>
    </bk>
    <bk>
      <rc t="2" v="17581"/>
    </bk>
    <bk>
      <rc t="2" v="17582"/>
    </bk>
    <bk>
      <rc t="2" v="17583"/>
    </bk>
    <bk>
      <rc t="2" v="17584"/>
    </bk>
    <bk>
      <rc t="2" v="17585"/>
    </bk>
    <bk>
      <rc t="2" v="17586"/>
    </bk>
    <bk>
      <rc t="2" v="17587"/>
    </bk>
    <bk>
      <rc t="2" v="17588"/>
    </bk>
    <bk>
      <rc t="2" v="17589"/>
    </bk>
    <bk>
      <rc t="2" v="17590"/>
    </bk>
    <bk>
      <rc t="2" v="17591"/>
    </bk>
    <bk>
      <rc t="2" v="17592"/>
    </bk>
    <bk>
      <rc t="2" v="17593"/>
    </bk>
    <bk>
      <rc t="2" v="17594"/>
    </bk>
    <bk>
      <rc t="2" v="17595"/>
    </bk>
    <bk>
      <rc t="2" v="17596"/>
    </bk>
    <bk>
      <rc t="2" v="17597"/>
    </bk>
    <bk>
      <rc t="2" v="17598"/>
    </bk>
    <bk>
      <rc t="2" v="17599"/>
    </bk>
    <bk>
      <rc t="2" v="17600"/>
    </bk>
    <bk>
      <rc t="2" v="17601"/>
    </bk>
    <bk>
      <rc t="2" v="17602"/>
    </bk>
    <bk>
      <rc t="2" v="17603"/>
    </bk>
    <bk>
      <rc t="2" v="17604"/>
    </bk>
    <bk>
      <rc t="2" v="17605"/>
    </bk>
    <bk>
      <rc t="2" v="17606"/>
    </bk>
    <bk>
      <rc t="2" v="17607"/>
    </bk>
    <bk>
      <rc t="2" v="17608"/>
    </bk>
    <bk>
      <rc t="2" v="17609"/>
    </bk>
    <bk>
      <rc t="2" v="17610"/>
    </bk>
    <bk>
      <rc t="2" v="17611"/>
    </bk>
    <bk>
      <rc t="2" v="17612"/>
    </bk>
    <bk>
      <rc t="2" v="17613"/>
    </bk>
    <bk>
      <rc t="2" v="17614"/>
    </bk>
    <bk>
      <rc t="2" v="17615"/>
    </bk>
    <bk>
      <rc t="2" v="17616"/>
    </bk>
    <bk>
      <rc t="2" v="17617"/>
    </bk>
    <bk>
      <rc t="2" v="17618"/>
    </bk>
    <bk>
      <rc t="2" v="17619"/>
    </bk>
    <bk>
      <rc t="2" v="17620"/>
    </bk>
    <bk>
      <rc t="2" v="17621"/>
    </bk>
    <bk>
      <rc t="2" v="17622"/>
    </bk>
    <bk>
      <rc t="2" v="17623"/>
    </bk>
    <bk>
      <rc t="2" v="17624"/>
    </bk>
    <bk>
      <rc t="2" v="17625"/>
    </bk>
    <bk>
      <rc t="2" v="17626"/>
    </bk>
    <bk>
      <rc t="2" v="17627"/>
    </bk>
    <bk>
      <rc t="2" v="17628"/>
    </bk>
    <bk>
      <rc t="2" v="17629"/>
    </bk>
    <bk>
      <rc t="2" v="17630"/>
    </bk>
    <bk>
      <rc t="2" v="17631"/>
    </bk>
    <bk>
      <rc t="2" v="17632"/>
    </bk>
    <bk>
      <rc t="2" v="17633"/>
    </bk>
    <bk>
      <rc t="2" v="17634"/>
    </bk>
    <bk>
      <rc t="2" v="17635"/>
    </bk>
    <bk>
      <rc t="2" v="17636"/>
    </bk>
    <bk>
      <rc t="2" v="17637"/>
    </bk>
    <bk>
      <rc t="2" v="17638"/>
    </bk>
    <bk>
      <rc t="2" v="17639"/>
    </bk>
    <bk>
      <rc t="2" v="17640"/>
    </bk>
    <bk>
      <rc t="2" v="17641"/>
    </bk>
    <bk>
      <rc t="2" v="17642"/>
    </bk>
    <bk>
      <rc t="2" v="17643"/>
    </bk>
    <bk>
      <rc t="2" v="17644"/>
    </bk>
    <bk>
      <rc t="2" v="17645"/>
    </bk>
    <bk>
      <rc t="2" v="17646"/>
    </bk>
    <bk>
      <rc t="2" v="17647"/>
    </bk>
    <bk>
      <rc t="2" v="17648"/>
    </bk>
    <bk>
      <rc t="2" v="17649"/>
    </bk>
    <bk>
      <rc t="2" v="17650"/>
    </bk>
    <bk>
      <rc t="2" v="17651"/>
    </bk>
    <bk>
      <rc t="2" v="17652"/>
    </bk>
    <bk>
      <rc t="2" v="17653"/>
    </bk>
    <bk>
      <rc t="2" v="17654"/>
    </bk>
    <bk>
      <rc t="2" v="17655"/>
    </bk>
    <bk>
      <rc t="2" v="17656"/>
    </bk>
    <bk>
      <rc t="2" v="17657"/>
    </bk>
    <bk>
      <rc t="2" v="17658"/>
    </bk>
    <bk>
      <rc t="2" v="17659"/>
    </bk>
    <bk>
      <rc t="2" v="17660"/>
    </bk>
    <bk>
      <rc t="2" v="17661"/>
    </bk>
    <bk>
      <rc t="2" v="17662"/>
    </bk>
    <bk>
      <rc t="2" v="17663"/>
    </bk>
    <bk>
      <rc t="2" v="17664"/>
    </bk>
    <bk>
      <rc t="2" v="17665"/>
    </bk>
    <bk>
      <rc t="2" v="17666"/>
    </bk>
    <bk>
      <rc t="2" v="17667"/>
    </bk>
    <bk>
      <rc t="2" v="17668"/>
    </bk>
    <bk>
      <rc t="2" v="17669"/>
    </bk>
    <bk>
      <rc t="2" v="17670"/>
    </bk>
    <bk>
      <rc t="2" v="17671"/>
    </bk>
    <bk>
      <rc t="2" v="17672"/>
    </bk>
    <bk>
      <rc t="2" v="17673"/>
    </bk>
    <bk>
      <rc t="2" v="17674"/>
    </bk>
    <bk>
      <rc t="2" v="17675"/>
    </bk>
    <bk>
      <rc t="2" v="17676"/>
    </bk>
    <bk>
      <rc t="2" v="17677"/>
    </bk>
    <bk>
      <rc t="2" v="17678"/>
    </bk>
    <bk>
      <rc t="2" v="17679"/>
    </bk>
    <bk>
      <rc t="2" v="17680"/>
    </bk>
    <bk>
      <rc t="2" v="17681"/>
    </bk>
    <bk>
      <rc t="2" v="17682"/>
    </bk>
    <bk>
      <rc t="2" v="17683"/>
    </bk>
    <bk>
      <rc t="2" v="17684"/>
    </bk>
    <bk>
      <rc t="2" v="17685"/>
    </bk>
    <bk>
      <rc t="2" v="17686"/>
    </bk>
    <bk>
      <rc t="2" v="17687"/>
    </bk>
    <bk>
      <rc t="2" v="17688"/>
    </bk>
    <bk>
      <rc t="2" v="17689"/>
    </bk>
    <bk>
      <rc t="2" v="17690"/>
    </bk>
    <bk>
      <rc t="2" v="17691"/>
    </bk>
    <bk>
      <rc t="2" v="17692"/>
    </bk>
    <bk>
      <rc t="2" v="17693"/>
    </bk>
    <bk>
      <rc t="2" v="17694"/>
    </bk>
    <bk>
      <rc t="2" v="17695"/>
    </bk>
    <bk>
      <rc t="2" v="17696"/>
    </bk>
    <bk>
      <rc t="2" v="17697"/>
    </bk>
    <bk>
      <rc t="2" v="17698"/>
    </bk>
    <bk>
      <rc t="2" v="17699"/>
    </bk>
    <bk>
      <rc t="2" v="17700"/>
    </bk>
    <bk>
      <rc t="2" v="17701"/>
    </bk>
    <bk>
      <rc t="2" v="17702"/>
    </bk>
    <bk>
      <rc t="2" v="17703"/>
    </bk>
    <bk>
      <rc t="2" v="17704"/>
    </bk>
    <bk>
      <rc t="2" v="17705"/>
    </bk>
    <bk>
      <rc t="2" v="17706"/>
    </bk>
    <bk>
      <rc t="2" v="17707"/>
    </bk>
    <bk>
      <rc t="2" v="17708"/>
    </bk>
    <bk>
      <rc t="2" v="17709"/>
    </bk>
    <bk>
      <rc t="2" v="17710"/>
    </bk>
    <bk>
      <rc t="2" v="17711"/>
    </bk>
    <bk>
      <rc t="2" v="17712"/>
    </bk>
    <bk>
      <rc t="2" v="17713"/>
    </bk>
    <bk>
      <rc t="2" v="17714"/>
    </bk>
    <bk>
      <rc t="2" v="17715"/>
    </bk>
    <bk>
      <rc t="2" v="17716"/>
    </bk>
    <bk>
      <rc t="2" v="17717"/>
    </bk>
    <bk>
      <rc t="2" v="17718"/>
    </bk>
    <bk>
      <rc t="2" v="17719"/>
    </bk>
    <bk>
      <rc t="2" v="17720"/>
    </bk>
    <bk>
      <rc t="2" v="17721"/>
    </bk>
    <bk>
      <rc t="2" v="17722"/>
    </bk>
    <bk>
      <rc t="2" v="17723"/>
    </bk>
    <bk>
      <rc t="2" v="17724"/>
    </bk>
    <bk>
      <rc t="2" v="17725"/>
    </bk>
    <bk>
      <rc t="2" v="17726"/>
    </bk>
    <bk>
      <rc t="2" v="17727"/>
    </bk>
    <bk>
      <rc t="2" v="17728"/>
    </bk>
    <bk>
      <rc t="2" v="17729"/>
    </bk>
    <bk>
      <rc t="2" v="17730"/>
    </bk>
    <bk>
      <rc t="2" v="17731"/>
    </bk>
    <bk>
      <rc t="2" v="17732"/>
    </bk>
    <bk>
      <rc t="2" v="17733"/>
    </bk>
    <bk>
      <rc t="2" v="17734"/>
    </bk>
    <bk>
      <rc t="2" v="17735"/>
    </bk>
    <bk>
      <rc t="2" v="17736"/>
    </bk>
    <bk>
      <rc t="2" v="17737"/>
    </bk>
    <bk>
      <rc t="2" v="17738"/>
    </bk>
    <bk>
      <rc t="2" v="17739"/>
    </bk>
    <bk>
      <rc t="2" v="17740"/>
    </bk>
    <bk>
      <rc t="2" v="17741"/>
    </bk>
    <bk>
      <rc t="2" v="17742"/>
    </bk>
    <bk>
      <rc t="2" v="17743"/>
    </bk>
    <bk>
      <rc t="2" v="17744"/>
    </bk>
    <bk>
      <rc t="2" v="17745"/>
    </bk>
    <bk>
      <rc t="2" v="17746"/>
    </bk>
    <bk>
      <rc t="2" v="17747"/>
    </bk>
    <bk>
      <rc t="2" v="17748"/>
    </bk>
    <bk>
      <rc t="2" v="17749"/>
    </bk>
    <bk>
      <rc t="2" v="17750"/>
    </bk>
    <bk>
      <rc t="2" v="17751"/>
    </bk>
    <bk>
      <rc t="2" v="17752"/>
    </bk>
    <bk>
      <rc t="2" v="17753"/>
    </bk>
    <bk>
      <rc t="2" v="17754"/>
    </bk>
    <bk>
      <rc t="2" v="17755"/>
    </bk>
    <bk>
      <rc t="2" v="17756"/>
    </bk>
    <bk>
      <rc t="2" v="17757"/>
    </bk>
    <bk>
      <rc t="2" v="17758"/>
    </bk>
    <bk>
      <rc t="2" v="17759"/>
    </bk>
    <bk>
      <rc t="2" v="17760"/>
    </bk>
    <bk>
      <rc t="2" v="17761"/>
    </bk>
    <bk>
      <rc t="2" v="17762"/>
    </bk>
    <bk>
      <rc t="2" v="17763"/>
    </bk>
    <bk>
      <rc t="2" v="17764"/>
    </bk>
    <bk>
      <rc t="2" v="17765"/>
    </bk>
    <bk>
      <rc t="2" v="17766"/>
    </bk>
    <bk>
      <rc t="2" v="17767"/>
    </bk>
    <bk>
      <rc t="2" v="17768"/>
    </bk>
    <bk>
      <rc t="2" v="17769"/>
    </bk>
    <bk>
      <rc t="2" v="17770"/>
    </bk>
    <bk>
      <rc t="2" v="17771"/>
    </bk>
    <bk>
      <rc t="2" v="17772"/>
    </bk>
    <bk>
      <rc t="2" v="17773"/>
    </bk>
    <bk>
      <rc t="2" v="17774"/>
    </bk>
    <bk>
      <rc t="2" v="17775"/>
    </bk>
    <bk>
      <rc t="2" v="17776"/>
    </bk>
    <bk>
      <rc t="2" v="17777"/>
    </bk>
    <bk>
      <rc t="2" v="17778"/>
    </bk>
    <bk>
      <rc t="2" v="17779"/>
    </bk>
    <bk>
      <rc t="2" v="17780"/>
    </bk>
    <bk>
      <rc t="2" v="17781"/>
    </bk>
    <bk>
      <rc t="2" v="17782"/>
    </bk>
    <bk>
      <rc t="2" v="17783"/>
    </bk>
    <bk>
      <rc t="2" v="17784"/>
    </bk>
    <bk>
      <rc t="2" v="17785"/>
    </bk>
    <bk>
      <rc t="2" v="17786"/>
    </bk>
    <bk>
      <rc t="2" v="17787"/>
    </bk>
    <bk>
      <rc t="2" v="17788"/>
    </bk>
    <bk>
      <rc t="2" v="17789"/>
    </bk>
    <bk>
      <rc t="2" v="17790"/>
    </bk>
    <bk>
      <rc t="2" v="17791"/>
    </bk>
    <bk>
      <rc t="2" v="17792"/>
    </bk>
    <bk>
      <rc t="2" v="17793"/>
    </bk>
    <bk>
      <rc t="2" v="17794"/>
    </bk>
    <bk>
      <rc t="2" v="17795"/>
    </bk>
    <bk>
      <rc t="2" v="17796"/>
    </bk>
    <bk>
      <rc t="2" v="17797"/>
    </bk>
    <bk>
      <rc t="2" v="17798"/>
    </bk>
    <bk>
      <rc t="2" v="17799"/>
    </bk>
    <bk>
      <rc t="2" v="17800"/>
    </bk>
    <bk>
      <rc t="2" v="17801"/>
    </bk>
    <bk>
      <rc t="2" v="17802"/>
    </bk>
    <bk>
      <rc t="2" v="17803"/>
    </bk>
    <bk>
      <rc t="2" v="17804"/>
    </bk>
    <bk>
      <rc t="2" v="17805"/>
    </bk>
    <bk>
      <rc t="2" v="17806"/>
    </bk>
    <bk>
      <rc t="2" v="17807"/>
    </bk>
    <bk>
      <rc t="2" v="17808"/>
    </bk>
    <bk>
      <rc t="2" v="17809"/>
    </bk>
    <bk>
      <rc t="2" v="17810"/>
    </bk>
    <bk>
      <rc t="2" v="17811"/>
    </bk>
    <bk>
      <rc t="2" v="17812"/>
    </bk>
    <bk>
      <rc t="2" v="17813"/>
    </bk>
    <bk>
      <rc t="2" v="17814"/>
    </bk>
    <bk>
      <rc t="2" v="17815"/>
    </bk>
    <bk>
      <rc t="2" v="17816"/>
    </bk>
    <bk>
      <rc t="2" v="17817"/>
    </bk>
    <bk>
      <rc t="2" v="17818"/>
    </bk>
    <bk>
      <rc t="2" v="17819"/>
    </bk>
    <bk>
      <rc t="2" v="17820"/>
    </bk>
    <bk>
      <rc t="2" v="17821"/>
    </bk>
    <bk>
      <rc t="2" v="17822"/>
    </bk>
    <bk>
      <rc t="2" v="17823"/>
    </bk>
    <bk>
      <rc t="2" v="17824"/>
    </bk>
    <bk>
      <rc t="2" v="17825"/>
    </bk>
    <bk>
      <rc t="2" v="17826"/>
    </bk>
    <bk>
      <rc t="2" v="17827"/>
    </bk>
    <bk>
      <rc t="2" v="17828"/>
    </bk>
    <bk>
      <rc t="2" v="17829"/>
    </bk>
    <bk>
      <rc t="2" v="17830"/>
    </bk>
    <bk>
      <rc t="2" v="17831"/>
    </bk>
    <bk>
      <rc t="2" v="17832"/>
    </bk>
    <bk>
      <rc t="2" v="17833"/>
    </bk>
    <bk>
      <rc t="2" v="17834"/>
    </bk>
    <bk>
      <rc t="2" v="17835"/>
    </bk>
    <bk>
      <rc t="2" v="17836"/>
    </bk>
    <bk>
      <rc t="2" v="17837"/>
    </bk>
    <bk>
      <rc t="2" v="17838"/>
    </bk>
    <bk>
      <rc t="2" v="17839"/>
    </bk>
    <bk>
      <rc t="2" v="17840"/>
    </bk>
    <bk>
      <rc t="2" v="17841"/>
    </bk>
    <bk>
      <rc t="2" v="17842"/>
    </bk>
    <bk>
      <rc t="2" v="17843"/>
    </bk>
    <bk>
      <rc t="2" v="17844"/>
    </bk>
    <bk>
      <rc t="2" v="17845"/>
    </bk>
    <bk>
      <rc t="2" v="17846"/>
    </bk>
    <bk>
      <rc t="2" v="17847"/>
    </bk>
    <bk>
      <rc t="2" v="17848"/>
    </bk>
    <bk>
      <rc t="2" v="17849"/>
    </bk>
    <bk>
      <rc t="2" v="17850"/>
    </bk>
    <bk>
      <rc t="2" v="17851"/>
    </bk>
    <bk>
      <rc t="2" v="17852"/>
    </bk>
    <bk>
      <rc t="2" v="17853"/>
    </bk>
    <bk>
      <rc t="2" v="17854"/>
    </bk>
    <bk>
      <rc t="2" v="17855"/>
    </bk>
    <bk>
      <rc t="2" v="17856"/>
    </bk>
    <bk>
      <rc t="2" v="17857"/>
    </bk>
    <bk>
      <rc t="2" v="17858"/>
    </bk>
    <bk>
      <rc t="2" v="17859"/>
    </bk>
    <bk>
      <rc t="2" v="17860"/>
    </bk>
    <bk>
      <rc t="2" v="17861"/>
    </bk>
    <bk>
      <rc t="2" v="17862"/>
    </bk>
    <bk>
      <rc t="2" v="17863"/>
    </bk>
    <bk>
      <rc t="2" v="17864"/>
    </bk>
    <bk>
      <rc t="2" v="17865"/>
    </bk>
    <bk>
      <rc t="2" v="17866"/>
    </bk>
    <bk>
      <rc t="2" v="17867"/>
    </bk>
    <bk>
      <rc t="2" v="17868"/>
    </bk>
    <bk>
      <rc t="2" v="17869"/>
    </bk>
    <bk>
      <rc t="2" v="17870"/>
    </bk>
    <bk>
      <rc t="2" v="17871"/>
    </bk>
    <bk>
      <rc t="2" v="17872"/>
    </bk>
    <bk>
      <rc t="2" v="17873"/>
    </bk>
    <bk>
      <rc t="2" v="17874"/>
    </bk>
    <bk>
      <rc t="2" v="17875"/>
    </bk>
    <bk>
      <rc t="2" v="17876"/>
    </bk>
    <bk>
      <rc t="2" v="17877"/>
    </bk>
    <bk>
      <rc t="2" v="17878"/>
    </bk>
    <bk>
      <rc t="2" v="17879"/>
    </bk>
    <bk>
      <rc t="2" v="17880"/>
    </bk>
    <bk>
      <rc t="2" v="17881"/>
    </bk>
    <bk>
      <rc t="2" v="17882"/>
    </bk>
    <bk>
      <rc t="2" v="17883"/>
    </bk>
    <bk>
      <rc t="2" v="17884"/>
    </bk>
    <bk>
      <rc t="2" v="17885"/>
    </bk>
    <bk>
      <rc t="2" v="17886"/>
    </bk>
    <bk>
      <rc t="2" v="17887"/>
    </bk>
    <bk>
      <rc t="2" v="17888"/>
    </bk>
    <bk>
      <rc t="2" v="17889"/>
    </bk>
    <bk>
      <rc t="2" v="17890"/>
    </bk>
    <bk>
      <rc t="2" v="17891"/>
    </bk>
    <bk>
      <rc t="2" v="17892"/>
    </bk>
    <bk>
      <rc t="2" v="17893"/>
    </bk>
    <bk>
      <rc t="2" v="17894"/>
    </bk>
    <bk>
      <rc t="2" v="17895"/>
    </bk>
    <bk>
      <rc t="2" v="17896"/>
    </bk>
    <bk>
      <rc t="2" v="17897"/>
    </bk>
    <bk>
      <rc t="2" v="17898"/>
    </bk>
    <bk>
      <rc t="2" v="17899"/>
    </bk>
    <bk>
      <rc t="2" v="17900"/>
    </bk>
    <bk>
      <rc t="2" v="17901"/>
    </bk>
    <bk>
      <rc t="2" v="17902"/>
    </bk>
    <bk>
      <rc t="2" v="17903"/>
    </bk>
    <bk>
      <rc t="2" v="17904"/>
    </bk>
    <bk>
      <rc t="2" v="17905"/>
    </bk>
    <bk>
      <rc t="2" v="17906"/>
    </bk>
    <bk>
      <rc t="2" v="17907"/>
    </bk>
    <bk>
      <rc t="2" v="17908"/>
    </bk>
    <bk>
      <rc t="2" v="17909"/>
    </bk>
    <bk>
      <rc t="2" v="17910"/>
    </bk>
    <bk>
      <rc t="2" v="17911"/>
    </bk>
    <bk>
      <rc t="2" v="17912"/>
    </bk>
    <bk>
      <rc t="2" v="17913"/>
    </bk>
    <bk>
      <rc t="2" v="17914"/>
    </bk>
    <bk>
      <rc t="2" v="17915"/>
    </bk>
    <bk>
      <rc t="2" v="17916"/>
    </bk>
    <bk>
      <rc t="2" v="17917"/>
    </bk>
    <bk>
      <rc t="2" v="17918"/>
    </bk>
    <bk>
      <rc t="2" v="17919"/>
    </bk>
    <bk>
      <rc t="2" v="17920"/>
    </bk>
    <bk>
      <rc t="2" v="17921"/>
    </bk>
    <bk>
      <rc t="2" v="17922"/>
    </bk>
    <bk>
      <rc t="2" v="17923"/>
    </bk>
    <bk>
      <rc t="2" v="17924"/>
    </bk>
    <bk>
      <rc t="2" v="17925"/>
    </bk>
    <bk>
      <rc t="2" v="17926"/>
    </bk>
    <bk>
      <rc t="2" v="17927"/>
    </bk>
    <bk>
      <rc t="2" v="17928"/>
    </bk>
    <bk>
      <rc t="2" v="17929"/>
    </bk>
    <bk>
      <rc t="2" v="17930"/>
    </bk>
    <bk>
      <rc t="2" v="17931"/>
    </bk>
    <bk>
      <rc t="2" v="17932"/>
    </bk>
    <bk>
      <rc t="2" v="17933"/>
    </bk>
    <bk>
      <rc t="2" v="17934"/>
    </bk>
    <bk>
      <rc t="2" v="17935"/>
    </bk>
    <bk>
      <rc t="2" v="17936"/>
    </bk>
    <bk>
      <rc t="2" v="17937"/>
    </bk>
    <bk>
      <rc t="2" v="17938"/>
    </bk>
    <bk>
      <rc t="2" v="17939"/>
    </bk>
    <bk>
      <rc t="2" v="17940"/>
    </bk>
    <bk>
      <rc t="2" v="17941"/>
    </bk>
    <bk>
      <rc t="2" v="17942"/>
    </bk>
    <bk>
      <rc t="2" v="17943"/>
    </bk>
    <bk>
      <rc t="2" v="17944"/>
    </bk>
    <bk>
      <rc t="2" v="17945"/>
    </bk>
    <bk>
      <rc t="2" v="17946"/>
    </bk>
    <bk>
      <rc t="2" v="17947"/>
    </bk>
    <bk>
      <rc t="2" v="17948"/>
    </bk>
    <bk>
      <rc t="2" v="17949"/>
    </bk>
    <bk>
      <rc t="2" v="17950"/>
    </bk>
    <bk>
      <rc t="2" v="17951"/>
    </bk>
    <bk>
      <rc t="2" v="17952"/>
    </bk>
    <bk>
      <rc t="2" v="17953"/>
    </bk>
    <bk>
      <rc t="2" v="17954"/>
    </bk>
    <bk>
      <rc t="2" v="17955"/>
    </bk>
    <bk>
      <rc t="2" v="17956"/>
    </bk>
    <bk>
      <rc t="2" v="17957"/>
    </bk>
    <bk>
      <rc t="2" v="17958"/>
    </bk>
    <bk>
      <rc t="2" v="17959"/>
    </bk>
    <bk>
      <rc t="2" v="17960"/>
    </bk>
    <bk>
      <rc t="2" v="17961"/>
    </bk>
    <bk>
      <rc t="2" v="17962"/>
    </bk>
    <bk>
      <rc t="2" v="17963"/>
    </bk>
    <bk>
      <rc t="2" v="17964"/>
    </bk>
    <bk>
      <rc t="2" v="17965"/>
    </bk>
    <bk>
      <rc t="2" v="17966"/>
    </bk>
    <bk>
      <rc t="2" v="17967"/>
    </bk>
    <bk>
      <rc t="2" v="17968"/>
    </bk>
    <bk>
      <rc t="2" v="17969"/>
    </bk>
    <bk>
      <rc t="2" v="17970"/>
    </bk>
    <bk>
      <rc t="2" v="17971"/>
    </bk>
    <bk>
      <rc t="2" v="17972"/>
    </bk>
    <bk>
      <rc t="2" v="17973"/>
    </bk>
    <bk>
      <rc t="2" v="17974"/>
    </bk>
    <bk>
      <rc t="2" v="17975"/>
    </bk>
    <bk>
      <rc t="2" v="17976"/>
    </bk>
    <bk>
      <rc t="2" v="17977"/>
    </bk>
    <bk>
      <rc t="2" v="17978"/>
    </bk>
    <bk>
      <rc t="2" v="17979"/>
    </bk>
    <bk>
      <rc t="2" v="17980"/>
    </bk>
    <bk>
      <rc t="2" v="17981"/>
    </bk>
    <bk>
      <rc t="2" v="17982"/>
    </bk>
    <bk>
      <rc t="2" v="17983"/>
    </bk>
    <bk>
      <rc t="2" v="17984"/>
    </bk>
    <bk>
      <rc t="2" v="17985"/>
    </bk>
    <bk>
      <rc t="2" v="17986"/>
    </bk>
    <bk>
      <rc t="2" v="17987"/>
    </bk>
    <bk>
      <rc t="2" v="17988"/>
    </bk>
    <bk>
      <rc t="2" v="17989"/>
    </bk>
    <bk>
      <rc t="2" v="17990"/>
    </bk>
    <bk>
      <rc t="2" v="17991"/>
    </bk>
    <bk>
      <rc t="2" v="17992"/>
    </bk>
    <bk>
      <rc t="2" v="17993"/>
    </bk>
    <bk>
      <rc t="2" v="17994"/>
    </bk>
    <bk>
      <rc t="2" v="17995"/>
    </bk>
    <bk>
      <rc t="2" v="17996"/>
    </bk>
    <bk>
      <rc t="2" v="17997"/>
    </bk>
    <bk>
      <rc t="2" v="17998"/>
    </bk>
    <bk>
      <rc t="2" v="17999"/>
    </bk>
    <bk>
      <rc t="2" v="18000"/>
    </bk>
    <bk>
      <rc t="2" v="18001"/>
    </bk>
    <bk>
      <rc t="2" v="18002"/>
    </bk>
    <bk>
      <rc t="2" v="18003"/>
    </bk>
    <bk>
      <rc t="2" v="18004"/>
    </bk>
    <bk>
      <rc t="2" v="18005"/>
    </bk>
    <bk>
      <rc t="2" v="18006"/>
    </bk>
    <bk>
      <rc t="2" v="18007"/>
    </bk>
    <bk>
      <rc t="2" v="18008"/>
    </bk>
    <bk>
      <rc t="2" v="18009"/>
    </bk>
    <bk>
      <rc t="2" v="18010"/>
    </bk>
    <bk>
      <rc t="2" v="18011"/>
    </bk>
    <bk>
      <rc t="2" v="18012"/>
    </bk>
    <bk>
      <rc t="2" v="18013"/>
    </bk>
    <bk>
      <rc t="2" v="18014"/>
    </bk>
    <bk>
      <rc t="2" v="18015"/>
    </bk>
    <bk>
      <rc t="2" v="18016"/>
    </bk>
    <bk>
      <rc t="2" v="18017"/>
    </bk>
    <bk>
      <rc t="2" v="18018"/>
    </bk>
    <bk>
      <rc t="2" v="18019"/>
    </bk>
    <bk>
      <rc t="2" v="18020"/>
    </bk>
    <bk>
      <rc t="2" v="18021"/>
    </bk>
    <bk>
      <rc t="2" v="18022"/>
    </bk>
    <bk>
      <rc t="2" v="18023"/>
    </bk>
    <bk>
      <rc t="2" v="18024"/>
    </bk>
    <bk>
      <rc t="2" v="18025"/>
    </bk>
    <bk>
      <rc t="2" v="18026"/>
    </bk>
    <bk>
      <rc t="2" v="18027"/>
    </bk>
    <bk>
      <rc t="2" v="18028"/>
    </bk>
    <bk>
      <rc t="2" v="18029"/>
    </bk>
    <bk>
      <rc t="2" v="18030"/>
    </bk>
    <bk>
      <rc t="2" v="18031"/>
    </bk>
    <bk>
      <rc t="2" v="18032"/>
    </bk>
    <bk>
      <rc t="2" v="18033"/>
    </bk>
    <bk>
      <rc t="2" v="18034"/>
    </bk>
    <bk>
      <rc t="2" v="18035"/>
    </bk>
    <bk>
      <rc t="2" v="18036"/>
    </bk>
    <bk>
      <rc t="2" v="18037"/>
    </bk>
    <bk>
      <rc t="2" v="18038"/>
    </bk>
    <bk>
      <rc t="2" v="18039"/>
    </bk>
    <bk>
      <rc t="2" v="18040"/>
    </bk>
    <bk>
      <rc t="2" v="18041"/>
    </bk>
    <bk>
      <rc t="2" v="18042"/>
    </bk>
    <bk>
      <rc t="2" v="18043"/>
    </bk>
    <bk>
      <rc t="2" v="18044"/>
    </bk>
    <bk>
      <rc t="2" v="18045"/>
    </bk>
    <bk>
      <rc t="2" v="18046"/>
    </bk>
    <bk>
      <rc t="2" v="18047"/>
    </bk>
    <bk>
      <rc t="2" v="18048"/>
    </bk>
    <bk>
      <rc t="2" v="18049"/>
    </bk>
    <bk>
      <rc t="2" v="18050"/>
    </bk>
    <bk>
      <rc t="2" v="18051"/>
    </bk>
    <bk>
      <rc t="2" v="18052"/>
    </bk>
    <bk>
      <rc t="2" v="18053"/>
    </bk>
    <bk>
      <rc t="2" v="18054"/>
    </bk>
    <bk>
      <rc t="2" v="18055"/>
    </bk>
    <bk>
      <rc t="2" v="18056"/>
    </bk>
    <bk>
      <rc t="2" v="18057"/>
    </bk>
    <bk>
      <rc t="2" v="18058"/>
    </bk>
    <bk>
      <rc t="2" v="18059"/>
    </bk>
    <bk>
      <rc t="2" v="18060"/>
    </bk>
    <bk>
      <rc t="2" v="18061"/>
    </bk>
    <bk>
      <rc t="2" v="18062"/>
    </bk>
    <bk>
      <rc t="2" v="18063"/>
    </bk>
    <bk>
      <rc t="2" v="18064"/>
    </bk>
    <bk>
      <rc t="2" v="18065"/>
    </bk>
    <bk>
      <rc t="2" v="18066"/>
    </bk>
    <bk>
      <rc t="2" v="18067"/>
    </bk>
    <bk>
      <rc t="2" v="18068"/>
    </bk>
    <bk>
      <rc t="2" v="18069"/>
    </bk>
    <bk>
      <rc t="2" v="18070"/>
    </bk>
    <bk>
      <rc t="2" v="18071"/>
    </bk>
    <bk>
      <rc t="2" v="18072"/>
    </bk>
    <bk>
      <rc t="2" v="18073"/>
    </bk>
    <bk>
      <rc t="2" v="18074"/>
    </bk>
    <bk>
      <rc t="2" v="18075"/>
    </bk>
    <bk>
      <rc t="2" v="18076"/>
    </bk>
    <bk>
      <rc t="2" v="18077"/>
    </bk>
    <bk>
      <rc t="2" v="18078"/>
    </bk>
    <bk>
      <rc t="2" v="18079"/>
    </bk>
    <bk>
      <rc t="2" v="18080"/>
    </bk>
    <bk>
      <rc t="2" v="18081"/>
    </bk>
    <bk>
      <rc t="2" v="18082"/>
    </bk>
    <bk>
      <rc t="2" v="18083"/>
    </bk>
    <bk>
      <rc t="2" v="18084"/>
    </bk>
    <bk>
      <rc t="2" v="18085"/>
    </bk>
    <bk>
      <rc t="2" v="18086"/>
    </bk>
    <bk>
      <rc t="2" v="18087"/>
    </bk>
    <bk>
      <rc t="2" v="18088"/>
    </bk>
    <bk>
      <rc t="2" v="18089"/>
    </bk>
    <bk>
      <rc t="2" v="18090"/>
    </bk>
    <bk>
      <rc t="2" v="18091"/>
    </bk>
    <bk>
      <rc t="2" v="18092"/>
    </bk>
    <bk>
      <rc t="2" v="18093"/>
    </bk>
    <bk>
      <rc t="2" v="18094"/>
    </bk>
    <bk>
      <rc t="2" v="18095"/>
    </bk>
    <bk>
      <rc t="2" v="18096"/>
    </bk>
    <bk>
      <rc t="2" v="18097"/>
    </bk>
    <bk>
      <rc t="2" v="18098"/>
    </bk>
    <bk>
      <rc t="2" v="18099"/>
    </bk>
    <bk>
      <rc t="2" v="18100"/>
    </bk>
    <bk>
      <rc t="2" v="18101"/>
    </bk>
    <bk>
      <rc t="2" v="18102"/>
    </bk>
    <bk>
      <rc t="2" v="18103"/>
    </bk>
    <bk>
      <rc t="2" v="18104"/>
    </bk>
    <bk>
      <rc t="2" v="18105"/>
    </bk>
    <bk>
      <rc t="2" v="18106"/>
    </bk>
    <bk>
      <rc t="2" v="18107"/>
    </bk>
    <bk>
      <rc t="2" v="18108"/>
    </bk>
    <bk>
      <rc t="2" v="18109"/>
    </bk>
    <bk>
      <rc t="2" v="18110"/>
    </bk>
    <bk>
      <rc t="2" v="18111"/>
    </bk>
    <bk>
      <rc t="2" v="18112"/>
    </bk>
    <bk>
      <rc t="2" v="18113"/>
    </bk>
    <bk>
      <rc t="2" v="18114"/>
    </bk>
    <bk>
      <rc t="2" v="18115"/>
    </bk>
    <bk>
      <rc t="2" v="18116"/>
    </bk>
    <bk>
      <rc t="2" v="18117"/>
    </bk>
    <bk>
      <rc t="2" v="18118"/>
    </bk>
    <bk>
      <rc t="2" v="18119"/>
    </bk>
    <bk>
      <rc t="2" v="18120"/>
    </bk>
    <bk>
      <rc t="2" v="18121"/>
    </bk>
    <bk>
      <rc t="2" v="18122"/>
    </bk>
    <bk>
      <rc t="2" v="18123"/>
    </bk>
    <bk>
      <rc t="2" v="18124"/>
    </bk>
    <bk>
      <rc t="2" v="18125"/>
    </bk>
    <bk>
      <rc t="2" v="18126"/>
    </bk>
    <bk>
      <rc t="2" v="18127"/>
    </bk>
    <bk>
      <rc t="2" v="18128"/>
    </bk>
    <bk>
      <rc t="2" v="18129"/>
    </bk>
    <bk>
      <rc t="2" v="18130"/>
    </bk>
    <bk>
      <rc t="2" v="18131"/>
    </bk>
    <bk>
      <rc t="2" v="18132"/>
    </bk>
    <bk>
      <rc t="2" v="18133"/>
    </bk>
    <bk>
      <rc t="2" v="18134"/>
    </bk>
    <bk>
      <rc t="2" v="18135"/>
    </bk>
    <bk>
      <rc t="2" v="18136"/>
    </bk>
    <bk>
      <rc t="2" v="18137"/>
    </bk>
    <bk>
      <rc t="2" v="18138"/>
    </bk>
    <bk>
      <rc t="2" v="18139"/>
    </bk>
    <bk>
      <rc t="2" v="18140"/>
    </bk>
    <bk>
      <rc t="2" v="18141"/>
    </bk>
    <bk>
      <rc t="2" v="18142"/>
    </bk>
    <bk>
      <rc t="2" v="18143"/>
    </bk>
    <bk>
      <rc t="2" v="18144"/>
    </bk>
    <bk>
      <rc t="2" v="18145"/>
    </bk>
    <bk>
      <rc t="2" v="18146"/>
    </bk>
    <bk>
      <rc t="2" v="18147"/>
    </bk>
    <bk>
      <rc t="2" v="18148"/>
    </bk>
    <bk>
      <rc t="2" v="18149"/>
    </bk>
    <bk>
      <rc t="2" v="18150"/>
    </bk>
    <bk>
      <rc t="2" v="18151"/>
    </bk>
    <bk>
      <rc t="2" v="18152"/>
    </bk>
    <bk>
      <rc t="2" v="18153"/>
    </bk>
    <bk>
      <rc t="2" v="18154"/>
    </bk>
    <bk>
      <rc t="2" v="18155"/>
    </bk>
    <bk>
      <rc t="2" v="18156"/>
    </bk>
    <bk>
      <rc t="2" v="18157"/>
    </bk>
    <bk>
      <rc t="2" v="18158"/>
    </bk>
    <bk>
      <rc t="2" v="18159"/>
    </bk>
    <bk>
      <rc t="2" v="18160"/>
    </bk>
    <bk>
      <rc t="2" v="18161"/>
    </bk>
    <bk>
      <rc t="2" v="18162"/>
    </bk>
    <bk>
      <rc t="2" v="18163"/>
    </bk>
    <bk>
      <rc t="2" v="18164"/>
    </bk>
    <bk>
      <rc t="2" v="18165"/>
    </bk>
    <bk>
      <rc t="2" v="18166"/>
    </bk>
    <bk>
      <rc t="2" v="18167"/>
    </bk>
  </valueMetadata>
</metadata>
</file>

<file path=xl/sharedStrings.xml><?xml version="1.0" encoding="utf-8"?>
<sst xmlns="http://schemas.openxmlformats.org/spreadsheetml/2006/main" count="371" uniqueCount="117">
  <si>
    <t>Dates</t>
  </si>
  <si>
    <t>Start Date</t>
  </si>
  <si>
    <t>End</t>
  </si>
  <si>
    <t>Interval</t>
  </si>
  <si>
    <t>Company</t>
  </si>
  <si>
    <t>BALL CORPORATION (XNYS:BALL)</t>
  </si>
  <si>
    <t>Ticker</t>
  </si>
  <si>
    <t>GOOGL</t>
  </si>
  <si>
    <t xml:space="preserve">AMZN </t>
  </si>
  <si>
    <t>BALL</t>
  </si>
  <si>
    <t>EQIX</t>
  </si>
  <si>
    <t xml:space="preserve">HON </t>
  </si>
  <si>
    <t xml:space="preserve">MA </t>
  </si>
  <si>
    <t xml:space="preserve">NEE </t>
  </si>
  <si>
    <t>SLB</t>
  </si>
  <si>
    <t xml:space="preserve">NVDA </t>
  </si>
  <si>
    <t xml:space="preserve">PG </t>
  </si>
  <si>
    <t xml:space="preserve">UNH </t>
  </si>
  <si>
    <t>Return</t>
  </si>
  <si>
    <t>S&amp;P 500</t>
  </si>
  <si>
    <t>AMZN</t>
  </si>
  <si>
    <t>HON</t>
  </si>
  <si>
    <t>MA</t>
  </si>
  <si>
    <t>NEE</t>
  </si>
  <si>
    <t>NVDA</t>
  </si>
  <si>
    <t>PG</t>
  </si>
  <si>
    <t>UNH</t>
  </si>
  <si>
    <t xml:space="preserve">Portfolio </t>
  </si>
  <si>
    <t>CAGR</t>
  </si>
  <si>
    <t>Expected Return</t>
  </si>
  <si>
    <t>Std Deviation</t>
  </si>
  <si>
    <t>Sharpe Ratio</t>
  </si>
  <si>
    <t>Risk-Free Rate</t>
  </si>
  <si>
    <t>SD</t>
  </si>
  <si>
    <t>ST</t>
  </si>
  <si>
    <t>Variance</t>
  </si>
  <si>
    <t xml:space="preserve">Expected </t>
  </si>
  <si>
    <t>Real</t>
  </si>
  <si>
    <t>SLOPE</t>
  </si>
  <si>
    <t>BETA</t>
  </si>
  <si>
    <t>Slope</t>
  </si>
  <si>
    <t>STD error Beta</t>
  </si>
  <si>
    <t>Rsquares</t>
  </si>
  <si>
    <t>Fstatistic</t>
  </si>
  <si>
    <t>Ression SS</t>
  </si>
  <si>
    <t>intercept</t>
  </si>
  <si>
    <t>std error Alpha</t>
  </si>
  <si>
    <t>Std error od Y</t>
  </si>
  <si>
    <t>DF</t>
  </si>
  <si>
    <t>Residual SS</t>
  </si>
  <si>
    <t>ALPHA</t>
  </si>
  <si>
    <t>Intercept</t>
  </si>
  <si>
    <t>Portfolio</t>
  </si>
  <si>
    <t>Treynor Ratio</t>
  </si>
  <si>
    <t>Beta</t>
  </si>
  <si>
    <t>Active return</t>
  </si>
  <si>
    <t>SD active returns</t>
  </si>
  <si>
    <t>montlhy</t>
  </si>
  <si>
    <t>annual</t>
  </si>
  <si>
    <t>Information Ratio</t>
  </si>
  <si>
    <t>Excess Return</t>
  </si>
  <si>
    <t>Tracking Error</t>
  </si>
  <si>
    <t>Covarience Matrix</t>
  </si>
  <si>
    <t>Start Price (Jan 2017)</t>
  </si>
  <si>
    <t>End Price (Dec 2022)</t>
  </si>
  <si>
    <t>Total Return (%)</t>
  </si>
  <si>
    <t>CAGR (%)</t>
  </si>
  <si>
    <t>TOP 5</t>
  </si>
  <si>
    <t>Bottom 5</t>
  </si>
  <si>
    <t>Top</t>
  </si>
  <si>
    <t>Bottom</t>
  </si>
  <si>
    <t>A</t>
  </si>
  <si>
    <t>Metric</t>
  </si>
  <si>
    <t>Trynor Ratio</t>
  </si>
  <si>
    <t>Alpha (Annual)</t>
  </si>
  <si>
    <t>Strong return per unit of total risk</t>
  </si>
  <si>
    <t>Return per unit of market (beta) risk</t>
  </si>
  <si>
    <t>Active return per unit of benchmark deviation</t>
  </si>
  <si>
    <t>Excess return not explained by the market (CAPM)</t>
  </si>
  <si>
    <t>Portfolio return volatility</t>
  </si>
  <si>
    <t>Value</t>
  </si>
  <si>
    <t>Meaning</t>
  </si>
  <si>
    <t>Data</t>
  </si>
  <si>
    <t>Skew</t>
  </si>
  <si>
    <t>Kurt</t>
  </si>
  <si>
    <t>Porfolio Return</t>
  </si>
  <si>
    <t>Date</t>
  </si>
  <si>
    <t>Sortino Ratio</t>
  </si>
  <si>
    <t>VaR(95%)</t>
  </si>
  <si>
    <t>CVaR(95%)</t>
  </si>
  <si>
    <t>5th percentile</t>
  </si>
  <si>
    <t>NASDAQ</t>
  </si>
  <si>
    <t>Wealth start</t>
  </si>
  <si>
    <t>Portifolio</t>
  </si>
  <si>
    <t>SUMMARY OUTPUT</t>
  </si>
  <si>
    <t>Regression Statistics</t>
  </si>
  <si>
    <t>Multiple R</t>
  </si>
  <si>
    <t>R Square</t>
  </si>
  <si>
    <t>Adjusted R Square</t>
  </si>
  <si>
    <t>Standard Error</t>
  </si>
  <si>
    <t>Observations</t>
  </si>
  <si>
    <t>ANOVA</t>
  </si>
  <si>
    <t>Regression</t>
  </si>
  <si>
    <t>Residual</t>
  </si>
  <si>
    <t>Total</t>
  </si>
  <si>
    <t>df</t>
  </si>
  <si>
    <t>SS</t>
  </si>
  <si>
    <t>MS</t>
  </si>
  <si>
    <t>F</t>
  </si>
  <si>
    <t>Significance F</t>
  </si>
  <si>
    <t>Coefficients</t>
  </si>
  <si>
    <t>t Stat</t>
  </si>
  <si>
    <t>P-value</t>
  </si>
  <si>
    <t>Lower 95%</t>
  </si>
  <si>
    <t>Upper 95%</t>
  </si>
  <si>
    <t>Lower 95.0%</t>
  </si>
  <si>
    <t>Upper 95.0%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</si>
</sst>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0.0000"/>
    <numFmt numFmtId="169" formatCode="0.000"/>
    <numFmt numFmtId="180" formatCode="0.000E+00"/>
  </numFmts>
  <fonts count="16" x14ac:knownFonts="1">
    <font>
      <sz val="11"/>
      <color theme="1"/>
      <name val="Aptos Narrow"/>
      <family val="2"/>
      <scheme val="minor"/>
    </font>
    <font>
      <sz val="11"/>
      <color theme="1"/>
      <name val="Aptos Narrow"/>
      <family val="2"/>
      <scheme val="minor"/>
    </font>
    <font>
      <b/>
      <sz val="11"/>
      <color theme="1"/>
      <name val="Aptos Narrow"/>
      <family val="2"/>
      <scheme val="minor"/>
    </font>
    <font>
      <b/>
      <i/>
      <sz val="11"/>
      <name val="Calibri"/>
      <family val="2"/>
    </font>
    <font>
      <sz val="11"/>
      <color rgb="FF000000"/>
      <name val="Aptos Narrow"/>
      <family val="2"/>
    </font>
    <font>
      <b/>
      <sz val="11"/>
      <color rgb="FF000000"/>
      <name val="Aptos Narrow"/>
      <family val="2"/>
    </font>
    <font>
      <sz val="11"/>
      <color theme="4"/>
      <name val="Aptos Narrow"/>
      <family val="2"/>
      <scheme val="minor"/>
    </font>
    <font>
      <b/>
      <sz val="11"/>
      <color theme="4"/>
      <name val="Aptos Narrow"/>
      <family val="2"/>
      <scheme val="minor"/>
    </font>
    <font>
      <sz val="11"/>
      <color theme="5"/>
      <name val="Aptos Narrow"/>
      <family val="2"/>
      <scheme val="minor"/>
    </font>
    <font>
      <b/>
      <sz val="11"/>
      <color theme="5"/>
      <name val="Aptos Narrow"/>
      <family val="2"/>
      <scheme val="minor"/>
    </font>
    <font>
      <i/>
      <sz val="11"/>
      <color theme="1"/>
      <name val="Aptos Narrow"/>
      <family val="2"/>
      <scheme val="minor"/>
    </font>
    <font>
      <i/>
      <sz val="11"/>
      <name val="Calibri"/>
      <family val="2"/>
    </font>
    <font>
      <b/>
      <sz val="11"/>
      <name val="Calibri"/>
      <family val="2"/>
    </font>
    <font>
      <b/>
      <sz val="11"/>
      <name val="Calibri"/>
      <family val="2"/>
    </font>
    <font>
      <sz val="11"/>
      <color theme="6"/>
      <name val="Aptos Narrow"/>
      <family val="2"/>
      <scheme val="minor"/>
    </font>
    <font>
      <b/>
      <sz val="11"/>
      <color theme="6"/>
      <name val="Aptos Narrow"/>
      <family val="2"/>
      <scheme val="minor"/>
    </font>
  </fonts>
  <fills count="4">
    <fill>
      <patternFill patternType="none"/>
    </fill>
    <fill>
      <patternFill patternType="gray125"/>
    </fill>
    <fill>
      <patternFill patternType="solid">
        <fgColor rgb="FFE0E0E0"/>
        <bgColor indexed="64"/>
      </patternFill>
    </fill>
    <fill>
      <patternFill patternType="solid">
        <fgColor rgb="FFD9D9D9"/>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9" fontId="1" fillId="0" borderId="0" applyFont="0" applyFill="0" applyBorder="0" applyAlignment="0" applyProtection="0"/>
  </cellStyleXfs>
  <cellXfs count="58">
    <xf numFmtId="0" fontId="0" fillId="0" borderId="0" xfId="0"/>
    <xf numFmtId="14" fontId="0" fillId="0" borderId="0" xfId="0" applyNumberFormat="1"/>
    <xf numFmtId="0" fontId="3" fillId="2" borderId="0" xfId="0" applyFont="1" applyFill="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3" fillId="2" borderId="0" xfId="0" applyFont="1" applyFill="1" applyAlignment="1">
      <alignment horizontal="left" vertical="top" wrapText="1"/>
    </xf>
    <xf numFmtId="10" fontId="0" fillId="0" borderId="0" xfId="0" applyNumberFormat="1"/>
    <xf numFmtId="9" fontId="0" fillId="0" borderId="0" xfId="1" applyFont="1"/>
    <xf numFmtId="164" fontId="0" fillId="0" borderId="0" xfId="1" applyNumberFormat="1" applyFont="1"/>
    <xf numFmtId="10" fontId="0" fillId="0" borderId="0" xfId="1" applyNumberFormat="1" applyFont="1"/>
    <xf numFmtId="165" fontId="0" fillId="0" borderId="0" xfId="0" applyNumberFormat="1"/>
    <xf numFmtId="10" fontId="4" fillId="3" borderId="0" xfId="0" applyNumberFormat="1" applyFont="1" applyFill="1" applyAlignment="1">
      <alignment horizontal="center" vertical="center"/>
    </xf>
    <xf numFmtId="10" fontId="4" fillId="0" borderId="0" xfId="0" applyNumberFormat="1" applyFont="1" applyAlignment="1">
      <alignment horizontal="center" vertical="center"/>
    </xf>
    <xf numFmtId="0" fontId="5" fillId="3" borderId="0" xfId="0" applyFont="1" applyFill="1" applyAlignment="1">
      <alignment horizontal="center" vertical="center"/>
    </xf>
    <xf numFmtId="0" fontId="5" fillId="0" borderId="0" xfId="0" applyFont="1" applyAlignment="1">
      <alignment horizontal="center" vertical="center"/>
    </xf>
    <xf numFmtId="166" fontId="0" fillId="0" borderId="0" xfId="0" applyNumberFormat="1"/>
    <xf numFmtId="0" fontId="7" fillId="0" borderId="1" xfId="0" applyFont="1" applyBorder="1"/>
    <xf numFmtId="10" fontId="6" fillId="0" borderId="1" xfId="1" applyNumberFormat="1" applyFont="1" applyBorder="1"/>
    <xf numFmtId="0" fontId="9" fillId="0" borderId="1" xfId="0" applyFont="1" applyBorder="1"/>
    <xf numFmtId="10" fontId="8" fillId="0" borderId="1" xfId="1" applyNumberFormat="1" applyFont="1" applyBorder="1"/>
    <xf numFmtId="0" fontId="0" fillId="0" borderId="4" xfId="0" applyBorder="1"/>
    <xf numFmtId="0" fontId="10" fillId="0" borderId="5" xfId="0" applyFont="1" applyBorder="1" applyAlignment="1">
      <alignment horizontal="center"/>
    </xf>
    <xf numFmtId="2" fontId="0" fillId="0" borderId="0" xfId="0" applyNumberFormat="1"/>
    <xf numFmtId="0" fontId="0" fillId="0" borderId="1" xfId="0" applyBorder="1"/>
    <xf numFmtId="10" fontId="0" fillId="0" borderId="1" xfId="1" applyNumberFormat="1" applyFont="1" applyBorder="1" applyAlignment="1"/>
    <xf numFmtId="10" fontId="0" fillId="0" borderId="1" xfId="0" applyNumberFormat="1" applyBorder="1"/>
    <xf numFmtId="2" fontId="0" fillId="0" borderId="1" xfId="0" applyNumberFormat="1" applyBorder="1"/>
    <xf numFmtId="10" fontId="1" fillId="0" borderId="1" xfId="1" applyNumberFormat="1" applyFont="1" applyBorder="1" applyAlignment="1"/>
    <xf numFmtId="0" fontId="11" fillId="2" borderId="0" xfId="0" applyFont="1" applyFill="1" applyAlignment="1">
      <alignment horizontal="left" vertical="top" wrapText="1"/>
    </xf>
    <xf numFmtId="0" fontId="12" fillId="0" borderId="1" xfId="0" applyFont="1" applyBorder="1" applyAlignment="1">
      <alignment horizontal="center" vertical="top"/>
    </xf>
    <xf numFmtId="0" fontId="13" fillId="0" borderId="1" xfId="0" applyFont="1" applyBorder="1" applyAlignment="1">
      <alignment horizontal="center" vertical="top"/>
    </xf>
    <xf numFmtId="0" fontId="2" fillId="0" borderId="1" xfId="0" applyFont="1" applyBorder="1" applyAlignment="1">
      <alignment horizontal="left"/>
    </xf>
    <xf numFmtId="0" fontId="0" fillId="0" borderId="1" xfId="0" applyBorder="1" applyAlignment="1">
      <alignment horizontal="left" vertical="center"/>
    </xf>
    <xf numFmtId="0" fontId="0" fillId="0" borderId="1" xfId="0" applyBorder="1" applyAlignment="1">
      <alignment horizontal="left" vertical="center" wrapText="1"/>
    </xf>
    <xf numFmtId="2" fontId="0" fillId="0" borderId="1" xfId="0" applyNumberFormat="1" applyBorder="1" applyAlignment="1">
      <alignment horizontal="center" vertical="center"/>
    </xf>
    <xf numFmtId="10" fontId="0" fillId="0" borderId="1" xfId="0" applyNumberFormat="1" applyBorder="1" applyAlignment="1">
      <alignment horizontal="center" vertical="center"/>
    </xf>
    <xf numFmtId="164" fontId="0" fillId="0" borderId="1" xfId="1" applyNumberFormat="1" applyFont="1" applyBorder="1" applyAlignment="1">
      <alignment horizontal="center" vertical="center"/>
    </xf>
    <xf numFmtId="0" fontId="0" fillId="0" borderId="0" xfId="0" quotePrefix="1"/>
    <xf numFmtId="0" fontId="2" fillId="0" borderId="2" xfId="0" applyFont="1" applyBorder="1" applyAlignment="1">
      <alignment horizontal="center"/>
    </xf>
    <xf numFmtId="0" fontId="2" fillId="0" borderId="3" xfId="0" applyFon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10" fontId="2" fillId="0" borderId="2" xfId="1" applyNumberFormat="1" applyFont="1" applyBorder="1" applyAlignment="1">
      <alignment horizontal="center"/>
    </xf>
    <xf numFmtId="10" fontId="2" fillId="0" borderId="3" xfId="1" applyNumberFormat="1" applyFont="1" applyBorder="1" applyAlignment="1">
      <alignment horizontal="center"/>
    </xf>
    <xf numFmtId="10" fontId="14" fillId="0" borderId="1" xfId="1" applyNumberFormat="1" applyFont="1" applyBorder="1"/>
    <xf numFmtId="0" fontId="15" fillId="0" borderId="1" xfId="0" applyFont="1" applyBorder="1"/>
    <xf numFmtId="0" fontId="2" fillId="0" borderId="0" xfId="0" applyFont="1"/>
    <xf numFmtId="1" fontId="0" fillId="0" borderId="0" xfId="0" applyNumberFormat="1"/>
    <xf numFmtId="0" fontId="0" fillId="0" borderId="0" xfId="0" applyFill="1" applyBorder="1" applyAlignment="1"/>
    <xf numFmtId="0" fontId="0" fillId="0" borderId="4" xfId="0" applyFill="1" applyBorder="1" applyAlignment="1"/>
    <xf numFmtId="0" fontId="10" fillId="0" borderId="5" xfId="0" applyFont="1" applyFill="1" applyBorder="1" applyAlignment="1">
      <alignment horizontal="center"/>
    </xf>
    <xf numFmtId="0" fontId="10" fillId="0" borderId="5" xfId="0" applyFont="1" applyFill="1" applyBorder="1" applyAlignment="1">
      <alignment horizontal="centerContinuous"/>
    </xf>
    <xf numFmtId="166" fontId="0" fillId="0" borderId="0" xfId="0" applyNumberFormat="1" applyFill="1" applyBorder="1" applyAlignment="1"/>
    <xf numFmtId="169" fontId="0" fillId="0" borderId="0" xfId="0" applyNumberFormat="1" applyFill="1" applyBorder="1" applyAlignment="1"/>
    <xf numFmtId="166" fontId="0" fillId="0" borderId="4" xfId="0" applyNumberFormat="1" applyFill="1" applyBorder="1" applyAlignment="1"/>
    <xf numFmtId="169" fontId="0" fillId="0" borderId="4" xfId="0" applyNumberFormat="1" applyFill="1" applyBorder="1" applyAlignment="1"/>
    <xf numFmtId="180" fontId="0" fillId="0" borderId="0" xfId="0" applyNumberFormat="1" applyFill="1" applyBorder="1" applyAlignment="1"/>
  </cellXfs>
  <cellStyles count="2">
    <cellStyle name="Normal" xfId="0" builtinId="0"/>
    <cellStyle name="Percent" xfId="1" builtinId="5"/>
  </cellStyles>
  <dxfs count="0"/>
  <tableStyles count="0" defaultTableStyle="TableStyleMedium2" defaultPivotStyle="PivotStyleLight16"/>
  <colors>
    <mruColors>
      <color rgb="FFFC5D0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ichStyles" Target="richData/richStyles.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Array" Target="richData/rdarray.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06/relationships/rdRichValue" Target="richData/rdrichvalue.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17/06/relationships/rdSupportingPropertyBagStructure" Target="richData/rdsupportingpropertybag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Stocks</a:t>
            </a:r>
            <a:r>
              <a:rPr lang="en-AU" baseline="0"/>
              <a:t> Return 2017</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manualLayout>
          <c:layoutTarget val="inner"/>
          <c:xMode val="edge"/>
          <c:yMode val="edge"/>
          <c:x val="0.12608711842054227"/>
          <c:y val="0.14952829494444037"/>
          <c:w val="0.70115883790388267"/>
          <c:h val="0.73569475310913235"/>
        </c:manualLayout>
      </c:layout>
      <c:lineChart>
        <c:grouping val="standard"/>
        <c:varyColors val="0"/>
        <c:ser>
          <c:idx val="0"/>
          <c:order val="0"/>
          <c:tx>
            <c:strRef>
              <c:f>ReturnsVtime!$B$1</c:f>
              <c:strCache>
                <c:ptCount val="1"/>
                <c:pt idx="0">
                  <c:v>GOOGL</c:v>
                </c:pt>
              </c:strCache>
            </c:strRef>
          </c:tx>
          <c:spPr>
            <a:ln w="28575" cap="rnd">
              <a:solidFill>
                <a:srgbClr val="FF0000"/>
              </a:solidFill>
              <a:round/>
            </a:ln>
            <a:effectLst/>
          </c:spPr>
          <c:marker>
            <c:symbol val="none"/>
          </c:marker>
          <c:cat>
            <c:numRef>
              <c:f>ReturnsVtime!$A$2:$A$13</c:f>
              <c:numCache>
                <c:formatCode>m/d/yyyy</c:formatCode>
                <c:ptCount val="12"/>
                <c:pt idx="0">
                  <c:v>42736</c:v>
                </c:pt>
                <c:pt idx="1">
                  <c:v>42767</c:v>
                </c:pt>
                <c:pt idx="2">
                  <c:v>42795</c:v>
                </c:pt>
                <c:pt idx="3">
                  <c:v>42826</c:v>
                </c:pt>
                <c:pt idx="4">
                  <c:v>42856</c:v>
                </c:pt>
                <c:pt idx="5">
                  <c:v>42887</c:v>
                </c:pt>
                <c:pt idx="6">
                  <c:v>42917</c:v>
                </c:pt>
                <c:pt idx="7">
                  <c:v>42948</c:v>
                </c:pt>
                <c:pt idx="8">
                  <c:v>42979</c:v>
                </c:pt>
                <c:pt idx="9">
                  <c:v>43009</c:v>
                </c:pt>
                <c:pt idx="10">
                  <c:v>43040</c:v>
                </c:pt>
                <c:pt idx="11">
                  <c:v>43070</c:v>
                </c:pt>
              </c:numCache>
            </c:numRef>
          </c:cat>
          <c:val>
            <c:numRef>
              <c:f>ReturnsVtime!$B$2:$B$13</c:f>
              <c:numCache>
                <c:formatCode>0.00%</c:formatCode>
                <c:ptCount val="12"/>
                <c:pt idx="0">
                  <c:v>3.5005363114392063E-2</c:v>
                </c:pt>
                <c:pt idx="1">
                  <c:v>3.016374254745835E-2</c:v>
                </c:pt>
                <c:pt idx="2">
                  <c:v>3.3967310901494852E-3</c:v>
                </c:pt>
                <c:pt idx="3">
                  <c:v>9.0493040811512104E-2</c:v>
                </c:pt>
                <c:pt idx="4">
                  <c:v>6.7678362826115279E-2</c:v>
                </c:pt>
                <c:pt idx="5">
                  <c:v>-5.8160856659473792E-2</c:v>
                </c:pt>
                <c:pt idx="6">
                  <c:v>1.7016607865071753E-2</c:v>
                </c:pt>
                <c:pt idx="7">
                  <c:v>1.0301427815970321E-2</c:v>
                </c:pt>
                <c:pt idx="8">
                  <c:v>1.9345923537540388E-2</c:v>
                </c:pt>
                <c:pt idx="9">
                  <c:v>6.0921003984718336E-2</c:v>
                </c:pt>
                <c:pt idx="10">
                  <c:v>3.0298923565399427E-3</c:v>
                </c:pt>
                <c:pt idx="11">
                  <c:v>1.6628545508941661E-2</c:v>
                </c:pt>
              </c:numCache>
            </c:numRef>
          </c:val>
          <c:smooth val="0"/>
          <c:extLst>
            <c:ext xmlns:c16="http://schemas.microsoft.com/office/drawing/2014/chart" uri="{C3380CC4-5D6E-409C-BE32-E72D297353CC}">
              <c16:uniqueId val="{00000000-D748-4750-837E-B47DA6A3DC64}"/>
            </c:ext>
          </c:extLst>
        </c:ser>
        <c:ser>
          <c:idx val="1"/>
          <c:order val="1"/>
          <c:tx>
            <c:strRef>
              <c:f>ReturnsVtime!$C$1</c:f>
              <c:strCache>
                <c:ptCount val="1"/>
                <c:pt idx="0">
                  <c:v>AMZN </c:v>
                </c:pt>
              </c:strCache>
            </c:strRef>
          </c:tx>
          <c:spPr>
            <a:ln w="28575" cap="rnd">
              <a:solidFill>
                <a:srgbClr val="FFC000"/>
              </a:solidFill>
              <a:round/>
            </a:ln>
            <a:effectLst/>
          </c:spPr>
          <c:marker>
            <c:symbol val="none"/>
          </c:marker>
          <c:val>
            <c:numRef>
              <c:f>ReturnsVtime!$C$2:$C$13</c:f>
              <c:numCache>
                <c:formatCode>0.00%</c:formatCode>
                <c:ptCount val="12"/>
                <c:pt idx="0">
                  <c:v>9.8163681704828809E-2</c:v>
                </c:pt>
                <c:pt idx="1">
                  <c:v>2.6181570894253658E-2</c:v>
                </c:pt>
                <c:pt idx="2">
                  <c:v>4.9110101296979902E-2</c:v>
                </c:pt>
                <c:pt idx="3">
                  <c:v>4.3370857490919734E-2</c:v>
                </c:pt>
                <c:pt idx="4">
                  <c:v>7.5276489475561981E-2</c:v>
                </c:pt>
                <c:pt idx="5">
                  <c:v>-2.6763990267639981E-2</c:v>
                </c:pt>
                <c:pt idx="6">
                  <c:v>2.0433884297520688E-2</c:v>
                </c:pt>
                <c:pt idx="7">
                  <c:v>-7.2688250420134271E-3</c:v>
                </c:pt>
                <c:pt idx="8">
                  <c:v>-1.9630838262288397E-2</c:v>
                </c:pt>
                <c:pt idx="9">
                  <c:v>0.14971654444271087</c:v>
                </c:pt>
                <c:pt idx="10">
                  <c:v>6.4662348002316072E-2</c:v>
                </c:pt>
                <c:pt idx="11">
                  <c:v>-6.1865306989589142E-3</c:v>
                </c:pt>
              </c:numCache>
            </c:numRef>
          </c:val>
          <c:smooth val="0"/>
          <c:extLst>
            <c:ext xmlns:c16="http://schemas.microsoft.com/office/drawing/2014/chart" uri="{C3380CC4-5D6E-409C-BE32-E72D297353CC}">
              <c16:uniqueId val="{00000003-D748-4750-837E-B47DA6A3DC64}"/>
            </c:ext>
          </c:extLst>
        </c:ser>
        <c:ser>
          <c:idx val="2"/>
          <c:order val="2"/>
          <c:tx>
            <c:strRef>
              <c:f>ReturnsVtime!$D$1</c:f>
              <c:strCache>
                <c:ptCount val="1"/>
                <c:pt idx="0">
                  <c:v>BALL</c:v>
                </c:pt>
              </c:strCache>
            </c:strRef>
          </c:tx>
          <c:spPr>
            <a:ln w="28575" cap="rnd">
              <a:solidFill>
                <a:srgbClr val="0070C0"/>
              </a:solidFill>
              <a:round/>
            </a:ln>
            <a:effectLst/>
          </c:spPr>
          <c:marker>
            <c:symbol val="none"/>
          </c:marker>
          <c:val>
            <c:numRef>
              <c:f>ReturnsVtime!$D$2:$D$13</c:f>
              <c:numCache>
                <c:formatCode>0.00%</c:formatCode>
                <c:ptCount val="12"/>
                <c:pt idx="0">
                  <c:v>1.5851871586519461E-2</c:v>
                </c:pt>
                <c:pt idx="1">
                  <c:v>-3.5798583792289618E-2</c:v>
                </c:pt>
                <c:pt idx="2">
                  <c:v>9.9279205766353851E-3</c:v>
                </c:pt>
                <c:pt idx="3">
                  <c:v>3.5416105575006629E-2</c:v>
                </c:pt>
                <c:pt idx="4">
                  <c:v>6.3857458707244019E-2</c:v>
                </c:pt>
                <c:pt idx="5">
                  <c:v>3.2029339853300698E-2</c:v>
                </c:pt>
                <c:pt idx="6">
                  <c:v>-7.3442312248283015E-3</c:v>
                </c:pt>
                <c:pt idx="7">
                  <c:v>-4.5584725536992776E-2</c:v>
                </c:pt>
                <c:pt idx="8">
                  <c:v>3.275818954738674E-2</c:v>
                </c:pt>
                <c:pt idx="9">
                  <c:v>3.9467312348668404E-2</c:v>
                </c:pt>
                <c:pt idx="10">
                  <c:v>-7.0347076636384842E-2</c:v>
                </c:pt>
                <c:pt idx="11">
                  <c:v>-5.161613630668993E-2</c:v>
                </c:pt>
              </c:numCache>
            </c:numRef>
          </c:val>
          <c:smooth val="0"/>
          <c:extLst>
            <c:ext xmlns:c16="http://schemas.microsoft.com/office/drawing/2014/chart" uri="{C3380CC4-5D6E-409C-BE32-E72D297353CC}">
              <c16:uniqueId val="{00000004-D748-4750-837E-B47DA6A3DC64}"/>
            </c:ext>
          </c:extLst>
        </c:ser>
        <c:ser>
          <c:idx val="3"/>
          <c:order val="3"/>
          <c:tx>
            <c:strRef>
              <c:f>ReturnsVtime!$E$1</c:f>
              <c:strCache>
                <c:ptCount val="1"/>
                <c:pt idx="0">
                  <c:v>EQIX</c:v>
                </c:pt>
              </c:strCache>
            </c:strRef>
          </c:tx>
          <c:spPr>
            <a:ln w="28575" cap="rnd">
              <a:solidFill>
                <a:srgbClr val="FFFF00"/>
              </a:solidFill>
              <a:round/>
            </a:ln>
            <a:effectLst/>
          </c:spPr>
          <c:marker>
            <c:symbol val="none"/>
          </c:marker>
          <c:val>
            <c:numRef>
              <c:f>ReturnsVtime!$E$2:$E$13</c:f>
              <c:numCache>
                <c:formatCode>0.00%</c:formatCode>
                <c:ptCount val="12"/>
                <c:pt idx="0">
                  <c:v>7.7138300551187644E-2</c:v>
                </c:pt>
                <c:pt idx="1">
                  <c:v>-2.314405943165887E-2</c:v>
                </c:pt>
                <c:pt idx="2">
                  <c:v>6.4615630068870278E-2</c:v>
                </c:pt>
                <c:pt idx="3">
                  <c:v>4.3284961410695155E-2</c:v>
                </c:pt>
                <c:pt idx="4">
                  <c:v>5.5805602106775209E-2</c:v>
                </c:pt>
                <c:pt idx="5">
                  <c:v>-2.6870138999115611E-2</c:v>
                </c:pt>
                <c:pt idx="6">
                  <c:v>5.0260974927765822E-2</c:v>
                </c:pt>
                <c:pt idx="7">
                  <c:v>3.9225256805626385E-2</c:v>
                </c:pt>
                <c:pt idx="8">
                  <c:v>-4.7202237356162358E-2</c:v>
                </c:pt>
                <c:pt idx="9">
                  <c:v>3.8539099260586962E-2</c:v>
                </c:pt>
                <c:pt idx="10">
                  <c:v>2.1359223300971841E-3</c:v>
                </c:pt>
                <c:pt idx="11">
                  <c:v>-2.4263170358888253E-2</c:v>
                </c:pt>
              </c:numCache>
            </c:numRef>
          </c:val>
          <c:smooth val="0"/>
          <c:extLst>
            <c:ext xmlns:c16="http://schemas.microsoft.com/office/drawing/2014/chart" uri="{C3380CC4-5D6E-409C-BE32-E72D297353CC}">
              <c16:uniqueId val="{00000006-D748-4750-837E-B47DA6A3DC64}"/>
            </c:ext>
          </c:extLst>
        </c:ser>
        <c:ser>
          <c:idx val="4"/>
          <c:order val="4"/>
          <c:tx>
            <c:strRef>
              <c:f>ReturnsVtime!$F$1</c:f>
              <c:strCache>
                <c:ptCount val="1"/>
                <c:pt idx="0">
                  <c:v>HON </c:v>
                </c:pt>
              </c:strCache>
            </c:strRef>
          </c:tx>
          <c:spPr>
            <a:ln w="28575" cap="rnd">
              <a:solidFill>
                <a:schemeClr val="accent5"/>
              </a:solidFill>
              <a:round/>
            </a:ln>
            <a:effectLst/>
          </c:spPr>
          <c:marker>
            <c:symbol val="none"/>
          </c:marker>
          <c:val>
            <c:numRef>
              <c:f>ReturnsVtime!$F$2:$F$13</c:f>
              <c:numCache>
                <c:formatCode>0.00%</c:formatCode>
                <c:ptCount val="12"/>
                <c:pt idx="0">
                  <c:v>2.131985095577793E-2</c:v>
                </c:pt>
                <c:pt idx="1">
                  <c:v>5.2232027392882907E-2</c:v>
                </c:pt>
                <c:pt idx="2">
                  <c:v>2.9714266539151435E-3</c:v>
                </c:pt>
                <c:pt idx="3">
                  <c:v>5.0212368743737246E-2</c:v>
                </c:pt>
                <c:pt idx="4">
                  <c:v>1.4107267158014469E-2</c:v>
                </c:pt>
                <c:pt idx="5">
                  <c:v>2.255544028266554E-3</c:v>
                </c:pt>
                <c:pt idx="6">
                  <c:v>2.1232131229239615E-2</c:v>
                </c:pt>
                <c:pt idx="7">
                  <c:v>1.5794824576547573E-2</c:v>
                </c:pt>
                <c:pt idx="8">
                  <c:v>2.5095553910534418E-2</c:v>
                </c:pt>
                <c:pt idx="9">
                  <c:v>1.7073384605068131E-2</c:v>
                </c:pt>
                <c:pt idx="10">
                  <c:v>8.1853834043469131E-2</c:v>
                </c:pt>
                <c:pt idx="11">
                  <c:v>-1.6671220547108678E-2</c:v>
                </c:pt>
              </c:numCache>
            </c:numRef>
          </c:val>
          <c:smooth val="0"/>
          <c:extLst>
            <c:ext xmlns:c16="http://schemas.microsoft.com/office/drawing/2014/chart" uri="{C3380CC4-5D6E-409C-BE32-E72D297353CC}">
              <c16:uniqueId val="{00000007-D748-4750-837E-B47DA6A3DC64}"/>
            </c:ext>
          </c:extLst>
        </c:ser>
        <c:ser>
          <c:idx val="5"/>
          <c:order val="5"/>
          <c:tx>
            <c:strRef>
              <c:f>ReturnsVtime!$G$1</c:f>
              <c:strCache>
                <c:ptCount val="1"/>
                <c:pt idx="0">
                  <c:v>MA </c:v>
                </c:pt>
              </c:strCache>
            </c:strRef>
          </c:tx>
          <c:spPr>
            <a:ln w="28575" cap="rnd">
              <a:solidFill>
                <a:schemeClr val="accent6"/>
              </a:solidFill>
              <a:round/>
            </a:ln>
            <a:effectLst/>
          </c:spPr>
          <c:marker>
            <c:symbol val="none"/>
          </c:marker>
          <c:val>
            <c:numRef>
              <c:f>ReturnsVtime!$G$2:$G$13</c:f>
              <c:numCache>
                <c:formatCode>0.00%</c:formatCode>
                <c:ptCount val="12"/>
                <c:pt idx="0">
                  <c:v>2.9830508474576245E-2</c:v>
                </c:pt>
                <c:pt idx="1">
                  <c:v>3.8841342988808369E-2</c:v>
                </c:pt>
                <c:pt idx="2">
                  <c:v>1.8196632265073287E-2</c:v>
                </c:pt>
                <c:pt idx="3">
                  <c:v>3.4231350582377473E-2</c:v>
                </c:pt>
                <c:pt idx="4">
                  <c:v>5.6396148555708514E-2</c:v>
                </c:pt>
                <c:pt idx="5">
                  <c:v>-1.163736979166663E-2</c:v>
                </c:pt>
                <c:pt idx="6">
                  <c:v>5.2284890901605596E-2</c:v>
                </c:pt>
                <c:pt idx="7">
                  <c:v>4.3035993740219158E-2</c:v>
                </c:pt>
                <c:pt idx="8">
                  <c:v>5.9264816204050774E-2</c:v>
                </c:pt>
                <c:pt idx="9">
                  <c:v>5.3611898016997284E-2</c:v>
                </c:pt>
                <c:pt idx="10">
                  <c:v>1.1427035020501464E-2</c:v>
                </c:pt>
                <c:pt idx="11">
                  <c:v>5.9148002924171994E-3</c:v>
                </c:pt>
              </c:numCache>
            </c:numRef>
          </c:val>
          <c:smooth val="0"/>
          <c:extLst>
            <c:ext xmlns:c16="http://schemas.microsoft.com/office/drawing/2014/chart" uri="{C3380CC4-5D6E-409C-BE32-E72D297353CC}">
              <c16:uniqueId val="{00000008-D748-4750-837E-B47DA6A3DC64}"/>
            </c:ext>
          </c:extLst>
        </c:ser>
        <c:ser>
          <c:idx val="6"/>
          <c:order val="6"/>
          <c:tx>
            <c:strRef>
              <c:f>ReturnsVtime!$H$1</c:f>
              <c:strCache>
                <c:ptCount val="1"/>
                <c:pt idx="0">
                  <c:v>NEE </c:v>
                </c:pt>
              </c:strCache>
            </c:strRef>
          </c:tx>
          <c:spPr>
            <a:ln w="28575" cap="rnd">
              <a:solidFill>
                <a:srgbClr val="00B050"/>
              </a:solidFill>
              <a:round/>
            </a:ln>
            <a:effectLst/>
          </c:spPr>
          <c:marker>
            <c:symbol val="none"/>
          </c:marker>
          <c:val>
            <c:numRef>
              <c:f>ReturnsVtime!$H$2:$H$13</c:f>
              <c:numCache>
                <c:formatCode>0.00%</c:formatCode>
                <c:ptCount val="12"/>
                <c:pt idx="0">
                  <c:v>3.5660472124560583E-2</c:v>
                </c:pt>
                <c:pt idx="1">
                  <c:v>5.8842547688328528E-2</c:v>
                </c:pt>
                <c:pt idx="2">
                  <c:v>-2.0076335877862506E-2</c:v>
                </c:pt>
                <c:pt idx="3">
                  <c:v>4.0430007010983759E-2</c:v>
                </c:pt>
                <c:pt idx="4">
                  <c:v>5.8999700509134501E-2</c:v>
                </c:pt>
                <c:pt idx="5">
                  <c:v>-9.2618778280543212E-3</c:v>
                </c:pt>
                <c:pt idx="6">
                  <c:v>4.2531934632127344E-2</c:v>
                </c:pt>
                <c:pt idx="7">
                  <c:v>3.0255322061742751E-2</c:v>
                </c:pt>
                <c:pt idx="8">
                  <c:v>-2.6310544149890203E-2</c:v>
                </c:pt>
                <c:pt idx="9">
                  <c:v>5.8137154554759318E-2</c:v>
                </c:pt>
                <c:pt idx="10">
                  <c:v>1.9152640742890359E-2</c:v>
                </c:pt>
                <c:pt idx="11">
                  <c:v>-1.1705897241204744E-2</c:v>
                </c:pt>
              </c:numCache>
            </c:numRef>
          </c:val>
          <c:smooth val="0"/>
          <c:extLst>
            <c:ext xmlns:c16="http://schemas.microsoft.com/office/drawing/2014/chart" uri="{C3380CC4-5D6E-409C-BE32-E72D297353CC}">
              <c16:uniqueId val="{00000009-D748-4750-837E-B47DA6A3DC64}"/>
            </c:ext>
          </c:extLst>
        </c:ser>
        <c:ser>
          <c:idx val="7"/>
          <c:order val="7"/>
          <c:tx>
            <c:strRef>
              <c:f>ReturnsVtime!$I$1</c:f>
              <c:strCache>
                <c:ptCount val="1"/>
                <c:pt idx="0">
                  <c:v>SLB</c:v>
                </c:pt>
              </c:strCache>
            </c:strRef>
          </c:tx>
          <c:spPr>
            <a:ln w="28575" cap="rnd">
              <a:solidFill>
                <a:srgbClr val="00B0F0"/>
              </a:solidFill>
              <a:round/>
            </a:ln>
            <a:effectLst/>
          </c:spPr>
          <c:marker>
            <c:symbol val="none"/>
          </c:marker>
          <c:val>
            <c:numRef>
              <c:f>ReturnsVtime!$I$2:$I$13</c:f>
              <c:numCache>
                <c:formatCode>0.00%</c:formatCode>
                <c:ptCount val="12"/>
                <c:pt idx="0">
                  <c:v>-2.8588445503276994E-3</c:v>
                </c:pt>
                <c:pt idx="1">
                  <c:v>-4.0019113606498569E-2</c:v>
                </c:pt>
                <c:pt idx="2">
                  <c:v>-2.8123444499751238E-2</c:v>
                </c:pt>
                <c:pt idx="3">
                  <c:v>-7.0550576184378877E-2</c:v>
                </c:pt>
                <c:pt idx="4">
                  <c:v>-4.1328006612481039E-2</c:v>
                </c:pt>
                <c:pt idx="5">
                  <c:v>-5.3887052737462304E-2</c:v>
                </c:pt>
                <c:pt idx="6">
                  <c:v>4.1919805589307302E-2</c:v>
                </c:pt>
                <c:pt idx="7">
                  <c:v>-7.419825072886288E-2</c:v>
                </c:pt>
                <c:pt idx="8">
                  <c:v>9.8409699259959238E-2</c:v>
                </c:pt>
                <c:pt idx="9">
                  <c:v>-8.2568807339449601E-2</c:v>
                </c:pt>
                <c:pt idx="10">
                  <c:v>-1.7968749999999978E-2</c:v>
                </c:pt>
                <c:pt idx="11">
                  <c:v>7.2235481304693705E-2</c:v>
                </c:pt>
              </c:numCache>
            </c:numRef>
          </c:val>
          <c:smooth val="0"/>
          <c:extLst>
            <c:ext xmlns:c16="http://schemas.microsoft.com/office/drawing/2014/chart" uri="{C3380CC4-5D6E-409C-BE32-E72D297353CC}">
              <c16:uniqueId val="{0000000A-D748-4750-837E-B47DA6A3DC64}"/>
            </c:ext>
          </c:extLst>
        </c:ser>
        <c:ser>
          <c:idx val="8"/>
          <c:order val="8"/>
          <c:tx>
            <c:strRef>
              <c:f>ReturnsVtime!$J$1</c:f>
              <c:strCache>
                <c:ptCount val="1"/>
                <c:pt idx="0">
                  <c:v>NVDA </c:v>
                </c:pt>
              </c:strCache>
            </c:strRef>
          </c:tx>
          <c:spPr>
            <a:ln w="28575" cap="rnd">
              <a:solidFill>
                <a:srgbClr val="C00000"/>
              </a:solidFill>
              <a:round/>
            </a:ln>
            <a:effectLst/>
          </c:spPr>
          <c:marker>
            <c:symbol val="none"/>
          </c:marker>
          <c:val>
            <c:numRef>
              <c:f>ReturnsVtime!$J$2:$J$13</c:f>
              <c:numCache>
                <c:formatCode>0.00%</c:formatCode>
                <c:ptCount val="12"/>
                <c:pt idx="0">
                  <c:v>2.2859284242083611E-2</c:v>
                </c:pt>
                <c:pt idx="1">
                  <c:v>-7.0525737314526382E-2</c:v>
                </c:pt>
                <c:pt idx="2">
                  <c:v>7.3433188805676064E-2</c:v>
                </c:pt>
                <c:pt idx="3">
                  <c:v>-4.2521940293026916E-2</c:v>
                </c:pt>
                <c:pt idx="4">
                  <c:v>0.38400767018216686</c:v>
                </c:pt>
                <c:pt idx="5">
                  <c:v>1.4409221902016434E-3</c:v>
                </c:pt>
                <c:pt idx="6">
                  <c:v>0.12418372993912574</c:v>
                </c:pt>
                <c:pt idx="7">
                  <c:v>4.2630698040760029E-2</c:v>
                </c:pt>
                <c:pt idx="8">
                  <c:v>5.5075542965061342E-2</c:v>
                </c:pt>
                <c:pt idx="9">
                  <c:v>0.15684782851900758</c:v>
                </c:pt>
                <c:pt idx="10">
                  <c:v>-2.9495387114867544E-2</c:v>
                </c:pt>
                <c:pt idx="11">
                  <c:v>-3.5932081788831782E-2</c:v>
                </c:pt>
              </c:numCache>
            </c:numRef>
          </c:val>
          <c:smooth val="0"/>
          <c:extLst>
            <c:ext xmlns:c16="http://schemas.microsoft.com/office/drawing/2014/chart" uri="{C3380CC4-5D6E-409C-BE32-E72D297353CC}">
              <c16:uniqueId val="{0000000B-D748-4750-837E-B47DA6A3DC64}"/>
            </c:ext>
          </c:extLst>
        </c:ser>
        <c:ser>
          <c:idx val="9"/>
          <c:order val="9"/>
          <c:tx>
            <c:strRef>
              <c:f>ReturnsVtime!$K$1</c:f>
              <c:strCache>
                <c:ptCount val="1"/>
                <c:pt idx="0">
                  <c:v>PG </c:v>
                </c:pt>
              </c:strCache>
            </c:strRef>
          </c:tx>
          <c:spPr>
            <a:ln w="28575" cap="rnd">
              <a:solidFill>
                <a:srgbClr val="92D050"/>
              </a:solidFill>
              <a:round/>
            </a:ln>
            <a:effectLst/>
          </c:spPr>
          <c:marker>
            <c:symbol val="none"/>
          </c:marker>
          <c:val>
            <c:numRef>
              <c:f>ReturnsVtime!$K$2:$K$13</c:f>
              <c:numCache>
                <c:formatCode>0.00%</c:formatCode>
                <c:ptCount val="12"/>
                <c:pt idx="0">
                  <c:v>4.186489058039955E-2</c:v>
                </c:pt>
                <c:pt idx="1">
                  <c:v>3.9611872146118721E-2</c:v>
                </c:pt>
                <c:pt idx="2">
                  <c:v>-1.3396288569232473E-2</c:v>
                </c:pt>
                <c:pt idx="3">
                  <c:v>-2.8046744574290461E-2</c:v>
                </c:pt>
                <c:pt idx="4">
                  <c:v>8.7026222374899653E-3</c:v>
                </c:pt>
                <c:pt idx="5">
                  <c:v>-1.0670904756499011E-2</c:v>
                </c:pt>
                <c:pt idx="6">
                  <c:v>4.2111302352266122E-2</c:v>
                </c:pt>
                <c:pt idx="7">
                  <c:v>1.5965646333406802E-2</c:v>
                </c:pt>
                <c:pt idx="8">
                  <c:v>-1.3980708789422258E-2</c:v>
                </c:pt>
                <c:pt idx="9">
                  <c:v>-5.1000219828533755E-2</c:v>
                </c:pt>
                <c:pt idx="10">
                  <c:v>4.227472782024555E-2</c:v>
                </c:pt>
                <c:pt idx="11">
                  <c:v>2.1002333592621492E-2</c:v>
                </c:pt>
              </c:numCache>
            </c:numRef>
          </c:val>
          <c:smooth val="0"/>
          <c:extLst>
            <c:ext xmlns:c16="http://schemas.microsoft.com/office/drawing/2014/chart" uri="{C3380CC4-5D6E-409C-BE32-E72D297353CC}">
              <c16:uniqueId val="{0000000C-D748-4750-837E-B47DA6A3DC64}"/>
            </c:ext>
          </c:extLst>
        </c:ser>
        <c:ser>
          <c:idx val="10"/>
          <c:order val="10"/>
          <c:tx>
            <c:strRef>
              <c:f>ReturnsVtime!$L$1</c:f>
              <c:strCache>
                <c:ptCount val="1"/>
                <c:pt idx="0">
                  <c:v>UNH </c:v>
                </c:pt>
              </c:strCache>
            </c:strRef>
          </c:tx>
          <c:spPr>
            <a:ln w="28575" cap="rnd">
              <a:solidFill>
                <a:srgbClr val="002060"/>
              </a:solidFill>
              <a:round/>
            </a:ln>
            <a:effectLst/>
          </c:spPr>
          <c:marker>
            <c:symbol val="none"/>
          </c:marker>
          <c:val>
            <c:numRef>
              <c:f>ReturnsVtime!$L$2:$L$13</c:f>
              <c:numCache>
                <c:formatCode>0.00%</c:formatCode>
                <c:ptCount val="12"/>
                <c:pt idx="0">
                  <c:v>1.2871782054486358E-2</c:v>
                </c:pt>
                <c:pt idx="1">
                  <c:v>2.0234423195558238E-2</c:v>
                </c:pt>
                <c:pt idx="2">
                  <c:v>-8.283952110291426E-3</c:v>
                </c:pt>
                <c:pt idx="3">
                  <c:v>6.6276446558136692E-2</c:v>
                </c:pt>
                <c:pt idx="4">
                  <c:v>1.7154620311070623E-3</c:v>
                </c:pt>
                <c:pt idx="5">
                  <c:v>5.8454161433953544E-2</c:v>
                </c:pt>
                <c:pt idx="6">
                  <c:v>3.4462301801315931E-2</c:v>
                </c:pt>
                <c:pt idx="7">
                  <c:v>3.6963661957145177E-2</c:v>
                </c:pt>
                <c:pt idx="8">
                  <c:v>-1.5334338863750685E-2</c:v>
                </c:pt>
                <c:pt idx="9">
                  <c:v>7.3372478937962837E-2</c:v>
                </c:pt>
                <c:pt idx="10">
                  <c:v>8.5386737703358362E-2</c:v>
                </c:pt>
                <c:pt idx="11">
                  <c:v>-3.3790594731997969E-2</c:v>
                </c:pt>
              </c:numCache>
            </c:numRef>
          </c:val>
          <c:smooth val="0"/>
          <c:extLst>
            <c:ext xmlns:c16="http://schemas.microsoft.com/office/drawing/2014/chart" uri="{C3380CC4-5D6E-409C-BE32-E72D297353CC}">
              <c16:uniqueId val="{0000000D-D748-4750-837E-B47DA6A3DC64}"/>
            </c:ext>
          </c:extLst>
        </c:ser>
        <c:ser>
          <c:idx val="11"/>
          <c:order val="11"/>
          <c:tx>
            <c:strRef>
              <c:f>ReturnsVtime!$M$1</c:f>
              <c:strCache>
                <c:ptCount val="1"/>
                <c:pt idx="0">
                  <c:v>S&amp;P 500</c:v>
                </c:pt>
              </c:strCache>
            </c:strRef>
          </c:tx>
          <c:spPr>
            <a:ln w="28575" cap="rnd">
              <a:solidFill>
                <a:schemeClr val="tx1">
                  <a:lumMod val="95000"/>
                  <a:lumOff val="5000"/>
                </a:schemeClr>
              </a:solidFill>
              <a:round/>
            </a:ln>
            <a:effectLst/>
          </c:spPr>
          <c:marker>
            <c:symbol val="none"/>
          </c:marker>
          <c:val>
            <c:numRef>
              <c:f>ReturnsVtime!$M$2:$M$13</c:f>
              <c:numCache>
                <c:formatCode>0.00%</c:formatCode>
                <c:ptCount val="12"/>
                <c:pt idx="0">
                  <c:v>1.7884341374735824E-2</c:v>
                </c:pt>
                <c:pt idx="1">
                  <c:v>3.7198260541408734E-2</c:v>
                </c:pt>
                <c:pt idx="2">
                  <c:v>-3.8923017041514463E-4</c:v>
                </c:pt>
                <c:pt idx="3">
                  <c:v>9.0912169025529899E-3</c:v>
                </c:pt>
                <c:pt idx="4">
                  <c:v>1.1576210049492719E-2</c:v>
                </c:pt>
                <c:pt idx="5">
                  <c:v>4.8138319927024664E-3</c:v>
                </c:pt>
                <c:pt idx="6">
                  <c:v>1.9348768883515444E-2</c:v>
                </c:pt>
                <c:pt idx="7">
                  <c:v>5.4649232886694321E-4</c:v>
                </c:pt>
                <c:pt idx="8">
                  <c:v>1.9302894827342154E-2</c:v>
                </c:pt>
                <c:pt idx="9">
                  <c:v>2.2188174774546043E-2</c:v>
                </c:pt>
                <c:pt idx="10">
                  <c:v>2.8082601368405458E-2</c:v>
                </c:pt>
                <c:pt idx="11">
                  <c:v>9.8316198188534987E-3</c:v>
                </c:pt>
              </c:numCache>
            </c:numRef>
          </c:val>
          <c:smooth val="0"/>
          <c:extLst>
            <c:ext xmlns:c16="http://schemas.microsoft.com/office/drawing/2014/chart" uri="{C3380CC4-5D6E-409C-BE32-E72D297353CC}">
              <c16:uniqueId val="{0000000E-D748-4750-837E-B47DA6A3DC64}"/>
            </c:ext>
          </c:extLst>
        </c:ser>
        <c:dLbls>
          <c:showLegendKey val="0"/>
          <c:showVal val="0"/>
          <c:showCatName val="0"/>
          <c:showSerName val="0"/>
          <c:showPercent val="0"/>
          <c:showBubbleSize val="0"/>
        </c:dLbls>
        <c:smooth val="0"/>
        <c:axId val="41544079"/>
        <c:axId val="41543599"/>
      </c:lineChart>
      <c:dateAx>
        <c:axId val="41544079"/>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43599"/>
        <c:crosses val="autoZero"/>
        <c:auto val="1"/>
        <c:lblOffset val="100"/>
        <c:baseTimeUnit val="months"/>
      </c:dateAx>
      <c:valAx>
        <c:axId val="415435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44079"/>
        <c:crosses val="autoZero"/>
        <c:crossBetween val="between"/>
      </c:valAx>
      <c:spPr>
        <a:noFill/>
        <a:ln>
          <a:noFill/>
        </a:ln>
        <a:effectLst/>
      </c:spPr>
    </c:plotArea>
    <c:legend>
      <c:legendPos val="r"/>
      <c:layout>
        <c:manualLayout>
          <c:xMode val="edge"/>
          <c:yMode val="edge"/>
          <c:x val="0.85993095690624877"/>
          <c:y val="0.11792243726543526"/>
          <c:w val="0.11839418461567583"/>
          <c:h val="0.719365603278275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baseline="0"/>
              <a:t>Annual Returns by Holding vs. S&amp;P 500 (2017–2022)</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lineChart>
        <c:grouping val="standard"/>
        <c:varyColors val="0"/>
        <c:ser>
          <c:idx val="0"/>
          <c:order val="0"/>
          <c:tx>
            <c:strRef>
              <c:f>ReturnsVtime!$B$87</c:f>
              <c:strCache>
                <c:ptCount val="1"/>
                <c:pt idx="0">
                  <c:v>GOOGL</c:v>
                </c:pt>
              </c:strCache>
            </c:strRef>
          </c:tx>
          <c:spPr>
            <a:ln w="25400" cap="rnd">
              <a:solidFill>
                <a:schemeClr val="accent1"/>
              </a:solidFill>
              <a:round/>
            </a:ln>
            <a:effectLst/>
          </c:spPr>
          <c:marker>
            <c:symbol val="none"/>
          </c:marker>
          <c:cat>
            <c:numRef>
              <c:f>ReturnsVtime!$A$88:$A$93</c:f>
              <c:numCache>
                <c:formatCode>General</c:formatCode>
                <c:ptCount val="6"/>
                <c:pt idx="0">
                  <c:v>2017</c:v>
                </c:pt>
                <c:pt idx="1">
                  <c:v>2018</c:v>
                </c:pt>
                <c:pt idx="2">
                  <c:v>2019</c:v>
                </c:pt>
                <c:pt idx="3">
                  <c:v>2020</c:v>
                </c:pt>
                <c:pt idx="4">
                  <c:v>2021</c:v>
                </c:pt>
                <c:pt idx="5">
                  <c:v>2022</c:v>
                </c:pt>
              </c:numCache>
            </c:numRef>
          </c:cat>
          <c:val>
            <c:numRef>
              <c:f>ReturnsVtime!$B$88:$B$93</c:f>
              <c:numCache>
                <c:formatCode>0%</c:formatCode>
                <c:ptCount val="6"/>
                <c:pt idx="0">
                  <c:v>0.3292952236734179</c:v>
                </c:pt>
                <c:pt idx="1">
                  <c:v>-8.0121511296752379E-3</c:v>
                </c:pt>
                <c:pt idx="2">
                  <c:v>0.28176198131985952</c:v>
                </c:pt>
                <c:pt idx="3">
                  <c:v>0.30853597533205401</c:v>
                </c:pt>
                <c:pt idx="4">
                  <c:v>0.65295782362607224</c:v>
                </c:pt>
                <c:pt idx="5">
                  <c:v>-0.39089553475271321</c:v>
                </c:pt>
              </c:numCache>
            </c:numRef>
          </c:val>
          <c:smooth val="0"/>
          <c:extLst>
            <c:ext xmlns:c16="http://schemas.microsoft.com/office/drawing/2014/chart" uri="{C3380CC4-5D6E-409C-BE32-E72D297353CC}">
              <c16:uniqueId val="{00000006-C078-48EF-8F7B-BD179EA3CF44}"/>
            </c:ext>
          </c:extLst>
        </c:ser>
        <c:ser>
          <c:idx val="1"/>
          <c:order val="1"/>
          <c:tx>
            <c:strRef>
              <c:f>ReturnsVtime!$C$87</c:f>
              <c:strCache>
                <c:ptCount val="1"/>
                <c:pt idx="0">
                  <c:v>AMZN </c:v>
                </c:pt>
              </c:strCache>
            </c:strRef>
          </c:tx>
          <c:spPr>
            <a:ln w="25400" cap="rnd">
              <a:solidFill>
                <a:srgbClr val="FFC000"/>
              </a:solidFill>
              <a:round/>
            </a:ln>
            <a:effectLst/>
          </c:spPr>
          <c:marker>
            <c:symbol val="none"/>
          </c:marker>
          <c:cat>
            <c:numRef>
              <c:f>ReturnsVtime!$A$88:$A$93</c:f>
              <c:numCache>
                <c:formatCode>General</c:formatCode>
                <c:ptCount val="6"/>
                <c:pt idx="0">
                  <c:v>2017</c:v>
                </c:pt>
                <c:pt idx="1">
                  <c:v>2018</c:v>
                </c:pt>
                <c:pt idx="2">
                  <c:v>2019</c:v>
                </c:pt>
                <c:pt idx="3">
                  <c:v>2020</c:v>
                </c:pt>
                <c:pt idx="4">
                  <c:v>2021</c:v>
                </c:pt>
                <c:pt idx="5">
                  <c:v>2022</c:v>
                </c:pt>
              </c:numCache>
            </c:numRef>
          </c:cat>
          <c:val>
            <c:numRef>
              <c:f>ReturnsVtime!$C$88:$C$93</c:f>
              <c:numCache>
                <c:formatCode>0%</c:formatCode>
                <c:ptCount val="6"/>
                <c:pt idx="0">
                  <c:v>0.55956365770066796</c:v>
                </c:pt>
                <c:pt idx="1">
                  <c:v>0.2843168272807346</c:v>
                </c:pt>
                <c:pt idx="2">
                  <c:v>0.230277568792985</c:v>
                </c:pt>
                <c:pt idx="3">
                  <c:v>0.76256061130833896</c:v>
                </c:pt>
                <c:pt idx="4">
                  <c:v>2.3767781315534142E-2</c:v>
                </c:pt>
                <c:pt idx="5">
                  <c:v>-0.4961521620470617</c:v>
                </c:pt>
              </c:numCache>
            </c:numRef>
          </c:val>
          <c:smooth val="0"/>
          <c:extLst>
            <c:ext xmlns:c16="http://schemas.microsoft.com/office/drawing/2014/chart" uri="{C3380CC4-5D6E-409C-BE32-E72D297353CC}">
              <c16:uniqueId val="{00000007-C078-48EF-8F7B-BD179EA3CF44}"/>
            </c:ext>
          </c:extLst>
        </c:ser>
        <c:ser>
          <c:idx val="2"/>
          <c:order val="2"/>
          <c:tx>
            <c:strRef>
              <c:f>ReturnsVtime!$D$87</c:f>
              <c:strCache>
                <c:ptCount val="1"/>
                <c:pt idx="0">
                  <c:v>BALL</c:v>
                </c:pt>
              </c:strCache>
            </c:strRef>
          </c:tx>
          <c:spPr>
            <a:ln w="25400" cap="rnd">
              <a:solidFill>
                <a:srgbClr val="00B050"/>
              </a:solidFill>
              <a:round/>
            </a:ln>
            <a:effectLst/>
          </c:spPr>
          <c:marker>
            <c:symbol val="none"/>
          </c:marker>
          <c:cat>
            <c:numRef>
              <c:f>ReturnsVtime!$A$88:$A$93</c:f>
              <c:numCache>
                <c:formatCode>General</c:formatCode>
                <c:ptCount val="6"/>
                <c:pt idx="0">
                  <c:v>2017</c:v>
                </c:pt>
                <c:pt idx="1">
                  <c:v>2018</c:v>
                </c:pt>
                <c:pt idx="2">
                  <c:v>2019</c:v>
                </c:pt>
                <c:pt idx="3">
                  <c:v>2020</c:v>
                </c:pt>
                <c:pt idx="4">
                  <c:v>2021</c:v>
                </c:pt>
                <c:pt idx="5">
                  <c:v>2022</c:v>
                </c:pt>
              </c:numCache>
            </c:numRef>
          </c:cat>
          <c:val>
            <c:numRef>
              <c:f>ReturnsVtime!$D$88:$D$93</c:f>
              <c:numCache>
                <c:formatCode>0%</c:formatCode>
                <c:ptCount val="6"/>
                <c:pt idx="0">
                  <c:v>8.392167310510068E-3</c:v>
                </c:pt>
                <c:pt idx="1">
                  <c:v>0.21479524438573239</c:v>
                </c:pt>
                <c:pt idx="2">
                  <c:v>0.40648107872988315</c:v>
                </c:pt>
                <c:pt idx="3">
                  <c:v>0.44085356424926547</c:v>
                </c:pt>
                <c:pt idx="4">
                  <c:v>3.3161622665808466E-2</c:v>
                </c:pt>
                <c:pt idx="5">
                  <c:v>-0.46878570686610543</c:v>
                </c:pt>
              </c:numCache>
            </c:numRef>
          </c:val>
          <c:smooth val="0"/>
          <c:extLst>
            <c:ext xmlns:c16="http://schemas.microsoft.com/office/drawing/2014/chart" uri="{C3380CC4-5D6E-409C-BE32-E72D297353CC}">
              <c16:uniqueId val="{00000008-C078-48EF-8F7B-BD179EA3CF44}"/>
            </c:ext>
          </c:extLst>
        </c:ser>
        <c:ser>
          <c:idx val="3"/>
          <c:order val="3"/>
          <c:tx>
            <c:strRef>
              <c:f>ReturnsVtime!$E$87</c:f>
              <c:strCache>
                <c:ptCount val="1"/>
                <c:pt idx="0">
                  <c:v>EQIX</c:v>
                </c:pt>
              </c:strCache>
            </c:strRef>
          </c:tx>
          <c:spPr>
            <a:ln w="25400" cap="rnd">
              <a:solidFill>
                <a:schemeClr val="accent4"/>
              </a:solidFill>
              <a:round/>
            </a:ln>
            <a:effectLst/>
          </c:spPr>
          <c:marker>
            <c:symbol val="none"/>
          </c:marker>
          <c:cat>
            <c:numRef>
              <c:f>ReturnsVtime!$A$88:$A$93</c:f>
              <c:numCache>
                <c:formatCode>General</c:formatCode>
                <c:ptCount val="6"/>
                <c:pt idx="0">
                  <c:v>2017</c:v>
                </c:pt>
                <c:pt idx="1">
                  <c:v>2018</c:v>
                </c:pt>
                <c:pt idx="2">
                  <c:v>2019</c:v>
                </c:pt>
                <c:pt idx="3">
                  <c:v>2020</c:v>
                </c:pt>
                <c:pt idx="4">
                  <c:v>2021</c:v>
                </c:pt>
                <c:pt idx="5">
                  <c:v>2022</c:v>
                </c:pt>
              </c:numCache>
            </c:numRef>
          </c:cat>
          <c:val>
            <c:numRef>
              <c:f>ReturnsVtime!$E$88:$E$93</c:f>
              <c:numCache>
                <c:formatCode>0%</c:formatCode>
                <c:ptCount val="6"/>
                <c:pt idx="0">
                  <c:v>0.26806748552083026</c:v>
                </c:pt>
                <c:pt idx="1">
                  <c:v>-0.22209964255769843</c:v>
                </c:pt>
                <c:pt idx="2">
                  <c:v>0.6556047197640118</c:v>
                </c:pt>
                <c:pt idx="3">
                  <c:v>0.22353948946376545</c:v>
                </c:pt>
                <c:pt idx="4">
                  <c:v>0.18435128399003098</c:v>
                </c:pt>
                <c:pt idx="5">
                  <c:v>-0.22558639931902025</c:v>
                </c:pt>
              </c:numCache>
            </c:numRef>
          </c:val>
          <c:smooth val="0"/>
          <c:extLst>
            <c:ext xmlns:c16="http://schemas.microsoft.com/office/drawing/2014/chart" uri="{C3380CC4-5D6E-409C-BE32-E72D297353CC}">
              <c16:uniqueId val="{00000009-C078-48EF-8F7B-BD179EA3CF44}"/>
            </c:ext>
          </c:extLst>
        </c:ser>
        <c:ser>
          <c:idx val="4"/>
          <c:order val="4"/>
          <c:tx>
            <c:strRef>
              <c:f>ReturnsVtime!$F$87</c:f>
              <c:strCache>
                <c:ptCount val="1"/>
                <c:pt idx="0">
                  <c:v>HON </c:v>
                </c:pt>
              </c:strCache>
            </c:strRef>
          </c:tx>
          <c:spPr>
            <a:ln w="28575" cap="rnd">
              <a:solidFill>
                <a:schemeClr val="accent5"/>
              </a:solidFill>
              <a:round/>
            </a:ln>
            <a:effectLst/>
          </c:spPr>
          <c:marker>
            <c:symbol val="none"/>
          </c:marker>
          <c:dPt>
            <c:idx val="3"/>
            <c:marker>
              <c:symbol val="none"/>
            </c:marker>
            <c:bubble3D val="0"/>
            <c:spPr>
              <a:ln w="25400" cap="rnd">
                <a:solidFill>
                  <a:schemeClr val="accent5"/>
                </a:solidFill>
                <a:round/>
              </a:ln>
              <a:effectLst/>
            </c:spPr>
            <c:extLst>
              <c:ext xmlns:c16="http://schemas.microsoft.com/office/drawing/2014/chart" uri="{C3380CC4-5D6E-409C-BE32-E72D297353CC}">
                <c16:uniqueId val="{00000012-C078-48EF-8F7B-BD179EA3CF44}"/>
              </c:ext>
            </c:extLst>
          </c:dPt>
          <c:cat>
            <c:numRef>
              <c:f>ReturnsVtime!$A$88:$A$93</c:f>
              <c:numCache>
                <c:formatCode>General</c:formatCode>
                <c:ptCount val="6"/>
                <c:pt idx="0">
                  <c:v>2017</c:v>
                </c:pt>
                <c:pt idx="1">
                  <c:v>2018</c:v>
                </c:pt>
                <c:pt idx="2">
                  <c:v>2019</c:v>
                </c:pt>
                <c:pt idx="3">
                  <c:v>2020</c:v>
                </c:pt>
                <c:pt idx="4">
                  <c:v>2021</c:v>
                </c:pt>
                <c:pt idx="5">
                  <c:v>2022</c:v>
                </c:pt>
              </c:numCache>
            </c:numRef>
          </c:cat>
          <c:val>
            <c:numRef>
              <c:f>ReturnsVtime!$F$88:$F$93</c:f>
              <c:numCache>
                <c:formatCode>0%</c:formatCode>
                <c:ptCount val="6"/>
                <c:pt idx="0">
                  <c:v>0.32377991004335538</c:v>
                </c:pt>
                <c:pt idx="1">
                  <c:v>-0.10020717300784976</c:v>
                </c:pt>
                <c:pt idx="2">
                  <c:v>0.3396911898274293</c:v>
                </c:pt>
                <c:pt idx="3">
                  <c:v>0.20169491525423711</c:v>
                </c:pt>
                <c:pt idx="4">
                  <c:v>-1.9699106723084281E-2</c:v>
                </c:pt>
                <c:pt idx="5">
                  <c:v>2.7768452352405326E-2</c:v>
                </c:pt>
              </c:numCache>
            </c:numRef>
          </c:val>
          <c:smooth val="0"/>
          <c:extLst>
            <c:ext xmlns:c16="http://schemas.microsoft.com/office/drawing/2014/chart" uri="{C3380CC4-5D6E-409C-BE32-E72D297353CC}">
              <c16:uniqueId val="{0000000A-C078-48EF-8F7B-BD179EA3CF44}"/>
            </c:ext>
          </c:extLst>
        </c:ser>
        <c:ser>
          <c:idx val="5"/>
          <c:order val="5"/>
          <c:tx>
            <c:strRef>
              <c:f>ReturnsVtime!$G$87</c:f>
              <c:strCache>
                <c:ptCount val="1"/>
                <c:pt idx="0">
                  <c:v>MA </c:v>
                </c:pt>
              </c:strCache>
            </c:strRef>
          </c:tx>
          <c:spPr>
            <a:ln w="25400" cap="rnd">
              <a:solidFill>
                <a:srgbClr val="92D050"/>
              </a:solidFill>
              <a:round/>
            </a:ln>
            <a:effectLst/>
          </c:spPr>
          <c:marker>
            <c:symbol val="none"/>
          </c:marker>
          <c:val>
            <c:numRef>
              <c:f>ReturnsVtime!$G$88:$G$93</c:f>
              <c:numCache>
                <c:formatCode>0%</c:formatCode>
                <c:ptCount val="6"/>
                <c:pt idx="0">
                  <c:v>0.46595641646489083</c:v>
                </c:pt>
                <c:pt idx="1">
                  <c:v>0.24636627906976738</c:v>
                </c:pt>
                <c:pt idx="2">
                  <c:v>0.58277232971110449</c:v>
                </c:pt>
                <c:pt idx="3">
                  <c:v>0.19541846679393116</c:v>
                </c:pt>
                <c:pt idx="4">
                  <c:v>6.6677873031879553E-3</c:v>
                </c:pt>
                <c:pt idx="5">
                  <c:v>-3.225537125681821E-2</c:v>
                </c:pt>
              </c:numCache>
            </c:numRef>
          </c:val>
          <c:smooth val="0"/>
          <c:extLst>
            <c:ext xmlns:c16="http://schemas.microsoft.com/office/drawing/2014/chart" uri="{C3380CC4-5D6E-409C-BE32-E72D297353CC}">
              <c16:uniqueId val="{0000000B-C078-48EF-8F7B-BD179EA3CF44}"/>
            </c:ext>
          </c:extLst>
        </c:ser>
        <c:ser>
          <c:idx val="6"/>
          <c:order val="6"/>
          <c:tx>
            <c:strRef>
              <c:f>ReturnsVtime!$H$87</c:f>
              <c:strCache>
                <c:ptCount val="1"/>
                <c:pt idx="0">
                  <c:v>NEE </c:v>
                </c:pt>
              </c:strCache>
            </c:strRef>
          </c:tx>
          <c:spPr>
            <a:ln w="25400" cap="rnd">
              <a:solidFill>
                <a:srgbClr val="FFFF00"/>
              </a:solidFill>
              <a:round/>
            </a:ln>
            <a:effectLst/>
          </c:spPr>
          <c:marker>
            <c:symbol val="none"/>
          </c:marker>
          <c:val>
            <c:numRef>
              <c:f>ReturnsVtime!$H$88:$H$93</c:f>
              <c:numCache>
                <c:formatCode>0%</c:formatCode>
                <c:ptCount val="6"/>
                <c:pt idx="0">
                  <c:v>0.30746693453875795</c:v>
                </c:pt>
                <c:pt idx="1">
                  <c:v>0.11287534413214639</c:v>
                </c:pt>
                <c:pt idx="2">
                  <c:v>0.39316534345875054</c:v>
                </c:pt>
                <c:pt idx="3">
                  <c:v>0.27436405682193632</c:v>
                </c:pt>
                <c:pt idx="4">
                  <c:v>0.21011017498379747</c:v>
                </c:pt>
                <c:pt idx="5">
                  <c:v>-0.10454155955441313</c:v>
                </c:pt>
              </c:numCache>
            </c:numRef>
          </c:val>
          <c:smooth val="0"/>
          <c:extLst>
            <c:ext xmlns:c16="http://schemas.microsoft.com/office/drawing/2014/chart" uri="{C3380CC4-5D6E-409C-BE32-E72D297353CC}">
              <c16:uniqueId val="{0000000C-C078-48EF-8F7B-BD179EA3CF44}"/>
            </c:ext>
          </c:extLst>
        </c:ser>
        <c:ser>
          <c:idx val="7"/>
          <c:order val="7"/>
          <c:tx>
            <c:strRef>
              <c:f>ReturnsVtime!$I$87</c:f>
              <c:strCache>
                <c:ptCount val="1"/>
                <c:pt idx="0">
                  <c:v>SLB</c:v>
                </c:pt>
              </c:strCache>
            </c:strRef>
          </c:tx>
          <c:spPr>
            <a:ln w="25400" cap="rnd">
              <a:solidFill>
                <a:srgbClr val="7030A0"/>
              </a:solidFill>
              <a:round/>
            </a:ln>
            <a:effectLst/>
          </c:spPr>
          <c:marker>
            <c:symbol val="none"/>
          </c:marker>
          <c:val>
            <c:numRef>
              <c:f>ReturnsVtime!$I$88:$I$93</c:f>
              <c:numCache>
                <c:formatCode>0%</c:formatCode>
                <c:ptCount val="6"/>
                <c:pt idx="0">
                  <c:v>-0.19726027397260271</c:v>
                </c:pt>
                <c:pt idx="1">
                  <c:v>-0.46460899243211151</c:v>
                </c:pt>
                <c:pt idx="2">
                  <c:v>0.11419068736141913</c:v>
                </c:pt>
                <c:pt idx="3">
                  <c:v>-0.45696517412935311</c:v>
                </c:pt>
                <c:pt idx="4">
                  <c:v>0.37196518552450697</c:v>
                </c:pt>
                <c:pt idx="5">
                  <c:v>0.78497495826377239</c:v>
                </c:pt>
              </c:numCache>
            </c:numRef>
          </c:val>
          <c:smooth val="0"/>
          <c:extLst>
            <c:ext xmlns:c16="http://schemas.microsoft.com/office/drawing/2014/chart" uri="{C3380CC4-5D6E-409C-BE32-E72D297353CC}">
              <c16:uniqueId val="{0000000D-C078-48EF-8F7B-BD179EA3CF44}"/>
            </c:ext>
          </c:extLst>
        </c:ser>
        <c:ser>
          <c:idx val="8"/>
          <c:order val="8"/>
          <c:tx>
            <c:strRef>
              <c:f>ReturnsVtime!$J$87</c:f>
              <c:strCache>
                <c:ptCount val="1"/>
                <c:pt idx="0">
                  <c:v>NVDA </c:v>
                </c:pt>
              </c:strCache>
            </c:strRef>
          </c:tx>
          <c:spPr>
            <a:ln w="25400" cap="rnd">
              <a:solidFill>
                <a:srgbClr val="C00000"/>
              </a:solidFill>
              <a:round/>
            </a:ln>
            <a:effectLst/>
          </c:spPr>
          <c:marker>
            <c:symbol val="none"/>
          </c:marker>
          <c:val>
            <c:numRef>
              <c:f>ReturnsVtime!$J$88:$J$93</c:f>
              <c:numCache>
                <c:formatCode>0%</c:formatCode>
                <c:ptCount val="6"/>
                <c:pt idx="0">
                  <c:v>0.81281618887015217</c:v>
                </c:pt>
                <c:pt idx="1">
                  <c:v>-0.31007751937984529</c:v>
                </c:pt>
                <c:pt idx="2">
                  <c:v>0.76254681647940115</c:v>
                </c:pt>
                <c:pt idx="3">
                  <c:v>1.2192945176370595</c:v>
                </c:pt>
                <c:pt idx="4">
                  <c:v>1.2528533129069328</c:v>
                </c:pt>
                <c:pt idx="5">
                  <c:v>-0.50311108088810308</c:v>
                </c:pt>
              </c:numCache>
            </c:numRef>
          </c:val>
          <c:smooth val="0"/>
          <c:extLst>
            <c:ext xmlns:c16="http://schemas.microsoft.com/office/drawing/2014/chart" uri="{C3380CC4-5D6E-409C-BE32-E72D297353CC}">
              <c16:uniqueId val="{0000000E-C078-48EF-8F7B-BD179EA3CF44}"/>
            </c:ext>
          </c:extLst>
        </c:ser>
        <c:ser>
          <c:idx val="9"/>
          <c:order val="9"/>
          <c:tx>
            <c:strRef>
              <c:f>ReturnsVtime!$K$87</c:f>
              <c:strCache>
                <c:ptCount val="1"/>
                <c:pt idx="0">
                  <c:v>PG </c:v>
                </c:pt>
              </c:strCache>
            </c:strRef>
          </c:tx>
          <c:spPr>
            <a:ln w="25400" cap="rnd">
              <a:solidFill>
                <a:srgbClr val="FF0000"/>
              </a:solidFill>
              <a:round/>
            </a:ln>
            <a:effectLst/>
          </c:spPr>
          <c:marker>
            <c:symbol val="none"/>
          </c:marker>
          <c:val>
            <c:numRef>
              <c:f>ReturnsVtime!$K$88:$K$93</c:f>
              <c:numCache>
                <c:formatCode>0%</c:formatCode>
                <c:ptCount val="6"/>
                <c:pt idx="0">
                  <c:v>9.2768791627022118E-2</c:v>
                </c:pt>
                <c:pt idx="1">
                  <c:v>4.3535045711817766E-4</c:v>
                </c:pt>
                <c:pt idx="2">
                  <c:v>0.35879025239338524</c:v>
                </c:pt>
                <c:pt idx="3">
                  <c:v>0.11401120896717365</c:v>
                </c:pt>
                <c:pt idx="4">
                  <c:v>0.1756504240333483</c:v>
                </c:pt>
                <c:pt idx="5">
                  <c:v>-7.3480865631495251E-2</c:v>
                </c:pt>
              </c:numCache>
            </c:numRef>
          </c:val>
          <c:smooth val="0"/>
          <c:extLst>
            <c:ext xmlns:c16="http://schemas.microsoft.com/office/drawing/2014/chart" uri="{C3380CC4-5D6E-409C-BE32-E72D297353CC}">
              <c16:uniqueId val="{0000000F-C078-48EF-8F7B-BD179EA3CF44}"/>
            </c:ext>
          </c:extLst>
        </c:ser>
        <c:ser>
          <c:idx val="10"/>
          <c:order val="10"/>
          <c:tx>
            <c:strRef>
              <c:f>ReturnsVtime!$L$87</c:f>
              <c:strCache>
                <c:ptCount val="1"/>
                <c:pt idx="0">
                  <c:v>UNH </c:v>
                </c:pt>
              </c:strCache>
            </c:strRef>
          </c:tx>
          <c:spPr>
            <a:ln w="25400" cap="rnd">
              <a:solidFill>
                <a:srgbClr val="0070C0"/>
              </a:solidFill>
              <a:round/>
            </a:ln>
            <a:effectLst/>
          </c:spPr>
          <c:marker>
            <c:symbol val="none"/>
          </c:marker>
          <c:val>
            <c:numRef>
              <c:f>ReturnsVtime!$L$88:$L$93</c:f>
              <c:numCache>
                <c:formatCode>0%</c:formatCode>
                <c:ptCount val="6"/>
                <c:pt idx="0">
                  <c:v>0.37753061734566362</c:v>
                </c:pt>
                <c:pt idx="1">
                  <c:v>0.13000090719404866</c:v>
                </c:pt>
                <c:pt idx="2">
                  <c:v>0.18007385998715519</c:v>
                </c:pt>
                <c:pt idx="3">
                  <c:v>0.19287026328321666</c:v>
                </c:pt>
                <c:pt idx="4">
                  <c:v>0.43190372989620207</c:v>
                </c:pt>
                <c:pt idx="5">
                  <c:v>5.5841000517784067E-2</c:v>
                </c:pt>
              </c:numCache>
            </c:numRef>
          </c:val>
          <c:smooth val="0"/>
          <c:extLst>
            <c:ext xmlns:c16="http://schemas.microsoft.com/office/drawing/2014/chart" uri="{C3380CC4-5D6E-409C-BE32-E72D297353CC}">
              <c16:uniqueId val="{00000010-C078-48EF-8F7B-BD179EA3CF44}"/>
            </c:ext>
          </c:extLst>
        </c:ser>
        <c:ser>
          <c:idx val="11"/>
          <c:order val="11"/>
          <c:tx>
            <c:strRef>
              <c:f>ReturnsVtime!$M$87</c:f>
              <c:strCache>
                <c:ptCount val="1"/>
                <c:pt idx="0">
                  <c:v>S&amp;P 500</c:v>
                </c:pt>
              </c:strCache>
            </c:strRef>
          </c:tx>
          <c:spPr>
            <a:ln w="34925" cap="rnd">
              <a:solidFill>
                <a:srgbClr val="002060"/>
              </a:solidFill>
              <a:round/>
            </a:ln>
            <a:effectLst/>
          </c:spPr>
          <c:marker>
            <c:symbol val="circle"/>
            <c:size val="5"/>
            <c:spPr>
              <a:solidFill>
                <a:srgbClr val="002060"/>
              </a:solidFill>
              <a:ln w="9525">
                <a:solidFill>
                  <a:srgbClr val="002060"/>
                </a:solidFill>
              </a:ln>
              <a:effectLst/>
            </c:spPr>
          </c:marker>
          <c:val>
            <c:numRef>
              <c:f>ReturnsVtime!$M$88:$M$93</c:f>
              <c:numCache>
                <c:formatCode>0%</c:formatCode>
                <c:ptCount val="6"/>
                <c:pt idx="0">
                  <c:v>0.19419964892376851</c:v>
                </c:pt>
                <c:pt idx="1">
                  <c:v>-6.2372597349650616E-2</c:v>
                </c:pt>
                <c:pt idx="2">
                  <c:v>0.28878074077028959</c:v>
                </c:pt>
                <c:pt idx="3">
                  <c:v>0.16258921994069597</c:v>
                </c:pt>
                <c:pt idx="4">
                  <c:v>0.26892736290857222</c:v>
                </c:pt>
                <c:pt idx="5">
                  <c:v>-0.19442824232404188</c:v>
                </c:pt>
              </c:numCache>
            </c:numRef>
          </c:val>
          <c:smooth val="0"/>
          <c:extLst>
            <c:ext xmlns:c16="http://schemas.microsoft.com/office/drawing/2014/chart" uri="{C3380CC4-5D6E-409C-BE32-E72D297353CC}">
              <c16:uniqueId val="{00000011-C078-48EF-8F7B-BD179EA3CF44}"/>
            </c:ext>
          </c:extLst>
        </c:ser>
        <c:dLbls>
          <c:showLegendKey val="0"/>
          <c:showVal val="0"/>
          <c:showCatName val="0"/>
          <c:showSerName val="0"/>
          <c:showPercent val="0"/>
          <c:showBubbleSize val="0"/>
        </c:dLbls>
        <c:smooth val="0"/>
        <c:axId val="198118015"/>
        <c:axId val="198117055"/>
      </c:lineChart>
      <c:catAx>
        <c:axId val="198118015"/>
        <c:scaling>
          <c:orientation val="minMax"/>
        </c:scaling>
        <c:delete val="0"/>
        <c:axPos val="b"/>
        <c:numFmt formatCode="General" sourceLinked="1"/>
        <c:majorTickMark val="none"/>
        <c:minorTickMark val="none"/>
        <c:tickLblPos val="low"/>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17055"/>
        <c:crosses val="autoZero"/>
        <c:auto val="1"/>
        <c:lblAlgn val="ctr"/>
        <c:lblOffset val="100"/>
        <c:noMultiLvlLbl val="0"/>
      </c:catAx>
      <c:valAx>
        <c:axId val="1981170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18015"/>
        <c:crossesAt val="1"/>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Portfolio</a:t>
            </a:r>
            <a:r>
              <a:rPr lang="en-AU" baseline="0"/>
              <a:t> Return Vs NASDAQ vs S&amp;P 500</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lineChart>
        <c:grouping val="standard"/>
        <c:varyColors val="0"/>
        <c:ser>
          <c:idx val="0"/>
          <c:order val="0"/>
          <c:tx>
            <c:strRef>
              <c:f>Benchmark!$B$16</c:f>
              <c:strCache>
                <c:ptCount val="1"/>
                <c:pt idx="0">
                  <c:v>Portfolio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3"/>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5-4BA0-4A80-B714-0F34C3E92ECA}"/>
              </c:ext>
            </c:extLst>
          </c:dPt>
          <c:cat>
            <c:numRef>
              <c:f>Benchmark!$C$15:$H$15</c:f>
              <c:numCache>
                <c:formatCode>General</c:formatCode>
                <c:ptCount val="6"/>
                <c:pt idx="0">
                  <c:v>2017</c:v>
                </c:pt>
                <c:pt idx="1">
                  <c:v>2018</c:v>
                </c:pt>
                <c:pt idx="2">
                  <c:v>2019</c:v>
                </c:pt>
                <c:pt idx="3">
                  <c:v>2020</c:v>
                </c:pt>
                <c:pt idx="4">
                  <c:v>2021</c:v>
                </c:pt>
                <c:pt idx="5">
                  <c:v>2022</c:v>
                </c:pt>
              </c:numCache>
            </c:numRef>
          </c:cat>
          <c:val>
            <c:numRef>
              <c:f>Benchmark!$C$16:$H$16</c:f>
              <c:numCache>
                <c:formatCode>0.00%</c:formatCode>
                <c:ptCount val="6"/>
                <c:pt idx="0">
                  <c:v>0.44516004652602115</c:v>
                </c:pt>
                <c:pt idx="1">
                  <c:v>-2.2264898889150959E-3</c:v>
                </c:pt>
                <c:pt idx="2">
                  <c:v>0.4250691098750205</c:v>
                </c:pt>
                <c:pt idx="3">
                  <c:v>0.51393934977661893</c:v>
                </c:pt>
                <c:pt idx="4">
                  <c:v>0.46260219139343817</c:v>
                </c:pt>
                <c:pt idx="5">
                  <c:v>-0.25739009115901984</c:v>
                </c:pt>
              </c:numCache>
            </c:numRef>
          </c:val>
          <c:smooth val="0"/>
          <c:extLst>
            <c:ext xmlns:c16="http://schemas.microsoft.com/office/drawing/2014/chart" uri="{C3380CC4-5D6E-409C-BE32-E72D297353CC}">
              <c16:uniqueId val="{00000000-4BA0-4A80-B714-0F34C3E92ECA}"/>
            </c:ext>
          </c:extLst>
        </c:ser>
        <c:ser>
          <c:idx val="1"/>
          <c:order val="1"/>
          <c:tx>
            <c:strRef>
              <c:f>Benchmark!$B$17</c:f>
              <c:strCache>
                <c:ptCount val="1"/>
                <c:pt idx="0">
                  <c:v>S&amp;P 500</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Benchmark!$C$15:$H$15</c:f>
              <c:numCache>
                <c:formatCode>General</c:formatCode>
                <c:ptCount val="6"/>
                <c:pt idx="0">
                  <c:v>2017</c:v>
                </c:pt>
                <c:pt idx="1">
                  <c:v>2018</c:v>
                </c:pt>
                <c:pt idx="2">
                  <c:v>2019</c:v>
                </c:pt>
                <c:pt idx="3">
                  <c:v>2020</c:v>
                </c:pt>
                <c:pt idx="4">
                  <c:v>2021</c:v>
                </c:pt>
                <c:pt idx="5">
                  <c:v>2022</c:v>
                </c:pt>
              </c:numCache>
            </c:numRef>
          </c:cat>
          <c:val>
            <c:numRef>
              <c:f>Benchmark!$C$17:$H$17</c:f>
              <c:numCache>
                <c:formatCode>0.00%</c:formatCode>
                <c:ptCount val="6"/>
                <c:pt idx="0">
                  <c:v>0.19419964892376851</c:v>
                </c:pt>
                <c:pt idx="1">
                  <c:v>-6.2372597349650616E-2</c:v>
                </c:pt>
                <c:pt idx="2">
                  <c:v>0.28878074077028959</c:v>
                </c:pt>
                <c:pt idx="3">
                  <c:v>0.16258921994069597</c:v>
                </c:pt>
                <c:pt idx="4">
                  <c:v>0.26892736290857222</c:v>
                </c:pt>
                <c:pt idx="5">
                  <c:v>-0.19442824232404188</c:v>
                </c:pt>
              </c:numCache>
            </c:numRef>
          </c:val>
          <c:smooth val="0"/>
          <c:extLst>
            <c:ext xmlns:c16="http://schemas.microsoft.com/office/drawing/2014/chart" uri="{C3380CC4-5D6E-409C-BE32-E72D297353CC}">
              <c16:uniqueId val="{00000001-4BA0-4A80-B714-0F34C3E92ECA}"/>
            </c:ext>
          </c:extLst>
        </c:ser>
        <c:ser>
          <c:idx val="2"/>
          <c:order val="2"/>
          <c:tx>
            <c:strRef>
              <c:f>Benchmark!$B$18</c:f>
              <c:strCache>
                <c:ptCount val="1"/>
                <c:pt idx="0">
                  <c:v>NASDAQ</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Benchmark!$C$15:$H$15</c:f>
              <c:numCache>
                <c:formatCode>General</c:formatCode>
                <c:ptCount val="6"/>
                <c:pt idx="0">
                  <c:v>2017</c:v>
                </c:pt>
                <c:pt idx="1">
                  <c:v>2018</c:v>
                </c:pt>
                <c:pt idx="2">
                  <c:v>2019</c:v>
                </c:pt>
                <c:pt idx="3">
                  <c:v>2020</c:v>
                </c:pt>
                <c:pt idx="4">
                  <c:v>2021</c:v>
                </c:pt>
                <c:pt idx="5">
                  <c:v>2022</c:v>
                </c:pt>
              </c:numCache>
            </c:numRef>
          </c:cat>
          <c:val>
            <c:numRef>
              <c:f>Benchmark!$C$18:$H$18</c:f>
              <c:numCache>
                <c:formatCode>0.00%</c:formatCode>
                <c:ptCount val="6"/>
                <c:pt idx="0">
                  <c:v>0.31465226198514529</c:v>
                </c:pt>
                <c:pt idx="1">
                  <c:v>-9.6302003081663035E-3</c:v>
                </c:pt>
                <c:pt idx="2">
                  <c:v>0.37825748735900433</c:v>
                </c:pt>
                <c:pt idx="3">
                  <c:v>0.47565965852970238</c:v>
                </c:pt>
                <c:pt idx="4">
                  <c:v>0.26808822591955139</c:v>
                </c:pt>
                <c:pt idx="5">
                  <c:v>-0.3307025260776677</c:v>
                </c:pt>
              </c:numCache>
            </c:numRef>
          </c:val>
          <c:smooth val="0"/>
          <c:extLst>
            <c:ext xmlns:c16="http://schemas.microsoft.com/office/drawing/2014/chart" uri="{C3380CC4-5D6E-409C-BE32-E72D297353CC}">
              <c16:uniqueId val="{00000001-B330-4297-907B-96F75CED26C9}"/>
            </c:ext>
          </c:extLst>
        </c:ser>
        <c:dLbls>
          <c:showLegendKey val="0"/>
          <c:showVal val="0"/>
          <c:showCatName val="0"/>
          <c:showSerName val="0"/>
          <c:showPercent val="0"/>
          <c:showBubbleSize val="0"/>
        </c:dLbls>
        <c:marker val="1"/>
        <c:smooth val="0"/>
        <c:axId val="340590095"/>
        <c:axId val="340590575"/>
      </c:lineChart>
      <c:catAx>
        <c:axId val="340590095"/>
        <c:scaling>
          <c:orientation val="minMax"/>
        </c:scaling>
        <c:delete val="0"/>
        <c:axPos val="b"/>
        <c:numFmt formatCode="General" sourceLinked="1"/>
        <c:majorTickMark val="in"/>
        <c:minorTickMark val="none"/>
        <c:tickLblPos val="low"/>
        <c:spPr>
          <a:noFill/>
          <a:ln w="1587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590575"/>
        <c:crosses val="autoZero"/>
        <c:auto val="1"/>
        <c:lblAlgn val="ctr"/>
        <c:lblOffset val="100"/>
        <c:tickMarkSkip val="1"/>
        <c:noMultiLvlLbl val="0"/>
      </c:catAx>
      <c:valAx>
        <c:axId val="3405905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590095"/>
        <c:crosses val="autoZero"/>
        <c:crossBetween val="midCat"/>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Top &amp; Bottom Stock</a:t>
            </a:r>
            <a:r>
              <a:rPr lang="en-US" baseline="0">
                <a:solidFill>
                  <a:schemeClr val="tx1"/>
                </a:solidFill>
              </a:rPr>
              <a:t> Performers by </a:t>
            </a:r>
            <a:r>
              <a:rPr lang="en-US">
                <a:solidFill>
                  <a:schemeClr val="tx1"/>
                </a:solidFill>
              </a:rPr>
              <a:t>CAGR (%) (2017-2022)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TopStock!$D$16</c:f>
              <c:strCache>
                <c:ptCount val="1"/>
                <c:pt idx="0">
                  <c:v>CAGR (%)</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A-B534-4760-80A6-E71E8FDC8505}"/>
              </c:ext>
            </c:extLst>
          </c:dPt>
          <c:dPt>
            <c:idx val="1"/>
            <c:invertIfNegative val="0"/>
            <c:bubble3D val="0"/>
            <c:spPr>
              <a:solidFill>
                <a:srgbClr val="00B050"/>
              </a:solidFill>
              <a:ln>
                <a:noFill/>
              </a:ln>
              <a:effectLst/>
            </c:spPr>
            <c:extLst>
              <c:ext xmlns:c16="http://schemas.microsoft.com/office/drawing/2014/chart" uri="{C3380CC4-5D6E-409C-BE32-E72D297353CC}">
                <c16:uniqueId val="{00000009-B534-4760-80A6-E71E8FDC8505}"/>
              </c:ext>
            </c:extLst>
          </c:dPt>
          <c:dPt>
            <c:idx val="2"/>
            <c:invertIfNegative val="0"/>
            <c:bubble3D val="0"/>
            <c:spPr>
              <a:solidFill>
                <a:srgbClr val="00B050"/>
              </a:solidFill>
              <a:ln>
                <a:noFill/>
              </a:ln>
              <a:effectLst/>
            </c:spPr>
            <c:extLst>
              <c:ext xmlns:c16="http://schemas.microsoft.com/office/drawing/2014/chart" uri="{C3380CC4-5D6E-409C-BE32-E72D297353CC}">
                <c16:uniqueId val="{00000008-B534-4760-80A6-E71E8FDC8505}"/>
              </c:ext>
            </c:extLst>
          </c:dPt>
          <c:dPt>
            <c:idx val="3"/>
            <c:invertIfNegative val="0"/>
            <c:bubble3D val="0"/>
            <c:spPr>
              <a:solidFill>
                <a:srgbClr val="00B050"/>
              </a:solidFill>
              <a:ln>
                <a:noFill/>
              </a:ln>
              <a:effectLst/>
            </c:spPr>
            <c:extLst>
              <c:ext xmlns:c16="http://schemas.microsoft.com/office/drawing/2014/chart" uri="{C3380CC4-5D6E-409C-BE32-E72D297353CC}">
                <c16:uniqueId val="{00000007-B534-4760-80A6-E71E8FDC8505}"/>
              </c:ext>
            </c:extLst>
          </c:dPt>
          <c:dPt>
            <c:idx val="4"/>
            <c:invertIfNegative val="0"/>
            <c:bubble3D val="0"/>
            <c:spPr>
              <a:solidFill>
                <a:srgbClr val="00B050"/>
              </a:solidFill>
              <a:ln>
                <a:noFill/>
              </a:ln>
              <a:effectLst/>
            </c:spPr>
            <c:extLst>
              <c:ext xmlns:c16="http://schemas.microsoft.com/office/drawing/2014/chart" uri="{C3380CC4-5D6E-409C-BE32-E72D297353CC}">
                <c16:uniqueId val="{00000006-B534-4760-80A6-E71E8FDC8505}"/>
              </c:ext>
            </c:extLst>
          </c:dPt>
          <c:dPt>
            <c:idx val="5"/>
            <c:invertIfNegative val="0"/>
            <c:bubble3D val="0"/>
            <c:spPr>
              <a:solidFill>
                <a:srgbClr val="FF0000"/>
              </a:solidFill>
              <a:ln>
                <a:noFill/>
              </a:ln>
              <a:effectLst/>
            </c:spPr>
            <c:extLst>
              <c:ext xmlns:c16="http://schemas.microsoft.com/office/drawing/2014/chart" uri="{C3380CC4-5D6E-409C-BE32-E72D297353CC}">
                <c16:uniqueId val="{00000005-B534-4760-80A6-E71E8FDC8505}"/>
              </c:ext>
            </c:extLst>
          </c:dPt>
          <c:dPt>
            <c:idx val="6"/>
            <c:invertIfNegative val="0"/>
            <c:bubble3D val="0"/>
            <c:spPr>
              <a:solidFill>
                <a:srgbClr val="FF0000"/>
              </a:solidFill>
              <a:ln>
                <a:noFill/>
              </a:ln>
              <a:effectLst/>
            </c:spPr>
            <c:extLst>
              <c:ext xmlns:c16="http://schemas.microsoft.com/office/drawing/2014/chart" uri="{C3380CC4-5D6E-409C-BE32-E72D297353CC}">
                <c16:uniqueId val="{00000004-B534-4760-80A6-E71E8FDC8505}"/>
              </c:ext>
            </c:extLst>
          </c:dPt>
          <c:dPt>
            <c:idx val="7"/>
            <c:invertIfNegative val="0"/>
            <c:bubble3D val="0"/>
            <c:spPr>
              <a:solidFill>
                <a:srgbClr val="FF0000"/>
              </a:solidFill>
              <a:ln>
                <a:noFill/>
              </a:ln>
              <a:effectLst/>
            </c:spPr>
            <c:extLst>
              <c:ext xmlns:c16="http://schemas.microsoft.com/office/drawing/2014/chart" uri="{C3380CC4-5D6E-409C-BE32-E72D297353CC}">
                <c16:uniqueId val="{00000003-B534-4760-80A6-E71E8FDC8505}"/>
              </c:ext>
            </c:extLst>
          </c:dPt>
          <c:dPt>
            <c:idx val="8"/>
            <c:invertIfNegative val="0"/>
            <c:bubble3D val="0"/>
            <c:spPr>
              <a:solidFill>
                <a:srgbClr val="FF0000"/>
              </a:solidFill>
              <a:ln>
                <a:noFill/>
              </a:ln>
              <a:effectLst/>
            </c:spPr>
            <c:extLst>
              <c:ext xmlns:c16="http://schemas.microsoft.com/office/drawing/2014/chart" uri="{C3380CC4-5D6E-409C-BE32-E72D297353CC}">
                <c16:uniqueId val="{00000002-B534-4760-80A6-E71E8FDC8505}"/>
              </c:ext>
            </c:extLst>
          </c:dPt>
          <c:dPt>
            <c:idx val="9"/>
            <c:invertIfNegative val="0"/>
            <c:bubble3D val="0"/>
            <c:spPr>
              <a:solidFill>
                <a:srgbClr val="FF0000"/>
              </a:solidFill>
              <a:ln>
                <a:noFill/>
              </a:ln>
              <a:effectLst/>
            </c:spPr>
            <c:extLst>
              <c:ext xmlns:c16="http://schemas.microsoft.com/office/drawing/2014/chart" uri="{C3380CC4-5D6E-409C-BE32-E72D297353CC}">
                <c16:uniqueId val="{00000001-B534-4760-80A6-E71E8FDC8505}"/>
              </c:ext>
            </c:extLst>
          </c:dPt>
          <c:dLbls>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A-B534-4760-80A6-E71E8FDC8505}"/>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TopStock!$C$17:$C$26</c:f>
              <c:strCache>
                <c:ptCount val="10"/>
                <c:pt idx="0">
                  <c:v>NVDA</c:v>
                </c:pt>
                <c:pt idx="1">
                  <c:v>UNH</c:v>
                </c:pt>
                <c:pt idx="2">
                  <c:v>MA</c:v>
                </c:pt>
                <c:pt idx="3">
                  <c:v>NEE</c:v>
                </c:pt>
                <c:pt idx="4">
                  <c:v>GOOGL</c:v>
                </c:pt>
                <c:pt idx="5">
                  <c:v>AMZN</c:v>
                </c:pt>
                <c:pt idx="6">
                  <c:v>PG</c:v>
                </c:pt>
                <c:pt idx="7">
                  <c:v>EQIX</c:v>
                </c:pt>
                <c:pt idx="8">
                  <c:v>BALL</c:v>
                </c:pt>
                <c:pt idx="9">
                  <c:v>SLB</c:v>
                </c:pt>
              </c:strCache>
            </c:strRef>
          </c:cat>
          <c:val>
            <c:numRef>
              <c:f>TopStock!$D$17:$D$26</c:f>
              <c:numCache>
                <c:formatCode>General</c:formatCode>
                <c:ptCount val="10"/>
                <c:pt idx="0">
                  <c:v>0.32579999999999998</c:v>
                </c:pt>
                <c:pt idx="1">
                  <c:v>0.23579999999999998</c:v>
                </c:pt>
                <c:pt idx="2">
                  <c:v>0.22539999999999999</c:v>
                </c:pt>
                <c:pt idx="3">
                  <c:v>0.2079</c:v>
                </c:pt>
                <c:pt idx="4">
                  <c:v>0.13619999999999999</c:v>
                </c:pt>
                <c:pt idx="5">
                  <c:v>0.12619999999999998</c:v>
                </c:pt>
                <c:pt idx="6">
                  <c:v>0.12659999999999999</c:v>
                </c:pt>
                <c:pt idx="7">
                  <c:v>0.11289999999999999</c:v>
                </c:pt>
                <c:pt idx="8">
                  <c:v>5.9800000000000006E-2</c:v>
                </c:pt>
                <c:pt idx="9">
                  <c:v>-4.3799999999999999E-2</c:v>
                </c:pt>
              </c:numCache>
            </c:numRef>
          </c:val>
          <c:extLst>
            <c:ext xmlns:c16="http://schemas.microsoft.com/office/drawing/2014/chart" uri="{C3380CC4-5D6E-409C-BE32-E72D297353CC}">
              <c16:uniqueId val="{00000000-B534-4760-80A6-E71E8FDC8505}"/>
            </c:ext>
          </c:extLst>
        </c:ser>
        <c:dLbls>
          <c:showLegendKey val="0"/>
          <c:showVal val="0"/>
          <c:showCatName val="0"/>
          <c:showSerName val="0"/>
          <c:showPercent val="0"/>
          <c:showBubbleSize val="0"/>
        </c:dLbls>
        <c:gapWidth val="60"/>
        <c:axId val="3733263"/>
        <c:axId val="3732783"/>
      </c:barChart>
      <c:catAx>
        <c:axId val="3733263"/>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sz="1100" b="1">
                    <a:solidFill>
                      <a:schemeClr val="tx1"/>
                    </a:solidFill>
                  </a:rPr>
                  <a:t>Stock</a:t>
                </a:r>
                <a:r>
                  <a:rPr lang="en-AU" sz="1100" b="1" baseline="0">
                    <a:solidFill>
                      <a:schemeClr val="tx1"/>
                    </a:solidFill>
                  </a:rPr>
                  <a:t> Ticker</a:t>
                </a:r>
                <a:endParaRPr lang="en-AU" sz="1100" b="1">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alpha val="99000"/>
                  </a:schemeClr>
                </a:solidFill>
                <a:latin typeface="+mn-lt"/>
                <a:ea typeface="+mn-ea"/>
                <a:cs typeface="+mn-cs"/>
              </a:defRPr>
            </a:pPr>
            <a:endParaRPr lang="en-US"/>
          </a:p>
        </c:txPr>
        <c:crossAx val="3732783"/>
        <c:crosses val="autoZero"/>
        <c:auto val="1"/>
        <c:lblAlgn val="ctr"/>
        <c:lblOffset val="100"/>
        <c:noMultiLvlLbl val="0"/>
      </c:catAx>
      <c:valAx>
        <c:axId val="3732783"/>
        <c:scaling>
          <c:orientation val="minMax"/>
        </c:scaling>
        <c:delete val="1"/>
        <c:axPos val="t"/>
        <c:majorGridlines>
          <c:spPr>
            <a:ln w="9525" cap="flat" cmpd="sng" algn="ctr">
              <a:no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sz="1050" b="1">
                    <a:solidFill>
                      <a:schemeClr val="tx1"/>
                    </a:solidFill>
                  </a:rPr>
                  <a:t>CAGR</a:t>
                </a:r>
                <a:r>
                  <a:rPr lang="en-AU" sz="1050" b="1" baseline="0">
                    <a:solidFill>
                      <a:schemeClr val="tx1"/>
                    </a:solidFill>
                  </a:rPr>
                  <a:t> (%)</a:t>
                </a:r>
                <a:endParaRPr lang="en-AU" sz="1050" b="1">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General" sourceLinked="1"/>
        <c:majorTickMark val="none"/>
        <c:minorTickMark val="none"/>
        <c:tickLblPos val="high"/>
        <c:crossAx val="3733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CAPM</a:t>
            </a:r>
            <a:r>
              <a:rPr lang="en-US" baseline="0"/>
              <a:t> Regression: Portfolio vs Market (2017-2022)</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regression!$N$2</c:f>
              <c:strCache>
                <c:ptCount val="1"/>
                <c:pt idx="0">
                  <c:v>Portfolio</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530666057654507E-3"/>
                  <c:y val="-6.9031410529106454E-2"/>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1" baseline="0">
                        <a:solidFill>
                          <a:schemeClr val="accent1"/>
                        </a:solidFill>
                      </a:rPr>
                      <a:t>y = 1.147x + 0.0085</a:t>
                    </a:r>
                    <a:br>
                      <a:rPr lang="en-US" b="1" baseline="0">
                        <a:solidFill>
                          <a:schemeClr val="accent1"/>
                        </a:solidFill>
                      </a:rPr>
                    </a:br>
                    <a:r>
                      <a:rPr lang="en-US" b="1" baseline="0">
                        <a:solidFill>
                          <a:schemeClr val="accent1"/>
                        </a:solidFill>
                      </a:rPr>
                      <a:t>R² = 0.7913</a:t>
                    </a:r>
                    <a:endParaRPr lang="en-US" b="1">
                      <a:solidFill>
                        <a:schemeClr val="accent1"/>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regression!$O$3:$O$74</c:f>
              <c:numCache>
                <c:formatCode>0.00%</c:formatCode>
                <c:ptCount val="72"/>
                <c:pt idx="0">
                  <c:v>1.7884341374735824E-2</c:v>
                </c:pt>
                <c:pt idx="1">
                  <c:v>3.7198260541408734E-2</c:v>
                </c:pt>
                <c:pt idx="2">
                  <c:v>-3.8923017041514463E-4</c:v>
                </c:pt>
                <c:pt idx="3">
                  <c:v>9.0912169025529899E-3</c:v>
                </c:pt>
                <c:pt idx="4">
                  <c:v>1.1576210049492719E-2</c:v>
                </c:pt>
                <c:pt idx="5">
                  <c:v>4.8138319927024664E-3</c:v>
                </c:pt>
                <c:pt idx="6">
                  <c:v>1.9348768883515444E-2</c:v>
                </c:pt>
                <c:pt idx="7">
                  <c:v>5.4649232886694321E-4</c:v>
                </c:pt>
                <c:pt idx="8">
                  <c:v>1.9302894827342154E-2</c:v>
                </c:pt>
                <c:pt idx="9">
                  <c:v>2.2188174774546043E-2</c:v>
                </c:pt>
                <c:pt idx="10">
                  <c:v>2.8082601368405458E-2</c:v>
                </c:pt>
                <c:pt idx="11">
                  <c:v>9.8316198188534987E-3</c:v>
                </c:pt>
                <c:pt idx="12" formatCode="0.0%">
                  <c:v>5.6178724645703726E-2</c:v>
                </c:pt>
                <c:pt idx="13" formatCode="0.0%">
                  <c:v>-3.8947379604151844E-2</c:v>
                </c:pt>
                <c:pt idx="14" formatCode="0.0%">
                  <c:v>-2.6884513768364315E-2</c:v>
                </c:pt>
                <c:pt idx="15" formatCode="0.0%">
                  <c:v>2.718801001185378E-3</c:v>
                </c:pt>
                <c:pt idx="16" formatCode="0.0%">
                  <c:v>2.1608353316591389E-2</c:v>
                </c:pt>
                <c:pt idx="17" formatCode="0.0%">
                  <c:v>4.8424002040461378E-3</c:v>
                </c:pt>
                <c:pt idx="18" formatCode="0.0%">
                  <c:v>3.6021586465418753E-2</c:v>
                </c:pt>
                <c:pt idx="19" formatCode="0.0%">
                  <c:v>3.0263218631604083E-2</c:v>
                </c:pt>
                <c:pt idx="20" formatCode="0.0%">
                  <c:v>4.2943009181395375E-3</c:v>
                </c:pt>
                <c:pt idx="21" formatCode="0.0%">
                  <c:v>-6.9403358979814644E-2</c:v>
                </c:pt>
                <c:pt idx="22" formatCode="0.0%">
                  <c:v>1.785938179914015E-2</c:v>
                </c:pt>
                <c:pt idx="23" formatCode="0.0%">
                  <c:v>-9.1776955767217339E-2</c:v>
                </c:pt>
                <c:pt idx="24" formatCode="0.0%">
                  <c:v>7.8684404731036883E-2</c:v>
                </c:pt>
                <c:pt idx="25" formatCode="0.0%">
                  <c:v>2.9728930143116061E-2</c:v>
                </c:pt>
                <c:pt idx="26" formatCode="0.0%">
                  <c:v>1.7924287751078349E-2</c:v>
                </c:pt>
                <c:pt idx="27" formatCode="0.0%">
                  <c:v>3.9313434942139347E-2</c:v>
                </c:pt>
                <c:pt idx="28" formatCode="0.0%">
                  <c:v>-6.5777726481161536E-2</c:v>
                </c:pt>
                <c:pt idx="29" formatCode="0.0%">
                  <c:v>6.8930183208214979E-2</c:v>
                </c:pt>
                <c:pt idx="30" formatCode="0.0%">
                  <c:v>1.3128195366039375E-2</c:v>
                </c:pt>
                <c:pt idx="31" formatCode="0.0%">
                  <c:v>-1.8091652742267761E-2</c:v>
                </c:pt>
                <c:pt idx="32" formatCode="0.0%">
                  <c:v>1.7181167690656807E-2</c:v>
                </c:pt>
                <c:pt idx="33" formatCode="0.0%">
                  <c:v>2.0431747482144935E-2</c:v>
                </c:pt>
                <c:pt idx="34" formatCode="0.0%">
                  <c:v>3.404706409091518E-2</c:v>
                </c:pt>
                <c:pt idx="35" formatCode="0.0%">
                  <c:v>2.8589803182446305E-2</c:v>
                </c:pt>
                <c:pt idx="36" formatCode="0.0%">
                  <c:v>-1.6280898111292741E-3</c:v>
                </c:pt>
                <c:pt idx="37" formatCode="0.0%">
                  <c:v>-8.4110469009648137E-2</c:v>
                </c:pt>
                <c:pt idx="38" formatCode="0.0%">
                  <c:v>-0.12511932083595656</c:v>
                </c:pt>
                <c:pt idx="39" formatCode="0.0%">
                  <c:v>0.12684410293315374</c:v>
                </c:pt>
                <c:pt idx="40" formatCode="0.0%">
                  <c:v>4.528177501261843E-2</c:v>
                </c:pt>
                <c:pt idx="41" formatCode="0.0%">
                  <c:v>1.8388403283502663E-2</c:v>
                </c:pt>
                <c:pt idx="42" formatCode="0.0%">
                  <c:v>5.5101296975444303E-2</c:v>
                </c:pt>
                <c:pt idx="43" formatCode="0.0%">
                  <c:v>7.0064687324219221E-2</c:v>
                </c:pt>
                <c:pt idx="44" formatCode="0.0%">
                  <c:v>-3.9227954095494399E-2</c:v>
                </c:pt>
                <c:pt idx="45" formatCode="0.0%">
                  <c:v>-2.7665774606006499E-2</c:v>
                </c:pt>
                <c:pt idx="46" formatCode="0.0%">
                  <c:v>0.10754565805086314</c:v>
                </c:pt>
                <c:pt idx="47" formatCode="0.0%">
                  <c:v>3.712140665943231E-2</c:v>
                </c:pt>
                <c:pt idx="48" formatCode="0.0%">
                  <c:v>-1.1136640158463607E-2</c:v>
                </c:pt>
                <c:pt idx="49" formatCode="0.0%">
                  <c:v>2.6091474971999817E-2</c:v>
                </c:pt>
                <c:pt idx="50" formatCode="0.0%">
                  <c:v>4.2438634008107767E-2</c:v>
                </c:pt>
                <c:pt idx="51" formatCode="0.0%">
                  <c:v>5.242531255584737E-2</c:v>
                </c:pt>
                <c:pt idx="52" formatCode="0.0%">
                  <c:v>5.4865025818131574E-3</c:v>
                </c:pt>
                <c:pt idx="53" formatCode="0.0%">
                  <c:v>2.221397632316946E-2</c:v>
                </c:pt>
                <c:pt idx="54" formatCode="0.0%">
                  <c:v>2.274810936591054E-2</c:v>
                </c:pt>
                <c:pt idx="55" formatCode="0.0%">
                  <c:v>2.8990321391681118E-2</c:v>
                </c:pt>
                <c:pt idx="56" formatCode="0.0%">
                  <c:v>-4.7569140421166334E-2</c:v>
                </c:pt>
                <c:pt idx="57" formatCode="0.0%">
                  <c:v>6.9143873301234615E-2</c:v>
                </c:pt>
                <c:pt idx="58" formatCode="0.0%">
                  <c:v>-8.3337314184714906E-3</c:v>
                </c:pt>
                <c:pt idx="59" formatCode="0.0%">
                  <c:v>4.3612874972629889E-2</c:v>
                </c:pt>
                <c:pt idx="60" formatCode="0.0%">
                  <c:v>-5.2585089106999772E-2</c:v>
                </c:pt>
                <c:pt idx="61" formatCode="0.0%">
                  <c:v>-3.1360520866782648E-2</c:v>
                </c:pt>
                <c:pt idx="62" formatCode="0.0%">
                  <c:v>3.5773238773280092E-2</c:v>
                </c:pt>
                <c:pt idx="63" formatCode="0.0%">
                  <c:v>-8.7956719149039353E-2</c:v>
                </c:pt>
                <c:pt idx="64" formatCode="0.0%">
                  <c:v>5.3243883608722342E-5</c:v>
                </c:pt>
                <c:pt idx="65" formatCode="0.0%">
                  <c:v>-8.3919993223866451E-2</c:v>
                </c:pt>
                <c:pt idx="66" formatCode="0.0%">
                  <c:v>9.1116347632205885E-2</c:v>
                </c:pt>
                <c:pt idx="67" formatCode="0.0%">
                  <c:v>-4.2440119216810457E-2</c:v>
                </c:pt>
                <c:pt idx="68" formatCode="0.0%">
                  <c:v>-9.3395701643489315E-2</c:v>
                </c:pt>
                <c:pt idx="69" formatCode="0.0%">
                  <c:v>7.9863454576893256E-2</c:v>
                </c:pt>
                <c:pt idx="70" formatCode="0.0%">
                  <c:v>5.3752860293699856E-2</c:v>
                </c:pt>
                <c:pt idx="71" formatCode="0.0%">
                  <c:v>-5.8971449299161094E-2</c:v>
                </c:pt>
              </c:numCache>
            </c:numRef>
          </c:xVal>
          <c:yVal>
            <c:numRef>
              <c:f>regression!$N$3:$N$74</c:f>
              <c:numCache>
                <c:formatCode>0.00%</c:formatCode>
                <c:ptCount val="72"/>
                <c:pt idx="0">
                  <c:v>3.5850669395080283E-2</c:v>
                </c:pt>
                <c:pt idx="1">
                  <c:v>5.684160224047002E-3</c:v>
                </c:pt>
                <c:pt idx="2">
                  <c:v>2.4049633298700634E-2</c:v>
                </c:pt>
                <c:pt idx="3">
                  <c:v>2.9214828137034965E-2</c:v>
                </c:pt>
                <c:pt idx="4">
                  <c:v>0.11963130649760052</c:v>
                </c:pt>
                <c:pt idx="5">
                  <c:v>-9.1965059199853628E-3</c:v>
                </c:pt>
                <c:pt idx="6">
                  <c:v>4.8820253622602831E-2</c:v>
                </c:pt>
                <c:pt idx="7">
                  <c:v>1.8907595540500883E-2</c:v>
                </c:pt>
                <c:pt idx="8">
                  <c:v>2.059365137165434E-2</c:v>
                </c:pt>
                <c:pt idx="9">
                  <c:v>8.0792030925026348E-2</c:v>
                </c:pt>
                <c:pt idx="10">
                  <c:v>1.904037527104973E-2</c:v>
                </c:pt>
                <c:pt idx="11">
                  <c:v>-1.1660853526367891E-2</c:v>
                </c:pt>
                <c:pt idx="12">
                  <c:v>0.13568164261979349</c:v>
                </c:pt>
                <c:pt idx="13">
                  <c:v>-2.3379455816634771E-2</c:v>
                </c:pt>
                <c:pt idx="14">
                  <c:v>-3.075525469810347E-2</c:v>
                </c:pt>
                <c:pt idx="15">
                  <c:v>1.2180351853254345E-2</c:v>
                </c:pt>
                <c:pt idx="16">
                  <c:v>5.272705175603757E-2</c:v>
                </c:pt>
                <c:pt idx="17">
                  <c:v>1.4327827609288105E-3</c:v>
                </c:pt>
                <c:pt idx="18">
                  <c:v>5.0029292940419294E-2</c:v>
                </c:pt>
                <c:pt idx="19">
                  <c:v>6.8422181220069878E-2</c:v>
                </c:pt>
                <c:pt idx="20">
                  <c:v>4.2051372093616498E-3</c:v>
                </c:pt>
                <c:pt idx="21">
                  <c:v>-0.12050467278257176</c:v>
                </c:pt>
                <c:pt idx="22">
                  <c:v>-2.016171739308395E-2</c:v>
                </c:pt>
                <c:pt idx="23">
                  <c:v>-0.10437326727209498</c:v>
                </c:pt>
                <c:pt idx="24">
                  <c:v>9.5111284340374108E-2</c:v>
                </c:pt>
                <c:pt idx="25">
                  <c:v>2.0632688157500374E-2</c:v>
                </c:pt>
                <c:pt idx="26">
                  <c:v>7.2410635983808383E-2</c:v>
                </c:pt>
                <c:pt idx="27">
                  <c:v>2.974703951071285E-2</c:v>
                </c:pt>
                <c:pt idx="28">
                  <c:v>-8.28671897167155E-2</c:v>
                </c:pt>
                <c:pt idx="29">
                  <c:v>7.8706612609429238E-2</c:v>
                </c:pt>
                <c:pt idx="30">
                  <c:v>3.4130926939558673E-2</c:v>
                </c:pt>
                <c:pt idx="31">
                  <c:v>-1.0801853288399332E-2</c:v>
                </c:pt>
                <c:pt idx="32">
                  <c:v>3.8344241014647042E-3</c:v>
                </c:pt>
                <c:pt idx="33">
                  <c:v>6.0634893005633891E-2</c:v>
                </c:pt>
                <c:pt idx="34">
                  <c:v>4.2480370536301451E-2</c:v>
                </c:pt>
                <c:pt idx="35">
                  <c:v>3.7613800508341455E-2</c:v>
                </c:pt>
                <c:pt idx="36">
                  <c:v>2.8734823536326441E-2</c:v>
                </c:pt>
                <c:pt idx="37">
                  <c:v>-2.1062459054798241E-2</c:v>
                </c:pt>
                <c:pt idx="38">
                  <c:v>-7.5931579077720454E-2</c:v>
                </c:pt>
                <c:pt idx="39">
                  <c:v>0.13142232736096579</c:v>
                </c:pt>
                <c:pt idx="40">
                  <c:v>8.4604135066324637E-2</c:v>
                </c:pt>
                <c:pt idx="41">
                  <c:v>2.1450562446855764E-2</c:v>
                </c:pt>
                <c:pt idx="42">
                  <c:v>8.0871103181553231E-2</c:v>
                </c:pt>
                <c:pt idx="43">
                  <c:v>0.12280607152920323</c:v>
                </c:pt>
                <c:pt idx="44">
                  <c:v>-3.5390037110041954E-2</c:v>
                </c:pt>
                <c:pt idx="45">
                  <c:v>-1.5352958018422822E-2</c:v>
                </c:pt>
                <c:pt idx="46">
                  <c:v>9.765401431188557E-2</c:v>
                </c:pt>
                <c:pt idx="47">
                  <c:v>1.4924848974339048E-2</c:v>
                </c:pt>
                <c:pt idx="48">
                  <c:v>-2.2426746389778141E-2</c:v>
                </c:pt>
                <c:pt idx="49">
                  <c:v>3.6322561776523571E-2</c:v>
                </c:pt>
                <c:pt idx="50">
                  <c:v>2.2750316627261277E-2</c:v>
                </c:pt>
                <c:pt idx="51">
                  <c:v>9.1628835347976889E-2</c:v>
                </c:pt>
                <c:pt idx="52">
                  <c:v>5.4642106307245591E-3</c:v>
                </c:pt>
                <c:pt idx="53">
                  <c:v>6.0727262969432531E-2</c:v>
                </c:pt>
                <c:pt idx="54">
                  <c:v>2.6978296993855747E-2</c:v>
                </c:pt>
                <c:pt idx="55">
                  <c:v>5.4008462540205054E-2</c:v>
                </c:pt>
                <c:pt idx="56">
                  <c:v>-5.7836428940145991E-2</c:v>
                </c:pt>
                <c:pt idx="57">
                  <c:v>9.9720911538761448E-2</c:v>
                </c:pt>
                <c:pt idx="58">
                  <c:v>4.1309656342777133E-2</c:v>
                </c:pt>
                <c:pt idx="59">
                  <c:v>1.7577191970585382E-2</c:v>
                </c:pt>
                <c:pt idx="60">
                  <c:v>-6.6963386817528822E-2</c:v>
                </c:pt>
                <c:pt idx="61">
                  <c:v>-1.599156103608905E-2</c:v>
                </c:pt>
                <c:pt idx="62">
                  <c:v>5.3395145633944513E-2</c:v>
                </c:pt>
                <c:pt idx="63">
                  <c:v>-0.14398309729773148</c:v>
                </c:pt>
                <c:pt idx="64">
                  <c:v>-1.0442441355854351E-2</c:v>
                </c:pt>
                <c:pt idx="65">
                  <c:v>-8.9014464810754021E-2</c:v>
                </c:pt>
                <c:pt idx="66">
                  <c:v>0.12741588678634486</c:v>
                </c:pt>
                <c:pt idx="67">
                  <c:v>-8.3756403022058126E-2</c:v>
                </c:pt>
                <c:pt idx="68">
                  <c:v>-0.12172983281421365</c:v>
                </c:pt>
                <c:pt idx="69">
                  <c:v>6.9847087248944839E-2</c:v>
                </c:pt>
                <c:pt idx="70">
                  <c:v>9.4642742508857625E-2</c:v>
                </c:pt>
                <c:pt idx="71">
                  <c:v>-8.1377880401687933E-2</c:v>
                </c:pt>
              </c:numCache>
            </c:numRef>
          </c:yVal>
          <c:smooth val="0"/>
          <c:extLst>
            <c:ext xmlns:c16="http://schemas.microsoft.com/office/drawing/2014/chart" uri="{C3380CC4-5D6E-409C-BE32-E72D297353CC}">
              <c16:uniqueId val="{00000005-E1BA-4A75-89F8-D8CDA2CA59BD}"/>
            </c:ext>
          </c:extLst>
        </c:ser>
        <c:ser>
          <c:idx val="1"/>
          <c:order val="1"/>
          <c:tx>
            <c:strRef>
              <c:f>regression!$O$2</c:f>
              <c:strCache>
                <c:ptCount val="1"/>
                <c:pt idx="0">
                  <c:v>S&amp;P 500</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5.8290395942166028E-2"/>
                  <c:y val="0.10801243871505033"/>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1" baseline="0">
                        <a:solidFill>
                          <a:schemeClr val="accent2"/>
                        </a:solidFill>
                      </a:rPr>
                      <a:t>y = x</a:t>
                    </a:r>
                    <a:br>
                      <a:rPr lang="en-US" b="1" baseline="0">
                        <a:solidFill>
                          <a:schemeClr val="accent2"/>
                        </a:solidFill>
                      </a:rPr>
                    </a:br>
                    <a:r>
                      <a:rPr lang="en-US" b="1" baseline="0">
                        <a:solidFill>
                          <a:schemeClr val="accent2"/>
                        </a:solidFill>
                      </a:rPr>
                      <a:t>R² = 1</a:t>
                    </a:r>
                    <a:endParaRPr lang="en-US" b="1">
                      <a:solidFill>
                        <a:schemeClr val="accent2"/>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regression!$O$3:$O$74</c:f>
              <c:numCache>
                <c:formatCode>0.00%</c:formatCode>
                <c:ptCount val="72"/>
                <c:pt idx="0">
                  <c:v>1.7884341374735824E-2</c:v>
                </c:pt>
                <c:pt idx="1">
                  <c:v>3.7198260541408734E-2</c:v>
                </c:pt>
                <c:pt idx="2">
                  <c:v>-3.8923017041514463E-4</c:v>
                </c:pt>
                <c:pt idx="3">
                  <c:v>9.0912169025529899E-3</c:v>
                </c:pt>
                <c:pt idx="4">
                  <c:v>1.1576210049492719E-2</c:v>
                </c:pt>
                <c:pt idx="5">
                  <c:v>4.8138319927024664E-3</c:v>
                </c:pt>
                <c:pt idx="6">
                  <c:v>1.9348768883515444E-2</c:v>
                </c:pt>
                <c:pt idx="7">
                  <c:v>5.4649232886694321E-4</c:v>
                </c:pt>
                <c:pt idx="8">
                  <c:v>1.9302894827342154E-2</c:v>
                </c:pt>
                <c:pt idx="9">
                  <c:v>2.2188174774546043E-2</c:v>
                </c:pt>
                <c:pt idx="10">
                  <c:v>2.8082601368405458E-2</c:v>
                </c:pt>
                <c:pt idx="11">
                  <c:v>9.8316198188534987E-3</c:v>
                </c:pt>
                <c:pt idx="12" formatCode="0.0%">
                  <c:v>5.6178724645703726E-2</c:v>
                </c:pt>
                <c:pt idx="13" formatCode="0.0%">
                  <c:v>-3.8947379604151844E-2</c:v>
                </c:pt>
                <c:pt idx="14" formatCode="0.0%">
                  <c:v>-2.6884513768364315E-2</c:v>
                </c:pt>
                <c:pt idx="15" formatCode="0.0%">
                  <c:v>2.718801001185378E-3</c:v>
                </c:pt>
                <c:pt idx="16" formatCode="0.0%">
                  <c:v>2.1608353316591389E-2</c:v>
                </c:pt>
                <c:pt idx="17" formatCode="0.0%">
                  <c:v>4.8424002040461378E-3</c:v>
                </c:pt>
                <c:pt idx="18" formatCode="0.0%">
                  <c:v>3.6021586465418753E-2</c:v>
                </c:pt>
                <c:pt idx="19" formatCode="0.0%">
                  <c:v>3.0263218631604083E-2</c:v>
                </c:pt>
                <c:pt idx="20" formatCode="0.0%">
                  <c:v>4.2943009181395375E-3</c:v>
                </c:pt>
                <c:pt idx="21" formatCode="0.0%">
                  <c:v>-6.9403358979814644E-2</c:v>
                </c:pt>
                <c:pt idx="22" formatCode="0.0%">
                  <c:v>1.785938179914015E-2</c:v>
                </c:pt>
                <c:pt idx="23" formatCode="0.0%">
                  <c:v>-9.1776955767217339E-2</c:v>
                </c:pt>
                <c:pt idx="24" formatCode="0.0%">
                  <c:v>7.8684404731036883E-2</c:v>
                </c:pt>
                <c:pt idx="25" formatCode="0.0%">
                  <c:v>2.9728930143116061E-2</c:v>
                </c:pt>
                <c:pt idx="26" formatCode="0.0%">
                  <c:v>1.7924287751078349E-2</c:v>
                </c:pt>
                <c:pt idx="27" formatCode="0.0%">
                  <c:v>3.9313434942139347E-2</c:v>
                </c:pt>
                <c:pt idx="28" formatCode="0.0%">
                  <c:v>-6.5777726481161536E-2</c:v>
                </c:pt>
                <c:pt idx="29" formatCode="0.0%">
                  <c:v>6.8930183208214979E-2</c:v>
                </c:pt>
                <c:pt idx="30" formatCode="0.0%">
                  <c:v>1.3128195366039375E-2</c:v>
                </c:pt>
                <c:pt idx="31" formatCode="0.0%">
                  <c:v>-1.8091652742267761E-2</c:v>
                </c:pt>
                <c:pt idx="32" formatCode="0.0%">
                  <c:v>1.7181167690656807E-2</c:v>
                </c:pt>
                <c:pt idx="33" formatCode="0.0%">
                  <c:v>2.0431747482144935E-2</c:v>
                </c:pt>
                <c:pt idx="34" formatCode="0.0%">
                  <c:v>3.404706409091518E-2</c:v>
                </c:pt>
                <c:pt idx="35" formatCode="0.0%">
                  <c:v>2.8589803182446305E-2</c:v>
                </c:pt>
                <c:pt idx="36" formatCode="0.0%">
                  <c:v>-1.6280898111292741E-3</c:v>
                </c:pt>
                <c:pt idx="37" formatCode="0.0%">
                  <c:v>-8.4110469009648137E-2</c:v>
                </c:pt>
                <c:pt idx="38" formatCode="0.0%">
                  <c:v>-0.12511932083595656</c:v>
                </c:pt>
                <c:pt idx="39" formatCode="0.0%">
                  <c:v>0.12684410293315374</c:v>
                </c:pt>
                <c:pt idx="40" formatCode="0.0%">
                  <c:v>4.528177501261843E-2</c:v>
                </c:pt>
                <c:pt idx="41" formatCode="0.0%">
                  <c:v>1.8388403283502663E-2</c:v>
                </c:pt>
                <c:pt idx="42" formatCode="0.0%">
                  <c:v>5.5101296975444303E-2</c:v>
                </c:pt>
                <c:pt idx="43" formatCode="0.0%">
                  <c:v>7.0064687324219221E-2</c:v>
                </c:pt>
                <c:pt idx="44" formatCode="0.0%">
                  <c:v>-3.9227954095494399E-2</c:v>
                </c:pt>
                <c:pt idx="45" formatCode="0.0%">
                  <c:v>-2.7665774606006499E-2</c:v>
                </c:pt>
                <c:pt idx="46" formatCode="0.0%">
                  <c:v>0.10754565805086314</c:v>
                </c:pt>
                <c:pt idx="47" formatCode="0.0%">
                  <c:v>3.712140665943231E-2</c:v>
                </c:pt>
                <c:pt idx="48" formatCode="0.0%">
                  <c:v>-1.1136640158463607E-2</c:v>
                </c:pt>
                <c:pt idx="49" formatCode="0.0%">
                  <c:v>2.6091474971999817E-2</c:v>
                </c:pt>
                <c:pt idx="50" formatCode="0.0%">
                  <c:v>4.2438634008107767E-2</c:v>
                </c:pt>
                <c:pt idx="51" formatCode="0.0%">
                  <c:v>5.242531255584737E-2</c:v>
                </c:pt>
                <c:pt idx="52" formatCode="0.0%">
                  <c:v>5.4865025818131574E-3</c:v>
                </c:pt>
                <c:pt idx="53" formatCode="0.0%">
                  <c:v>2.221397632316946E-2</c:v>
                </c:pt>
                <c:pt idx="54" formatCode="0.0%">
                  <c:v>2.274810936591054E-2</c:v>
                </c:pt>
                <c:pt idx="55" formatCode="0.0%">
                  <c:v>2.8990321391681118E-2</c:v>
                </c:pt>
                <c:pt idx="56" formatCode="0.0%">
                  <c:v>-4.7569140421166334E-2</c:v>
                </c:pt>
                <c:pt idx="57" formatCode="0.0%">
                  <c:v>6.9143873301234615E-2</c:v>
                </c:pt>
                <c:pt idx="58" formatCode="0.0%">
                  <c:v>-8.3337314184714906E-3</c:v>
                </c:pt>
                <c:pt idx="59" formatCode="0.0%">
                  <c:v>4.3612874972629889E-2</c:v>
                </c:pt>
                <c:pt idx="60" formatCode="0.0%">
                  <c:v>-5.2585089106999772E-2</c:v>
                </c:pt>
                <c:pt idx="61" formatCode="0.0%">
                  <c:v>-3.1360520866782648E-2</c:v>
                </c:pt>
                <c:pt idx="62" formatCode="0.0%">
                  <c:v>3.5773238773280092E-2</c:v>
                </c:pt>
                <c:pt idx="63" formatCode="0.0%">
                  <c:v>-8.7956719149039353E-2</c:v>
                </c:pt>
                <c:pt idx="64" formatCode="0.0%">
                  <c:v>5.3243883608722342E-5</c:v>
                </c:pt>
                <c:pt idx="65" formatCode="0.0%">
                  <c:v>-8.3919993223866451E-2</c:v>
                </c:pt>
                <c:pt idx="66" formatCode="0.0%">
                  <c:v>9.1116347632205885E-2</c:v>
                </c:pt>
                <c:pt idx="67" formatCode="0.0%">
                  <c:v>-4.2440119216810457E-2</c:v>
                </c:pt>
                <c:pt idx="68" formatCode="0.0%">
                  <c:v>-9.3395701643489315E-2</c:v>
                </c:pt>
                <c:pt idx="69" formatCode="0.0%">
                  <c:v>7.9863454576893256E-2</c:v>
                </c:pt>
                <c:pt idx="70" formatCode="0.0%">
                  <c:v>5.3752860293699856E-2</c:v>
                </c:pt>
                <c:pt idx="71" formatCode="0.0%">
                  <c:v>-5.8971449299161094E-2</c:v>
                </c:pt>
              </c:numCache>
            </c:numRef>
          </c:xVal>
          <c:yVal>
            <c:numRef>
              <c:f>regression!$P$3:$P$74</c:f>
              <c:numCache>
                <c:formatCode>0.00%</c:formatCode>
                <c:ptCount val="72"/>
                <c:pt idx="0">
                  <c:v>1.7884341374735824E-2</c:v>
                </c:pt>
                <c:pt idx="1">
                  <c:v>3.7198260541408734E-2</c:v>
                </c:pt>
                <c:pt idx="2">
                  <c:v>-3.8923017041514463E-4</c:v>
                </c:pt>
                <c:pt idx="3">
                  <c:v>9.0912169025529899E-3</c:v>
                </c:pt>
                <c:pt idx="4">
                  <c:v>1.1576210049492719E-2</c:v>
                </c:pt>
                <c:pt idx="5">
                  <c:v>4.8138319927024664E-3</c:v>
                </c:pt>
                <c:pt idx="6">
                  <c:v>1.9348768883515444E-2</c:v>
                </c:pt>
                <c:pt idx="7">
                  <c:v>5.4649232886694321E-4</c:v>
                </c:pt>
                <c:pt idx="8">
                  <c:v>1.9302894827342154E-2</c:v>
                </c:pt>
                <c:pt idx="9">
                  <c:v>2.2188174774546043E-2</c:v>
                </c:pt>
                <c:pt idx="10">
                  <c:v>2.8082601368405458E-2</c:v>
                </c:pt>
                <c:pt idx="11">
                  <c:v>9.8316198188534987E-3</c:v>
                </c:pt>
                <c:pt idx="12" formatCode="0.0%">
                  <c:v>5.6178724645703726E-2</c:v>
                </c:pt>
                <c:pt idx="13" formatCode="0.0%">
                  <c:v>-3.8947379604151844E-2</c:v>
                </c:pt>
                <c:pt idx="14" formatCode="0.0%">
                  <c:v>-2.6884513768364315E-2</c:v>
                </c:pt>
                <c:pt idx="15" formatCode="0.0%">
                  <c:v>2.718801001185378E-3</c:v>
                </c:pt>
                <c:pt idx="16" formatCode="0.0%">
                  <c:v>2.1608353316591389E-2</c:v>
                </c:pt>
                <c:pt idx="17" formatCode="0.0%">
                  <c:v>4.8424002040461378E-3</c:v>
                </c:pt>
                <c:pt idx="18" formatCode="0.0%">
                  <c:v>3.6021586465418753E-2</c:v>
                </c:pt>
                <c:pt idx="19" formatCode="0.0%">
                  <c:v>3.0263218631604083E-2</c:v>
                </c:pt>
                <c:pt idx="20" formatCode="0.0%">
                  <c:v>4.2943009181395375E-3</c:v>
                </c:pt>
                <c:pt idx="21" formatCode="0.0%">
                  <c:v>-6.9403358979814644E-2</c:v>
                </c:pt>
                <c:pt idx="22" formatCode="0.0%">
                  <c:v>1.785938179914015E-2</c:v>
                </c:pt>
                <c:pt idx="23" formatCode="0.0%">
                  <c:v>-9.1776955767217339E-2</c:v>
                </c:pt>
                <c:pt idx="24" formatCode="0.0%">
                  <c:v>7.8684404731036883E-2</c:v>
                </c:pt>
                <c:pt idx="25" formatCode="0.0%">
                  <c:v>2.9728930143116061E-2</c:v>
                </c:pt>
                <c:pt idx="26" formatCode="0.0%">
                  <c:v>1.7924287751078349E-2</c:v>
                </c:pt>
                <c:pt idx="27" formatCode="0.0%">
                  <c:v>3.9313434942139347E-2</c:v>
                </c:pt>
                <c:pt idx="28" formatCode="0.0%">
                  <c:v>-6.5777726481161536E-2</c:v>
                </c:pt>
                <c:pt idx="29" formatCode="0.0%">
                  <c:v>6.8930183208214979E-2</c:v>
                </c:pt>
                <c:pt idx="30" formatCode="0.0%">
                  <c:v>1.3128195366039375E-2</c:v>
                </c:pt>
                <c:pt idx="31" formatCode="0.0%">
                  <c:v>-1.8091652742267761E-2</c:v>
                </c:pt>
                <c:pt idx="32" formatCode="0.0%">
                  <c:v>1.7181167690656807E-2</c:v>
                </c:pt>
                <c:pt idx="33" formatCode="0.0%">
                  <c:v>2.0431747482144935E-2</c:v>
                </c:pt>
                <c:pt idx="34" formatCode="0.0%">
                  <c:v>3.404706409091518E-2</c:v>
                </c:pt>
                <c:pt idx="35" formatCode="0.0%">
                  <c:v>2.8589803182446305E-2</c:v>
                </c:pt>
                <c:pt idx="36" formatCode="0.0%">
                  <c:v>-1.6280898111292741E-3</c:v>
                </c:pt>
                <c:pt idx="37" formatCode="0.0%">
                  <c:v>-8.4110469009648137E-2</c:v>
                </c:pt>
                <c:pt idx="38" formatCode="0.0%">
                  <c:v>-0.12511932083595656</c:v>
                </c:pt>
                <c:pt idx="39" formatCode="0.0%">
                  <c:v>0.12684410293315374</c:v>
                </c:pt>
                <c:pt idx="40" formatCode="0.0%">
                  <c:v>4.528177501261843E-2</c:v>
                </c:pt>
                <c:pt idx="41" formatCode="0.0%">
                  <c:v>1.8388403283502663E-2</c:v>
                </c:pt>
                <c:pt idx="42" formatCode="0.0%">
                  <c:v>5.5101296975444303E-2</c:v>
                </c:pt>
                <c:pt idx="43" formatCode="0.0%">
                  <c:v>7.0064687324219221E-2</c:v>
                </c:pt>
                <c:pt idx="44" formatCode="0.0%">
                  <c:v>-3.9227954095494399E-2</c:v>
                </c:pt>
                <c:pt idx="45" formatCode="0.0%">
                  <c:v>-2.7665774606006499E-2</c:v>
                </c:pt>
                <c:pt idx="46" formatCode="0.0%">
                  <c:v>0.10754565805086314</c:v>
                </c:pt>
                <c:pt idx="47" formatCode="0.0%">
                  <c:v>3.712140665943231E-2</c:v>
                </c:pt>
                <c:pt idx="48" formatCode="0.0%">
                  <c:v>-1.1136640158463607E-2</c:v>
                </c:pt>
                <c:pt idx="49" formatCode="0.0%">
                  <c:v>2.6091474971999817E-2</c:v>
                </c:pt>
                <c:pt idx="50" formatCode="0.0%">
                  <c:v>4.2438634008107767E-2</c:v>
                </c:pt>
                <c:pt idx="51" formatCode="0.0%">
                  <c:v>5.242531255584737E-2</c:v>
                </c:pt>
                <c:pt idx="52" formatCode="0.0%">
                  <c:v>5.4865025818131574E-3</c:v>
                </c:pt>
                <c:pt idx="53" formatCode="0.0%">
                  <c:v>2.221397632316946E-2</c:v>
                </c:pt>
                <c:pt idx="54" formatCode="0.0%">
                  <c:v>2.274810936591054E-2</c:v>
                </c:pt>
                <c:pt idx="55" formatCode="0.0%">
                  <c:v>2.8990321391681118E-2</c:v>
                </c:pt>
                <c:pt idx="56" formatCode="0.0%">
                  <c:v>-4.7569140421166334E-2</c:v>
                </c:pt>
                <c:pt idx="57" formatCode="0.0%">
                  <c:v>6.9143873301234615E-2</c:v>
                </c:pt>
                <c:pt idx="58" formatCode="0.0%">
                  <c:v>-8.3337314184714906E-3</c:v>
                </c:pt>
                <c:pt idx="59" formatCode="0.0%">
                  <c:v>4.3612874972629889E-2</c:v>
                </c:pt>
                <c:pt idx="60" formatCode="0.0%">
                  <c:v>-5.2585089106999772E-2</c:v>
                </c:pt>
                <c:pt idx="61" formatCode="0.0%">
                  <c:v>-3.1360520866782648E-2</c:v>
                </c:pt>
                <c:pt idx="62" formatCode="0.0%">
                  <c:v>3.5773238773280092E-2</c:v>
                </c:pt>
                <c:pt idx="63" formatCode="0.0%">
                  <c:v>-8.7956719149039353E-2</c:v>
                </c:pt>
                <c:pt idx="64" formatCode="0.0%">
                  <c:v>5.3243883608722342E-5</c:v>
                </c:pt>
                <c:pt idx="65" formatCode="0.0%">
                  <c:v>-8.3919993223866451E-2</c:v>
                </c:pt>
                <c:pt idx="66" formatCode="0.0%">
                  <c:v>9.1116347632205885E-2</c:v>
                </c:pt>
                <c:pt idx="67" formatCode="0.0%">
                  <c:v>-4.2440119216810457E-2</c:v>
                </c:pt>
                <c:pt idx="68" formatCode="0.0%">
                  <c:v>-9.3395701643489315E-2</c:v>
                </c:pt>
                <c:pt idx="69" formatCode="0.0%">
                  <c:v>7.9863454576893256E-2</c:v>
                </c:pt>
                <c:pt idx="70" formatCode="0.0%">
                  <c:v>5.3752860293699856E-2</c:v>
                </c:pt>
                <c:pt idx="71" formatCode="0.0%">
                  <c:v>-5.8971449299161094E-2</c:v>
                </c:pt>
              </c:numCache>
            </c:numRef>
          </c:yVal>
          <c:smooth val="0"/>
          <c:extLst>
            <c:ext xmlns:c16="http://schemas.microsoft.com/office/drawing/2014/chart" uri="{C3380CC4-5D6E-409C-BE32-E72D297353CC}">
              <c16:uniqueId val="{00000007-E1BA-4A75-89F8-D8CDA2CA59BD}"/>
            </c:ext>
          </c:extLst>
        </c:ser>
        <c:dLbls>
          <c:showLegendKey val="0"/>
          <c:showVal val="0"/>
          <c:showCatName val="0"/>
          <c:showSerName val="0"/>
          <c:showPercent val="0"/>
          <c:showBubbleSize val="0"/>
        </c:dLbls>
        <c:axId val="148644496"/>
        <c:axId val="148637776"/>
      </c:scatterChart>
      <c:valAx>
        <c:axId val="1486444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sz="1000" b="0" i="0" u="none" strike="noStrike" baseline="0"/>
                  <a:t>S&amp;P 500 Monthly Returns</a:t>
                </a:r>
                <a:endParaRPr lang="en-AU"/>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 sourceLinked="0"/>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37776"/>
        <c:crosses val="autoZero"/>
        <c:crossBetween val="midCat"/>
      </c:valAx>
      <c:valAx>
        <c:axId val="148637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sz="1000" b="0" i="0" u="none" strike="noStrike" baseline="0"/>
                  <a:t>Portfolio Monthly Returns</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 sourceLinked="0"/>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4449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Distribution of Monthly Returns (2017-2022)</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Distribution of Monthly Returns (2017-2022)</a:t>
          </a:r>
        </a:p>
      </cx:txPr>
    </cx:title>
    <cx:plotArea>
      <cx:plotAreaRegion>
        <cx:series layoutId="clusteredColumn" uniqueId="{4E56B500-F976-40F5-BF63-64F544241BAC}">
          <cx:dataLabels>
            <cx:visibility seriesName="0" categoryName="0" value="1"/>
          </cx:dataLabels>
          <cx:dataId val="0"/>
          <cx:layoutPr>
            <cx:binning intervalClosed="r">
              <cx:binSize val="0.020000000000000004"/>
            </cx:binning>
          </cx:layoutPr>
        </cx:series>
      </cx:plotAreaRegion>
      <cx:axis id="0">
        <cx:catScaling gapWidth="0"/>
        <cx:title>
          <cx:tx>
            <cx:txData>
              <cx:v>Monthly Return</cx:v>
            </cx:txData>
          </cx:tx>
          <cx:txPr>
            <a:bodyPr spcFirstLastPara="1" vertOverflow="ellipsis" horzOverflow="overflow" wrap="square" lIns="0" tIns="0" rIns="0" bIns="0" anchor="ctr" anchorCtr="1"/>
            <a:lstStyle/>
            <a:p>
              <a:pPr algn="ctr" rtl="0">
                <a:defRPr/>
              </a:pPr>
              <a:r>
                <a:rPr lang="en-US" sz="1050" b="0" i="0" u="none" strike="noStrike" baseline="0">
                  <a:solidFill>
                    <a:schemeClr val="tx1"/>
                  </a:solidFill>
                  <a:latin typeface="Aptos Narrow" panose="02110004020202020204"/>
                </a:rPr>
                <a:t>Monthly Return</a:t>
              </a:r>
            </a:p>
          </cx:txPr>
        </cx:title>
        <cx:tickLabels/>
        <cx:numFmt formatCode="0.0%" sourceLinked="0"/>
        <cx:spPr>
          <a:noFill/>
          <a:ln w="12700" cap="flat" cmpd="sng" algn="ctr">
            <a:solidFill>
              <a:schemeClr val="accent3"/>
            </a:solidFill>
            <a:prstDash val="solid"/>
            <a:miter lim="800000"/>
          </a:ln>
          <a:effectLst/>
        </cx:spPr>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axis>
      <cx:axis id="1">
        <cx:valScaling/>
        <cx:title>
          <cx:tx>
            <cx:txData>
              <cx:v>Number of Months</cx:v>
            </cx:txData>
          </cx:tx>
          <cx:txPr>
            <a:bodyPr spcFirstLastPara="1" vertOverflow="ellipsis" horzOverflow="overflow" wrap="square" lIns="0" tIns="0" rIns="0" bIns="0" anchor="ctr" anchorCtr="1"/>
            <a:lstStyle/>
            <a:p>
              <a:pPr algn="ctr" rtl="0">
                <a:defRPr/>
              </a:pPr>
              <a:r>
                <a:rPr lang="en-US" sz="1050" b="0" i="0" u="none" strike="noStrike" baseline="0">
                  <a:solidFill>
                    <a:schemeClr val="tx1"/>
                  </a:solidFill>
                  <a:latin typeface="Aptos Narrow" panose="02110004020202020204"/>
                </a:rPr>
                <a:t>Number of Months</a:t>
              </a:r>
            </a:p>
          </cx:txPr>
        </cx:title>
        <cx:majorGridlines>
          <cx:spPr>
            <a:ln>
              <a:noFill/>
            </a:ln>
          </cx:spPr>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14</xdr:col>
      <xdr:colOff>173266</xdr:colOff>
      <xdr:row>0</xdr:row>
      <xdr:rowOff>0</xdr:rowOff>
    </xdr:from>
    <xdr:to>
      <xdr:col>24</xdr:col>
      <xdr:colOff>14515</xdr:colOff>
      <xdr:row>20</xdr:row>
      <xdr:rowOff>12700</xdr:rowOff>
    </xdr:to>
    <xdr:graphicFrame macro="">
      <xdr:nvGraphicFramePr>
        <xdr:cNvPr id="2" name="Chart 1">
          <a:extLst>
            <a:ext uri="{FF2B5EF4-FFF2-40B4-BE49-F238E27FC236}">
              <a16:creationId xmlns:a16="http://schemas.microsoft.com/office/drawing/2014/main" id="{0E5F0190-9EA4-3B5F-95EE-6B6B7B9F6A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559290</xdr:colOff>
      <xdr:row>96</xdr:row>
      <xdr:rowOff>60908</xdr:rowOff>
    </xdr:from>
    <xdr:to>
      <xdr:col>11</xdr:col>
      <xdr:colOff>71995</xdr:colOff>
      <xdr:row>113</xdr:row>
      <xdr:rowOff>67535</xdr:rowOff>
    </xdr:to>
    <xdr:graphicFrame macro="">
      <xdr:nvGraphicFramePr>
        <xdr:cNvPr id="3" name="Chart 2">
          <a:extLst>
            <a:ext uri="{FF2B5EF4-FFF2-40B4-BE49-F238E27FC236}">
              <a16:creationId xmlns:a16="http://schemas.microsoft.com/office/drawing/2014/main" id="{D9E08EFD-3226-02B8-1E03-1F7A89A75E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0.0791</cdr:x>
      <cdr:y>0.67664</cdr:y>
    </cdr:from>
    <cdr:to>
      <cdr:x>0.80718</cdr:x>
      <cdr:y>0.6789</cdr:y>
    </cdr:to>
    <cdr:cxnSp macro="">
      <cdr:nvCxnSpPr>
        <cdr:cNvPr id="3" name="Straight Connector 2">
          <a:extLst xmlns:a="http://schemas.openxmlformats.org/drawingml/2006/main">
            <a:ext uri="{FF2B5EF4-FFF2-40B4-BE49-F238E27FC236}">
              <a16:creationId xmlns:a16="http://schemas.microsoft.com/office/drawing/2014/main" id="{DD262E8F-229D-2E1D-59FD-98CC1FC6ED28}"/>
            </a:ext>
          </a:extLst>
        </cdr:cNvPr>
        <cdr:cNvCxnSpPr/>
      </cdr:nvCxnSpPr>
      <cdr:spPr>
        <a:xfrm xmlns:a="http://schemas.openxmlformats.org/drawingml/2006/main" flipV="1">
          <a:off x="393210" y="2195785"/>
          <a:ext cx="3619500" cy="7326"/>
        </a:xfrm>
        <a:prstGeom xmlns:a="http://schemas.openxmlformats.org/drawingml/2006/main" prst="line">
          <a:avLst/>
        </a:prstGeom>
        <a:ln xmlns:a="http://schemas.openxmlformats.org/drawingml/2006/main">
          <a:solidFill>
            <a:schemeClr val="bg1">
              <a:lumMod val="75000"/>
            </a:schemeClr>
          </a:solidFill>
          <a:prstDash val="sysDash"/>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3.xml><?xml version="1.0" encoding="utf-8"?>
<xdr:wsDr xmlns:xdr="http://schemas.openxmlformats.org/drawingml/2006/spreadsheetDrawing" xmlns:a="http://schemas.openxmlformats.org/drawingml/2006/main">
  <xdr:twoCellAnchor>
    <xdr:from>
      <xdr:col>0</xdr:col>
      <xdr:colOff>96814</xdr:colOff>
      <xdr:row>29</xdr:row>
      <xdr:rowOff>63778</xdr:rowOff>
    </xdr:from>
    <xdr:to>
      <xdr:col>8</xdr:col>
      <xdr:colOff>220273</xdr:colOff>
      <xdr:row>47</xdr:row>
      <xdr:rowOff>63777</xdr:rowOff>
    </xdr:to>
    <xdr:graphicFrame macro="">
      <xdr:nvGraphicFramePr>
        <xdr:cNvPr id="2" name="Chart 1">
          <a:extLst>
            <a:ext uri="{FF2B5EF4-FFF2-40B4-BE49-F238E27FC236}">
              <a16:creationId xmlns:a16="http://schemas.microsoft.com/office/drawing/2014/main" id="{7473ABB2-9D84-D1C4-E9F0-B4A95397E3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139212</xdr:colOff>
      <xdr:row>15</xdr:row>
      <xdr:rowOff>176212</xdr:rowOff>
    </xdr:from>
    <xdr:to>
      <xdr:col>17</xdr:col>
      <xdr:colOff>314327</xdr:colOff>
      <xdr:row>33</xdr:row>
      <xdr:rowOff>7327</xdr:rowOff>
    </xdr:to>
    <xdr:graphicFrame macro="">
      <xdr:nvGraphicFramePr>
        <xdr:cNvPr id="2" name="Chart 1">
          <a:extLst>
            <a:ext uri="{FF2B5EF4-FFF2-40B4-BE49-F238E27FC236}">
              <a16:creationId xmlns:a16="http://schemas.microsoft.com/office/drawing/2014/main" id="{656F5C71-5599-9508-ADB2-5E10F8B96E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17</xdr:col>
      <xdr:colOff>728662</xdr:colOff>
      <xdr:row>31</xdr:row>
      <xdr:rowOff>138112</xdr:rowOff>
    </xdr:from>
    <xdr:to>
      <xdr:col>24</xdr:col>
      <xdr:colOff>166687</xdr:colOff>
      <xdr:row>46</xdr:row>
      <xdr:rowOff>166687</xdr:rowOff>
    </xdr:to>
    <xdr:graphicFrame macro="">
      <xdr:nvGraphicFramePr>
        <xdr:cNvPr id="2" name="Chart 1">
          <a:extLst>
            <a:ext uri="{FF2B5EF4-FFF2-40B4-BE49-F238E27FC236}">
              <a16:creationId xmlns:a16="http://schemas.microsoft.com/office/drawing/2014/main" id="{AE1E4A82-C69D-8497-269F-3554B2BA9B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395287</xdr:colOff>
      <xdr:row>4</xdr:row>
      <xdr:rowOff>157162</xdr:rowOff>
    </xdr:from>
    <xdr:to>
      <xdr:col>17</xdr:col>
      <xdr:colOff>504825</xdr:colOff>
      <xdr:row>22</xdr:row>
      <xdr:rowOff>171450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E83095B-D4CC-A6BB-1F13-C420006E452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662487" y="893762"/>
              <a:ext cx="6205538" cy="3328988"/>
            </a:xfrm>
            <a:prstGeom prst="rect">
              <a:avLst/>
            </a:prstGeom>
            <a:solidFill>
              <a:prstClr val="white"/>
            </a:solidFill>
            <a:ln w="1">
              <a:solidFill>
                <a:prstClr val="green"/>
              </a:solidFill>
            </a:ln>
          </xdr:spPr>
          <xdr:txBody>
            <a:bodyPr vertOverflow="clip" horzOverflow="clip"/>
            <a:lstStyle/>
            <a:p>
              <a:r>
                <a:rPr lang="en-AU"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30">
  <a r="1" c="96">
    <v t="i">0</v>
    <v t="i">31</v>
    <v t="i">59</v>
    <v t="i">90</v>
    <v t="i">120</v>
    <v t="i">151</v>
    <v t="i">181</v>
    <v t="i">212</v>
    <v t="i">243</v>
    <v t="i">273</v>
    <v t="i">304</v>
    <v t="i">334</v>
    <v t="i">365</v>
    <v t="i">396</v>
    <v t="i">425</v>
    <v t="i">456</v>
    <v t="i">486</v>
    <v t="i">517</v>
    <v t="i">547</v>
    <v t="i">578</v>
    <v t="i">609</v>
    <v t="i">639</v>
    <v t="i">670</v>
    <v t="i">700</v>
    <v t="i">731</v>
    <v t="i">762</v>
    <v t="i">790</v>
    <v t="i">821</v>
    <v t="i">851</v>
    <v t="i">882</v>
    <v t="i">912</v>
    <v t="i">943</v>
    <v t="i">974</v>
    <v t="i">1004</v>
    <v t="i">1035</v>
    <v t="i">1065</v>
    <v t="i">1096</v>
    <v t="i">1127</v>
    <v t="i">1155</v>
    <v t="i">1186</v>
    <v t="i">1216</v>
    <v t="i">1247</v>
    <v t="i">1277</v>
    <v t="i">1308</v>
    <v t="i">1339</v>
    <v t="i">1369</v>
    <v t="i">1400</v>
    <v t="i">1430</v>
    <v t="i">1461</v>
    <v t="i">1492</v>
    <v t="i">1520</v>
    <v t="i">1551</v>
    <v t="i">1581</v>
    <v t="i">1612</v>
    <v t="i">1642</v>
    <v t="i">1673</v>
    <v t="i">1704</v>
    <v t="i">1734</v>
    <v t="i">1765</v>
    <v t="i">1795</v>
    <v t="i">1826</v>
    <v t="i">1857</v>
    <v t="i">1886</v>
    <v t="i">1917</v>
    <v t="i">1947</v>
    <v t="i">1978</v>
    <v t="i">2008</v>
    <v t="i">2039</v>
    <v t="i">2070</v>
    <v t="i">2100</v>
    <v t="i">2131</v>
    <v t="i">2161</v>
    <v t="i">2192</v>
    <v t="i">2223</v>
    <v t="i">2251</v>
    <v t="i">2282</v>
    <v t="i">2312</v>
    <v t="i">2343</v>
    <v t="i">2373</v>
    <v t="i">2404</v>
    <v t="i">2435</v>
    <v t="i">2465</v>
    <v t="i">2496</v>
    <v t="i">2526</v>
    <v t="i">2557</v>
    <v t="i">2588</v>
    <v t="i">2616</v>
    <v t="i">2647</v>
    <v t="i">2677</v>
    <v t="i">2708</v>
    <v t="i">2738</v>
    <v t="i">2769</v>
    <v t="i">2800</v>
    <v t="i">2830</v>
    <v t="i">2861</v>
    <v t="i">2891</v>
  </a>
  <a r="1" c="96">
    <v>82.03</v>
    <v>90.13</v>
    <v>86.39</v>
    <v>90.21</v>
    <v>92.26</v>
    <v>93.48</v>
    <v>97.4</v>
    <v>92.37</v>
    <v>90.12</v>
    <v>98.99</v>
    <v>97.92</v>
    <v>97.36</v>
    <v>89.03</v>
    <v>86.92</v>
    <v>94.5</v>
    <v>96.99</v>
    <v>95.9</v>
    <v>88.06</v>
    <v>95.24</v>
    <v>96.63</v>
    <v>101.77</v>
    <v>107.02</v>
    <v>102.2</v>
    <v>103.25</v>
    <v>106.33</v>
    <v>110.46</v>
    <v>112.47</v>
    <v>116.32</v>
    <v>122.88</v>
    <v>121.45</v>
    <v>127.8</v>
    <v>133.30000000000001</v>
    <v>141.19999999999999</v>
    <v>148.77000000000001</v>
    <v>150.47</v>
    <v>151.36000000000001</v>
    <v>169</v>
    <v>175.76</v>
    <v>175.16</v>
    <v>178.27</v>
    <v>190.12</v>
    <v>196.52</v>
    <v>198</v>
    <v>215.56</v>
    <v>222.61</v>
    <v>197.67</v>
    <v>201.07</v>
    <v>188.65</v>
    <v>211.13</v>
    <v>224.77</v>
    <v>235.45</v>
    <v>254.24</v>
    <v>251.49</v>
    <v>264.52999999999997</v>
    <v>272.27</v>
    <v>281.37</v>
    <v>271.57</v>
    <v>276.81</v>
    <v>292.23</v>
    <v>298.58999999999997</v>
    <v>315.94</v>
    <v>290.25</v>
    <v>241.56</v>
    <v>274.97000000000003</v>
    <v>300.89</v>
    <v>295.7</v>
    <v>308.52999999999997</v>
    <v>358.19</v>
    <v>338.17</v>
    <v>288.64</v>
    <v>336.51</v>
    <v>356.94</v>
    <v>316.29000000000002</v>
    <v>353.85</v>
    <v>356.05</v>
    <v>382.06</v>
    <v>360.58</v>
    <v>365.09</v>
    <v>385.94</v>
    <v>346.23</v>
    <v>347.68</v>
    <v>335.52</v>
    <v>314.92</v>
    <v>359.32</v>
    <v>386.38</v>
    <v>360.82</v>
    <v>357.38</v>
    <v>363.38</v>
    <v>357.87</v>
    <v>315.48</v>
    <v>353.79</v>
    <v>324.37</v>
    <v>284.33999999999997</v>
    <v>328.18</v>
    <v>356.4</v>
    <v>347.73</v>
  </a>
  <a r="1" c="96">
    <v>16.75</v>
    <v>20.02</v>
    <v>19.34</v>
    <v>20.46</v>
    <v>20.95</v>
    <v>23.35</v>
    <v>22.05</v>
    <v>22</v>
    <v>20.6</v>
    <v>21.51</v>
    <v>22.18</v>
    <v>22.69</v>
    <v>19.309999999999999</v>
    <v>17.399999999999999</v>
    <v>17.86</v>
    <v>18.190000000000001</v>
    <v>18.34</v>
    <v>14.88</v>
    <v>14.58</v>
    <v>15.68</v>
    <v>16.079999999999998</v>
    <v>18.34</v>
    <v>23.68</v>
    <v>24.46</v>
    <v>24.51</v>
    <v>23.58</v>
    <v>23.96</v>
    <v>22.82</v>
    <v>21.96</v>
    <v>23.02</v>
    <v>22.92</v>
    <v>21.21</v>
    <v>23.26</v>
    <v>23.76</v>
    <v>24.17</v>
    <v>24.05</v>
    <v>27.2</v>
    <v>28.68</v>
    <v>27.41</v>
    <v>29.36</v>
    <v>28.22</v>
    <v>28.49</v>
    <v>29.64</v>
    <v>28.53</v>
    <v>30.56</v>
    <v>31.59</v>
    <v>30.13</v>
    <v>26.86</v>
    <v>26.35</v>
    <v>27.11</v>
    <v>24.14</v>
    <v>25.09</v>
    <v>21.42</v>
    <v>20</v>
    <v>20.21</v>
    <v>15.06</v>
    <v>16.75</v>
    <v>16.91</v>
    <v>17.760000000000002</v>
    <v>19.190000000000001</v>
    <v>15.2</v>
    <v>11.27</v>
    <v>6.98</v>
    <v>6.22</v>
    <v>6.48</v>
    <v>6.53</v>
    <v>5.36</v>
    <v>6.93</v>
    <v>6.77</v>
    <v>8.6</v>
    <v>8.44</v>
    <v>9.17</v>
    <v>10.93</v>
    <v>14.6</v>
    <v>17.46</v>
    <v>16.309999999999999</v>
    <v>15.81</v>
    <v>14.43</v>
    <v>12.39</v>
    <v>13.04</v>
    <v>15.29</v>
    <v>15.57</v>
    <v>14.43</v>
    <v>15.12</v>
    <v>17.82</v>
    <v>18.39</v>
    <v>23.27</v>
    <v>28.87</v>
    <v>28.44</v>
    <v>29.72</v>
    <v>26.42</v>
    <v>31.33</v>
    <v>38.04</v>
    <v>40.770000000000003</v>
    <v>37.03</v>
    <v>38.79</v>
  </a>
  <a r="1" c="96">
    <v>31.664999999999999</v>
    <v>35.854999999999997</v>
    <v>35.32</v>
    <v>36.704999999999998</v>
    <v>35.494999999999997</v>
    <v>35.075000000000003</v>
    <v>33.92</v>
    <v>32.954999999999998</v>
    <v>31.1</v>
    <v>34.25</v>
    <v>34.71</v>
    <v>36.365000000000002</v>
    <v>33.414999999999999</v>
    <v>33.115000000000002</v>
    <v>35.645000000000003</v>
    <v>35.69</v>
    <v>36.15</v>
    <v>36.145000000000003</v>
    <v>35.335000000000001</v>
    <v>39.594999999999999</v>
    <v>40.975000000000001</v>
    <v>38.534999999999997</v>
    <v>37.53</v>
    <v>37.534999999999997</v>
    <v>38.130000000000003</v>
    <v>36.765000000000001</v>
    <v>37.130000000000003</v>
    <v>38.445</v>
    <v>40.9</v>
    <v>42.21</v>
    <v>41.9</v>
    <v>39.99</v>
    <v>41.3</v>
    <v>42.93</v>
    <v>39.909999999999997</v>
    <v>37.85</v>
    <v>38.28</v>
    <v>39.950000000000003</v>
    <v>39.71</v>
    <v>40.090000000000003</v>
    <v>36.950000000000003</v>
    <v>35.549999999999997</v>
    <v>38.97</v>
    <v>41.88</v>
    <v>43.99</v>
    <v>44.8</v>
    <v>49.11</v>
    <v>45.98</v>
    <v>52.28</v>
    <v>54.78</v>
    <v>57.86</v>
    <v>59.94</v>
    <v>61.39</v>
    <v>69.989999999999995</v>
    <v>71.48</v>
    <v>80.41</v>
    <v>72.81</v>
    <v>69.97</v>
    <v>66.06</v>
    <v>64.67</v>
    <v>72.180000000000007</v>
    <v>70.459999999999994</v>
    <v>64.66</v>
    <v>65.59</v>
    <v>71.260000000000005</v>
    <v>69.489999999999995</v>
    <v>73.63</v>
    <v>80.37</v>
    <v>83.12</v>
    <v>89</v>
    <v>96.01</v>
    <v>93.18</v>
    <v>88.02</v>
    <v>85.39</v>
    <v>84.74</v>
    <v>93.64</v>
    <v>82.16</v>
    <v>81.02</v>
    <v>80.88</v>
    <v>95.96</v>
    <v>89.97</v>
    <v>91.48</v>
    <v>93.45</v>
    <v>96.27</v>
    <v>97.1</v>
    <v>89.74</v>
    <v>90</v>
    <v>81.16</v>
    <v>70.89</v>
    <v>68.77</v>
    <v>73.42</v>
    <v>55.81</v>
    <v>48.32</v>
    <v>49.39</v>
    <v>56.08</v>
    <v>51.14</v>
  </a>
  <a r="1" c="1506">
    <v t="i">2</v>
    <v t="i">3</v>
    <v t="i">4</v>
    <v t="i">5</v>
    <v t="i">8</v>
    <v t="i">9</v>
    <v t="i">10</v>
    <v t="i">11</v>
    <v t="i">12</v>
    <v t="i">16</v>
    <v t="i">17</v>
    <v t="i">18</v>
    <v t="i">19</v>
    <v t="i">22</v>
    <v t="i">23</v>
    <v t="i">24</v>
    <v t="i">25</v>
    <v t="i">26</v>
    <v t="i">29</v>
    <v t="i">30</v>
    <v t="i">31</v>
    <v t="i">32</v>
    <v t="i">33</v>
    <v t="i">36</v>
    <v t="i">37</v>
    <v t="i">38</v>
    <v t="i">39</v>
    <v t="i">40</v>
    <v t="i">43</v>
    <v t="i">44</v>
    <v t="i">45</v>
    <v t="i">46</v>
    <v t="i">47</v>
    <v t="i">51</v>
    <v t="i">52</v>
    <v t="i">53</v>
    <v t="i">54</v>
    <v t="i">57</v>
    <v t="i">58</v>
    <v t="i">59</v>
    <v t="i">60</v>
    <v t="i">61</v>
    <v t="i">64</v>
    <v t="i">65</v>
    <v t="i">66</v>
    <v t="i">67</v>
    <v t="i">68</v>
    <v t="i">71</v>
    <v t="i">72</v>
    <v t="i">73</v>
    <v t="i">74</v>
    <v t="i">75</v>
    <v t="i">78</v>
    <v t="i">79</v>
    <v t="i">80</v>
    <v t="i">81</v>
    <v t="i">82</v>
    <v t="i">85</v>
    <v t="i">86</v>
    <v t="i">87</v>
    <v t="i">88</v>
    <v t="i">89</v>
    <v t="i">92</v>
    <v t="i">93</v>
    <v t="i">94</v>
    <v t="i">95</v>
    <v t="i">96</v>
    <v t="i">99</v>
    <v t="i">100</v>
    <v t="i">101</v>
    <v t="i">102</v>
    <v t="i">106</v>
    <v t="i">107</v>
    <v t="i">108</v>
    <v t="i">109</v>
    <v t="i">110</v>
    <v t="i">113</v>
    <v t="i">114</v>
    <v t="i">115</v>
    <v t="i">116</v>
    <v t="i">117</v>
    <v t="i">120</v>
    <v t="i">121</v>
    <v t="i">122</v>
    <v t="i">123</v>
    <v t="i">124</v>
    <v t="i">127</v>
    <v t="i">128</v>
    <v t="i">129</v>
    <v t="i">130</v>
    <v t="i">131</v>
    <v t="i">134</v>
    <v t="i">135</v>
    <v t="i">136</v>
    <v t="i">137</v>
    <v t="i">138</v>
    <v t="i">141</v>
    <v t="i">142</v>
    <v t="i">143</v>
    <v t="i">144</v>
    <v t="i">145</v>
    <v t="i">149</v>
    <v t="i">150</v>
    <v t="i">151</v>
    <v t="i">152</v>
    <v t="i">155</v>
    <v t="i">156</v>
    <v t="i">157</v>
    <v t="i">158</v>
    <v t="i">159</v>
    <v t="i">162</v>
    <v t="i">163</v>
    <v t="i">164</v>
    <v t="i">165</v>
    <v t="i">166</v>
    <v t="i">169</v>
    <v t="i">170</v>
    <v t="i">171</v>
    <v t="i">172</v>
    <v t="i">173</v>
    <v t="i">176</v>
    <v t="i">177</v>
    <v t="i">178</v>
    <v t="i">179</v>
    <v t="i">180</v>
    <v t="i">183</v>
    <v t="i">185</v>
    <v t="i">186</v>
    <v t="i">187</v>
    <v t="i">190</v>
    <v t="i">191</v>
    <v t="i">192</v>
    <v t="i">193</v>
    <v t="i">194</v>
    <v t="i">197</v>
    <v t="i">198</v>
    <v t="i">199</v>
    <v t="i">200</v>
    <v t="i">201</v>
    <v t="i">204</v>
    <v t="i">205</v>
    <v t="i">206</v>
    <v t="i">207</v>
    <v t="i">208</v>
    <v t="i">211</v>
    <v t="i">212</v>
    <v t="i">213</v>
    <v t="i">214</v>
    <v t="i">215</v>
    <v t="i">218</v>
    <v t="i">219</v>
    <v t="i">220</v>
    <v t="i">221</v>
    <v t="i">222</v>
    <v t="i">225</v>
    <v t="i">226</v>
    <v t="i">227</v>
    <v t="i">228</v>
    <v t="i">229</v>
    <v t="i">232</v>
    <v t="i">233</v>
    <v t="i">234</v>
    <v t="i">235</v>
    <v t="i">236</v>
    <v t="i">239</v>
    <v t="i">240</v>
    <v t="i">241</v>
    <v t="i">242</v>
    <v t="i">243</v>
    <v t="i">247</v>
    <v t="i">248</v>
    <v t="i">249</v>
    <v t="i">250</v>
    <v t="i">253</v>
    <v t="i">254</v>
    <v t="i">255</v>
    <v t="i">256</v>
    <v t="i">257</v>
    <v t="i">260</v>
    <v t="i">261</v>
    <v t="i">262</v>
    <v t="i">263</v>
    <v t="i">264</v>
    <v t="i">267</v>
    <v t="i">268</v>
    <v t="i">269</v>
    <v t="i">270</v>
    <v t="i">271</v>
    <v t="i">274</v>
    <v t="i">275</v>
    <v t="i">276</v>
    <v t="i">277</v>
    <v t="i">278</v>
    <v t="i">281</v>
    <v t="i">282</v>
    <v t="i">283</v>
    <v t="i">284</v>
    <v t="i">285</v>
    <v t="i">288</v>
    <v t="i">289</v>
    <v t="i">290</v>
    <v t="i">291</v>
    <v t="i">292</v>
    <v t="i">295</v>
    <v t="i">296</v>
    <v t="i">297</v>
    <v t="i">298</v>
    <v t="i">299</v>
    <v t="i">302</v>
    <v t="i">303</v>
    <v t="i">304</v>
    <v t="i">305</v>
    <v t="i">306</v>
    <v t="i">309</v>
    <v t="i">310</v>
    <v t="i">311</v>
    <v t="i">312</v>
    <v t="i">313</v>
    <v t="i">316</v>
    <v t="i">317</v>
    <v t="i">318</v>
    <v t="i">319</v>
    <v t="i">320</v>
    <v t="i">323</v>
    <v t="i">324</v>
    <v t="i">325</v>
    <v t="i">327</v>
    <v t="i">330</v>
    <v t="i">331</v>
    <v t="i">332</v>
    <v t="i">333</v>
    <v t="i">334</v>
    <v t="i">337</v>
    <v t="i">338</v>
    <v t="i">339</v>
    <v t="i">340</v>
    <v t="i">341</v>
    <v t="i">344</v>
    <v t="i">345</v>
    <v t="i">346</v>
    <v t="i">347</v>
    <v t="i">348</v>
    <v t="i">351</v>
    <v t="i">352</v>
    <v t="i">353</v>
    <v t="i">354</v>
    <v t="i">355</v>
    <v t="i">359</v>
    <v t="i">360</v>
    <v t="i">361</v>
    <v t="i">362</v>
    <v t="i">366</v>
    <v t="i">367</v>
    <v t="i">368</v>
    <v t="i">369</v>
    <v t="i">372</v>
    <v t="i">373</v>
    <v t="i">374</v>
    <v t="i">375</v>
    <v t="i">376</v>
    <v t="i">380</v>
    <v t="i">381</v>
    <v t="i">382</v>
    <v t="i">383</v>
    <v t="i">386</v>
    <v t="i">387</v>
    <v t="i">388</v>
    <v t="i">389</v>
    <v t="i">390</v>
    <v t="i">393</v>
    <v t="i">394</v>
    <v t="i">395</v>
    <v t="i">396</v>
    <v t="i">397</v>
    <v t="i">400</v>
    <v t="i">401</v>
    <v t="i">402</v>
    <v t="i">403</v>
    <v t="i">404</v>
    <v t="i">407</v>
    <v t="i">408</v>
    <v t="i">409</v>
    <v t="i">410</v>
    <v t="i">411</v>
    <v t="i">415</v>
    <v t="i">416</v>
    <v t="i">417</v>
    <v t="i">418</v>
    <v t="i">421</v>
    <v t="i">422</v>
    <v t="i">423</v>
    <v t="i">424</v>
    <v t="i">425</v>
    <v t="i">428</v>
    <v t="i">429</v>
    <v t="i">430</v>
    <v t="i">431</v>
    <v t="i">432</v>
    <v t="i">435</v>
    <v t="i">436</v>
    <v t="i">437</v>
    <v t="i">438</v>
    <v t="i">439</v>
    <v t="i">442</v>
    <v t="i">443</v>
    <v t="i">444</v>
    <v t="i">445</v>
    <v t="i">446</v>
    <v t="i">449</v>
    <v t="i">450</v>
    <v t="i">451</v>
    <v t="i">452</v>
    <v t="i">456</v>
    <v t="i">457</v>
    <v t="i">458</v>
    <v t="i">459</v>
    <v t="i">460</v>
    <v t="i">463</v>
    <v t="i">464</v>
    <v t="i">465</v>
    <v t="i">466</v>
    <v t="i">467</v>
    <v t="i">470</v>
    <v t="i">471</v>
    <v t="i">472</v>
    <v t="i">473</v>
    <v t="i">474</v>
    <v t="i">477</v>
    <v t="i">478</v>
    <v t="i">479</v>
    <v t="i">480</v>
    <v t="i">481</v>
    <v t="i">484</v>
    <v t="i">485</v>
    <v t="i">486</v>
    <v t="i">487</v>
    <v t="i">488</v>
    <v t="i">491</v>
    <v t="i">492</v>
    <v t="i">493</v>
    <v t="i">494</v>
    <v t="i">495</v>
    <v t="i">498</v>
    <v t="i">499</v>
    <v t="i">500</v>
    <v t="i">501</v>
    <v t="i">502</v>
    <v t="i">505</v>
    <v t="i">506</v>
    <v t="i">507</v>
    <v t="i">508</v>
    <v t="i">509</v>
    <v t="i">513</v>
    <v t="i">514</v>
    <v t="i">515</v>
    <v t="i">516</v>
    <v t="i">519</v>
    <v t="i">520</v>
    <v t="i">521</v>
    <v t="i">522</v>
    <v t="i">523</v>
    <v t="i">526</v>
    <v t="i">527</v>
    <v t="i">528</v>
    <v t="i">529</v>
    <v t="i">530</v>
    <v t="i">533</v>
    <v t="i">534</v>
    <v t="i">535</v>
    <v t="i">536</v>
    <v t="i">537</v>
    <v t="i">540</v>
    <v t="i">541</v>
    <v t="i">542</v>
    <v t="i">543</v>
    <v t="i">544</v>
    <v t="i">547</v>
    <v t="i">548</v>
    <v t="i">550</v>
    <v t="i">551</v>
    <v t="i">554</v>
    <v t="i">555</v>
    <v t="i">556</v>
    <v t="i">557</v>
    <v t="i">558</v>
    <v t="i">561</v>
    <v t="i">562</v>
    <v t="i">563</v>
    <v t="i">564</v>
    <v t="i">565</v>
    <v t="i">568</v>
    <v t="i">569</v>
    <v t="i">570</v>
    <v t="i">571</v>
    <v t="i">572</v>
    <v t="i">575</v>
    <v t="i">576</v>
    <v t="i">577</v>
    <v t="i">578</v>
    <v t="i">579</v>
    <v t="i">582</v>
    <v t="i">583</v>
    <v t="i">584</v>
    <v t="i">585</v>
    <v t="i">586</v>
    <v t="i">589</v>
    <v t="i">590</v>
    <v t="i">591</v>
    <v t="i">592</v>
    <v t="i">593</v>
    <v t="i">596</v>
    <v t="i">597</v>
    <v t="i">598</v>
    <v t="i">599</v>
    <v t="i">600</v>
    <v t="i">603</v>
    <v t="i">604</v>
    <v t="i">605</v>
    <v t="i">606</v>
    <v t="i">607</v>
    <v t="i">611</v>
    <v t="i">612</v>
    <v t="i">613</v>
    <v t="i">614</v>
    <v t="i">617</v>
    <v t="i">618</v>
    <v t="i">619</v>
    <v t="i">620</v>
    <v t="i">621</v>
    <v t="i">624</v>
    <v t="i">625</v>
    <v t="i">626</v>
    <v t="i">627</v>
    <v t="i">628</v>
    <v t="i">631</v>
    <v t="i">632</v>
    <v t="i">633</v>
    <v t="i">634</v>
    <v t="i">635</v>
    <v t="i">638</v>
    <v t="i">639</v>
    <v t="i">640</v>
    <v t="i">641</v>
    <v t="i">642</v>
    <v t="i">645</v>
    <v t="i">646</v>
    <v t="i">647</v>
    <v t="i">648</v>
    <v t="i">649</v>
    <v t="i">652</v>
    <v t="i">653</v>
    <v t="i">654</v>
    <v t="i">655</v>
    <v t="i">656</v>
    <v t="i">659</v>
    <v t="i">660</v>
    <v t="i">661</v>
    <v t="i">662</v>
    <v t="i">663</v>
    <v t="i">666</v>
    <v t="i">667</v>
    <v t="i">668</v>
    <v t="i">669</v>
    <v t="i">670</v>
    <v t="i">673</v>
    <v t="i">674</v>
    <v t="i">675</v>
    <v t="i">676</v>
    <v t="i">677</v>
    <v t="i">680</v>
    <v t="i">681</v>
    <v t="i">682</v>
    <v t="i">683</v>
    <v t="i">684</v>
    <v t="i">687</v>
    <v t="i">688</v>
    <v t="i">689</v>
    <v t="i">691</v>
    <v t="i">694</v>
    <v t="i">695</v>
    <v t="i">696</v>
    <v t="i">697</v>
    <v t="i">698</v>
    <v t="i">701</v>
    <v t="i">702</v>
    <v t="i">704</v>
    <v t="i">705</v>
    <v t="i">708</v>
    <v t="i">709</v>
    <v t="i">710</v>
    <v t="i">711</v>
    <v t="i">712</v>
    <v t="i">715</v>
    <v t="i">716</v>
    <v t="i">717</v>
    <v t="i">718</v>
    <v t="i">719</v>
    <v t="i">722</v>
    <v t="i">724</v>
    <v t="i">725</v>
    <v t="i">726</v>
    <v t="i">729</v>
    <v t="i">731</v>
    <v t="i">732</v>
    <v t="i">733</v>
    <v t="i">736</v>
    <v t="i">737</v>
    <v t="i">738</v>
    <v t="i">739</v>
    <v t="i">740</v>
    <v t="i">743</v>
    <v t="i">744</v>
    <v t="i">745</v>
    <v t="i">746</v>
    <v t="i">747</v>
    <v t="i">751</v>
    <v t="i">752</v>
    <v t="i">753</v>
    <v t="i">754</v>
    <v t="i">757</v>
    <v t="i">758</v>
    <v t="i">759</v>
    <v t="i">760</v>
    <v t="i">761</v>
    <v t="i">764</v>
    <v t="i">765</v>
    <v t="i">766</v>
    <v t="i">767</v>
    <v t="i">768</v>
    <v t="i">771</v>
    <v t="i">772</v>
    <v t="i">773</v>
    <v t="i">774</v>
    <v t="i">775</v>
    <v t="i">779</v>
    <v t="i">780</v>
    <v t="i">781</v>
    <v t="i">782</v>
    <v t="i">785</v>
    <v t="i">786</v>
    <v t="i">787</v>
    <v t="i">788</v>
    <v t="i">789</v>
    <v t="i">792</v>
    <v t="i">793</v>
    <v t="i">794</v>
    <v t="i">795</v>
    <v t="i">796</v>
    <v t="i">799</v>
    <v t="i">800</v>
    <v t="i">801</v>
    <v t="i">802</v>
    <v t="i">803</v>
    <v t="i">806</v>
    <v t="i">807</v>
    <v t="i">808</v>
    <v t="i">809</v>
    <v t="i">810</v>
    <v t="i">813</v>
    <v t="i">814</v>
    <v t="i">815</v>
    <v t="i">816</v>
    <v t="i">817</v>
    <v t="i">820</v>
    <v t="i">821</v>
    <v t="i">822</v>
    <v t="i">823</v>
    <v t="i">824</v>
    <v t="i">827</v>
    <v t="i">828</v>
    <v t="i">829</v>
    <v t="i">830</v>
    <v t="i">831</v>
    <v t="i">834</v>
    <v t="i">835</v>
    <v t="i">836</v>
    <v t="i">837</v>
    <v t="i">841</v>
    <v t="i">842</v>
    <v t="i">843</v>
    <v t="i">844</v>
    <v t="i">845</v>
    <v t="i">848</v>
    <v t="i">849</v>
    <v t="i">850</v>
    <v t="i">851</v>
    <v t="i">852</v>
    <v t="i">855</v>
    <v t="i">856</v>
    <v t="i">857</v>
    <v t="i">858</v>
    <v t="i">859</v>
    <v t="i">862</v>
    <v t="i">863</v>
    <v t="i">864</v>
    <v t="i">865</v>
    <v t="i">866</v>
    <v t="i">869</v>
    <v t="i">870</v>
    <v t="i">871</v>
    <v t="i">872</v>
    <v t="i">873</v>
    <v t="i">877</v>
    <v t="i">878</v>
    <v t="i">879</v>
    <v t="i">880</v>
    <v t="i">883</v>
    <v t="i">884</v>
    <v t="i">885</v>
    <v t="i">886</v>
    <v t="i">887</v>
    <v t="i">890</v>
    <v t="i">891</v>
    <v t="i">892</v>
    <v t="i">893</v>
    <v t="i">894</v>
    <v t="i">897</v>
    <v t="i">898</v>
    <v t="i">899</v>
    <v t="i">900</v>
    <v t="i">901</v>
    <v t="i">904</v>
    <v t="i">905</v>
    <v t="i">906</v>
    <v t="i">907</v>
    <v t="i">908</v>
    <v t="i">911</v>
    <v t="i">912</v>
    <v t="i">913</v>
    <v t="i">915</v>
    <v t="i">918</v>
    <v t="i">919</v>
    <v t="i">920</v>
    <v t="i">921</v>
    <v t="i">922</v>
    <v t="i">925</v>
    <v t="i">926</v>
    <v t="i">927</v>
    <v t="i">928</v>
    <v t="i">929</v>
    <v t="i">932</v>
    <v t="i">933</v>
    <v t="i">934</v>
    <v t="i">935</v>
    <v t="i">936</v>
    <v t="i">939</v>
    <v t="i">940</v>
    <v t="i">941</v>
    <v t="i">942</v>
    <v t="i">943</v>
    <v t="i">946</v>
    <v t="i">947</v>
    <v t="i">948</v>
    <v t="i">949</v>
    <v t="i">950</v>
    <v t="i">953</v>
    <v t="i">954</v>
    <v t="i">955</v>
    <v t="i">956</v>
    <v t="i">957</v>
    <v t="i">960</v>
    <v t="i">961</v>
    <v t="i">962</v>
    <v t="i">963</v>
    <v t="i">964</v>
    <v t="i">967</v>
    <v t="i">968</v>
    <v t="i">969</v>
    <v t="i">970</v>
    <v t="i">971</v>
    <v t="i">975</v>
    <v t="i">976</v>
    <v t="i">977</v>
    <v t="i">978</v>
    <v t="i">981</v>
    <v t="i">982</v>
    <v t="i">983</v>
    <v t="i">984</v>
    <v t="i">985</v>
    <v t="i">988</v>
    <v t="i">989</v>
    <v t="i">990</v>
    <v t="i">991</v>
    <v t="i">992</v>
    <v t="i">995</v>
    <v t="i">996</v>
    <v t="i">997</v>
    <v t="i">998</v>
    <v t="i">999</v>
    <v t="i">1002</v>
    <v t="i">1003</v>
    <v t="i">1004</v>
    <v t="i">1005</v>
    <v t="i">1006</v>
    <v t="i">1009</v>
    <v t="i">1010</v>
    <v t="i">1011</v>
    <v t="i">1012</v>
    <v t="i">1013</v>
    <v t="i">1016</v>
    <v t="i">1017</v>
    <v t="i">1018</v>
    <v t="i">1019</v>
    <v t="i">1020</v>
    <v t="i">1023</v>
    <v t="i">1024</v>
    <v t="i">1025</v>
    <v t="i">1026</v>
    <v t="i">1027</v>
    <v t="i">1030</v>
    <v t="i">1031</v>
    <v t="i">1032</v>
    <v t="i">1033</v>
    <v t="i">1034</v>
    <v t="i">1037</v>
    <v t="i">1038</v>
    <v t="i">1039</v>
    <v t="i">1040</v>
    <v t="i">1041</v>
    <v t="i">1044</v>
    <v t="i">1045</v>
    <v t="i">1046</v>
    <v t="i">1047</v>
    <v t="i">1048</v>
    <v t="i">1051</v>
    <v t="i">1052</v>
    <v t="i">1053</v>
    <v t="i">1054</v>
    <v t="i">1055</v>
    <v t="i">1058</v>
    <v t="i">1059</v>
    <v t="i">1060</v>
    <v t="i">1062</v>
    <v t="i">1065</v>
    <v t="i">1066</v>
    <v t="i">1067</v>
    <v t="i">1068</v>
    <v t="i">1069</v>
    <v t="i">1072</v>
    <v t="i">1073</v>
    <v t="i">1074</v>
    <v t="i">1075</v>
    <v t="i">1076</v>
    <v t="i">1079</v>
    <v t="i">1080</v>
    <v t="i">1081</v>
    <v t="i">1082</v>
    <v t="i">1083</v>
    <v t="i">1086</v>
    <v t="i">1087</v>
    <v t="i">1089</v>
    <v t="i">1090</v>
    <v t="i">1093</v>
    <v t="i">1094</v>
    <v t="i">1096</v>
    <v t="i">1097</v>
    <v t="i">1100</v>
    <v t="i">1101</v>
    <v t="i">1102</v>
    <v t="i">1103</v>
    <v t="i">1104</v>
    <v t="i">1107</v>
    <v t="i">1108</v>
    <v t="i">1109</v>
    <v t="i">1110</v>
    <v t="i">1111</v>
    <v t="i">1115</v>
    <v t="i">1116</v>
    <v t="i">1117</v>
    <v t="i">1118</v>
    <v t="i">1121</v>
    <v t="i">1122</v>
    <v t="i">1123</v>
    <v t="i">1124</v>
    <v t="i">1125</v>
    <v t="i">1128</v>
    <v t="i">1129</v>
    <v t="i">1130</v>
    <v t="i">1131</v>
    <v t="i">1132</v>
    <v t="i">1135</v>
    <v t="i">1136</v>
    <v t="i">1137</v>
    <v t="i">1138</v>
    <v t="i">1139</v>
    <v t="i">1143</v>
    <v t="i">1144</v>
    <v t="i">1145</v>
    <v t="i">1146</v>
    <v t="i">1149</v>
    <v t="i">1150</v>
    <v t="i">1151</v>
    <v t="i">1152</v>
    <v t="i">1153</v>
    <v t="i">1156</v>
    <v t="i">1157</v>
    <v t="i">1158</v>
    <v t="i">1159</v>
    <v t="i">1160</v>
    <v t="i">1163</v>
    <v t="i">1164</v>
    <v t="i">1165</v>
    <v t="i">1166</v>
    <v t="i">1167</v>
    <v t="i">1170</v>
    <v t="i">1171</v>
    <v t="i">1172</v>
    <v t="i">1173</v>
    <v t="i">1174</v>
    <v t="i">1177</v>
    <v t="i">1178</v>
    <v t="i">1179</v>
    <v t="i">1180</v>
    <v t="i">1181</v>
    <v t="i">1184</v>
    <v t="i">1185</v>
    <v t="i">1186</v>
    <v t="i">1187</v>
    <v t="i">1188</v>
    <v t="i">1191</v>
    <v t="i">1192</v>
    <v t="i">1193</v>
    <v t="i">1194</v>
    <v t="i">1198</v>
    <v t="i">1199</v>
    <v t="i">1200</v>
    <v t="i">1201</v>
    <v t="i">1202</v>
    <v t="i">1205</v>
    <v t="i">1206</v>
    <v t="i">1207</v>
    <v t="i">1208</v>
    <v t="i">1209</v>
    <v t="i">1212</v>
    <v t="i">1213</v>
    <v t="i">1214</v>
    <v t="i">1215</v>
    <v t="i">1216</v>
    <v t="i">1219</v>
    <v t="i">1220</v>
    <v t="i">1221</v>
    <v t="i">1222</v>
    <v t="i">1223</v>
    <v t="i">1226</v>
    <v t="i">1227</v>
    <v t="i">1228</v>
    <v t="i">1229</v>
    <v t="i">1230</v>
    <v t="i">1233</v>
    <v t="i">1234</v>
    <v t="i">1235</v>
    <v t="i">1236</v>
    <v t="i">1237</v>
    <v t="i">1241</v>
    <v t="i">1242</v>
    <v t="i">1243</v>
    <v t="i">1244</v>
    <v t="i">1247</v>
    <v t="i">1248</v>
    <v t="i">1249</v>
    <v t="i">1250</v>
    <v t="i">1251</v>
    <v t="i">1254</v>
    <v t="i">1255</v>
    <v t="i">1256</v>
    <v t="i">1257</v>
    <v t="i">1258</v>
    <v t="i">1261</v>
    <v t="i">1262</v>
    <v t="i">1263</v>
    <v t="i">1264</v>
    <v t="i">1265</v>
    <v t="i">1268</v>
    <v t="i">1269</v>
    <v t="i">1270</v>
    <v t="i">1271</v>
    <v t="i">1272</v>
    <v t="i">1275</v>
    <v t="i">1276</v>
    <v t="i">1277</v>
    <v t="i">1278</v>
    <v t="i">1282</v>
    <v t="i">1283</v>
    <v t="i">1284</v>
    <v t="i">1285</v>
    <v t="i">1286</v>
    <v t="i">1289</v>
    <v t="i">1290</v>
    <v t="i">1291</v>
    <v t="i">1292</v>
    <v t="i">1293</v>
    <v t="i">1296</v>
    <v t="i">1297</v>
    <v t="i">1298</v>
    <v t="i">1299</v>
    <v t="i">1300</v>
    <v t="i">1303</v>
    <v t="i">1304</v>
    <v t="i">1305</v>
    <v t="i">1306</v>
    <v t="i">1307</v>
    <v t="i">1310</v>
    <v t="i">1311</v>
    <v t="i">1312</v>
    <v t="i">1313</v>
    <v t="i">1314</v>
    <v t="i">1317</v>
    <v t="i">1318</v>
    <v t="i">1319</v>
    <v t="i">1320</v>
    <v t="i">1321</v>
    <v t="i">1324</v>
    <v t="i">1325</v>
    <v t="i">1326</v>
    <v t="i">1327</v>
    <v t="i">1328</v>
    <v t="i">1331</v>
    <v t="i">1332</v>
    <v t="i">1333</v>
    <v t="i">1334</v>
    <v t="i">1335</v>
    <v t="i">1338</v>
    <v t="i">1339</v>
    <v t="i">1340</v>
    <v t="i">1341</v>
    <v t="i">1342</v>
    <v t="i">1346</v>
    <v t="i">1347</v>
    <v t="i">1348</v>
    <v t="i">1349</v>
    <v t="i">1352</v>
    <v t="i">1353</v>
    <v t="i">1354</v>
    <v t="i">1355</v>
    <v t="i">1356</v>
    <v t="i">1359</v>
    <v t="i">1360</v>
    <v t="i">1361</v>
    <v t="i">1362</v>
    <v t="i">1363</v>
    <v t="i">1366</v>
    <v t="i">1367</v>
    <v t="i">1368</v>
    <v t="i">1369</v>
    <v t="i">1370</v>
    <v t="i">1373</v>
    <v t="i">1374</v>
    <v t="i">1375</v>
    <v t="i">1376</v>
    <v t="i">1377</v>
    <v t="i">1380</v>
    <v t="i">1381</v>
    <v t="i">1382</v>
    <v t="i">1383</v>
    <v t="i">1384</v>
    <v t="i">1387</v>
    <v t="i">1388</v>
    <v t="i">1389</v>
    <v t="i">1390</v>
    <v t="i">1391</v>
    <v t="i">1394</v>
    <v t="i">1395</v>
    <v t="i">1396</v>
    <v t="i">1397</v>
    <v t="i">1398</v>
    <v t="i">1401</v>
    <v t="i">1402</v>
    <v t="i">1403</v>
    <v t="i">1404</v>
    <v t="i">1405</v>
    <v t="i">1408</v>
    <v t="i">1409</v>
    <v t="i">1410</v>
    <v t="i">1411</v>
    <v t="i">1412</v>
    <v t="i">1415</v>
    <v t="i">1416</v>
    <v t="i">1417</v>
    <v t="i">1418</v>
    <v t="i">1419</v>
    <v t="i">1422</v>
    <v t="i">1423</v>
    <v t="i">1424</v>
    <v t="i">1426</v>
    <v t="i">1429</v>
    <v t="i">1430</v>
    <v t="i">1431</v>
    <v t="i">1432</v>
    <v t="i">1433</v>
    <v t="i">1436</v>
    <v t="i">1437</v>
    <v t="i">1438</v>
    <v t="i">1439</v>
    <v t="i">1440</v>
    <v t="i">1443</v>
    <v t="i">1444</v>
    <v t="i">1445</v>
    <v t="i">1446</v>
    <v t="i">1447</v>
    <v t="i">1450</v>
    <v t="i">1451</v>
    <v t="i">1452</v>
    <v t="i">1453</v>
    <v t="i">1457</v>
    <v t="i">1458</v>
    <v t="i">1459</v>
    <v t="i">1460</v>
    <v t="i">1464</v>
    <v t="i">1465</v>
    <v t="i">1466</v>
    <v t="i">1467</v>
    <v t="i">1468</v>
    <v t="i">1471</v>
    <v t="i">1472</v>
    <v t="i">1473</v>
    <v t="i">1474</v>
    <v t="i">1475</v>
    <v t="i">1479</v>
    <v t="i">1480</v>
    <v t="i">1481</v>
    <v t="i">1482</v>
    <v t="i">1485</v>
    <v t="i">1486</v>
    <v t="i">1487</v>
    <v t="i">1488</v>
    <v t="i">1489</v>
    <v t="i">1492</v>
    <v t="i">1493</v>
    <v t="i">1494</v>
    <v t="i">1495</v>
    <v t="i">1496</v>
    <v t="i">1499</v>
    <v t="i">1500</v>
    <v t="i">1501</v>
    <v t="i">1502</v>
    <v t="i">1503</v>
    <v t="i">1507</v>
    <v t="i">1508</v>
    <v t="i">1509</v>
    <v t="i">1510</v>
    <v t="i">1513</v>
    <v t="i">1514</v>
    <v t="i">1515</v>
    <v t="i">1516</v>
    <v t="i">1517</v>
    <v t="i">1520</v>
    <v t="i">1521</v>
    <v t="i">1522</v>
    <v t="i">1523</v>
    <v t="i">1524</v>
    <v t="i">1527</v>
    <v t="i">1528</v>
    <v t="i">1529</v>
    <v t="i">1530</v>
    <v t="i">1531</v>
    <v t="i">1534</v>
    <v t="i">1535</v>
    <v t="i">1536</v>
    <v t="i">1537</v>
    <v t="i">1538</v>
    <v t="i">1541</v>
    <v t="i">1542</v>
    <v t="i">1543</v>
    <v t="i">1544</v>
    <v t="i">1545</v>
    <v t="i">1548</v>
    <v t="i">1549</v>
    <v t="i">1550</v>
    <v t="i">1551</v>
    <v t="i">1555</v>
    <v t="i">1556</v>
    <v t="i">1557</v>
    <v t="i">1558</v>
    <v t="i">1559</v>
    <v t="i">1562</v>
    <v t="i">1563</v>
    <v t="i">1564</v>
    <v t="i">1565</v>
    <v t="i">1566</v>
    <v t="i">1569</v>
    <v t="i">1570</v>
    <v t="i">1571</v>
    <v t="i">1572</v>
    <v t="i">1573</v>
    <v t="i">1576</v>
    <v t="i">1577</v>
    <v t="i">1578</v>
    <v t="i">1579</v>
    <v t="i">1580</v>
    <v t="i">1583</v>
    <v t="i">1584</v>
    <v t="i">1585</v>
    <v t="i">1586</v>
    <v t="i">1587</v>
    <v t="i">1590</v>
    <v t="i">1591</v>
    <v t="i">1592</v>
    <v t="i">1593</v>
    <v t="i">1594</v>
    <v t="i">1597</v>
    <v t="i">1598</v>
    <v t="i">1599</v>
    <v t="i">1600</v>
    <v t="i">1601</v>
    <v t="i">1604</v>
    <v t="i">1605</v>
    <v t="i">1606</v>
    <v t="i">1607</v>
    <v t="i">1608</v>
    <v t="i">1612</v>
    <v t="i">1613</v>
    <v t="i">1614</v>
    <v t="i">1615</v>
    <v t="i">1618</v>
    <v t="i">1619</v>
    <v t="i">1620</v>
    <v t="i">1621</v>
    <v t="i">1622</v>
    <v t="i">1625</v>
    <v t="i">1626</v>
    <v t="i">1627</v>
    <v t="i">1628</v>
    <v t="i">1629</v>
    <v t="i">1632</v>
    <v t="i">1633</v>
    <v t="i">1634</v>
    <v t="i">1635</v>
    <v t="i">1636</v>
    <v t="i">1639</v>
    <v t="i">1640</v>
    <v t="i">1641</v>
    <v t="i">1642</v>
    <v t="i">1643</v>
    <v t="i">1647</v>
    <v t="i">1648</v>
    <v t="i">1649</v>
    <v t="i">1650</v>
    <v t="i">1653</v>
    <v t="i">1654</v>
    <v t="i">1655</v>
    <v t="i">1656</v>
    <v t="i">1657</v>
    <v t="i">1660</v>
    <v t="i">1661</v>
    <v t="i">1662</v>
    <v t="i">1663</v>
    <v t="i">1664</v>
    <v t="i">1667</v>
    <v t="i">1668</v>
    <v t="i">1669</v>
    <v t="i">1670</v>
    <v t="i">1671</v>
    <v t="i">1674</v>
    <v t="i">1675</v>
    <v t="i">1676</v>
    <v t="i">1677</v>
    <v t="i">1678</v>
    <v t="i">1681</v>
    <v t="i">1682</v>
    <v t="i">1683</v>
    <v t="i">1684</v>
    <v t="i">1685</v>
    <v t="i">1688</v>
    <v t="i">1689</v>
    <v t="i">1690</v>
    <v t="i">1691</v>
    <v t="i">1692</v>
    <v t="i">1695</v>
    <v t="i">1696</v>
    <v t="i">1697</v>
    <v t="i">1698</v>
    <v t="i">1699</v>
    <v t="i">1702</v>
    <v t="i">1703</v>
    <v t="i">1704</v>
    <v t="i">1705</v>
    <v t="i">1706</v>
    <v t="i">1710</v>
    <v t="i">1711</v>
    <v t="i">1712</v>
    <v t="i">1713</v>
    <v t="i">1716</v>
    <v t="i">1717</v>
    <v t="i">1718</v>
    <v t="i">1719</v>
    <v t="i">1720</v>
    <v t="i">1723</v>
    <v t="i">1724</v>
    <v t="i">1725</v>
    <v t="i">1726</v>
    <v t="i">1727</v>
    <v t="i">1730</v>
    <v t="i">1731</v>
    <v t="i">1732</v>
    <v t="i">1733</v>
    <v t="i">1734</v>
    <v t="i">1737</v>
    <v t="i">1738</v>
    <v t="i">1739</v>
    <v t="i">1740</v>
    <v t="i">1741</v>
    <v t="i">1744</v>
    <v t="i">1745</v>
    <v t="i">1746</v>
    <v t="i">1747</v>
    <v t="i">1748</v>
    <v t="i">1751</v>
    <v t="i">1752</v>
    <v t="i">1753</v>
    <v t="i">1754</v>
    <v t="i">1755</v>
    <v t="i">1758</v>
    <v t="i">1759</v>
    <v t="i">1760</v>
    <v t="i">1761</v>
    <v t="i">1762</v>
    <v t="i">1765</v>
    <v t="i">1766</v>
    <v t="i">1767</v>
    <v t="i">1768</v>
    <v t="i">1769</v>
    <v t="i">1772</v>
    <v t="i">1773</v>
    <v t="i">1774</v>
    <v t="i">1775</v>
    <v t="i">1776</v>
    <v t="i">1779</v>
    <v t="i">1780</v>
    <v t="i">1781</v>
    <v t="i">1782</v>
    <v t="i">1783</v>
    <v t="i">1786</v>
    <v t="i">1787</v>
    <v t="i">1788</v>
    <v t="i">1790</v>
    <v t="i">1793</v>
    <v t="i">1794</v>
    <v t="i">1795</v>
    <v t="i">1796</v>
    <v t="i">1797</v>
    <v t="i">1800</v>
    <v t="i">1801</v>
    <v t="i">1802</v>
    <v t="i">1803</v>
    <v t="i">1804</v>
    <v t="i">1807</v>
    <v t="i">1808</v>
    <v t="i">1809</v>
    <v t="i">1810</v>
    <v t="i">1811</v>
    <v t="i">1814</v>
    <v t="i">1815</v>
    <v t="i">1816</v>
    <v t="i">1817</v>
    <v t="i">1821</v>
    <v t="i">1822</v>
    <v t="i">1823</v>
    <v t="i">1824</v>
    <v t="i">1825</v>
    <v t="i">1828</v>
    <v t="i">1829</v>
    <v t="i">1830</v>
    <v t="i">1831</v>
    <v t="i">1832</v>
    <v t="i">1835</v>
    <v t="i">1836</v>
    <v t="i">1837</v>
    <v t="i">1838</v>
    <v t="i">1839</v>
    <v t="i">1843</v>
    <v t="i">1844</v>
    <v t="i">1845</v>
    <v t="i">1846</v>
    <v t="i">1849</v>
    <v t="i">1850</v>
    <v t="i">1851</v>
    <v t="i">1852</v>
    <v t="i">1853</v>
    <v t="i">1856</v>
    <v t="i">1857</v>
    <v t="i">1858</v>
    <v t="i">1859</v>
    <v t="i">1860</v>
    <v t="i">1863</v>
    <v t="i">1864</v>
    <v t="i">1865</v>
    <v t="i">1866</v>
    <v t="i">1867</v>
    <v t="i">1870</v>
    <v t="i">1871</v>
    <v t="i">1872</v>
    <v t="i">1873</v>
    <v t="i">1874</v>
    <v t="i">1878</v>
    <v t="i">1879</v>
    <v t="i">1880</v>
    <v t="i">1881</v>
    <v t="i">1884</v>
    <v t="i">1885</v>
    <v t="i">1886</v>
    <v t="i">1887</v>
    <v t="i">1888</v>
    <v t="i">1891</v>
    <v t="i">1892</v>
    <v t="i">1893</v>
    <v t="i">1894</v>
    <v t="i">1895</v>
    <v t="i">1898</v>
    <v t="i">1899</v>
    <v t="i">1900</v>
    <v t="i">1901</v>
    <v t="i">1902</v>
    <v t="i">1905</v>
    <v t="i">1906</v>
    <v t="i">1907</v>
    <v t="i">1908</v>
    <v t="i">1909</v>
    <v t="i">1912</v>
    <v t="i">1913</v>
    <v t="i">1914</v>
    <v t="i">1915</v>
    <v t="i">1916</v>
    <v t="i">1919</v>
    <v t="i">1920</v>
    <v t="i">1921</v>
    <v t="i">1922</v>
    <v t="i">1923</v>
    <v t="i">1926</v>
    <v t="i">1927</v>
    <v t="i">1928</v>
    <v t="i">1929</v>
    <v t="i">1933</v>
    <v t="i">1934</v>
    <v t="i">1935</v>
    <v t="i">1936</v>
    <v t="i">1937</v>
    <v t="i">1940</v>
    <v t="i">1941</v>
    <v t="i">1942</v>
    <v t="i">1943</v>
    <v t="i">1944</v>
    <v t="i">1947</v>
    <v t="i">1948</v>
    <v t="i">1949</v>
    <v t="i">1950</v>
    <v t="i">1951</v>
    <v t="i">1954</v>
    <v t="i">1955</v>
    <v t="i">1956</v>
    <v t="i">1957</v>
    <v t="i">1958</v>
    <v t="i">1961</v>
    <v t="i">1962</v>
    <v t="i">1963</v>
    <v t="i">1964</v>
    <v t="i">1965</v>
    <v t="i">1968</v>
    <v t="i">1969</v>
    <v t="i">1970</v>
    <v t="i">1971</v>
    <v t="i">1972</v>
    <v t="i">1976</v>
    <v t="i">1977</v>
    <v t="i">1978</v>
    <v t="i">1979</v>
    <v t="i">1982</v>
    <v t="i">1983</v>
    <v t="i">1984</v>
    <v t="i">1985</v>
    <v t="i">1986</v>
    <v t="i">1989</v>
    <v t="i">1990</v>
    <v t="i">1991</v>
    <v t="i">1992</v>
    <v t="i">1993</v>
    <v t="i">1997</v>
    <v t="i">1998</v>
    <v t="i">1999</v>
    <v t="i">2000</v>
    <v t="i">2003</v>
    <v t="i">2004</v>
    <v t="i">2005</v>
    <v t="i">2006</v>
    <v t="i">2007</v>
    <v t="i">2011</v>
    <v t="i">2012</v>
    <v t="i">2013</v>
    <v t="i">2014</v>
    <v t="i">2017</v>
    <v t="i">2018</v>
    <v t="i">2019</v>
    <v t="i">2020</v>
    <v t="i">2021</v>
    <v t="i">2024</v>
    <v t="i">2025</v>
    <v t="i">2026</v>
    <v t="i">2027</v>
    <v t="i">2028</v>
    <v t="i">2031</v>
    <v t="i">2032</v>
    <v t="i">2033</v>
    <v t="i">2034</v>
    <v t="i">2035</v>
    <v t="i">2038</v>
    <v t="i">2039</v>
    <v t="i">2040</v>
    <v t="i">2041</v>
    <v t="i">2042</v>
    <v t="i">2045</v>
    <v t="i">2046</v>
    <v t="i">2047</v>
    <v t="i">2048</v>
    <v t="i">2049</v>
    <v t="i">2052</v>
    <v t="i">2053</v>
    <v t="i">2054</v>
    <v t="i">2055</v>
    <v t="i">2056</v>
    <v t="i">2059</v>
    <v t="i">2060</v>
    <v t="i">2061</v>
    <v t="i">2062</v>
    <v t="i">2063</v>
    <v t="i">2066</v>
    <v t="i">2067</v>
    <v t="i">2068</v>
    <v t="i">2069</v>
    <v t="i">2070</v>
    <v t="i">2074</v>
    <v t="i">2075</v>
    <v t="i">2076</v>
    <v t="i">2077</v>
    <v t="i">2080</v>
    <v t="i">2081</v>
    <v t="i">2082</v>
    <v t="i">2083</v>
    <v t="i">2084</v>
    <v t="i">2087</v>
    <v t="i">2088</v>
    <v t="i">2089</v>
    <v t="i">2090</v>
    <v t="i">2091</v>
    <v t="i">2094</v>
    <v t="i">2095</v>
    <v t="i">2096</v>
    <v t="i">2098</v>
    <v t="i">2101</v>
    <v t="i">2102</v>
    <v t="i">2108</v>
    <v t="i">2109</v>
    <v t="i">2110</v>
    <v t="i">2111</v>
    <v t="i">2112</v>
    <v t="i">2115</v>
    <v t="i">2116</v>
    <v t="i">2117</v>
    <v t="i">2118</v>
    <v t="i">2119</v>
    <v t="i">2122</v>
    <v t="i">2123</v>
    <v t="i">2124</v>
    <v t="i">2125</v>
    <v t="i">2126</v>
    <v t="i">2129</v>
    <v t="i">2130</v>
    <v t="i">2131</v>
    <v t="i">2132</v>
    <v t="i">2133</v>
    <v t="i">2136</v>
    <v t="i">2137</v>
    <v t="i">2138</v>
    <v t="i">2139</v>
    <v t="i">2140</v>
    <v t="i">2143</v>
    <v t="i">2144</v>
    <v t="i">2145</v>
    <v t="i">2146</v>
    <v t="i">2147</v>
    <v t="i">2150</v>
    <v t="i">2151</v>
    <v t="i">2152</v>
    <v t="i">2154</v>
    <v t="i">2157</v>
    <v t="i">2158</v>
    <v t="i">2159</v>
    <v t="i">2160</v>
    <v t="i">2161</v>
    <v t="i">2164</v>
    <v t="i">2165</v>
    <v t="i">2166</v>
    <v t="i">2167</v>
    <v t="i">2168</v>
    <v t="i">2171</v>
    <v t="i">2172</v>
    <v t="i">2173</v>
    <v t="i">2174</v>
    <v t="i">2175</v>
    <v t="i">2178</v>
    <v t="i">2179</v>
    <v t="i">2180</v>
    <v t="i">2181</v>
    <v t="i">2182</v>
    <v t="i">2186</v>
    <v t="i">2187</v>
    <v t="i">2188</v>
    <v t="i">2189</v>
  </a>
  <a r="1" c="1506">
    <v>2257.83</v>
    <v>2270.75</v>
    <v>2269</v>
    <v>2276.98</v>
    <v>2268.9</v>
    <v>2268.9</v>
    <v>2275.3200000000002</v>
    <v>2270.44</v>
    <v>2274.64</v>
    <v>2267.89</v>
    <v>2271.89</v>
    <v>2263.69</v>
    <v>2271.31</v>
    <v>2265.1999999999998</v>
    <v>2280.0700000000002</v>
    <v>2298.37</v>
    <v>2296.6799999999998</v>
    <v>2294.69</v>
    <v>2280.9</v>
    <v>2278.87</v>
    <v>2279.5500000000002</v>
    <v>2280.85</v>
    <v>2297.42</v>
    <v>2292.56</v>
    <v>2293.08</v>
    <v>2294.67</v>
    <v>2307.87</v>
    <v>2316.1</v>
    <v>2328.25</v>
    <v>2337.58</v>
    <v>2349.25</v>
    <v>2347.2199999999998</v>
    <v>2351.16</v>
    <v>2365.38</v>
    <v>2362.8200000000002</v>
    <v>2363.81</v>
    <v>2367.34</v>
    <v>2369.75</v>
    <v>2363.64</v>
    <v>2395.96</v>
    <v>2381.92</v>
    <v>2383.12</v>
    <v>2375.31</v>
    <v>2368.39</v>
    <v>2362.98</v>
    <v>2364.87</v>
    <v>2372.6</v>
    <v>2373.4699999999998</v>
    <v>2365.4499999999998</v>
    <v>2385.2600000000002</v>
    <v>2381.38</v>
    <v>2378.25</v>
    <v>2373.4699999999998</v>
    <v>2344.02</v>
    <v>2348.4499999999998</v>
    <v>2345.96</v>
    <v>2343.98</v>
    <v>2341.59</v>
    <v>2358.5700000000002</v>
    <v>2361.13</v>
    <v>2368.06</v>
    <v>2362.7199999999998</v>
    <v>2358.84</v>
    <v>2360.16</v>
    <v>2352.9499999999998</v>
    <v>2357.4899999999998</v>
    <v>2355.54</v>
    <v>2357.16</v>
    <v>2353.7800000000002</v>
    <v>2344.9299999999998</v>
    <v>2328.9499999999998</v>
    <v>2349.0100000000002</v>
    <v>2342.19</v>
    <v>2338.17</v>
    <v>2355.84</v>
    <v>2348.69</v>
    <v>2374.15</v>
    <v>2388.61</v>
    <v>2387.4499999999998</v>
    <v>2388.77</v>
    <v>2384.1999999999998</v>
    <v>2388.33</v>
    <v>2391.17</v>
    <v>2388.13</v>
    <v>2389.52</v>
    <v>2399.29</v>
    <v>2399.38</v>
    <v>2396.92</v>
    <v>2399.63</v>
    <v>2394.44</v>
    <v>2390.9</v>
    <v>2402.3200000000002</v>
    <v>2400.67</v>
    <v>2357.0300000000002</v>
    <v>2365.7199999999998</v>
    <v>2381.73</v>
    <v>2394.02</v>
    <v>2398.42</v>
    <v>2404.39</v>
    <v>2415.0700000000002</v>
    <v>2415.8200000000002</v>
    <v>2412.91</v>
    <v>2411.8000000000002</v>
    <v>2430.06</v>
    <v>2439.0700000000002</v>
    <v>2436.1</v>
    <v>2429.33</v>
    <v>2433.14</v>
    <v>2433.79</v>
    <v>2431.77</v>
    <v>2429.39</v>
    <v>2440.35</v>
    <v>2437.92</v>
    <v>2432.46</v>
    <v>2433.15</v>
    <v>2453.46</v>
    <v>2437.0300000000002</v>
    <v>2435.61</v>
    <v>2434.5</v>
    <v>2438.3000000000002</v>
    <v>2439.0700000000002</v>
    <v>2419.38</v>
    <v>2440.69</v>
    <v>2419.6999999999998</v>
    <v>2423.41</v>
    <v>2429.0100000000002</v>
    <v>2432.54</v>
    <v>2409.75</v>
    <v>2425.1799999999998</v>
    <v>2427.4299999999998</v>
    <v>2425.5300000000002</v>
    <v>2443.25</v>
    <v>2447.83</v>
    <v>2459.27</v>
    <v>2459.14</v>
    <v>2460.61</v>
    <v>2473.83</v>
    <v>2473.4499999999998</v>
    <v>2472.54</v>
    <v>2469.91</v>
    <v>2477.13</v>
    <v>2477.83</v>
    <v>2475.42</v>
    <v>2472.1</v>
    <v>2470.3000000000002</v>
    <v>2476.35</v>
    <v>2477.5700000000002</v>
    <v>2472.16</v>
    <v>2476.83</v>
    <v>2480.91</v>
    <v>2474.92</v>
    <v>2474.02</v>
    <v>2438.21</v>
    <v>2441.3200000000002</v>
    <v>2465.84</v>
    <v>2464.61</v>
    <v>2468.11</v>
    <v>2430.0100000000002</v>
    <v>2425.5500000000002</v>
    <v>2428.37</v>
    <v>2452.5100000000002</v>
    <v>2444.04</v>
    <v>2438.9699999999998</v>
    <v>2443.0500000000002</v>
    <v>2444.2399999999998</v>
    <v>2446.3000000000002</v>
    <v>2457.59</v>
    <v>2471.65</v>
    <v>2476.5500000000002</v>
    <v>2457.85</v>
    <v>2465.54</v>
    <v>2465.1</v>
    <v>2461.4299999999998</v>
    <v>2488.11</v>
    <v>2496.48</v>
    <v>2498.37</v>
    <v>2495.62</v>
    <v>2500.23</v>
    <v>2503.87</v>
    <v>2506.65</v>
    <v>2508.2399999999998</v>
    <v>2500.6</v>
    <v>2502.2199999999998</v>
    <v>2496.66</v>
    <v>2496.84</v>
    <v>2507.04</v>
    <v>2510.06</v>
    <v>2519.36</v>
    <v>2529.12</v>
    <v>2534.58</v>
    <v>2537.7399999999998</v>
    <v>2552.0700000000002</v>
    <v>2549.33</v>
    <v>2544.73</v>
    <v>2550.64</v>
    <v>2555.2399999999998</v>
    <v>2550.9299999999998</v>
    <v>2553.17</v>
    <v>2557.64</v>
    <v>2559.36</v>
    <v>2561.2600000000002</v>
    <v>2562.1</v>
    <v>2575.21</v>
    <v>2564.98</v>
    <v>2569.13</v>
    <v>2557.15</v>
    <v>2560.4</v>
    <v>2581.0700000000002</v>
    <v>2572.83</v>
    <v>2575.2600000000002</v>
    <v>2579.36</v>
    <v>2579.85</v>
    <v>2587.84</v>
    <v>2591.13</v>
    <v>2590.64</v>
    <v>2594.38</v>
    <v>2584.62</v>
    <v>2582.3000000000002</v>
    <v>2584.84</v>
    <v>2578.87</v>
    <v>2564.62</v>
    <v>2585.64</v>
    <v>2578.85</v>
    <v>2582.14</v>
    <v>2599.0300000000002</v>
    <v>2597.08</v>
    <v>2602.42</v>
    <v>2601.42</v>
    <v>2627.04</v>
    <v>2626.07</v>
    <v>2647.58</v>
    <v>2642.22</v>
    <v>2639.44</v>
    <v>2629.57</v>
    <v>2629.27</v>
    <v>2636.98</v>
    <v>2651.5</v>
    <v>2659.99</v>
    <v>2664.11</v>
    <v>2662.85</v>
    <v>2652.01</v>
    <v>2675.81</v>
    <v>2690.16</v>
    <v>2681.47</v>
    <v>2679.25</v>
    <v>2684.57</v>
    <v>2683.34</v>
    <v>2680.5</v>
    <v>2682.62</v>
    <v>2687.54</v>
    <v>2673.61</v>
    <v>2695.81</v>
    <v>2713.06</v>
    <v>2723.99</v>
    <v>2743.15</v>
    <v>2747.71</v>
    <v>2751.29</v>
    <v>2748.23</v>
    <v>2767.56</v>
    <v>2786.24</v>
    <v>2776.42</v>
    <v>2802.56</v>
    <v>2798.03</v>
    <v>2810.3</v>
    <v>2832.97</v>
    <v>2839.13</v>
    <v>2837.54</v>
    <v>2839.25</v>
    <v>2872.87</v>
    <v>2853.53</v>
    <v>2822.43</v>
    <v>2823.81</v>
    <v>2821.98</v>
    <v>2762.13</v>
    <v>2648.94</v>
    <v>2695.14</v>
    <v>2681.66</v>
    <v>2581</v>
    <v>2619.5500000000002</v>
    <v>2656</v>
    <v>2662.94</v>
    <v>2698.63</v>
    <v>2731.2</v>
    <v>2732.22</v>
    <v>2716.26</v>
    <v>2701.33</v>
    <v>2703.96</v>
    <v>2747.3</v>
    <v>2779.6</v>
    <v>2744.28</v>
    <v>2713.83</v>
    <v>2677.67</v>
    <v>2691.25</v>
    <v>2720.94</v>
    <v>2728.12</v>
    <v>2726.8</v>
    <v>2738.97</v>
    <v>2786.57</v>
    <v>2783.02</v>
    <v>2765.31</v>
    <v>2749.48</v>
    <v>2747.33</v>
    <v>2752.01</v>
    <v>2712.92</v>
    <v>2716.94</v>
    <v>2711.93</v>
    <v>2643.69</v>
    <v>2588.2600000000002</v>
    <v>2658.55</v>
    <v>2612.62</v>
    <v>2605</v>
    <v>2640.87</v>
    <v>2581.88</v>
    <v>2614.4499999999998</v>
    <v>2644.69</v>
    <v>2662.84</v>
    <v>2604.4699999999998</v>
    <v>2613.16</v>
    <v>2656.87</v>
    <v>2642.19</v>
    <v>2663.99</v>
    <v>2656.3</v>
    <v>2677.84</v>
    <v>2706.39</v>
    <v>2708.64</v>
    <v>2693.13</v>
    <v>2670.14</v>
    <v>2670.29</v>
    <v>2634.56</v>
    <v>2639.4</v>
    <v>2666.94</v>
    <v>2669.91</v>
    <v>2648.05</v>
    <v>2654.8</v>
    <v>2635.67</v>
    <v>2629.73</v>
    <v>2663.42</v>
    <v>2672.63</v>
    <v>2671.92</v>
    <v>2697.79</v>
    <v>2723.07</v>
    <v>2727.72</v>
    <v>2730.13</v>
    <v>2711.45</v>
    <v>2722.46</v>
    <v>2720.13</v>
    <v>2712.97</v>
    <v>2733.01</v>
    <v>2724.44</v>
    <v>2733.29</v>
    <v>2727.76</v>
    <v>2721.33</v>
    <v>2689.86</v>
    <v>2724.01</v>
    <v>2705.27</v>
    <v>2734.62</v>
    <v>2746.87</v>
    <v>2748.8</v>
    <v>2772.35</v>
    <v>2770.37</v>
    <v>2779.03</v>
    <v>2782</v>
    <v>2786.85</v>
    <v>2775.63</v>
    <v>2782.49</v>
    <v>2779.66</v>
    <v>2773.75</v>
    <v>2762.59</v>
    <v>2767.32</v>
    <v>2749.76</v>
    <v>2754.88</v>
    <v>2717.07</v>
    <v>2723.06</v>
    <v>2699.63</v>
    <v>2716.31</v>
    <v>2718.37</v>
    <v>2726.71</v>
    <v>2713.22</v>
    <v>2736.61</v>
    <v>2759.82</v>
    <v>2784.17</v>
    <v>2793.84</v>
    <v>2774.02</v>
    <v>2798.29</v>
    <v>2801.31</v>
    <v>2798.43</v>
    <v>2809.55</v>
    <v>2815.62</v>
    <v>2804.49</v>
    <v>2801.83</v>
    <v>2806.98</v>
    <v>2820.4</v>
    <v>2846.07</v>
    <v>2837.44</v>
    <v>2818.82</v>
    <v>2802.6</v>
    <v>2816.29</v>
    <v>2813.36</v>
    <v>2827.22</v>
    <v>2840.35</v>
    <v>2850.4</v>
    <v>2858.45</v>
    <v>2857.7</v>
    <v>2853.58</v>
    <v>2833.28</v>
    <v>2821.93</v>
    <v>2839.96</v>
    <v>2818.37</v>
    <v>2840.69</v>
    <v>2850.13</v>
    <v>2857.05</v>
    <v>2862.96</v>
    <v>2861.82</v>
    <v>2856.98</v>
    <v>2874.69</v>
    <v>2896.74</v>
    <v>2897.52</v>
    <v>2914.04</v>
    <v>2901.13</v>
    <v>2901.52</v>
    <v>2896.72</v>
    <v>2888.6</v>
    <v>2878.05</v>
    <v>2871.68</v>
    <v>2877.13</v>
    <v>2887.89</v>
    <v>2888.92</v>
    <v>2904.18</v>
    <v>2904.98</v>
    <v>2888.8</v>
    <v>2904.31</v>
    <v>2907.95</v>
    <v>2930.75</v>
    <v>2929.67</v>
    <v>2919.37</v>
    <v>2915.56</v>
    <v>2905.97</v>
    <v>2914</v>
    <v>2913.98</v>
    <v>2924.59</v>
    <v>2923.43</v>
    <v>2925.51</v>
    <v>2901.61</v>
    <v>2885.57</v>
    <v>2884.43</v>
    <v>2880.34</v>
    <v>2785.68</v>
    <v>2728.37</v>
    <v>2767.13</v>
    <v>2750.79</v>
    <v>2809.92</v>
    <v>2809.21</v>
    <v>2768.78</v>
    <v>2767.78</v>
    <v>2755.88</v>
    <v>2740.69</v>
    <v>2656.1</v>
    <v>2705.57</v>
    <v>2658.69</v>
    <v>2641.25</v>
    <v>2682.63</v>
    <v>2711.74</v>
    <v>2740.37</v>
    <v>2723.06</v>
    <v>2738.31</v>
    <v>2755.45</v>
    <v>2813.89</v>
    <v>2806.83</v>
    <v>2781.01</v>
    <v>2726.22</v>
    <v>2722.18</v>
    <v>2701.58</v>
    <v>2730.2</v>
    <v>2736.27</v>
    <v>2690.73</v>
    <v>2641.89</v>
    <v>2649.93</v>
    <v>2632.56</v>
    <v>2673.45</v>
    <v>2682.17</v>
    <v>2743.79</v>
    <v>2737.76</v>
    <v>2760.17</v>
    <v>2790.37</v>
    <v>2700.06</v>
    <v>2695.95</v>
    <v>2633.08</v>
    <v>2637.72</v>
    <v>2636.78</v>
    <v>2651.07</v>
    <v>2650.54</v>
    <v>2599.9499999999998</v>
    <v>2545.94</v>
    <v>2546.16</v>
    <v>2506.96</v>
    <v>2467.42</v>
    <v>2416.62</v>
    <v>2351.1</v>
    <v>2467.6999999999998</v>
    <v>2488.83</v>
    <v>2485.7399999999998</v>
    <v>2506.85</v>
    <v>2510.0300000000002</v>
    <v>2447.89</v>
    <v>2531.94</v>
    <v>2549.69</v>
    <v>2574.41</v>
    <v>2584.96</v>
    <v>2596.64</v>
    <v>2596.2600000000002</v>
    <v>2582.61</v>
    <v>2610.3000000000002</v>
    <v>2616.1</v>
    <v>2635.96</v>
    <v>2670.71</v>
    <v>2632.9</v>
    <v>2638.7</v>
    <v>2642.33</v>
    <v>2664.76</v>
    <v>2643.85</v>
    <v>2640</v>
    <v>2681.05</v>
    <v>2704.1</v>
    <v>2706.53</v>
    <v>2724.87</v>
    <v>2737.7</v>
    <v>2731.61</v>
    <v>2706.05</v>
    <v>2707.88</v>
    <v>2709.8</v>
    <v>2744.73</v>
    <v>2753.03</v>
    <v>2745.73</v>
    <v>2775.6</v>
    <v>2779.76</v>
    <v>2784.7</v>
    <v>2774.88</v>
    <v>2792.67</v>
    <v>2796.11</v>
    <v>2793.9</v>
    <v>2792.38</v>
    <v>2784.49</v>
    <v>2803.69</v>
    <v>2792.81</v>
    <v>2789.65</v>
    <v>2771.45</v>
    <v>2748.93</v>
    <v>2743.07</v>
    <v>2783.3</v>
    <v>2791.52</v>
    <v>2810.92</v>
    <v>2808.48</v>
    <v>2822.48</v>
    <v>2832.94</v>
    <v>2832.57</v>
    <v>2824.23</v>
    <v>2854.88</v>
    <v>2800.71</v>
    <v>2798.36</v>
    <v>2818.46</v>
    <v>2805.37</v>
    <v>2815.44</v>
    <v>2834.4</v>
    <v>2867.19</v>
    <v>2867.24</v>
    <v>2873.4</v>
    <v>2879.39</v>
    <v>2892.74</v>
    <v>2895.77</v>
    <v>2878.2</v>
    <v>2888.21</v>
    <v>2888.32</v>
    <v>2907.41</v>
    <v>2905.58</v>
    <v>2907.06</v>
    <v>2900.45</v>
    <v>2905.03</v>
    <v>2907.97</v>
    <v>2933.68</v>
    <v>2927.25</v>
    <v>2926.17</v>
    <v>2939.88</v>
    <v>2943.03</v>
    <v>2945.83</v>
    <v>2923.73</v>
    <v>2917.52</v>
    <v>2945.64</v>
    <v>2932.47</v>
    <v>2884.05</v>
    <v>2879.42</v>
    <v>2870.72</v>
    <v>2881.4</v>
    <v>2811.87</v>
    <v>2834.41</v>
    <v>2850.96</v>
    <v>2876.32</v>
    <v>2859.53</v>
    <v>2840.23</v>
    <v>2864.36</v>
    <v>2856.27</v>
    <v>2822.24</v>
    <v>2826.06</v>
    <v>2802.39</v>
    <v>2783.02</v>
    <v>2788.86</v>
    <v>2752.06</v>
    <v>2744.45</v>
    <v>2803.27</v>
    <v>2826.15</v>
    <v>2843.49</v>
    <v>2873.34</v>
    <v>2886.73</v>
    <v>2885.72</v>
    <v>2879.84</v>
    <v>2891.64</v>
    <v>2886.98</v>
    <v>2889.67</v>
    <v>2917.75</v>
    <v>2926.46</v>
    <v>2954.18</v>
    <v>2950.46</v>
    <v>2945.35</v>
    <v>2917.38</v>
    <v>2913.78</v>
    <v>2924.92</v>
    <v>2941.76</v>
    <v>2964.33</v>
    <v>2973.01</v>
    <v>2995.82</v>
    <v>2990.41</v>
    <v>2975.95</v>
    <v>2979.63</v>
    <v>2993.07</v>
    <v>2999.91</v>
    <v>3013.77</v>
    <v>3014.3</v>
    <v>3004.04</v>
    <v>2984.42</v>
    <v>2995.11</v>
    <v>2976.61</v>
    <v>2985.03</v>
    <v>3005.47</v>
    <v>3019.56</v>
    <v>3003.67</v>
    <v>3025.86</v>
    <v>3020.97</v>
    <v>3013.18</v>
    <v>2980.38</v>
    <v>2953.56</v>
    <v>2932.05</v>
    <v>2844.74</v>
    <v>2881.77</v>
    <v>2883.98</v>
    <v>2938.09</v>
    <v>2918.65</v>
    <v>2883.75</v>
    <v>2926.32</v>
    <v>2840.6</v>
    <v>2847.6</v>
    <v>2888.68</v>
    <v>2923.65</v>
    <v>2900.51</v>
    <v>2924.43</v>
    <v>2922.95</v>
    <v>2847.11</v>
    <v>2878.38</v>
    <v>2869.16</v>
    <v>2887.94</v>
    <v>2924.58</v>
    <v>2926.46</v>
    <v>2906.27</v>
    <v>2937.78</v>
    <v>2976</v>
    <v>2978.71</v>
    <v>2978.43</v>
    <v>2979.39</v>
    <v>3000.93</v>
    <v>3009.57</v>
    <v>3007.39</v>
    <v>2997.96</v>
    <v>3005.7</v>
    <v>3006.73</v>
    <v>3006.79</v>
    <v>2992.07</v>
    <v>2991.78</v>
    <v>2966.6</v>
    <v>2984.87</v>
    <v>2977.62</v>
    <v>2961.79</v>
    <v>2976.74</v>
    <v>2940.25</v>
    <v>2887.61</v>
    <v>2910.63</v>
    <v>2952.01</v>
    <v>2938.79</v>
    <v>2893.06</v>
    <v>2919.4</v>
    <v>2938.13</v>
    <v>2970.27</v>
    <v>2966.15</v>
    <v>2995.68</v>
    <v>2989.69</v>
    <v>2997.95</v>
    <v>2986.2</v>
    <v>3006.72</v>
    <v>2995.99</v>
    <v>3004.52</v>
    <v>3010.29</v>
    <v>3022.55</v>
    <v>3039.42</v>
    <v>3036.89</v>
    <v>3046.77</v>
    <v>3037.56</v>
    <v>3066.91</v>
    <v>3078.27</v>
    <v>3074.62</v>
    <v>3076.78</v>
    <v>3085.18</v>
    <v>3093.08</v>
    <v>3087.01</v>
    <v>3091.84</v>
    <v>3094.04</v>
    <v>3096.63</v>
    <v>3120.46</v>
    <v>3122.03</v>
    <v>3120.18</v>
    <v>3108.46</v>
    <v>3103.54</v>
    <v>3110.29</v>
    <v>3133.64</v>
    <v>3140.52</v>
    <v>3153.63</v>
    <v>3140.98</v>
    <v>3113.87</v>
    <v>3093.2</v>
    <v>3112.76</v>
    <v>3117.43</v>
    <v>3145.91</v>
    <v>3135.96</v>
    <v>3132.52</v>
    <v>3141.63</v>
    <v>3168.57</v>
    <v>3168.8</v>
    <v>3191.45</v>
    <v>3192.52</v>
    <v>3191.14</v>
    <v>3205.37</v>
    <v>3221.22</v>
    <v>3224.01</v>
    <v>3223.38</v>
    <v>3239.91</v>
    <v>3240.02</v>
    <v>3221.29</v>
    <v>3230.78</v>
    <v>3257.85</v>
    <v>3234.85</v>
    <v>3246.28</v>
    <v>3237.18</v>
    <v>3253.05</v>
    <v>3274.7</v>
    <v>3265.35</v>
    <v>3288.13</v>
    <v>3283.15</v>
    <v>3289.29</v>
    <v>3316.81</v>
    <v>3329.62</v>
    <v>3320.79</v>
    <v>3321.75</v>
    <v>3325.54</v>
    <v>3295.47</v>
    <v>3243.63</v>
    <v>3276.24</v>
    <v>3273.4</v>
    <v>3283.66</v>
    <v>3225.52</v>
    <v>3248.92</v>
    <v>3297.59</v>
    <v>3334.69</v>
    <v>3345.78</v>
    <v>3327.71</v>
    <v>3352.09</v>
    <v>3357.75</v>
    <v>3379.45</v>
    <v>3373.94</v>
    <v>3380.16</v>
    <v>3370.29</v>
    <v>3386.15</v>
    <v>3373.23</v>
    <v>3337.75</v>
    <v>3225.89</v>
    <v>3128.21</v>
    <v>3116.39</v>
    <v>2978.76</v>
    <v>2954.22</v>
    <v>3090.23</v>
    <v>3003.37</v>
    <v>3130.12</v>
    <v>3023.94</v>
    <v>2972.37</v>
    <v>2746.56</v>
    <v>2882.23</v>
    <v>2741.38</v>
    <v>2480.64</v>
    <v>2711.02</v>
    <v>2386.13</v>
    <v>2529.19</v>
    <v>2398.1</v>
    <v>2409.39</v>
    <v>2304.92</v>
    <v>2237.4</v>
    <v>2447.33</v>
    <v>2475.56</v>
    <v>2630.07</v>
    <v>2541.4699999999998</v>
    <v>2626.65</v>
    <v>2584.59</v>
    <v>2470.5</v>
    <v>2526.9</v>
    <v>2488.65</v>
    <v>2663.68</v>
    <v>2659.41</v>
    <v>2749.98</v>
    <v>2789.82</v>
    <v>2761.63</v>
    <v>2846.06</v>
    <v>2783.36</v>
    <v>2799.55</v>
    <v>2874.56</v>
    <v>2823.16</v>
    <v>2736.56</v>
    <v>2799.31</v>
    <v>2797.8</v>
    <v>2836.74</v>
    <v>2878.48</v>
    <v>2863.39</v>
    <v>2939.51</v>
    <v>2912.43</v>
    <v>2830.71</v>
    <v>2842.74</v>
    <v>2868.44</v>
    <v>2848.42</v>
    <v>2881.19</v>
    <v>2929.8</v>
    <v>2930.32</v>
    <v>2870.12</v>
    <v>2820</v>
    <v>2852.5</v>
    <v>2863.7</v>
    <v>2953.91</v>
    <v>2922.94</v>
    <v>2971.61</v>
    <v>2948.51</v>
    <v>2955.45</v>
    <v>2991.77</v>
    <v>3036.13</v>
    <v>3029.73</v>
    <v>3044.31</v>
    <v>3055.73</v>
    <v>3080.82</v>
    <v>3122.87</v>
    <v>3112.35</v>
    <v>3193.93</v>
    <v>3232.39</v>
    <v>3207.18</v>
    <v>3190.14</v>
    <v>3002.1</v>
    <v>3041.31</v>
    <v>3066.59</v>
    <v>3124.74</v>
    <v>3113.49</v>
    <v>3115.34</v>
    <v>3097.74</v>
    <v>3117.86</v>
    <v>3131.29</v>
    <v>3050.33</v>
    <v>3083.76</v>
    <v>3009.05</v>
    <v>3053.24</v>
    <v>3100.29</v>
    <v>3115.86</v>
    <v>3130.01</v>
    <v>3179.72</v>
    <v>3145.32</v>
    <v>3169.94</v>
    <v>3152.05</v>
    <v>3185.04</v>
    <v>3155.22</v>
    <v>3197.52</v>
    <v>3226.56</v>
    <v>3215.57</v>
    <v>3224.73</v>
    <v>3251.84</v>
    <v>3257.3</v>
    <v>3276.02</v>
    <v>3235.66</v>
    <v>3215.63</v>
    <v>3239.41</v>
    <v>3218.44</v>
    <v>3258.44</v>
    <v>3246.22</v>
    <v>3271.12</v>
    <v>3294.61</v>
    <v>3306.51</v>
    <v>3327.77</v>
    <v>3349.16</v>
    <v>3351.28</v>
    <v>3360.47</v>
    <v>3333.69</v>
    <v>3380.35</v>
    <v>3373.43</v>
    <v>3372.85</v>
    <v>3381.99</v>
    <v>3389.78</v>
    <v>3374.85</v>
    <v>3385.51</v>
    <v>3397.16</v>
    <v>3431.28</v>
    <v>3443.62</v>
    <v>3478.73</v>
    <v>3484.55</v>
    <v>3508.01</v>
    <v>3500.31</v>
    <v>3526.65</v>
    <v>3580.84</v>
    <v>3455.06</v>
    <v>3426.96</v>
    <v>3331.84</v>
    <v>3398.96</v>
    <v>3339.19</v>
    <v>3340.97</v>
    <v>3383.54</v>
    <v>3401.2</v>
    <v>3385.49</v>
    <v>3357.01</v>
    <v>3319.47</v>
    <v>3281.06</v>
    <v>3315.57</v>
    <v>3236.92</v>
    <v>3246.59</v>
    <v>3298.46</v>
    <v>3351.6</v>
    <v>3335.47</v>
    <v>3363</v>
    <v>3380.8</v>
    <v>3348.44</v>
    <v>3408.63</v>
    <v>3360.95</v>
    <v>3419.45</v>
    <v>3446.83</v>
    <v>3477.13</v>
    <v>3534.22</v>
    <v>3511.93</v>
    <v>3488.67</v>
    <v>3483.34</v>
    <v>3483.81</v>
    <v>3426.92</v>
    <v>3443.12</v>
    <v>3435.56</v>
    <v>3453.49</v>
    <v>3465.39</v>
    <v>3400.97</v>
    <v>3390.68</v>
    <v>3271.03</v>
    <v>3310.11</v>
    <v>3269.96</v>
    <v>3310.24</v>
    <v>3369.16</v>
    <v>3443.44</v>
    <v>3510.45</v>
    <v>3509.44</v>
    <v>3550.5</v>
    <v>3545.53</v>
    <v>3572.66</v>
    <v>3537.01</v>
    <v>3585.15</v>
    <v>3626.91</v>
    <v>3609.53</v>
    <v>3567.79</v>
    <v>3581.87</v>
    <v>3557.54</v>
    <v>3577.59</v>
    <v>3635.41</v>
    <v>3629.65</v>
    <v>3638.35</v>
    <v>3621.63</v>
    <v>3662.45</v>
    <v>3669.01</v>
    <v>3666.72</v>
    <v>3699.12</v>
    <v>3691.96</v>
    <v>3702.25</v>
    <v>3672.82</v>
    <v>3668.1</v>
    <v>3663.46</v>
    <v>3647.49</v>
    <v>3694.62</v>
    <v>3701.17</v>
    <v>3722.48</v>
    <v>3709.41</v>
    <v>3694.92</v>
    <v>3687.26</v>
    <v>3690.01</v>
    <v>3703.06</v>
    <v>3735.36</v>
    <v>3727.04</v>
    <v>3732.04</v>
    <v>3756.07</v>
    <v>3700.65</v>
    <v>3726.86</v>
    <v>3748.14</v>
    <v>3803.79</v>
    <v>3824.68</v>
    <v>3799.61</v>
    <v>3801.19</v>
    <v>3809.84</v>
    <v>3795.54</v>
    <v>3768.25</v>
    <v>3798.91</v>
    <v>3851.85</v>
    <v>3853.07</v>
    <v>3841.47</v>
    <v>3855.36</v>
    <v>3849.62</v>
    <v>3750.77</v>
    <v>3787.38</v>
    <v>3714.24</v>
    <v>3773.86</v>
    <v>3826.31</v>
    <v>3830.17</v>
    <v>3871.74</v>
    <v>3886.83</v>
    <v>3915.59</v>
    <v>3911.23</v>
    <v>3909.88</v>
    <v>3916.38</v>
    <v>3934.83</v>
    <v>3932.59</v>
    <v>3931.33</v>
    <v>3913.97</v>
    <v>3906.71</v>
    <v>3876.5</v>
    <v>3881.37</v>
    <v>3925.43</v>
    <v>3829.34</v>
    <v>3811.15</v>
    <v>3901.82</v>
    <v>3870.29</v>
    <v>3819.72</v>
    <v>3768.47</v>
    <v>3841.94</v>
    <v>3821.35</v>
    <v>3875.44</v>
    <v>3898.81</v>
    <v>3939.34</v>
    <v>3943.34</v>
    <v>3968.94</v>
    <v>3962.71</v>
    <v>3974.12</v>
    <v>3915.46</v>
    <v>3913.1</v>
    <v>3940.59</v>
    <v>3910.52</v>
    <v>3889.14</v>
    <v>3909.52</v>
    <v>3974.54</v>
    <v>3971.09</v>
    <v>3958.55</v>
    <v>3972.89</v>
    <v>4019.87</v>
    <v>4077.91</v>
    <v>4073.94</v>
    <v>4079.95</v>
    <v>4097.17</v>
    <v>4128.8</v>
    <v>4127.99</v>
    <v>4141.59</v>
    <v>4124.66</v>
    <v>4170.42</v>
    <v>4185.47</v>
    <v>4163.26</v>
    <v>4134.9399999999996</v>
    <v>4173.42</v>
    <v>4134.9799999999996</v>
    <v>4180.17</v>
    <v>4187.62</v>
    <v>4186.72</v>
    <v>4183.18</v>
    <v>4211.47</v>
    <v>4181.17</v>
    <v>4192.66</v>
    <v>4164.66</v>
    <v>4167.59</v>
    <v>4201.62</v>
    <v>4232.6000000000004</v>
    <v>4188.43</v>
    <v>4152.1000000000004</v>
    <v>4063.04</v>
    <v>4112.5</v>
    <v>4173.8500000000004</v>
    <v>4163.29</v>
    <v>4127.83</v>
    <v>4115.68</v>
    <v>4159.12</v>
    <v>4155.8599999999997</v>
    <v>4197.05</v>
    <v>4188.13</v>
    <v>4195.99</v>
    <v>4200.88</v>
    <v>4204.1099999999997</v>
    <v>4202.04</v>
    <v>4208.12</v>
    <v>4192.8500000000004</v>
    <v>4229.8900000000003</v>
    <v>4226.5200000000004</v>
    <v>4227.26</v>
    <v>4219.55</v>
    <v>4239.18</v>
    <v>4247.4399999999996</v>
    <v>4255.1499999999996</v>
    <v>4246.59</v>
    <v>4223.7</v>
    <v>4221.8599999999997</v>
    <v>4166.45</v>
    <v>4224.79</v>
    <v>4246.4399999999996</v>
    <v>4241.84</v>
    <v>4266.49</v>
    <v>4280.7</v>
    <v>4290.6099999999997</v>
    <v>4291.8</v>
    <v>4297.5</v>
    <v>4319.9399999999996</v>
    <v>4352.34</v>
    <v>4343.54</v>
    <v>4358.13</v>
    <v>4320.82</v>
    <v>4369.55</v>
    <v>4384.63</v>
    <v>4369.21</v>
    <v>4374.3</v>
    <v>4360.03</v>
    <v>4327.16</v>
    <v>4258.49</v>
    <v>4323.0600000000004</v>
    <v>4358.6899999999996</v>
    <v>4367.4799999999996</v>
    <v>4411.79</v>
    <v>4422.3</v>
    <v>4401.46</v>
    <v>4400.6400000000003</v>
    <v>4419.1499999999996</v>
    <v>4395.26</v>
    <v>4387.16</v>
    <v>4423.1499999999996</v>
    <v>4402.66</v>
    <v>4429.1000000000004</v>
    <v>4436.5200000000004</v>
    <v>4432.3500000000004</v>
    <v>4436.75</v>
    <v>4447.7</v>
    <v>4460.83</v>
    <v>4468</v>
    <v>4479.71</v>
    <v>4448.08</v>
    <v>4400.2700000000004</v>
    <v>4405.8</v>
    <v>4441.67</v>
    <v>4479.53</v>
    <v>4486.2299999999996</v>
    <v>4496.1899999999996</v>
    <v>4470</v>
    <v>4509.37</v>
    <v>4528.79</v>
    <v>4522.68</v>
    <v>4524.09</v>
    <v>4536.95</v>
    <v>4535.43</v>
    <v>4520.03</v>
    <v>4514.07</v>
    <v>4493.28</v>
    <v>4458.58</v>
    <v>4468.7299999999996</v>
    <v>4443.05</v>
    <v>4480.7</v>
    <v>4473.75</v>
    <v>4432.99</v>
    <v>4357.7299999999996</v>
    <v>4354.1899999999996</v>
    <v>4395.6400000000003</v>
    <v>4448.9799999999996</v>
    <v>4455.4799999999996</v>
    <v>4443.1099999999997</v>
    <v>4352.63</v>
    <v>4359.46</v>
    <v>4307.54</v>
    <v>4357.04</v>
    <v>4300.46</v>
    <v>4345.72</v>
    <v>4363.55</v>
    <v>4399.76</v>
    <v>4391.34</v>
    <v>4361.1899999999996</v>
    <v>4350.6499999999996</v>
    <v>4363.8</v>
    <v>4438.26</v>
    <v>4471.37</v>
    <v>4486.46</v>
    <v>4519.63</v>
    <v>4536.1899999999996</v>
    <v>4549.78</v>
    <v>4544.8999999999996</v>
    <v>4566.4799999999996</v>
    <v>4574.79</v>
    <v>4551.68</v>
    <v>4596.42</v>
    <v>4605.38</v>
    <v>4613.67</v>
    <v>4630.6499999999996</v>
    <v>4660.57</v>
    <v>4680.0600000000004</v>
    <v>4697.53</v>
    <v>4701.7</v>
    <v>4685.25</v>
    <v>4646.71</v>
    <v>4649.2700000000004</v>
    <v>4682.8500000000004</v>
    <v>4682.8</v>
    <v>4700.8999999999996</v>
    <v>4688.67</v>
    <v>4704.54</v>
    <v>4697.96</v>
    <v>4682.9399999999996</v>
    <v>4690.7</v>
    <v>4701.46</v>
    <v>4594.62</v>
    <v>4655.2700000000004</v>
    <v>4567</v>
    <v>4513.04</v>
    <v>4577.1000000000004</v>
    <v>4538.43</v>
    <v>4591.67</v>
    <v>4686.75</v>
    <v>4701.21</v>
    <v>4667.45</v>
    <v>4712.0200000000004</v>
    <v>4668.97</v>
    <v>4634.09</v>
    <v>4709.8500000000004</v>
    <v>4668.67</v>
    <v>4620.6400000000003</v>
    <v>4568.0200000000004</v>
    <v>4649.2299999999996</v>
    <v>4696.5600000000004</v>
    <v>4725.79</v>
    <v>4791.1899999999996</v>
    <v>4786.3500000000004</v>
    <v>4793.0600000000004</v>
    <v>4778.7299999999996</v>
    <v>4766.18</v>
    <v>4796.5600000000004</v>
    <v>4793.54</v>
    <v>4700.58</v>
    <v>4696.05</v>
    <v>4677.03</v>
    <v>4670.29</v>
    <v>4713.07</v>
    <v>4726.3500000000004</v>
    <v>4659.03</v>
    <v>4662.8500000000004</v>
    <v>4577.1099999999997</v>
    <v>4532.76</v>
    <v>4482.7299999999996</v>
    <v>4397.9399999999996</v>
    <v>4410.13</v>
    <v>4356.45</v>
    <v>4349.93</v>
    <v>4326.51</v>
    <v>4431.8500000000004</v>
    <v>4515.55</v>
    <v>4546.54</v>
    <v>4589.38</v>
    <v>4477.4399999999996</v>
    <v>4500.53</v>
    <v>4483.87</v>
    <v>4521.54</v>
    <v>4587.18</v>
    <v>4504.08</v>
    <v>4418.6400000000003</v>
    <v>4401.67</v>
    <v>4471.07</v>
    <v>4475.01</v>
    <v>4380.26</v>
    <v>4348.87</v>
    <v>4304.76</v>
    <v>4225.5</v>
    <v>4288.7</v>
    <v>4384.6499999999996</v>
    <v>4373.9399999999996</v>
    <v>4306.26</v>
    <v>4386.54</v>
    <v>4363.49</v>
    <v>4328.87</v>
    <v>4201.09</v>
    <v>4170.7</v>
    <v>4277.88</v>
    <v>4259.5200000000004</v>
    <v>4204.3100000000004</v>
    <v>4173.1099999999997</v>
    <v>4262.45</v>
    <v>4357.8599999999997</v>
    <v>4411.67</v>
    <v>4463.12</v>
    <v>4461.18</v>
    <v>4511.6099999999997</v>
    <v>4456.24</v>
    <v>4520.16</v>
    <v>4543.0600000000004</v>
    <v>4575.5200000000004</v>
    <v>4631.6000000000004</v>
    <v>4602.45</v>
    <v>4530.41</v>
    <v>4545.8599999999997</v>
    <v>4582.6400000000003</v>
    <v>4525.12</v>
    <v>4481.1499999999996</v>
    <v>4500.21</v>
    <v>4488.28</v>
    <v>4412.53</v>
    <v>4397.45</v>
    <v>4446.59</v>
    <v>4392.59</v>
    <v>4391.6899999999996</v>
    <v>4462.21</v>
    <v>4459.45</v>
    <v>4393.66</v>
    <v>4271.78</v>
    <v>4296.12</v>
    <v>4175.2</v>
    <v>4183.96</v>
    <v>4287.5</v>
    <v>4131.93</v>
    <v>4155.38</v>
    <v>4175.4799999999996</v>
    <v>4300.17</v>
    <v>4146.87</v>
    <v>4123.34</v>
    <v>3991.24</v>
    <v>4001.05</v>
    <v>3935.18</v>
    <v>3930.08</v>
    <v>4023.89</v>
    <v>4008.01</v>
    <v>4088.85</v>
    <v>3923.68</v>
    <v>3900.79</v>
    <v>3901.36</v>
    <v>3973.75</v>
    <v>3941.48</v>
    <v>3978.73</v>
    <v>4057.84</v>
    <v>4158.24</v>
    <v>4132.1499999999996</v>
    <v>4101.2299999999996</v>
    <v>4176.82</v>
    <v>4108.54</v>
    <v>4121.43</v>
    <v>4160.68</v>
    <v>4115.7700000000004</v>
    <v>4017.82</v>
    <v>3900.86</v>
    <v>3749.63</v>
    <v>3735.48</v>
    <v>3789.99</v>
    <v>3666.77</v>
    <v>3674.84</v>
    <v>3764.79</v>
    <v>3759.89</v>
    <v>3795.73</v>
    <v>3911.74</v>
    <v>3900.11</v>
    <v>3821.55</v>
    <v>3818.83</v>
    <v>3785.38</v>
    <v>3825.33</v>
    <v>3831.39</v>
    <v>3845.08</v>
    <v>3902.62</v>
    <v>3899.38</v>
    <v>3854.43</v>
    <v>3818.8</v>
    <v>3801.78</v>
    <v>3790.38</v>
    <v>3863.16</v>
    <v>3830.85</v>
    <v>3936.69</v>
    <v>3959.9</v>
    <v>3998.95</v>
    <v>3961.63</v>
    <v>3966.84</v>
    <v>3921.05</v>
    <v>4023.61</v>
    <v>4072.43</v>
    <v>4130.29</v>
    <v>4118.63</v>
    <v>4091.19</v>
    <v>4155.17</v>
    <v>4151.9399999999996</v>
    <v>4145.1899999999996</v>
    <v>4140.0600000000004</v>
    <v>4122.47</v>
    <v>4210.24</v>
    <v>4207.2700000000004</v>
    <v>4280.1499999999996</v>
    <v>4297.1400000000003</v>
    <v>4305.2</v>
    <v>4274.04</v>
    <v>4283.74</v>
    <v>4228.4799999999996</v>
    <v>4137.99</v>
    <v>4128.7299999999996</v>
    <v>4140.7700000000004</v>
    <v>4199.12</v>
    <v>4057.66</v>
    <v>4030.61</v>
    <v>3986.16</v>
    <v>3955</v>
    <v>3966.85</v>
    <v>3924.26</v>
    <v>3908.19</v>
    <v>3979.87</v>
    <v>4006.18</v>
    <v>4067.36</v>
    <v>4110.41</v>
    <v>3932.69</v>
    <v>3946.01</v>
    <v>3901.35</v>
    <v>3873.33</v>
    <v>3899.89</v>
    <v>3855.93</v>
    <v>3789.93</v>
    <v>3757.99</v>
    <v>3693.23</v>
    <v>3655.04</v>
    <v>3647.29</v>
    <v>3719.04</v>
    <v>3585.62</v>
    <v>3678.43</v>
    <v>3790.93</v>
    <v>3612.39</v>
    <v>3588.84</v>
    <v>3577.03</v>
    <v>3669.91</v>
    <v>3583.07</v>
    <v>3677.95</v>
    <v>3719.98</v>
    <v>3695.16</v>
    <v>3665.78</v>
    <v>3752.75</v>
    <v>3797.34</v>
    <v>3859.11</v>
    <v>3830.6</v>
    <v>3807.3</v>
    <v>3901.06</v>
    <v>3871.98</v>
    <v>3856.1</v>
    <v>3759.69</v>
    <v>3719.89</v>
    <v>3770.55</v>
    <v>3806.8</v>
    <v>3828.11</v>
    <v>3748.57</v>
    <v>3956.37</v>
    <v>3992.93</v>
    <v>3957.25</v>
    <v>3991.73</v>
    <v>3958.79</v>
    <v>3946.56</v>
    <v>3965.34</v>
    <v>3949.94</v>
    <v>4003.58</v>
    <v>4027.26</v>
    <v>4026.12</v>
    <v>3963.94</v>
    <v>3957.63</v>
    <v>4080.11</v>
    <v>4076.57</v>
    <v>4071.7</v>
    <v>3998.84</v>
    <v>3941.26</v>
    <v>3933.92</v>
    <v>3963.51</v>
    <v>3934.38</v>
    <v>3990.56</v>
    <v>4019.65</v>
    <v>3995.32</v>
    <v>3895.75</v>
    <v>3852.36</v>
    <v>3817.66</v>
    <v>3821.62</v>
    <v>3878.44</v>
    <v>3822.39</v>
    <v>3844.82</v>
    <v>3829.25</v>
    <v>3783.22</v>
    <v>3849.28</v>
    <v>3839.5</v>
  </a>
  <a r="1" c="1510">
    <v t="i">2</v>
    <v t="i">3</v>
    <v t="i">4</v>
    <v t="i">5</v>
    <v t="i">8</v>
    <v t="i">9</v>
    <v t="i">10</v>
    <v t="i">11</v>
    <v t="i">12</v>
    <v t="i">16</v>
    <v t="i">17</v>
    <v t="i">18</v>
    <v t="i">19</v>
    <v t="i">22</v>
    <v t="i">23</v>
    <v t="i">24</v>
    <v t="i">25</v>
    <v t="i">26</v>
    <v t="i">29</v>
    <v t="i">30</v>
    <v t="i">31</v>
    <v t="i">32</v>
    <v t="i">33</v>
    <v t="i">36</v>
    <v t="i">37</v>
    <v t="i">38</v>
    <v t="i">39</v>
    <v t="i">40</v>
    <v t="i">43</v>
    <v t="i">44</v>
    <v t="i">45</v>
    <v t="i">46</v>
    <v t="i">47</v>
    <v t="i">51</v>
    <v t="i">52</v>
    <v t="i">53</v>
    <v t="i">54</v>
    <v t="i">57</v>
    <v t="i">58</v>
    <v t="i">59</v>
    <v t="i">60</v>
    <v t="i">61</v>
    <v t="i">64</v>
    <v t="i">65</v>
    <v t="i">66</v>
    <v t="i">67</v>
    <v t="i">68</v>
    <v t="i">71</v>
    <v t="i">72</v>
    <v t="i">73</v>
    <v t="i">74</v>
    <v t="i">75</v>
    <v t="i">78</v>
    <v t="i">79</v>
    <v t="i">80</v>
    <v t="i">81</v>
    <v t="i">82</v>
    <v t="i">85</v>
    <v t="i">86</v>
    <v t="i">87</v>
    <v t="i">88</v>
    <v t="i">89</v>
    <v t="i">92</v>
    <v t="i">93</v>
    <v t="i">94</v>
    <v t="i">95</v>
    <v t="i">96</v>
    <v t="i">99</v>
    <v t="i">100</v>
    <v t="i">101</v>
    <v t="i">102</v>
    <v t="i">106</v>
    <v t="i">107</v>
    <v t="i">108</v>
    <v t="i">109</v>
    <v t="i">110</v>
    <v t="i">113</v>
    <v t="i">114</v>
    <v t="i">115</v>
    <v t="i">116</v>
    <v t="i">117</v>
    <v t="i">120</v>
    <v t="i">121</v>
    <v t="i">122</v>
    <v t="i">123</v>
    <v t="i">124</v>
    <v t="i">127</v>
    <v t="i">128</v>
    <v t="i">129</v>
    <v t="i">130</v>
    <v t="i">131</v>
    <v t="i">134</v>
    <v t="i">135</v>
    <v t="i">136</v>
    <v t="i">137</v>
    <v t="i">138</v>
    <v t="i">141</v>
    <v t="i">142</v>
    <v t="i">143</v>
    <v t="i">144</v>
    <v t="i">145</v>
    <v t="i">149</v>
    <v t="i">150</v>
    <v t="i">151</v>
    <v t="i">152</v>
    <v t="i">155</v>
    <v t="i">156</v>
    <v t="i">157</v>
    <v t="i">158</v>
    <v t="i">159</v>
    <v t="i">162</v>
    <v t="i">163</v>
    <v t="i">164</v>
    <v t="i">165</v>
    <v t="i">166</v>
    <v t="i">169</v>
    <v t="i">170</v>
    <v t="i">171</v>
    <v t="i">172</v>
    <v t="i">173</v>
    <v t="i">176</v>
    <v t="i">177</v>
    <v t="i">178</v>
    <v t="i">179</v>
    <v t="i">180</v>
    <v t="i">183</v>
    <v t="i">185</v>
    <v t="i">186</v>
    <v t="i">187</v>
    <v t="i">190</v>
    <v t="i">191</v>
    <v t="i">192</v>
    <v t="i">193</v>
    <v t="i">194</v>
    <v t="i">197</v>
    <v t="i">198</v>
    <v t="i">199</v>
    <v t="i">200</v>
    <v t="i">201</v>
    <v t="i">204</v>
    <v t="i">205</v>
    <v t="i">206</v>
    <v t="i">207</v>
    <v t="i">208</v>
    <v t="i">211</v>
    <v t="i">212</v>
    <v t="i">213</v>
    <v t="i">214</v>
    <v t="i">215</v>
    <v t="i">218</v>
    <v t="i">219</v>
    <v t="i">220</v>
    <v t="i">221</v>
    <v t="i">222</v>
    <v t="i">225</v>
    <v t="i">226</v>
    <v t="i">227</v>
    <v t="i">228</v>
    <v t="i">229</v>
    <v t="i">232</v>
    <v t="i">233</v>
    <v t="i">234</v>
    <v t="i">235</v>
    <v t="i">236</v>
    <v t="i">239</v>
    <v t="i">240</v>
    <v t="i">241</v>
    <v t="i">242</v>
    <v t="i">243</v>
    <v t="i">247</v>
    <v t="i">248</v>
    <v t="i">249</v>
    <v t="i">250</v>
    <v t="i">253</v>
    <v t="i">254</v>
    <v t="i">255</v>
    <v t="i">256</v>
    <v t="i">257</v>
    <v t="i">260</v>
    <v t="i">261</v>
    <v t="i">262</v>
    <v t="i">263</v>
    <v t="i">264</v>
    <v t="i">267</v>
    <v t="i">268</v>
    <v t="i">269</v>
    <v t="i">270</v>
    <v t="i">271</v>
    <v t="i">274</v>
    <v t="i">275</v>
    <v t="i">276</v>
    <v t="i">277</v>
    <v t="i">278</v>
    <v t="i">281</v>
    <v t="i">282</v>
    <v t="i">283</v>
    <v t="i">284</v>
    <v t="i">285</v>
    <v t="i">288</v>
    <v t="i">289</v>
    <v t="i">290</v>
    <v t="i">291</v>
    <v t="i">292</v>
    <v t="i">295</v>
    <v t="i">296</v>
    <v t="i">297</v>
    <v t="i">298</v>
    <v t="i">299</v>
    <v t="i">302</v>
    <v t="i">303</v>
    <v t="i">304</v>
    <v t="i">305</v>
    <v t="i">306</v>
    <v t="i">309</v>
    <v t="i">310</v>
    <v t="i">311</v>
    <v t="i">312</v>
    <v t="i">313</v>
    <v t="i">316</v>
    <v t="i">317</v>
    <v t="i">318</v>
    <v t="i">319</v>
    <v t="i">320</v>
    <v t="i">323</v>
    <v t="i">324</v>
    <v t="i">325</v>
    <v t="i">327</v>
    <v t="i">330</v>
    <v t="i">331</v>
    <v t="i">332</v>
    <v t="i">333</v>
    <v t="i">334</v>
    <v t="i">337</v>
    <v t="i">338</v>
    <v t="i">339</v>
    <v t="i">340</v>
    <v t="i">341</v>
    <v t="i">344</v>
    <v t="i">345</v>
    <v t="i">346</v>
    <v t="i">347</v>
    <v t="i">348</v>
    <v t="i">351</v>
    <v t="i">352</v>
    <v t="i">353</v>
    <v t="i">354</v>
    <v t="i">355</v>
    <v t="i">359</v>
    <v t="i">360</v>
    <v t="i">361</v>
    <v t="i">362</v>
    <v t="i">366</v>
    <v t="i">367</v>
    <v t="i">368</v>
    <v t="i">369</v>
    <v t="i">372</v>
    <v t="i">373</v>
    <v t="i">374</v>
    <v t="i">375</v>
    <v t="i">376</v>
    <v t="i">380</v>
    <v t="i">381</v>
    <v t="i">382</v>
    <v t="i">383</v>
    <v t="i">386</v>
    <v t="i">387</v>
    <v t="i">388</v>
    <v t="i">389</v>
    <v t="i">390</v>
    <v t="i">393</v>
    <v t="i">394</v>
    <v t="i">395</v>
    <v t="i">396</v>
    <v t="i">397</v>
    <v t="i">400</v>
    <v t="i">401</v>
    <v t="i">402</v>
    <v t="i">403</v>
    <v t="i">404</v>
    <v t="i">407</v>
    <v t="i">408</v>
    <v t="i">409</v>
    <v t="i">410</v>
    <v t="i">411</v>
    <v t="i">415</v>
    <v t="i">416</v>
    <v t="i">417</v>
    <v t="i">418</v>
    <v t="i">421</v>
    <v t="i">422</v>
    <v t="i">423</v>
    <v t="i">424</v>
    <v t="i">425</v>
    <v t="i">428</v>
    <v t="i">429</v>
    <v t="i">430</v>
    <v t="i">431</v>
    <v t="i">432</v>
    <v t="i">435</v>
    <v t="i">436</v>
    <v t="i">437</v>
    <v t="i">438</v>
    <v t="i">439</v>
    <v t="i">442</v>
    <v t="i">443</v>
    <v t="i">444</v>
    <v t="i">445</v>
    <v t="i">446</v>
    <v t="i">449</v>
    <v t="i">450</v>
    <v t="i">451</v>
    <v t="i">452</v>
    <v t="i">456</v>
    <v t="i">457</v>
    <v t="i">458</v>
    <v t="i">459</v>
    <v t="i">460</v>
    <v t="i">463</v>
    <v t="i">464</v>
    <v t="i">465</v>
    <v t="i">466</v>
    <v t="i">467</v>
    <v t="i">470</v>
    <v t="i">471</v>
    <v t="i">472</v>
    <v t="i">473</v>
    <v t="i">474</v>
    <v t="i">477</v>
    <v t="i">478</v>
    <v t="i">479</v>
    <v t="i">480</v>
    <v t="i">481</v>
    <v t="i">484</v>
    <v t="i">485</v>
    <v t="i">486</v>
    <v t="i">487</v>
    <v t="i">488</v>
    <v t="i">491</v>
    <v t="i">492</v>
    <v t="i">493</v>
    <v t="i">494</v>
    <v t="i">495</v>
    <v t="i">498</v>
    <v t="i">499</v>
    <v t="i">500</v>
    <v t="i">501</v>
    <v t="i">502</v>
    <v t="i">505</v>
    <v t="i">506</v>
    <v t="i">507</v>
    <v t="i">508</v>
    <v t="i">509</v>
    <v t="i">513</v>
    <v t="i">514</v>
    <v t="i">515</v>
    <v t="i">516</v>
    <v t="i">519</v>
    <v t="i">520</v>
    <v t="i">521</v>
    <v t="i">522</v>
    <v t="i">523</v>
    <v t="i">526</v>
    <v t="i">527</v>
    <v t="i">528</v>
    <v t="i">529</v>
    <v t="i">530</v>
    <v t="i">533</v>
    <v t="i">534</v>
    <v t="i">535</v>
    <v t="i">536</v>
    <v t="i">537</v>
    <v t="i">540</v>
    <v t="i">541</v>
    <v t="i">542</v>
    <v t="i">543</v>
    <v t="i">544</v>
    <v t="i">547</v>
    <v t="i">548</v>
    <v t="i">550</v>
    <v t="i">551</v>
    <v t="i">554</v>
    <v t="i">555</v>
    <v t="i">556</v>
    <v t="i">557</v>
    <v t="i">558</v>
    <v t="i">561</v>
    <v t="i">562</v>
    <v t="i">563</v>
    <v t="i">564</v>
    <v t="i">565</v>
    <v t="i">568</v>
    <v t="i">569</v>
    <v t="i">570</v>
    <v t="i">571</v>
    <v t="i">572</v>
    <v t="i">575</v>
    <v t="i">576</v>
    <v t="i">577</v>
    <v t="i">578</v>
    <v t="i">579</v>
    <v t="i">582</v>
    <v t="i">583</v>
    <v t="i">584</v>
    <v t="i">585</v>
    <v t="i">586</v>
    <v t="i">589</v>
    <v t="i">590</v>
    <v t="i">591</v>
    <v t="i">592</v>
    <v t="i">593</v>
    <v t="i">596</v>
    <v t="i">597</v>
    <v t="i">598</v>
    <v t="i">599</v>
    <v t="i">600</v>
    <v t="i">603</v>
    <v t="i">604</v>
    <v t="i">605</v>
    <v t="i">606</v>
    <v t="i">607</v>
    <v t="i">611</v>
    <v t="i">612</v>
    <v t="i">613</v>
    <v t="i">614</v>
    <v t="i">617</v>
    <v t="i">618</v>
    <v t="i">619</v>
    <v t="i">620</v>
    <v t="i">621</v>
    <v t="i">624</v>
    <v t="i">625</v>
    <v t="i">626</v>
    <v t="i">627</v>
    <v t="i">628</v>
    <v t="i">631</v>
    <v t="i">632</v>
    <v t="i">633</v>
    <v t="i">634</v>
    <v t="i">635</v>
    <v t="i">638</v>
    <v t="i">639</v>
    <v t="i">640</v>
    <v t="i">641</v>
    <v t="i">642</v>
    <v t="i">645</v>
    <v t="i">646</v>
    <v t="i">647</v>
    <v t="i">648</v>
    <v t="i">649</v>
    <v t="i">652</v>
    <v t="i">653</v>
    <v t="i">654</v>
    <v t="i">655</v>
    <v t="i">656</v>
    <v t="i">659</v>
    <v t="i">660</v>
    <v t="i">661</v>
    <v t="i">662</v>
    <v t="i">663</v>
    <v t="i">666</v>
    <v t="i">667</v>
    <v t="i">668</v>
    <v t="i">669</v>
    <v t="i">670</v>
    <v t="i">673</v>
    <v t="i">674</v>
    <v t="i">675</v>
    <v t="i">676</v>
    <v t="i">677</v>
    <v t="i">680</v>
    <v t="i">681</v>
    <v t="i">682</v>
    <v t="i">683</v>
    <v t="i">684</v>
    <v t="i">687</v>
    <v t="i">688</v>
    <v t="i">689</v>
    <v t="i">691</v>
    <v t="i">694</v>
    <v t="i">695</v>
    <v t="i">696</v>
    <v t="i">697</v>
    <v t="i">698</v>
    <v t="i">701</v>
    <v t="i">702</v>
    <v t="i">704</v>
    <v t="i">705</v>
    <v t="i">708</v>
    <v t="i">709</v>
    <v t="i">710</v>
    <v t="i">711</v>
    <v t="i">712</v>
    <v t="i">715</v>
    <v t="i">716</v>
    <v t="i">717</v>
    <v t="i">718</v>
    <v t="i">719</v>
    <v t="i">722</v>
    <v t="i">724</v>
    <v t="i">725</v>
    <v t="i">726</v>
    <v t="i">729</v>
    <v t="i">731</v>
    <v t="i">732</v>
    <v t="i">733</v>
    <v t="i">736</v>
    <v t="i">737</v>
    <v t="i">738</v>
    <v t="i">739</v>
    <v t="i">740</v>
    <v t="i">743</v>
    <v t="i">744</v>
    <v t="i">745</v>
    <v t="i">746</v>
    <v t="i">747</v>
    <v t="i">751</v>
    <v t="i">752</v>
    <v t="i">753</v>
    <v t="i">754</v>
    <v t="i">757</v>
    <v t="i">758</v>
    <v t="i">759</v>
    <v t="i">760</v>
    <v t="i">761</v>
    <v t="i">764</v>
    <v t="i">765</v>
    <v t="i">766</v>
    <v t="i">767</v>
    <v t="i">768</v>
    <v t="i">771</v>
    <v t="i">772</v>
    <v t="i">773</v>
    <v t="i">774</v>
    <v t="i">775</v>
    <v t="i">779</v>
    <v t="i">780</v>
    <v t="i">781</v>
    <v t="i">782</v>
    <v t="i">785</v>
    <v t="i">786</v>
    <v t="i">787</v>
    <v t="i">788</v>
    <v t="i">789</v>
    <v t="i">792</v>
    <v t="i">793</v>
    <v t="i">794</v>
    <v t="i">795</v>
    <v t="i">796</v>
    <v t="i">799</v>
    <v t="i">800</v>
    <v t="i">801</v>
    <v t="i">802</v>
    <v t="i">803</v>
    <v t="i">806</v>
    <v t="i">807</v>
    <v t="i">808</v>
    <v t="i">809</v>
    <v t="i">810</v>
    <v t="i">813</v>
    <v t="i">814</v>
    <v t="i">815</v>
    <v t="i">816</v>
    <v t="i">817</v>
    <v t="i">820</v>
    <v t="i">821</v>
    <v t="i">822</v>
    <v t="i">823</v>
    <v t="i">824</v>
    <v t="i">827</v>
    <v t="i">828</v>
    <v t="i">829</v>
    <v t="i">830</v>
    <v t="i">831</v>
    <v t="i">834</v>
    <v t="i">835</v>
    <v t="i">836</v>
    <v t="i">837</v>
    <v t="i">841</v>
    <v t="i">842</v>
    <v t="i">843</v>
    <v t="i">844</v>
    <v t="i">845</v>
    <v t="i">848</v>
    <v t="i">849</v>
    <v t="i">850</v>
    <v t="i">851</v>
    <v t="i">852</v>
    <v t="i">855</v>
    <v t="i">856</v>
    <v t="i">857</v>
    <v t="i">858</v>
    <v t="i">859</v>
    <v t="i">862</v>
    <v t="i">863</v>
    <v t="i">864</v>
    <v t="i">865</v>
    <v t="i">866</v>
    <v t="i">869</v>
    <v t="i">870</v>
    <v t="i">871</v>
    <v t="i">872</v>
    <v t="i">873</v>
    <v t="i">877</v>
    <v t="i">878</v>
    <v t="i">879</v>
    <v t="i">880</v>
    <v t="i">883</v>
    <v t="i">884</v>
    <v t="i">885</v>
    <v t="i">886</v>
    <v t="i">887</v>
    <v t="i">890</v>
    <v t="i">891</v>
    <v t="i">892</v>
    <v t="i">893</v>
    <v t="i">894</v>
    <v t="i">897</v>
    <v t="i">898</v>
    <v t="i">899</v>
    <v t="i">900</v>
    <v t="i">901</v>
    <v t="i">904</v>
    <v t="i">905</v>
    <v t="i">906</v>
    <v t="i">907</v>
    <v t="i">908</v>
    <v t="i">911</v>
    <v t="i">912</v>
    <v t="i">913</v>
    <v t="i">915</v>
    <v t="i">918</v>
    <v t="i">919</v>
    <v t="i">920</v>
    <v t="i">921</v>
    <v t="i">922</v>
    <v t="i">925</v>
    <v t="i">926</v>
    <v t="i">927</v>
    <v t="i">928</v>
    <v t="i">929</v>
    <v t="i">932</v>
    <v t="i">933</v>
    <v t="i">934</v>
    <v t="i">935</v>
    <v t="i">936</v>
    <v t="i">939</v>
    <v t="i">940</v>
    <v t="i">941</v>
    <v t="i">942</v>
    <v t="i">943</v>
    <v t="i">946</v>
    <v t="i">947</v>
    <v t="i">948</v>
    <v t="i">949</v>
    <v t="i">950</v>
    <v t="i">953</v>
    <v t="i">954</v>
    <v t="i">955</v>
    <v t="i">956</v>
    <v t="i">957</v>
    <v t="i">960</v>
    <v t="i">961</v>
    <v t="i">962</v>
    <v t="i">963</v>
    <v t="i">964</v>
    <v t="i">967</v>
    <v t="i">968</v>
    <v t="i">969</v>
    <v t="i">970</v>
    <v t="i">971</v>
    <v t="i">975</v>
    <v t="i">976</v>
    <v t="i">977</v>
    <v t="i">978</v>
    <v t="i">981</v>
    <v t="i">982</v>
    <v t="i">983</v>
    <v t="i">984</v>
    <v t="i">985</v>
    <v t="i">988</v>
    <v t="i">989</v>
    <v t="i">990</v>
    <v t="i">991</v>
    <v t="i">992</v>
    <v t="i">995</v>
    <v t="i">996</v>
    <v t="i">997</v>
    <v t="i">998</v>
    <v t="i">999</v>
    <v t="i">1002</v>
    <v t="i">1003</v>
    <v t="i">1004</v>
    <v t="i">1005</v>
    <v t="i">1006</v>
    <v t="i">1009</v>
    <v t="i">1010</v>
    <v t="i">1011</v>
    <v t="i">1012</v>
    <v t="i">1013</v>
    <v t="i">1016</v>
    <v t="i">1017</v>
    <v t="i">1018</v>
    <v t="i">1019</v>
    <v t="i">1020</v>
    <v t="i">1023</v>
    <v t="i">1024</v>
    <v t="i">1025</v>
    <v t="i">1026</v>
    <v t="i">1027</v>
    <v t="i">1030</v>
    <v t="i">1031</v>
    <v t="i">1032</v>
    <v t="i">1033</v>
    <v t="i">1034</v>
    <v t="i">1037</v>
    <v t="i">1038</v>
    <v t="i">1039</v>
    <v t="i">1040</v>
    <v t="i">1041</v>
    <v t="i">1044</v>
    <v t="i">1045</v>
    <v t="i">1046</v>
    <v t="i">1047</v>
    <v t="i">1048</v>
    <v t="i">1051</v>
    <v t="i">1052</v>
    <v t="i">1053</v>
    <v t="i">1054</v>
    <v t="i">1055</v>
    <v t="i">1058</v>
    <v t="i">1059</v>
    <v t="i">1060</v>
    <v t="i">1062</v>
    <v t="i">1065</v>
    <v t="i">1066</v>
    <v t="i">1067</v>
    <v t="i">1068</v>
    <v t="i">1069</v>
    <v t="i">1072</v>
    <v t="i">1073</v>
    <v t="i">1074</v>
    <v t="i">1075</v>
    <v t="i">1076</v>
    <v t="i">1079</v>
    <v t="i">1080</v>
    <v t="i">1081</v>
    <v t="i">1082</v>
    <v t="i">1083</v>
    <v t="i">1086</v>
    <v t="i">1087</v>
    <v t="i">1089</v>
    <v t="i">1090</v>
    <v t="i">1093</v>
    <v t="i">1094</v>
    <v t="i">1096</v>
    <v t="i">1097</v>
    <v t="i">1100</v>
    <v t="i">1101</v>
    <v t="i">1102</v>
    <v t="i">1103</v>
    <v t="i">1104</v>
    <v t="i">1107</v>
    <v t="i">1108</v>
    <v t="i">1109</v>
    <v t="i">1110</v>
    <v t="i">1111</v>
    <v t="i">1115</v>
    <v t="i">1116</v>
    <v t="i">1117</v>
    <v t="i">1118</v>
    <v t="i">1121</v>
    <v t="i">1122</v>
    <v t="i">1123</v>
    <v t="i">1124</v>
    <v t="i">1125</v>
    <v t="i">1128</v>
    <v t="i">1129</v>
    <v t="i">1130</v>
    <v t="i">1131</v>
    <v t="i">1132</v>
    <v t="i">1135</v>
    <v t="i">1136</v>
    <v t="i">1137</v>
    <v t="i">1138</v>
    <v t="i">1139</v>
    <v t="i">1143</v>
    <v t="i">1144</v>
    <v t="i">1145</v>
    <v t="i">1146</v>
    <v t="i">1149</v>
    <v t="i">1150</v>
    <v t="i">1151</v>
    <v t="i">1152</v>
    <v t="i">1153</v>
    <v t="i">1156</v>
    <v t="i">1157</v>
    <v t="i">1158</v>
    <v t="i">1159</v>
    <v t="i">1160</v>
    <v t="i">1163</v>
    <v t="i">1164</v>
    <v t="i">1165</v>
    <v t="i">1166</v>
    <v t="i">1167</v>
    <v t="i">1170</v>
    <v t="i">1171</v>
    <v t="i">1172</v>
    <v t="i">1173</v>
    <v t="i">1174</v>
    <v t="i">1177</v>
    <v t="i">1178</v>
    <v t="i">1179</v>
    <v t="i">1180</v>
    <v t="i">1181</v>
    <v t="i">1184</v>
    <v t="i">1185</v>
    <v t="i">1186</v>
    <v t="i">1187</v>
    <v t="i">1188</v>
    <v t="i">1191</v>
    <v t="i">1192</v>
    <v t="i">1193</v>
    <v t="i">1194</v>
    <v t="i">1198</v>
    <v t="i">1199</v>
    <v t="i">1200</v>
    <v t="i">1201</v>
    <v t="i">1202</v>
    <v t="i">1205</v>
    <v t="i">1206</v>
    <v t="i">1207</v>
    <v t="i">1208</v>
    <v t="i">1209</v>
    <v t="i">1212</v>
    <v t="i">1213</v>
    <v t="i">1214</v>
    <v t="i">1215</v>
    <v t="i">1216</v>
    <v t="i">1219</v>
    <v t="i">1220</v>
    <v t="i">1221</v>
    <v t="i">1222</v>
    <v t="i">1223</v>
    <v t="i">1226</v>
    <v t="i">1227</v>
    <v t="i">1228</v>
    <v t="i">1229</v>
    <v t="i">1230</v>
    <v t="i">1233</v>
    <v t="i">1234</v>
    <v t="i">1235</v>
    <v t="i">1236</v>
    <v t="i">1237</v>
    <v t="i">1241</v>
    <v t="i">1242</v>
    <v t="i">1243</v>
    <v t="i">1244</v>
    <v t="i">1247</v>
    <v t="i">1248</v>
    <v t="i">1249</v>
    <v t="i">1250</v>
    <v t="i">1251</v>
    <v t="i">1254</v>
    <v t="i">1255</v>
    <v t="i">1256</v>
    <v t="i">1257</v>
    <v t="i">1258</v>
    <v t="i">1261</v>
    <v t="i">1262</v>
    <v t="i">1263</v>
    <v t="i">1264</v>
    <v t="i">1265</v>
    <v t="i">1268</v>
    <v t="i">1269</v>
    <v t="i">1270</v>
    <v t="i">1271</v>
    <v t="i">1272</v>
    <v t="i">1275</v>
    <v t="i">1276</v>
    <v t="i">1277</v>
    <v t="i">1278</v>
    <v t="i">1282</v>
    <v t="i">1283</v>
    <v t="i">1284</v>
    <v t="i">1285</v>
    <v t="i">1286</v>
    <v t="i">1289</v>
    <v t="i">1290</v>
    <v t="i">1291</v>
    <v t="i">1292</v>
    <v t="i">1293</v>
    <v t="i">1296</v>
    <v t="i">1297</v>
    <v t="i">1298</v>
    <v t="i">1299</v>
    <v t="i">1300</v>
    <v t="i">1303</v>
    <v t="i">1304</v>
    <v t="i">1305</v>
    <v t="i">1306</v>
    <v t="i">1307</v>
    <v t="i">1310</v>
    <v t="i">1311</v>
    <v t="i">1312</v>
    <v t="i">1313</v>
    <v t="i">1314</v>
    <v t="i">1317</v>
    <v t="i">1318</v>
    <v t="i">1319</v>
    <v t="i">1320</v>
    <v t="i">1321</v>
    <v t="i">1324</v>
    <v t="i">1325</v>
    <v t="i">1326</v>
    <v t="i">1327</v>
    <v t="i">1328</v>
    <v t="i">1331</v>
    <v t="i">1332</v>
    <v t="i">1333</v>
    <v t="i">1334</v>
    <v t="i">1335</v>
    <v t="i">1338</v>
    <v t="i">1339</v>
    <v t="i">1340</v>
    <v t="i">1341</v>
    <v t="i">1342</v>
    <v t="i">1346</v>
    <v t="i">1347</v>
    <v t="i">1348</v>
    <v t="i">1349</v>
    <v t="i">1352</v>
    <v t="i">1353</v>
    <v t="i">1354</v>
    <v t="i">1355</v>
    <v t="i">1356</v>
    <v t="i">1359</v>
    <v t="i">1360</v>
    <v t="i">1361</v>
    <v t="i">1362</v>
    <v t="i">1363</v>
    <v t="i">1366</v>
    <v t="i">1367</v>
    <v t="i">1368</v>
    <v t="i">1369</v>
    <v t="i">1370</v>
    <v t="i">1373</v>
    <v t="i">1374</v>
    <v t="i">1375</v>
    <v t="i">1376</v>
    <v t="i">1377</v>
    <v t="i">1380</v>
    <v t="i">1381</v>
    <v t="i">1382</v>
    <v t="i">1383</v>
    <v t="i">1384</v>
    <v t="i">1387</v>
    <v t="i">1388</v>
    <v t="i">1389</v>
    <v t="i">1390</v>
    <v t="i">1391</v>
    <v t="i">1394</v>
    <v t="i">1395</v>
    <v t="i">1396</v>
    <v t="i">1397</v>
    <v t="i">1398</v>
    <v t="i">1401</v>
    <v t="i">1402</v>
    <v t="i">1403</v>
    <v t="i">1404</v>
    <v t="i">1405</v>
    <v t="i">1408</v>
    <v t="i">1409</v>
    <v t="i">1410</v>
    <v t="i">1411</v>
    <v t="i">1412</v>
    <v t="i">1415</v>
    <v t="i">1416</v>
    <v t="i">1417</v>
    <v t="i">1418</v>
    <v t="i">1419</v>
    <v t="i">1422</v>
    <v t="i">1423</v>
    <v t="i">1424</v>
    <v t="i">1426</v>
    <v t="i">1429</v>
    <v t="i">1430</v>
    <v t="i">1431</v>
    <v t="i">1432</v>
    <v t="i">1433</v>
    <v t="i">1436</v>
    <v t="i">1437</v>
    <v t="i">1438</v>
    <v t="i">1439</v>
    <v t="i">1440</v>
    <v t="i">1443</v>
    <v t="i">1444</v>
    <v t="i">1445</v>
    <v t="i">1446</v>
    <v t="i">1447</v>
    <v t="i">1450</v>
    <v t="i">1451</v>
    <v t="i">1452</v>
    <v t="i">1453</v>
    <v t="i">1457</v>
    <v t="i">1458</v>
    <v t="i">1459</v>
    <v t="i">1460</v>
    <v t="i">1464</v>
    <v t="i">1465</v>
    <v t="i">1466</v>
    <v t="i">1467</v>
    <v t="i">1468</v>
    <v t="i">1471</v>
    <v t="i">1472</v>
    <v t="i">1473</v>
    <v t="i">1474</v>
    <v t="i">1475</v>
    <v t="i">1479</v>
    <v t="i">1480</v>
    <v t="i">1481</v>
    <v t="i">1482</v>
    <v t="i">1485</v>
    <v t="i">1486</v>
    <v t="i">1487</v>
    <v t="i">1488</v>
    <v t="i">1489</v>
    <v t="i">1492</v>
    <v t="i">1493</v>
    <v t="i">1494</v>
    <v t="i">1495</v>
    <v t="i">1496</v>
    <v t="i">1499</v>
    <v t="i">1500</v>
    <v t="i">1501</v>
    <v t="i">1502</v>
    <v t="i">1503</v>
    <v t="i">1507</v>
    <v t="i">1508</v>
    <v t="i">1509</v>
    <v t="i">1510</v>
    <v t="i">1513</v>
    <v t="i">1514</v>
    <v t="i">1515</v>
    <v t="i">1516</v>
    <v t="i">1517</v>
    <v t="i">1520</v>
    <v t="i">1521</v>
    <v t="i">1522</v>
    <v t="i">1523</v>
    <v t="i">1524</v>
    <v t="i">1527</v>
    <v t="i">1528</v>
    <v t="i">1529</v>
    <v t="i">1530</v>
    <v t="i">1531</v>
    <v t="i">1534</v>
    <v t="i">1535</v>
    <v t="i">1536</v>
    <v t="i">1537</v>
    <v t="i">1538</v>
    <v t="i">1541</v>
    <v t="i">1542</v>
    <v t="i">1543</v>
    <v t="i">1544</v>
    <v t="i">1545</v>
    <v t="i">1548</v>
    <v t="i">1549</v>
    <v t="i">1550</v>
    <v t="i">1551</v>
    <v t="i">1555</v>
    <v t="i">1556</v>
    <v t="i">1557</v>
    <v t="i">1558</v>
    <v t="i">1559</v>
    <v t="i">1562</v>
    <v t="i">1563</v>
    <v t="i">1564</v>
    <v t="i">1565</v>
    <v t="i">1566</v>
    <v t="i">1569</v>
    <v t="i">1570</v>
    <v t="i">1571</v>
    <v t="i">1572</v>
    <v t="i">1573</v>
    <v t="i">1576</v>
    <v t="i">1577</v>
    <v t="i">1578</v>
    <v t="i">1579</v>
    <v t="i">1580</v>
    <v t="i">1583</v>
    <v t="i">1584</v>
    <v t="i">1585</v>
    <v t="i">1586</v>
    <v t="i">1587</v>
    <v t="i">1590</v>
    <v t="i">1591</v>
    <v t="i">1592</v>
    <v t="i">1593</v>
    <v t="i">1594</v>
    <v t="i">1597</v>
    <v t="i">1598</v>
    <v t="i">1599</v>
    <v t="i">1600</v>
    <v t="i">1601</v>
    <v t="i">1604</v>
    <v t="i">1605</v>
    <v t="i">1606</v>
    <v t="i">1607</v>
    <v t="i">1608</v>
    <v t="i">1612</v>
    <v t="i">1613</v>
    <v t="i">1614</v>
    <v t="i">1615</v>
    <v t="i">1618</v>
    <v t="i">1619</v>
    <v t="i">1620</v>
    <v t="i">1621</v>
    <v t="i">1622</v>
    <v t="i">1625</v>
    <v t="i">1626</v>
    <v t="i">1627</v>
    <v t="i">1628</v>
    <v t="i">1629</v>
    <v t="i">1632</v>
    <v t="i">1633</v>
    <v t="i">1634</v>
    <v t="i">1635</v>
    <v t="i">1636</v>
    <v t="i">1639</v>
    <v t="i">1640</v>
    <v t="i">1641</v>
    <v t="i">1642</v>
    <v t="i">1643</v>
    <v t="i">1647</v>
    <v t="i">1648</v>
    <v t="i">1649</v>
    <v t="i">1650</v>
    <v t="i">1653</v>
    <v t="i">1654</v>
    <v t="i">1655</v>
    <v t="i">1656</v>
    <v t="i">1657</v>
    <v t="i">1660</v>
    <v t="i">1661</v>
    <v t="i">1662</v>
    <v t="i">1663</v>
    <v t="i">1664</v>
    <v t="i">1667</v>
    <v t="i">1668</v>
    <v t="i">1669</v>
    <v t="i">1670</v>
    <v t="i">1671</v>
    <v t="i">1674</v>
    <v t="i">1675</v>
    <v t="i">1676</v>
    <v t="i">1677</v>
    <v t="i">1678</v>
    <v t="i">1681</v>
    <v t="i">1682</v>
    <v t="i">1683</v>
    <v t="i">1684</v>
    <v t="i">1685</v>
    <v t="i">1688</v>
    <v t="i">1689</v>
    <v t="i">1690</v>
    <v t="i">1691</v>
    <v t="i">1692</v>
    <v t="i">1695</v>
    <v t="i">1696</v>
    <v t="i">1697</v>
    <v t="i">1698</v>
    <v t="i">1699</v>
    <v t="i">1702</v>
    <v t="i">1703</v>
    <v t="i">1704</v>
    <v t="i">1705</v>
    <v t="i">1706</v>
    <v t="i">1710</v>
    <v t="i">1711</v>
    <v t="i">1712</v>
    <v t="i">1713</v>
    <v t="i">1716</v>
    <v t="i">1717</v>
    <v t="i">1718</v>
    <v t="i">1719</v>
    <v t="i">1720</v>
    <v t="i">1723</v>
    <v t="i">1724</v>
    <v t="i">1725</v>
    <v t="i">1726</v>
    <v t="i">1727</v>
    <v t="i">1730</v>
    <v t="i">1731</v>
    <v t="i">1732</v>
    <v t="i">1733</v>
    <v t="i">1734</v>
    <v t="i">1737</v>
    <v t="i">1738</v>
    <v t="i">1739</v>
    <v t="i">1740</v>
    <v t="i">1741</v>
    <v t="i">1744</v>
    <v t="i">1745</v>
    <v t="i">1746</v>
    <v t="i">1747</v>
    <v t="i">1748</v>
    <v t="i">1751</v>
    <v t="i">1752</v>
    <v t="i">1753</v>
    <v t="i">1754</v>
    <v t="i">1755</v>
    <v t="i">1758</v>
    <v t="i">1759</v>
    <v t="i">1760</v>
    <v t="i">1761</v>
    <v t="i">1762</v>
    <v t="i">1765</v>
    <v t="i">1766</v>
    <v t="i">1767</v>
    <v t="i">1768</v>
    <v t="i">1769</v>
    <v t="i">1772</v>
    <v t="i">1773</v>
    <v t="i">1774</v>
    <v t="i">1775</v>
    <v t="i">1776</v>
    <v t="i">1779</v>
    <v t="i">1780</v>
    <v t="i">1781</v>
    <v t="i">1782</v>
    <v t="i">1783</v>
    <v t="i">1786</v>
    <v t="i">1787</v>
    <v t="i">1788</v>
    <v t="i">1790</v>
    <v t="i">1793</v>
    <v t="i">1794</v>
    <v t="i">1795</v>
    <v t="i">1796</v>
    <v t="i">1797</v>
    <v t="i">1800</v>
    <v t="i">1801</v>
    <v t="i">1802</v>
    <v t="i">1803</v>
    <v t="i">1804</v>
    <v t="i">1807</v>
    <v t="i">1808</v>
    <v t="i">1809</v>
    <v t="i">1810</v>
    <v t="i">1811</v>
    <v t="i">1814</v>
    <v t="i">1815</v>
    <v t="i">1816</v>
    <v t="i">1817</v>
    <v t="i">1821</v>
    <v t="i">1822</v>
    <v t="i">1823</v>
    <v t="i">1824</v>
    <v t="i">1825</v>
    <v t="i">1828</v>
    <v t="i">1829</v>
    <v t="i">1830</v>
    <v t="i">1831</v>
    <v t="i">1832</v>
    <v t="i">1835</v>
    <v t="i">1836</v>
    <v t="i">1837</v>
    <v t="i">1838</v>
    <v t="i">1839</v>
    <v t="i">1843</v>
    <v t="i">1844</v>
    <v t="i">1845</v>
    <v t="i">1846</v>
    <v t="i">1849</v>
    <v t="i">1850</v>
    <v t="i">1851</v>
    <v t="i">1852</v>
    <v t="i">1853</v>
    <v t="i">1856</v>
    <v t="i">1857</v>
    <v t="i">1858</v>
    <v t="i">1859</v>
    <v t="i">1860</v>
    <v t="i">1863</v>
    <v t="i">1864</v>
    <v t="i">1865</v>
    <v t="i">1866</v>
    <v t="i">1867</v>
    <v t="i">1870</v>
    <v t="i">1871</v>
    <v t="i">1872</v>
    <v t="i">1873</v>
    <v t="i">1874</v>
    <v t="i">1878</v>
    <v t="i">1879</v>
    <v t="i">1880</v>
    <v t="i">1881</v>
    <v t="i">1884</v>
    <v t="i">1885</v>
    <v t="i">1886</v>
    <v t="i">1887</v>
    <v t="i">1888</v>
    <v t="i">1891</v>
    <v t="i">1892</v>
    <v t="i">1893</v>
    <v t="i">1894</v>
    <v t="i">1895</v>
    <v t="i">1898</v>
    <v t="i">1899</v>
    <v t="i">1900</v>
    <v t="i">1901</v>
    <v t="i">1902</v>
    <v t="i">1905</v>
    <v t="i">1906</v>
    <v t="i">1907</v>
    <v t="i">1908</v>
    <v t="i">1909</v>
    <v t="i">1912</v>
    <v t="i">1913</v>
    <v t="i">1914</v>
    <v t="i">1915</v>
    <v t="i">1916</v>
    <v t="i">1919</v>
    <v t="i">1920</v>
    <v t="i">1921</v>
    <v t="i">1922</v>
    <v t="i">1923</v>
    <v t="i">1926</v>
    <v t="i">1927</v>
    <v t="i">1928</v>
    <v t="i">1929</v>
    <v t="i">1933</v>
    <v t="i">1934</v>
    <v t="i">1935</v>
    <v t="i">1936</v>
    <v t="i">1937</v>
    <v t="i">1940</v>
    <v t="i">1941</v>
    <v t="i">1942</v>
    <v t="i">1943</v>
    <v t="i">1944</v>
    <v t="i">1947</v>
    <v t="i">1948</v>
    <v t="i">1949</v>
    <v t="i">1950</v>
    <v t="i">1951</v>
    <v t="i">1954</v>
    <v t="i">1955</v>
    <v t="i">1956</v>
    <v t="i">1957</v>
    <v t="i">1958</v>
    <v t="i">1961</v>
    <v t="i">1962</v>
    <v t="i">1963</v>
    <v t="i">1964</v>
    <v t="i">1965</v>
    <v t="i">1968</v>
    <v t="i">1969</v>
    <v t="i">1970</v>
    <v t="i">1971</v>
    <v t="i">1972</v>
    <v t="i">1976</v>
    <v t="i">1977</v>
    <v t="i">1978</v>
    <v t="i">1979</v>
    <v t="i">1982</v>
    <v t="i">1983</v>
    <v t="i">1984</v>
    <v t="i">1985</v>
    <v t="i">1986</v>
    <v t="i">1989</v>
    <v t="i">1990</v>
    <v t="i">1991</v>
    <v t="i">1992</v>
    <v t="i">1993</v>
    <v t="i">1997</v>
    <v t="i">1998</v>
    <v t="i">1999</v>
    <v t="i">2000</v>
    <v t="i">2003</v>
    <v t="i">2004</v>
    <v t="i">2005</v>
    <v t="i">2006</v>
    <v t="i">2007</v>
    <v t="i">2011</v>
    <v t="i">2012</v>
    <v t="i">2013</v>
    <v t="i">2014</v>
    <v t="i">2017</v>
    <v t="i">2018</v>
    <v t="i">2019</v>
    <v t="i">2020</v>
    <v t="i">2021</v>
    <v t="i">2024</v>
    <v t="i">2025</v>
    <v t="i">2026</v>
    <v t="i">2027</v>
    <v t="i">2028</v>
    <v t="i">2031</v>
    <v t="i">2032</v>
    <v t="i">2033</v>
    <v t="i">2034</v>
    <v t="i">2035</v>
    <v t="i">2038</v>
    <v t="i">2039</v>
    <v t="i">2040</v>
    <v t="i">2041</v>
    <v t="i">2042</v>
    <v t="i">2045</v>
    <v t="i">2046</v>
    <v t="i">2047</v>
    <v t="i">2048</v>
    <v t="i">2049</v>
    <v t="i">2052</v>
    <v t="i">2053</v>
    <v t="i">2054</v>
    <v t="i">2055</v>
    <v t="i">2056</v>
    <v t="i">2059</v>
    <v t="i">2060</v>
    <v t="i">2061</v>
    <v t="i">2062</v>
    <v t="i">2063</v>
    <v t="i">2066</v>
    <v t="i">2067</v>
    <v t="i">2068</v>
    <v t="i">2069</v>
    <v t="i">2070</v>
    <v t="i">2074</v>
    <v t="i">2075</v>
    <v t="i">2076</v>
    <v t="i">2077</v>
    <v t="i">2080</v>
    <v t="i">2081</v>
    <v t="i">2082</v>
    <v t="i">2083</v>
    <v t="i">2084</v>
    <v t="i">2087</v>
    <v t="i">2088</v>
    <v t="i">2089</v>
    <v t="i">2090</v>
    <v t="i">2091</v>
    <v t="i">2094</v>
    <v t="i">2095</v>
    <v t="i">2096</v>
    <v t="i">2097</v>
    <v t="i">2098</v>
    <v t="i">2101</v>
    <v t="i">2102</v>
    <v t="i">2103</v>
    <v t="i">2104</v>
    <v t="i">2105</v>
    <v t="i">2108</v>
    <v t="i">2109</v>
    <v t="i">2110</v>
    <v t="i">2111</v>
    <v t="i">2112</v>
    <v t="i">2115</v>
    <v t="i">2116</v>
    <v t="i">2117</v>
    <v t="i">2118</v>
    <v t="i">2119</v>
    <v t="i">2122</v>
    <v t="i">2123</v>
    <v t="i">2124</v>
    <v t="i">2125</v>
    <v t="i">2126</v>
    <v t="i">2129</v>
    <v t="i">2130</v>
    <v t="i">2131</v>
    <v t="i">2132</v>
    <v t="i">2133</v>
    <v t="i">2136</v>
    <v t="i">2137</v>
    <v t="i">2138</v>
    <v t="i">2139</v>
    <v t="i">2140</v>
    <v t="i">2143</v>
    <v t="i">2144</v>
    <v t="i">2145</v>
    <v t="i">2146</v>
    <v t="i">2147</v>
    <v t="i">2150</v>
    <v t="i">2151</v>
    <v t="i">2152</v>
    <v t="i">2154</v>
    <v t="i">2157</v>
    <v t="i">2158</v>
    <v t="i">2159</v>
    <v t="i">2160</v>
    <v t="i">2161</v>
    <v t="i">2164</v>
    <v t="i">2165</v>
    <v t="i">2166</v>
    <v t="i">2167</v>
    <v t="i">2168</v>
    <v t="i">2171</v>
    <v t="i">2172</v>
    <v t="i">2173</v>
    <v t="i">2174</v>
    <v t="i">2175</v>
    <v t="i">2178</v>
    <v t="i">2179</v>
    <v t="i">2180</v>
    <v t="i">2181</v>
    <v t="i">2182</v>
    <v t="i">2186</v>
    <v t="i">2187</v>
    <v t="i">2188</v>
    <v t="i">2189</v>
  </a>
  <a r="1" c="1510">
    <v>37.875</v>
    <v>38.450000000000003</v>
    <v>38.43</v>
    <v>38.6</v>
    <v>37.99</v>
    <v>37.81</v>
    <v>38.354999999999997</v>
    <v>38.524999999999999</v>
    <v>38.085000000000001</v>
    <v>38.244999999999997</v>
    <v>38.49</v>
    <v>37.805</v>
    <v>37.49</v>
    <v>37.69</v>
    <v>38.229999999999997</v>
    <v>38.375</v>
    <v>38.18</v>
    <v>38.47</v>
    <v>38.24</v>
    <v>38.130000000000003</v>
    <v>38.265000000000001</v>
    <v>36.659999999999997</v>
    <v>36.92</v>
    <v>36.47</v>
    <v>36.31</v>
    <v>37.229999999999997</v>
    <v>37.04</v>
    <v>37.164999999999999</v>
    <v>36.924999999999997</v>
    <v>36.869999999999997</v>
    <v>36.56</v>
    <v>36.49</v>
    <v>36.634999999999998</v>
    <v>36.85</v>
    <v>36.72</v>
    <v>37.015000000000001</v>
    <v>36.534999999999997</v>
    <v>36.75</v>
    <v>36.765000000000001</v>
    <v>37.5</v>
    <v>36.634999999999998</v>
    <v>36.905000000000001</v>
    <v>36.365000000000002</v>
    <v>36.14</v>
    <v>36.340000000000003</v>
    <v>36.674999999999997</v>
    <v>36.869999999999997</v>
    <v>37.159999999999997</v>
    <v>37.024999999999999</v>
    <v>37.47</v>
    <v>37.375</v>
    <v>37.56</v>
    <v>37.655000000000001</v>
    <v>36.99</v>
    <v>37.18</v>
    <v>37.155000000000001</v>
    <v>36.865000000000002</v>
    <v>36.865000000000002</v>
    <v>37</v>
    <v>36.784999999999997</v>
    <v>36.81</v>
    <v>37.130000000000003</v>
    <v>36.674999999999997</v>
    <v>36.695</v>
    <v>36.325000000000003</v>
    <v>36.200000000000003</v>
    <v>36.115000000000002</v>
    <v>36.11</v>
    <v>36.125</v>
    <v>35.869999999999997</v>
    <v>35.765000000000001</v>
    <v>36.15</v>
    <v>36.14</v>
    <v>36.4</v>
    <v>36.634999999999998</v>
    <v>36.840000000000003</v>
    <v>37.195</v>
    <v>37.57</v>
    <v>37.585000000000001</v>
    <v>38.674999999999997</v>
    <v>38.445</v>
    <v>38.46</v>
    <v>38.4</v>
    <v>38.11</v>
    <v>40.244999999999997</v>
    <v>40.020000000000003</v>
    <v>39.805</v>
    <v>39.82</v>
    <v>40.094999999999999</v>
    <v>40</v>
    <v>40.18</v>
    <v>40.39</v>
    <v>40.405000000000001</v>
    <v>39.979999999999997</v>
    <v>39.75</v>
    <v>40.04</v>
    <v>40.18</v>
    <v>40.130000000000003</v>
    <v>40.32</v>
    <v>40.72</v>
    <v>40.69</v>
    <v>40.83</v>
    <v>40.9</v>
    <v>41.42</v>
    <v>41.36</v>
    <v>41.2</v>
    <v>40.99</v>
    <v>40.729999999999997</v>
    <v>40.51</v>
    <v>40.28</v>
    <v>40.43</v>
    <v>41.21</v>
    <v>41.28</v>
    <v>41.15</v>
    <v>41.16</v>
    <v>41.89</v>
    <v>41.79</v>
    <v>41.78</v>
    <v>41.67</v>
    <v>42.07</v>
    <v>42.29</v>
    <v>42.09</v>
    <v>42.52</v>
    <v>42.03</v>
    <v>42.21</v>
    <v>42.47</v>
    <v>42.58</v>
    <v>42.02</v>
    <v>42.3</v>
    <v>42.16</v>
    <v>41.66</v>
    <v>41.96</v>
    <v>41.72</v>
    <v>42.1</v>
    <v>42.43</v>
    <v>42.42</v>
    <v>42.53</v>
    <v>42.42</v>
    <v>42.92</v>
    <v>42.68</v>
    <v>42.51</v>
    <v>42.41</v>
    <v>42.29</v>
    <v>41.89</v>
    <v>41.9</v>
    <v>41.99</v>
    <v>41.88</v>
    <v>40.61</v>
    <v>40.56</v>
    <v>41.17</v>
    <v>41.09</v>
    <v>40.28</v>
    <v>40.049999999999997</v>
    <v>40.159999999999997</v>
    <v>40.64</v>
    <v>40.32</v>
    <v>40.82</v>
    <v>40.270000000000003</v>
    <v>40.119999999999997</v>
    <v>39.590000000000003</v>
    <v>39.76</v>
    <v>39.39</v>
    <v>39.21</v>
    <v>39.299999999999997</v>
    <v>39.08</v>
    <v>39.06</v>
    <v>39.51</v>
    <v>39.99</v>
    <v>40.15</v>
    <v>39.99</v>
    <v>40</v>
    <v>40.26</v>
    <v>40.28</v>
    <v>40.94</v>
    <v>40.72</v>
    <v>40.36</v>
    <v>40.409999999999997</v>
    <v>40.53</v>
    <v>40.78</v>
    <v>40.61</v>
    <v>40.78</v>
    <v>40.799999999999997</v>
    <v>41</v>
    <v>40.81</v>
    <v>40.97</v>
    <v>40.99</v>
    <v>41.42</v>
    <v>41.3</v>
    <v>41.36</v>
    <v>41.58</v>
    <v>41.76</v>
    <v>42.03</v>
    <v>42.02</v>
    <v>42.06</v>
    <v>42.5</v>
    <v>42.3</v>
    <v>42.25</v>
    <v>42.35</v>
    <v>42.19</v>
    <v>41.98</v>
    <v>42.11</v>
    <v>41.94</v>
    <v>42.3</v>
    <v>42.91</v>
    <v>42.92</v>
    <v>42.45</v>
    <v>42.73</v>
    <v>42.77</v>
    <v>42.64</v>
    <v>42.93</v>
    <v>42.7</v>
    <v>41.8</v>
    <v>41.75</v>
    <v>41.45</v>
    <v>41.05</v>
    <v>40.74</v>
    <v>40.32</v>
    <v>39.979999999999997</v>
    <v>40.31</v>
    <v>39.99</v>
    <v>39.380000000000003</v>
    <v>40.520000000000003</v>
    <v>39.979999999999997</v>
    <v>39.74</v>
    <v>39.6</v>
    <v>39.520000000000003</v>
    <v>39.94</v>
    <v>40.04</v>
    <v>39.58</v>
    <v>39.56</v>
    <v>39.909999999999997</v>
    <v>39.74</v>
    <v>40.65</v>
    <v>40.79</v>
    <v>40.799999999999997</v>
    <v>40.81</v>
    <v>39.6</v>
    <v>39.6</v>
    <v>38.89</v>
    <v>38.64</v>
    <v>38.29</v>
    <v>39.4</v>
    <v>38.53</v>
    <v>38.26</v>
    <v>37.99</v>
    <v>37.630000000000003</v>
    <v>37.97</v>
    <v>37.6</v>
    <v>37.56</v>
    <v>37.92</v>
    <v>37.85</v>
    <v>38.630000000000003</v>
    <v>38.53</v>
    <v>38.35</v>
    <v>38.590000000000003</v>
    <v>38.619999999999997</v>
    <v>38.5</v>
    <v>37.85</v>
    <v>38.380000000000003</v>
    <v>37.9</v>
    <v>38.39</v>
    <v>39.04</v>
    <v>38.79</v>
    <v>38.72</v>
    <v>37.76</v>
    <v>38.4</v>
    <v>38.840000000000003</v>
    <v>39.21</v>
    <v>38.119999999999997</v>
    <v>37.630000000000003</v>
    <v>37.57</v>
    <v>38.28</v>
    <v>38.35</v>
    <v>37.46</v>
    <v>36.51</v>
    <v>36.93</v>
    <v>39.33</v>
    <v>38.44</v>
    <v>37.869999999999997</v>
    <v>37.53</v>
    <v>37.76</v>
    <v>38.119999999999997</v>
    <v>39.119999999999997</v>
    <v>39.619999999999997</v>
    <v>39.21</v>
    <v>39.14</v>
    <v>39.549999999999997</v>
    <v>39.729999999999997</v>
    <v>40.08</v>
    <v>40.01</v>
    <v>39.950000000000003</v>
    <v>39.5</v>
    <v>39.4</v>
    <v>39.93</v>
    <v>40.56</v>
    <v>40.74</v>
    <v>41.02</v>
    <v>41.81</v>
    <v>41.65</v>
    <v>41.62</v>
    <v>40.94</v>
    <v>40.97</v>
    <v>40.6</v>
    <v>40.229999999999997</v>
    <v>39.89</v>
    <v>39.82</v>
    <v>39.14</v>
    <v>38.770000000000003</v>
    <v>39.31</v>
    <v>39.19</v>
    <v>39.19</v>
    <v>39.71</v>
    <v>38.89</v>
    <v>39.659999999999997</v>
    <v>40.090000000000003</v>
    <v>40.28</v>
    <v>39.26</v>
    <v>39.299999999999997</v>
    <v>40.14</v>
    <v>40.25</v>
    <v>40.51</v>
    <v>40.64</v>
    <v>40.76</v>
    <v>41.41</v>
    <v>41.25</v>
    <v>40.92</v>
    <v>40.67</v>
    <v>40.49</v>
    <v>40.159999999999997</v>
    <v>40.22</v>
    <v>40.43</v>
    <v>40.549999999999997</v>
    <v>40.090000000000003</v>
    <v>39.26</v>
    <v>38.5</v>
    <v>37.92</v>
    <v>38.54</v>
    <v>38.22</v>
    <v>38.07</v>
    <v>38.590000000000003</v>
    <v>38.81</v>
    <v>38.549999999999997</v>
    <v>38.36</v>
    <v>37.74</v>
    <v>38.15</v>
    <v>37.99</v>
    <v>37.96</v>
    <v>38.020000000000003</v>
    <v>38.36</v>
    <v>38.35</v>
    <v>38.35</v>
    <v>38.369999999999997</v>
    <v>37.590000000000003</v>
    <v>37.67</v>
    <v>36.950000000000003</v>
    <v>36.76</v>
    <v>36.81</v>
    <v>36.65</v>
    <v>36.729999999999997</v>
    <v>37.33</v>
    <v>37.6</v>
    <v>37.81</v>
    <v>37.82</v>
    <v>37.11</v>
    <v>36.880000000000003</v>
    <v>36.65</v>
    <v>36.74</v>
    <v>35.97</v>
    <v>35.72</v>
    <v>35.28</v>
    <v>35.909999999999997</v>
    <v>35.92</v>
    <v>35.74</v>
    <v>35.26</v>
    <v>35.25</v>
    <v>35.549999999999997</v>
    <v>35.76</v>
    <v>36.11</v>
    <v>36.450000000000003</v>
    <v>36.869999999999997</v>
    <v>37.06</v>
    <v>37.65</v>
    <v>37.76</v>
    <v>37.869999999999997</v>
    <v>37.619999999999997</v>
    <v>37.409999999999997</v>
    <v>38.25</v>
    <v>38.08</v>
    <v>38.270000000000003</v>
    <v>37.590000000000003</v>
    <v>37.880000000000003</v>
    <v>38.130000000000003</v>
    <v>38.119999999999997</v>
    <v>38.549999999999997</v>
    <v>38.770000000000003</v>
    <v>38.58</v>
    <v>38.97</v>
    <v>39.33</v>
    <v>40.53</v>
    <v>41.42</v>
    <v>41.45</v>
    <v>41.74</v>
    <v>41.46</v>
    <v>41.25</v>
    <v>40.32</v>
    <v>39.65</v>
    <v>39.700000000000003</v>
    <v>40.11</v>
    <v>40.299999999999997</v>
    <v>40.659999999999997</v>
    <v>40.92</v>
    <v>41.07</v>
    <v>40.659999999999997</v>
    <v>40.68</v>
    <v>41.09</v>
    <v>41.85</v>
    <v>41.67</v>
    <v>41.84</v>
    <v>41.84</v>
    <v>41.88</v>
    <v>41.42</v>
    <v>41.95</v>
    <v>42.14</v>
    <v>42.42</v>
    <v>43.18</v>
    <v>42.79</v>
    <v>43.2</v>
    <v>43.81</v>
    <v>44.14</v>
    <v>44.14</v>
    <v>44.92</v>
    <v>44.23</v>
    <v>44.39</v>
    <v>44.57</v>
    <v>44.86</v>
    <v>44.22</v>
    <v>44.3</v>
    <v>44.14</v>
    <v>43.99</v>
    <v>43.88</v>
    <v>44.45</v>
    <v>45.32</v>
    <v>45.81</v>
    <v>45.93</v>
    <v>46.35</v>
    <v>45.72</v>
    <v>43.86</v>
    <v>43.51</v>
    <v>44.16</v>
    <v>44.6</v>
    <v>46.1</v>
    <v>46.2</v>
    <v>46.2</v>
    <v>45.93</v>
    <v>45.13</v>
    <v>45.11</v>
    <v>43.65</v>
    <v>43.32</v>
    <v>43.39</v>
    <v>43.87</v>
    <v>44.97</v>
    <v>44.8</v>
    <v>47.62</v>
    <v>47.36</v>
    <v>47.41</v>
    <v>47.86</v>
    <v>48.84</v>
    <v>48.72</v>
    <v>48.68</v>
    <v>48.29</v>
    <v>49.1</v>
    <v>49.06</v>
    <v>50.38</v>
    <v>50.5</v>
    <v>49.51</v>
    <v>49.05</v>
    <v>49.31</v>
    <v>48.87</v>
    <v>49.1</v>
    <v>48.66</v>
    <v>49.59</v>
    <v>49.57</v>
    <v>49.11</v>
    <v>49.79</v>
    <v>49.03</v>
    <v>48.72</v>
    <v>48.39</v>
    <v>48.3</v>
    <v>47.83</v>
    <v>48.19</v>
    <v>48.53</v>
    <v>48.01</v>
    <v>46.65</v>
    <v>46.78</v>
    <v>45.87</v>
    <v>44.14</v>
    <v>43.62</v>
    <v>42.35</v>
    <v>43.49</v>
    <v>44.45</v>
    <v>44.8</v>
    <v>45.98</v>
    <v>44.67</v>
    <v>44.26</v>
    <v>45.59</v>
    <v>46.44</v>
    <v>46.91</v>
    <v>47.09</v>
    <v>47.65</v>
    <v>48.12</v>
    <v>48.47</v>
    <v>49.3</v>
    <v>48.44</v>
    <v>49.5</v>
    <v>50.26</v>
    <v>50.72</v>
    <v>50.78</v>
    <v>50.86</v>
    <v>51.75</v>
    <v>50.79</v>
    <v>51.32</v>
    <v>51.18</v>
    <v>52.28</v>
    <v>52.03</v>
    <v>51.98</v>
    <v>53</v>
    <v>53.21</v>
    <v>53.26</v>
    <v>53.9</v>
    <v>53.85</v>
    <v>54.9</v>
    <v>55.2</v>
    <v>54.95</v>
    <v>54.13</v>
    <v>54.06</v>
    <v>54.4</v>
    <v>54.48</v>
    <v>55.26</v>
    <v>54.88</v>
    <v>54.67</v>
    <v>55.5</v>
    <v>54.78</v>
    <v>55.21</v>
    <v>55.25</v>
    <v>55.96</v>
    <v>55.42</v>
    <v>54.68</v>
    <v>55.01</v>
    <v>55.6</v>
    <v>56.63</v>
    <v>57.11</v>
    <v>57.27</v>
    <v>57.5</v>
    <v>57.88</v>
    <v>58.06</v>
    <v>58.12</v>
    <v>58.84</v>
    <v>57.94</v>
    <v>58.11</v>
    <v>58.25</v>
    <v>58.19</v>
    <v>57.94</v>
    <v>57.86</v>
    <v>58.4</v>
    <v>57.98</v>
    <v>58.02</v>
    <v>58</v>
    <v>58.11</v>
    <v>58.2</v>
    <v>57.64</v>
    <v>58.25</v>
    <v>58.62</v>
    <v>58.03</v>
    <v>58.34</v>
    <v>57.56</v>
    <v>57.05</v>
    <v>58.51</v>
    <v>58.71</v>
    <v>59.5</v>
    <v>58.9</v>
    <v>58.96</v>
    <v>59.7</v>
    <v>59.63</v>
    <v>59.94</v>
    <v>58.67</v>
    <v>60</v>
    <v>61.54</v>
    <v>61.95</v>
    <v>61.97</v>
    <v>61.95</v>
    <v>62.37</v>
    <v>64.31</v>
    <v>64.41</v>
    <v>63.44</v>
    <v>62.51</v>
    <v>62.57</v>
    <v>62.57</v>
    <v>62.04</v>
    <v>62.4</v>
    <v>61.5</v>
    <v>61.05</v>
    <v>61.35</v>
    <v>61.2</v>
    <v>60.5</v>
    <v>61.04</v>
    <v>61.39</v>
    <v>62.05</v>
    <v>63.09</v>
    <v>64.45</v>
    <v>65.66</v>
    <v>65.900000000000006</v>
    <v>66.319999999999993</v>
    <v>66.44</v>
    <v>66.599999999999994</v>
    <v>64.92</v>
    <v>65.41</v>
    <v>65.319999999999993</v>
    <v>66.45</v>
    <v>66.66</v>
    <v>67.25</v>
    <v>67.08</v>
    <v>67.180000000000007</v>
    <v>68.06</v>
    <v>67.75</v>
    <v>68.099999999999994</v>
    <v>69.989999999999995</v>
    <v>70.260000000000005</v>
    <v>71.56</v>
    <v>72.25</v>
    <v>71.77</v>
    <v>70.599999999999994</v>
    <v>70.92</v>
    <v>70.430000000000007</v>
    <v>71.150000000000006</v>
    <v>70</v>
    <v>69.290000000000006</v>
    <v>69.069999999999993</v>
    <v>68.510000000000005</v>
    <v>70.900000000000006</v>
    <v>70.7</v>
    <v>71.11</v>
    <v>71.78</v>
    <v>72.03</v>
    <v>71.290000000000006</v>
    <v>72.14</v>
    <v>72.28</v>
    <v>72.78</v>
    <v>71.48</v>
    <v>74.739999999999995</v>
    <v>74.73</v>
    <v>73.25</v>
    <v>73.95</v>
    <v>75.290000000000006</v>
    <v>76.08</v>
    <v>77.459999999999994</v>
    <v>76.84</v>
    <v>79.290000000000006</v>
    <v>76.849999999999994</v>
    <v>78</v>
    <v>79.63</v>
    <v>79.739999999999995</v>
    <v>79.19</v>
    <v>79.73</v>
    <v>79.760000000000005</v>
    <v>78.2</v>
    <v>78.760000000000005</v>
    <v>79.02</v>
    <v>79.27</v>
    <v>80.430000000000007</v>
    <v>80.41</v>
    <v>79.930000000000007</v>
    <v>80.78</v>
    <v>78.709999999999994</v>
    <v>78.3</v>
    <v>75.069999999999993</v>
    <v>71.89</v>
    <v>71.88</v>
    <v>73.36</v>
    <v>72.73</v>
    <v>72.2</v>
    <v>75</v>
    <v>74.510000000000005</v>
    <v>74.28</v>
    <v>73.84</v>
    <v>74.48</v>
    <v>74.72</v>
    <v>73.5</v>
    <v>74.47</v>
    <v>72.790000000000006</v>
    <v>72.81</v>
    <v>72.11</v>
    <v>70.819999999999993</v>
    <v>71.64</v>
    <v>72.73</v>
    <v>72.45</v>
    <v>71.41</v>
    <v>72.27</v>
    <v>72.84</v>
    <v>72.61</v>
    <v>72.92</v>
    <v>72.16</v>
    <v>72.58</v>
    <v>73.87</v>
    <v>74.11</v>
    <v>72.290000000000006</v>
    <v>70.849999999999994</v>
    <v>71.08</v>
    <v>71.8</v>
    <v>71.91</v>
    <v>71.34</v>
    <v>72.739999999999995</v>
    <v>73.959999999999994</v>
    <v>69.97</v>
    <v>68.36</v>
    <v>66.55</v>
    <v>64.709999999999994</v>
    <v>66.66</v>
    <v>65.069999999999993</v>
    <v>64.650000000000006</v>
    <v>64.540000000000006</v>
    <v>64.37</v>
    <v>65.13</v>
    <v>65.739999999999995</v>
    <v>65.599999999999994</v>
    <v>67.59</v>
    <v>67.25</v>
    <v>67.44</v>
    <v>66.16</v>
    <v>65.73</v>
    <v>64.97</v>
    <v>66.7</v>
    <v>66.55</v>
    <v>66.06</v>
    <v>65.790000000000006</v>
    <v>66.44</v>
    <v>65.75</v>
    <v>66.14</v>
    <v>63.55</v>
    <v>64.13</v>
    <v>63.91</v>
    <v>63.87</v>
    <v>63.41</v>
    <v>63.34</v>
    <v>63.97</v>
    <v>64.19</v>
    <v>64.400000000000006</v>
    <v>63.72</v>
    <v>65.180000000000007</v>
    <v>65.25</v>
    <v>65.23</v>
    <v>64.91</v>
    <v>64.69</v>
    <v>64.44</v>
    <v>64.67</v>
    <v>63.88</v>
    <v>64.77</v>
    <v>64.17</v>
    <v>63.92</v>
    <v>64.47</v>
    <v>66.72</v>
    <v>66.27</v>
    <v>67.5</v>
    <v>66.55</v>
    <v>68.209999999999994</v>
    <v>69.180000000000007</v>
    <v>69.239999999999995</v>
    <v>69.260000000000005</v>
    <v>71.849999999999994</v>
    <v>71.87</v>
    <v>71.930000000000007</v>
    <v>73.959999999999994</v>
    <v>72.67</v>
    <v>72.59</v>
    <v>73.099999999999994</v>
    <v>72.180000000000007</v>
    <v>74.150000000000006</v>
    <v>75.010000000000005</v>
    <v>76.63</v>
    <v>78</v>
    <v>76.92</v>
    <v>76.72</v>
    <v>77.64</v>
    <v>76.53</v>
    <v>77.17</v>
    <v>77.22</v>
    <v>78.040000000000006</v>
    <v>77.010000000000005</v>
    <v>76.599999999999994</v>
    <v>76.86</v>
    <v>76.37</v>
    <v>74.53</v>
    <v>75.67</v>
    <v>72.010000000000005</v>
    <v>70.459999999999994</v>
    <v>75.17</v>
    <v>76.150000000000006</v>
    <v>78.56</v>
    <v>77.03</v>
    <v>76.05</v>
    <v>72.510000000000005</v>
    <v>72.959999999999994</v>
    <v>69.760000000000005</v>
    <v>63.18</v>
    <v>63.84</v>
    <v>58.43</v>
    <v>64.63</v>
    <v>64.45</v>
    <v>60.11</v>
    <v>54.89</v>
    <v>51.94</v>
    <v>58.22</v>
    <v>56.02</v>
    <v>62.56</v>
    <v>64.38</v>
    <v>65.989999999999995</v>
    <v>64.66</v>
    <v>64.17</v>
    <v>64.56</v>
    <v>62.17</v>
    <v>65.62</v>
    <v>65.86</v>
    <v>67.59</v>
    <v>69.94</v>
    <v>67.319999999999993</v>
    <v>67.959999999999994</v>
    <v>67.64</v>
    <v>67.8</v>
    <v>70.2</v>
    <v>68.540000000000006</v>
    <v>65.540000000000006</v>
    <v>66.62</v>
    <v>64.900000000000006</v>
    <v>65.27</v>
    <v>67.569999999999993</v>
    <v>67.010000000000005</v>
    <v>66.81</v>
    <v>65.59</v>
    <v>65.61</v>
    <v>66.150000000000006</v>
    <v>66.260000000000005</v>
    <v>65.72</v>
    <v>65.89</v>
    <v>64.56</v>
    <v>63.37</v>
    <v>61.93</v>
    <v>61.17</v>
    <v>62.04</v>
    <v>62.23</v>
    <v>64.349999999999994</v>
    <v>64.28</v>
    <v>64.19</v>
    <v>64.040000000000006</v>
    <v>64.510000000000005</v>
    <v>66.540000000000006</v>
    <v>68.599999999999994</v>
    <v>70.55</v>
    <v>71.260000000000005</v>
    <v>71.17</v>
    <v>71.98</v>
    <v>73.95</v>
    <v>75.400000000000006</v>
    <v>73.930000000000007</v>
    <v>74.08</v>
    <v>72.44</v>
    <v>72.819999999999993</v>
    <v>67.16</v>
    <v>68.33</v>
    <v>68.2</v>
    <v>70.180000000000007</v>
    <v>69.599999999999994</v>
    <v>70.47</v>
    <v>70.680000000000007</v>
    <v>71.08</v>
    <v>70.569999999999993</v>
    <v>68.98</v>
    <v>69.2</v>
    <v>67.34</v>
    <v>68.39</v>
    <v>69.489999999999995</v>
    <v>70.680000000000007</v>
    <v>71.81</v>
    <v>72.44</v>
    <v>72.680000000000007</v>
    <v>72.14</v>
    <v>71.75</v>
    <v>72.400000000000006</v>
    <v>71.63</v>
    <v>73.61</v>
    <v>69.52</v>
    <v>69.47</v>
    <v>70.290000000000006</v>
    <v>72.760000000000005</v>
    <v>72.680000000000007</v>
    <v>73.180000000000007</v>
    <v>72.989999999999995</v>
    <v>73.16</v>
    <v>74.569999999999993</v>
    <v>74.08</v>
    <v>73.77</v>
    <v>73.45</v>
    <v>73.63</v>
    <v>74.180000000000007</v>
    <v>75.13</v>
    <v>75.040000000000006</v>
    <v>74.44</v>
    <v>75.53</v>
    <v>75.33</v>
    <v>73.95</v>
    <v>74.38</v>
    <v>75.23</v>
    <v>75.5</v>
    <v>76.209999999999994</v>
    <v>76.36</v>
    <v>75.88</v>
    <v>75.760000000000005</v>
    <v>76.62</v>
    <v>77.25</v>
    <v>77.47</v>
    <v>78.92</v>
    <v>79.34</v>
    <v>80.27</v>
    <v>80.37</v>
    <v>81.97</v>
    <v>84.59</v>
    <v>83.24</v>
    <v>82.47</v>
    <v>80.55</v>
    <v>81.62</v>
    <v>81</v>
    <v>81.680000000000007</v>
    <v>83.28</v>
    <v>84.43</v>
    <v>84.67</v>
    <v>84.1</v>
    <v>82.89</v>
    <v>81.03</v>
    <v>81.58</v>
    <v>79.849999999999994</v>
    <v>80.099999999999994</v>
    <v>81.47</v>
    <v>82.24</v>
    <v>82.36</v>
    <v>83.12</v>
    <v>82.6</v>
    <v>82.67</v>
    <v>85.37</v>
    <v>84.31</v>
    <v>86.55</v>
    <v>89</v>
    <v>90.26</v>
    <v>89.68</v>
    <v>90.26</v>
    <v>90.06</v>
    <v>90.81</v>
    <v>91.42</v>
    <v>91.18</v>
    <v>91.39</v>
    <v>92.78</v>
    <v>91.13</v>
    <v>92.72</v>
    <v>91.56</v>
    <v>91.1</v>
    <v>88.73</v>
    <v>89.22</v>
    <v>89</v>
    <v>90.2</v>
    <v>93.75</v>
    <v>94.11</v>
    <v>97.16</v>
    <v>97.46</v>
    <v>92.98</v>
    <v>94.98</v>
    <v>95.81</v>
    <v>94.2</v>
    <v>94.65</v>
    <v>96.76</v>
    <v>97.14</v>
    <v>96.56</v>
    <v>97.91</v>
    <v>97.25</v>
    <v>95.44</v>
    <v>96.11</v>
    <v>96.3</v>
    <v>96.36</v>
    <v>96.01</v>
    <v>96.82</v>
    <v>94</v>
    <v>92.64</v>
    <v>94.16</v>
    <v>95.5</v>
    <v>95.89</v>
    <v>93.36</v>
    <v>93.26</v>
    <v>92.58</v>
    <v>90.3</v>
    <v>92.04</v>
    <v>90.43</v>
    <v>91.98</v>
    <v>92.19</v>
    <v>92.73</v>
    <v>92.49</v>
    <v>91.61</v>
    <v>92.34</v>
    <v>91.37</v>
    <v>92.24</v>
    <v>92.86</v>
    <v>93.18</v>
    <v>89.76</v>
    <v>90.62</v>
    <v>91.67</v>
    <v>90.68</v>
    <v>90.57</v>
    <v>90.56</v>
    <v>90.24</v>
    <v>91.09</v>
    <v>89.93</v>
    <v>90.42</v>
    <v>90.42</v>
    <v>92.26</v>
    <v>91.3</v>
    <v>90.74</v>
    <v>89.86</v>
    <v>88.8</v>
    <v>85.33</v>
    <v>88.26</v>
    <v>88.02</v>
    <v>89.42</v>
    <v>90.51</v>
    <v>90.96</v>
    <v>88.9</v>
    <v>89.39</v>
    <v>89.72</v>
    <v>88.79</v>
    <v>89.91</v>
    <v>88.53</v>
    <v>89.68</v>
    <v>90.18</v>
    <v>89.86</v>
    <v>90.37</v>
    <v>90.48</v>
    <v>88.07</v>
    <v>86.51</v>
    <v>86.26</v>
    <v>86.26</v>
    <v>85.39</v>
    <v>86.5</v>
    <v>86.35</v>
    <v>84.6</v>
    <v>83.5</v>
    <v>82.21</v>
    <v>82.59</v>
    <v>86.26</v>
    <v>85.22</v>
    <v>83.53</v>
    <v>84.64</v>
    <v>85.4</v>
    <v>83.9</v>
    <v>83.52</v>
    <v>82.63</v>
    <v>81.25</v>
    <v>84.32</v>
    <v>85.33</v>
    <v>85.35</v>
    <v>84.05</v>
    <v>84.09</v>
    <v>85.1</v>
    <v>84.53</v>
    <v>84.74</v>
    <v>86.27</v>
    <v>86.87</v>
    <v>87.99</v>
    <v>86.53</v>
    <v>87.63</v>
    <v>89.86</v>
    <v>90.7</v>
    <v>90.76</v>
    <v>89.47</v>
    <v>90.55</v>
    <v>91.01</v>
    <v>90.9</v>
    <v>92.29</v>
    <v>92.9</v>
    <v>92.69</v>
    <v>93.98</v>
    <v>92.9</v>
    <v>92.9</v>
    <v>91.35</v>
    <v>93.38</v>
    <v>93.64</v>
    <v>93.26</v>
    <v>93.65</v>
    <v>92.87</v>
    <v>90.56</v>
    <v>90.7</v>
    <v>89.87</v>
    <v>90.6</v>
    <v>87.83</v>
    <v>88.46</v>
    <v>89.1</v>
    <v>88.63</v>
    <v>87.05</v>
    <v>85.82</v>
    <v>87.28</v>
    <v>86.78</v>
    <v>87.11</v>
    <v>85.87</v>
    <v>82.24</v>
    <v>82.65</v>
    <v>82.16</v>
    <v>82.22</v>
    <v>81.81</v>
    <v>83.37</v>
    <v>82.54</v>
    <v>81.36</v>
    <v>80.59</v>
    <v>80.900000000000006</v>
    <v>80.459999999999994</v>
    <v>81.53</v>
    <v>81.12</v>
    <v>81.41</v>
    <v>80.489999999999995</v>
    <v>79.94</v>
    <v>79.19</v>
    <v>79.959999999999994</v>
    <v>81.680000000000007</v>
    <v>81.489999999999995</v>
    <v>82.03</v>
    <v>82.81</v>
    <v>81.87</v>
    <v>81.63</v>
    <v>81.02</v>
    <v>82.39</v>
    <v>81.83</v>
    <v>82.07</v>
    <v>82.82</v>
    <v>85.29</v>
    <v>84.79</v>
    <v>84.76</v>
    <v>84.31</v>
    <v>84.59</v>
    <v>84.94</v>
    <v>85.75</v>
    <v>83.75</v>
    <v>84.42</v>
    <v>82.7</v>
    <v>81.73</v>
    <v>80</v>
    <v>81.17</v>
    <v>81.12</v>
    <v>81.17</v>
    <v>81.010000000000005</v>
    <v>80.88</v>
    <v>81.39</v>
    <v>80.44</v>
    <v>79.03</v>
    <v>80.78</v>
    <v>85.24</v>
    <v>87.35</v>
    <v>88.83</v>
    <v>89.54</v>
    <v>89.45</v>
    <v>88.68</v>
    <v>89.07</v>
    <v>89.39</v>
    <v>90.71</v>
    <v>92.5</v>
    <v>94.63</v>
    <v>94.85</v>
    <v>94.51</v>
    <v>94.66</v>
    <v>94.31</v>
    <v>94.37</v>
    <v>95.69</v>
    <v>95.96</v>
    <v>96.66</v>
    <v>97.79</v>
    <v>97.38</v>
    <v>96.93</v>
    <v>96.68</v>
    <v>95.46</v>
    <v>94.83</v>
    <v>94.06</v>
    <v>92.65</v>
    <v>93.21</v>
    <v>92.75</v>
    <v>92.36</v>
    <v>92.75</v>
    <v>92.53</v>
    <v>92.95</v>
    <v>93.25</v>
    <v>92.3</v>
    <v>90.82</v>
    <v>89.71</v>
    <v>89.74</v>
    <v>89.97</v>
    <v>89.85</v>
    <v>89.82</v>
    <v>91.49</v>
    <v>92.45</v>
    <v>91.91</v>
    <v>91.4</v>
    <v>90.94</v>
    <v>90.46</v>
    <v>90.78</v>
    <v>92.02</v>
    <v>91.3</v>
    <v>90.11</v>
    <v>90.64</v>
    <v>92.58</v>
    <v>93.04</v>
    <v>92.21</v>
    <v>87.48</v>
    <v>89.14</v>
    <v>91.45</v>
    <v>91.81</v>
    <v>91.48</v>
    <v>92.9</v>
    <v>93.23</v>
    <v>94.12</v>
    <v>91.48</v>
    <v>90.49</v>
    <v>91.02</v>
    <v>91.28</v>
    <v>91.25</v>
    <v>91.66</v>
    <v>93.57</v>
    <v>95.88</v>
    <v>96.88</v>
    <v>95.06</v>
    <v>94.22</v>
    <v>95.7</v>
    <v>94.96</v>
    <v>94.11</v>
    <v>93.62</v>
    <v>94.7</v>
    <v>94.81</v>
    <v>93.45</v>
    <v>90.91</v>
    <v>93.58</v>
    <v>93.23</v>
    <v>92.68</v>
    <v>93.45</v>
    <v>93.94</v>
    <v>92.62</v>
    <v>93.5</v>
    <v>93.66</v>
    <v>92.32</v>
    <v>91.86</v>
    <v>92.34</v>
    <v>92.79</v>
    <v>90</v>
    <v>89.99</v>
    <v>90.03</v>
    <v>90</v>
    <v>91.92</v>
    <v>94.3</v>
    <v>95.23</v>
    <v>95.45</v>
    <v>96.27</v>
    <v>93.26</v>
    <v>90.01</v>
    <v>91.42</v>
    <v>91.56</v>
    <v>90.51</v>
    <v>89.94</v>
    <v>89.85</v>
    <v>90.94</v>
    <v>91.02</v>
    <v>90.59</v>
    <v>89.55</v>
    <v>91.75</v>
    <v>90.54</v>
    <v>88.33</v>
    <v>87.23</v>
    <v>86.4</v>
    <v>86.57</v>
    <v>93.99</v>
    <v>93.5</v>
    <v>97.1</v>
    <v>96.57</v>
    <v>94.46</v>
    <v>93.12</v>
    <v>93.68</v>
    <v>92.41</v>
    <v>93.45</v>
    <v>94.05</v>
    <v>92.67</v>
    <v>92.44</v>
    <v>92.28</v>
    <v>91.84</v>
    <v>92.04</v>
    <v>90.92</v>
    <v>90.61</v>
    <v>90.04</v>
    <v>88.56</v>
    <v>87.85</v>
    <v>90.87</v>
    <v>89.74</v>
    <v>86.84</v>
    <v>88.17</v>
    <v>90.14</v>
    <v>90.2</v>
    <v>89.69</v>
    <v>87.79</v>
    <v>86.41</v>
    <v>87.06</v>
    <v>85.56</v>
    <v>88.44</v>
    <v>90.75</v>
    <v>90.4</v>
    <v>91.57</v>
    <v>93</v>
    <v>93.58</v>
    <v>94.19</v>
    <v>91.41</v>
    <v>92.95</v>
    <v>94.23</v>
    <v>93.28</v>
    <v>90.89</v>
    <v>91.49</v>
    <v>90</v>
    <v>89.22</v>
    <v>89.84</v>
    <v>89.74</v>
    <v>88.37</v>
    <v>87.73</v>
    <v>87.42</v>
    <v>88.05</v>
    <v>86.31</v>
    <v>87.95</v>
    <v>87.15</v>
    <v>86.11</v>
    <v>87.63</v>
    <v>89</v>
    <v>88.63</v>
    <v>86.45</v>
    <v>85.96</v>
    <v>80.89</v>
    <v>81.010000000000005</v>
    <v>82.93</v>
    <v>81.16</v>
    <v>80.64</v>
    <v>81.709999999999994</v>
    <v>83.22</v>
    <v>76.8</v>
    <v>71.91</v>
    <v>69.489999999999995</v>
    <v>69.09</v>
    <v>67.28</v>
    <v>69.260000000000005</v>
    <v>69.75</v>
    <v>71.709999999999994</v>
    <v>73.3</v>
    <v>71.209999999999994</v>
    <v>69.7</v>
    <v>68.98</v>
    <v>70.81</v>
    <v>70.11</v>
    <v>70.290000000000006</v>
    <v>71.760000000000005</v>
    <v>73.73</v>
    <v>70.89</v>
    <v>71.27</v>
    <v>72.510000000000005</v>
    <v>73.599999999999994</v>
    <v>73.77</v>
    <v>74.17</v>
    <v>72.680000000000007</v>
    <v>70.42</v>
    <v>68.48</v>
    <v>67.42</v>
    <v>66.5</v>
    <v>66.27</v>
    <v>63.31</v>
    <v>64.91</v>
    <v>65.489999999999995</v>
    <v>65.459999999999994</v>
    <v>65.72</v>
    <v>71.59</v>
    <v>71.02</v>
    <v>69.95</v>
    <v>68.349999999999994</v>
    <v>68.77</v>
    <v>70.930000000000007</v>
    <v>70.03</v>
    <v>71.45</v>
    <v>70.42</v>
    <v>68.62</v>
    <v>68.42</v>
    <v>67.66</v>
    <v>67.59</v>
    <v>66.650000000000006</v>
    <v>66.48</v>
    <v>67.040000000000006</v>
    <v>69.98</v>
    <v>70.75</v>
    <v>71.819999999999993</v>
    <v>70.709999999999994</v>
    <v>69.86</v>
    <v>70.16</v>
    <v>72.36</v>
    <v>73.56</v>
    <v>73.42</v>
    <v>73.16</v>
    <v>71.790000000000006</v>
    <v>72.81</v>
    <v>59.28</v>
    <v>56.36</v>
    <v>56.98</v>
    <v>54.88</v>
    <v>57.48</v>
    <v>57.78</v>
    <v>59.47</v>
    <v>60.25</v>
    <v>61.69</v>
    <v>61.25</v>
    <v>61.71</v>
    <v>61.91</v>
    <v>60.49</v>
    <v>61.06</v>
    <v>61.3</v>
    <v>60.49</v>
    <v>57.71</v>
    <v>56.8</v>
    <v>56.82</v>
    <v>55.81</v>
    <v>55.62</v>
    <v>55.81</v>
    <v>55.54</v>
    <v>58.64</v>
    <v>58.87</v>
    <v>59.33</v>
    <v>60.69</v>
    <v>58.58</v>
    <v>57.41</v>
    <v>57.66</v>
    <v>56.66</v>
    <v>56.99</v>
    <v>55.27</v>
    <v>53.9</v>
    <v>49.23</v>
    <v>49.14</v>
    <v>48.31</v>
    <v>47.49</v>
    <v>49.23</v>
    <v>47.65</v>
    <v>48.32</v>
    <v>49.37</v>
    <v>50.56</v>
    <v>50.94</v>
    <v>49.94</v>
    <v>48.52</v>
    <v>49.33</v>
    <v>48.47</v>
    <v>48.94</v>
    <v>48.94</v>
    <v>47.46</v>
    <v>49.21</v>
    <v>50.13</v>
    <v>48.94</v>
    <v>48.51</v>
    <v>49.2</v>
    <v>49.39</v>
    <v>48.42</v>
    <v>48.19</v>
    <v>47.77</v>
    <v>49.6</v>
    <v>49.39</v>
    <v>49.46</v>
    <v>47.85</v>
    <v>51.03</v>
    <v>50.85</v>
    <v>51.01</v>
    <v>50.54</v>
    <v>49.55</v>
    <v>53.5</v>
    <v>56.81</v>
    <v>55.54</v>
    <v>55.49</v>
    <v>54.74</v>
    <v>54.37</v>
    <v>55.09</v>
    <v>55.19</v>
    <v>55.4</v>
    <v>56.12</v>
    <v>56.17</v>
    <v>55.18</v>
    <v>54.74</v>
    <v>56.08</v>
    <v>55.85</v>
    <v>55.81</v>
    <v>54.35</v>
    <v>54.8</v>
    <v>52.49</v>
    <v>53.89</v>
    <v>53.56</v>
    <v>53.6</v>
    <v>53.82</v>
    <v>54.46</v>
    <v>51.65</v>
    <v>51.32</v>
    <v>50.61</v>
    <v>50.63</v>
    <v>51.74</v>
    <v>51.15</v>
    <v>51.63</v>
    <v>51.79</v>
    <v>50.58</v>
    <v>51.62</v>
    <v>51.14</v>
  </a>
  <a r="1" c="96">
    <v>1994.99</v>
    <v>2104.5</v>
    <v>2067.89</v>
    <v>2085.5100000000002</v>
    <v>2107.39</v>
    <v>2063.11</v>
    <v>2103.84</v>
    <v>1972.18</v>
    <v>1920.03</v>
    <v>2079.36</v>
    <v>2080.41</v>
    <v>2043.94</v>
    <v>1940.24</v>
    <v>1932.23</v>
    <v>2059.7399999999998</v>
    <v>2065.3000000000002</v>
    <v>2096.96</v>
    <v>2098.86</v>
    <v>2173.6</v>
    <v>2170.9499999999998</v>
    <v>2168.27</v>
    <v>2126.15</v>
    <v>2198.81</v>
    <v>2238.83</v>
    <v>2278.87</v>
    <v>2363.64</v>
    <v>2362.7199999999998</v>
    <v>2384.1999999999998</v>
    <v>2411.8000000000002</v>
    <v>2423.41</v>
    <v>2470.3000000000002</v>
    <v>2471.65</v>
    <v>2519.36</v>
    <v>2575.2600000000002</v>
    <v>2647.58</v>
    <v>2673.61</v>
    <v>2823.81</v>
    <v>2713.83</v>
    <v>2640.87</v>
    <v>2648.05</v>
    <v>2705.27</v>
    <v>2718.37</v>
    <v>2816.29</v>
    <v>2901.52</v>
    <v>2913.98</v>
    <v>2711.74</v>
    <v>2760.17</v>
    <v>2506.85</v>
    <v>2704.1</v>
    <v>2784.49</v>
    <v>2834.4</v>
    <v>2945.83</v>
    <v>2752.06</v>
    <v>2941.76</v>
    <v>2980.38</v>
    <v>2926.46</v>
    <v>2976.74</v>
    <v>3037.56</v>
    <v>3140.98</v>
    <v>3230.78</v>
    <v>3225.52</v>
    <v>2954.22</v>
    <v>2584.59</v>
    <v>2912.43</v>
    <v>3044.31</v>
    <v>3100.29</v>
    <v>3271.12</v>
    <v>3500.31</v>
    <v>3363</v>
    <v>3269.96</v>
    <v>3621.63</v>
    <v>3756.07</v>
    <v>3714.24</v>
    <v>3811.15</v>
    <v>3972.89</v>
    <v>4181.17</v>
    <v>4204.1099999999997</v>
    <v>4297.5</v>
    <v>4395.26</v>
    <v>4522.68</v>
    <v>4307.54</v>
    <v>4605.38</v>
    <v>4567</v>
    <v>4766.18</v>
    <v>4515.55</v>
    <v>4373.9399999999996</v>
    <v>4530.41</v>
    <v>4131.93</v>
    <v>4132.1499999999996</v>
    <v>3785.38</v>
    <v>4130.29</v>
    <v>3955</v>
    <v>3585.62</v>
    <v>3871.98</v>
    <v>4080.11</v>
    <v>3839.5</v>
  </a>
  <a r="1" c="1510">
    <v>37.683500000000002</v>
    <v>37.859000000000002</v>
    <v>39.022500000000001</v>
    <v>39.799500000000002</v>
    <v>39.845999999999997</v>
    <v>39.795000000000002</v>
    <v>39.951000000000001</v>
    <v>40.682000000000002</v>
    <v>40.856999999999999</v>
    <v>40.485999999999997</v>
    <v>40.374000000000002</v>
    <v>40.451999999999998</v>
    <v>40.416499999999999</v>
    <v>40.893999999999998</v>
    <v>41.122</v>
    <v>41.826000000000001</v>
    <v>41.957500000000003</v>
    <v>41.788499999999999</v>
    <v>41.518999999999998</v>
    <v>41.173999999999999</v>
    <v>41.6175</v>
    <v>41.997500000000002</v>
    <v>40.51</v>
    <v>40.381999999999998</v>
    <v>40.625</v>
    <v>40.985500000000002</v>
    <v>41.067999999999998</v>
    <v>41.372999999999998</v>
    <v>41.826500000000003</v>
    <v>41.819499999999998</v>
    <v>42.134999999999998</v>
    <v>42.207000000000001</v>
    <v>42.253500000000003</v>
    <v>42.822000000000003</v>
    <v>42.780500000000004</v>
    <v>42.609499999999997</v>
    <v>42.262</v>
    <v>42.432000000000002</v>
    <v>42.252000000000002</v>
    <v>42.654000000000003</v>
    <v>42.445500000000003</v>
    <v>42.494</v>
    <v>42.330500000000001</v>
    <v>42.301000000000002</v>
    <v>42.524999999999999</v>
    <v>42.65</v>
    <v>42.622999999999998</v>
    <v>42.729500000000002</v>
    <v>42.6265</v>
    <v>42.648499999999999</v>
    <v>42.670999999999999</v>
    <v>42.615499999999997</v>
    <v>42.848500000000001</v>
    <v>42.16</v>
    <v>42.402999999999999</v>
    <v>42.369</v>
    <v>42.280500000000004</v>
    <v>42.341000000000001</v>
    <v>42.8</v>
    <v>43.716000000000001</v>
    <v>43.817</v>
    <v>44.326999999999998</v>
    <v>44.575499999999998</v>
    <v>45.341500000000003</v>
    <v>45.463999999999999</v>
    <v>44.914000000000001</v>
    <v>44.744</v>
    <v>45.351999999999997</v>
    <v>45.118000000000002</v>
    <v>44.811500000000002</v>
    <v>44.233499999999999</v>
    <v>45.099499999999999</v>
    <v>45.189</v>
    <v>44.96</v>
    <v>45.103000000000002</v>
    <v>44.926499999999997</v>
    <v>45.3705</v>
    <v>45.381</v>
    <v>45.464500000000001</v>
    <v>45.918999999999997</v>
    <v>46.249499999999998</v>
    <v>47.411499999999997</v>
    <v>47.347000000000001</v>
    <v>47.051499999999997</v>
    <v>46.8765</v>
    <v>46.707500000000003</v>
    <v>47.451999999999998</v>
    <v>47.640999999999998</v>
    <v>47.447499999999998</v>
    <v>47.381</v>
    <v>48.067500000000003</v>
    <v>47.898499999999999</v>
    <v>48.3035</v>
    <v>47.238</v>
    <v>47.924500000000002</v>
    <v>47.991999999999997</v>
    <v>48.533499999999997</v>
    <v>48.576999999999998</v>
    <v>49.017499999999998</v>
    <v>49.668999999999997</v>
    <v>49.789000000000001</v>
    <v>49.835000000000001</v>
    <v>49.731000000000002</v>
    <v>49.797499999999999</v>
    <v>50.336500000000001</v>
    <v>50.567</v>
    <v>50.15</v>
    <v>50.503500000000003</v>
    <v>50.513500000000001</v>
    <v>48.915500000000002</v>
    <v>48.2455</v>
    <v>49.039499999999997</v>
    <v>48.823500000000003</v>
    <v>48.208500000000001</v>
    <v>49.3855</v>
    <v>49.758499999999998</v>
    <v>49.6295</v>
    <v>50.111499999999999</v>
    <v>50.064999999999998</v>
    <v>50.186999999999998</v>
    <v>49.698999999999998</v>
    <v>48.838999999999999</v>
    <v>49.516500000000001</v>
    <v>48.796500000000002</v>
    <v>48.4</v>
    <v>47.683</v>
    <v>48.57</v>
    <v>48.256999999999998</v>
    <v>48.938000000000002</v>
    <v>49.823500000000003</v>
    <v>49.706499999999998</v>
    <v>50.325499999999998</v>
    <v>50.031500000000001</v>
    <v>50.090499999999999</v>
    <v>50.502000000000002</v>
    <v>51.222499999999997</v>
    <v>51.343499999999999</v>
    <v>51.435000000000002</v>
    <v>51.283499999999997</v>
    <v>51.947499999999998</v>
    <v>51.993499999999997</v>
    <v>52.64</v>
    <v>52.3</v>
    <v>51.002000000000002</v>
    <v>49.389000000000003</v>
    <v>49.8095</v>
    <v>49.794499999999999</v>
    <v>49.345999999999997</v>
    <v>49.378999999999998</v>
    <v>49.613500000000002</v>
    <v>49.491999999999997</v>
    <v>49.100499999999997</v>
    <v>47.845999999999997</v>
    <v>48.399500000000003</v>
    <v>49.164999999999999</v>
    <v>49.137</v>
    <v>48.908999999999999</v>
    <v>48.028500000000001</v>
    <v>47.923499999999997</v>
    <v>47.664499999999997</v>
    <v>48.344999999999999</v>
    <v>47.9</v>
    <v>47.622500000000002</v>
    <v>47.262999999999998</v>
    <v>47.301000000000002</v>
    <v>47.703000000000003</v>
    <v>48.3795</v>
    <v>49.03</v>
    <v>48.912500000000001</v>
    <v>48.263500000000001</v>
    <v>48.39</v>
    <v>48.973500000000001</v>
    <v>48.295000000000002</v>
    <v>48.898000000000003</v>
    <v>49.128999999999998</v>
    <v>49.98</v>
    <v>49.610500000000002</v>
    <v>49.339500000000001</v>
    <v>48.709499999999998</v>
    <v>48.493000000000002</v>
    <v>48.660499999999999</v>
    <v>48.232500000000002</v>
    <v>47.755000000000003</v>
    <v>46.9895</v>
    <v>46.93</v>
    <v>47.543500000000002</v>
    <v>47.82</v>
    <v>48.067500000000003</v>
    <v>47.959499999999998</v>
    <v>47.854999999999997</v>
    <v>48.272500000000001</v>
    <v>49.042499999999997</v>
    <v>49.478999999999999</v>
    <v>49.549500000000002</v>
    <v>49.36</v>
    <v>49.75</v>
    <v>50.046500000000002</v>
    <v>50.146999999999998</v>
    <v>50.317</v>
    <v>50.456499999999998</v>
    <v>49.85</v>
    <v>49.330500000000001</v>
    <v>49.145499999999998</v>
    <v>48.314999999999998</v>
    <v>48.795000000000002</v>
    <v>48.645499999999998</v>
    <v>48.621499999999997</v>
    <v>55.047499999999999</v>
    <v>55.542499999999997</v>
    <v>55.264000000000003</v>
    <v>55.183999999999997</v>
    <v>54.710999999999999</v>
    <v>55.58</v>
    <v>56.033000000000001</v>
    <v>56.158499999999997</v>
    <v>56.643999999999998</v>
    <v>56.456499999999998</v>
    <v>56.267499999999998</v>
    <v>56.458500000000001</v>
    <v>56.841999999999999</v>
    <v>56.334499999999998</v>
    <v>56.8645</v>
    <v>56.494</v>
    <v>56.3155</v>
    <v>56.974499999999999</v>
    <v>57.808</v>
    <v>59.3</v>
    <v>59.791499999999999</v>
    <v>59.68</v>
    <v>58.063499999999998</v>
    <v>58.837499999999999</v>
    <v>58.1175</v>
    <v>56.697499999999998</v>
    <v>57.078499999999998</v>
    <v>57.6175</v>
    <v>57.9895</v>
    <v>58.1</v>
    <v>58.445999999999998</v>
    <v>58.253999999999998</v>
    <v>58.206499999999998</v>
    <v>58.713000000000001</v>
    <v>58.957000000000001</v>
    <v>59.529000000000003</v>
    <v>59.369</v>
    <v>58.881</v>
    <v>58.738</v>
    <v>58.417999999999999</v>
    <v>58.838000000000001</v>
    <v>59.113</v>
    <v>59.305</v>
    <v>58.473500000000001</v>
    <v>59.450499999999998</v>
    <v>60.21</v>
    <v>60.479500000000002</v>
    <v>61.457000000000001</v>
    <v>62.343499999999999</v>
    <v>62.634999999999998</v>
    <v>62.716500000000003</v>
    <v>63.834000000000003</v>
    <v>65.260000000000005</v>
    <v>65.242999999999995</v>
    <v>64.75</v>
    <v>64.665999999999997</v>
    <v>64.728999999999999</v>
    <v>66.365499999999997</v>
    <v>68.126999999999995</v>
    <v>67.875500000000002</v>
    <v>68.897499999999994</v>
    <v>70.102500000000006</v>
    <v>70.884</v>
    <v>71.891000000000005</v>
    <v>72.544499999999999</v>
    <v>69.5</v>
    <v>71.497500000000002</v>
    <v>69.5</v>
    <v>72.141999999999996</v>
    <v>70.838999999999999</v>
    <v>67.525000000000006</v>
    <v>66.98</v>
    <v>69.311499999999995</v>
    <v>70.725499999999997</v>
    <v>72.552499999999995</v>
    <v>73.087999999999994</v>
    <v>72.4345</v>
    <v>73.417500000000004</v>
    <v>74.146000000000001</v>
    <v>74.266999999999996</v>
    <v>75</v>
    <v>76.097499999999997</v>
    <v>75.599000000000004</v>
    <v>75.622500000000002</v>
    <v>74.672499999999999</v>
    <v>75.012500000000003</v>
    <v>76.180499999999995</v>
    <v>76.882000000000005</v>
    <v>77.25</v>
    <v>77.593000000000004</v>
    <v>78.944500000000005</v>
    <v>79.919499999999999</v>
    <v>79.409000000000006</v>
    <v>79.55</v>
    <v>79.116</v>
    <v>78.584000000000003</v>
    <v>77.246499999999997</v>
    <v>79.325500000000005</v>
    <v>79.093000000000004</v>
    <v>77.245999999999995</v>
    <v>74.778000000000006</v>
    <v>77.793000000000006</v>
    <v>74.852500000000006</v>
    <v>71.570999999999998</v>
    <v>72.367000000000004</v>
    <v>68.599500000000006</v>
    <v>69.602500000000006</v>
    <v>70.528499999999994</v>
    <v>72.587500000000006</v>
    <v>70.261499999999998</v>
    <v>70.304000000000002</v>
    <v>71.811000000000007</v>
    <v>71.352500000000006</v>
    <v>72.424999999999997</v>
    <v>71.539500000000004</v>
    <v>72.075000000000003</v>
    <v>75.191500000000005</v>
    <v>76.391999999999996</v>
    <v>77.845500000000001</v>
    <v>76.374499999999998</v>
    <v>75.893000000000001</v>
    <v>73.004499999999993</v>
    <v>73.008499999999998</v>
    <v>75.897999999999996</v>
    <v>78.631</v>
    <v>78.3065</v>
    <v>79.113</v>
    <v>78.483999999999995</v>
    <v>78.603800000000007</v>
    <v>79.047499999999999</v>
    <v>80.007000000000005</v>
    <v>79.619500000000002</v>
    <v>80.400000000000006</v>
    <v>80.453999999999994</v>
    <v>80.145499999999998</v>
    <v>80.076999999999998</v>
    <v>78.805999999999997</v>
    <v>79.364000000000004</v>
    <v>79.087999999999994</v>
    <v>78.718500000000006</v>
    <v>79.272999999999996</v>
    <v>79.069999999999993</v>
    <v>80.093000000000004</v>
    <v>80.153499999999994</v>
    <v>80.507499999999993</v>
    <v>80.643500000000003</v>
    <v>81.244500000000002</v>
    <v>81.480999999999995</v>
    <v>82.076999999999998</v>
    <v>83.263499999999993</v>
    <v>84.817499999999995</v>
    <v>84.787499999999994</v>
    <v>84.465000000000003</v>
    <v>84.1995</v>
    <v>84.456000000000003</v>
    <v>84.9375</v>
    <v>85.242999999999995</v>
    <v>86.192999999999998</v>
    <v>85.798500000000004</v>
    <v>86.189499999999995</v>
    <v>86.739000000000004</v>
    <v>87.504000000000005</v>
    <v>86.510999999999996</v>
    <v>85.783500000000004</v>
    <v>83.157499999999999</v>
    <v>84.554500000000004</v>
    <v>83.025499999999994</v>
    <v>85.072500000000005</v>
    <v>84.99</v>
    <v>85.688999999999993</v>
    <v>84.697999999999993</v>
    <v>84.986500000000007</v>
    <v>85.531499999999994</v>
    <v>86.950999999999993</v>
    <v>87.153499999999994</v>
    <v>87.75</v>
    <v>89.831000000000003</v>
    <v>90.651499999999999</v>
    <v>91.124499999999998</v>
    <v>92.1965</v>
    <v>92.146000000000001</v>
    <v>90.648499999999999</v>
    <v>90.685000000000002</v>
    <v>90.1</v>
    <v>91.462000000000003</v>
    <v>93.180499999999995</v>
    <v>90.4</v>
    <v>90.863500000000002</v>
    <v>88.960999999999999</v>
    <v>88.872</v>
    <v>89.858500000000006</v>
    <v>91.716499999999996</v>
    <v>91.164500000000004</v>
    <v>92.387500000000003</v>
    <v>93.123999999999995</v>
    <v>94.325999999999993</v>
    <v>94.926000000000002</v>
    <v>94.314999999999998</v>
    <v>94.81</v>
    <v>95.982500000000002</v>
    <v>94.131</v>
    <v>94.325999999999993</v>
    <v>94.111000000000004</v>
    <v>93.835499999999996</v>
    <v>94.171000000000006</v>
    <v>95.245000000000005</v>
    <v>95.144999999999996</v>
    <v>95.269499999999994</v>
    <v>96.384</v>
    <v>96.641000000000005</v>
    <v>99.905000000000001</v>
    <v>100.119</v>
    <v>100.63549999999999</v>
    <v>101.9755</v>
    <v>99.741</v>
    <v>97.915499999999994</v>
    <v>97.603499999999997</v>
    <v>96.950500000000005</v>
    <v>99.357500000000002</v>
    <v>99.5</v>
    <v>99.493499999999997</v>
    <v>98.509500000000003</v>
    <v>95.401499999999999</v>
    <v>97.052499999999995</v>
    <v>96.320999999999998</v>
    <v>97.215000000000003</v>
    <v>95.750500000000002</v>
    <v>96.718000000000004</v>
    <v>98.727500000000006</v>
    <v>98.742500000000007</v>
    <v>100.649</v>
    <v>100.15</v>
    <v>100.218</v>
    <v>98.5655</v>
    <v>97.638000000000005</v>
    <v>95.471000000000004</v>
    <v>94.482500000000002</v>
    <v>93.221000000000004</v>
    <v>93.516000000000005</v>
    <v>87.762500000000003</v>
    <v>85.968000000000004</v>
    <v>89.430499999999995</v>
    <v>88.047499999999999</v>
    <v>90.998000000000005</v>
    <v>91.586500000000001</v>
    <v>88.536000000000001</v>
    <v>88.201499999999996</v>
    <v>89.465000000000003</v>
    <v>88.435000000000002</v>
    <v>83.21</v>
    <v>89.108500000000006</v>
    <v>82.140500000000003</v>
    <v>76.944000000000003</v>
    <v>76.521000000000001</v>
    <v>79.900499999999994</v>
    <v>83.276499999999999</v>
    <v>83.276499999999999</v>
    <v>81.39</v>
    <v>82.140500000000003</v>
    <v>87.774500000000003</v>
    <v>87.745500000000007</v>
    <v>85.621499999999997</v>
    <v>81.842500000000001</v>
    <v>81.558499999999995</v>
    <v>79.950500000000005</v>
    <v>80.971999999999994</v>
    <v>79.670500000000004</v>
    <v>75.614500000000007</v>
    <v>74.772999999999996</v>
    <v>75.836500000000001</v>
    <v>75.102999999999994</v>
    <v>79.066500000000005</v>
    <v>79.070999999999998</v>
    <v>83.887500000000003</v>
    <v>83.6785</v>
    <v>84.508499999999998</v>
    <v>88.617999999999995</v>
    <v>83.42</v>
    <v>84.959500000000006</v>
    <v>81.456500000000005</v>
    <v>82.051500000000004</v>
    <v>82.162000000000006</v>
    <v>83.177000000000007</v>
    <v>82.918999999999997</v>
    <v>79.595500000000001</v>
    <v>76.045500000000004</v>
    <v>77.573999999999998</v>
    <v>74.754000000000005</v>
    <v>73.041499999999999</v>
    <v>68.872500000000002</v>
    <v>67.197999999999993</v>
    <v>73.545000000000002</v>
    <v>73.081999999999994</v>
    <v>73.900999999999996</v>
    <v>75.098500000000001</v>
    <v>76.956500000000005</v>
    <v>75.013999999999996</v>
    <v>78.769499999999994</v>
    <v>81.475499999999997</v>
    <v>82.828999999999994</v>
    <v>82.971000000000004</v>
    <v>82.811000000000007</v>
    <v>82.028000000000006</v>
    <v>80.860500000000002</v>
    <v>83.727999999999994</v>
    <v>84.188999999999993</v>
    <v>84.661000000000001</v>
    <v>84.81</v>
    <v>81.608500000000006</v>
    <v>82.001000000000005</v>
    <v>82.746499999999997</v>
    <v>83.528499999999994</v>
    <v>81.894499999999994</v>
    <v>79.694000000000003</v>
    <v>83.521500000000003</v>
    <v>85.936499999999995</v>
    <v>81.311499999999995</v>
    <v>81.665499999999994</v>
    <v>82.9405</v>
    <v>82.013000000000005</v>
    <v>80.718500000000006</v>
    <v>79.411000000000001</v>
    <v>79.55</v>
    <v>81.900499999999994</v>
    <v>82</v>
    <v>81.132499999999993</v>
    <v>80.397499999999994</v>
    <v>81.379000000000005</v>
    <v>81.105000000000004</v>
    <v>80.971999999999994</v>
    <v>81.578000000000003</v>
    <v>81.650000000000006</v>
    <v>81.819999999999993</v>
    <v>82.054500000000004</v>
    <v>81.991500000000002</v>
    <v>83.586500000000001</v>
    <v>84.808499999999995</v>
    <v>84.621499999999997</v>
    <v>83.447500000000005</v>
    <v>81.297499999999999</v>
    <v>81.040000000000006</v>
    <v>83.531000000000006</v>
    <v>83.655000000000001</v>
    <v>84.540499999999994</v>
    <v>84.311000000000007</v>
    <v>85.617999999999995</v>
    <v>87.107500000000002</v>
    <v>88.092500000000001</v>
    <v>89.863500000000002</v>
    <v>90.962999999999994</v>
    <v>88.238500000000002</v>
    <v>88.712999999999994</v>
    <v>89.188000000000002</v>
    <v>88.284999999999997</v>
    <v>88.671000000000006</v>
    <v>89.037499999999994</v>
    <v>90.709500000000006</v>
    <v>90.698999999999998</v>
    <v>91.034999999999997</v>
    <v>90.942999999999998</v>
    <v>91.864000000000004</v>
    <v>92.492999999999995</v>
    <v>91.792000000000002</v>
    <v>92.366500000000002</v>
    <v>92.203500000000005</v>
    <v>92.153000000000006</v>
    <v>92.243499999999997</v>
    <v>93.152000000000001</v>
    <v>93.241</v>
    <v>93.084500000000006</v>
    <v>94.365499999999997</v>
    <v>96.188500000000005</v>
    <v>95.087500000000006</v>
    <v>95.112499999999997</v>
    <v>97.531499999999994</v>
    <v>96.921499999999995</v>
    <v>96.325999999999993</v>
    <v>95.575999999999993</v>
    <v>95.040999999999997</v>
    <v>98.123000000000005</v>
    <v>97.527500000000003</v>
    <v>96.05</v>
    <v>95.888499999999993</v>
    <v>94.993499999999997</v>
    <v>94.498999999999995</v>
    <v>91.134</v>
    <v>92.006</v>
    <v>93.557500000000005</v>
    <v>95.378500000000003</v>
    <v>93.45</v>
    <v>92.948499999999996</v>
    <v>92.876000000000005</v>
    <v>92.983999999999995</v>
    <v>90.774000000000001</v>
    <v>91.164000000000001</v>
    <v>91.8215</v>
    <v>90.959500000000006</v>
    <v>90.816000000000003</v>
    <v>88.753500000000003</v>
    <v>84.634500000000003</v>
    <v>86.477999999999994</v>
    <v>86.924999999999997</v>
    <v>87.718000000000004</v>
    <v>90.201499999999996</v>
    <v>93.031499999999994</v>
    <v>93.185000000000002</v>
    <v>92.766000000000005</v>
    <v>93.515000000000001</v>
    <v>93.483500000000006</v>
    <v>94.301500000000004</v>
    <v>95.0685</v>
    <v>95.439499999999995</v>
    <v>95.909499999999994</v>
    <v>95.564999999999998</v>
    <v>95.694999999999993</v>
    <v>93.913499999999999</v>
    <v>94.891499999999994</v>
    <v>95.213999999999999</v>
    <v>94.6815</v>
    <v>96.109499999999997</v>
    <v>96.715500000000006</v>
    <v>96.95</v>
    <v>97.145499999999998</v>
    <v>97.616</v>
    <v>99.415000000000006</v>
    <v>100.87050000000001</v>
    <v>100.0535</v>
    <v>100.55</v>
    <v>101.04949999999999</v>
    <v>100.495</v>
    <v>99.601500000000001</v>
    <v>98.894999999999996</v>
    <v>98.225999999999999</v>
    <v>99.281499999999994</v>
    <v>99.724500000000006</v>
    <v>100.04049999999999</v>
    <v>98.691000000000003</v>
    <v>97.152500000000003</v>
    <v>95.622500000000002</v>
    <v>94.926500000000004</v>
    <v>93.338999999999999</v>
    <v>92.766000000000005</v>
    <v>91.162000000000006</v>
    <v>88.256500000000003</v>
    <v>89.391499999999994</v>
    <v>89.67</v>
    <v>91.644499999999994</v>
    <v>90.379000000000005</v>
    <v>89.245999999999995</v>
    <v>91.216999999999999</v>
    <v>88.147999999999996</v>
    <v>88.805999999999997</v>
    <v>89.628500000000003</v>
    <v>90.805999999999997</v>
    <v>90.069000000000003</v>
    <v>91.177000000000007</v>
    <v>90.28</v>
    <v>87.480999999999995</v>
    <v>88.4435</v>
    <v>88.091499999999996</v>
    <v>88.212500000000006</v>
    <v>89.32</v>
    <v>88.814499999999995</v>
    <v>89.492000000000004</v>
    <v>90.031000000000006</v>
    <v>92.036000000000001</v>
    <v>91.6755</v>
    <v>91.567499999999995</v>
    <v>91.027500000000003</v>
    <v>91.149500000000003</v>
    <v>92.177499999999995</v>
    <v>91.966999999999999</v>
    <v>90.391999999999996</v>
    <v>91.127499999999998</v>
    <v>90.873000000000005</v>
    <v>91.075000000000003</v>
    <v>89.707999999999998</v>
    <v>89.265000000000001</v>
    <v>87.080500000000001</v>
    <v>88.416499999999999</v>
    <v>86.992000000000004</v>
    <v>86.272499999999994</v>
    <v>86.795500000000004</v>
    <v>86.782499999999999</v>
    <v>85.661500000000004</v>
    <v>86.221000000000004</v>
    <v>86.982500000000002</v>
    <v>86.632999999999996</v>
    <v>85.275499999999994</v>
    <v>86.099500000000006</v>
    <v>86.013000000000005</v>
    <v>86.596000000000004</v>
    <v>86.8215</v>
    <v>88.369</v>
    <v>88.871499999999997</v>
    <v>89.373999999999995</v>
    <v>87.875500000000002</v>
    <v>89.283000000000001</v>
    <v>88.286500000000004</v>
    <v>88.108500000000006</v>
    <v>89.039000000000001</v>
    <v>88.066500000000005</v>
    <v>88.853999999999999</v>
    <v>88.135499999999993</v>
    <v>88.999499999999998</v>
    <v>88.832999999999998</v>
    <v>89.572000000000003</v>
    <v>90.233000000000004</v>
    <v>90.085499999999996</v>
    <v>89.788499999999999</v>
    <v>89.41</v>
    <v>89.293999999999997</v>
    <v>88.582499999999996</v>
    <v>88.9</v>
    <v>87.655500000000004</v>
    <v>87.73</v>
    <v>86.974500000000006</v>
    <v>87.626499999999993</v>
    <v>87.639499999999998</v>
    <v>87.276499999999999</v>
    <v>86.735500000000002</v>
    <v>87.286000000000001</v>
    <v>88.691999999999993</v>
    <v>89.846999999999994</v>
    <v>90.9255</v>
    <v>90.04</v>
    <v>89.08</v>
    <v>88.498000000000005</v>
    <v>88.034499999999994</v>
    <v>87.024000000000001</v>
    <v>87.58</v>
    <v>87.475499999999997</v>
    <v>86.960499999999996</v>
    <v>87.436000000000007</v>
    <v>88.016499999999994</v>
    <v>88.046999999999997</v>
    <v>88.460499999999996</v>
    <v>89.533000000000001</v>
    <v>89.201499999999996</v>
    <v>89.614000000000004</v>
    <v>89.325000000000003</v>
    <v>89.65</v>
    <v>89.460499999999996</v>
    <v>93.438500000000005</v>
    <v>93.49</v>
    <v>92.344499999999996</v>
    <v>92.391999999999996</v>
    <v>94.900499999999994</v>
    <v>93.748500000000007</v>
    <v>95.144000000000005</v>
    <v>95.343000000000004</v>
    <v>94.598500000000001</v>
    <v>95.052499999999995</v>
    <v>94.158000000000001</v>
    <v>94.564999999999998</v>
    <v>93.471999999999994</v>
    <v>93.100999999999999</v>
    <v>93.897000000000006</v>
    <v>93.236000000000004</v>
    <v>94.6</v>
    <v>94.373000000000005</v>
    <v>94.228999999999999</v>
    <v>93.081999999999994</v>
    <v>91.417000000000002</v>
    <v>92.662499999999994</v>
    <v>92.9</v>
    <v>93.534000000000006</v>
    <v>100.43600000000001</v>
    <v>100.21</v>
    <v>102.48350000000001</v>
    <v>101.9935</v>
    <v>102.5115</v>
    <v>103.964</v>
    <v>106.6955</v>
    <v>107.54</v>
    <v>108</v>
    <v>107.4935</v>
    <v>106.7435</v>
    <v>107.7835</v>
    <v>108.511</v>
    <v>107.655</v>
    <v>104.7985</v>
    <v>100.4645</v>
    <v>98.637</v>
    <v>98.979500000000002</v>
    <v>94.215000000000003</v>
    <v>94.1875</v>
    <v>97.697500000000005</v>
    <v>95.4495</v>
    <v>98.791499999999999</v>
    <v>96.201499999999996</v>
    <v>95.054500000000004</v>
    <v>90.030500000000004</v>
    <v>94.590999999999994</v>
    <v>91.043000000000006</v>
    <v>83.830500000000001</v>
    <v>89.25</v>
    <v>84.457499999999996</v>
    <v>90.391999999999996</v>
    <v>91.5</v>
    <v>94.046499999999995</v>
    <v>92.304500000000004</v>
    <v>95.141499999999994</v>
    <v>97.004999999999995</v>
    <v>94.292000000000002</v>
    <v>97.774500000000003</v>
    <v>95.004999999999995</v>
    <v>98.197500000000005</v>
    <v>97.486000000000004</v>
    <v>95.385000000000005</v>
    <v>95.941500000000005</v>
    <v>95.329499999999996</v>
    <v>99.879499999999993</v>
    <v>100.58</v>
    <v>102.15</v>
    <v>102.13800000000001</v>
    <v>108.4435</v>
    <v>114.166</v>
    <v>115.384</v>
    <v>120.40949999999999</v>
    <v>118.75</v>
    <v>119.68049999999999</v>
    <v>116.40600000000001</v>
    <v>118.17449999999999</v>
    <v>119.9725</v>
    <v>120.511</v>
    <v>118.8</v>
    <v>115.70399999999999</v>
    <v>118.63549999999999</v>
    <v>123.7</v>
    <v>114.30200000000001</v>
    <v>115.79949999999999</v>
    <v>115.89</v>
    <v>117.563</v>
    <v>118.3805</v>
    <v>118.98050000000001</v>
    <v>120.45</v>
    <v>117.8475</v>
    <v>118.396</v>
    <v>119.4425</v>
    <v>120.489</v>
    <v>121.313</v>
    <v>122.4665</v>
    <v>124.89700000000001</v>
    <v>122.337</v>
    <v>121.84399999999999</v>
    <v>121.093</v>
    <v>120.51949999999999</v>
    <v>120.05500000000001</v>
    <v>122.1185</v>
    <v>123.55200000000001</v>
    <v>123.62050000000001</v>
    <v>123.92</v>
    <v>123.03</v>
    <v>124.15</v>
    <v>126.203</v>
    <v>130.04300000000001</v>
    <v>132.3725</v>
    <v>127.898</v>
    <v>127.251</v>
    <v>128.63399999999999</v>
    <v>130.76349999999999</v>
    <v>132.04900000000001</v>
    <v>132.69900000000001</v>
    <v>133.75049999999999</v>
    <v>135.691</v>
    <v>138.22049999999999</v>
    <v>136.72</v>
    <v>137.72900000000001</v>
    <v>134.64349999999999</v>
    <v>134.01900000000001</v>
    <v>137.941</v>
    <v>143.935</v>
    <v>144.51499999999999</v>
    <v>152.852</v>
    <v>150.006</v>
    <v>154.05549999999999</v>
    <v>159.13149999999999</v>
    <v>160</v>
    <v>155.19999999999999</v>
    <v>154.19999999999999</v>
    <v>150.4435</v>
    <v>149.995</v>
    <v>148.0985</v>
    <v>159.84200000000001</v>
    <v>156.9145</v>
    <v>154.99549999999999</v>
    <v>149.32749999999999</v>
    <v>150.44550000000001</v>
    <v>152.76050000000001</v>
    <v>150.01650000000001</v>
    <v>151.6765</v>
    <v>152.59399999999999</v>
    <v>158.23400000000001</v>
    <v>155.59450000000001</v>
    <v>156.94149999999999</v>
    <v>160.25149999999999</v>
    <v>161.25</v>
    <v>158.37299999999999</v>
    <v>157.40799999999999</v>
    <v>154.0335</v>
    <v>158.11199999999999</v>
    <v>158.05099999999999</v>
    <v>157.40100000000001</v>
    <v>159.12049999999999</v>
    <v>165.62450000000001</v>
    <v>163.024</v>
    <v>164.86850000000001</v>
    <v>164.23599999999999</v>
    <v>165.37299999999999</v>
    <v>167.3245</v>
    <v>172.0925</v>
    <v>170</v>
    <v>170.09</v>
    <v>172.548</v>
    <v>174.95599999999999</v>
    <v>176.57249999999999</v>
    <v>168.4</v>
    <v>164.73099999999999</v>
    <v>157.49199999999999</v>
    <v>163.43049999999999</v>
    <v>158.75550000000001</v>
    <v>155.81100000000001</v>
    <v>155.14850000000001</v>
    <v>157.8065</v>
    <v>153.905</v>
    <v>150.4365</v>
    <v>147.74549999999999</v>
    <v>148.02350000000001</v>
    <v>156.4495</v>
    <v>149.99299999999999</v>
    <v>150.98949999999999</v>
    <v>154.75649999999999</v>
    <v>158.70249999999999</v>
    <v>157.244</v>
    <v>157.4365</v>
    <v>161.06299999999999</v>
    <v>156.25</v>
    <v>159.96</v>
    <v>154.99799999999999</v>
    <v>159.78450000000001</v>
    <v>159.5275</v>
    <v>164.33250000000001</v>
    <v>172.1465</v>
    <v>172.1815</v>
    <v>168.18549999999999</v>
    <v>166.9325</v>
    <v>163.63550000000001</v>
    <v>160.3605</v>
    <v>160.85050000000001</v>
    <v>159.24700000000001</v>
    <v>158.82</v>
    <v>160.22</v>
    <v>160.352</v>
    <v>164.31649999999999</v>
    <v>158.13900000000001</v>
    <v>160.5505</v>
    <v>151.8075</v>
    <v>150.22399999999999</v>
    <v>152.4205</v>
    <v>162.05799999999999</v>
    <v>166.1</v>
    <v>165.5685</v>
    <v>157.18700000000001</v>
    <v>151.751</v>
    <v>156.86949999999999</v>
    <v>155.51400000000001</v>
    <v>156.44049999999999</v>
    <v>156.553</v>
    <v>156.78299999999999</v>
    <v>155.273</v>
    <v>155.851</v>
    <v>154.97</v>
    <v>154.9195</v>
    <v>155.90299999999999</v>
    <v>159.2535</v>
    <v>159.767</v>
    <v>158.40199999999999</v>
    <v>161.00399999999999</v>
    <v>160.1765</v>
    <v>159.3365</v>
    <v>158.12899999999999</v>
    <v>157.9</v>
    <v>158.86449999999999</v>
    <v>155.21</v>
    <v>155.0745</v>
    <v>155.821</v>
    <v>157.8485</v>
    <v>158.256</v>
    <v>162.048</v>
    <v>161.804</v>
    <v>160.08250000000001</v>
    <v>160.309</v>
    <v>160.32599999999999</v>
    <v>159.26349999999999</v>
    <v>158.6345</v>
    <v>164.19800000000001</v>
    <v>166.1</v>
    <v>164.29249999999999</v>
    <v>162.84649999999999</v>
    <v>159.33150000000001</v>
    <v>160.9255</v>
    <v>156.91900000000001</v>
    <v>158.108</v>
    <v>159.13499999999999</v>
    <v>155.7105</v>
    <v>156.04150000000001</v>
    <v>158.2945</v>
    <v>156.37350000000001</v>
    <v>155.21250000000001</v>
    <v>156.03800000000001</v>
    <v>163.16900000000001</v>
    <v>165.34950000000001</v>
    <v>164.61150000000001</v>
    <v>164.7</v>
    <v>166.3065</v>
    <v>161.62899999999999</v>
    <v>161.881</v>
    <v>160.31</v>
    <v>167.14400000000001</v>
    <v>169</v>
    <v>165.62649999999999</v>
    <v>166.55</v>
    <v>167.60749999999999</v>
    <v>166.14699999999999</v>
    <v>165.25</v>
    <v>164.32900000000001</v>
    <v>163.10650000000001</v>
    <v>163.88550000000001</v>
    <v>163.44749999999999</v>
    <v>165.43199999999999</v>
    <v>166.41149999999999</v>
    <v>162.495</v>
    <v>159.03700000000001</v>
    <v>159.72499999999999</v>
    <v>157.97649999999999</v>
    <v>152.858</v>
    <v>154.6465</v>
    <v>157.30699999999999</v>
    <v>154.72649999999999</v>
    <v>150.25</v>
    <v>148.8785</v>
    <v>150.023</v>
    <v>147.5975</v>
    <v>153.14250000000001</v>
    <v>152.88200000000001</v>
    <v>155.67949999999999</v>
    <v>154.47450000000001</v>
    <v>154.084</v>
    <v>154.59299999999999</v>
    <v>156.78649999999999</v>
    <v>151.39949999999999</v>
    <v>153.74799999999999</v>
    <v>155.54349999999999</v>
    <v>156.875</v>
    <v>154.3535</v>
    <v>152.31299999999999</v>
    <v>152.60149999999999</v>
    <v>153.78649999999999</v>
    <v>152.7645</v>
    <v>154.70400000000001</v>
    <v>158.05000000000001</v>
    <v>161.3365</v>
    <v>161.191</v>
    <v>163.96950000000001</v>
    <v>164.965</v>
    <v>168.61</v>
    <v>168.96950000000001</v>
    <v>170</v>
    <v>166.65</v>
    <v>168.9545</v>
    <v>169.97200000000001</v>
    <v>168.60050000000001</v>
    <v>166.7345</v>
    <v>168.101</v>
    <v>165.452</v>
    <v>167.04400000000001</v>
    <v>170.45</v>
    <v>170.8715</v>
    <v>172.92500000000001</v>
    <v>173.56549999999999</v>
    <v>173.37100000000001</v>
    <v>169.3245</v>
    <v>165.59350000000001</v>
    <v>163.52699999999999</v>
    <v>165.3185</v>
    <v>164.5805</v>
    <v>159.52449999999999</v>
    <v>161.19550000000001</v>
    <v>157.59700000000001</v>
    <v>158.0735</v>
    <v>161.14500000000001</v>
    <v>163.51949999999999</v>
    <v>161.614</v>
    <v>161.59</v>
    <v>162.38399999999999</v>
    <v>160.154</v>
    <v>162.24950000000001</v>
    <v>162.95249999999999</v>
    <v>163.25800000000001</v>
    <v>161.50550000000001</v>
    <v>161.15350000000001</v>
    <v>160.9325</v>
    <v>161.6995</v>
    <v>159.35050000000001</v>
    <v>160.31100000000001</v>
    <v>159.90049999999999</v>
    <v>163.2055</v>
    <v>164.0575</v>
    <v>167.48249999999999</v>
    <v>167.3415</v>
    <v>169.1935</v>
    <v>169.15649999999999</v>
    <v>170.76249999999999</v>
    <v>174.46199999999999</v>
    <v>174.345</v>
    <v>172.69800000000001</v>
    <v>175.27199999999999</v>
    <v>175.191</v>
    <v>172.45400000000001</v>
    <v>170.07300000000001</v>
    <v>172.19450000000001</v>
    <v>172.40700000000001</v>
    <v>172.00800000000001</v>
    <v>171.64850000000001</v>
    <v>175.54900000000001</v>
    <v>183.78700000000001</v>
    <v>184.82900000000001</v>
    <v>186.57050000000001</v>
    <v>185.96700000000001</v>
    <v>185.92750000000001</v>
    <v>183.86799999999999</v>
    <v>184.084</v>
    <v>181.56</v>
    <v>178.6815</v>
    <v>177.4795</v>
    <v>178.65950000000001</v>
    <v>179.26</v>
    <v>181.9015</v>
    <v>182.83199999999999</v>
    <v>184.99100000000001</v>
    <v>181.31950000000001</v>
    <v>181.51599999999999</v>
    <v>179.99600000000001</v>
    <v>166.37950000000001</v>
    <v>166.57400000000001</v>
    <v>168.31200000000001</v>
    <v>167.73599999999999</v>
    <v>168.79949999999999</v>
    <v>167.24700000000001</v>
    <v>167.09350000000001</v>
    <v>166.03399999999999</v>
    <v>164.60550000000001</v>
    <v>165.17500000000001</v>
    <v>164.6985</v>
    <v>164.9495</v>
    <v>162.09800000000001</v>
    <v>160.06100000000001</v>
    <v>159.38749999999999</v>
    <v>159.9975</v>
    <v>163.29349999999999</v>
    <v>165.28899999999999</v>
    <v>164.959</v>
    <v>165.8</v>
    <v>167.48150000000001</v>
    <v>171.07849999999999</v>
    <v>173.5395</v>
    <v>173.95</v>
    <v>173.15600000000001</v>
    <v>173.9025</v>
    <v>175.46449999999999</v>
    <v>176.27500000000001</v>
    <v>174.208</v>
    <v>173.45750000000001</v>
    <v>172.85849999999999</v>
    <v>172.5</v>
    <v>173.7895</v>
    <v>174.41200000000001</v>
    <v>173.126</v>
    <v>167.78649999999999</v>
    <v>167.1815</v>
    <v>169.0025</v>
    <v>170.8</v>
    <v>171.27600000000001</v>
    <v>170.29</v>
    <v>165.798</v>
    <v>165.05600000000001</v>
    <v>164.25200000000001</v>
    <v>164.16300000000001</v>
    <v>159.489</v>
    <v>161.05000000000001</v>
    <v>163.10050000000001</v>
    <v>165.1215</v>
    <v>164.43100000000001</v>
    <v>162.315</v>
    <v>162.3665</v>
    <v>164.214</v>
    <v>164.99299999999999</v>
    <v>170.45099999999999</v>
    <v>172.33699999999999</v>
    <v>172.20750000000001</v>
    <v>170.75299999999999</v>
    <v>171.75049999999999</v>
    <v>166.7775</v>
    <v>166.01849999999999</v>
    <v>168.80350000000001</v>
    <v>169.62450000000001</v>
    <v>172.32849999999999</v>
    <v>168.6215</v>
    <v>165.90549999999999</v>
    <v>165.63749999999999</v>
    <v>169.2</v>
    <v>173.85</v>
    <v>175.9495</v>
    <v>174.44900000000001</v>
    <v>178.8115</v>
    <v>174.10249999999999</v>
    <v>173.625</v>
    <v>176.25749999999999</v>
    <v>177.28399999999999</v>
    <v>177.035</v>
    <v>177.45</v>
    <v>184.803</v>
    <v>183.82849999999999</v>
    <v>178.6285</v>
    <v>179.00200000000001</v>
    <v>179.0205</v>
    <v>175.22800000000001</v>
    <v>178.07849999999999</v>
    <v>175.3535</v>
    <v>172.18600000000001</v>
    <v>171.86799999999999</v>
    <v>169.48949999999999</v>
    <v>171.36850000000001</v>
    <v>176.1645</v>
    <v>176.15799999999999</v>
    <v>174.17099999999999</v>
    <v>172.21199999999999</v>
    <v>169.5675</v>
    <v>169.0915</v>
    <v>173.315</v>
    <v>168.87100000000001</v>
    <v>170.01750000000001</v>
    <v>167.07900000000001</v>
    <v>170.417</v>
    <v>171.03700000000001</v>
    <v>171.0685</v>
    <v>169.6695</v>
    <v>170.661</v>
    <v>169.20099999999999</v>
    <v>168.64449999999999</v>
    <v>166.71700000000001</v>
    <v>170.40450000000001</v>
    <v>167.52199999999999</v>
    <v>164.357</v>
    <v>163.25399999999999</v>
    <v>162.554</v>
    <v>161.48599999999999</v>
    <v>165.36199999999999</v>
    <v>165.20699999999999</v>
    <v>161.214</v>
    <v>162.13800000000001</v>
    <v>158.91749999999999</v>
    <v>156.29900000000001</v>
    <v>151.66749999999999</v>
    <v>142.643</v>
    <v>144.54400000000001</v>
    <v>139.98599999999999</v>
    <v>138.8725</v>
    <v>139.63749999999999</v>
    <v>143.97800000000001</v>
    <v>149.5735</v>
    <v>151.1935</v>
    <v>150.61250000000001</v>
    <v>138.84549999999999</v>
    <v>157.6395</v>
    <v>157.93549999999999</v>
    <v>161.4135</v>
    <v>161.18950000000001</v>
    <v>159.0035</v>
    <v>153.29349999999999</v>
    <v>155.167</v>
    <v>156.51050000000001</v>
    <v>158.10050000000001</v>
    <v>154.6525</v>
    <v>152.60149999999999</v>
    <v>150.19749999999999</v>
    <v>144.827</v>
    <v>151.358</v>
    <v>153.7885</v>
    <v>153.56299999999999</v>
    <v>151.142</v>
    <v>152.05250000000001</v>
    <v>147.89850000000001</v>
    <v>145.64099999999999</v>
    <v>137.453</v>
    <v>136.0145</v>
    <v>139.279</v>
    <v>146.8175</v>
    <v>145.52449999999999</v>
    <v>141.85300000000001</v>
    <v>147.3665</v>
    <v>153.10400000000001</v>
    <v>157.239</v>
    <v>161.25049999999999</v>
    <v>161.4915</v>
    <v>164.88900000000001</v>
    <v>163.40799999999999</v>
    <v>163.64949999999999</v>
    <v>164.77350000000001</v>
    <v>168.9905</v>
    <v>169.315</v>
    <v>166.30099999999999</v>
    <v>162.9975</v>
    <v>163.56</v>
    <v>168.34649999999999</v>
    <v>164.05500000000001</v>
    <v>158.756</v>
    <v>157.78450000000001</v>
    <v>154.4605</v>
    <v>151.12200000000001</v>
    <v>150.78749999999999</v>
    <v>155.541</v>
    <v>151.70650000000001</v>
    <v>152.785</v>
    <v>158.1155</v>
    <v>153.99799999999999</v>
    <v>148.29599999999999</v>
    <v>144.35</v>
    <v>146.07400000000001</v>
    <v>139.39099999999999</v>
    <v>138.167</v>
    <v>144.59649999999999</v>
    <v>124.28149999999999</v>
    <v>124.5</v>
    <v>124.2535</v>
    <v>125.9285</v>
    <v>116.407</v>
    <v>114.77249999999999</v>
    <v>108.789</v>
    <v>108.85899999999999</v>
    <v>105.372</v>
    <v>106.93049999999999</v>
    <v>113.05500000000001</v>
    <v>110.8105</v>
    <v>115.3685</v>
    <v>107.1125</v>
    <v>107.319</v>
    <v>107.59099999999999</v>
    <v>107.557</v>
    <v>104.1</v>
    <v>106.77500000000001</v>
    <v>111.0775</v>
    <v>115.1465</v>
    <v>120.20950000000001</v>
    <v>121.684</v>
    <v>125.511</v>
    <v>122.35</v>
    <v>124.79</v>
    <v>123</v>
    <v>121.18</v>
    <v>116.15</v>
    <v>109.65</v>
    <v>103.67</v>
    <v>102.31</v>
    <v>107.67</v>
    <v>103.66</v>
    <v>106.22</v>
    <v>108.68</v>
    <v>108.95</v>
    <v>112.44</v>
    <v>116.46</v>
    <v>113.22</v>
    <v>107.4</v>
    <v>108.92</v>
    <v>106.21</v>
    <v>109.56</v>
    <v>113.5</v>
    <v>114.33</v>
    <v>116.33</v>
    <v>115.54</v>
    <v>111.75</v>
    <v>109.22</v>
    <v>110.4</v>
    <v>110.63</v>
    <v>113.55</v>
    <v>113.76</v>
    <v>118.21</v>
    <v>122.77</v>
    <v>124.63</v>
    <v>122.42</v>
    <v>121.14</v>
    <v>114.81</v>
    <v>120.97</v>
    <v>122.28</v>
    <v>134.94999999999999</v>
    <v>135.38999999999999</v>
    <v>134.16</v>
    <v>139.52000000000001</v>
    <v>142.57</v>
    <v>140.80000000000001</v>
    <v>139.41</v>
    <v>137.83000000000001</v>
    <v>142.69</v>
    <v>140.63999999999999</v>
    <v>143.55000000000001</v>
    <v>143.18</v>
    <v>144.78</v>
    <v>142.1</v>
    <v>142.30000000000001</v>
    <v>138.22999999999999</v>
    <v>133.22</v>
    <v>133.62</v>
    <v>133.80000000000001</v>
    <v>137.28</v>
    <v>130.75</v>
    <v>129.79</v>
    <v>128.72999999999999</v>
    <v>126.77</v>
    <v>127.82</v>
    <v>127.51</v>
    <v>126.11</v>
    <v>129.47999999999999</v>
    <v>129.82</v>
    <v>133.27000000000001</v>
    <v>136.44999999999999</v>
    <v>126.82</v>
    <v>128.55000000000001</v>
    <v>126.28</v>
    <v>123.53</v>
    <v>124.66</v>
    <v>122.19</v>
    <v>118.54</v>
    <v>117.31</v>
    <v>113.78</v>
    <v>115.15</v>
    <v>114.41</v>
    <v>118.01</v>
    <v>114.8</v>
    <v>113</v>
    <v>115.88</v>
    <v>121.09</v>
    <v>120.95</v>
    <v>120.3</v>
    <v>114.56</v>
    <v>113.67</v>
    <v>112.21</v>
    <v>112.9</v>
    <v>112.53</v>
    <v>106.9</v>
    <v>113.79</v>
    <v>116.36</v>
    <v>115.07</v>
    <v>115.25</v>
    <v>119.32</v>
    <v>119.82</v>
    <v>120.6</v>
    <v>115.66</v>
    <v>110.96</v>
    <v>103.41</v>
    <v>102.44</v>
    <v>96.79</v>
    <v>92.12</v>
    <v>89.3</v>
    <v>90.98</v>
    <v>90.53</v>
    <v>89.98</v>
    <v>86.14</v>
    <v>96.63</v>
    <v>100.79</v>
    <v>98.49</v>
    <v>98.94</v>
    <v>97.12</v>
    <v>94.85</v>
    <v>94.14</v>
    <v>92.46</v>
    <v>93.2</v>
    <v>94.13</v>
    <v>93.41</v>
    <v>93.95</v>
    <v>92.42</v>
    <v>96.54</v>
    <v>95.5</v>
    <v>94.13</v>
    <v>91.01</v>
    <v>88.25</v>
    <v>88.46</v>
    <v>90.35</v>
    <v>89.09</v>
    <v>90.55</v>
    <v>92.49</v>
    <v>91.58</v>
    <v>88.45</v>
    <v>87.86</v>
    <v>84.92</v>
    <v>85.19</v>
    <v>86.77</v>
    <v>83.79</v>
    <v>85.25</v>
    <v>83.04</v>
    <v>81.819999999999993</v>
    <v>84.18</v>
    <v>84</v>
  </a>
  <a r="1" c="96">
    <v>93.067099999999996</v>
    <v>97.846100000000007</v>
    <v>99.302700000000002</v>
    <v>96.075400000000002</v>
    <v>99.197900000000004</v>
    <v>97.075000000000003</v>
    <v>100.00709999999999</v>
    <v>94.504599999999996</v>
    <v>90.144499999999994</v>
    <v>98.322100000000006</v>
    <v>98.959900000000005</v>
    <v>98.598200000000006</v>
    <v>98.245999999999995</v>
    <v>96.484800000000007</v>
    <v>106.6711</v>
    <v>108.78449999999999</v>
    <v>108.3657</v>
    <v>110.73609999999999</v>
    <v>110.7457</v>
    <v>111.1074</v>
    <v>110.9932</v>
    <v>105.01260000000001</v>
    <v>109.0913</v>
    <v>110.92010000000001</v>
    <v>113.28489999999999</v>
    <v>119.202</v>
    <v>119.5562</v>
    <v>125.5594</v>
    <v>127.33069999999999</v>
    <v>127.61790000000001</v>
    <v>130.32749999999999</v>
    <v>132.386</v>
    <v>135.70830000000001</v>
    <v>138.02529999999999</v>
    <v>149.32320000000001</v>
    <v>146.8338</v>
    <v>152.87530000000001</v>
    <v>144.67959999999999</v>
    <v>138.3604</v>
    <v>138.5232</v>
    <v>141.61580000000001</v>
    <v>137.91999999999999</v>
    <v>152.8562</v>
    <v>152.29130000000001</v>
    <v>159.31890000000001</v>
    <v>144.82</v>
    <v>146.75</v>
    <v>132.12</v>
    <v>143.63</v>
    <v>154.07</v>
    <v>158.91999999999999</v>
    <v>173.63</v>
    <v>164.31</v>
    <v>174.59</v>
    <v>172.46</v>
    <v>164.62</v>
    <v>169.2</v>
    <v>172.73</v>
    <v>178.55</v>
    <v>177</v>
    <v>173.22</v>
    <v>162.16999999999999</v>
    <v>133.79</v>
    <v>141.9</v>
    <v>145.85</v>
    <v>144.59</v>
    <v>149.37</v>
    <v>165.55</v>
    <v>164.61</v>
    <v>164.95</v>
    <v>203.92</v>
    <v>212.7</v>
    <v>195.37</v>
    <v>202.35</v>
    <v>217.07</v>
    <v>223.04</v>
    <v>230.91</v>
    <v>219.35</v>
    <v>233.79</v>
    <v>231.91</v>
    <v>212.28</v>
    <v>218.62</v>
    <v>202.24</v>
    <v>208.51</v>
    <v>204.48</v>
    <v>189.75</v>
    <v>194.58</v>
    <v>193.51</v>
    <v>193.62</v>
    <v>173.81</v>
    <v>192.46</v>
    <v>189.35</v>
    <v>166.97</v>
    <v>204.02</v>
    <v>219.55</v>
    <v>214.3</v>
  </a>
  <a r="1" c="1509">
    <v t="i">2</v>
    <v t="i">3</v>
    <v t="i">4</v>
    <v t="i">5</v>
    <v t="i">8</v>
    <v t="i">9</v>
    <v t="i">10</v>
    <v t="i">11</v>
    <v t="i">12</v>
    <v t="i">16</v>
    <v t="i">17</v>
    <v t="i">18</v>
    <v t="i">19</v>
    <v t="i">22</v>
    <v t="i">23</v>
    <v t="i">24</v>
    <v t="i">25</v>
    <v t="i">26</v>
    <v t="i">29</v>
    <v t="i">30</v>
    <v t="i">31</v>
    <v t="i">32</v>
    <v t="i">33</v>
    <v t="i">36</v>
    <v t="i">37</v>
    <v t="i">38</v>
    <v t="i">39</v>
    <v t="i">40</v>
    <v t="i">43</v>
    <v t="i">44</v>
    <v t="i">45</v>
    <v t="i">46</v>
    <v t="i">47</v>
    <v t="i">51</v>
    <v t="i">52</v>
    <v t="i">53</v>
    <v t="i">54</v>
    <v t="i">57</v>
    <v t="i">58</v>
    <v t="i">59</v>
    <v t="i">60</v>
    <v t="i">61</v>
    <v t="i">64</v>
    <v t="i">65</v>
    <v t="i">66</v>
    <v t="i">67</v>
    <v t="i">68</v>
    <v t="i">71</v>
    <v t="i">72</v>
    <v t="i">73</v>
    <v t="i">74</v>
    <v t="i">75</v>
    <v t="i">78</v>
    <v t="i">79</v>
    <v t="i">80</v>
    <v t="i">81</v>
    <v t="i">82</v>
    <v t="i">85</v>
    <v t="i">86</v>
    <v t="i">87</v>
    <v t="i">88</v>
    <v t="i">89</v>
    <v t="i">92</v>
    <v t="i">93</v>
    <v t="i">94</v>
    <v t="i">95</v>
    <v t="i">96</v>
    <v t="i">99</v>
    <v t="i">100</v>
    <v t="i">101</v>
    <v t="i">102</v>
    <v t="i">106</v>
    <v t="i">107</v>
    <v t="i">108</v>
    <v t="i">109</v>
    <v t="i">110</v>
    <v t="i">113</v>
    <v t="i">114</v>
    <v t="i">115</v>
    <v t="i">116</v>
    <v t="i">117</v>
    <v t="i">120</v>
    <v t="i">121</v>
    <v t="i">122</v>
    <v t="i">123</v>
    <v t="i">124</v>
    <v t="i">127</v>
    <v t="i">128</v>
    <v t="i">129</v>
    <v t="i">130</v>
    <v t="i">131</v>
    <v t="i">134</v>
    <v t="i">135</v>
    <v t="i">136</v>
    <v t="i">137</v>
    <v t="i">138</v>
    <v t="i">141</v>
    <v t="i">142</v>
    <v t="i">143</v>
    <v t="i">144</v>
    <v t="i">145</v>
    <v t="i">149</v>
    <v t="i">150</v>
    <v t="i">151</v>
    <v t="i">152</v>
    <v t="i">155</v>
    <v t="i">156</v>
    <v t="i">157</v>
    <v t="i">158</v>
    <v t="i">159</v>
    <v t="i">162</v>
    <v t="i">163</v>
    <v t="i">164</v>
    <v t="i">165</v>
    <v t="i">166</v>
    <v t="i">169</v>
    <v t="i">170</v>
    <v t="i">171</v>
    <v t="i">172</v>
    <v t="i">173</v>
    <v t="i">176</v>
    <v t="i">177</v>
    <v t="i">178</v>
    <v t="i">179</v>
    <v t="i">180</v>
    <v t="i">183</v>
    <v t="i">185</v>
    <v t="i">186</v>
    <v t="i">187</v>
    <v t="i">190</v>
    <v t="i">191</v>
    <v t="i">192</v>
    <v t="i">193</v>
    <v t="i">194</v>
    <v t="i">197</v>
    <v t="i">198</v>
    <v t="i">199</v>
    <v t="i">200</v>
    <v t="i">201</v>
    <v t="i">204</v>
    <v t="i">205</v>
    <v t="i">206</v>
    <v t="i">207</v>
    <v t="i">208</v>
    <v t="i">211</v>
    <v t="i">212</v>
    <v t="i">213</v>
    <v t="i">214</v>
    <v t="i">215</v>
    <v t="i">218</v>
    <v t="i">219</v>
    <v t="i">220</v>
    <v t="i">221</v>
    <v t="i">222</v>
    <v t="i">225</v>
    <v t="i">226</v>
    <v t="i">227</v>
    <v t="i">228</v>
    <v t="i">229</v>
    <v t="i">232</v>
    <v t="i">233</v>
    <v t="i">234</v>
    <v t="i">235</v>
    <v t="i">236</v>
    <v t="i">239</v>
    <v t="i">240</v>
    <v t="i">241</v>
    <v t="i">242</v>
    <v t="i">243</v>
    <v t="i">247</v>
    <v t="i">248</v>
    <v t="i">249</v>
    <v t="i">250</v>
    <v t="i">253</v>
    <v t="i">254</v>
    <v t="i">255</v>
    <v t="i">256</v>
    <v t="i">257</v>
    <v t="i">260</v>
    <v t="i">261</v>
    <v t="i">262</v>
    <v t="i">263</v>
    <v t="i">264</v>
    <v t="i">267</v>
    <v t="i">268</v>
    <v t="i">269</v>
    <v t="i">270</v>
    <v t="i">271</v>
    <v t="i">274</v>
    <v t="i">275</v>
    <v t="i">276</v>
    <v t="i">277</v>
    <v t="i">278</v>
    <v t="i">281</v>
    <v t="i">282</v>
    <v t="i">283</v>
    <v t="i">284</v>
    <v t="i">285</v>
    <v t="i">288</v>
    <v t="i">289</v>
    <v t="i">290</v>
    <v t="i">291</v>
    <v t="i">292</v>
    <v t="i">295</v>
    <v t="i">296</v>
    <v t="i">297</v>
    <v t="i">298</v>
    <v t="i">299</v>
    <v t="i">302</v>
    <v t="i">303</v>
    <v t="i">304</v>
    <v t="i">305</v>
    <v t="i">306</v>
    <v t="i">309</v>
    <v t="i">310</v>
    <v t="i">311</v>
    <v t="i">312</v>
    <v t="i">313</v>
    <v t="i">316</v>
    <v t="i">317</v>
    <v t="i">318</v>
    <v t="i">319</v>
    <v t="i">320</v>
    <v t="i">323</v>
    <v t="i">324</v>
    <v t="i">325</v>
    <v t="i">327</v>
    <v t="i">330</v>
    <v t="i">331</v>
    <v t="i">332</v>
    <v t="i">333</v>
    <v t="i">334</v>
    <v t="i">337</v>
    <v t="i">338</v>
    <v t="i">339</v>
    <v t="i">340</v>
    <v t="i">341</v>
    <v t="i">344</v>
    <v t="i">345</v>
    <v t="i">346</v>
    <v t="i">347</v>
    <v t="i">348</v>
    <v t="i">351</v>
    <v t="i">352</v>
    <v t="i">353</v>
    <v t="i">354</v>
    <v t="i">355</v>
    <v t="i">359</v>
    <v t="i">360</v>
    <v t="i">361</v>
    <v t="i">362</v>
    <v t="i">366</v>
    <v t="i">367</v>
    <v t="i">368</v>
    <v t="i">369</v>
    <v t="i">372</v>
    <v t="i">373</v>
    <v t="i">374</v>
    <v t="i">375</v>
    <v t="i">376</v>
    <v t="i">380</v>
    <v t="i">381</v>
    <v t="i">382</v>
    <v t="i">383</v>
    <v t="i">386</v>
    <v t="i">387</v>
    <v t="i">388</v>
    <v t="i">389</v>
    <v t="i">390</v>
    <v t="i">393</v>
    <v t="i">394</v>
    <v t="i">395</v>
    <v t="i">396</v>
    <v t="i">397</v>
    <v t="i">400</v>
    <v t="i">401</v>
    <v t="i">402</v>
    <v t="i">403</v>
    <v t="i">404</v>
    <v t="i">407</v>
    <v t="i">408</v>
    <v t="i">409</v>
    <v t="i">410</v>
    <v t="i">411</v>
    <v t="i">415</v>
    <v t="i">416</v>
    <v t="i">417</v>
    <v t="i">418</v>
    <v t="i">421</v>
    <v t="i">422</v>
    <v t="i">423</v>
    <v t="i">424</v>
    <v t="i">425</v>
    <v t="i">428</v>
    <v t="i">429</v>
    <v t="i">430</v>
    <v t="i">431</v>
    <v t="i">432</v>
    <v t="i">435</v>
    <v t="i">436</v>
    <v t="i">437</v>
    <v t="i">438</v>
    <v t="i">439</v>
    <v t="i">442</v>
    <v t="i">443</v>
    <v t="i">444</v>
    <v t="i">445</v>
    <v t="i">446</v>
    <v t="i">449</v>
    <v t="i">450</v>
    <v t="i">451</v>
    <v t="i">452</v>
    <v t="i">456</v>
    <v t="i">457</v>
    <v t="i">458</v>
    <v t="i">459</v>
    <v t="i">460</v>
    <v t="i">463</v>
    <v t="i">464</v>
    <v t="i">465</v>
    <v t="i">466</v>
    <v t="i">467</v>
    <v t="i">470</v>
    <v t="i">471</v>
    <v t="i">472</v>
    <v t="i">473</v>
    <v t="i">474</v>
    <v t="i">477</v>
    <v t="i">478</v>
    <v t="i">479</v>
    <v t="i">480</v>
    <v t="i">481</v>
    <v t="i">484</v>
    <v t="i">485</v>
    <v t="i">486</v>
    <v t="i">487</v>
    <v t="i">488</v>
    <v t="i">491</v>
    <v t="i">492</v>
    <v t="i">493</v>
    <v t="i">494</v>
    <v t="i">495</v>
    <v t="i">498</v>
    <v t="i">499</v>
    <v t="i">500</v>
    <v t="i">501</v>
    <v t="i">502</v>
    <v t="i">505</v>
    <v t="i">506</v>
    <v t="i">507</v>
    <v t="i">508</v>
    <v t="i">509</v>
    <v t="i">513</v>
    <v t="i">514</v>
    <v t="i">515</v>
    <v t="i">516</v>
    <v t="i">519</v>
    <v t="i">520</v>
    <v t="i">521</v>
    <v t="i">522</v>
    <v t="i">523</v>
    <v t="i">526</v>
    <v t="i">527</v>
    <v t="i">528</v>
    <v t="i">529</v>
    <v t="i">530</v>
    <v t="i">533</v>
    <v t="i">534</v>
    <v t="i">535</v>
    <v t="i">536</v>
    <v t="i">537</v>
    <v t="i">540</v>
    <v t="i">541</v>
    <v t="i">542</v>
    <v t="i">543</v>
    <v t="i">544</v>
    <v t="i">547</v>
    <v t="i">548</v>
    <v t="i">550</v>
    <v t="i">551</v>
    <v t="i">554</v>
    <v t="i">555</v>
    <v t="i">556</v>
    <v t="i">557</v>
    <v t="i">558</v>
    <v t="i">561</v>
    <v t="i">562</v>
    <v t="i">563</v>
    <v t="i">564</v>
    <v t="i">565</v>
    <v t="i">568</v>
    <v t="i">569</v>
    <v t="i">570</v>
    <v t="i">571</v>
    <v t="i">572</v>
    <v t="i">575</v>
    <v t="i">576</v>
    <v t="i">577</v>
    <v t="i">578</v>
    <v t="i">579</v>
    <v t="i">582</v>
    <v t="i">583</v>
    <v t="i">584</v>
    <v t="i">585</v>
    <v t="i">586</v>
    <v t="i">589</v>
    <v t="i">590</v>
    <v t="i">591</v>
    <v t="i">592</v>
    <v t="i">593</v>
    <v t="i">596</v>
    <v t="i">597</v>
    <v t="i">598</v>
    <v t="i">599</v>
    <v t="i">600</v>
    <v t="i">603</v>
    <v t="i">604</v>
    <v t="i">605</v>
    <v t="i">606</v>
    <v t="i">607</v>
    <v t="i">611</v>
    <v t="i">612</v>
    <v t="i">613</v>
    <v t="i">614</v>
    <v t="i">617</v>
    <v t="i">618</v>
    <v t="i">619</v>
    <v t="i">620</v>
    <v t="i">621</v>
    <v t="i">624</v>
    <v t="i">625</v>
    <v t="i">626</v>
    <v t="i">627</v>
    <v t="i">628</v>
    <v t="i">631</v>
    <v t="i">632</v>
    <v t="i">633</v>
    <v t="i">634</v>
    <v t="i">635</v>
    <v t="i">638</v>
    <v t="i">639</v>
    <v t="i">640</v>
    <v t="i">641</v>
    <v t="i">642</v>
    <v t="i">645</v>
    <v t="i">646</v>
    <v t="i">647</v>
    <v t="i">648</v>
    <v t="i">649</v>
    <v t="i">652</v>
    <v t="i">653</v>
    <v t="i">654</v>
    <v t="i">655</v>
    <v t="i">656</v>
    <v t="i">659</v>
    <v t="i">660</v>
    <v t="i">661</v>
    <v t="i">662</v>
    <v t="i">663</v>
    <v t="i">666</v>
    <v t="i">667</v>
    <v t="i">668</v>
    <v t="i">669</v>
    <v t="i">670</v>
    <v t="i">673</v>
    <v t="i">674</v>
    <v t="i">675</v>
    <v t="i">676</v>
    <v t="i">677</v>
    <v t="i">680</v>
    <v t="i">681</v>
    <v t="i">682</v>
    <v t="i">683</v>
    <v t="i">684</v>
    <v t="i">687</v>
    <v t="i">688</v>
    <v t="i">689</v>
    <v t="i">691</v>
    <v t="i">694</v>
    <v t="i">695</v>
    <v t="i">696</v>
    <v t="i">697</v>
    <v t="i">698</v>
    <v t="i">701</v>
    <v t="i">702</v>
    <v t="i">704</v>
    <v t="i">705</v>
    <v t="i">708</v>
    <v t="i">709</v>
    <v t="i">710</v>
    <v t="i">711</v>
    <v t="i">712</v>
    <v t="i">715</v>
    <v t="i">716</v>
    <v t="i">717</v>
    <v t="i">718</v>
    <v t="i">719</v>
    <v t="i">722</v>
    <v t="i">724</v>
    <v t="i">725</v>
    <v t="i">726</v>
    <v t="i">729</v>
    <v t="i">731</v>
    <v t="i">732</v>
    <v t="i">733</v>
    <v t="i">736</v>
    <v t="i">737</v>
    <v t="i">738</v>
    <v t="i">739</v>
    <v t="i">740</v>
    <v t="i">743</v>
    <v t="i">744</v>
    <v t="i">745</v>
    <v t="i">746</v>
    <v t="i">747</v>
    <v t="i">751</v>
    <v t="i">752</v>
    <v t="i">753</v>
    <v t="i">754</v>
    <v t="i">757</v>
    <v t="i">758</v>
    <v t="i">759</v>
    <v t="i">760</v>
    <v t="i">761</v>
    <v t="i">764</v>
    <v t="i">765</v>
    <v t="i">766</v>
    <v t="i">767</v>
    <v t="i">768</v>
    <v t="i">771</v>
    <v t="i">772</v>
    <v t="i">773</v>
    <v t="i">774</v>
    <v t="i">775</v>
    <v t="i">779</v>
    <v t="i">780</v>
    <v t="i">781</v>
    <v t="i">782</v>
    <v t="i">785</v>
    <v t="i">786</v>
    <v t="i">787</v>
    <v t="i">788</v>
    <v t="i">789</v>
    <v t="i">792</v>
    <v t="i">793</v>
    <v t="i">794</v>
    <v t="i">795</v>
    <v t="i">796</v>
    <v t="i">799</v>
    <v t="i">800</v>
    <v t="i">801</v>
    <v t="i">802</v>
    <v t="i">803</v>
    <v t="i">806</v>
    <v t="i">807</v>
    <v t="i">808</v>
    <v t="i">809</v>
    <v t="i">810</v>
    <v t="i">813</v>
    <v t="i">814</v>
    <v t="i">815</v>
    <v t="i">816</v>
    <v t="i">817</v>
    <v t="i">820</v>
    <v t="i">821</v>
    <v t="i">822</v>
    <v t="i">823</v>
    <v t="i">824</v>
    <v t="i">827</v>
    <v t="i">828</v>
    <v t="i">829</v>
    <v t="i">830</v>
    <v t="i">831</v>
    <v t="i">834</v>
    <v t="i">835</v>
    <v t="i">836</v>
    <v t="i">837</v>
    <v t="i">841</v>
    <v t="i">842</v>
    <v t="i">843</v>
    <v t="i">844</v>
    <v t="i">845</v>
    <v t="i">848</v>
    <v t="i">849</v>
    <v t="i">850</v>
    <v t="i">851</v>
    <v t="i">852</v>
    <v t="i">855</v>
    <v t="i">856</v>
    <v t="i">857</v>
    <v t="i">858</v>
    <v t="i">859</v>
    <v t="i">862</v>
    <v t="i">863</v>
    <v t="i">864</v>
    <v t="i">865</v>
    <v t="i">866</v>
    <v t="i">869</v>
    <v t="i">870</v>
    <v t="i">871</v>
    <v t="i">872</v>
    <v t="i">873</v>
    <v t="i">877</v>
    <v t="i">878</v>
    <v t="i">879</v>
    <v t="i">880</v>
    <v t="i">883</v>
    <v t="i">884</v>
    <v t="i">885</v>
    <v t="i">886</v>
    <v t="i">887</v>
    <v t="i">890</v>
    <v t="i">891</v>
    <v t="i">892</v>
    <v t="i">893</v>
    <v t="i">894</v>
    <v t="i">897</v>
    <v t="i">898</v>
    <v t="i">899</v>
    <v t="i">900</v>
    <v t="i">901</v>
    <v t="i">904</v>
    <v t="i">905</v>
    <v t="i">906</v>
    <v t="i">907</v>
    <v t="i">908</v>
    <v t="i">911</v>
    <v t="i">912</v>
    <v t="i">913</v>
    <v t="i">915</v>
    <v t="i">918</v>
    <v t="i">919</v>
    <v t="i">920</v>
    <v t="i">921</v>
    <v t="i">922</v>
    <v t="i">925</v>
    <v t="i">926</v>
    <v t="i">927</v>
    <v t="i">928</v>
    <v t="i">929</v>
    <v t="i">932</v>
    <v t="i">933</v>
    <v t="i">934</v>
    <v t="i">935</v>
    <v t="i">936</v>
    <v t="i">939</v>
    <v t="i">940</v>
    <v t="i">941</v>
    <v t="i">942</v>
    <v t="i">943</v>
    <v t="i">946</v>
    <v t="i">947</v>
    <v t="i">948</v>
    <v t="i">949</v>
    <v t="i">950</v>
    <v t="i">953</v>
    <v t="i">954</v>
    <v t="i">955</v>
    <v t="i">956</v>
    <v t="i">957</v>
    <v t="i">960</v>
    <v t="i">961</v>
    <v t="i">962</v>
    <v t="i">963</v>
    <v t="i">964</v>
    <v t="i">967</v>
    <v t="i">968</v>
    <v t="i">969</v>
    <v t="i">970</v>
    <v t="i">971</v>
    <v t="i">975</v>
    <v t="i">976</v>
    <v t="i">977</v>
    <v t="i">978</v>
    <v t="i">981</v>
    <v t="i">982</v>
    <v t="i">983</v>
    <v t="i">984</v>
    <v t="i">985</v>
    <v t="i">988</v>
    <v t="i">989</v>
    <v t="i">990</v>
    <v t="i">991</v>
    <v t="i">992</v>
    <v t="i">995</v>
    <v t="i">996</v>
    <v t="i">997</v>
    <v t="i">998</v>
    <v t="i">999</v>
    <v t="i">1002</v>
    <v t="i">1003</v>
    <v t="i">1004</v>
    <v t="i">1005</v>
    <v t="i">1006</v>
    <v t="i">1009</v>
    <v t="i">1010</v>
    <v t="i">1011</v>
    <v t="i">1012</v>
    <v t="i">1013</v>
    <v t="i">1016</v>
    <v t="i">1017</v>
    <v t="i">1018</v>
    <v t="i">1019</v>
    <v t="i">1020</v>
    <v t="i">1023</v>
    <v t="i">1024</v>
    <v t="i">1025</v>
    <v t="i">1026</v>
    <v t="i">1027</v>
    <v t="i">1030</v>
    <v t="i">1031</v>
    <v t="i">1032</v>
    <v t="i">1033</v>
    <v t="i">1034</v>
    <v t="i">1037</v>
    <v t="i">1038</v>
    <v t="i">1039</v>
    <v t="i">1040</v>
    <v t="i">1041</v>
    <v t="i">1044</v>
    <v t="i">1045</v>
    <v t="i">1046</v>
    <v t="i">1047</v>
    <v t="i">1048</v>
    <v t="i">1051</v>
    <v t="i">1052</v>
    <v t="i">1053</v>
    <v t="i">1054</v>
    <v t="i">1055</v>
    <v t="i">1058</v>
    <v t="i">1059</v>
    <v t="i">1060</v>
    <v t="i">1062</v>
    <v t="i">1065</v>
    <v t="i">1066</v>
    <v t="i">1067</v>
    <v t="i">1068</v>
    <v t="i">1069</v>
    <v t="i">1072</v>
    <v t="i">1073</v>
    <v t="i">1074</v>
    <v t="i">1075</v>
    <v t="i">1076</v>
    <v t="i">1079</v>
    <v t="i">1080</v>
    <v t="i">1081</v>
    <v t="i">1082</v>
    <v t="i">1083</v>
    <v t="i">1086</v>
    <v t="i">1087</v>
    <v t="i">1089</v>
    <v t="i">1090</v>
    <v t="i">1093</v>
    <v t="i">1094</v>
    <v t="i">1096</v>
    <v t="i">1097</v>
    <v t="i">1100</v>
    <v t="i">1101</v>
    <v t="i">1102</v>
    <v t="i">1103</v>
    <v t="i">1104</v>
    <v t="i">1107</v>
    <v t="i">1108</v>
    <v t="i">1109</v>
    <v t="i">1110</v>
    <v t="i">1111</v>
    <v t="i">1115</v>
    <v t="i">1116</v>
    <v t="i">1117</v>
    <v t="i">1118</v>
    <v t="i">1121</v>
    <v t="i">1122</v>
    <v t="i">1123</v>
    <v t="i">1124</v>
    <v t="i">1125</v>
    <v t="i">1128</v>
    <v t="i">1129</v>
    <v t="i">1130</v>
    <v t="i">1131</v>
    <v t="i">1132</v>
    <v t="i">1135</v>
    <v t="i">1136</v>
    <v t="i">1137</v>
    <v t="i">1138</v>
    <v t="i">1139</v>
    <v t="i">1143</v>
    <v t="i">1144</v>
    <v t="i">1145</v>
    <v t="i">1146</v>
    <v t="i">1149</v>
    <v t="i">1150</v>
    <v t="i">1151</v>
    <v t="i">1152</v>
    <v t="i">1153</v>
    <v t="i">1156</v>
    <v t="i">1157</v>
    <v t="i">1158</v>
    <v t="i">1159</v>
    <v t="i">1160</v>
    <v t="i">1163</v>
    <v t="i">1164</v>
    <v t="i">1165</v>
    <v t="i">1166</v>
    <v t="i">1167</v>
    <v t="i">1170</v>
    <v t="i">1171</v>
    <v t="i">1172</v>
    <v t="i">1173</v>
    <v t="i">1174</v>
    <v t="i">1177</v>
    <v t="i">1178</v>
    <v t="i">1179</v>
    <v t="i">1180</v>
    <v t="i">1181</v>
    <v t="i">1184</v>
    <v t="i">1185</v>
    <v t="i">1186</v>
    <v t="i">1187</v>
    <v t="i">1188</v>
    <v t="i">1191</v>
    <v t="i">1192</v>
    <v t="i">1193</v>
    <v t="i">1194</v>
    <v t="i">1198</v>
    <v t="i">1199</v>
    <v t="i">1200</v>
    <v t="i">1201</v>
    <v t="i">1202</v>
    <v t="i">1205</v>
    <v t="i">1206</v>
    <v t="i">1207</v>
    <v t="i">1208</v>
    <v t="i">1209</v>
    <v t="i">1212</v>
    <v t="i">1213</v>
    <v t="i">1214</v>
    <v t="i">1215</v>
    <v t="i">1216</v>
    <v t="i">1219</v>
    <v t="i">1220</v>
    <v t="i">1221</v>
    <v t="i">1222</v>
    <v t="i">1223</v>
    <v t="i">1226</v>
    <v t="i">1227</v>
    <v t="i">1228</v>
    <v t="i">1229</v>
    <v t="i">1230</v>
    <v t="i">1233</v>
    <v t="i">1234</v>
    <v t="i">1235</v>
    <v t="i">1236</v>
    <v t="i">1237</v>
    <v t="i">1241</v>
    <v t="i">1242</v>
    <v t="i">1243</v>
    <v t="i">1244</v>
    <v t="i">1247</v>
    <v t="i">1248</v>
    <v t="i">1249</v>
    <v t="i">1250</v>
    <v t="i">1251</v>
    <v t="i">1254</v>
    <v t="i">1255</v>
    <v t="i">1256</v>
    <v t="i">1257</v>
    <v t="i">1258</v>
    <v t="i">1261</v>
    <v t="i">1262</v>
    <v t="i">1263</v>
    <v t="i">1264</v>
    <v t="i">1265</v>
    <v t="i">1268</v>
    <v t="i">1269</v>
    <v t="i">1270</v>
    <v t="i">1271</v>
    <v t="i">1272</v>
    <v t="i">1275</v>
    <v t="i">1276</v>
    <v t="i">1277</v>
    <v t="i">1278</v>
    <v t="i">1282</v>
    <v t="i">1283</v>
    <v t="i">1284</v>
    <v t="i">1285</v>
    <v t="i">1286</v>
    <v t="i">1289</v>
    <v t="i">1290</v>
    <v t="i">1291</v>
    <v t="i">1292</v>
    <v t="i">1293</v>
    <v t="i">1296</v>
    <v t="i">1297</v>
    <v t="i">1298</v>
    <v t="i">1299</v>
    <v t="i">1300</v>
    <v t="i">1303</v>
    <v t="i">1304</v>
    <v t="i">1305</v>
    <v t="i">1306</v>
    <v t="i">1307</v>
    <v t="i">1310</v>
    <v t="i">1311</v>
    <v t="i">1312</v>
    <v t="i">1313</v>
    <v t="i">1314</v>
    <v t="i">1317</v>
    <v t="i">1318</v>
    <v t="i">1319</v>
    <v t="i">1320</v>
    <v t="i">1321</v>
    <v t="i">1324</v>
    <v t="i">1325</v>
    <v t="i">1326</v>
    <v t="i">1327</v>
    <v t="i">1328</v>
    <v t="i">1331</v>
    <v t="i">1332</v>
    <v t="i">1333</v>
    <v t="i">1334</v>
    <v t="i">1335</v>
    <v t="i">1338</v>
    <v t="i">1339</v>
    <v t="i">1340</v>
    <v t="i">1341</v>
    <v t="i">1342</v>
    <v t="i">1346</v>
    <v t="i">1347</v>
    <v t="i">1348</v>
    <v t="i">1349</v>
    <v t="i">1352</v>
    <v t="i">1353</v>
    <v t="i">1354</v>
    <v t="i">1355</v>
    <v t="i">1356</v>
    <v t="i">1359</v>
    <v t="i">1360</v>
    <v t="i">1361</v>
    <v t="i">1362</v>
    <v t="i">1363</v>
    <v t="i">1366</v>
    <v t="i">1367</v>
    <v t="i">1368</v>
    <v t="i">1369</v>
    <v t="i">1370</v>
    <v t="i">1373</v>
    <v t="i">1374</v>
    <v t="i">1375</v>
    <v t="i">1376</v>
    <v t="i">1377</v>
    <v t="i">1380</v>
    <v t="i">1381</v>
    <v t="i">1382</v>
    <v t="i">1383</v>
    <v t="i">1384</v>
    <v t="i">1387</v>
    <v t="i">1388</v>
    <v t="i">1389</v>
    <v t="i">1390</v>
    <v t="i">1391</v>
    <v t="i">1394</v>
    <v t="i">1395</v>
    <v t="i">1396</v>
    <v t="i">1397</v>
    <v t="i">1398</v>
    <v t="i">1401</v>
    <v t="i">1402</v>
    <v t="i">1403</v>
    <v t="i">1404</v>
    <v t="i">1405</v>
    <v t="i">1408</v>
    <v t="i">1409</v>
    <v t="i">1410</v>
    <v t="i">1411</v>
    <v t="i">1412</v>
    <v t="i">1415</v>
    <v t="i">1416</v>
    <v t="i">1417</v>
    <v t="i">1418</v>
    <v t="i">1419</v>
    <v t="i">1422</v>
    <v t="i">1423</v>
    <v t="i">1424</v>
    <v t="i">1426</v>
    <v t="i">1429</v>
    <v t="i">1430</v>
    <v t="i">1431</v>
    <v t="i">1432</v>
    <v t="i">1433</v>
    <v t="i">1436</v>
    <v t="i">1437</v>
    <v t="i">1438</v>
    <v t="i">1439</v>
    <v t="i">1440</v>
    <v t="i">1443</v>
    <v t="i">1444</v>
    <v t="i">1445</v>
    <v t="i">1446</v>
    <v t="i">1447</v>
    <v t="i">1450</v>
    <v t="i">1451</v>
    <v t="i">1452</v>
    <v t="i">1453</v>
    <v t="i">1457</v>
    <v t="i">1458</v>
    <v t="i">1459</v>
    <v t="i">1460</v>
    <v t="i">1464</v>
    <v t="i">1465</v>
    <v t="i">1466</v>
    <v t="i">1467</v>
    <v t="i">1468</v>
    <v t="i">1471</v>
    <v t="i">1472</v>
    <v t="i">1473</v>
    <v t="i">1474</v>
    <v t="i">1475</v>
    <v t="i">1479</v>
    <v t="i">1480</v>
    <v t="i">1481</v>
    <v t="i">1482</v>
    <v t="i">1485</v>
    <v t="i">1486</v>
    <v t="i">1487</v>
    <v t="i">1488</v>
    <v t="i">1489</v>
    <v t="i">1492</v>
    <v t="i">1493</v>
    <v t="i">1494</v>
    <v t="i">1495</v>
    <v t="i">1496</v>
    <v t="i">1499</v>
    <v t="i">1500</v>
    <v t="i">1501</v>
    <v t="i">1502</v>
    <v t="i">1503</v>
    <v t="i">1507</v>
    <v t="i">1508</v>
    <v t="i">1509</v>
    <v t="i">1510</v>
    <v t="i">1513</v>
    <v t="i">1514</v>
    <v t="i">1515</v>
    <v t="i">1516</v>
    <v t="i">1517</v>
    <v t="i">1520</v>
    <v t="i">1521</v>
    <v t="i">1522</v>
    <v t="i">1523</v>
    <v t="i">1524</v>
    <v t="i">1527</v>
    <v t="i">1528</v>
    <v t="i">1529</v>
    <v t="i">1530</v>
    <v t="i">1531</v>
    <v t="i">1534</v>
    <v t="i">1535</v>
    <v t="i">1536</v>
    <v t="i">1537</v>
    <v t="i">1538</v>
    <v t="i">1541</v>
    <v t="i">1542</v>
    <v t="i">1543</v>
    <v t="i">1544</v>
    <v t="i">1545</v>
    <v t="i">1548</v>
    <v t="i">1549</v>
    <v t="i">1550</v>
    <v t="i">1551</v>
    <v t="i">1555</v>
    <v t="i">1556</v>
    <v t="i">1557</v>
    <v t="i">1558</v>
    <v t="i">1559</v>
    <v t="i">1562</v>
    <v t="i">1563</v>
    <v t="i">1564</v>
    <v t="i">1565</v>
    <v t="i">1566</v>
    <v t="i">1569</v>
    <v t="i">1570</v>
    <v t="i">1571</v>
    <v t="i">1572</v>
    <v t="i">1573</v>
    <v t="i">1576</v>
    <v t="i">1577</v>
    <v t="i">1578</v>
    <v t="i">1579</v>
    <v t="i">1580</v>
    <v t="i">1583</v>
    <v t="i">1585</v>
    <v t="i">1586</v>
    <v t="i">1587</v>
    <v t="i">1590</v>
    <v t="i">1591</v>
    <v t="i">1592</v>
    <v t="i">1593</v>
    <v t="i">1594</v>
    <v t="i">1597</v>
    <v t="i">1598</v>
    <v t="i">1599</v>
    <v t="i">1600</v>
    <v t="i">1601</v>
    <v t="i">1604</v>
    <v t="i">1605</v>
    <v t="i">1606</v>
    <v t="i">1607</v>
    <v t="i">1608</v>
    <v t="i">1612</v>
    <v t="i">1613</v>
    <v t="i">1614</v>
    <v t="i">1615</v>
    <v t="i">1618</v>
    <v t="i">1619</v>
    <v t="i">1620</v>
    <v t="i">1621</v>
    <v t="i">1622</v>
    <v t="i">1625</v>
    <v t="i">1626</v>
    <v t="i">1627</v>
    <v t="i">1628</v>
    <v t="i">1629</v>
    <v t="i">1632</v>
    <v t="i">1633</v>
    <v t="i">1634</v>
    <v t="i">1635</v>
    <v t="i">1636</v>
    <v t="i">1639</v>
    <v t="i">1640</v>
    <v t="i">1641</v>
    <v t="i">1642</v>
    <v t="i">1643</v>
    <v t="i">1647</v>
    <v t="i">1648</v>
    <v t="i">1649</v>
    <v t="i">1650</v>
    <v t="i">1653</v>
    <v t="i">1654</v>
    <v t="i">1655</v>
    <v t="i">1656</v>
    <v t="i">1657</v>
    <v t="i">1660</v>
    <v t="i">1661</v>
    <v t="i">1662</v>
    <v t="i">1663</v>
    <v t="i">1664</v>
    <v t="i">1667</v>
    <v t="i">1668</v>
    <v t="i">1669</v>
    <v t="i">1670</v>
    <v t="i">1671</v>
    <v t="i">1674</v>
    <v t="i">1675</v>
    <v t="i">1676</v>
    <v t="i">1677</v>
    <v t="i">1678</v>
    <v t="i">1681</v>
    <v t="i">1682</v>
    <v t="i">1683</v>
    <v t="i">1684</v>
    <v t="i">1685</v>
    <v t="i">1688</v>
    <v t="i">1689</v>
    <v t="i">1690</v>
    <v t="i">1691</v>
    <v t="i">1692</v>
    <v t="i">1695</v>
    <v t="i">1696</v>
    <v t="i">1697</v>
    <v t="i">1698</v>
    <v t="i">1699</v>
    <v t="i">1702</v>
    <v t="i">1703</v>
    <v t="i">1704</v>
    <v t="i">1705</v>
    <v t="i">1706</v>
    <v t="i">1710</v>
    <v t="i">1711</v>
    <v t="i">1712</v>
    <v t="i">1713</v>
    <v t="i">1716</v>
    <v t="i">1717</v>
    <v t="i">1718</v>
    <v t="i">1719</v>
    <v t="i">1720</v>
    <v t="i">1723</v>
    <v t="i">1724</v>
    <v t="i">1725</v>
    <v t="i">1726</v>
    <v t="i">1727</v>
    <v t="i">1730</v>
    <v t="i">1731</v>
    <v t="i">1732</v>
    <v t="i">1733</v>
    <v t="i">1734</v>
    <v t="i">1737</v>
    <v t="i">1738</v>
    <v t="i">1739</v>
    <v t="i">1740</v>
    <v t="i">1741</v>
    <v t="i">1744</v>
    <v t="i">1745</v>
    <v t="i">1746</v>
    <v t="i">1747</v>
    <v t="i">1748</v>
    <v t="i">1751</v>
    <v t="i">1752</v>
    <v t="i">1753</v>
    <v t="i">1754</v>
    <v t="i">1755</v>
    <v t="i">1758</v>
    <v t="i">1759</v>
    <v t="i">1760</v>
    <v t="i">1761</v>
    <v t="i">1762</v>
    <v t="i">1765</v>
    <v t="i">1766</v>
    <v t="i">1767</v>
    <v t="i">1768</v>
    <v t="i">1769</v>
    <v t="i">1772</v>
    <v t="i">1773</v>
    <v t="i">1774</v>
    <v t="i">1775</v>
    <v t="i">1776</v>
    <v t="i">1779</v>
    <v t="i">1780</v>
    <v t="i">1781</v>
    <v t="i">1782</v>
    <v t="i">1783</v>
    <v t="i">1786</v>
    <v t="i">1787</v>
    <v t="i">1788</v>
    <v t="i">1790</v>
    <v t="i">1793</v>
    <v t="i">1794</v>
    <v t="i">1795</v>
    <v t="i">1796</v>
    <v t="i">1797</v>
    <v t="i">1800</v>
    <v t="i">1801</v>
    <v t="i">1802</v>
    <v t="i">1803</v>
    <v t="i">1804</v>
    <v t="i">1807</v>
    <v t="i">1808</v>
    <v t="i">1809</v>
    <v t="i">1810</v>
    <v t="i">1811</v>
    <v t="i">1814</v>
    <v t="i">1815</v>
    <v t="i">1816</v>
    <v t="i">1817</v>
    <v t="i">1821</v>
    <v t="i">1822</v>
    <v t="i">1823</v>
    <v t="i">1824</v>
    <v t="i">1825</v>
    <v t="i">1828</v>
    <v t="i">1829</v>
    <v t="i">1830</v>
    <v t="i">1831</v>
    <v t="i">1832</v>
    <v t="i">1835</v>
    <v t="i">1836</v>
    <v t="i">1837</v>
    <v t="i">1838</v>
    <v t="i">1839</v>
    <v t="i">1843</v>
    <v t="i">1844</v>
    <v t="i">1845</v>
    <v t="i">1846</v>
    <v t="i">1849</v>
    <v t="i">1850</v>
    <v t="i">1851</v>
    <v t="i">1852</v>
    <v t="i">1853</v>
    <v t="i">1856</v>
    <v t="i">1857</v>
    <v t="i">1858</v>
    <v t="i">1859</v>
    <v t="i">1860</v>
    <v t="i">1863</v>
    <v t="i">1864</v>
    <v t="i">1865</v>
    <v t="i">1866</v>
    <v t="i">1867</v>
    <v t="i">1870</v>
    <v t="i">1871</v>
    <v t="i">1872</v>
    <v t="i">1873</v>
    <v t="i">1874</v>
    <v t="i">1878</v>
    <v t="i">1879</v>
    <v t="i">1880</v>
    <v t="i">1881</v>
    <v t="i">1884</v>
    <v t="i">1885</v>
    <v t="i">1886</v>
    <v t="i">1887</v>
    <v t="i">1888</v>
    <v t="i">1891</v>
    <v t="i">1892</v>
    <v t="i">1893</v>
    <v t="i">1894</v>
    <v t="i">1895</v>
    <v t="i">1898</v>
    <v t="i">1899</v>
    <v t="i">1900</v>
    <v t="i">1901</v>
    <v t="i">1902</v>
    <v t="i">1905</v>
    <v t="i">1906</v>
    <v t="i">1907</v>
    <v t="i">1908</v>
    <v t="i">1909</v>
    <v t="i">1912</v>
    <v t="i">1913</v>
    <v t="i">1914</v>
    <v t="i">1915</v>
    <v t="i">1916</v>
    <v t="i">1919</v>
    <v t="i">1920</v>
    <v t="i">1921</v>
    <v t="i">1922</v>
    <v t="i">1923</v>
    <v t="i">1926</v>
    <v t="i">1927</v>
    <v t="i">1928</v>
    <v t="i">1929</v>
    <v t="i">1933</v>
    <v t="i">1934</v>
    <v t="i">1935</v>
    <v t="i">1936</v>
    <v t="i">1937</v>
    <v t="i">1940</v>
    <v t="i">1941</v>
    <v t="i">1942</v>
    <v t="i">1943</v>
    <v t="i">1944</v>
    <v t="i">1947</v>
    <v t="i">1948</v>
    <v t="i">1949</v>
    <v t="i">1950</v>
    <v t="i">1951</v>
    <v t="i">1954</v>
    <v t="i">1955</v>
    <v t="i">1956</v>
    <v t="i">1957</v>
    <v t="i">1958</v>
    <v t="i">1961</v>
    <v t="i">1962</v>
    <v t="i">1963</v>
    <v t="i">1964</v>
    <v t="i">1965</v>
    <v t="i">1968</v>
    <v t="i">1969</v>
    <v t="i">1970</v>
    <v t="i">1971</v>
    <v t="i">1972</v>
    <v t="i">1976</v>
    <v t="i">1977</v>
    <v t="i">1978</v>
    <v t="i">1979</v>
    <v t="i">1982</v>
    <v t="i">1983</v>
    <v t="i">1984</v>
    <v t="i">1985</v>
    <v t="i">1986</v>
    <v t="i">1989</v>
    <v t="i">1990</v>
    <v t="i">1991</v>
    <v t="i">1992</v>
    <v t="i">1993</v>
    <v t="i">1997</v>
    <v t="i">1998</v>
    <v t="i">1999</v>
    <v t="i">2000</v>
    <v t="i">2003</v>
    <v t="i">2004</v>
    <v t="i">2005</v>
    <v t="i">2006</v>
    <v t="i">2007</v>
    <v t="i">2011</v>
    <v t="i">2012</v>
    <v t="i">2013</v>
    <v t="i">2014</v>
    <v t="i">2017</v>
    <v t="i">2018</v>
    <v t="i">2019</v>
    <v t="i">2020</v>
    <v t="i">2021</v>
    <v t="i">2024</v>
    <v t="i">2025</v>
    <v t="i">2026</v>
    <v t="i">2027</v>
    <v t="i">2028</v>
    <v t="i">2031</v>
    <v t="i">2032</v>
    <v t="i">2033</v>
    <v t="i">2034</v>
    <v t="i">2035</v>
    <v t="i">2038</v>
    <v t="i">2039</v>
    <v t="i">2040</v>
    <v t="i">2041</v>
    <v t="i">2042</v>
    <v t="i">2045</v>
    <v t="i">2046</v>
    <v t="i">2047</v>
    <v t="i">2048</v>
    <v t="i">2049</v>
    <v t="i">2052</v>
    <v t="i">2053</v>
    <v t="i">2054</v>
    <v t="i">2055</v>
    <v t="i">2056</v>
    <v t="i">2059</v>
    <v t="i">2060</v>
    <v t="i">2061</v>
    <v t="i">2062</v>
    <v t="i">2063</v>
    <v t="i">2066</v>
    <v t="i">2067</v>
    <v t="i">2068</v>
    <v t="i">2069</v>
    <v t="i">2070</v>
    <v t="i">2074</v>
    <v t="i">2075</v>
    <v t="i">2076</v>
    <v t="i">2077</v>
    <v t="i">2080</v>
    <v t="i">2081</v>
    <v t="i">2082</v>
    <v t="i">2083</v>
    <v t="i">2084</v>
    <v t="i">2087</v>
    <v t="i">2088</v>
    <v t="i">2089</v>
    <v t="i">2090</v>
    <v t="i">2091</v>
    <v t="i">2094</v>
    <v t="i">2095</v>
    <v t="i">2096</v>
    <v t="i">2097</v>
    <v t="i">2098</v>
    <v t="i">2101</v>
    <v t="i">2102</v>
    <v t="i">2103</v>
    <v t="i">2104</v>
    <v t="i">2105</v>
    <v t="i">2108</v>
    <v t="i">2109</v>
    <v t="i">2110</v>
    <v t="i">2111</v>
    <v t="i">2112</v>
    <v t="i">2115</v>
    <v t="i">2116</v>
    <v t="i">2117</v>
    <v t="i">2118</v>
    <v t="i">2119</v>
    <v t="i">2122</v>
    <v t="i">2123</v>
    <v t="i">2124</v>
    <v t="i">2125</v>
    <v t="i">2126</v>
    <v t="i">2129</v>
    <v t="i">2130</v>
    <v t="i">2131</v>
    <v t="i">2132</v>
    <v t="i">2133</v>
    <v t="i">2136</v>
    <v t="i">2137</v>
    <v t="i">2138</v>
    <v t="i">2139</v>
    <v t="i">2140</v>
    <v t="i">2143</v>
    <v t="i">2144</v>
    <v t="i">2145</v>
    <v t="i">2146</v>
    <v t="i">2147</v>
    <v t="i">2150</v>
    <v t="i">2151</v>
    <v t="i">2152</v>
    <v t="i">2154</v>
    <v t="i">2157</v>
    <v t="i">2158</v>
    <v t="i">2159</v>
    <v t="i">2160</v>
    <v t="i">2161</v>
    <v t="i">2164</v>
    <v t="i">2165</v>
    <v t="i">2166</v>
    <v t="i">2167</v>
    <v t="i">2168</v>
    <v t="i">2171</v>
    <v t="i">2172</v>
    <v t="i">2173</v>
    <v t="i">2174</v>
    <v t="i">2175</v>
    <v t="i">2178</v>
    <v t="i">2179</v>
    <v t="i">2180</v>
    <v t="i">2181</v>
    <v t="i">2182</v>
    <v t="i">2186</v>
    <v t="i">2187</v>
    <v t="i">2188</v>
    <v t="i">2189</v>
  </a>
  <a r="1" c="1509">
    <v>358.72</v>
    <v>365.91</v>
    <v>369.75</v>
    <v>370.49</v>
    <v>373.19</v>
    <v>370.03</v>
    <v>371.58</v>
    <v>374.15</v>
    <v>374.95</v>
    <v>376.13</v>
    <v>376.73</v>
    <v>381.15</v>
    <v>383.27</v>
    <v>385.35</v>
    <v>389.66</v>
    <v>384.43</v>
    <v>384.21</v>
    <v>382.96</v>
    <v>386.37</v>
    <v>384.98</v>
    <v>381.3</v>
    <v>383.08</v>
    <v>384.82</v>
    <v>381.67</v>
    <v>380.64</v>
    <v>383.97</v>
    <v>385.8</v>
    <v>386.45</v>
    <v>386.69</v>
    <v>382.64</v>
    <v>380.76</v>
    <v>373.18</v>
    <v>374.28</v>
    <v>371.34</v>
    <v>373.32</v>
    <v>370.85</v>
    <v>379.64</v>
    <v>377.24</v>
    <v>376.07</v>
    <v>377.99</v>
    <v>372.73</v>
    <v>375.69</v>
    <v>377.55</v>
    <v>375.24</v>
    <v>363.43</v>
    <v>376.01</v>
    <v>379.16</v>
    <v>380.32</v>
    <v>381.38</v>
    <v>383.78</v>
    <v>378.17</v>
    <v>375.64</v>
    <v>383.57</v>
    <v>383.41</v>
    <v>387.47</v>
    <v>388.05</v>
    <v>388.09</v>
    <v>384</v>
    <v>384.86</v>
    <v>394</v>
    <v>397.14</v>
    <v>400.37</v>
    <v>402.47</v>
    <v>399.98</v>
    <v>400.04</v>
    <v>402.18</v>
    <v>401.74</v>
    <v>400.93</v>
    <v>399.84</v>
    <v>399.76</v>
    <v>399.11</v>
    <v>403.01</v>
    <v>402.95</v>
    <v>403.96</v>
    <v>405.13</v>
    <v>401.84</v>
    <v>404.03</v>
    <v>406.55</v>
    <v>407.33</v>
    <v>410.94</v>
    <v>417.7</v>
    <v>420.18</v>
    <v>422.86</v>
    <v>423.18</v>
    <v>424.28</v>
    <v>426.25</v>
    <v>426.64</v>
    <v>425.91</v>
    <v>425.05</v>
    <v>428.77</v>
    <v>431.07</v>
    <v>429.81</v>
    <v>427.64</v>
    <v>426.97</v>
    <v>425.76</v>
    <v>426.74</v>
    <v>434.68</v>
    <v>435.79</v>
    <v>440.43</v>
    <v>444.97</v>
    <v>441.22</v>
    <v>439.91</v>
    <v>441.01</v>
    <v>436.93</v>
    <v>444.32</v>
    <v>444.21</v>
    <v>442.31</v>
    <v>440.69</v>
    <v>440.39</v>
    <v>439.21</v>
    <v>425.01</v>
    <v>430.54</v>
    <v>432.1</v>
    <v>433.96</v>
    <v>427.28</v>
    <v>432.22</v>
    <v>433.94</v>
    <v>436.49</v>
    <v>440.29</v>
    <v>434.07</v>
    <v>438.49</v>
    <v>433.65</v>
    <v>430.76</v>
    <v>421.28</v>
    <v>429.16</v>
    <v>422.76</v>
    <v>424.08</v>
    <v>418.43</v>
    <v>423.3</v>
    <v>427.08499999999998</v>
    <v>431.04</v>
    <v>437.11</v>
    <v>436.24</v>
    <v>437.7</v>
    <v>435.48</v>
    <v>438.28</v>
    <v>440.5</v>
    <v>441.21</v>
    <v>441.44</v>
    <v>441.6</v>
    <v>436.96</v>
    <v>440.04</v>
    <v>442.87</v>
    <v>447.9</v>
    <v>450.73</v>
    <v>453.08</v>
    <v>455.47</v>
    <v>449.36</v>
    <v>445.58</v>
    <v>444.23</v>
    <v>441.53</v>
    <v>447.81</v>
    <v>439.48</v>
    <v>438.39</v>
    <v>449.49</v>
    <v>448.33</v>
    <v>454.79</v>
    <v>451.55</v>
    <v>450</v>
    <v>450.29</v>
    <v>456.29</v>
    <v>461.8</v>
    <v>463.53</v>
    <v>466.19</v>
    <v>462.91</v>
    <v>466.24</v>
    <v>465.67</v>
    <v>468.41</v>
    <v>465.96</v>
    <v>463.49</v>
    <v>463.52</v>
    <v>464.82</v>
    <v>462</v>
    <v>474.42</v>
    <v>468.38</v>
    <v>458.87</v>
    <v>454.91</v>
    <v>455.31</v>
    <v>450.15</v>
    <v>453.04</v>
    <v>449.24</v>
    <v>446.57</v>
    <v>441.66</v>
    <v>437.21</v>
    <v>434.42</v>
    <v>441.93</v>
    <v>441.72</v>
    <v>446.3</v>
    <v>444.48</v>
    <v>442.36</v>
    <v>442.97</v>
    <v>445.42</v>
    <v>448.83</v>
    <v>451.32</v>
    <v>451.89</v>
    <v>458.97</v>
    <v>464.7</v>
    <v>462.82</v>
    <v>461.35</v>
    <v>461.58</v>
    <v>471.23</v>
    <v>470.55</v>
    <v>468.76</v>
    <v>458.81</v>
    <v>462.97</v>
    <v>457.93</v>
    <v>454.2</v>
    <v>456.51</v>
    <v>459.73</v>
    <v>463.5</v>
    <v>467.06</v>
    <v>488.68</v>
    <v>486.65</v>
    <v>491.62</v>
    <v>488.06</v>
    <v>492.98</v>
    <v>484.86</v>
    <v>482.21</v>
    <v>484.12</v>
    <v>481.05</v>
    <v>474.42</v>
    <v>475.09</v>
    <v>472.8</v>
    <v>471.89</v>
    <v>474.26</v>
    <v>472.37</v>
    <v>474.07</v>
    <v>478.92</v>
    <v>477.95</v>
    <v>468.32</v>
    <v>464.49</v>
    <v>469.16</v>
    <v>442.28</v>
    <v>445.59</v>
    <v>450.24</v>
    <v>455.77</v>
    <v>452.39</v>
    <v>449.58</v>
    <v>450.21</v>
    <v>451.28</v>
    <v>460.35</v>
    <v>457.85</v>
    <v>455.82</v>
    <v>448.52</v>
    <v>447.2</v>
    <v>445.89</v>
    <v>446.6</v>
    <v>446.7</v>
    <v>451.69</v>
    <v>455.11</v>
    <v>453.22</v>
    <v>446.92</v>
    <v>448.98</v>
    <v>447.95</v>
    <v>449.49</v>
    <v>458.2</v>
    <v>455.98</v>
    <v>443</v>
    <v>435.39</v>
    <v>435.95</v>
    <v>448.1</v>
    <v>441.9</v>
    <v>437.45</v>
    <v>437.89</v>
    <v>436.05</v>
    <v>442</v>
    <v>441.3</v>
    <v>439.17</v>
    <v>441.59</v>
    <v>435.16</v>
    <v>439.56</v>
    <v>455.19</v>
    <v>444.54</v>
    <v>437.35</v>
    <v>429.81</v>
    <v>430.85</v>
    <v>426.08</v>
    <v>409.98</v>
    <v>425.81</v>
    <v>431.45</v>
    <v>436.25</v>
    <v>435.83</v>
    <v>407.31</v>
    <v>403.3</v>
    <v>396.44</v>
    <v>384.92</v>
    <v>390.45</v>
    <v>394.84</v>
    <v>394.18</v>
    <v>391.21</v>
    <v>392.1</v>
    <v>386.29</v>
    <v>381.82</v>
    <v>388.51</v>
    <v>391.62</v>
    <v>391.38</v>
    <v>389.42</v>
    <v>395.16</v>
    <v>395.35</v>
    <v>405.42</v>
    <v>413.71</v>
    <v>415.23</v>
    <v>419.89</v>
    <v>411.71</v>
    <v>415.26</v>
    <v>411.84</v>
    <v>417.58</v>
    <v>401.68</v>
    <v>409.61</v>
    <v>409.88</v>
    <v>417.02</v>
    <v>418.14</v>
    <v>408.55</v>
    <v>408.6</v>
    <v>411.99</v>
    <v>413.59</v>
    <v>407.04</v>
    <v>409.57</v>
    <v>405.59</v>
    <v>408.98</v>
    <v>401.2</v>
    <v>401.45</v>
    <v>405.52</v>
    <v>409.76</v>
    <v>414.18</v>
    <v>409.37</v>
    <v>406.06</v>
    <v>407.58</v>
    <v>409.53</v>
    <v>410.21</v>
    <v>416.08</v>
    <v>421.15</v>
    <v>420.79</v>
    <v>423.03</v>
    <v>424.09</v>
    <v>398.13</v>
    <v>403.88</v>
    <v>394.16</v>
    <v>388.34</v>
    <v>388.17</v>
    <v>398.66</v>
    <v>401.89</v>
    <v>397.95</v>
    <v>388.32</v>
    <v>385.76</v>
    <v>381.93</v>
    <v>385.86</v>
    <v>388.75</v>
    <v>383.19</v>
    <v>384.42</v>
    <v>387</v>
    <v>388.05</v>
    <v>396.1</v>
    <v>401.29</v>
    <v>396.85</v>
    <v>399.21</v>
    <v>400.94</v>
    <v>395.57</v>
    <v>395.51</v>
    <v>397.42</v>
    <v>403.35</v>
    <v>404.23</v>
    <v>405.33</v>
    <v>392.69</v>
    <v>396.74</v>
    <v>398.76</v>
    <v>401.69</v>
    <v>401.76</v>
    <v>410.72</v>
    <v>419</v>
    <v>418.86</v>
    <v>418.57</v>
    <v>429</v>
    <v>425.57</v>
    <v>427.05</v>
    <v>429.89</v>
    <v>428.21</v>
    <v>426.24</v>
    <v>440.15</v>
    <v>445.7</v>
    <v>442.51</v>
    <v>445.88</v>
    <v>443.47</v>
    <v>445.67</v>
    <v>443.43</v>
    <v>439.78</v>
    <v>438.45</v>
    <v>434.55</v>
    <v>437.19</v>
    <v>434.22</v>
    <v>428.8</v>
    <v>428.73</v>
    <v>432.64</v>
    <v>435.2</v>
    <v>443.2</v>
    <v>432.66</v>
    <v>439.28</v>
    <v>445.13</v>
    <v>447.89</v>
    <v>455.43</v>
    <v>452.87</v>
    <v>447.9</v>
    <v>447.5</v>
    <v>444.99</v>
    <v>437.24</v>
    <v>440.81</v>
    <v>434.02</v>
    <v>436.41</v>
    <v>443.6</v>
    <v>438.77</v>
    <v>438.33</v>
    <v>432.61</v>
    <v>429.94</v>
    <v>429.17</v>
    <v>430.02</v>
    <v>432.55</v>
    <v>435.68</v>
    <v>436.11</v>
    <v>430.69</v>
    <v>436.13</v>
    <v>428.39</v>
    <v>430.21</v>
    <v>431.65</v>
    <v>431.09</v>
    <v>434.02</v>
    <v>434.66</v>
    <v>439.43</v>
    <v>443.84</v>
    <v>448.14</v>
    <v>447.3</v>
    <v>445.21</v>
    <v>442.27</v>
    <v>445.01</v>
    <v>441.68</v>
    <v>431.97</v>
    <v>428.76</v>
    <v>423.13</v>
    <v>430.15</v>
    <v>432.89</v>
    <v>431.35</v>
    <v>431.81</v>
    <v>425.3</v>
    <v>422.46</v>
    <v>417.32</v>
    <v>418.94</v>
    <v>416.59</v>
    <v>410.08</v>
    <v>397.08</v>
    <v>395.94</v>
    <v>396.59</v>
    <v>408.29</v>
    <v>410.44</v>
    <v>411.65</v>
    <v>414.31</v>
    <v>411.73</v>
    <v>411.41</v>
    <v>416.75</v>
    <v>411.97</v>
    <v>385.22</v>
    <v>379.91</v>
    <v>376.79</v>
    <v>378.74</v>
    <v>386.69</v>
    <v>392.43</v>
    <v>396.46</v>
    <v>396.04</v>
    <v>400</v>
    <v>389.48</v>
    <v>384.94</v>
    <v>389.42</v>
    <v>383.53</v>
    <v>385.32</v>
    <v>385.28</v>
    <v>388.63</v>
    <v>383.47</v>
    <v>376.5</v>
    <v>382.89</v>
    <v>380.4</v>
    <v>382.17</v>
    <v>382.11</v>
    <v>384.06</v>
    <v>384.11</v>
    <v>385.28</v>
    <v>391.11</v>
    <v>385.09</v>
    <v>392.72</v>
    <v>386.47</v>
    <v>387.08</v>
    <v>389.8</v>
    <v>387.12</v>
    <v>389.32</v>
    <v>386.9</v>
    <v>369.06</v>
    <v>370.97</v>
    <v>368.44</v>
    <v>358.21</v>
    <v>350.31</v>
    <v>339.02</v>
    <v>349.27</v>
    <v>346.39</v>
    <v>352.85</v>
    <v>352.56</v>
    <v>350</v>
    <v>345.94</v>
    <v>353.79</v>
    <v>354.5</v>
    <v>361.86</v>
    <v>357.32</v>
    <v>370.68</v>
    <v>371.43</v>
    <v>376.58</v>
    <v>382.98</v>
    <v>381.11</v>
    <v>381.83</v>
    <v>374.67</v>
    <v>371.01</v>
    <v>365.26</v>
    <v>371.28</v>
    <v>369.44</v>
    <v>377.11</v>
    <v>379.29</v>
    <v>383.01</v>
    <v>394</v>
    <v>396.38</v>
    <v>395.29</v>
    <v>395.79</v>
    <v>390.1</v>
    <v>389.79</v>
    <v>395.82</v>
    <v>400.07</v>
    <v>397.48</v>
    <v>391.91</v>
    <v>420.59</v>
    <v>421.39</v>
    <v>430.59</v>
    <v>431.53</v>
    <v>425.86</v>
    <v>428.54</v>
    <v>428.98</v>
    <v>425.84</v>
    <v>418.15</v>
    <v>423.5</v>
    <v>432.79</v>
    <v>426.98</v>
    <v>426.92</v>
    <v>424.66</v>
    <v>426.75</v>
    <v>430.38</v>
    <v>438.33</v>
    <v>438.5</v>
    <v>438.87</v>
    <v>440.48</v>
    <v>441.61</v>
    <v>444.1</v>
    <v>443.55</v>
    <v>448.08</v>
    <v>458.29</v>
    <v>451.5</v>
    <v>446.18</v>
    <v>447.67</v>
    <v>448.08</v>
    <v>449.96</v>
    <v>453.16</v>
    <v>456.3</v>
    <v>460.44</v>
    <v>462.01</v>
    <v>461.44</v>
    <v>466.62</v>
    <v>463.41</v>
    <v>460.11</v>
    <v>461.21</v>
    <v>460.67</v>
    <v>463.38</v>
    <v>460</v>
    <v>452.66</v>
    <v>447.52</v>
    <v>446.44</v>
    <v>447.23</v>
    <v>450.21</v>
    <v>453.46</v>
    <v>453.89</v>
    <v>453.05</v>
    <v>448.81</v>
    <v>454.7</v>
    <v>450.01</v>
    <v>465.01</v>
    <v>476.99</v>
    <v>478.53</v>
    <v>474.93</v>
    <v>478.98</v>
    <v>476.59</v>
    <v>479.82</v>
    <v>476.24</v>
    <v>484</v>
    <v>486.62</v>
    <v>491.76</v>
    <v>490.28</v>
    <v>480.12</v>
    <v>484.45</v>
    <v>493.99</v>
    <v>496.26</v>
    <v>496.52</v>
    <v>491.23</v>
    <v>482.55</v>
    <v>487.31</v>
    <v>485.79</v>
    <v>485.58</v>
    <v>481.05</v>
    <v>495.29</v>
    <v>494.66</v>
    <v>499.6</v>
    <v>506.02</v>
    <v>504.24</v>
    <v>503.67</v>
    <v>507.3</v>
    <v>509.92</v>
    <v>511.48</v>
    <v>503.23</v>
    <v>511.17</v>
    <v>508.37</v>
    <v>508.09</v>
    <v>510.04</v>
    <v>500.05</v>
    <v>490.28</v>
    <v>498.19</v>
    <v>504.29</v>
    <v>504.94</v>
    <v>514.94000000000005</v>
    <v>518.95000000000005</v>
    <v>518.17999999999995</v>
    <v>519.16</v>
    <v>521.5</v>
    <v>527.16</v>
    <v>523.88</v>
    <v>518.01</v>
    <v>516.99</v>
    <v>514.22</v>
    <v>512.17999999999995</v>
    <v>512.16999999999996</v>
    <v>506.61</v>
    <v>506.4</v>
    <v>507.33</v>
    <v>508.32</v>
    <v>490.48</v>
    <v>488.81</v>
    <v>486.58</v>
    <v>498.82</v>
    <v>502.1</v>
    <v>522.75</v>
    <v>524.09</v>
    <v>512.67999999999995</v>
    <v>519.86</v>
    <v>533.09</v>
    <v>549.24</v>
    <v>552.41999999999996</v>
    <v>553.29999999999995</v>
    <v>548.38</v>
    <v>539.88</v>
    <v>546.34</v>
    <v>551.80999999999995</v>
    <v>555.73</v>
    <v>547</v>
    <v>552.1</v>
    <v>554.41999999999996</v>
    <v>549.41999999999996</v>
    <v>558.67999999999995</v>
    <v>557.52</v>
    <v>553.53</v>
    <v>557.72</v>
    <v>556.28</v>
    <v>565.91</v>
    <v>558.49</v>
    <v>551</v>
    <v>554.09</v>
    <v>538.21</v>
    <v>531.44000000000005</v>
    <v>528.44000000000005</v>
    <v>538.88</v>
    <v>536.79999999999995</v>
    <v>549.92999999999995</v>
    <v>558.91</v>
    <v>561</v>
    <v>569.03</v>
    <v>566.45000000000005</v>
    <v>581.71</v>
    <v>572.04</v>
    <v>579.25</v>
    <v>583.02</v>
    <v>576.62</v>
    <v>576.79999999999995</v>
    <v>569.59</v>
    <v>561.52</v>
    <v>575.75</v>
    <v>581.65</v>
    <v>577.30999999999995</v>
    <v>569.5</v>
    <v>575</v>
    <v>572.20000000000005</v>
    <v>566.61</v>
    <v>567.5</v>
    <v>571.65</v>
    <v>567.89</v>
    <v>571.84</v>
    <v>576.41</v>
    <v>577.35</v>
    <v>569.92999999999995</v>
    <v>566.62</v>
    <v>563.34</v>
    <v>565.74</v>
    <v>567.13</v>
    <v>567.52</v>
    <v>571.16</v>
    <v>566.78</v>
    <v>562.24</v>
    <v>543.20000000000005</v>
    <v>527.19000000000005</v>
    <v>531.88</v>
    <v>522.5</v>
    <v>530.30999999999995</v>
    <v>535</v>
    <v>531.24</v>
    <v>540.73</v>
    <v>544.71</v>
    <v>550.41</v>
    <v>558.21</v>
    <v>564.96</v>
    <v>568.76</v>
    <v>560.16999999999996</v>
    <v>557.58000000000004</v>
    <v>553.85</v>
    <v>554.67999999999995</v>
    <v>565.19000000000005</v>
    <v>566.85</v>
    <v>549.74</v>
    <v>552.6</v>
    <v>562.92999999999995</v>
    <v>560.05999999999995</v>
    <v>559.19000000000005</v>
    <v>560.72</v>
    <v>557.73</v>
    <v>559.14</v>
    <v>547.79999999999995</v>
    <v>551.84</v>
    <v>562.79999999999995</v>
    <v>557.52</v>
    <v>565.45000000000005</v>
    <v>575.91999999999996</v>
    <v>577.71</v>
    <v>571.64</v>
    <v>573.24</v>
    <v>579.51</v>
    <v>582.5</v>
    <v>580.24</v>
    <v>583.70000000000005</v>
    <v>579.35</v>
    <v>585.12</v>
    <v>584.48</v>
    <v>581.88</v>
    <v>583.79999999999995</v>
    <v>588.99</v>
    <v>594</v>
    <v>594.96</v>
    <v>586.5</v>
    <v>586.24</v>
    <v>595.12</v>
    <v>588</v>
    <v>590</v>
    <v>591.66999999999996</v>
    <v>596.01</v>
    <v>591.96</v>
    <v>593.95000000000005</v>
    <v>602.57000000000005</v>
    <v>602.67999999999995</v>
    <v>603</v>
    <v>589.73</v>
    <v>603.6</v>
    <v>607.85</v>
    <v>601.26</v>
    <v>603.73</v>
    <v>606</v>
    <v>612.03</v>
    <v>613.57000000000005</v>
    <v>623.14</v>
    <v>635.75</v>
    <v>648.65</v>
    <v>643.58500000000004</v>
    <v>643.72</v>
    <v>648.39</v>
    <v>655.99</v>
    <v>644.9</v>
    <v>631.98</v>
    <v>629.84</v>
    <v>597.49</v>
    <v>572.79999999999995</v>
    <v>618.88</v>
    <v>615.16</v>
    <v>645.49</v>
    <v>616.66999999999996</v>
    <v>608.66999999999996</v>
    <v>574.05999999999995</v>
    <v>610.28</v>
    <v>598.79999999999995</v>
    <v>565.13</v>
    <v>621.09</v>
    <v>542.42999999999995</v>
    <v>575.17999999999995</v>
    <v>572.14</v>
    <v>550</v>
    <v>506.52</v>
    <v>489.14</v>
    <v>545.89</v>
    <v>553.91999999999996</v>
    <v>587.58000000000004</v>
    <v>594.27</v>
    <v>644.87</v>
    <v>624.57000000000005</v>
    <v>595.46</v>
    <v>626.15</v>
    <v>624.69000000000005</v>
    <v>652.22</v>
    <v>623.62</v>
    <v>664.26</v>
    <v>686.94</v>
    <v>657.19</v>
    <v>688.89</v>
    <v>675.53</v>
    <v>682.74</v>
    <v>694.95</v>
    <v>670.75</v>
    <v>672.2</v>
    <v>684.79</v>
    <v>685.49</v>
    <v>685.1</v>
    <v>702</v>
    <v>683.76</v>
    <v>679.32</v>
    <v>675.2</v>
    <v>670.85</v>
    <v>675.97</v>
    <v>686.39</v>
    <v>684.19</v>
    <v>675.34</v>
    <v>678.16</v>
    <v>678</v>
    <v>663.65</v>
    <v>678.8</v>
    <v>659.26</v>
    <v>658.66</v>
    <v>662.38</v>
    <v>650.13</v>
    <v>655.48</v>
    <v>644.4</v>
    <v>670.02</v>
    <v>658.01</v>
    <v>675.54</v>
    <v>693.35</v>
    <v>697.63</v>
    <v>710.17</v>
    <v>696.69</v>
    <v>688.99</v>
    <v>665.18</v>
    <v>673.5</v>
    <v>676.24</v>
    <v>691.22</v>
    <v>695.53</v>
    <v>660.7</v>
    <v>676.64</v>
    <v>694.53</v>
    <v>697.2</v>
    <v>698</v>
    <v>696.51</v>
    <v>711.43</v>
    <v>697.14</v>
    <v>694.69</v>
    <v>689.63</v>
    <v>696.84</v>
    <v>686.54</v>
    <v>688.92</v>
    <v>702.3</v>
    <v>728.17</v>
    <v>718.41</v>
    <v>722.67</v>
    <v>721.07</v>
    <v>720.35</v>
    <v>728.69</v>
    <v>716.59</v>
    <v>701.12</v>
    <v>716.91</v>
    <v>713.88</v>
    <v>714.09</v>
    <v>724.23</v>
    <v>731.84</v>
    <v>725.98</v>
    <v>735.52</v>
    <v>736.69</v>
    <v>737.39</v>
    <v>754</v>
    <v>752.53</v>
    <v>770</v>
    <v>777.95</v>
    <v>785.48</v>
    <v>779.12</v>
    <v>793.43</v>
    <v>794.04</v>
    <v>792.06</v>
    <v>791.7</v>
    <v>782.74</v>
    <v>758.17</v>
    <v>772.99</v>
    <v>770.12</v>
    <v>762.01</v>
    <v>772.08</v>
    <v>786.85</v>
    <v>778.71</v>
    <v>784.91</v>
    <v>782.17</v>
    <v>772.47</v>
    <v>779.71</v>
    <v>782</v>
    <v>789.65</v>
    <v>787.02</v>
    <v>789.78</v>
    <v>789.8</v>
    <v>799.61</v>
    <v>762.45</v>
    <v>752.18</v>
    <v>741.05</v>
    <v>753.42</v>
    <v>742.87</v>
    <v>747.79</v>
    <v>756.04</v>
    <v>768.45</v>
    <v>767.34</v>
    <v>755.65</v>
    <v>752.07</v>
    <v>745.55</v>
    <v>750</v>
    <v>730.67</v>
    <v>733.73</v>
    <v>751.32</v>
    <v>764.81</v>
    <v>763.46</v>
    <v>760.13</v>
    <v>768.35</v>
    <v>778</v>
    <v>788.26</v>
    <v>790.83</v>
    <v>803.26</v>
    <v>824.4</v>
    <v>829.35</v>
    <v>835</v>
    <v>826.11</v>
    <v>817.4</v>
    <v>814.83</v>
    <v>817.69</v>
    <v>810</v>
    <v>804.94</v>
    <v>803.16</v>
    <v>777.55</v>
    <v>777.03</v>
    <v>770.48</v>
    <v>773.31</v>
    <v>756.07</v>
    <v>740.68</v>
    <v>731.24</v>
    <v>738.32</v>
    <v>752.28</v>
    <v>777.29</v>
    <v>781.05</v>
    <v>794.39</v>
    <v>743.21</v>
    <v>726.77</v>
    <v>760.85</v>
    <v>760.31</v>
    <v>760.81</v>
    <v>755.09</v>
    <v>751.18</v>
    <v>734.32</v>
    <v>730.59</v>
    <v>728.12</v>
    <v>711.46</v>
    <v>692.38</v>
    <v>693.54</v>
    <v>700.52</v>
    <v>697.79</v>
    <v>712.58</v>
    <v>690.62</v>
    <v>692.65</v>
    <v>708.33</v>
    <v>697.55</v>
    <v>695.28</v>
    <v>678.4</v>
    <v>686.99</v>
    <v>688.86</v>
    <v>690.03</v>
    <v>695.64</v>
    <v>690.19</v>
    <v>712.74</v>
    <v>709.73</v>
    <v>704.4</v>
    <v>713.44</v>
    <v>703.08</v>
    <v>705.94</v>
    <v>709.88</v>
    <v>708.78</v>
    <v>700.4</v>
    <v>714.18</v>
    <v>692.56</v>
    <v>691.54</v>
    <v>668.96</v>
    <v>678.97</v>
    <v>692.46</v>
    <v>682.39</v>
    <v>676.53</v>
    <v>690.12</v>
    <v>689.67</v>
    <v>707.76</v>
    <v>716.32</v>
    <v>727.74</v>
    <v>719.9</v>
    <v>721.16</v>
    <v>723.16</v>
    <v>735.24</v>
    <v>731.7</v>
    <v>738.23</v>
    <v>739.96</v>
    <v>756.72</v>
    <v>768.57</v>
    <v>754.89</v>
    <v>746.91</v>
    <v>754.29</v>
    <v>747.41</v>
    <v>750.47</v>
    <v>751</v>
    <v>717.7</v>
    <v>709.81</v>
    <v>688.09</v>
    <v>694.43</v>
    <v>685.56</v>
    <v>680.22</v>
    <v>667.34</v>
    <v>658.82</v>
    <v>639</v>
    <v>638.37</v>
    <v>648.34</v>
    <v>648.26</v>
    <v>640.04999999999995</v>
    <v>611.34</v>
    <v>603.57000000000005</v>
    <v>610.55999999999995</v>
    <v>594.91999999999996</v>
    <v>622.71</v>
    <v>638.70000000000005</v>
    <v>654.59</v>
    <v>668</v>
    <v>669.55</v>
    <v>671.33</v>
    <v>656.45</v>
    <v>646.83000000000004</v>
    <v>653.05999999999995</v>
    <v>666.69</v>
    <v>675.77</v>
    <v>662.34</v>
    <v>668.12</v>
    <v>683.63</v>
    <v>687.84</v>
    <v>674.84</v>
    <v>679.59</v>
    <v>678</v>
    <v>690.24</v>
    <v>688.71</v>
    <v>684.45</v>
    <v>687.69</v>
    <v>687.46</v>
    <v>691.43</v>
    <v>705.77</v>
    <v>694.31</v>
    <v>718.85</v>
    <v>708.14</v>
    <v>717.29</v>
    <v>726.22</v>
    <v>726.13</v>
    <v>717.97</v>
    <v>718.11</v>
    <v>716.97</v>
    <v>713.88</v>
    <v>707.38</v>
    <v>706.08</v>
    <v>720.76</v>
    <v>711.05</v>
    <v>693</v>
    <v>699.08</v>
    <v>713.45</v>
    <v>720</v>
    <v>718.04</v>
    <v>705.36</v>
    <v>715.43</v>
    <v>722.02</v>
    <v>715.03</v>
    <v>715.33</v>
    <v>715.36</v>
    <v>728.12</v>
    <v>725.22</v>
    <v>723.3</v>
    <v>735.26</v>
    <v>735.39</v>
    <v>735.09</v>
    <v>736.72</v>
    <v>739.42</v>
    <v>758.13</v>
    <v>777.04</v>
    <v>785.39</v>
    <v>795.06</v>
    <v>816.66</v>
    <v>810.01</v>
    <v>822.99</v>
    <v>816.04</v>
    <v>823.99</v>
    <v>809</v>
    <v>809.97</v>
    <v>815.46</v>
    <v>822.77</v>
    <v>822.5</v>
    <v>822.57</v>
    <v>803.56</v>
    <v>779.32</v>
    <v>783.4</v>
    <v>798.52</v>
    <v>802.33</v>
    <v>802.6</v>
    <v>797.64</v>
    <v>800.5</v>
    <v>819.11</v>
    <v>827.81</v>
    <v>828.19</v>
    <v>820.32</v>
    <v>829.55</v>
    <v>823.04</v>
    <v>831.84</v>
    <v>834.04</v>
    <v>831.47</v>
    <v>834.3</v>
    <v>832.65</v>
    <v>819.76</v>
    <v>820.82</v>
    <v>833.48</v>
    <v>829.51</v>
    <v>841.83</v>
    <v>836.31</v>
    <v>786.38</v>
    <v>820.41</v>
    <v>818.99</v>
    <v>820.31</v>
    <v>828.34</v>
    <v>830.62</v>
    <v>820.15</v>
    <v>814.99</v>
    <v>797.97</v>
    <v>806.88</v>
    <v>811.72</v>
    <v>814.09</v>
    <v>822.94</v>
    <v>827.81</v>
    <v>814.27</v>
    <v>833.96</v>
    <v>835.63</v>
    <v>835.57</v>
    <v>820.24</v>
    <v>807.53</v>
    <v>824.99</v>
    <v>824.81</v>
    <v>840.03</v>
    <v>843.45</v>
    <v>868.84</v>
    <v>874.43</v>
    <v>882.83</v>
    <v>881.76</v>
    <v>882.31</v>
    <v>854.56</v>
    <v>844</v>
    <v>839.54</v>
    <v>834.89</v>
    <v>843.44</v>
    <v>853.25</v>
    <v>872.58</v>
    <v>850.23</v>
    <v>848.2</v>
    <v>860.12</v>
    <v>848.01</v>
    <v>834.68</v>
    <v>807.53</v>
    <v>798.94</v>
    <v>801.58</v>
    <v>790.13</v>
    <v>789.32</v>
    <v>785.61</v>
    <v>760.07</v>
    <v>762.32</v>
    <v>766.49</v>
    <v>750.96</v>
    <v>750.01</v>
    <v>759.43</v>
    <v>763.45</v>
    <v>769.65</v>
    <v>781.39</v>
    <v>767.77</v>
    <v>779.67</v>
    <v>793.84</v>
    <v>810.16</v>
    <v>821.02</v>
    <v>822.78</v>
    <v>831.85</v>
    <v>824.82</v>
    <v>847.3</v>
    <v>837.07</v>
    <v>830.46</v>
    <v>836.91</v>
    <v>837.88</v>
    <v>803.59</v>
    <v>781.92</v>
    <v>786.9</v>
    <v>797.79</v>
    <v>781.41</v>
    <v>774.67</v>
    <v>775.39</v>
    <v>797.84</v>
    <v>795.1</v>
    <v>798</v>
    <v>792.84</v>
    <v>788.53</v>
    <v>777.21</v>
    <v>779.36</v>
    <v>797.59</v>
    <v>793.84</v>
    <v>820</v>
    <v>812.2</v>
    <v>803.45</v>
    <v>798.61</v>
    <v>794.03</v>
    <v>796.47</v>
    <v>812.86</v>
    <v>814.46</v>
    <v>798.8</v>
    <v>797.89</v>
    <v>816.17</v>
    <v>805.83</v>
    <v>817.09</v>
    <v>822.9</v>
    <v>822.26</v>
    <v>822.35</v>
    <v>804.58</v>
    <v>818.73</v>
    <v>818.76</v>
    <v>835.11</v>
    <v>838.01</v>
    <v>842</v>
    <v>845.49</v>
    <v>845.84</v>
    <v>836.11</v>
    <v>814.63</v>
    <v>789.1</v>
    <v>775.08</v>
    <v>774.94</v>
    <v>764.33</v>
    <v>766.88</v>
    <v>764.46</v>
    <v>748.12</v>
    <v>746.76</v>
    <v>742.94</v>
    <v>730.49</v>
    <v>730.51</v>
    <v>721.58</v>
    <v>730.84</v>
    <v>719.67</v>
    <v>695.83</v>
    <v>683.02</v>
    <v>707.56</v>
    <v>724.9</v>
    <v>715.29</v>
    <v>716.55</v>
    <v>712.91</v>
    <v>702.15</v>
    <v>698.15</v>
    <v>690.52</v>
    <v>718.61</v>
    <v>687.72</v>
    <v>671.52</v>
    <v>669.38</v>
    <v>673.38</v>
    <v>673.58</v>
    <v>691.61</v>
    <v>692.94</v>
    <v>680.77</v>
    <v>674.13</v>
    <v>705.49</v>
    <v>715.74</v>
    <v>709.73</v>
    <v>710.8</v>
    <v>709.46</v>
    <v>720.82</v>
    <v>720.92</v>
    <v>703.07</v>
    <v>681.42</v>
    <v>704.2</v>
    <v>706.48</v>
    <v>693.55</v>
    <v>683.6</v>
    <v>701.64</v>
    <v>704.06</v>
    <v>719.86</v>
    <v>732.26</v>
    <v>717.75</v>
    <v>719.1</v>
    <v>707.82</v>
    <v>711.63</v>
    <v>710.14</v>
    <v>730.92</v>
    <v>761.38</v>
    <v>753.81</v>
    <v>741.62</v>
    <v>763</v>
    <v>764.46</v>
    <v>762.4</v>
    <v>766.57</v>
    <v>759.23</v>
    <v>768.78</v>
    <v>751.61</v>
    <v>741.65</v>
    <v>751.93</v>
    <v>735.24</v>
    <v>730.66</v>
    <v>754.22</v>
    <v>768.17</v>
    <v>757.63</v>
    <v>745.41</v>
    <v>752.52</v>
    <v>739.28</v>
    <v>717.9</v>
    <v>756.45</v>
    <v>719.08</v>
    <v>702.39</v>
    <v>721.32</v>
    <v>732.14</v>
    <v>713.39</v>
    <v>713.44</v>
    <v>654.19000000000005</v>
    <v>630.04999999999995</v>
    <v>624.16999999999996</v>
    <v>629.88</v>
    <v>659.8</v>
    <v>646.41999999999996</v>
    <v>646.80999999999995</v>
    <v>637.44000000000005</v>
    <v>635.09</v>
    <v>651.79</v>
    <v>663.53</v>
    <v>671.81</v>
    <v>686.53</v>
    <v>670</v>
    <v>693.68</v>
    <v>687.09</v>
    <v>679</v>
    <v>694.64</v>
    <v>678.44</v>
    <v>692.36</v>
    <v>691.55</v>
    <v>668.66</v>
    <v>658.42</v>
    <v>649.16999999999996</v>
    <v>616.28</v>
    <v>618.51</v>
    <v>641.25</v>
    <v>618.42999999999995</v>
    <v>632.80999999999995</v>
    <v>640.17999999999995</v>
    <v>657.95</v>
    <v>677.42</v>
    <v>689.17</v>
    <v>685.57</v>
    <v>669.1</v>
    <v>649.5</v>
    <v>657.02</v>
    <v>673.03</v>
    <v>667.16</v>
    <v>662.53</v>
    <v>660.74</v>
    <v>650.52</v>
    <v>647.30999999999995</v>
    <v>628.25</v>
    <v>625.89</v>
    <v>611.92999999999995</v>
    <v>619.75</v>
    <v>614.97</v>
    <v>637.38</v>
    <v>637.38</v>
    <v>650.19000000000005</v>
    <v>653.78</v>
    <v>649.48</v>
    <v>641.70000000000005</v>
    <v>652.21</v>
    <v>711.31</v>
    <v>703.74</v>
    <v>694.43</v>
    <v>688.71</v>
    <v>696.16</v>
    <v>697</v>
    <v>697.51</v>
    <v>697.02</v>
    <v>697.75</v>
    <v>709.46</v>
    <v>689.31</v>
    <v>704.56</v>
    <v>714.79</v>
    <v>712.04</v>
    <v>706.9</v>
    <v>701.42</v>
    <v>696.79</v>
    <v>675.35</v>
    <v>667.78</v>
    <v>671.47</v>
    <v>689.53</v>
    <v>670.74</v>
    <v>659.33</v>
    <v>655.89</v>
    <v>657.37</v>
    <v>653.29999999999995</v>
    <v>631.16</v>
    <v>631.84</v>
    <v>647.20000000000005</v>
    <v>650.9</v>
    <v>657.89</v>
    <v>665.47</v>
    <v>636.27</v>
    <v>626.67999999999995</v>
    <v>616.32000000000005</v>
    <v>624.75</v>
    <v>625.96</v>
    <v>616.5</v>
    <v>620.20000000000005</v>
    <v>609.26</v>
    <v>593.13</v>
    <v>581.59</v>
    <v>567.69000000000005</v>
    <v>576.5</v>
    <v>561.39</v>
    <v>568.84</v>
    <v>578.9</v>
    <v>587.83000000000004</v>
    <v>578.41</v>
    <v>557.42999999999995</v>
    <v>541.86</v>
    <v>527.92999999999995</v>
    <v>524.29999999999995</v>
    <v>511.86</v>
    <v>522.51</v>
    <v>505.39</v>
    <v>526.91999999999996</v>
    <v>540.21</v>
    <v>525.52</v>
    <v>526.20000000000005</v>
    <v>534.6</v>
    <v>531.16</v>
    <v>554.89</v>
    <v>555.14</v>
    <v>554.92999999999995</v>
    <v>568.04999999999995</v>
    <v>566.44000000000005</v>
    <v>554.51</v>
    <v>549.25</v>
    <v>585.35</v>
    <v>611.09</v>
    <v>606.52</v>
    <v>596.25</v>
    <v>597.95000000000005</v>
    <v>648</v>
    <v>660.6</v>
    <v>638.94000000000005</v>
    <v>657.23</v>
    <v>647.89</v>
    <v>639.94000000000005</v>
    <v>647.41</v>
    <v>654.89</v>
    <v>656.07</v>
    <v>671.77</v>
    <v>674.66</v>
    <v>662.61</v>
    <v>670.96</v>
    <v>690.65</v>
    <v>698.15</v>
    <v>691.47</v>
    <v>684.27</v>
    <v>686.87</v>
    <v>685.12</v>
    <v>683.34</v>
    <v>675.8</v>
    <v>680.37</v>
    <v>707.01</v>
    <v>703.43</v>
    <v>691.36</v>
    <v>667.84</v>
    <v>658.19</v>
    <v>652.15</v>
    <v>665.95</v>
    <v>655.08000000000004</v>
    <v>657.68</v>
    <v>654.58000000000004</v>
    <v>652.54</v>
    <v>665.37</v>
    <v>655.03</v>
  </a>
  <a r="1" c="96">
    <v>82.39</v>
    <v>84.16</v>
    <v>83.44</v>
    <v>94.61</v>
    <v>90.77</v>
    <v>86.19</v>
    <v>82.82</v>
    <v>77.37</v>
    <v>68.97</v>
    <v>78.16</v>
    <v>77.150000000000006</v>
    <v>69.75</v>
    <v>72.27</v>
    <v>71.72</v>
    <v>73.75</v>
    <v>80.34</v>
    <v>76.3</v>
    <v>79.08</v>
    <v>80.52</v>
    <v>79</v>
    <v>78.64</v>
    <v>78.23</v>
    <v>84.05</v>
    <v>83.95</v>
    <v>83.71</v>
    <v>80.36</v>
    <v>78.099999999999994</v>
    <v>72.59</v>
    <v>69.59</v>
    <v>65.84</v>
    <v>68.599999999999994</v>
    <v>63.51</v>
    <v>69.760000000000005</v>
    <v>64</v>
    <v>62.85</v>
    <v>67.39</v>
    <v>73.58</v>
    <v>65.64</v>
    <v>64.78</v>
    <v>68.56</v>
    <v>68.67</v>
    <v>67.03</v>
    <v>67.52</v>
    <v>63.16</v>
    <v>60.92</v>
    <v>51.31</v>
    <v>45.1</v>
    <v>36.08</v>
    <v>44.21</v>
    <v>44.06</v>
    <v>43.57</v>
    <v>42.68</v>
    <v>34.69</v>
    <v>39.74</v>
    <v>39.97</v>
    <v>32.43</v>
    <v>34.17</v>
    <v>32.69</v>
    <v>36.200000000000003</v>
    <v>40.200000000000003</v>
    <v>33.51</v>
    <v>27.09</v>
    <v>13.49</v>
    <v>16.82</v>
    <v>18.47</v>
    <v>18.39</v>
    <v>18.14</v>
    <v>19.010000000000002</v>
    <v>15.56</v>
    <v>14.94</v>
    <v>20.79</v>
    <v>21.83</v>
    <v>22.21</v>
    <v>27.91</v>
    <v>27.19</v>
    <v>27.05</v>
    <v>31.33</v>
    <v>32.01</v>
    <v>28.83</v>
    <v>28.04</v>
    <v>29.64</v>
    <v>32.26</v>
    <v>28.68</v>
    <v>29.95</v>
    <v>39.07</v>
    <v>39.24</v>
    <v>41.31</v>
    <v>39.01</v>
    <v>45.96</v>
    <v>35.76</v>
    <v>37.03</v>
    <v>38.15</v>
    <v>35.9</v>
    <v>52.03</v>
    <v>51.55</v>
    <v>53.46</v>
  </a>
  <a r="1" c="1510">
    <v>2.5503</v>
    <v>2.6097999999999999</v>
    <v>2.5434999999999999</v>
    <v>2.5775000000000001</v>
    <v>2.6819999999999999</v>
    <v>2.6617999999999999</v>
    <v>2.629</v>
    <v>2.5859999999999999</v>
    <v>2.5857999999999999</v>
    <v>2.5278</v>
    <v>2.5737999999999999</v>
    <v>2.629</v>
    <v>2.6002999999999998</v>
    <v>2.6273</v>
    <v>2.6833</v>
    <v>2.6947999999999999</v>
    <v>2.7412999999999998</v>
    <v>2.7942999999999998</v>
    <v>2.7505000000000002</v>
    <v>2.7294999999999998</v>
    <v>2.8488000000000002</v>
    <v>2.8847999999999998</v>
    <v>2.8595000000000002</v>
    <v>2.9327999999999999</v>
    <v>2.9782999999999999</v>
    <v>2.9653</v>
    <v>2.9095</v>
    <v>2.8405</v>
    <v>2.7094999999999998</v>
    <v>2.7195</v>
    <v>2.7250000000000001</v>
    <v>2.6812999999999998</v>
    <v>2.6808000000000001</v>
    <v>2.7768000000000002</v>
    <v>2.7690000000000001</v>
    <v>2.5123000000000002</v>
    <v>2.5365000000000002</v>
    <v>2.6103000000000001</v>
    <v>2.5369999999999999</v>
    <v>2.5697999999999999</v>
    <v>2.4750000000000001</v>
    <v>2.4607999999999999</v>
    <v>2.4418000000000002</v>
    <v>2.4685000000000001</v>
    <v>2.464</v>
    <v>2.4634999999999998</v>
    <v>2.4780000000000002</v>
    <v>2.5463</v>
    <v>2.5445000000000002</v>
    <v>2.5638000000000001</v>
    <v>2.5952999999999999</v>
    <v>2.6518000000000002</v>
    <v>2.7363</v>
    <v>2.6478000000000002</v>
    <v>2.7018</v>
    <v>2.6772999999999998</v>
    <v>2.6867999999999999</v>
    <v>2.7063000000000001</v>
    <v>2.6922999999999999</v>
    <v>2.6835</v>
    <v>2.7349999999999999</v>
    <v>2.7233000000000001</v>
    <v>2.7094999999999998</v>
    <v>2.5194999999999999</v>
    <v>2.5007999999999999</v>
    <v>2.5190000000000001</v>
    <v>2.5083000000000002</v>
    <v>2.4443000000000001</v>
    <v>2.4529999999999998</v>
    <v>2.4327999999999999</v>
    <v>2.3873000000000002</v>
    <v>2.4807999999999999</v>
    <v>2.4823</v>
    <v>2.492</v>
    <v>2.5314999999999999</v>
    <v>2.5419999999999998</v>
    <v>2.5737999999999999</v>
    <v>2.6185</v>
    <v>2.6004999999999998</v>
    <v>2.641</v>
    <v>2.6074999999999999</v>
    <v>2.6659999999999999</v>
    <v>2.5870000000000002</v>
    <v>2.6063000000000001</v>
    <v>2.5962999999999998</v>
    <v>2.5964999999999998</v>
    <v>2.5693000000000001</v>
    <v>2.5735000000000001</v>
    <v>3.0323000000000002</v>
    <v>3.1625000000000001</v>
    <v>3.1972999999999998</v>
    <v>3.3578000000000001</v>
    <v>3.4203000000000001</v>
    <v>3.1930000000000001</v>
    <v>3.3268</v>
    <v>3.4</v>
    <v>3.4725000000000001</v>
    <v>3.4258000000000002</v>
    <v>3.4643000000000002</v>
    <v>3.4565000000000001</v>
    <v>3.5459999999999998</v>
    <v>3.6217999999999999</v>
    <v>3.6088</v>
    <v>3.609</v>
    <v>3.5910000000000002</v>
    <v>3.7002999999999999</v>
    <v>3.6835</v>
    <v>3.7280000000000002</v>
    <v>3.9984999999999999</v>
    <v>3.74</v>
    <v>3.7492999999999999</v>
    <v>3.7850000000000001</v>
    <v>3.7930000000000001</v>
    <v>3.8092999999999999</v>
    <v>3.7905000000000002</v>
    <v>3.9329999999999998</v>
    <v>3.9272999999999998</v>
    <v>3.9868000000000001</v>
    <v>3.9592999999999998</v>
    <v>3.8458000000000001</v>
    <v>3.8037999999999998</v>
    <v>3.6644999999999999</v>
    <v>3.7938000000000001</v>
    <v>3.6669999999999998</v>
    <v>3.6139999999999999</v>
    <v>3.4832999999999998</v>
    <v>3.5762999999999998</v>
    <v>3.5870000000000002</v>
    <v>3.669</v>
    <v>3.8424999999999998</v>
    <v>3.8969999999999998</v>
    <v>4.0628000000000002</v>
    <v>4.0157999999999996</v>
    <v>4.1238000000000001</v>
    <v>4.1063000000000001</v>
    <v>4.149</v>
    <v>4.1275000000000004</v>
    <v>4.1875</v>
    <v>4.2024999999999997</v>
    <v>4.1538000000000004</v>
    <v>4.1337999999999999</v>
    <v>4.1814999999999998</v>
    <v>4.0434999999999999</v>
    <v>4.1097999999999999</v>
    <v>4.0628000000000002</v>
    <v>4.1123000000000003</v>
    <v>4.1097999999999999</v>
    <v>4.1619999999999999</v>
    <v>4.1802999999999999</v>
    <v>4.3087999999999997</v>
    <v>4.2575000000000003</v>
    <v>4.3028000000000004</v>
    <v>4.1185</v>
    <v>3.899</v>
    <v>4.21</v>
    <v>4.1745000000000001</v>
    <v>4.1288</v>
    <v>4.0368000000000004</v>
    <v>4.0374999999999996</v>
    <v>3.9788000000000001</v>
    <v>4.0637999999999996</v>
    <v>4.1449999999999996</v>
    <v>4.1298000000000004</v>
    <v>4.0952999999999999</v>
    <v>4.1242999999999999</v>
    <v>4.1174999999999997</v>
    <v>4.1420000000000003</v>
    <v>4.2359999999999998</v>
    <v>4.2614999999999998</v>
    <v>4.1478000000000002</v>
    <v>4.1452999999999998</v>
    <v>4.1645000000000003</v>
    <v>4.0922999999999998</v>
    <v>4.2249999999999996</v>
    <v>4.2403000000000004</v>
    <v>4.2592999999999996</v>
    <v>4.2350000000000003</v>
    <v>4.5027999999999997</v>
    <v>4.6887999999999996</v>
    <v>4.6837999999999997</v>
    <v>4.6459999999999999</v>
    <v>4.5190000000000001</v>
    <v>4.4749999999999996</v>
    <v>4.2750000000000004</v>
    <v>4.2990000000000004</v>
    <v>4.3933</v>
    <v>4.3920000000000003</v>
    <v>4.4692999999999996</v>
    <v>4.4749999999999996</v>
    <v>4.4843000000000002</v>
    <v>4.5217999999999998</v>
    <v>4.5193000000000003</v>
    <v>4.5324999999999998</v>
    <v>4.6346999999999996</v>
    <v>4.7233000000000001</v>
    <v>4.7735000000000003</v>
    <v>4.7758000000000003</v>
    <v>4.8647999999999998</v>
    <v>4.9482999999999997</v>
    <v>4.9438000000000004</v>
    <v>4.9394999999999998</v>
    <v>4.9450000000000003</v>
    <v>4.9225000000000003</v>
    <v>4.9154999999999998</v>
    <v>4.9669999999999996</v>
    <v>4.8414999999999999</v>
    <v>4.8922999999999996</v>
    <v>5.0465</v>
    <v>5.0960000000000001</v>
    <v>5.1703000000000001</v>
    <v>5.18</v>
    <v>5.1485000000000003</v>
    <v>5.2172999999999998</v>
    <v>5.2408000000000001</v>
    <v>5.3007999999999997</v>
    <v>5.2290000000000001</v>
    <v>5.133</v>
    <v>5.4035000000000002</v>
    <v>5.3158000000000003</v>
    <v>5.3544999999999998</v>
    <v>5.2495000000000003</v>
    <v>5.2903000000000002</v>
    <v>5.2839999999999998</v>
    <v>5.3520000000000003</v>
    <v>5.4013</v>
    <v>5.3733000000000004</v>
    <v>5.4240000000000004</v>
    <v>5.3535000000000004</v>
    <v>5.2678000000000003</v>
    <v>4.9104999999999999</v>
    <v>5.0178000000000003</v>
    <v>4.9420000000000002</v>
    <v>4.6665000000000001</v>
    <v>4.6935000000000002</v>
    <v>4.7314999999999996</v>
    <v>4.7998000000000003</v>
    <v>4.7873000000000001</v>
    <v>4.8665000000000003</v>
    <v>4.7709999999999999</v>
    <v>4.6544999999999996</v>
    <v>4.6618000000000004</v>
    <v>4.7889999999999997</v>
    <v>4.9474999999999998</v>
    <v>4.9028</v>
    <v>4.92</v>
    <v>4.8973000000000004</v>
    <v>4.8818000000000001</v>
    <v>4.9359999999999999</v>
    <v>4.9292999999999996</v>
    <v>4.9349999999999996</v>
    <v>4.8375000000000004</v>
    <v>4.9837999999999996</v>
    <v>5.3117999999999999</v>
    <v>5.3398000000000003</v>
    <v>5.3849999999999998</v>
    <v>5.55</v>
    <v>5.5484999999999998</v>
    <v>5.5919999999999996</v>
    <v>5.6020000000000003</v>
    <v>5.5744999999999996</v>
    <v>5.5027999999999997</v>
    <v>5.6180000000000003</v>
    <v>5.6109999999999998</v>
    <v>5.7527999999999997</v>
    <v>5.8422999999999998</v>
    <v>5.9728000000000003</v>
    <v>5.8949999999999996</v>
    <v>5.9088000000000003</v>
    <v>6.0833000000000004</v>
    <v>6.1712999999999996</v>
    <v>6.0679999999999996</v>
    <v>6.1449999999999996</v>
    <v>6.0125000000000002</v>
    <v>5.8380000000000001</v>
    <v>5.3425000000000002</v>
    <v>5.6395</v>
    <v>5.72</v>
    <v>5.4379999999999997</v>
    <v>5.8019999999999996</v>
    <v>5.7008000000000001</v>
    <v>5.8158000000000003</v>
    <v>6.0354999999999999</v>
    <v>6.1624999999999996</v>
    <v>6.0960000000000001</v>
    <v>6.2270000000000003</v>
    <v>6.0377999999999998</v>
    <v>6.0537999999999998</v>
    <v>6.1482999999999999</v>
    <v>6.1645000000000003</v>
    <v>6.1515000000000004</v>
    <v>6.05</v>
    <v>5.8052999999999999</v>
    <v>5.9135</v>
    <v>5.8913000000000002</v>
    <v>6.0540000000000003</v>
    <v>6.0460000000000003</v>
    <v>6.0294999999999996</v>
    <v>6.1333000000000002</v>
    <v>6.2439999999999998</v>
    <v>6.1928000000000001</v>
    <v>6.2184999999999997</v>
    <v>6.2335000000000003</v>
    <v>6.2619999999999996</v>
    <v>6.0250000000000004</v>
    <v>6.2394999999999996</v>
    <v>6.2140000000000004</v>
    <v>6.0462999999999996</v>
    <v>5.8243</v>
    <v>6.1120000000000001</v>
    <v>5.6379999999999999</v>
    <v>5.5338000000000003</v>
    <v>5.7897999999999996</v>
    <v>5.5263</v>
    <v>5.6337999999999999</v>
    <v>5.6559999999999997</v>
    <v>5.5345000000000004</v>
    <v>5.3563000000000001</v>
    <v>5.3853</v>
    <v>5.6978</v>
    <v>5.6559999999999997</v>
    <v>5.8650000000000002</v>
    <v>5.7874999999999996</v>
    <v>5.7873000000000001</v>
    <v>5.9385000000000003</v>
    <v>5.9093</v>
    <v>5.726</v>
    <v>5.7178000000000004</v>
    <v>5.5970000000000004</v>
    <v>5.53</v>
    <v>5.4165000000000001</v>
    <v>5.6304999999999996</v>
    <v>5.6582999999999997</v>
    <v>5.6224999999999996</v>
    <v>5.6784999999999997</v>
    <v>5.6577999999999999</v>
    <v>5.8247999999999998</v>
    <v>5.9764999999999997</v>
    <v>6.2169999999999996</v>
    <v>6.26</v>
    <v>6.3944999999999999</v>
    <v>6.5033000000000003</v>
    <v>6.3632999999999997</v>
    <v>6.3840000000000003</v>
    <v>6.1390000000000002</v>
    <v>6.1502999999999997</v>
    <v>6.1928000000000001</v>
    <v>6.1485000000000003</v>
    <v>6.1059999999999999</v>
    <v>6.0674999999999999</v>
    <v>6.1885000000000003</v>
    <v>6.1923000000000004</v>
    <v>6.2320000000000002</v>
    <v>6.2148000000000003</v>
    <v>6.3247999999999998</v>
    <v>6.3048000000000002</v>
    <v>6.4405000000000001</v>
    <v>6.6212999999999997</v>
    <v>6.6268000000000002</v>
    <v>6.6288</v>
    <v>6.5724999999999998</v>
    <v>6.5570000000000004</v>
    <v>6.5155000000000003</v>
    <v>6.5644999999999998</v>
    <v>6.56</v>
    <v>6.6727999999999996</v>
    <v>6.6315</v>
    <v>6.6273</v>
    <v>6.5042999999999997</v>
    <v>6.5578000000000003</v>
    <v>6.4278000000000004</v>
    <v>6.2737999999999996</v>
    <v>5.9779999999999998</v>
    <v>6.0498000000000003</v>
    <v>5.8929999999999998</v>
    <v>6.0214999999999996</v>
    <v>5.9225000000000003</v>
    <v>6.056</v>
    <v>5.9210000000000003</v>
    <v>6.0682999999999998</v>
    <v>6.1833</v>
    <v>6.2313000000000001</v>
    <v>6.3312999999999997</v>
    <v>6.1882999999999999</v>
    <v>6.2808000000000002</v>
    <v>6.2329999999999997</v>
    <v>6.2050000000000001</v>
    <v>6.3422999999999998</v>
    <v>6.2925000000000004</v>
    <v>6.3007999999999997</v>
    <v>6.2723000000000004</v>
    <v>6.2352999999999996</v>
    <v>6.2178000000000004</v>
    <v>6.2968000000000002</v>
    <v>6.3710000000000004</v>
    <v>6.3005000000000004</v>
    <v>6.1032999999999999</v>
    <v>6.1215000000000002</v>
    <v>6.1618000000000004</v>
    <v>6.2655000000000003</v>
    <v>6.3025000000000002</v>
    <v>6.3507999999999996</v>
    <v>6.4238</v>
    <v>6.4604999999999997</v>
    <v>6.4115000000000002</v>
    <v>6.3697999999999997</v>
    <v>6.4029999999999996</v>
    <v>6.5358000000000001</v>
    <v>6.4770000000000003</v>
    <v>6.4359999999999999</v>
    <v>6.1204999999999998</v>
    <v>6.1959999999999997</v>
    <v>6.3330000000000002</v>
    <v>6.5705</v>
    <v>6.6710000000000003</v>
    <v>6.8055000000000003</v>
    <v>6.8975</v>
    <v>6.8594999999999997</v>
    <v>6.9622999999999999</v>
    <v>6.9452999999999996</v>
    <v>7.0170000000000003</v>
    <v>7.0925000000000002</v>
    <v>6.9604999999999997</v>
    <v>6.8179999999999996</v>
    <v>6.7965</v>
    <v>6.8682999999999996</v>
    <v>6.82</v>
    <v>6.7050000000000001</v>
    <v>6.7835000000000001</v>
    <v>6.9108000000000001</v>
    <v>6.8483000000000001</v>
    <v>6.7755000000000001</v>
    <v>6.7995000000000001</v>
    <v>6.657</v>
    <v>6.5862999999999996</v>
    <v>6.6425000000000001</v>
    <v>6.7103000000000002</v>
    <v>6.673</v>
    <v>6.6849999999999996</v>
    <v>7.0255000000000001</v>
    <v>7.234</v>
    <v>7.1619999999999999</v>
    <v>7.1683000000000003</v>
    <v>6.9823000000000004</v>
    <v>6.7465000000000002</v>
    <v>6.6443000000000003</v>
    <v>6.6384999999999996</v>
    <v>6.1422999999999996</v>
    <v>5.8783000000000003</v>
    <v>6.1635</v>
    <v>5.8845000000000001</v>
    <v>6.1458000000000004</v>
    <v>6.0765000000000002</v>
    <v>5.9882999999999997</v>
    <v>5.7293000000000003</v>
    <v>5.7805</v>
    <v>5.5265000000000004</v>
    <v>4.9852999999999996</v>
    <v>5.1959999999999997</v>
    <v>4.9573</v>
    <v>4.6405000000000003</v>
    <v>5.0750000000000002</v>
    <v>5.2708000000000004</v>
    <v>5.4527999999999999</v>
    <v>5.3730000000000002</v>
    <v>5.2942999999999998</v>
    <v>5.2765000000000004</v>
    <v>5.3448000000000002</v>
    <v>5.1497999999999999</v>
    <v>5.1417999999999999</v>
    <v>4.7385000000000002</v>
    <v>4.9828000000000001</v>
    <v>4.9298000000000002</v>
    <v>5.0598000000000001</v>
    <v>4.1108000000000002</v>
    <v>3.6175000000000002</v>
    <v>3.7269999999999999</v>
    <v>3.6177999999999999</v>
    <v>3.625</v>
    <v>3.8262999999999998</v>
    <v>3.8433000000000002</v>
    <v>4.0018000000000002</v>
    <v>3.9340000000000002</v>
    <v>4.0857999999999999</v>
    <v>4.2510000000000003</v>
    <v>3.9278</v>
    <v>3.9573</v>
    <v>3.6903000000000001</v>
    <v>3.7965</v>
    <v>3.7048000000000001</v>
    <v>3.7225000000000001</v>
    <v>3.7223000000000002</v>
    <v>3.6613000000000002</v>
    <v>3.5895000000000001</v>
    <v>3.6735000000000002</v>
    <v>3.4628000000000001</v>
    <v>3.3774999999999999</v>
    <v>3.2393000000000001</v>
    <v>3.177</v>
    <v>3.3275000000000001</v>
    <v>3.2793000000000001</v>
    <v>3.3412999999999999</v>
    <v>3.3374999999999999</v>
    <v>3.4055</v>
    <v>3.1998000000000002</v>
    <v>3.4047999999999998</v>
    <v>3.585</v>
    <v>3.4958</v>
    <v>3.5644999999999998</v>
    <v>3.6307999999999998</v>
    <v>3.7208000000000001</v>
    <v>3.7610000000000001</v>
    <v>3.7467999999999999</v>
    <v>3.7210000000000001</v>
    <v>3.7930000000000001</v>
    <v>3.9232999999999998</v>
    <v>3.7193000000000001</v>
    <v>3.7323</v>
    <v>3.9460000000000002</v>
    <v>4.0038</v>
    <v>3.4502999999999999</v>
    <v>3.29</v>
    <v>3.4348000000000001</v>
    <v>3.5937999999999999</v>
    <v>3.6183000000000001</v>
    <v>3.7294999999999998</v>
    <v>3.7488000000000001</v>
    <v>3.8250000000000002</v>
    <v>3.6855000000000002</v>
    <v>3.7042999999999999</v>
    <v>3.6613000000000002</v>
    <v>3.7793000000000001</v>
    <v>3.8220000000000001</v>
    <v>3.8633000000000002</v>
    <v>3.9335</v>
    <v>3.9159999999999999</v>
    <v>3.9638</v>
    <v>3.8942999999999999</v>
    <v>3.9798</v>
    <v>3.9672999999999998</v>
    <v>3.9275000000000002</v>
    <v>3.8853</v>
    <v>3.8565</v>
    <v>3.9113000000000002</v>
    <v>3.9195000000000002</v>
    <v>3.9129999999999998</v>
    <v>3.8012999999999999</v>
    <v>3.7315</v>
    <v>3.766</v>
    <v>4.0285000000000002</v>
    <v>4.0629999999999997</v>
    <v>4.2154999999999996</v>
    <v>4.1390000000000002</v>
    <v>4.2453000000000003</v>
    <v>4.2237999999999998</v>
    <v>4.3928000000000003</v>
    <v>4.3600000000000003</v>
    <v>4.5984999999999996</v>
    <v>4.4375</v>
    <v>4.3445</v>
    <v>4.4218000000000002</v>
    <v>4.4124999999999996</v>
    <v>4.4313000000000002</v>
    <v>4.4889999999999999</v>
    <v>4.5570000000000004</v>
    <v>4.5750000000000002</v>
    <v>4.7154999999999996</v>
    <v>4.7065000000000001</v>
    <v>4.7737999999999996</v>
    <v>4.7946999999999997</v>
    <v>4.7314999999999996</v>
    <v>4.8025000000000002</v>
    <v>4.7885</v>
    <v>4.7503000000000002</v>
    <v>4.6174999999999997</v>
    <v>4.7053000000000003</v>
    <v>4.6822999999999997</v>
    <v>4.6574999999999998</v>
    <v>4.7118000000000002</v>
    <v>4.7667999999999999</v>
    <v>4.7793000000000001</v>
    <v>4.6727999999999996</v>
    <v>4.4523000000000001</v>
    <v>4.4832999999999998</v>
    <v>4.5250000000000004</v>
    <v>4.5118</v>
    <v>4.5797999999999996</v>
    <v>4.5751999999999997</v>
    <v>4.4962999999999997</v>
    <v>4.3277999999999999</v>
    <v>4.3479999999999999</v>
    <v>4.2548000000000004</v>
    <v>4.2205000000000004</v>
    <v>3.9613</v>
    <v>4.0510000000000002</v>
    <v>3.9895</v>
    <v>4.0048000000000004</v>
    <v>3.9133</v>
    <v>3.7938000000000001</v>
    <v>3.8765000000000001</v>
    <v>3.8050000000000002</v>
    <v>3.6829999999999998</v>
    <v>3.6288</v>
    <v>3.5832999999999999</v>
    <v>3.5085000000000002</v>
    <v>3.4777999999999998</v>
    <v>3.3864999999999998</v>
    <v>3.3445</v>
    <v>3.5750000000000002</v>
    <v>3.532</v>
    <v>3.5945</v>
    <v>3.6375000000000002</v>
    <v>3.7107999999999999</v>
    <v>3.7688000000000001</v>
    <v>3.6549999999999998</v>
    <v>3.7065000000000001</v>
    <v>3.6160000000000001</v>
    <v>3.6257999999999999</v>
    <v>3.8220000000000001</v>
    <v>3.8279999999999998</v>
    <v>3.8525</v>
    <v>3.794</v>
    <v>3.8165</v>
    <v>3.7869999999999999</v>
    <v>3.9815</v>
    <v>4.0808</v>
    <v>4.1056999999999997</v>
    <v>4.1543000000000001</v>
    <v>4.0557999999999996</v>
    <v>4.0688000000000004</v>
    <v>4.0057999999999998</v>
    <v>3.9302999999999999</v>
    <v>3.9327999999999999</v>
    <v>4.0015000000000001</v>
    <v>4.157</v>
    <v>4.1902999999999997</v>
    <v>4.1818</v>
    <v>4.1769999999999996</v>
    <v>4.2427999999999999</v>
    <v>4.2545000000000002</v>
    <v>4.2110000000000003</v>
    <v>4.2830000000000004</v>
    <v>4.3914999999999997</v>
    <v>4.4664999999999999</v>
    <v>4.3345000000000002</v>
    <v>4.3768000000000002</v>
    <v>4.3704999999999998</v>
    <v>4.3861999999999997</v>
    <v>4.218</v>
    <v>4.1230000000000002</v>
    <v>4.0297999999999998</v>
    <v>3.7698</v>
    <v>3.8088000000000002</v>
    <v>3.8473000000000002</v>
    <v>3.9565000000000001</v>
    <v>3.8544999999999998</v>
    <v>3.7863000000000002</v>
    <v>3.9013</v>
    <v>3.7517999999999998</v>
    <v>3.7193000000000001</v>
    <v>3.9889999999999999</v>
    <v>4.2694999999999999</v>
    <v>4.1967999999999996</v>
    <v>4.2808000000000002</v>
    <v>4.2869999999999999</v>
    <v>4.0609999999999999</v>
    <v>4.1361999999999997</v>
    <v>4.0449999999999999</v>
    <v>4.0305</v>
    <v>4.1749999999999998</v>
    <v>4.1878000000000002</v>
    <v>4.1041999999999996</v>
    <v>4.2190000000000003</v>
    <v>4.4935</v>
    <v>4.4663000000000004</v>
    <v>4.5125000000000002</v>
    <v>4.5795000000000003</v>
    <v>4.6082999999999998</v>
    <v>4.6067999999999998</v>
    <v>4.5484999999999998</v>
    <v>4.5053000000000001</v>
    <v>4.5267999999999997</v>
    <v>4.4995000000000003</v>
    <v>4.4234999999999998</v>
    <v>4.3173000000000004</v>
    <v>4.3710000000000004</v>
    <v>4.3132999999999999</v>
    <v>4.4558</v>
    <v>4.4335000000000004</v>
    <v>4.2939999999999996</v>
    <v>4.3517999999999999</v>
    <v>4.3499999999999996</v>
    <v>4.3259999999999996</v>
    <v>4.5327999999999999</v>
    <v>4.5492999999999997</v>
    <v>4.6082999999999998</v>
    <v>4.4307999999999996</v>
    <v>4.5178000000000003</v>
    <v>4.5758000000000001</v>
    <v>4.6497999999999999</v>
    <v>4.6632999999999996</v>
    <v>4.9093</v>
    <v>4.8552999999999997</v>
    <v>4.8573000000000004</v>
    <v>4.7622999999999998</v>
    <v>4.9002999999999997</v>
    <v>4.8902999999999999</v>
    <v>4.8773</v>
    <v>4.9215</v>
    <v>5.1135000000000002</v>
    <v>5.1698000000000004</v>
    <v>5.0730000000000004</v>
    <v>5.0750000000000002</v>
    <v>5.0255000000000001</v>
    <v>5.0648</v>
    <v>5.2625000000000002</v>
    <v>5.2403000000000004</v>
    <v>5.1908000000000003</v>
    <v>5.2084999999999999</v>
    <v>5.1944999999999997</v>
    <v>5.2045000000000003</v>
    <v>5.2403000000000004</v>
    <v>5.2142999999999997</v>
    <v>5.2447999999999997</v>
    <v>5.1048</v>
    <v>5.3070000000000004</v>
    <v>5.1997999999999998</v>
    <v>5.2794999999999996</v>
    <v>5.2545000000000002</v>
    <v>5.2723000000000004</v>
    <v>5.5303000000000004</v>
    <v>5.4249999999999998</v>
    <v>5.4560000000000004</v>
    <v>5.4184999999999999</v>
    <v>5.2313000000000001</v>
    <v>5.1914999999999996</v>
    <v>5.2355</v>
    <v>5.2184999999999997</v>
    <v>5.3042999999999996</v>
    <v>5.3042999999999996</v>
    <v>5.3494999999999999</v>
    <v>5.4335000000000004</v>
    <v>5.6017999999999999</v>
    <v>5.5998000000000001</v>
    <v>5.6288</v>
    <v>5.7073</v>
    <v>5.7378</v>
    <v>5.8864999999999998</v>
    <v>5.9843000000000002</v>
    <v>5.9705000000000004</v>
    <v>5.9654999999999996</v>
    <v>5.9798</v>
    <v>5.9218000000000002</v>
    <v>5.8079999999999998</v>
    <v>5.8825000000000003</v>
    <v>5.9977999999999998</v>
    <v>5.9017999999999997</v>
    <v>5.9264999999999999</v>
    <v>5.9983000000000004</v>
    <v>6.0095000000000001</v>
    <v>6.0754999999999999</v>
    <v>6.1079999999999997</v>
    <v>6.2995000000000001</v>
    <v>6.1820000000000004</v>
    <v>6.1393000000000004</v>
    <v>6.2233000000000001</v>
    <v>6.2320000000000002</v>
    <v>6.1985000000000001</v>
    <v>6.2512999999999996</v>
    <v>6.3215000000000003</v>
    <v>6.2619999999999996</v>
    <v>6.0049999999999999</v>
    <v>6.1993</v>
    <v>6.1384999999999996</v>
    <v>6.1452999999999998</v>
    <v>5.9108000000000001</v>
    <v>6.0083000000000002</v>
    <v>6.1783000000000001</v>
    <v>6.2690000000000001</v>
    <v>6.3560999999999996</v>
    <v>6.2897999999999996</v>
    <v>6.5743</v>
    <v>6.6973000000000003</v>
    <v>6.8135000000000003</v>
    <v>6.7694999999999999</v>
    <v>7.2447999999999997</v>
    <v>7.4142999999999999</v>
    <v>7.8674999999999997</v>
    <v>7.7175000000000002</v>
    <v>7.3517999999999999</v>
    <v>6.8319999999999999</v>
    <v>6.5513000000000003</v>
    <v>6.6913</v>
    <v>6.3150000000000004</v>
    <v>6.7518000000000002</v>
    <v>6.9108000000000001</v>
    <v>6.6473000000000004</v>
    <v>7.1128</v>
    <v>6.8323</v>
    <v>6.6509999999999998</v>
    <v>6.1360000000000001</v>
    <v>6.5270000000000001</v>
    <v>6.1618000000000004</v>
    <v>5.4077999999999999</v>
    <v>6.0209999999999999</v>
    <v>4.91</v>
    <v>5.4318</v>
    <v>5.0705</v>
    <v>5.3243</v>
    <v>5.1437999999999997</v>
    <v>5.3173000000000004</v>
    <v>6.2294999999999998</v>
    <v>6.1405000000000003</v>
    <v>6.431</v>
    <v>6.3182999999999998</v>
    <v>6.6398000000000001</v>
    <v>6.59</v>
    <v>6.0768000000000004</v>
    <v>6.3868</v>
    <v>6.0978000000000003</v>
    <v>6.71</v>
    <v>6.4757999999999996</v>
    <v>6.6738</v>
    <v>6.5738000000000003</v>
    <v>6.7462999999999997</v>
    <v>7.0987999999999998</v>
    <v>7.0209999999999999</v>
    <v>7.3674999999999997</v>
    <v>7.3079999999999998</v>
    <v>7.1763000000000003</v>
    <v>6.7378</v>
    <v>7.1538000000000004</v>
    <v>7.1002999999999998</v>
    <v>7.2397999999999998</v>
    <v>7.4269999999999996</v>
    <v>7.2839999999999998</v>
    <v>7.4615</v>
    <v>7.3070000000000004</v>
    <v>7.0694999999999997</v>
    <v>7.2820999999999998</v>
    <v>7.3434999999999997</v>
    <v>7.4447999999999999</v>
    <v>7.6218000000000004</v>
    <v>7.8125</v>
    <v>8.0655000000000001</v>
    <v>7.8025000000000002</v>
    <v>7.78</v>
    <v>8.0305</v>
    <v>8.4908000000000001</v>
    <v>8.7502999999999993</v>
    <v>8.8055000000000003</v>
    <v>8.9700000000000006</v>
    <v>8.7752999999999997</v>
    <v>9.0263000000000009</v>
    <v>8.7178000000000004</v>
    <v>8.5252999999999997</v>
    <v>8.4870000000000001</v>
    <v>8.8755000000000006</v>
    <v>8.8063000000000002</v>
    <v>8.8253000000000004</v>
    <v>8.7695000000000007</v>
    <v>8.7665000000000006</v>
    <v>8.92</v>
    <v>8.8049999999999997</v>
    <v>9.0459999999999994</v>
    <v>9.3667999999999996</v>
    <v>8.7963000000000005</v>
    <v>8.9324999999999992</v>
    <v>9.1738</v>
    <v>9.0685000000000002</v>
    <v>9.2360000000000007</v>
    <v>9.218</v>
    <v>9.2613000000000003</v>
    <v>9.5267999999999997</v>
    <v>9.4499999999999993</v>
    <v>9.2355</v>
    <v>9.49</v>
    <v>9.1549999999999994</v>
    <v>9.1999999999999993</v>
    <v>9.4977999999999998</v>
    <v>9.5299999999999994</v>
    <v>9.6122999999999994</v>
    <v>9.8392999999999997</v>
    <v>9.8718000000000004</v>
    <v>10.215999999999999</v>
    <v>10.509</v>
    <v>10.4793</v>
    <v>10.052300000000001</v>
    <v>10.377000000000001</v>
    <v>10.2273</v>
    <v>10.1348</v>
    <v>10.201499999999999</v>
    <v>10.5108</v>
    <v>10.3285</v>
    <v>10.438800000000001</v>
    <v>10.129799999999999</v>
    <v>10.1945</v>
    <v>10.4215</v>
    <v>10.2155</v>
    <v>10.4655</v>
    <v>10.614000000000001</v>
    <v>10.614800000000001</v>
    <v>11.010300000000001</v>
    <v>11.2278</v>
    <v>11.286799999999999</v>
    <v>11.3355</v>
    <v>11.1995</v>
    <v>11.164999999999999</v>
    <v>10.85</v>
    <v>11.440300000000001</v>
    <v>11.443</v>
    <v>11.564</v>
    <v>12.337</v>
    <v>12.2608</v>
    <v>12.138500000000001</v>
    <v>12.141</v>
    <v>12.6835</v>
    <v>12.7203</v>
    <v>12.75</v>
    <v>12.773</v>
    <v>12.628299999999999</v>
    <v>13.1478</v>
    <v>13.374499999999999</v>
    <v>13.821</v>
    <v>14.346500000000001</v>
    <v>13.015499999999999</v>
    <v>12.6225</v>
    <v>11.913</v>
    <v>12.715</v>
    <v>12.3118</v>
    <v>12.1645</v>
    <v>12.872299999999999</v>
    <v>12.991</v>
    <v>12.5145</v>
    <v>12.4635</v>
    <v>12.189299999999999</v>
    <v>12.517300000000001</v>
    <v>12.6378</v>
    <v>12.123799999999999</v>
    <v>12.348000000000001</v>
    <v>12.873799999999999</v>
    <v>13.035</v>
    <v>13.2258</v>
    <v>13.5305</v>
    <v>13.6145</v>
    <v>13.0623</v>
    <v>13.6425</v>
    <v>13.736499999999999</v>
    <v>13.964</v>
    <v>13.838800000000001</v>
    <v>13.7628</v>
    <v>14.226000000000001</v>
    <v>14.2483</v>
    <v>14.0953</v>
    <v>13.97</v>
    <v>13.811500000000001</v>
    <v>13.4978</v>
    <v>13.6455</v>
    <v>13.524800000000001</v>
    <v>13.361000000000001</v>
    <v>13.590299999999999</v>
    <v>13.141299999999999</v>
    <v>13.396800000000001</v>
    <v>12.627000000000001</v>
    <v>13.023999999999999</v>
    <v>12.534000000000001</v>
    <v>12.5808</v>
    <v>13.019500000000001</v>
    <v>13.7943</v>
    <v>14.16</v>
    <v>14.561999999999999</v>
    <v>13.630800000000001</v>
    <v>12.77</v>
    <v>13.417999999999999</v>
    <v>13.456799999999999</v>
    <v>13.297000000000001</v>
    <v>13.5153</v>
    <v>13.4223</v>
    <v>13.428800000000001</v>
    <v>13.440300000000001</v>
    <v>13.0878</v>
    <v>13.14</v>
    <v>12.957700000000001</v>
    <v>13.2348</v>
    <v>13.2613</v>
    <v>13.4015</v>
    <v>13.39</v>
    <v>13.544499999999999</v>
    <v>13.396000000000001</v>
    <v>13.558299999999999</v>
    <v>13.6068</v>
    <v>13.35</v>
    <v>12.9308</v>
    <v>12.972300000000001</v>
    <v>13.013299999999999</v>
    <v>13.3088</v>
    <v>13.3605</v>
    <v>13.2425</v>
    <v>13.3413</v>
    <v>13.272</v>
    <v>13.3323</v>
    <v>13.2783</v>
    <v>13.0093</v>
    <v>12.9938</v>
    <v>12.9</v>
    <v>12.943300000000001</v>
    <v>13.145799999999999</v>
    <v>13.055</v>
    <v>13.1135</v>
    <v>13.4048</v>
    <v>12.6145</v>
    <v>13.343999999999999</v>
    <v>13.2768</v>
    <v>13.621499999999999</v>
    <v>13.4848</v>
    <v>13.5318</v>
    <v>13.2003</v>
    <v>12.859500000000001</v>
    <v>13.0253</v>
    <v>13.3658</v>
    <v>13.8675</v>
    <v>13.7125</v>
    <v>13.6533</v>
    <v>13.4353</v>
    <v>12.9178</v>
    <v>13.051</v>
    <v>12.989800000000001</v>
    <v>13.237</v>
    <v>13.556800000000001</v>
    <v>13.5305</v>
    <v>13.664300000000001</v>
    <v>13.590999999999999</v>
    <v>14.438800000000001</v>
    <v>14.263299999999999</v>
    <v>14.7643</v>
    <v>15.2508</v>
    <v>14.9613</v>
    <v>15.330299999999999</v>
    <v>14.906000000000001</v>
    <v>14.829000000000001</v>
    <v>14.926500000000001</v>
    <v>14.3558</v>
    <v>14.141999999999999</v>
    <v>14.499000000000001</v>
    <v>13.307499999999999</v>
    <v>13.714499999999999</v>
    <v>13.841799999999999</v>
    <v>13.4063</v>
    <v>12.8048</v>
    <v>12.3703</v>
    <v>12.461499999999999</v>
    <v>11.593299999999999</v>
    <v>12.520300000000001</v>
    <v>12.468299999999999</v>
    <v>12.993499999999999</v>
    <v>12.856</v>
    <v>13.1913</v>
    <v>13.2913</v>
    <v>13.3413</v>
    <v>12.7225</v>
    <v>12.845800000000001</v>
    <v>13.186299999999999</v>
    <v>13.0708</v>
    <v>12.643000000000001</v>
    <v>12.535299999999999</v>
    <v>12.8393</v>
    <v>12.9483</v>
    <v>12.8718</v>
    <v>13.3483</v>
    <v>13.8118</v>
    <v>13.987500000000001</v>
    <v>13.861499999999999</v>
    <v>14.1435</v>
    <v>14.317</v>
    <v>14.4</v>
    <v>15.209</v>
    <v>15.679500000000001</v>
    <v>15.276999999999999</v>
    <v>16.1373</v>
    <v>15.9125</v>
    <v>15.361800000000001</v>
    <v>15.1713</v>
    <v>15.3605</v>
    <v>14.850300000000001</v>
    <v>15.2653</v>
    <v>15.478</v>
    <v>15.3818</v>
    <v>15.2768</v>
    <v>15.3248</v>
    <v>15.009499999999999</v>
    <v>14.8368</v>
    <v>14.3513</v>
    <v>14.458500000000001</v>
    <v>14.523</v>
    <v>14.8123</v>
    <v>14.2658</v>
    <v>14.3063</v>
    <v>13.7585</v>
    <v>13.6653</v>
    <v>14.243</v>
    <v>14.1655</v>
    <v>14.0158</v>
    <v>14.065799999999999</v>
    <v>14.612500000000001</v>
    <v>14.9918</v>
    <v>15.612</v>
    <v>15.6478</v>
    <v>15.7</v>
    <v>15.488</v>
    <v>16.244499999999999</v>
    <v>16.264500000000002</v>
    <v>16.778300000000002</v>
    <v>16.969799999999999</v>
    <v>17.578299999999999</v>
    <v>17.619</v>
    <v>17.457000000000001</v>
    <v>17.3583</v>
    <v>17.425000000000001</v>
    <v>17.825299999999999</v>
    <v>18.018799999999999</v>
    <v>17.788499999999999</v>
    <v>17.810300000000002</v>
    <v>18.657299999999999</v>
    <v>18.6387</v>
    <v>18.427299999999999</v>
    <v>18.886800000000001</v>
    <v>19.057300000000001</v>
    <v>19.205500000000001</v>
    <v>19.030999999999999</v>
    <v>19.984999999999999</v>
    <v>20.026800000000001</v>
    <v>20.002500000000001</v>
    <v>20.212</v>
    <v>20.486999999999998</v>
    <v>20.698499999999999</v>
    <v>20.3718</v>
    <v>19.902799999999999</v>
    <v>20.0503</v>
    <v>20.512499999999999</v>
    <v>20.25</v>
    <v>19.8415</v>
    <v>18.9663</v>
    <v>18.161000000000001</v>
    <v>18.779800000000002</v>
    <v>18.611999999999998</v>
    <v>19.41</v>
    <v>19.594000000000001</v>
    <v>19.558</v>
    <v>19.294</v>
    <v>19.207999999999998</v>
    <v>19.503</v>
    <v>19.661999999999999</v>
    <v>19.498999999999999</v>
    <v>19.75</v>
    <v>19.815000000000001</v>
    <v>20.274000000000001</v>
    <v>20.637</v>
    <v>20.366</v>
    <v>20.295000000000002</v>
    <v>19.936</v>
    <v>19.699000000000002</v>
    <v>19.905000000000001</v>
    <v>20.187999999999999</v>
    <v>19.95</v>
    <v>19.457999999999998</v>
    <v>19.04</v>
    <v>19.797999999999998</v>
    <v>20.815999999999999</v>
    <v>21.957999999999998</v>
    <v>21.792999999999999</v>
    <v>22.213000000000001</v>
    <v>22.068000000000001</v>
    <v>22.635999999999999</v>
    <v>22.687999999999999</v>
    <v>22.385000000000002</v>
    <v>22.440999999999999</v>
    <v>22.396000000000001</v>
    <v>22.843</v>
    <v>22.661999999999999</v>
    <v>22.338999999999999</v>
    <v>22.177</v>
    <v>22.478000000000002</v>
    <v>22.152000000000001</v>
    <v>22.242000000000001</v>
    <v>22.341000000000001</v>
    <v>22.242000000000001</v>
    <v>21.9</v>
    <v>21.113</v>
    <v>21.245999999999999</v>
    <v>21.940999999999999</v>
    <v>22.481999999999999</v>
    <v>22.081</v>
    <v>21.66</v>
    <v>20.699000000000002</v>
    <v>20.516999999999999</v>
    <v>20.716000000000001</v>
    <v>20.742000000000001</v>
    <v>19.731999999999999</v>
    <v>20.451000000000001</v>
    <v>20.7</v>
    <v>21.074999999999999</v>
    <v>20.831</v>
    <v>20.695</v>
    <v>20.670999999999999</v>
    <v>20.939</v>
    <v>21.745999999999999</v>
    <v>21.861999999999998</v>
    <v>22.222000000000001</v>
    <v>22.29</v>
    <v>22.103000000000002</v>
    <v>22.692</v>
    <v>22.725999999999999</v>
    <v>23.166</v>
    <v>24.716999999999999</v>
    <v>24.451000000000001</v>
    <v>24.940999999999999</v>
    <v>25.567</v>
    <v>25.827000000000002</v>
    <v>26.401</v>
    <v>26.597999999999999</v>
    <v>29.800999999999998</v>
    <v>29.751999999999999</v>
    <v>30.803999999999998</v>
    <v>30.657</v>
    <v>29.459</v>
    <v>30.39</v>
    <v>30.39</v>
    <v>30.024999999999999</v>
    <v>30.202999999999999</v>
    <v>29.260999999999999</v>
    <v>31.675000000000001</v>
    <v>32.984999999999999</v>
    <v>31.956</v>
    <v>31.745999999999999</v>
    <v>32.673999999999999</v>
    <v>31.503</v>
    <v>33.375999999999998</v>
    <v>32.676000000000002</v>
    <v>31.434999999999999</v>
    <v>32.125999999999998</v>
    <v>30.693000000000001</v>
    <v>30.036999999999999</v>
    <v>32.427</v>
    <v>31.826000000000001</v>
    <v>30.49</v>
    <v>30.198</v>
    <v>28.161000000000001</v>
    <v>28.337</v>
    <v>30.459</v>
    <v>28.387</v>
    <v>27.800999999999998</v>
    <v>27.719000000000001</v>
    <v>29.074999999999999</v>
    <v>29.4</v>
    <v>29.64</v>
    <v>30.945</v>
    <v>30.321999999999999</v>
    <v>30.001000000000001</v>
    <v>29.585999999999999</v>
    <v>29.411000000000001</v>
    <v>30.120999999999999</v>
    <v>29.29</v>
    <v>27.603999999999999</v>
    <v>28.178000000000001</v>
    <v>27.247</v>
    <v>27.4</v>
    <v>27.817</v>
    <v>27.998999999999999</v>
    <v>26.574999999999999</v>
    <v>26.942</v>
    <v>25.902999999999999</v>
    <v>25.067</v>
    <v>24.15</v>
    <v>23.373999999999999</v>
    <v>23.372</v>
    <v>22.324000000000002</v>
    <v>22.771999999999998</v>
    <v>21.943999999999999</v>
    <v>22.84</v>
    <v>24.486000000000001</v>
    <v>24.638000000000002</v>
    <v>25.242000000000001</v>
    <v>23.948</v>
    <v>24.318999999999999</v>
    <v>24.728000000000002</v>
    <v>25.108000000000001</v>
    <v>26.704999999999998</v>
    <v>25.824000000000002</v>
    <v>23.949000000000002</v>
    <v>24.266999999999999</v>
    <v>26.495000000000001</v>
    <v>26.510999999999999</v>
    <v>24.507000000000001</v>
    <v>23.641999999999999</v>
    <v>23.39</v>
    <v>22.387</v>
    <v>23.748000000000001</v>
    <v>24.157</v>
    <v>24.385000000000002</v>
    <v>23.477</v>
    <v>24.22</v>
    <v>23.713999999999999</v>
    <v>22.936</v>
    <v>21.352</v>
    <v>21.513999999999999</v>
    <v>23.013999999999999</v>
    <v>22.658000000000001</v>
    <v>22.1</v>
    <v>21.33</v>
    <v>22.972999999999999</v>
    <v>24.495999999999999</v>
    <v>24.765999999999998</v>
    <v>26.452999999999999</v>
    <v>26.734000000000002</v>
    <v>26.524000000000001</v>
    <v>25.634</v>
    <v>28.15</v>
    <v>27.692</v>
    <v>28.219000000000001</v>
    <v>28.655999999999999</v>
    <v>27.69</v>
    <v>27.286000000000001</v>
    <v>26.712</v>
    <v>27.36</v>
    <v>25.931000000000001</v>
    <v>24.407</v>
    <v>24.207999999999998</v>
    <v>23.119</v>
    <v>21.917000000000002</v>
    <v>21.504000000000001</v>
    <v>22.202999999999999</v>
    <v>21.257999999999999</v>
    <v>21.783000000000001</v>
    <v>22.198</v>
    <v>21.481999999999999</v>
    <v>20.183</v>
    <v>19.515000000000001</v>
    <v>19.902000000000001</v>
    <v>18.788</v>
    <v>18.414999999999999</v>
    <v>19.782</v>
    <v>18.547000000000001</v>
    <v>19.533000000000001</v>
    <v>19.602</v>
    <v>20.334</v>
    <v>18.844000000000001</v>
    <v>18.675000000000001</v>
    <v>16.95</v>
    <v>17.594999999999999</v>
    <v>16.63</v>
    <v>16.175000000000001</v>
    <v>17.706</v>
    <v>17.263999999999999</v>
    <v>18.177</v>
    <v>16.937999999999999</v>
    <v>17.123999999999999</v>
    <v>16.693999999999999</v>
    <v>16.898</v>
    <v>16.154</v>
    <v>16.975000000000001</v>
    <v>17.850999999999999</v>
    <v>18.811</v>
    <v>18.672000000000001</v>
    <v>18.32</v>
    <v>19.591999999999999</v>
    <v>18.72</v>
    <v>18.786000000000001</v>
    <v>18.925999999999998</v>
    <v>18.648</v>
    <v>18.047999999999998</v>
    <v>16.974</v>
    <v>15.647</v>
    <v>15.836</v>
    <v>16.527000000000001</v>
    <v>15.601000000000001</v>
    <v>15.88</v>
    <v>16.565999999999999</v>
    <v>16.36</v>
    <v>16.225000000000001</v>
    <v>17.126000000000001</v>
    <v>16.869</v>
    <v>15.981999999999999</v>
    <v>15.542</v>
    <v>15.159000000000001</v>
    <v>14.523</v>
    <v>14.964</v>
    <v>15.13</v>
    <v>15.858000000000001</v>
    <v>15.837999999999999</v>
    <v>15.151999999999999</v>
    <v>15.082000000000001</v>
    <v>15.164</v>
    <v>15.372</v>
    <v>15.762</v>
    <v>16.100999999999999</v>
    <v>16.992000000000001</v>
    <v>17.806999999999999</v>
    <v>18.05</v>
    <v>17.318999999999999</v>
    <v>17.024000000000001</v>
    <v>16.533000000000001</v>
    <v>17.79</v>
    <v>17.984000000000002</v>
    <v>18.163</v>
    <v>18.440999999999999</v>
    <v>18.526</v>
    <v>18.893000000000001</v>
    <v>19.215</v>
    <v>18.989000000000001</v>
    <v>17.792999999999999</v>
    <v>17.085999999999999</v>
    <v>18.097000000000001</v>
    <v>17.942</v>
    <v>18.709</v>
    <v>19.032</v>
    <v>18.879000000000001</v>
    <v>18.335000000000001</v>
    <v>18.773</v>
    <v>17.849</v>
    <v>17.033999999999999</v>
    <v>17.181000000000001</v>
    <v>17.222000000000001</v>
    <v>17.913</v>
    <v>16.260000000000002</v>
    <v>15.801</v>
    <v>15.468</v>
    <v>15.093999999999999</v>
    <v>13.936999999999999</v>
    <v>13.647</v>
    <v>13.465</v>
    <v>13.714</v>
    <v>13.99</v>
    <v>14.387</v>
    <v>14.505000000000001</v>
    <v>13.131</v>
    <v>13.128</v>
    <v>12.929</v>
    <v>13.198</v>
    <v>13.382</v>
    <v>13.176</v>
    <v>13.260999999999999</v>
    <v>12.561</v>
    <v>12.516</v>
    <v>12.228</v>
    <v>12.413</v>
    <v>12.736000000000001</v>
    <v>12.22</v>
    <v>12.138999999999999</v>
    <v>12.512</v>
    <v>13.167</v>
    <v>13.209</v>
    <v>13.13</v>
    <v>12.076000000000001</v>
    <v>11.67</v>
    <v>11.586</v>
    <v>11.5</v>
    <v>11.96</v>
    <v>11.227</v>
    <v>11.888</v>
    <v>11.967000000000001</v>
    <v>12.051</v>
    <v>12.194000000000001</v>
    <v>12.465999999999999</v>
    <v>12.599</v>
    <v>13.260999999999999</v>
    <v>12.896000000000001</v>
    <v>13.176</v>
    <v>13.834</v>
    <v>13.497</v>
    <v>13.542999999999999</v>
    <v>13.218999999999999</v>
    <v>13.420999999999999</v>
    <v>14.156000000000001</v>
    <v>14.301</v>
    <v>14.602</v>
    <v>13.776</v>
    <v>15.75</v>
    <v>16.327000000000002</v>
    <v>16.295000000000002</v>
    <v>16.666</v>
    <v>15.91</v>
    <v>15.677</v>
    <v>15.409000000000001</v>
    <v>15.317</v>
    <v>16.038</v>
    <v>16.518999999999998</v>
    <v>16.27</v>
    <v>15.827</v>
    <v>15.638999999999999</v>
    <v>16.922999999999998</v>
    <v>17.135000000000002</v>
    <v>16.876000000000001</v>
    <v>16.61</v>
    <v>15.987</v>
    <v>16.12</v>
    <v>17.169</v>
    <v>17.001000000000001</v>
    <v>17.535</v>
    <v>18.071999999999999</v>
    <v>17.673999999999999</v>
    <v>16.952000000000002</v>
    <v>16.571000000000002</v>
    <v>16.254000000000001</v>
    <v>16.085000000000001</v>
    <v>16.501000000000001</v>
    <v>15.339</v>
    <v>15.206</v>
    <v>14.121</v>
    <v>14.036</v>
    <v>14.603</v>
    <v>14.614000000000001</v>
  </a>
  <a r="1" c="1510">
    <v>84.2</v>
    <v>84.5</v>
    <v>85.06</v>
    <v>85.03</v>
    <v>84.4</v>
    <v>83.49</v>
    <v>83.75</v>
    <v>83.84</v>
    <v>84.01</v>
    <v>85.21</v>
    <v>84.93</v>
    <v>84.7</v>
    <v>87.45</v>
    <v>86.96</v>
    <v>87.86</v>
    <v>87.16</v>
    <v>86.6</v>
    <v>86.72</v>
    <v>86.75</v>
    <v>87.6</v>
    <v>87.33</v>
    <v>87.76</v>
    <v>87.41</v>
    <v>87.4</v>
    <v>88.01</v>
    <v>88.33</v>
    <v>88.67</v>
    <v>87.97</v>
    <v>88.31</v>
    <v>87.86</v>
    <v>91.12</v>
    <v>90.79</v>
    <v>91.09</v>
    <v>91.67</v>
    <v>91.44</v>
    <v>91.13</v>
    <v>91.05</v>
    <v>90.89</v>
    <v>91.07</v>
    <v>91.66</v>
    <v>90.91</v>
    <v>90.5</v>
    <v>90.37</v>
    <v>90.29</v>
    <v>90.14</v>
    <v>90.34</v>
    <v>91.07</v>
    <v>91.31</v>
    <v>91</v>
    <v>91.4</v>
    <v>91.44</v>
    <v>91</v>
    <v>91.22</v>
    <v>91.19</v>
    <v>90.99</v>
    <v>90.77</v>
    <v>90.57</v>
    <v>90.49</v>
    <v>90.76</v>
    <v>90.6</v>
    <v>90.2</v>
    <v>89.85</v>
    <v>89.68</v>
    <v>89.91</v>
    <v>89.97</v>
    <v>89.4</v>
    <v>89.23</v>
    <v>89.49</v>
    <v>89.8</v>
    <v>90.31</v>
    <v>90.03</v>
    <v>90.39</v>
    <v>90.8</v>
    <v>89.6</v>
    <v>89.33</v>
    <v>88.62</v>
    <v>89.55</v>
    <v>90</v>
    <v>87.74</v>
    <v>87.69</v>
    <v>87.33</v>
    <v>87.09</v>
    <v>86.22</v>
    <v>86.43</v>
    <v>86.45</v>
    <v>86.5</v>
    <v>86.55</v>
    <v>86.4</v>
    <v>86.49</v>
    <v>86.17</v>
    <v>86.19</v>
    <v>86.33</v>
    <v>86.24</v>
    <v>86.26</v>
    <v>85.87</v>
    <v>86.24</v>
    <v>86.21</v>
    <v>86.08</v>
    <v>86.5</v>
    <v>86.86</v>
    <v>87.25</v>
    <v>87.4</v>
    <v>88.09</v>
    <v>88.13</v>
    <v>88.59</v>
    <v>88.74</v>
    <v>88.8</v>
    <v>88.77</v>
    <v>87.85</v>
    <v>88.16</v>
    <v>88.24</v>
    <v>88.06</v>
    <v>88.44</v>
    <v>89.38</v>
    <v>89.66</v>
    <v>89.86</v>
    <v>89.63</v>
    <v>89.4</v>
    <v>89.03</v>
    <v>89.42</v>
    <v>89.36</v>
    <v>88.61</v>
    <v>88.37</v>
    <v>86.99</v>
    <v>87.15</v>
    <v>87.74</v>
    <v>87.67</v>
    <v>87.37</v>
    <v>87.65</v>
    <v>87.09</v>
    <v>86.77</v>
    <v>86.96</v>
    <v>86.7</v>
    <v>87.1</v>
    <v>87.55</v>
    <v>88.64</v>
    <v>88.35</v>
    <v>88.6</v>
    <v>88.61</v>
    <v>88.18</v>
    <v>89.14</v>
    <v>89.3</v>
    <v>90.68</v>
    <v>90.21</v>
    <v>90.82</v>
    <v>91.1</v>
    <v>91.04</v>
    <v>90.86</v>
    <v>90.67</v>
    <v>91.44</v>
    <v>91.58</v>
    <v>91.92</v>
    <v>91.74</v>
    <v>91.34</v>
    <v>91.65</v>
    <v>92.2</v>
    <v>92.44</v>
    <v>92.07</v>
    <v>92.47</v>
    <v>92.86</v>
    <v>92.79</v>
    <v>92.44</v>
    <v>92.27</v>
    <v>92.51</v>
    <v>92.47</v>
    <v>92.32</v>
    <v>91.87</v>
    <v>92.27</v>
    <v>92.53</v>
    <v>92.72</v>
    <v>92.72</v>
    <v>92.97</v>
    <v>92.84</v>
    <v>93.99</v>
    <v>93.51</v>
    <v>93.55</v>
    <v>93.55</v>
    <v>93.27</v>
    <v>93.15</v>
    <v>94.17</v>
    <v>94.4</v>
    <v>92.64</v>
    <v>92.24</v>
    <v>92.72</v>
    <v>92.65</v>
    <v>90.87</v>
    <v>90.89</v>
    <v>90.98</v>
    <v>91.77</v>
    <v>92.12</v>
    <v>92.42</v>
    <v>92.03</v>
    <v>92.33</v>
    <v>92.12</v>
    <v>91.62</v>
    <v>91.46</v>
    <v>92.15</v>
    <v>93.04</v>
    <v>93.14</v>
    <v>92.8</v>
    <v>92.77</v>
    <v>91.59</v>
    <v>88.25</v>
    <v>87.3</v>
    <v>86.98</v>
    <v>86.86</v>
    <v>87.5</v>
    <v>87.04</v>
    <v>86.27</v>
    <v>86.34</v>
    <v>86.89</v>
    <v>86.51</v>
    <v>86.58</v>
    <v>86.05</v>
    <v>86.98</v>
    <v>87.58</v>
    <v>87.78</v>
    <v>88.16</v>
    <v>89</v>
    <v>88.87</v>
    <v>88.23</v>
    <v>89.25</v>
    <v>88.43</v>
    <v>88.27</v>
    <v>88.72</v>
    <v>88.33</v>
    <v>88.45</v>
    <v>88.96</v>
    <v>89.4</v>
    <v>89.38</v>
    <v>89.99</v>
    <v>90.36</v>
    <v>91.41</v>
    <v>91.4</v>
    <v>91.25</v>
    <v>90.1</v>
    <v>90.37</v>
    <v>90.23</v>
    <v>89.85</v>
    <v>90.88</v>
    <v>91</v>
    <v>91.89</v>
    <v>91.88</v>
    <v>91.68</v>
    <v>91.53</v>
    <v>91.67</v>
    <v>92.13</v>
    <v>92.48</v>
    <v>92.1</v>
    <v>92.07</v>
    <v>91.88</v>
    <v>90.65</v>
    <v>90.54</v>
    <v>91.18</v>
    <v>91.24</v>
    <v>91.72</v>
    <v>91.05</v>
    <v>90.47</v>
    <v>90.15</v>
    <v>89.61</v>
    <v>90.22</v>
    <v>91.2</v>
    <v>90.18</v>
    <v>91.07</v>
    <v>91.89</v>
    <v>89.05</v>
    <v>88.31</v>
    <v>88.34</v>
    <v>87.73</v>
    <v>86.86</v>
    <v>86.95</v>
    <v>86.34</v>
    <v>85.85</v>
    <v>84.25</v>
    <v>81.06</v>
    <v>82.38</v>
    <v>81.84</v>
    <v>80.22</v>
    <v>79.92</v>
    <v>81.33</v>
    <v>81.5</v>
    <v>80.680000000000007</v>
    <v>82.41</v>
    <v>82.6</v>
    <v>81.34</v>
    <v>80.239999999999995</v>
    <v>80.84</v>
    <v>81.05</v>
    <v>81.63</v>
    <v>80.540000000000006</v>
    <v>78.52</v>
    <v>78.7</v>
    <v>79.5</v>
    <v>80.290000000000006</v>
    <v>80.02</v>
    <v>79.16</v>
    <v>79.97</v>
    <v>80.290000000000006</v>
    <v>79.86</v>
    <v>79.72</v>
    <v>79</v>
    <v>78.67</v>
    <v>78.97</v>
    <v>78.66</v>
    <v>78.31</v>
    <v>77.040000000000006</v>
    <v>76.41</v>
    <v>75.91</v>
    <v>76.41</v>
    <v>77.790000000000006</v>
    <v>78.84</v>
    <v>79.28</v>
    <v>77.400000000000006</v>
    <v>78.459999999999994</v>
    <v>79.05</v>
    <v>78.8</v>
    <v>78.430000000000007</v>
    <v>78.16</v>
    <v>78.37</v>
    <v>78.27</v>
    <v>77.790000000000006</v>
    <v>78.37</v>
    <v>78.61</v>
    <v>78.430000000000007</v>
    <v>78.2</v>
    <v>74.95</v>
    <v>73.8</v>
    <v>73</v>
    <v>72.5</v>
    <v>72.3</v>
    <v>72.75</v>
    <v>72.81</v>
    <v>72.34</v>
    <v>71.959999999999994</v>
    <v>70.94</v>
    <v>71.36</v>
    <v>72.430000000000007</v>
    <v>71.98</v>
    <v>71.44</v>
    <v>72.37</v>
    <v>73.150000000000006</v>
    <v>73.37</v>
    <v>73.28</v>
    <v>72.95</v>
    <v>73.53</v>
    <v>73.959999999999994</v>
    <v>73.45</v>
    <v>74.06</v>
    <v>74.03</v>
    <v>74.180000000000007</v>
    <v>73.77</v>
    <v>74.31</v>
    <v>74.05</v>
    <v>74.89</v>
    <v>73.17</v>
    <v>73.45</v>
    <v>74.180000000000007</v>
    <v>73.97</v>
    <v>74.349999999999994</v>
    <v>75.760000000000005</v>
    <v>77.180000000000007</v>
    <v>77.53</v>
    <v>77.239999999999995</v>
    <v>76.47</v>
    <v>75.989999999999995</v>
    <v>77.38</v>
    <v>75.84</v>
    <v>76.33</v>
    <v>75.849999999999994</v>
    <v>76.44</v>
    <v>77.430000000000007</v>
    <v>77.790000000000006</v>
    <v>78</v>
    <v>77.69</v>
    <v>78.05</v>
    <v>78.06</v>
    <v>78.13</v>
    <v>77.900000000000006</v>
    <v>79.209999999999994</v>
    <v>79.31</v>
    <v>77.86</v>
    <v>79.819999999999993</v>
    <v>79.16</v>
    <v>78.89</v>
    <v>79.31</v>
    <v>79.53</v>
    <v>80.03</v>
    <v>79.72</v>
    <v>78.73</v>
    <v>78.680000000000007</v>
    <v>78.510000000000005</v>
    <v>78.989999999999995</v>
    <v>79.47</v>
    <v>80.09</v>
    <v>80.58</v>
    <v>80.2</v>
    <v>80.88</v>
    <v>80.650000000000006</v>
    <v>82</v>
    <v>82.33</v>
    <v>82.52</v>
    <v>82.64</v>
    <v>82.35</v>
    <v>81.400000000000006</v>
    <v>81.430000000000007</v>
    <v>81.52</v>
    <v>81.31</v>
    <v>82.3</v>
    <v>83.69</v>
    <v>83.69</v>
    <v>83.64</v>
    <v>83.9</v>
    <v>83.39</v>
    <v>83.24</v>
    <v>83.36</v>
    <v>83.44</v>
    <v>83.48</v>
    <v>83.49</v>
    <v>83.41</v>
    <v>82.95</v>
    <v>82.7</v>
    <v>83.29</v>
    <v>82.65</v>
    <v>81.91</v>
    <v>82.38</v>
    <v>82.01</v>
    <v>83.11</v>
    <v>83.45</v>
    <v>83.61</v>
    <v>84.25</v>
    <v>84</v>
    <v>84</v>
    <v>85.36</v>
    <v>85.82</v>
    <v>84.27</v>
    <v>83.12</v>
    <v>83.26</v>
    <v>82.86</v>
    <v>83.23</v>
    <v>83.67</v>
    <v>84.36</v>
    <v>83.03</v>
    <v>81.92</v>
    <v>82.15</v>
    <v>82.4</v>
    <v>82.2</v>
    <v>81.44</v>
    <v>78.87</v>
    <v>79.06</v>
    <v>80.13</v>
    <v>81.010000000000005</v>
    <v>81.86</v>
    <v>80.239999999999995</v>
    <v>87.3</v>
    <v>86.6</v>
    <v>87.16</v>
    <v>89.46</v>
    <v>89</v>
    <v>87.86</v>
    <v>88.24</v>
    <v>89.19</v>
    <v>88.68</v>
    <v>89.59</v>
    <v>89.81</v>
    <v>91.2</v>
    <v>91.51</v>
    <v>91.29</v>
    <v>91.36</v>
    <v>92.41</v>
    <v>92.7</v>
    <v>93.47</v>
    <v>93.49</v>
    <v>93.83</v>
    <v>93.82</v>
    <v>93.29</v>
    <v>92.1</v>
    <v>91.41</v>
    <v>91.54</v>
    <v>91.94</v>
    <v>92.72</v>
    <v>93.01</v>
    <v>92.82</v>
    <v>94.51</v>
    <v>93.32</v>
    <v>93.31</v>
    <v>93.55</v>
    <v>92.45</v>
    <v>93.03</v>
    <v>93.91</v>
    <v>94.03</v>
    <v>96.49</v>
    <v>96.64</v>
    <v>92.77</v>
    <v>92.49</v>
    <v>91.76</v>
    <v>90.98</v>
    <v>90.97</v>
    <v>87.36</v>
    <v>90.09</v>
    <v>92.02</v>
    <v>91.18</v>
    <v>91.92</v>
    <v>91.28</v>
    <v>90.64</v>
    <v>92.49</v>
    <v>92.12</v>
    <v>92.46</v>
    <v>90.95</v>
    <v>91.17</v>
    <v>91.77</v>
    <v>91.15</v>
    <v>92.01</v>
    <v>91.37</v>
    <v>90.64</v>
    <v>91.42</v>
    <v>90.44</v>
    <v>94.84</v>
    <v>94.3</v>
    <v>93.6</v>
    <v>93.52</v>
    <v>93.54</v>
    <v>94.52</v>
    <v>96.47</v>
    <v>97.47</v>
    <v>98.03</v>
    <v>97.44</v>
    <v>97.92</v>
    <v>97.14</v>
    <v>97.71</v>
    <v>98.27</v>
    <v>99.26</v>
    <v>99.24</v>
    <v>98.46</v>
    <v>98.48</v>
    <v>99.99</v>
    <v>99.28</v>
    <v>99.78</v>
    <v>100.25</v>
    <v>99.57</v>
    <v>99.83</v>
    <v>98.91</v>
    <v>98.55</v>
    <v>98.44</v>
    <v>98.87</v>
    <v>99.09</v>
    <v>98.93</v>
    <v>98.55</v>
    <v>98.41</v>
    <v>99.58</v>
    <v>100.05</v>
    <v>101.18</v>
    <v>101.32</v>
    <v>102.44</v>
    <v>101.51</v>
    <v>101.9</v>
    <v>101.72</v>
    <v>102.49</v>
    <v>101.66</v>
    <v>101.96</v>
    <v>103.02</v>
    <v>102.9</v>
    <v>103.55</v>
    <v>104.05</v>
    <v>103.64</v>
    <v>103.75</v>
    <v>103.69</v>
    <v>103.43</v>
    <v>103.65</v>
    <v>104.97</v>
    <v>104.66</v>
    <v>104.65</v>
    <v>104.75</v>
    <v>105.06</v>
    <v>105.73</v>
    <v>106.42</v>
    <v>105.85</v>
    <v>106.05</v>
    <v>106.01</v>
    <v>103.16</v>
    <v>103.69</v>
    <v>103.28</v>
    <v>105.86</v>
    <v>104.78</v>
    <v>106.48</v>
    <v>104.93</v>
    <v>105.56</v>
    <v>106.08</v>
    <v>105.68</v>
    <v>104.7</v>
    <v>105.07</v>
    <v>104.24</v>
    <v>106.01</v>
    <v>106.11</v>
    <v>105.6</v>
    <v>106.7</v>
    <v>108.11</v>
    <v>107.45</v>
    <v>107.33</v>
    <v>106.37</v>
    <v>106.72</v>
    <v>106.76</v>
    <v>106.69</v>
    <v>104.46</v>
    <v>104.19</v>
    <v>105.33</v>
    <v>102.91</v>
    <v>103.8</v>
    <v>104.68</v>
    <v>106.73</v>
    <v>107.38</v>
    <v>108.77</v>
    <v>108.72</v>
    <v>109.38</v>
    <v>109.68</v>
    <v>110.91</v>
    <v>111.2</v>
    <v>110.99</v>
    <v>109.6</v>
    <v>110.42</v>
    <v>111.74</v>
    <v>111.2</v>
    <v>112.33</v>
    <v>111.72</v>
    <v>109.73</v>
    <v>109.78</v>
    <v>109.65</v>
    <v>110.49</v>
    <v>111.48</v>
    <v>114.08</v>
    <v>113.15</v>
    <v>114.05</v>
    <v>112.91</v>
    <v>113.75</v>
    <v>114.38</v>
    <v>114.99</v>
    <v>115.48</v>
    <v>115.89</v>
    <v>115.94</v>
    <v>115.44</v>
    <v>115.01</v>
    <v>115.3</v>
    <v>113.85</v>
    <v>112.6</v>
    <v>112.77</v>
    <v>114.73</v>
    <v>116</v>
    <v>120.41</v>
    <v>118.04</v>
    <v>116.73</v>
    <v>116.44</v>
    <v>113.08</v>
    <v>114.28</v>
    <v>115.52</v>
    <v>117.44</v>
    <v>116.78</v>
    <v>116.03</v>
    <v>117.25</v>
    <v>115.79</v>
    <v>117.39</v>
    <v>119.18</v>
    <v>120.24</v>
    <v>118.9</v>
    <v>119.2</v>
    <v>119.42</v>
    <v>117.32</v>
    <v>119.32</v>
    <v>120.55</v>
    <v>121.4</v>
    <v>121.18</v>
    <v>120.23</v>
    <v>121.36</v>
    <v>123.21</v>
    <v>122.76</v>
    <v>122.87</v>
    <v>122.17</v>
    <v>119.88</v>
    <v>121.27</v>
    <v>122.77</v>
    <v>122.12</v>
    <v>119.75</v>
    <v>121.16</v>
    <v>121.41</v>
    <v>121.9</v>
    <v>122.24</v>
    <v>123.22</v>
    <v>123.61</v>
    <v>123.02</v>
    <v>124.31</v>
    <v>124.57</v>
    <v>124.38</v>
    <v>123.85</v>
    <v>121.08</v>
    <v>121.74</v>
    <v>124</v>
    <v>122.84</v>
    <v>120.93</v>
    <v>121.98</v>
    <v>121.94</v>
    <v>121.09</v>
    <v>120.05</v>
    <v>117.2</v>
    <v>117.53</v>
    <v>116.63</v>
    <v>117.47</v>
    <v>119.08</v>
    <v>122.18</v>
    <v>123</v>
    <v>124.79</v>
    <v>123.25</v>
    <v>123.48</v>
    <v>123.6</v>
    <v>124.94</v>
    <v>124.51</v>
    <v>123.87</v>
    <v>119.07</v>
    <v>118.9</v>
    <v>120.32</v>
    <v>119.62</v>
    <v>119.7</v>
    <v>119.33</v>
    <v>119.27</v>
    <v>120.65</v>
    <v>120.5</v>
    <v>120.54</v>
    <v>121.89</v>
    <v>121.42</v>
    <v>122.29</v>
    <v>120.34</v>
    <v>120.29</v>
    <v>120.51</v>
    <v>122.26</v>
    <v>121.76</v>
    <v>122.06</v>
    <v>122.72</v>
    <v>122.95</v>
    <v>124.53</v>
    <v>124.62</v>
    <v>124.19</v>
    <v>124.87</v>
    <v>124.27</v>
    <v>124.66</v>
    <v>124.57</v>
    <v>125.47</v>
    <v>125.56</v>
    <v>125.31</v>
    <v>124.01</v>
    <v>124.92</v>
    <v>125.36</v>
    <v>124.9</v>
    <v>125.22</v>
    <v>125.22</v>
    <v>126.09</v>
    <v>124.47</v>
    <v>124.9</v>
    <v>123.41</v>
    <v>122.58</v>
    <v>122.75</v>
    <v>121.99</v>
    <v>122.51</v>
    <v>123.85</v>
    <v>123.97</v>
    <v>124.88</v>
    <v>124.69</v>
    <v>125.96</v>
    <v>126.07</v>
    <v>126.41</v>
    <v>126.09</v>
    <v>126.31</v>
    <v>124.99</v>
    <v>125.14</v>
    <v>125.69</v>
    <v>126.03</v>
    <v>125.06</v>
    <v>125.95</v>
    <v>124.62</v>
    <v>125.11</v>
    <v>125.66</v>
    <v>126.81</v>
    <v>127.14</v>
    <v>126.08</v>
    <v>126.17</v>
    <v>124.16</v>
    <v>123.45</v>
    <v>124.96</v>
    <v>126.14</v>
    <v>124.87</v>
    <v>125.44</v>
    <v>126.58</v>
    <v>126.7</v>
    <v>123.3</v>
    <v>121.43</v>
    <v>120.16</v>
    <v>113.5</v>
    <v>113.23</v>
    <v>119.56</v>
    <v>118.17</v>
    <v>124.5</v>
    <v>121.63</v>
    <v>121.66</v>
    <v>116.06</v>
    <v>120.55</v>
    <v>111.59</v>
    <v>101.84</v>
    <v>114.07</v>
    <v>108.5</v>
    <v>118.24</v>
    <v>117.45</v>
    <v>110.83</v>
    <v>102.43</v>
    <v>97.7</v>
    <v>103.27</v>
    <v>100.92</v>
    <v>107.38</v>
    <v>110.17</v>
    <v>115</v>
    <v>110</v>
    <v>109.33</v>
    <v>114.4</v>
    <v>115.08</v>
    <v>117.81</v>
    <v>112.77</v>
    <v>115.1</v>
    <v>114.66</v>
    <v>115.95</v>
    <v>120.96</v>
    <v>121.22</v>
    <v>121.5</v>
    <v>124.69</v>
    <v>120.6</v>
    <v>119.68</v>
    <v>119.4</v>
    <v>119.4</v>
    <v>118.78</v>
    <v>117.45</v>
    <v>116.89</v>
    <v>117.08</v>
    <v>117.87</v>
    <v>116.82</v>
    <v>115.77</v>
    <v>116.01</v>
    <v>113.1</v>
    <v>112.17</v>
    <v>115.95</v>
    <v>115.31</v>
    <v>114.55</v>
    <v>113.92</v>
    <v>113.81</v>
    <v>114.61</v>
    <v>116.21</v>
    <v>112.44</v>
    <v>113.28</v>
    <v>111.62</v>
    <v>112.6</v>
    <v>112.03</v>
    <v>113.89</v>
    <v>116.06</v>
    <v>115.92</v>
    <v>117.25</v>
    <v>118.06</v>
    <v>118.53</v>
    <v>116.05</v>
    <v>118.33</v>
    <v>119.05</v>
    <v>118.34</v>
    <v>119.23</v>
    <v>116.26</v>
    <v>115.62</v>
    <v>116.69</v>
    <v>118.13</v>
    <v>117.93</v>
    <v>119.28</v>
    <v>118.92</v>
    <v>117.75</v>
    <v>117.73</v>
    <v>116.42</v>
    <v>117.89</v>
    <v>115.23</v>
    <v>117.66</v>
    <v>119.57</v>
    <v>119.98</v>
    <v>120.88</v>
    <v>121.63</v>
    <v>122.22</v>
    <v>122.89</v>
    <v>122.48</v>
    <v>123.89</v>
    <v>124.05</v>
    <v>125.09</v>
    <v>124.5</v>
    <v>124.76</v>
    <v>125.63</v>
    <v>125.24</v>
    <v>125.07</v>
    <v>126.14</v>
    <v>126.16</v>
    <v>125.96</v>
    <v>126.32</v>
    <v>127.88</v>
    <v>128.31</v>
    <v>131.41999999999999</v>
    <v>131.12</v>
    <v>131.29</v>
    <v>133.79</v>
    <v>133.44</v>
    <v>132.71</v>
    <v>133.55000000000001</v>
    <v>134.1</v>
    <v>133.22999999999999</v>
    <v>135.46</v>
    <v>135.78</v>
    <v>135.1</v>
    <v>135.5</v>
    <v>136.51</v>
    <v>135.77000000000001</v>
    <v>136.85</v>
    <v>137.44</v>
    <v>138.51</v>
    <v>139.06</v>
    <v>138.38999999999999</v>
    <v>138.21</v>
    <v>138.77000000000001</v>
    <v>138.33000000000001</v>
    <v>138.18</v>
    <v>140.51</v>
    <v>138.26</v>
    <v>137.96</v>
    <v>135.94</v>
    <v>138.15</v>
    <v>136.69999999999999</v>
    <v>138.13999999999999</v>
    <v>138.63</v>
    <v>138.63</v>
    <v>137.69999999999999</v>
    <v>137.52000000000001</v>
    <v>137.37</v>
    <v>136.71</v>
    <v>137.96</v>
    <v>136.31</v>
    <v>136.91999999999999</v>
    <v>137.62</v>
    <v>138.01</v>
    <v>137.26</v>
    <v>138.99</v>
    <v>139.24</v>
    <v>138.12</v>
    <v>139.38999999999999</v>
    <v>139.61000000000001</v>
    <v>140.69999999999999</v>
    <v>141.65</v>
    <v>142.91999999999999</v>
    <v>144.49</v>
    <v>144.21</v>
    <v>144.04</v>
    <v>143.83000000000001</v>
    <v>144.38999999999999</v>
    <v>141.91</v>
    <v>142.47999999999999</v>
    <v>143.25</v>
    <v>141.44999999999999</v>
    <v>142.38</v>
    <v>141.30000000000001</v>
    <v>142.36000000000001</v>
    <v>137.66</v>
    <v>137.57</v>
    <v>137.1</v>
    <v>138.5</v>
    <v>141.22</v>
    <v>140.63999999999999</v>
    <v>142.38</v>
    <v>143.22999999999999</v>
    <v>137.99</v>
    <v>140.26</v>
    <v>142.07</v>
    <v>142.15</v>
    <v>144.28</v>
    <v>142.43</v>
    <v>141.88</v>
    <v>139.69999999999999</v>
    <v>139.53</v>
    <v>139.30000000000001</v>
    <v>138.76</v>
    <v>138.31</v>
    <v>138.68</v>
    <v>138.61000000000001</v>
    <v>138.87</v>
    <v>139.37</v>
    <v>138.36000000000001</v>
    <v>137.34</v>
    <v>137.47</v>
    <v>137.68</v>
    <v>138.05000000000001</v>
    <v>136.41</v>
    <v>135.51</v>
    <v>136.51</v>
    <v>135.85</v>
    <v>136.65</v>
    <v>137.27000000000001</v>
    <v>138.25</v>
    <v>139.04</v>
    <v>137.52000000000001</v>
    <v>136.55000000000001</v>
    <v>136.34</v>
    <v>137.72</v>
    <v>138.68</v>
    <v>138.41999999999999</v>
    <v>137.77000000000001</v>
    <v>139.13999999999999</v>
    <v>137.82</v>
    <v>138.69999999999999</v>
    <v>140.16</v>
    <v>138.85</v>
    <v>138.79</v>
    <v>137.85</v>
    <v>137.05000000000001</v>
    <v>137.26</v>
    <v>135.80000000000001</v>
    <v>134.78</v>
    <v>133.6</v>
    <v>131.93</v>
    <v>131.01</v>
    <v>130</v>
    <v>132.24</v>
    <v>133.09</v>
    <v>128.38</v>
    <v>130.36000000000001</v>
    <v>128.21</v>
    <v>128.97</v>
    <v>128.79</v>
    <v>128.94999999999999</v>
    <v>129.03</v>
    <v>129.57</v>
    <v>129.16999999999999</v>
    <v>128.66999999999999</v>
    <v>128.22</v>
    <v>128.33000000000001</v>
    <v>127.62</v>
    <v>127.92</v>
    <v>128.46</v>
    <v>129.53</v>
    <v>127.12</v>
    <v>126.58</v>
    <v>127.52</v>
    <v>127.66</v>
    <v>126.58</v>
    <v>123.53</v>
    <v>124.29</v>
    <v>123.9</v>
    <v>123.16</v>
    <v>122.15</v>
    <v>125.98</v>
    <v>127.31</v>
    <v>126.18</v>
    <v>127.34</v>
    <v>126.91</v>
    <v>128.13999999999999</v>
    <v>128.56</v>
    <v>128.94</v>
    <v>128.41999999999999</v>
    <v>128.69999999999999</v>
    <v>128.01</v>
    <v>130.18</v>
    <v>132.6</v>
    <v>132.56</v>
    <v>133.47999999999999</v>
    <v>135.44999999999999</v>
    <v>137.57</v>
    <v>135.44999999999999</v>
    <v>135.43</v>
    <v>134.28</v>
    <v>136.44999999999999</v>
    <v>136.5</v>
    <v>136.74</v>
    <v>137.26</v>
    <v>136.37</v>
    <v>136.91999999999999</v>
    <v>135.11000000000001</v>
    <v>135.6</v>
    <v>137.24</v>
    <v>137.25</v>
    <v>136.61000000000001</v>
    <v>137.75</v>
    <v>136.85</v>
    <v>134.63</v>
    <v>133.94</v>
    <v>131.26</v>
    <v>131.18</v>
    <v>131.4</v>
    <v>132.51</v>
    <v>133.41999999999999</v>
    <v>135</v>
    <v>134.54</v>
    <v>133.46</v>
    <v>135.13999999999999</v>
    <v>135.15</v>
    <v>137.66999999999999</v>
    <v>136.99</v>
    <v>135.54</v>
    <v>137.72</v>
    <v>138.01</v>
    <v>137.72999999999999</v>
    <v>136.32</v>
    <v>136.6</v>
    <v>138</v>
    <v>138</v>
    <v>137.96</v>
    <v>138.43</v>
    <v>138.12</v>
    <v>134.97999999999999</v>
    <v>134.85</v>
    <v>132.88</v>
    <v>133.46</v>
    <v>135.85</v>
    <v>135.94999999999999</v>
    <v>136.41999999999999</v>
    <v>134.84</v>
    <v>134.79</v>
    <v>135.79</v>
    <v>134.86000000000001</v>
    <v>134.91</v>
    <v>134.65</v>
    <v>132.78</v>
    <v>133.99</v>
    <v>132.03</v>
    <v>133.07</v>
    <v>133.12</v>
    <v>132.93</v>
    <v>133.02000000000001</v>
    <v>134.91999999999999</v>
    <v>135.32</v>
    <v>134.4</v>
    <v>134.93</v>
    <v>135.24</v>
    <v>135.9</v>
    <v>135.97999999999999</v>
    <v>137</v>
    <v>136.97999999999999</v>
    <v>137.03</v>
    <v>137.13999999999999</v>
    <v>136.97</v>
    <v>137.97999999999999</v>
    <v>139.16</v>
    <v>140.51</v>
    <v>140.44</v>
    <v>139.69</v>
    <v>139.19999999999999</v>
    <v>137.80000000000001</v>
    <v>139.79</v>
    <v>140.28</v>
    <v>140.85</v>
    <v>138.76</v>
    <v>139.47999999999999</v>
    <v>142.22999999999999</v>
    <v>141.88</v>
    <v>143.94999999999999</v>
    <v>142.43</v>
    <v>142.5</v>
    <v>141.41</v>
    <v>142.18</v>
    <v>142.27000000000001</v>
    <v>142.62</v>
    <v>142.94999999999999</v>
    <v>143.63999999999999</v>
    <v>144.63999999999999</v>
    <v>144.88</v>
    <v>143.30000000000001</v>
    <v>144.99</v>
    <v>145.09</v>
    <v>144.35</v>
    <v>143.18</v>
    <v>142.66999999999999</v>
    <v>142.41999999999999</v>
    <v>142.31</v>
    <v>142.93</v>
    <v>142.38999999999999</v>
    <v>143.84</v>
    <v>143.94999999999999</v>
    <v>144.05000000000001</v>
    <v>143.51</v>
    <v>144.6</v>
    <v>143.99</v>
    <v>144.13</v>
    <v>145.68</v>
    <v>145.43</v>
    <v>145.12</v>
    <v>144.11000000000001</v>
    <v>144.34</v>
    <v>142.88999999999999</v>
    <v>143.11000000000001</v>
    <v>143.6</v>
    <v>144.19</v>
    <v>143.55000000000001</v>
    <v>141.66</v>
    <v>140.59</v>
    <v>142.02000000000001</v>
    <v>139.80000000000001</v>
    <v>139.58000000000001</v>
    <v>138.79</v>
    <v>139.33000000000001</v>
    <v>141.19</v>
    <v>142.32</v>
    <v>141.72999999999999</v>
    <v>142.32</v>
    <v>142.11000000000001</v>
    <v>142.44</v>
    <v>144.05000000000001</v>
    <v>144.41999999999999</v>
    <v>142.34</v>
    <v>140.66</v>
    <v>141.21</v>
    <v>139.33000000000001</v>
    <v>140.83000000000001</v>
    <v>140.85</v>
    <v>142.85</v>
    <v>141.83000000000001</v>
    <v>142.68</v>
    <v>142.99</v>
    <v>142.63999999999999</v>
    <v>144.06</v>
    <v>145.05000000000001</v>
    <v>145.32</v>
    <v>146.04</v>
    <v>144.94999999999999</v>
    <v>145.38999999999999</v>
    <v>146.82</v>
    <v>146.4</v>
    <v>146.56</v>
    <v>147.4</v>
    <v>147.19</v>
    <v>147.1</v>
    <v>147.12</v>
    <v>146.82</v>
    <v>147.80000000000001</v>
    <v>149.44</v>
    <v>148.66</v>
    <v>147.47</v>
    <v>149.02000000000001</v>
    <v>144.58000000000001</v>
    <v>146.4</v>
    <v>147.26</v>
    <v>149.88</v>
    <v>152.15</v>
    <v>151.75</v>
    <v>152.43</v>
    <v>153.32</v>
    <v>155.46</v>
    <v>157.66999999999999</v>
    <v>158.25</v>
    <v>158.86000000000001</v>
    <v>161.11000000000001</v>
    <v>157.46</v>
    <v>157.86000000000001</v>
    <v>157.76</v>
    <v>159.32</v>
    <v>160.1</v>
    <v>161.97</v>
    <v>162.84</v>
    <v>164.19</v>
    <v>162.77000000000001</v>
    <v>163.58000000000001</v>
    <v>162.9</v>
    <v>163.47</v>
    <v>164.21</v>
    <v>162.83000000000001</v>
    <v>162.74</v>
    <v>160.52000000000001</v>
    <v>158.66</v>
    <v>159.01</v>
    <v>158.29</v>
    <v>159.81</v>
    <v>156.72999999999999</v>
    <v>162</v>
    <v>162</v>
    <v>162.62</v>
    <v>161.30000000000001</v>
    <v>159.54</v>
    <v>158.15</v>
    <v>159.13</v>
    <v>160.5</v>
    <v>160.44999999999999</v>
    <v>159.74</v>
    <v>162.6</v>
    <v>164.14</v>
    <v>161.53</v>
    <v>160.32</v>
    <v>159.96</v>
    <v>159.6</v>
    <v>157.16999999999999</v>
    <v>156.29</v>
    <v>156.74</v>
    <v>156.82</v>
    <v>158.01</v>
    <v>159.82</v>
    <v>159.9</v>
    <v>157.93</v>
    <v>155.96</v>
    <v>151.76</v>
    <v>158.24</v>
    <v>155.88999999999999</v>
    <v>153.31</v>
    <v>153.79</v>
    <v>154.36000000000001</v>
    <v>155.13999999999999</v>
    <v>152.84</v>
    <v>146.79</v>
    <v>148.77000000000001</v>
    <v>144.94</v>
    <v>143.22</v>
    <v>145.05000000000001</v>
    <v>150.27000000000001</v>
    <v>149.76</v>
    <v>150.22999999999999</v>
    <v>150.15</v>
    <v>150.72</v>
    <v>151.88</v>
    <v>150.82</v>
    <v>151.08000000000001</v>
    <v>152.83000000000001</v>
    <v>153.88</v>
    <v>155.46</v>
    <v>154.38999999999999</v>
    <v>152.80000000000001</v>
    <v>155.09</v>
    <v>154.08000000000001</v>
    <v>154.62</v>
    <v>156.83000000000001</v>
    <v>158.86000000000001</v>
    <v>160.1</v>
    <v>159.49</v>
    <v>159.01</v>
    <v>159.46</v>
    <v>158.57</v>
    <v>157.06</v>
    <v>159.41</v>
    <v>163.65</v>
    <v>162.61000000000001</v>
    <v>161.25</v>
    <v>162.55000000000001</v>
    <v>159.79</v>
    <v>159.36000000000001</v>
    <v>163.41</v>
    <v>160.55000000000001</v>
    <v>158.38</v>
    <v>156.21</v>
    <v>157.36000000000001</v>
    <v>154.46</v>
    <v>156</v>
    <v>155.61000000000001</v>
    <v>154.79</v>
    <v>152.61000000000001</v>
    <v>151.99</v>
    <v>153.62</v>
    <v>155.12</v>
    <v>154.68</v>
    <v>145.04</v>
    <v>141.69999999999999</v>
    <v>141.79</v>
    <v>145.05000000000001</v>
    <v>147.63</v>
    <v>145.21</v>
    <v>146.47999999999999</v>
    <v>148.72</v>
    <v>147.88</v>
    <v>145.63999999999999</v>
    <v>147.21</v>
    <v>145.88999999999999</v>
    <v>145.32</v>
    <v>146.94</v>
    <v>145.11000000000001</v>
    <v>142.49</v>
    <v>141.94999999999999</v>
    <v>138.15</v>
    <v>133.84</v>
    <v>132.51</v>
    <v>133.32</v>
    <v>132.36000000000001</v>
    <v>136.37</v>
    <v>138.5</v>
    <v>142.30000000000001</v>
    <v>144.35</v>
    <v>143.25</v>
    <v>140.91999999999999</v>
    <v>142.19999999999999</v>
    <v>143.79</v>
    <v>146.11000000000001</v>
    <v>144.69999999999999</v>
    <v>146.05000000000001</v>
    <v>146</v>
    <v>145.02000000000001</v>
    <v>146.04</v>
    <v>144.75</v>
    <v>145.69999999999999</v>
    <v>145.27000000000001</v>
    <v>145.07</v>
    <v>143.31</v>
    <v>144.04</v>
    <v>141.55000000000001</v>
    <v>140.77000000000001</v>
    <v>143.02000000000001</v>
    <v>143.99</v>
    <v>144.27000000000001</v>
    <v>145.63999999999999</v>
    <v>148.06</v>
    <v>138.91</v>
    <v>142.9</v>
    <v>141.94999999999999</v>
    <v>144.88</v>
    <v>144.65</v>
    <v>144.72</v>
    <v>145.27000000000001</v>
    <v>144.93</v>
    <v>146.30000000000001</v>
    <v>145.26</v>
    <v>146.66999999999999</v>
    <v>148.56</v>
    <v>149.93</v>
    <v>149.24</v>
    <v>149.77000000000001</v>
    <v>149.72999999999999</v>
    <v>149.33000000000001</v>
    <v>146.44999999999999</v>
    <v>145.82</v>
    <v>145.69999999999999</v>
    <v>142.29</v>
    <v>141.69</v>
    <v>140.18</v>
    <v>137.94</v>
    <v>139.63999999999999</v>
    <v>137.16</v>
    <v>135.63</v>
    <v>137.68</v>
    <v>137.86000000000001</v>
    <v>139.96</v>
    <v>141.1</v>
    <v>138.18</v>
    <v>138.51</v>
    <v>137.44</v>
    <v>138.28</v>
    <v>137.99</v>
    <v>137.5</v>
    <v>135.72999999999999</v>
    <v>136.21</v>
    <v>135.58000000000001</v>
    <v>135.71</v>
    <v>131.97999999999999</v>
    <v>131.97999999999999</v>
    <v>128.69999999999999</v>
    <v>126.25</v>
    <v>128.51</v>
    <v>130.1</v>
    <v>129.19999999999999</v>
    <v>126.48</v>
    <v>124.27</v>
    <v>123.76</v>
    <v>124.23</v>
    <v>124.43</v>
    <v>126.31</v>
    <v>125.08</v>
    <v>127.34</v>
    <v>128.37</v>
    <v>129.56</v>
    <v>126.99</v>
    <v>128.58000000000001</v>
    <v>129.37</v>
    <v>130.86000000000001</v>
    <v>131.78</v>
    <v>131.88</v>
    <v>135.22</v>
    <v>134.66999999999999</v>
    <v>134.88</v>
    <v>132.94</v>
    <v>132.03</v>
    <v>134.44</v>
    <v>136.5</v>
    <v>136.81</v>
    <v>136.47999999999999</v>
    <v>141.18</v>
    <v>140.97</v>
    <v>140.97999999999999</v>
    <v>140.49</v>
    <v>141.74</v>
    <v>140.87</v>
    <v>142.57</v>
    <v>144.38</v>
    <v>145.62</v>
    <v>146.44999999999999</v>
    <v>146.72</v>
    <v>146.6</v>
    <v>145.47999999999999</v>
    <v>149.16</v>
    <v>149.25</v>
    <v>150.61000000000001</v>
    <v>149.09</v>
    <v>149.28</v>
    <v>150.24</v>
    <v>151.32</v>
    <v>150.91999999999999</v>
    <v>152.47</v>
    <v>152.24</v>
    <v>152.84</v>
    <v>151.11000000000001</v>
    <v>150.44</v>
    <v>150.4</v>
    <v>150.46</v>
    <v>151.84</v>
    <v>152.19</v>
    <v>152.62</v>
    <v>153.94999999999999</v>
    <v>151.96</v>
    <v>152.59</v>
    <v>151.56</v>
  </a>
  <a r="1" c="96">
    <v>17.726500000000001</v>
    <v>19.007999999999999</v>
    <v>18.605</v>
    <v>21.088999999999999</v>
    <v>21.461500000000001</v>
    <v>21.704499999999999</v>
    <v>26.807500000000001</v>
    <v>25.644500000000001</v>
    <v>25.5945</v>
    <v>31.295000000000002</v>
    <v>33.24</v>
    <v>33.794499999999999</v>
    <v>29.35</v>
    <v>27.626000000000001</v>
    <v>29.681999999999999</v>
    <v>32.979500000000002</v>
    <v>36.139499999999998</v>
    <v>35.780999999999999</v>
    <v>37.9405</v>
    <v>38.457999999999998</v>
    <v>41.865499999999997</v>
    <v>39.491</v>
    <v>37.528500000000001</v>
    <v>37.493499999999997</v>
    <v>41.173999999999999</v>
    <v>42.252000000000002</v>
    <v>44.326999999999998</v>
    <v>46.249499999999998</v>
    <v>49.731000000000002</v>
    <v>48.4</v>
    <v>49.389000000000003</v>
    <v>49.03</v>
    <v>48.067500000000003</v>
    <v>55.264000000000003</v>
    <v>58.837499999999999</v>
    <v>58.473500000000001</v>
    <v>72.544499999999999</v>
    <v>75.622500000000002</v>
    <v>72.367000000000004</v>
    <v>78.3065</v>
    <v>81.480999999999995</v>
    <v>84.99</v>
    <v>88.872</v>
    <v>100.63549999999999</v>
    <v>100.15</v>
    <v>79.900499999999994</v>
    <v>84.508499999999998</v>
    <v>75.098500000000001</v>
    <v>85.936499999999995</v>
    <v>81.991500000000002</v>
    <v>89.037499999999994</v>
    <v>96.325999999999993</v>
    <v>88.753500000000003</v>
    <v>94.6815</v>
    <v>93.338999999999999</v>
    <v>88.814499999999995</v>
    <v>86.795500000000004</v>
    <v>88.832999999999998</v>
    <v>90.04</v>
    <v>92.391999999999996</v>
    <v>100.43600000000001</v>
    <v>94.1875</v>
    <v>97.486000000000004</v>
    <v>123.7</v>
    <v>122.1185</v>
    <v>137.941</v>
    <v>158.23400000000001</v>
    <v>172.548</v>
    <v>157.4365</v>
    <v>151.8075</v>
    <v>158.40199999999999</v>
    <v>162.84649999999999</v>
    <v>160.31</v>
    <v>154.6465</v>
    <v>154.70400000000001</v>
    <v>173.37100000000001</v>
    <v>161.15350000000001</v>
    <v>172.00800000000001</v>
    <v>166.37950000000001</v>
    <v>173.5395</v>
    <v>164.25200000000001</v>
    <v>168.6215</v>
    <v>175.3535</v>
    <v>166.71700000000001</v>
    <v>149.5735</v>
    <v>153.56299999999999</v>
    <v>162.9975</v>
    <v>124.28149999999999</v>
    <v>120.20950000000001</v>
    <v>106.21</v>
    <v>134.94999999999999</v>
    <v>126.77</v>
    <v>113</v>
    <v>102.44</v>
    <v>96.54</v>
    <v>84</v>
  </a>
  <a r="1" c="1510">
    <v>84.8</v>
    <v>85.43</v>
    <v>85.3</v>
    <v>86.48</v>
    <v>85.77</v>
    <v>84.6</v>
    <v>85.66</v>
    <v>85.33</v>
    <v>84.82</v>
    <v>86.43</v>
    <v>87.48</v>
    <v>87.2</v>
    <v>86.49</v>
    <v>84.27</v>
    <v>84.58</v>
    <v>85.51</v>
    <v>84.88</v>
    <v>84.5</v>
    <v>83.61</v>
    <v>83.71</v>
    <v>83.17</v>
    <v>82.44</v>
    <v>82.5</v>
    <v>81.69</v>
    <v>81.069999999999993</v>
    <v>81.12</v>
    <v>81.209999999999994</v>
    <v>82.16</v>
    <v>81.819999999999993</v>
    <v>82.46</v>
    <v>81.75</v>
    <v>81.13</v>
    <v>80.650000000000006</v>
    <v>80.680000000000007</v>
    <v>79.7</v>
    <v>80.47</v>
    <v>80.150000000000006</v>
    <v>81.06</v>
    <v>80.36</v>
    <v>82.27</v>
    <v>80.95</v>
    <v>80.7</v>
    <v>80.72</v>
    <v>79.95</v>
    <v>78.099999999999994</v>
    <v>78.7</v>
    <v>78.69</v>
    <v>78.59</v>
    <v>78.38</v>
    <v>80.25</v>
    <v>79.650000000000006</v>
    <v>79.55</v>
    <v>78.92</v>
    <v>78.69</v>
    <v>78.38</v>
    <v>77.67</v>
    <v>76.959999999999994</v>
    <v>77.02</v>
    <v>78.31</v>
    <v>78.67</v>
    <v>77.84</v>
    <v>78.099999999999994</v>
    <v>77.7</v>
    <v>78.209999999999994</v>
    <v>78.3</v>
    <v>78.62</v>
    <v>78.33</v>
    <v>78.709999999999994</v>
    <v>79.650000000000006</v>
    <v>79.569999999999993</v>
    <v>78.150000000000006</v>
    <v>78.239999999999995</v>
    <v>77.930000000000007</v>
    <v>76.48</v>
    <v>76.510000000000005</v>
    <v>74.84</v>
    <v>74.099999999999994</v>
    <v>74.09</v>
    <v>74.11</v>
    <v>72.84</v>
    <v>72.59</v>
    <v>72.3</v>
    <v>71.45</v>
    <v>71.53</v>
    <v>70.94</v>
    <v>71.97</v>
    <v>72.22</v>
    <v>72.28</v>
    <v>72.67</v>
    <v>71.78</v>
    <v>71.02</v>
    <v>72</v>
    <v>71.37</v>
    <v>70.989999999999995</v>
    <v>71.430000000000007</v>
    <v>71.75</v>
    <v>71.89</v>
    <v>72.09</v>
    <v>71.36</v>
    <v>69.39</v>
    <v>70.09</v>
    <v>68.739999999999995</v>
    <v>69.59</v>
    <v>69.78</v>
    <v>68.959999999999994</v>
    <v>69.27</v>
    <v>69.97</v>
    <v>68.67</v>
    <v>68.31</v>
    <v>69.680000000000007</v>
    <v>69.31</v>
    <v>69.349999999999994</v>
    <v>68.180000000000007</v>
    <v>67.33</v>
    <v>68.58</v>
    <v>68.099999999999994</v>
    <v>66.75</v>
    <v>65.47</v>
    <v>65.37</v>
    <v>65.930000000000007</v>
    <v>65.89</v>
    <v>65.36</v>
    <v>65.25</v>
    <v>65.38</v>
    <v>65.84</v>
    <v>66.97</v>
    <v>65.739999999999995</v>
    <v>65.13</v>
    <v>65.08</v>
    <v>65.349999999999994</v>
    <v>65.790000000000006</v>
    <v>65.58</v>
    <v>66.489999999999995</v>
    <v>66.849999999999994</v>
    <v>66.83</v>
    <v>66.180000000000007</v>
    <v>67.44</v>
    <v>67.02</v>
    <v>66.53</v>
    <v>66.42</v>
    <v>67.010000000000005</v>
    <v>66.989999999999995</v>
    <v>67.78</v>
    <v>68.459999999999994</v>
    <v>68.599999999999994</v>
    <v>69.010000000000005</v>
    <v>69.13</v>
    <v>68.22</v>
    <v>67.540000000000006</v>
    <v>66.55</v>
    <v>65.489999999999995</v>
    <v>65.489999999999995</v>
    <v>64.400000000000006</v>
    <v>63.83</v>
    <v>63.95</v>
    <v>63.44</v>
    <v>63.71</v>
    <v>63.03</v>
    <v>63.32</v>
    <v>63</v>
    <v>63.35</v>
    <v>63.19</v>
    <v>62.88</v>
    <v>63.88</v>
    <v>63.45</v>
    <v>63.5</v>
    <v>63.39</v>
    <v>63.51</v>
    <v>63.35</v>
    <v>65.099999999999994</v>
    <v>65.72</v>
    <v>65.87</v>
    <v>64.86</v>
    <v>65.77</v>
    <v>66.430000000000007</v>
    <v>66.92</v>
    <v>67.7</v>
    <v>67.239999999999995</v>
    <v>67.87</v>
    <v>67.89</v>
    <v>67.62</v>
    <v>68.09</v>
    <v>68.8</v>
    <v>69.650000000000006</v>
    <v>68.819999999999993</v>
    <v>69.08</v>
    <v>69.16</v>
    <v>69.760000000000005</v>
    <v>69.319999999999993</v>
    <v>69.06</v>
    <v>68.819999999999993</v>
    <v>68.87</v>
    <v>68.34</v>
    <v>68.33</v>
    <v>68.33</v>
    <v>67.739999999999995</v>
    <v>67.290000000000006</v>
    <v>67.17</v>
    <v>66.8</v>
    <v>66.5</v>
    <v>65.91</v>
    <v>64.5</v>
    <v>63.15</v>
    <v>61.91</v>
    <v>62.44</v>
    <v>63.44</v>
    <v>63.37</v>
    <v>63.55</v>
    <v>64.11</v>
    <v>64</v>
    <v>64.28</v>
    <v>63.25</v>
    <v>63.58</v>
    <v>67.08</v>
    <v>66.430000000000007</v>
    <v>67.06</v>
    <v>66.89</v>
    <v>65.739999999999995</v>
    <v>65.040000000000006</v>
    <v>62.78</v>
    <v>61.55</v>
    <v>61.31</v>
    <v>61.96</v>
    <v>61.72</v>
    <v>61.88</v>
    <v>62.14</v>
    <v>61.93</v>
    <v>61.36</v>
    <v>62.29</v>
    <v>62.15</v>
    <v>62.85</v>
    <v>64.73</v>
    <v>64.599999999999994</v>
    <v>63.45</v>
    <v>62.07</v>
    <v>62.07</v>
    <v>63.54</v>
    <v>64.56</v>
    <v>64.180000000000007</v>
    <v>63.3</v>
    <v>62.37</v>
    <v>62.09</v>
    <v>63.6</v>
    <v>64.39</v>
    <v>65.28</v>
    <v>67.86</v>
    <v>67.44</v>
    <v>67.61</v>
    <v>67.92</v>
    <v>67.459999999999994</v>
    <v>67.39</v>
    <v>69.52</v>
    <v>71.33</v>
    <v>73.099999999999994</v>
    <v>73.599999999999994</v>
    <v>74.8</v>
    <v>74.900000000000006</v>
    <v>75.599999999999994</v>
    <v>77.05</v>
    <v>77.97</v>
    <v>77.17</v>
    <v>77.209999999999994</v>
    <v>76.37</v>
    <v>76.42</v>
    <v>79.790000000000006</v>
    <v>79.209999999999994</v>
    <v>78.180000000000007</v>
    <v>77.33</v>
    <v>77.61</v>
    <v>76.38</v>
    <v>74.540000000000006</v>
    <v>73.58</v>
    <v>75.510000000000005</v>
    <v>73.69</v>
    <v>71.349999999999994</v>
    <v>71.040000000000006</v>
    <v>69.75</v>
    <v>67.400000000000006</v>
    <v>65.19</v>
    <v>66.84</v>
    <v>65.92</v>
    <v>65.87</v>
    <v>66.209999999999994</v>
    <v>66.28</v>
    <v>65.61</v>
    <v>64.400000000000006</v>
    <v>64.959999999999994</v>
    <v>66.5</v>
    <v>66.73</v>
    <v>66.91</v>
    <v>65.64</v>
    <v>65.22</v>
    <v>65.47</v>
    <v>66.16</v>
    <v>66.63</v>
    <v>66.23</v>
    <v>66.739999999999995</v>
    <v>68.78</v>
    <v>68.09</v>
    <v>67.14</v>
    <v>66.430000000000007</v>
    <v>65.349999999999994</v>
    <v>66.099999999999994</v>
    <v>64.7</v>
    <v>65.56</v>
    <v>67.739999999999995</v>
    <v>65.52</v>
    <v>64.14</v>
    <v>64.459999999999994</v>
    <v>64.48</v>
    <v>63.21</v>
    <v>64.78</v>
    <v>63.48</v>
    <v>64.790000000000006</v>
    <v>64.81</v>
    <v>65.77</v>
    <v>64.36</v>
    <v>64.260000000000005</v>
    <v>66.709999999999994</v>
    <v>67.55</v>
    <v>67.56</v>
    <v>67.95</v>
    <v>68.52</v>
    <v>68.66</v>
    <v>70.34</v>
    <v>70.28</v>
    <v>69.23</v>
    <v>68.91</v>
    <v>68.28</v>
    <v>69.099999999999994</v>
    <v>69.47</v>
    <v>69.08</v>
    <v>68.56</v>
    <v>68.400000000000006</v>
    <v>68.66</v>
    <v>67.72</v>
    <v>68.790000000000006</v>
    <v>69.209999999999994</v>
    <v>69.540000000000006</v>
    <v>70.88</v>
    <v>71.12</v>
    <v>71.08</v>
    <v>71.599999999999994</v>
    <v>71.599999999999994</v>
    <v>73.11</v>
    <v>74.430000000000007</v>
    <v>74.290000000000006</v>
    <v>75.03</v>
    <v>73.73</v>
    <v>73.45</v>
    <v>71.22</v>
    <v>68.599999999999994</v>
    <v>68.069999999999993</v>
    <v>69.48</v>
    <v>68.67</v>
    <v>68.959999999999994</v>
    <v>69.069999999999993</v>
    <v>68.459999999999994</v>
    <v>68.89</v>
    <v>69.599999999999994</v>
    <v>69.430000000000007</v>
    <v>69.87</v>
    <v>68.599999999999994</v>
    <v>67.97</v>
    <v>68.33</v>
    <v>66.83</v>
    <v>67.040000000000006</v>
    <v>65.7</v>
    <v>65.55</v>
    <v>64.790000000000006</v>
    <v>66.58</v>
    <v>65.430000000000007</v>
    <v>66.02</v>
    <v>66.81</v>
    <v>67.010000000000005</v>
    <v>67.03</v>
    <v>65.209999999999994</v>
    <v>65.84</v>
    <v>66.430000000000007</v>
    <v>67.03</v>
    <v>68.34</v>
    <v>69.489999999999995</v>
    <v>68.34</v>
    <v>67.47</v>
    <v>68.08</v>
    <v>67.42</v>
    <v>66.739999999999995</v>
    <v>67.06</v>
    <v>66.92</v>
    <v>66.09</v>
    <v>65.739999999999995</v>
    <v>65.52</v>
    <v>65.78</v>
    <v>66.86</v>
    <v>67.040000000000006</v>
    <v>67.58</v>
    <v>67.52</v>
    <v>66.66</v>
    <v>65.94</v>
    <v>65.89</v>
    <v>65.739999999999995</v>
    <v>66.680000000000007</v>
    <v>66.41</v>
    <v>65.400000000000006</v>
    <v>66.040000000000006</v>
    <v>64.97</v>
    <v>64.8</v>
    <v>62.29</v>
    <v>62.49</v>
    <v>62.83</v>
    <v>63.5</v>
    <v>64.760000000000005</v>
    <v>65.09</v>
    <v>64.650000000000006</v>
    <v>65.25</v>
    <v>64.849999999999994</v>
    <v>64.069999999999993</v>
    <v>64.489999999999995</v>
    <v>64.34</v>
    <v>63.16</v>
    <v>61.92</v>
    <v>61.02</v>
    <v>60.21</v>
    <v>59.7</v>
    <v>59.98</v>
    <v>60.32</v>
    <v>60.82</v>
    <v>61.02</v>
    <v>61.23</v>
    <v>60.97</v>
    <v>60.99</v>
    <v>61.23</v>
    <v>61.57</v>
    <v>61.13</v>
    <v>61.6</v>
    <v>62.53</v>
    <v>60.88</v>
    <v>61.17</v>
    <v>60.92</v>
    <v>61.59</v>
    <v>61.89</v>
    <v>62.62</v>
    <v>62.85</v>
    <v>63</v>
    <v>62.94</v>
    <v>63.11</v>
    <v>60.82</v>
    <v>59.12</v>
    <v>59.33</v>
    <v>59.55</v>
    <v>59.68</v>
    <v>59.24</v>
    <v>58.43</v>
    <v>58.47</v>
    <v>56.81</v>
    <v>55.09</v>
    <v>53.01</v>
    <v>53.3</v>
    <v>52.9</v>
    <v>51.45</v>
    <v>52.32</v>
    <v>51.31</v>
    <v>51.66</v>
    <v>51.4</v>
    <v>51.96</v>
    <v>52.08</v>
    <v>52.32</v>
    <v>51.58</v>
    <v>50.4</v>
    <v>49.45</v>
    <v>47.34</v>
    <v>47.81</v>
    <v>48.08</v>
    <v>48.22</v>
    <v>48.31</v>
    <v>46.9</v>
    <v>47.64</v>
    <v>46.37</v>
    <v>46.63</v>
    <v>46.2</v>
    <v>46.41</v>
    <v>45.9</v>
    <v>45.1</v>
    <v>46.3</v>
    <v>44.12</v>
    <v>42.32</v>
    <v>43.04</v>
    <v>41.97</v>
    <v>41.24</v>
    <v>41.44</v>
    <v>41.02</v>
    <v>39.1</v>
    <v>39.049999999999997</v>
    <v>37.840000000000003</v>
    <v>37.79</v>
    <v>36.200000000000003</v>
    <v>35.700000000000003</v>
    <v>35.19</v>
    <v>36.61</v>
    <v>36.33</v>
    <v>36.6</v>
    <v>36.08</v>
    <v>37.200000000000003</v>
    <v>37.6</v>
    <v>39.090000000000003</v>
    <v>40.17</v>
    <v>40.67</v>
    <v>41.24</v>
    <v>41.65</v>
    <v>41.74</v>
    <v>41.32</v>
    <v>41.72</v>
    <v>41.25</v>
    <v>41.37</v>
    <v>44.73</v>
    <v>43.96</v>
    <v>43.31</v>
    <v>43.56</v>
    <v>45</v>
    <v>44.24</v>
    <v>44</v>
    <v>45</v>
    <v>44.21</v>
    <v>44.56</v>
    <v>44.6</v>
    <v>45.14</v>
    <v>45.07</v>
    <v>43.46</v>
    <v>42.78</v>
    <v>43.69</v>
    <v>44.06</v>
    <v>44.42</v>
    <v>44.14</v>
    <v>44.95</v>
    <v>45.54</v>
    <v>45.9</v>
    <v>44.72</v>
    <v>44.36</v>
    <v>44.79</v>
    <v>44.31</v>
    <v>44.35</v>
    <v>44.06</v>
    <v>45.19</v>
    <v>45.24</v>
    <v>44.79</v>
    <v>43.37</v>
    <v>42.49</v>
    <v>41.29</v>
    <v>42.08</v>
    <v>42.59</v>
    <v>43.15</v>
    <v>43.09</v>
    <v>42.39</v>
    <v>43.36</v>
    <v>43.25</v>
    <v>44.29</v>
    <v>44.22</v>
    <v>42.47</v>
    <v>42.47</v>
    <v>43.05</v>
    <v>42.68</v>
    <v>43.62</v>
    <v>43.57</v>
    <v>44.76</v>
    <v>44.49</v>
    <v>43.59</v>
    <v>44.1</v>
    <v>45</v>
    <v>46.17</v>
    <v>45.58</v>
    <v>45.55</v>
    <v>45.31</v>
    <v>45.65</v>
    <v>46.4</v>
    <v>47.34</v>
    <v>47.41</v>
    <v>45.56</v>
    <v>45.85</v>
    <v>45.89</v>
    <v>44.24</v>
    <v>43.3</v>
    <v>43.3</v>
    <v>43.43</v>
    <v>42.68</v>
    <v>41.37</v>
    <v>41.12</v>
    <v>41.28</v>
    <v>41.24</v>
    <v>40.6</v>
    <v>40.270000000000003</v>
    <v>40.270000000000003</v>
    <v>39.56</v>
    <v>38.159999999999997</v>
    <v>39</v>
    <v>39.33</v>
    <v>39.86</v>
    <v>39.020000000000003</v>
    <v>39.119999999999997</v>
    <v>39.5</v>
    <v>38.340000000000003</v>
    <v>37.49</v>
    <v>37</v>
    <v>36.5</v>
    <v>36.18</v>
    <v>35.18</v>
    <v>34.69</v>
    <v>35.49</v>
    <v>35.729999999999997</v>
    <v>34.94</v>
    <v>35.049999999999997</v>
    <v>35.6</v>
    <v>35.47</v>
    <v>36.69</v>
    <v>35.58</v>
    <v>36.79</v>
    <v>35.93</v>
    <v>36.659999999999997</v>
    <v>36.93</v>
    <v>36.51</v>
    <v>38.25</v>
    <v>38.880000000000003</v>
    <v>38.65</v>
    <v>38.58</v>
    <v>39.020000000000003</v>
    <v>39.11</v>
    <v>39.74</v>
    <v>39.32</v>
    <v>39.18</v>
    <v>39.49</v>
    <v>39.57</v>
    <v>39.89</v>
    <v>40.200000000000003</v>
    <v>40.619999999999997</v>
    <v>40.97</v>
    <v>40.81</v>
    <v>40.47</v>
    <v>40.07</v>
    <v>38.630000000000003</v>
    <v>38.78</v>
    <v>38.71</v>
    <v>39.49</v>
    <v>39.75</v>
    <v>40.33</v>
    <v>39.950000000000003</v>
    <v>40.01</v>
    <v>39.21</v>
    <v>39.549999999999997</v>
    <v>39.97</v>
    <v>38.51</v>
    <v>37.42</v>
    <v>35.99</v>
    <v>35.46</v>
    <v>34.74</v>
    <v>35.21</v>
    <v>34.53</v>
    <v>34.270000000000003</v>
    <v>34.630000000000003</v>
    <v>32.340000000000003</v>
    <v>31.65</v>
    <v>32.72</v>
    <v>34.1</v>
    <v>33.9</v>
    <v>33.69</v>
    <v>33.71</v>
    <v>32.03</v>
    <v>31.59</v>
    <v>31.25</v>
    <v>31.62</v>
    <v>32.26</v>
    <v>32.43</v>
    <v>31.72</v>
    <v>32.979999999999997</v>
    <v>34.06</v>
    <v>34.200000000000003</v>
    <v>36.229999999999997</v>
    <v>37.46</v>
    <v>37.32</v>
    <v>36.9</v>
    <v>37.33</v>
    <v>39.31</v>
    <v>38.17</v>
    <v>38.03</v>
    <v>37.76</v>
    <v>37.299999999999997</v>
    <v>37.33</v>
    <v>35.56</v>
    <v>35.24</v>
    <v>34.54</v>
    <v>34.33</v>
    <v>34.17</v>
    <v>32.700000000000003</v>
    <v>31.76</v>
    <v>32.049999999999997</v>
    <v>31.88</v>
    <v>31.8</v>
    <v>30.71</v>
    <v>30.9</v>
    <v>31.07</v>
    <v>32.479999999999997</v>
    <v>32.57</v>
    <v>32.81</v>
    <v>31.95</v>
    <v>31.89</v>
    <v>32.31</v>
    <v>33.590000000000003</v>
    <v>34.82</v>
    <v>35.33</v>
    <v>35.11</v>
    <v>35.090000000000003</v>
    <v>35.020000000000003</v>
    <v>34.79</v>
    <v>33.1</v>
    <v>32.69</v>
    <v>34.44</v>
    <v>36.24</v>
    <v>36.72</v>
    <v>35.56</v>
    <v>36.08</v>
    <v>36.340000000000003</v>
    <v>36.409999999999997</v>
    <v>36.21</v>
    <v>35.03</v>
    <v>34.71</v>
    <v>35.36</v>
    <v>34.69</v>
    <v>34.31</v>
    <v>36.14</v>
    <v>36.619999999999997</v>
    <v>36.61</v>
    <v>37.08</v>
    <v>36.39</v>
    <v>36.770000000000003</v>
    <v>36.200000000000003</v>
    <v>36.36</v>
    <v>34.99</v>
    <v>36.19</v>
    <v>35.85</v>
    <v>36.89</v>
    <v>37.159999999999997</v>
    <v>37.340000000000003</v>
    <v>38.4</v>
    <v>39.07</v>
    <v>39</v>
    <v>39.4</v>
    <v>39.46</v>
    <v>39.619999999999997</v>
    <v>39.61</v>
    <v>39.43</v>
    <v>40.79</v>
    <v>40.65</v>
    <v>40.07</v>
    <v>40</v>
    <v>40.4</v>
    <v>40.200000000000003</v>
    <v>40.17</v>
    <v>40.56</v>
    <v>40.82</v>
    <v>40.61</v>
    <v>39.409999999999997</v>
    <v>39.86</v>
    <v>39.83</v>
    <v>39.229999999999997</v>
    <v>39.53</v>
    <v>38.33</v>
    <v>38.78</v>
    <v>38.369999999999997</v>
    <v>36.950000000000003</v>
    <v>36.68</v>
    <v>36.43</v>
    <v>35.770000000000003</v>
    <v>33.96</v>
    <v>33.96</v>
    <v>33.729999999999997</v>
    <v>34.04</v>
    <v>33.51</v>
    <v>33.46</v>
    <v>34.07</v>
    <v>35.07</v>
    <v>34.51</v>
    <v>34.42</v>
    <v>34.35</v>
    <v>34.29</v>
    <v>35.049999999999997</v>
    <v>34.67</v>
    <v>34.42</v>
    <v>33.65</v>
    <v>34.29</v>
    <v>33.83</v>
    <v>33.39</v>
    <v>30.93</v>
    <v>29.34</v>
    <v>28.38</v>
    <v>26.84</v>
    <v>27.09</v>
    <v>27.79</v>
    <v>26.81</v>
    <v>27.08</v>
    <v>25.83</v>
    <v>23.85</v>
    <v>17.309999999999999</v>
    <v>18.190000000000001</v>
    <v>17.38</v>
    <v>14.42</v>
    <v>16.16</v>
    <v>14.41</v>
    <v>14</v>
    <v>12.05</v>
    <v>13.87</v>
    <v>14.28</v>
    <v>12.83</v>
    <v>14.65</v>
    <v>14.6</v>
    <v>15.52</v>
    <v>13.76</v>
    <v>13.28</v>
    <v>13.49</v>
    <v>12.59</v>
    <v>13.88</v>
    <v>14.29</v>
    <v>15.67</v>
    <v>16.47</v>
    <v>17.28</v>
    <v>16.47</v>
    <v>15.95</v>
    <v>15.54</v>
    <v>14.73</v>
    <v>14.05</v>
    <v>15.28</v>
    <v>15.21</v>
    <v>14.69</v>
    <v>15.34</v>
    <v>16.52</v>
    <v>16.11</v>
    <v>16.05</v>
    <v>16.149999999999999</v>
    <v>18.2</v>
    <v>16.82</v>
    <v>15.75</v>
    <v>16.23</v>
    <v>16.25</v>
    <v>15.82</v>
    <v>16.73</v>
    <v>18.05</v>
    <v>17.36</v>
    <v>17.079999999999998</v>
    <v>15.85</v>
    <v>16.100000000000001</v>
    <v>15.95</v>
    <v>17.95</v>
    <v>17.11</v>
    <v>18.21</v>
    <v>17.79</v>
    <v>17.579999999999998</v>
    <v>18.399999999999999</v>
    <v>19.05</v>
    <v>18.79</v>
    <v>18.47</v>
    <v>18.43</v>
    <v>18.86</v>
    <v>19.61</v>
    <v>20.329999999999998</v>
    <v>21.99</v>
    <v>23.65</v>
    <v>22.51</v>
    <v>20.96</v>
    <v>18.510000000000002</v>
    <v>19</v>
    <v>19.32</v>
    <v>19.55</v>
    <v>19.829999999999998</v>
    <v>20.18</v>
    <v>19.71</v>
    <v>19.82</v>
    <v>19.57</v>
    <v>17.86</v>
    <v>18.420000000000002</v>
    <v>17.440000000000001</v>
    <v>18.010000000000002</v>
    <v>18.39</v>
    <v>17.72</v>
    <v>17.98</v>
    <v>18.75</v>
    <v>18.18</v>
    <v>18.07</v>
    <v>17.13</v>
    <v>17.79</v>
    <v>17.38</v>
    <v>18.39</v>
    <v>18.899999999999999</v>
    <v>18.82</v>
    <v>18.62</v>
    <v>18.440000000000001</v>
    <v>19.559999999999999</v>
    <v>19.170000000000002</v>
    <v>19.3</v>
    <v>19.48</v>
    <v>19.68</v>
    <v>19.149999999999999</v>
    <v>19.43</v>
    <v>18.440000000000001</v>
    <v>18.14</v>
    <v>18.72</v>
    <v>19.23</v>
    <v>19.5</v>
    <v>19.32</v>
    <v>19.63</v>
    <v>20.22</v>
    <v>20.3</v>
    <v>20.36</v>
    <v>19.87</v>
    <v>20.07</v>
    <v>20.010000000000002</v>
    <v>19.77</v>
    <v>19.72</v>
    <v>18.77</v>
    <v>18.579999999999998</v>
    <v>19.55</v>
    <v>19.260000000000002</v>
    <v>18.670000000000002</v>
    <v>18.7</v>
    <v>19.420000000000002</v>
    <v>19.010000000000002</v>
    <v>18.63</v>
    <v>18.77</v>
    <v>19.12</v>
    <v>19.309999999999999</v>
    <v>18.38</v>
    <v>18.61</v>
    <v>17.71</v>
    <v>17.87</v>
    <v>18.03</v>
    <v>18.2</v>
    <v>19.18</v>
    <v>19.079999999999998</v>
    <v>18.73</v>
    <v>17.27</v>
    <v>17.329999999999998</v>
    <v>16.61</v>
    <v>16.62</v>
    <v>15.92</v>
    <v>16.45</v>
    <v>15.6</v>
    <v>15.56</v>
    <v>15.01</v>
    <v>15.57</v>
    <v>16.07</v>
    <v>15.67</v>
    <v>15.95</v>
    <v>16.43</v>
    <v>16.23</v>
    <v>16.12</v>
    <v>15.73</v>
    <v>15.95</v>
    <v>16.420000000000002</v>
    <v>14.97</v>
    <v>15.01</v>
    <v>15.49</v>
    <v>15.01</v>
    <v>15.3</v>
    <v>15.4</v>
    <v>15.17</v>
    <v>15.09</v>
    <v>14.18</v>
    <v>14.45</v>
    <v>14.94</v>
    <v>15.58</v>
    <v>15.76</v>
    <v>15.97</v>
    <v>15.52</v>
    <v>15.22</v>
    <v>18.25</v>
    <v>18.309999999999999</v>
    <v>17.71</v>
    <v>17.3</v>
    <v>18</v>
    <v>20.04</v>
    <v>20.09</v>
    <v>19.97</v>
    <v>20.46</v>
    <v>20.21</v>
    <v>21.61</v>
    <v>22.23</v>
    <v>22.1</v>
    <v>21.88</v>
    <v>20.79</v>
    <v>21.07</v>
    <v>21.64</v>
    <v>22.07</v>
    <v>23.45</v>
    <v>22.83</v>
    <v>23.23</v>
    <v>23.37</v>
    <v>23.38</v>
    <v>22.94</v>
    <v>22.18</v>
    <v>22.97</v>
    <v>22.84</v>
    <v>22.93</v>
    <v>22.31</v>
    <v>21.78</v>
    <v>21.36</v>
    <v>21.92</v>
    <v>21.64</v>
    <v>21.57</v>
    <v>21.38</v>
    <v>21.88</v>
    <v>21.83</v>
    <v>21.95</v>
    <v>23.13</v>
    <v>24.41</v>
    <v>24.88</v>
    <v>24.84</v>
    <v>24.99</v>
    <v>26.14</v>
    <v>25.46</v>
    <v>25.96</v>
    <v>24.91</v>
    <v>25.42</v>
    <v>25.35</v>
    <v>24.19</v>
    <v>24.41</v>
    <v>23.74</v>
    <v>22.74</v>
    <v>21.81</v>
    <v>22.64</v>
    <v>22.21</v>
    <v>22.16</v>
    <v>22.51</v>
    <v>24.18</v>
    <v>24.81</v>
    <v>25.01</v>
    <v>25.99</v>
    <v>26</v>
    <v>26.62</v>
    <v>26.37</v>
    <v>26.77</v>
    <v>26.81</v>
    <v>26.87</v>
    <v>25.58</v>
    <v>26.12</v>
    <v>27.54</v>
    <v>27.74</v>
    <v>29.41</v>
    <v>28.51</v>
    <v>27.91</v>
    <v>28.72</v>
    <v>28.14</v>
    <v>28.37</v>
    <v>28.58</v>
    <v>29.07</v>
    <v>29.71</v>
    <v>29.35</v>
    <v>29.95</v>
    <v>29.4</v>
    <v>29.01</v>
    <v>29.12</v>
    <v>28.06</v>
    <v>28.31</v>
    <v>27.25</v>
    <v>27.05</v>
    <v>27.65</v>
    <v>26.67</v>
    <v>27.42</v>
    <v>27.4</v>
    <v>28.31</v>
    <v>27.7</v>
    <v>27.22</v>
    <v>27.19</v>
    <v>28.1</v>
    <v>27.55</v>
    <v>27.44</v>
    <v>27.35</v>
    <v>27.06</v>
    <v>26.76</v>
    <v>26.54</v>
    <v>26.04</v>
    <v>27.31</v>
    <v>26.66</v>
    <v>26.29</v>
    <v>26.53</v>
    <v>25.25</v>
    <v>25.73</v>
    <v>25.25</v>
    <v>25.71</v>
    <v>26.37</v>
    <v>26.18</v>
    <v>27.36</v>
    <v>27.82</v>
    <v>27.05</v>
    <v>28.22</v>
    <v>28.39</v>
    <v>30.34</v>
    <v>30.73</v>
    <v>31.89</v>
    <v>31.63</v>
    <v>31.26</v>
    <v>32.1</v>
    <v>31.76</v>
    <v>32.81</v>
    <v>34.049999999999997</v>
    <v>33.07</v>
    <v>32</v>
    <v>31.77</v>
    <v>31.95</v>
    <v>31.7</v>
    <v>31.24</v>
    <v>31.55</v>
    <v>31.34</v>
    <v>31.33</v>
    <v>32.93</v>
    <v>35.46</v>
    <v>36.520000000000003</v>
    <v>36.42</v>
    <v>35.83</v>
    <v>35.9</v>
    <v>35.76</v>
    <v>34.94</v>
    <v>34.89</v>
    <v>34.049999999999997</v>
    <v>34.19</v>
    <v>34.04</v>
    <v>32.47</v>
    <v>31.29</v>
    <v>33.119999999999997</v>
    <v>33.020000000000003</v>
    <v>32.880000000000003</v>
    <v>33.26</v>
    <v>33.35</v>
    <v>32.020000000000003</v>
    <v>31.88</v>
    <v>32.01</v>
    <v>33.07</v>
    <v>32.79</v>
    <v>31.17</v>
    <v>30.68</v>
    <v>30.53</v>
    <v>31.19</v>
    <v>31.22</v>
    <v>30.61</v>
    <v>29.55</v>
    <v>28.73</v>
    <v>27.87</v>
    <v>26.65</v>
    <v>27.24</v>
    <v>28.43</v>
    <v>27.98</v>
    <v>28.41</v>
    <v>29.46</v>
    <v>29.18</v>
    <v>29.32</v>
    <v>29.64</v>
    <v>28.83</v>
    <v>28.5</v>
    <v>28.9</v>
    <v>27.63</v>
    <v>27.92</v>
    <v>28.42</v>
    <v>27.99</v>
    <v>28.42</v>
    <v>28.98</v>
    <v>28.55</v>
    <v>28.35</v>
    <v>27.78</v>
    <v>27.19</v>
    <v>26.81</v>
    <v>26.44</v>
    <v>26.46</v>
    <v>27.49</v>
    <v>28.22</v>
    <v>28.45</v>
    <v>28.13</v>
    <v>29.08</v>
    <v>28.28</v>
    <v>28.04</v>
    <v>27.98</v>
    <v>28.61</v>
    <v>28.09</v>
    <v>27.83</v>
    <v>26.66</v>
    <v>26.62</v>
    <v>26.78</v>
    <v>28.11</v>
    <v>27.67</v>
    <v>29.24</v>
    <v>28.86</v>
    <v>28.31</v>
    <v>27.25</v>
    <v>26.93</v>
    <v>27.15</v>
    <v>28.88</v>
    <v>29.01</v>
    <v>30.19</v>
    <v>30.91</v>
    <v>30.33</v>
    <v>29.64</v>
    <v>30.36</v>
    <v>30.88</v>
    <v>30.59</v>
    <v>29.94</v>
    <v>31.02</v>
    <v>31.66</v>
    <v>32.46</v>
    <v>32.880000000000003</v>
    <v>32.76</v>
    <v>33.520000000000003</v>
    <v>34</v>
    <v>34.159999999999997</v>
    <v>34.54</v>
    <v>34.74</v>
    <v>34.299999999999997</v>
    <v>33.909999999999997</v>
    <v>34.36</v>
    <v>34.26</v>
    <v>32.54</v>
    <v>33.299999999999997</v>
    <v>32.26</v>
    <v>33.299999999999997</v>
    <v>33.200000000000003</v>
    <v>32.979999999999997</v>
    <v>33.15</v>
    <v>33.51</v>
    <v>34.299999999999997</v>
    <v>34.14</v>
    <v>32.729999999999997</v>
    <v>32.78</v>
    <v>32.76</v>
    <v>32.72</v>
    <v>32.89</v>
    <v>32.06</v>
    <v>31.86</v>
    <v>30.05</v>
    <v>30.34</v>
    <v>31.18</v>
    <v>31.41</v>
    <v>29.7</v>
    <v>29.65</v>
    <v>28.68</v>
    <v>28.38</v>
    <v>29.32</v>
    <v>29.24</v>
    <v>30.01</v>
    <v>30.76</v>
    <v>31.06</v>
    <v>30.62</v>
    <v>30.99</v>
    <v>29.83</v>
    <v>29.67</v>
    <v>29.31</v>
    <v>29.7</v>
    <v>28.97</v>
    <v>28.47</v>
    <v>29.45</v>
    <v>29.5</v>
    <v>29.57</v>
    <v>29.84</v>
    <v>30.11</v>
    <v>29.65</v>
    <v>29.82</v>
    <v>29.95</v>
    <v>31.72</v>
    <v>33.26</v>
    <v>33.26</v>
    <v>34.049999999999997</v>
    <v>35.03</v>
    <v>35.119999999999997</v>
    <v>36.479999999999997</v>
    <v>36.450000000000003</v>
    <v>36.17</v>
    <v>37.81</v>
    <v>37.54</v>
    <v>37.1</v>
    <v>37.049999999999997</v>
    <v>36.36</v>
    <v>36.6</v>
    <v>38.79</v>
    <v>39.799999999999997</v>
    <v>38.86</v>
    <v>39.68</v>
    <v>39.07</v>
    <v>39.520000000000003</v>
    <v>39.25</v>
    <v>38.58</v>
    <v>38.51</v>
    <v>40.270000000000003</v>
    <v>38.9</v>
    <v>39.4</v>
    <v>39.17</v>
    <v>40.619999999999997</v>
    <v>39.299999999999997</v>
    <v>40.090000000000003</v>
    <v>41.69</v>
    <v>41.11</v>
    <v>40.21</v>
    <v>39.549999999999997</v>
    <v>39.74</v>
    <v>38.32</v>
    <v>39.450000000000003</v>
    <v>39.24</v>
    <v>37.67</v>
    <v>39.24</v>
    <v>38.520000000000003</v>
    <v>38.94</v>
    <v>42.1</v>
    <v>45.08</v>
    <v>42.56</v>
    <v>43.4</v>
    <v>42.9</v>
    <v>41.55</v>
    <v>39.26</v>
    <v>37.880000000000003</v>
    <v>39.51</v>
    <v>39.729999999999997</v>
    <v>41.19</v>
    <v>41.2</v>
    <v>42.41</v>
    <v>42.64</v>
    <v>43.68</v>
    <v>41.73</v>
    <v>42.63</v>
    <v>42.21</v>
    <v>41.31</v>
    <v>41.69</v>
    <v>41.55</v>
    <v>40.46</v>
    <v>40.78</v>
    <v>40.97</v>
    <v>42.55</v>
    <v>41.33</v>
    <v>41.53</v>
    <v>42.57</v>
    <v>43.25</v>
    <v>43.68</v>
    <v>43.43</v>
    <v>42.68</v>
    <v>40.65</v>
    <v>41.65</v>
    <v>38.69</v>
    <v>39.54</v>
    <v>39.950000000000003</v>
    <v>40.11</v>
    <v>39.01</v>
    <v>39.11</v>
    <v>40.15</v>
    <v>42.6</v>
    <v>42.08</v>
    <v>43.03</v>
    <v>38.04</v>
    <v>37.89</v>
    <v>38.369999999999997</v>
    <v>39.03</v>
    <v>40.74</v>
    <v>42.14</v>
    <v>42.95</v>
    <v>41.13</v>
    <v>40.85</v>
    <v>41.12</v>
    <v>43.81</v>
    <v>43.9</v>
    <v>45.05</v>
    <v>46.69</v>
    <v>48.21</v>
    <v>45.96</v>
    <v>46.68</v>
    <v>46.3</v>
    <v>47.47</v>
    <v>47.22</v>
    <v>48.93</v>
    <v>49.57</v>
    <v>48.14</v>
    <v>47.21</v>
    <v>44.32</v>
    <v>43.22</v>
    <v>41.52</v>
    <v>38.479999999999997</v>
    <v>36.64</v>
    <v>38.82</v>
    <v>37.520000000000003</v>
    <v>34.979999999999997</v>
    <v>35.06</v>
    <v>35.89</v>
    <v>36.97</v>
    <v>36.18</v>
    <v>35.76</v>
    <v>35.65</v>
    <v>33.33</v>
    <v>32.729999999999997</v>
    <v>34.380000000000003</v>
    <v>34.32</v>
    <v>33.369999999999997</v>
    <v>32.729999999999997</v>
    <v>32.29</v>
    <v>31.33</v>
    <v>32.299999999999997</v>
    <v>33.130000000000003</v>
    <v>34.22</v>
    <v>34.14</v>
    <v>33.630000000000003</v>
    <v>35.07</v>
    <v>36.17</v>
    <v>35.6</v>
    <v>36.33</v>
    <v>35.71</v>
    <v>37.03</v>
    <v>36.4</v>
    <v>36.69</v>
    <v>35.54</v>
    <v>33.950000000000003</v>
    <v>34.659999999999997</v>
    <v>34.65</v>
    <v>34.99</v>
    <v>34.92</v>
    <v>36.89</v>
    <v>37.14</v>
    <v>35.76</v>
    <v>35.58</v>
    <v>35.4</v>
    <v>37.130000000000003</v>
    <v>37.119999999999997</v>
    <v>36.92</v>
    <v>39.36</v>
    <v>39.909999999999997</v>
    <v>40.17</v>
    <v>39.42</v>
    <v>40.380000000000003</v>
    <v>38.68</v>
    <v>38.15</v>
    <v>36.85</v>
    <v>38.07</v>
    <v>37.36</v>
    <v>37.06</v>
    <v>38.17</v>
    <v>39.65</v>
    <v>40.15</v>
    <v>38.47</v>
    <v>40.24</v>
    <v>39.630000000000003</v>
    <v>38.369999999999997</v>
    <v>38.97</v>
    <v>38.5</v>
    <v>37.58</v>
    <v>38.229999999999997</v>
    <v>35</v>
    <v>33.86</v>
    <v>33.979999999999997</v>
    <v>35.44</v>
    <v>35.97</v>
    <v>35.9</v>
    <v>38.299999999999997</v>
    <v>39.119999999999997</v>
    <v>41.57</v>
    <v>42.49</v>
    <v>42.59</v>
    <v>42.13</v>
    <v>41.76</v>
    <v>42.02</v>
    <v>44.19</v>
    <v>42.16</v>
    <v>42.86</v>
    <v>43.36</v>
    <v>45.47</v>
    <v>45.69</v>
    <v>50.41</v>
    <v>52.15</v>
    <v>52.47</v>
    <v>52.18</v>
    <v>51.68</v>
    <v>50.45</v>
    <v>52.03</v>
    <v>51.55</v>
    <v>51.14</v>
    <v>51.8</v>
    <v>53.1</v>
    <v>54.81</v>
    <v>54.69</v>
    <v>53.07</v>
    <v>53.1</v>
    <v>54.82</v>
    <v>54.07</v>
    <v>54.67</v>
    <v>52.99</v>
    <v>52.83</v>
    <v>53.44</v>
    <v>52.27</v>
    <v>53.64</v>
    <v>51.42</v>
    <v>50.83</v>
    <v>49.88</v>
    <v>51.05</v>
    <v>51.55</v>
    <v>51.76</v>
    <v>52.79</v>
    <v>51.38</v>
    <v>50.88</v>
    <v>49.8</v>
    <v>49.92</v>
    <v>46.97</v>
    <v>49.1</v>
    <v>51.05</v>
    <v>50.43</v>
    <v>50.11</v>
    <v>49.38</v>
    <v>49.83</v>
    <v>51.76</v>
    <v>53.31</v>
    <v>51.39</v>
    <v>52.99</v>
    <v>53.5</v>
    <v>52.6</v>
    <v>52.91</v>
    <v>53.46</v>
  </a>
  <a r="1" c="96">
    <v>210.64699999999999</v>
    <v>217.75239999999999</v>
    <v>226.1788</v>
    <v>248.5976</v>
    <v>260.38979999999998</v>
    <v>246.72290000000001</v>
    <v>270.91919999999999</v>
    <v>262.04109999999997</v>
    <v>265.56709999999998</v>
    <v>296.68</v>
    <v>296.5</v>
    <v>302.39999999999998</v>
    <v>310.57</v>
    <v>303.69</v>
    <v>330.71</v>
    <v>330.35</v>
    <v>362</v>
    <v>387.73</v>
    <v>372.87</v>
    <v>368.65</v>
    <v>360.25</v>
    <v>357.28</v>
    <v>338.76</v>
    <v>357.41</v>
    <v>384.98</v>
    <v>376.07</v>
    <v>400.37</v>
    <v>417.7</v>
    <v>441.01</v>
    <v>429.16</v>
    <v>450.73</v>
    <v>468.41</v>
    <v>446.3</v>
    <v>463.5</v>
    <v>464.49</v>
    <v>453.22</v>
    <v>455.19</v>
    <v>392.1</v>
    <v>418.14</v>
    <v>420.79</v>
    <v>396.85</v>
    <v>429.89</v>
    <v>439.28</v>
    <v>436.13</v>
    <v>432.89</v>
    <v>378.74</v>
    <v>385.28</v>
    <v>352.56</v>
    <v>394</v>
    <v>423.5</v>
    <v>453.16</v>
    <v>454.7</v>
    <v>485.79</v>
    <v>504.29</v>
    <v>502.1</v>
    <v>556.28</v>
    <v>576.79999999999995</v>
    <v>566.78</v>
    <v>566.85</v>
    <v>583.70000000000005</v>
    <v>589.73</v>
    <v>572.79999999999995</v>
    <v>624.57000000000005</v>
    <v>675.2</v>
    <v>697.63</v>
    <v>702.3</v>
    <v>785.48</v>
    <v>789.78</v>
    <v>760.13</v>
    <v>731.24</v>
    <v>697.79</v>
    <v>714.18</v>
    <v>739.96</v>
    <v>648.34</v>
    <v>679.59</v>
    <v>720.76</v>
    <v>736.72</v>
    <v>802.6</v>
    <v>820.41</v>
    <v>843.45</v>
    <v>790.13</v>
    <v>837.07</v>
    <v>812.2</v>
    <v>845.84</v>
    <v>724.9</v>
    <v>709.73</v>
    <v>741.62</v>
    <v>719.08</v>
    <v>687.09</v>
    <v>657.02</v>
    <v>703.74</v>
    <v>657.37</v>
    <v>568.84</v>
    <v>566.44000000000005</v>
    <v>690.65</v>
    <v>655.03</v>
  </a>
  <a r="1" c="96">
    <v>26.877500000000001</v>
    <v>28.131499999999999</v>
    <v>27.734999999999999</v>
    <v>27.438500000000001</v>
    <v>27.265999999999998</v>
    <v>27.001999999999999</v>
    <v>32.875</v>
    <v>32.390999999999998</v>
    <v>31.918500000000002</v>
    <v>36.869500000000002</v>
    <v>38.142499999999998</v>
    <v>38.900500000000001</v>
    <v>38.067500000000003</v>
    <v>35.860999999999997</v>
    <v>38.145000000000003</v>
    <v>35.393999999999998</v>
    <v>37.442500000000003</v>
    <v>35.176499999999997</v>
    <v>39.567</v>
    <v>39.4925</v>
    <v>40.203000000000003</v>
    <v>40.494999999999997</v>
    <v>38.793999999999997</v>
    <v>39.622500000000002</v>
    <v>41.009500000000003</v>
    <v>42.246499999999997</v>
    <v>42.39</v>
    <v>46.225999999999999</v>
    <v>49.354500000000002</v>
    <v>46.484000000000002</v>
    <v>47.274999999999999</v>
    <v>47.762</v>
    <v>48.686</v>
    <v>51.652000000000001</v>
    <v>51.808500000000002</v>
    <v>52.67</v>
    <v>59.110999999999997</v>
    <v>55.195999999999998</v>
    <v>51.856999999999999</v>
    <v>50.929000000000002</v>
    <v>55</v>
    <v>56.459499999999998</v>
    <v>61.360999999999997</v>
    <v>61.59</v>
    <v>60.353999999999999</v>
    <v>54.529000000000003</v>
    <v>55.482500000000002</v>
    <v>52.247999999999998</v>
    <v>56.294499999999999</v>
    <v>56.327500000000001</v>
    <v>58.844499999999996</v>
    <v>59.948</v>
    <v>55.325000000000003</v>
    <v>54.14</v>
    <v>60.91</v>
    <v>59.526499999999999</v>
    <v>61.057000000000002</v>
    <v>62.94</v>
    <v>65.204499999999996</v>
    <v>66.969499999999996</v>
    <v>71.638999999999996</v>
    <v>66.962500000000006</v>
    <v>58.097499999999997</v>
    <v>67.334999999999994</v>
    <v>71.676000000000002</v>
    <v>70.902500000000003</v>
    <v>74.397499999999994</v>
    <v>81.476500000000001</v>
    <v>73.28</v>
    <v>80.805499999999995</v>
    <v>87.72</v>
    <v>87.632000000000005</v>
    <v>91.367999999999995</v>
    <v>101.0955</v>
    <v>103.126</v>
    <v>117.675</v>
    <v>117.8425</v>
    <v>122.0895</v>
    <v>134.72649999999999</v>
    <v>144.69749999999999</v>
    <v>133.67599999999999</v>
    <v>148.04599999999999</v>
    <v>141.89750000000001</v>
    <v>144.852</v>
    <v>135.30350000000001</v>
    <v>135.05699999999999</v>
    <v>139.0675</v>
    <v>114.1095</v>
    <v>113.762</v>
    <v>108.96299999999999</v>
    <v>116.32</v>
    <v>108.22</v>
    <v>95.65</v>
    <v>94.51</v>
    <v>100.99</v>
    <v>88.23</v>
  </a>
  <a r="1" c="96">
    <v>84.29</v>
    <v>85.13</v>
    <v>81.94</v>
    <v>79.510000000000005</v>
    <v>78.39</v>
    <v>78.239999999999995</v>
    <v>76.7</v>
    <v>70.67</v>
    <v>71.94</v>
    <v>76.38</v>
    <v>74.84</v>
    <v>79.41</v>
    <v>81.69</v>
    <v>80.290000000000006</v>
    <v>82.31</v>
    <v>80.12</v>
    <v>81.040000000000006</v>
    <v>84.67</v>
    <v>85.59</v>
    <v>87.31</v>
    <v>89.75</v>
    <v>86.8</v>
    <v>82.46</v>
    <v>84.08</v>
    <v>87.6</v>
    <v>91.07</v>
    <v>89.85</v>
    <v>87.33</v>
    <v>88.09</v>
    <v>87.15</v>
    <v>90.82</v>
    <v>92.27</v>
    <v>90.98</v>
    <v>86.34</v>
    <v>89.99</v>
    <v>91.88</v>
    <v>86.34</v>
    <v>78.52</v>
    <v>79.28</v>
    <v>72.34</v>
    <v>73.17</v>
    <v>78.06</v>
    <v>80.88</v>
    <v>82.95</v>
    <v>83.23</v>
    <v>88.68</v>
    <v>94.51</v>
    <v>91.92</v>
    <v>96.47</v>
    <v>98.55</v>
    <v>104.05</v>
    <v>106.48</v>
    <v>102.91</v>
    <v>109.65</v>
    <v>118.04</v>
    <v>120.23</v>
    <v>124.38</v>
    <v>124.51</v>
    <v>122.06</v>
    <v>124.9</v>
    <v>124.62</v>
    <v>113.23</v>
    <v>110</v>
    <v>117.87</v>
    <v>115.92</v>
    <v>119.57</v>
    <v>131.12</v>
    <v>138.33000000000001</v>
    <v>138.99</v>
    <v>137.1</v>
    <v>138.87</v>
    <v>139.13999999999999</v>
    <v>128.21</v>
    <v>123.53</v>
    <v>135.43</v>
    <v>133.41999999999999</v>
    <v>134.85</v>
    <v>134.93</v>
    <v>142.22999999999999</v>
    <v>142.38999999999999</v>
    <v>139.80000000000001</v>
    <v>142.99</v>
    <v>144.58000000000001</v>
    <v>163.58000000000001</v>
    <v>160.44999999999999</v>
    <v>155.88999999999999</v>
    <v>152.80000000000001</v>
    <v>160.55000000000001</v>
    <v>147.88</v>
    <v>143.79</v>
    <v>138.91</v>
    <v>137.94</v>
    <v>126.25</v>
    <v>134.66999999999999</v>
    <v>149.16</v>
    <v>151.56</v>
  </a>
  <a r="1" c="1510">
    <v>40.400500000000001</v>
    <v>40.388500000000001</v>
    <v>40.651000000000003</v>
    <v>41.2605</v>
    <v>41.359000000000002</v>
    <v>41.3005</v>
    <v>41.493000000000002</v>
    <v>41.476500000000001</v>
    <v>41.546999999999997</v>
    <v>41.372999999999998</v>
    <v>41.451000000000001</v>
    <v>41.218499999999999</v>
    <v>41.408499999999997</v>
    <v>42.221499999999999</v>
    <v>42.476500000000001</v>
    <v>42.922499999999999</v>
    <v>42.848999999999997</v>
    <v>42.2515</v>
    <v>41.191499999999998</v>
    <v>41.009500000000003</v>
    <v>40.762</v>
    <v>40.912999999999997</v>
    <v>41.006500000000003</v>
    <v>41.081000000000003</v>
    <v>41.461500000000001</v>
    <v>41.494</v>
    <v>41.503</v>
    <v>41.7425</v>
    <v>41.948</v>
    <v>42.0015</v>
    <v>41.866</v>
    <v>42.108499999999999</v>
    <v>42.327500000000001</v>
    <v>42.463500000000003</v>
    <v>42.567999999999998</v>
    <v>42.55</v>
    <v>42.390500000000003</v>
    <v>42.483499999999999</v>
    <v>42.246499999999997</v>
    <v>42.837499999999999</v>
    <v>42.4925</v>
    <v>42.454000000000001</v>
    <v>42.363500000000002</v>
    <v>42.557499999999997</v>
    <v>42.682000000000002</v>
    <v>42.892000000000003</v>
    <v>43.070300000000003</v>
    <v>43.228999999999999</v>
    <v>43.295499999999997</v>
    <v>43.419499999999999</v>
    <v>43.5</v>
    <v>43.618499999999997</v>
    <v>43.395499999999998</v>
    <v>42.506999999999998</v>
    <v>42.49</v>
    <v>41.982500000000002</v>
    <v>41.756999999999998</v>
    <v>41.9255</v>
    <v>42.031500000000001</v>
    <v>42.493499999999997</v>
    <v>42.473999999999997</v>
    <v>42.39</v>
    <v>42.837499999999999</v>
    <v>42.628500000000003</v>
    <v>42.445500000000003</v>
    <v>42.254800000000003</v>
    <v>42.104999999999997</v>
    <v>42.085000000000001</v>
    <v>41.994</v>
    <v>42.073</v>
    <v>42.009</v>
    <v>42.756500000000003</v>
    <v>42.6995</v>
    <v>42.825499999999998</v>
    <v>43.003999999999998</v>
    <v>42.947499999999998</v>
    <v>43.9465</v>
    <v>44.442</v>
    <v>44.457000000000001</v>
    <v>44.572000000000003</v>
    <v>46.225999999999999</v>
    <v>46.640999999999998</v>
    <v>46.854500000000002</v>
    <v>47.422499999999999</v>
    <v>47.735999999999997</v>
    <v>47.514000000000003</v>
    <v>47.9345</v>
    <v>47.835500000000003</v>
    <v>47.741999999999997</v>
    <v>47.794499999999999</v>
    <v>47.756999999999998</v>
    <v>47.960999999999999</v>
    <v>48.230499999999999</v>
    <v>47.108499999999999</v>
    <v>47.524999999999999</v>
    <v>47.732500000000002</v>
    <v>48.203499999999998</v>
    <v>48.527500000000003</v>
    <v>48.880499999999998</v>
    <v>49.593000000000004</v>
    <v>49.663499999999999</v>
    <v>49.808500000000002</v>
    <v>49.354500000000002</v>
    <v>49.414499999999997</v>
    <v>49.805999999999997</v>
    <v>50.194000000000003</v>
    <v>49.834000000000003</v>
    <v>50.079500000000003</v>
    <v>50.213999999999999</v>
    <v>48.506</v>
    <v>48.090499999999999</v>
    <v>48.524999999999999</v>
    <v>48.396500000000003</v>
    <v>48.009</v>
    <v>47.930999999999997</v>
    <v>48.761000000000003</v>
    <v>48.4495</v>
    <v>48.929499999999997</v>
    <v>48.831000000000003</v>
    <v>49.304499999999997</v>
    <v>48.604500000000002</v>
    <v>47.404499999999999</v>
    <v>48.0505</v>
    <v>46.890999999999998</v>
    <v>46.484000000000002</v>
    <v>45.972999999999999</v>
    <v>46.613</v>
    <v>46.384500000000003</v>
    <v>47.040500000000002</v>
    <v>47.55</v>
    <v>47.676499999999997</v>
    <v>48.383000000000003</v>
    <v>48.442500000000003</v>
    <v>48.845500000000001</v>
    <v>48.798000000000002</v>
    <v>49.347499999999997</v>
    <v>49.638500000000001</v>
    <v>49.609499999999997</v>
    <v>49.692</v>
    <v>49.915500000000002</v>
    <v>48.451500000000003</v>
    <v>48.265500000000003</v>
    <v>47.625500000000002</v>
    <v>47.916499999999999</v>
    <v>47.274999999999999</v>
    <v>47.328000000000003</v>
    <v>47.381999999999998</v>
    <v>47.015000000000001</v>
    <v>47.289499999999997</v>
    <v>47.287500000000001</v>
    <v>47.209499999999998</v>
    <v>47.003999999999998</v>
    <v>46.179499999999997</v>
    <v>46.5045</v>
    <v>46.9465</v>
    <v>46.904000000000003</v>
    <v>47.213500000000003</v>
    <v>46.383000000000003</v>
    <v>46.308999999999997</v>
    <v>46.043500000000002</v>
    <v>47.02</v>
    <v>47.128999999999998</v>
    <v>46.844499999999996</v>
    <v>46.524999999999999</v>
    <v>46.406500000000001</v>
    <v>46.787500000000001</v>
    <v>47.1815</v>
    <v>47.762</v>
    <v>47.599499999999999</v>
    <v>47.073999999999998</v>
    <v>47.100999999999999</v>
    <v>47.494500000000002</v>
    <v>47.070500000000003</v>
    <v>47.164499999999997</v>
    <v>47.332500000000003</v>
    <v>47.521999999999998</v>
    <v>47.006500000000003</v>
    <v>46.764499999999998</v>
    <v>46.487499999999997</v>
    <v>46.843000000000004</v>
    <v>47.377000000000002</v>
    <v>47.377499999999998</v>
    <v>47.162999999999997</v>
    <v>46.713999999999999</v>
    <v>46.871499999999997</v>
    <v>47.994999999999997</v>
    <v>48.240499999999997</v>
    <v>48.686</v>
    <v>48.3735</v>
    <v>48.603999999999999</v>
    <v>48.338999999999999</v>
    <v>49.259500000000003</v>
    <v>49.682000000000002</v>
    <v>49.615499999999997</v>
    <v>49.39</v>
    <v>50.282499999999999</v>
    <v>50.282499999999999</v>
    <v>50.393500000000003</v>
    <v>50.467500000000001</v>
    <v>50.55</v>
    <v>50.637</v>
    <v>50.091999999999999</v>
    <v>50.253500000000003</v>
    <v>49.277000000000001</v>
    <v>49.424500000000002</v>
    <v>49.573</v>
    <v>49.570999999999998</v>
    <v>51.683500000000002</v>
    <v>51.656500000000001</v>
    <v>51.652000000000001</v>
    <v>52.129800000000003</v>
    <v>52.148499999999999</v>
    <v>52.499499999999998</v>
    <v>52.134</v>
    <v>52.619500000000002</v>
    <v>52.914499999999997</v>
    <v>52.386000000000003</v>
    <v>52.207500000000003</v>
    <v>52.06</v>
    <v>52.082000000000001</v>
    <v>51.820500000000003</v>
    <v>52.423499999999997</v>
    <v>51.794499999999999</v>
    <v>51.732999999999997</v>
    <v>52.515000000000001</v>
    <v>52.595999999999997</v>
    <v>52.826000000000001</v>
    <v>53.600499999999997</v>
    <v>53.164499999999997</v>
    <v>51.869</v>
    <v>51.808500000000002</v>
    <v>51.253500000000003</v>
    <v>50.593499999999999</v>
    <v>50.98</v>
    <v>51.636000000000003</v>
    <v>52.228499999999997</v>
    <v>52.469000000000001</v>
    <v>52.598500000000001</v>
    <v>52.438499999999998</v>
    <v>52.569499999999998</v>
    <v>52.8735</v>
    <v>53.6</v>
    <v>54.2545</v>
    <v>53.988999999999997</v>
    <v>53.677999999999997</v>
    <v>53.542499999999997</v>
    <v>53.442999999999998</v>
    <v>53.292499999999997</v>
    <v>53.01</v>
    <v>52.797499999999999</v>
    <v>52.67</v>
    <v>53.660499999999999</v>
    <v>54.576000000000001</v>
    <v>54.787999999999997</v>
    <v>55.514499999999998</v>
    <v>55.710500000000003</v>
    <v>55.639499999999998</v>
    <v>55.506999999999998</v>
    <v>55.602499999999999</v>
    <v>56.532499999999999</v>
    <v>56.534999999999997</v>
    <v>56.954999999999998</v>
    <v>56.798499999999997</v>
    <v>57.174999999999997</v>
    <v>58.207999999999998</v>
    <v>58.808500000000002</v>
    <v>58.564500000000002</v>
    <v>59.106999999999999</v>
    <v>59.378</v>
    <v>59.323999999999998</v>
    <v>58.868499999999997</v>
    <v>59.110999999999997</v>
    <v>59.079500000000003</v>
    <v>55.96</v>
    <v>53.119500000000002</v>
    <v>54.221499999999999</v>
    <v>52.770499999999998</v>
    <v>50.3855</v>
    <v>52.313499999999998</v>
    <v>52.728000000000002</v>
    <v>52.707000000000001</v>
    <v>53.634999999999998</v>
    <v>54.567999999999998</v>
    <v>54.774999999999999</v>
    <v>55.179499999999997</v>
    <v>55.6875</v>
    <v>55.494999999999997</v>
    <v>56.404499999999999</v>
    <v>57.185000000000002</v>
    <v>55.875500000000002</v>
    <v>55.195999999999998</v>
    <v>53.570500000000003</v>
    <v>54.207000000000001</v>
    <v>54.738</v>
    <v>55.045000000000002</v>
    <v>55.752000000000002</v>
    <v>56.469000000000001</v>
    <v>58.042000000000002</v>
    <v>58.296500000000002</v>
    <v>56.9955</v>
    <v>57.444499999999998</v>
    <v>57.530500000000004</v>
    <v>56.720999999999997</v>
    <v>55.003500000000003</v>
    <v>54.79</v>
    <v>54.7</v>
    <v>52.657499999999999</v>
    <v>51.327500000000001</v>
    <v>52.704500000000003</v>
    <v>50.347000000000001</v>
    <v>50.259</v>
    <v>51.856999999999999</v>
    <v>50.631500000000003</v>
    <v>50.933999999999997</v>
    <v>51.485500000000002</v>
    <v>51.631999999999998</v>
    <v>50.497500000000002</v>
    <v>51.0045</v>
    <v>51.825000000000003</v>
    <v>51.253</v>
    <v>51.8645</v>
    <v>51.802</v>
    <v>52.305</v>
    <v>53.968000000000004</v>
    <v>53.769500000000001</v>
    <v>54.472499999999997</v>
    <v>53.866</v>
    <v>53.6905</v>
    <v>51.131999999999998</v>
    <v>51.149500000000003</v>
    <v>52.165500000000002</v>
    <v>51.572499999999998</v>
    <v>50.929000000000002</v>
    <v>52.037500000000001</v>
    <v>51.302500000000002</v>
    <v>51.314999999999998</v>
    <v>52.55</v>
    <v>52.972999999999999</v>
    <v>52.929499999999997</v>
    <v>54.447499999999998</v>
    <v>55.273499999999999</v>
    <v>55.168999999999997</v>
    <v>55.33</v>
    <v>54.243499999999997</v>
    <v>54.204500000000003</v>
    <v>54.063000000000002</v>
    <v>53.481999999999999</v>
    <v>54.200499999999998</v>
    <v>53.765500000000003</v>
    <v>54.298000000000002</v>
    <v>54.272500000000001</v>
    <v>54.204000000000001</v>
    <v>53.403500000000001</v>
    <v>53.8735</v>
    <v>55</v>
    <v>56.75</v>
    <v>57.652000000000001</v>
    <v>57.551000000000002</v>
    <v>57.347499999999997</v>
    <v>56.720999999999997</v>
    <v>56.6355</v>
    <v>57.045000000000002</v>
    <v>57.409500000000001</v>
    <v>57.211500000000001</v>
    <v>58.005499999999998</v>
    <v>57.963500000000003</v>
    <v>59.179000000000002</v>
    <v>58.9345</v>
    <v>59.203499999999998</v>
    <v>58.472000000000001</v>
    <v>58.464500000000001</v>
    <v>56.963999999999999</v>
    <v>56.631</v>
    <v>55.847000000000001</v>
    <v>56.338999999999999</v>
    <v>56.459499999999998</v>
    <v>57.105499999999999</v>
    <v>55.814</v>
    <v>57.064500000000002</v>
    <v>57.753999999999998</v>
    <v>58.363999999999997</v>
    <v>58.356999999999999</v>
    <v>58.573</v>
    <v>60.063000000000002</v>
    <v>60.220999999999997</v>
    <v>59.825499999999998</v>
    <v>60.654000000000003</v>
    <v>60.645499999999998</v>
    <v>59.954999999999998</v>
    <v>59.893999999999998</v>
    <v>60.55</v>
    <v>62.907499999999999</v>
    <v>63.796999999999997</v>
    <v>64.275000000000006</v>
    <v>62.644500000000001</v>
    <v>61.502000000000002</v>
    <v>61.360999999999997</v>
    <v>61.649500000000003</v>
    <v>62.0565</v>
    <v>61.908000000000001</v>
    <v>61.883499999999998</v>
    <v>62.792000000000002</v>
    <v>63.066499999999998</v>
    <v>63.222999999999999</v>
    <v>62.625500000000002</v>
    <v>62.432000000000002</v>
    <v>62.906999999999996</v>
    <v>61.610999999999997</v>
    <v>61.203000000000003</v>
    <v>60.792499999999997</v>
    <v>61.097499999999997</v>
    <v>60.8705</v>
    <v>61.087499999999999</v>
    <v>61.058</v>
    <v>61.837499999999999</v>
    <v>62.813499999999998</v>
    <v>62.292999999999999</v>
    <v>63.232500000000002</v>
    <v>62.722000000000001</v>
    <v>61.59</v>
    <v>60.5655</v>
    <v>59.954999999999998</v>
    <v>59.1995</v>
    <v>58.8795</v>
    <v>58.753</v>
    <v>59.499499999999998</v>
    <v>58.58</v>
    <v>59.106999999999999</v>
    <v>58.899000000000001</v>
    <v>57.991500000000002</v>
    <v>58.355499999999999</v>
    <v>58.713500000000003</v>
    <v>59.578499999999998</v>
    <v>58.606000000000002</v>
    <v>58.978000000000002</v>
    <v>59.694499999999998</v>
    <v>59.703000000000003</v>
    <v>60.368000000000002</v>
    <v>60.353999999999999</v>
    <v>60.426499999999997</v>
    <v>60.381999999999998</v>
    <v>60.576500000000003</v>
    <v>58.853499999999997</v>
    <v>58.391500000000001</v>
    <v>57.795999999999999</v>
    <v>57.258499999999998</v>
    <v>54.607999999999997</v>
    <v>54.536999999999999</v>
    <v>56.027000000000001</v>
    <v>55.122</v>
    <v>56.654000000000003</v>
    <v>56.3795</v>
    <v>54.895499999999998</v>
    <v>55.259</v>
    <v>55.5685</v>
    <v>55.7455</v>
    <v>52.856000000000002</v>
    <v>55.179499999999997</v>
    <v>54.1875</v>
    <v>51.736499999999999</v>
    <v>52.475499999999997</v>
    <v>54.529000000000003</v>
    <v>54.298999999999999</v>
    <v>53.5745</v>
    <v>52.786499999999997</v>
    <v>53.478499999999997</v>
    <v>55.411999999999999</v>
    <v>54.731499999999997</v>
    <v>53.850999999999999</v>
    <v>52.468000000000004</v>
    <v>52.398499999999999</v>
    <v>52.728999999999999</v>
    <v>53.552500000000002</v>
    <v>53.413499999999999</v>
    <v>51.371000000000002</v>
    <v>51.522500000000001</v>
    <v>52.171500000000002</v>
    <v>51.505000000000003</v>
    <v>52.796999999999997</v>
    <v>52.613999999999997</v>
    <v>54.589500000000001</v>
    <v>54.728999999999999</v>
    <v>55.482500000000002</v>
    <v>55.817999999999998</v>
    <v>53.1235</v>
    <v>53.904000000000003</v>
    <v>52.329000000000001</v>
    <v>52.658999999999999</v>
    <v>53.082500000000003</v>
    <v>53.686500000000002</v>
    <v>53.677</v>
    <v>52.585500000000003</v>
    <v>51.282499999999999</v>
    <v>52.170499999999997</v>
    <v>51.773000000000003</v>
    <v>51.179000000000002</v>
    <v>49.5625</v>
    <v>49.233499999999999</v>
    <v>52.392499999999998</v>
    <v>52.645000000000003</v>
    <v>52.334000000000003</v>
    <v>52.247999999999998</v>
    <v>52.734000000000002</v>
    <v>51.273499999999999</v>
    <v>53.903500000000001</v>
    <v>53.795999999999999</v>
    <v>54.268500000000003</v>
    <v>54.082500000000003</v>
    <v>53.941499999999998</v>
    <v>53.223500000000001</v>
    <v>52.575499999999998</v>
    <v>54.325499999999998</v>
    <v>54.475499999999997</v>
    <v>54.956000000000003</v>
    <v>55.365000000000002</v>
    <v>53.9315</v>
    <v>54.220500000000001</v>
    <v>54.2</v>
    <v>55.075499999999998</v>
    <v>53.993000000000002</v>
    <v>53.503</v>
    <v>54.899500000000003</v>
    <v>56.294499999999999</v>
    <v>55.930999999999997</v>
    <v>57.070999999999998</v>
    <v>57.593499999999999</v>
    <v>56.144500000000001</v>
    <v>55.295499999999997</v>
    <v>55.119</v>
    <v>55.106000000000002</v>
    <v>56.378999999999998</v>
    <v>56.4315</v>
    <v>56.46</v>
    <v>55.981499999999997</v>
    <v>56.325499999999998</v>
    <v>56.029499999999999</v>
    <v>55.210500000000003</v>
    <v>55.828000000000003</v>
    <v>55.866500000000002</v>
    <v>56.100499999999997</v>
    <v>56.144500000000001</v>
    <v>56.327500000000001</v>
    <v>57.426000000000002</v>
    <v>57.670999999999999</v>
    <v>58.459499999999998</v>
    <v>58.247</v>
    <v>57.542499999999997</v>
    <v>57.4985</v>
    <v>58.963000000000001</v>
    <v>59.862499999999997</v>
    <v>59.953000000000003</v>
    <v>59.6265</v>
    <v>59.515000000000001</v>
    <v>59.427500000000002</v>
    <v>60.122999999999998</v>
    <v>61.3215</v>
    <v>61.8065</v>
    <v>60.3825</v>
    <v>59.869</v>
    <v>59.491999999999997</v>
    <v>58.900500000000001</v>
    <v>58.613500000000002</v>
    <v>58.844499999999996</v>
    <v>59.948999999999998</v>
    <v>60.277000000000001</v>
    <v>60.540500000000002</v>
    <v>60.972499999999997</v>
    <v>60.572499999999998</v>
    <v>60.414000000000001</v>
    <v>60.134500000000003</v>
    <v>60.322499999999998</v>
    <v>60.479500000000002</v>
    <v>61.136499999999998</v>
    <v>61.326500000000003</v>
    <v>61.595500000000001</v>
    <v>62.006999999999998</v>
    <v>62.073500000000003</v>
    <v>62.688000000000002</v>
    <v>63.529499999999999</v>
    <v>63.002499999999998</v>
    <v>63.366999999999997</v>
    <v>63.871000000000002</v>
    <v>64.81</v>
    <v>59.948</v>
    <v>58.665999999999997</v>
    <v>58.325499999999998</v>
    <v>59.477499999999999</v>
    <v>59.673000000000002</v>
    <v>58.942999999999998</v>
    <v>58.539000000000001</v>
    <v>58.398499999999999</v>
    <v>58.381999999999998</v>
    <v>56.829500000000003</v>
    <v>56.243000000000002</v>
    <v>58.54</v>
    <v>59.225000000000001</v>
    <v>58.439</v>
    <v>57.232999999999997</v>
    <v>57.722000000000001</v>
    <v>57.792499999999997</v>
    <v>57.267000000000003</v>
    <v>56.930500000000002</v>
    <v>56.978000000000002</v>
    <v>55.997</v>
    <v>56.070500000000003</v>
    <v>55.325000000000003</v>
    <v>51.936999999999998</v>
    <v>52.724499999999999</v>
    <v>52.231999999999999</v>
    <v>52.387999999999998</v>
    <v>53.418500000000002</v>
    <v>54.137999999999998</v>
    <v>54.052</v>
    <v>53.954999999999998</v>
    <v>54.5505</v>
    <v>54.314999999999998</v>
    <v>54.694499999999998</v>
    <v>55.262</v>
    <v>55.225499999999997</v>
    <v>55.66</v>
    <v>56.268500000000003</v>
    <v>55.835000000000001</v>
    <v>54.378999999999998</v>
    <v>54.015999999999998</v>
    <v>53.831499999999998</v>
    <v>54.14</v>
    <v>55</v>
    <v>55.63</v>
    <v>56.149500000000003</v>
    <v>56.633299999999998</v>
    <v>55.839500000000001</v>
    <v>56.214500000000001</v>
    <v>57.045499999999997</v>
    <v>57.204000000000001</v>
    <v>57.267000000000003</v>
    <v>57.525500000000001</v>
    <v>57.673000000000002</v>
    <v>57.337000000000003</v>
    <v>57.362000000000002</v>
    <v>56.577500000000001</v>
    <v>56.960500000000003</v>
    <v>57.402500000000003</v>
    <v>56.986499999999999</v>
    <v>56.796999999999997</v>
    <v>62.261000000000003</v>
    <v>62.091999999999999</v>
    <v>61.4</v>
    <v>60.91</v>
    <v>60.588999999999999</v>
    <v>59.816000000000003</v>
    <v>57.737499999999997</v>
    <v>58.554000000000002</v>
    <v>58.795499999999997</v>
    <v>60.3095</v>
    <v>59.445</v>
    <v>58.725000000000001</v>
    <v>59.836500000000001</v>
    <v>58.212499999999999</v>
    <v>58.466000000000001</v>
    <v>58.960500000000003</v>
    <v>60.021999999999998</v>
    <v>59.176499999999997</v>
    <v>59.579000000000001</v>
    <v>59.576000000000001</v>
    <v>57.679000000000002</v>
    <v>58.558999999999997</v>
    <v>58.540999999999997</v>
    <v>58.6875</v>
    <v>59.712000000000003</v>
    <v>59.526499999999999</v>
    <v>58.477499999999999</v>
    <v>59.113500000000002</v>
    <v>60.609499999999997</v>
    <v>60.316000000000003</v>
    <v>60.263500000000001</v>
    <v>60.284999999999997</v>
    <v>61</v>
    <v>61.7485</v>
    <v>62.0015</v>
    <v>61.581499999999998</v>
    <v>61.494</v>
    <v>61.6325</v>
    <v>61.9375</v>
    <v>61.491999999999997</v>
    <v>61.734499999999997</v>
    <v>60.916499999999999</v>
    <v>62.296999999999997</v>
    <v>62.1145</v>
    <v>61.297499999999999</v>
    <v>61.057000000000002</v>
    <v>60.3</v>
    <v>58.896000000000001</v>
    <v>59.471499999999999</v>
    <v>60.548000000000002</v>
    <v>60.412500000000001</v>
    <v>59.506500000000003</v>
    <v>60.12</v>
    <v>60.473500000000001</v>
    <v>60.785499999999999</v>
    <v>60.888500000000001</v>
    <v>62.112000000000002</v>
    <v>62.15</v>
    <v>62.64</v>
    <v>62.220500000000001</v>
    <v>62.213999999999999</v>
    <v>62.06</v>
    <v>62.881500000000003</v>
    <v>62.955500000000001</v>
    <v>63.215000000000003</v>
    <v>64.448999999999998</v>
    <v>63.033000000000001</v>
    <v>63.034999999999997</v>
    <v>62.94</v>
    <v>63.612499999999997</v>
    <v>64.480500000000006</v>
    <v>64.572000000000003</v>
    <v>64.5505</v>
    <v>65.346999999999994</v>
    <v>65.45</v>
    <v>64.914000000000001</v>
    <v>64.860500000000002</v>
    <v>64.808999999999997</v>
    <v>65.457499999999996</v>
    <v>66.677000000000007</v>
    <v>65.992000000000004</v>
    <v>65.629499999999993</v>
    <v>65.093000000000004</v>
    <v>65.007000000000005</v>
    <v>64.683499999999995</v>
    <v>65.281999999999996</v>
    <v>65.650000000000006</v>
    <v>65.606499999999997</v>
    <v>65.204499999999996</v>
    <v>64.442999999999998</v>
    <v>64.736999999999995</v>
    <v>65.947000000000003</v>
    <v>66.347999999999999</v>
    <v>66.969499999999996</v>
    <v>67.149500000000003</v>
    <v>67.144499999999994</v>
    <v>67.212500000000006</v>
    <v>67.424499999999995</v>
    <v>67.343500000000006</v>
    <v>68.034999999999997</v>
    <v>67.744500000000002</v>
    <v>67.595500000000001</v>
    <v>67.822000000000003</v>
    <v>67.561000000000007</v>
    <v>67.531499999999994</v>
    <v>67.221500000000006</v>
    <v>68.123500000000007</v>
    <v>67.731999999999999</v>
    <v>66.985500000000002</v>
    <v>66.969499999999996</v>
    <v>68.433999999999997</v>
    <v>68.075999999999993</v>
    <v>69.890500000000003</v>
    <v>69.755499999999998</v>
    <v>70.251999999999995</v>
    <v>70.989500000000007</v>
    <v>71.447999999999993</v>
    <v>72.001499999999993</v>
    <v>71.529499999999999</v>
    <v>71.959999999999994</v>
    <v>72.507999999999996</v>
    <v>73.975999999999999</v>
    <v>74.112499999999997</v>
    <v>74.208500000000001</v>
    <v>74.234499999999997</v>
    <v>73.308499999999995</v>
    <v>71.586500000000001</v>
    <v>72.525000000000006</v>
    <v>72.834999999999994</v>
    <v>72.712500000000006</v>
    <v>71.638999999999996</v>
    <v>74.13</v>
    <v>72.270499999999998</v>
    <v>72.302499999999995</v>
    <v>73.798500000000004</v>
    <v>73.955500000000001</v>
    <v>75.433000000000007</v>
    <v>75.503</v>
    <v>75.9315</v>
    <v>75.669499999999999</v>
    <v>75.936499999999995</v>
    <v>75.971999999999994</v>
    <v>76.243499999999997</v>
    <v>75.849500000000006</v>
    <v>74.173000000000002</v>
    <v>70.992999999999995</v>
    <v>69.316000000000003</v>
    <v>69.523499999999999</v>
    <v>65.747500000000002</v>
    <v>66.962500000000006</v>
    <v>69.316000000000003</v>
    <v>66.885999999999996</v>
    <v>69.08</v>
    <v>65.738</v>
    <v>64.787000000000006</v>
    <v>60.789499999999997</v>
    <v>63.758499999999998</v>
    <v>60.545000000000002</v>
    <v>55.577500000000001</v>
    <v>60.713500000000003</v>
    <v>53.65</v>
    <v>55.902999999999999</v>
    <v>54.5595</v>
    <v>55.583500000000001</v>
    <v>53.410499999999999</v>
    <v>52.706499999999998</v>
    <v>56.500500000000002</v>
    <v>55.081000000000003</v>
    <v>58.146000000000001</v>
    <v>55.512999999999998</v>
    <v>57.3155</v>
    <v>58.097499999999997</v>
    <v>55.104999999999997</v>
    <v>55.851500000000001</v>
    <v>54.634999999999998</v>
    <v>59.159500000000001</v>
    <v>59.128</v>
    <v>60.35</v>
    <v>60.328499999999998</v>
    <v>60.520499999999998</v>
    <v>63.261499999999998</v>
    <v>62.865000000000002</v>
    <v>62.871499999999997</v>
    <v>63.95</v>
    <v>63.057499999999997</v>
    <v>60.607999999999997</v>
    <v>62.920499999999997</v>
    <v>63.558500000000002</v>
    <v>63.83</v>
    <v>63.542999999999999</v>
    <v>61.6295</v>
    <v>67.108999999999995</v>
    <v>67.334999999999994</v>
    <v>65.866</v>
    <v>66.144999999999996</v>
    <v>67.450999999999993</v>
    <v>67.271500000000003</v>
    <v>68.463999999999999</v>
    <v>69.216999999999999</v>
    <v>70.179500000000004</v>
    <v>68.759</v>
    <v>67.416499999999999</v>
    <v>67.843000000000004</v>
    <v>68.653000000000006</v>
    <v>69.259</v>
    <v>68.72</v>
    <v>70.457999999999998</v>
    <v>70.337500000000006</v>
    <v>70.662000000000006</v>
    <v>71.0685</v>
    <v>71.013999999999996</v>
    <v>70.912000000000006</v>
    <v>71.676000000000002</v>
    <v>71.743499999999997</v>
    <v>72.115499999999997</v>
    <v>71.962500000000006</v>
    <v>70.715000000000003</v>
    <v>72.001000000000005</v>
    <v>72.402000000000001</v>
    <v>72.603999999999999</v>
    <v>73.234999999999999</v>
    <v>70.094999999999999</v>
    <v>70.646000000000001</v>
    <v>71.037000000000006</v>
    <v>72.323499999999996</v>
    <v>72.626999999999995</v>
    <v>71.706000000000003</v>
    <v>71.231999999999999</v>
    <v>72.533000000000001</v>
    <v>73.198999999999998</v>
    <v>71.635000000000005</v>
    <v>72.055000000000007</v>
    <v>68.126999999999995</v>
    <v>69.858500000000006</v>
    <v>70.902500000000003</v>
    <v>72.099999999999994</v>
    <v>73.496499999999997</v>
    <v>74.982500000000002</v>
    <v>74.495999999999995</v>
    <v>75.180000000000007</v>
    <v>75.933000000000007</v>
    <v>76.950500000000005</v>
    <v>75.611500000000007</v>
    <v>76.043000000000006</v>
    <v>75.843999999999994</v>
    <v>75.745999999999995</v>
    <v>75.842500000000001</v>
    <v>78.191999999999993</v>
    <v>77.796000000000006</v>
    <v>78.242500000000007</v>
    <v>75.837500000000006</v>
    <v>75.410499999999999</v>
    <v>76.471500000000006</v>
    <v>75.182500000000005</v>
    <v>76.1755</v>
    <v>76.918499999999995</v>
    <v>74.397499999999994</v>
    <v>74.138000000000005</v>
    <v>73.665000000000006</v>
    <v>73.954499999999996</v>
    <v>75.247500000000002</v>
    <v>74.918499999999995</v>
    <v>74.840999999999994</v>
    <v>74.027000000000001</v>
    <v>75.361999999999995</v>
    <v>75.832499999999996</v>
    <v>75.231499999999997</v>
    <v>75.811999999999998</v>
    <v>77.789000000000001</v>
    <v>77.230500000000006</v>
    <v>78.8125</v>
    <v>78.778499999999994</v>
    <v>79.257499999999993</v>
    <v>80.292500000000004</v>
    <v>82.206500000000005</v>
    <v>81.426000000000002</v>
    <v>81.971500000000006</v>
    <v>81.476500000000001</v>
    <v>82.754000000000005</v>
    <v>85.869500000000002</v>
    <v>81.475499999999997</v>
    <v>79.060500000000005</v>
    <v>76.180000000000007</v>
    <v>77.361500000000007</v>
    <v>76.302499999999995</v>
    <v>75.787999999999997</v>
    <v>75.441500000000005</v>
    <v>76.756</v>
    <v>75.604500000000002</v>
    <v>74.352000000000004</v>
    <v>72.554500000000004</v>
    <v>71.507000000000005</v>
    <v>72.991</v>
    <v>70.469499999999996</v>
    <v>71.143000000000001</v>
    <v>71.953000000000003</v>
    <v>72.933000000000007</v>
    <v>73.301000000000002</v>
    <v>73.28</v>
    <v>74.394999999999996</v>
    <v>72.78</v>
    <v>74.141499999999994</v>
    <v>72.551000000000002</v>
    <v>72.956999999999994</v>
    <v>74.171499999999995</v>
    <v>75.522499999999994</v>
    <v>78.229500000000002</v>
    <v>78.353499999999997</v>
    <v>78.171999999999997</v>
    <v>77.773499999999999</v>
    <v>78.385000000000005</v>
    <v>76.497500000000002</v>
    <v>77.554000000000002</v>
    <v>79.299499999999995</v>
    <v>80.332999999999998</v>
    <v>81.649000000000001</v>
    <v>79.214500000000001</v>
    <v>79.944000000000003</v>
    <v>75.540000000000006</v>
    <v>77.843999999999994</v>
    <v>80.805499999999995</v>
    <v>81.215999999999994</v>
    <v>82.283000000000001</v>
    <v>87.292500000000004</v>
    <v>88.125</v>
    <v>87.986500000000007</v>
    <v>88.070999999999998</v>
    <v>86.885999999999996</v>
    <v>87.361500000000007</v>
    <v>87.141000000000005</v>
    <v>88.613</v>
    <v>88.701499999999996</v>
    <v>88.082999999999998</v>
    <v>87.031999999999996</v>
    <v>87.9285</v>
    <v>86.819000000000003</v>
    <v>86.378</v>
    <v>88.194999999999993</v>
    <v>88.206500000000005</v>
    <v>89.350999999999999</v>
    <v>87.72</v>
    <v>89.768000000000001</v>
    <v>91.248500000000007</v>
    <v>91.091999999999999</v>
    <v>91.188000000000002</v>
    <v>90.851500000000001</v>
    <v>90.566500000000005</v>
    <v>88.893000000000001</v>
    <v>88.382499999999993</v>
    <v>88.74</v>
    <v>87.613</v>
    <v>88.054000000000002</v>
    <v>87.859499999999997</v>
    <v>87.025499999999994</v>
    <v>86.311000000000007</v>
    <v>86.727999999999994</v>
    <v>86.010999999999996</v>
    <v>86.411500000000004</v>
    <v>86.707999999999998</v>
    <v>88.697999999999993</v>
    <v>87.888000000000005</v>
    <v>86.8125</v>
    <v>87.632000000000005</v>
    <v>86.3065</v>
    <v>87.002499999999998</v>
    <v>86.144000000000005</v>
    <v>88.716999999999999</v>
    <v>89.891499999999994</v>
    <v>87.814499999999995</v>
    <v>86.871499999999997</v>
    <v>87.362499999999997</v>
    <v>86.546000000000006</v>
    <v>86.381</v>
    <v>89.223500000000001</v>
    <v>94.003500000000003</v>
    <v>94.207499999999996</v>
    <v>94.628</v>
    <v>94.713999999999999</v>
    <v>95.397499999999994</v>
    <v>90.947000000000003</v>
    <v>92.66</v>
    <v>91.367999999999995</v>
    <v>94.653499999999994</v>
    <v>95.956000000000003</v>
    <v>102.944</v>
    <v>102.6815</v>
    <v>104.4415</v>
    <v>104.226</v>
    <v>103.76949999999999</v>
    <v>104.324</v>
    <v>104.4375</v>
    <v>104.75149999999999</v>
    <v>105.535</v>
    <v>105.931</v>
    <v>105.29049999999999</v>
    <v>104.4405</v>
    <v>102.71299999999999</v>
    <v>103.006</v>
    <v>104.1905</v>
    <v>100.7975</v>
    <v>101.0955</v>
    <v>103.483</v>
    <v>103.224</v>
    <v>100.5705</v>
    <v>101.6965</v>
    <v>104.8535</v>
    <v>100.375</v>
    <v>102.018</v>
    <v>101.8095</v>
    <v>105.027</v>
    <v>102.5</v>
    <v>102.72199999999999</v>
    <v>104.19450000000001</v>
    <v>104.111</v>
    <v>101.06699999999999</v>
    <v>101.348</v>
    <v>101.53449999999999</v>
    <v>102.0665</v>
    <v>101.62649999999999</v>
    <v>101.623</v>
    <v>101.23650000000001</v>
    <v>102.2895</v>
    <v>102.3235</v>
    <v>103.126</v>
    <v>106.489</v>
    <v>110.94799999999999</v>
    <v>110.46299999999999</v>
    <v>111.9515</v>
    <v>112.5215</v>
    <v>113.5335</v>
    <v>112.23099999999999</v>
    <v>112.72150000000001</v>
    <v>112.0955</v>
    <v>114.2625</v>
    <v>114.1375</v>
    <v>114.488</v>
    <v>113.95050000000001</v>
    <v>113.9175</v>
    <v>112.626</v>
    <v>114.9965</v>
    <v>115.4965</v>
    <v>114.54900000000001</v>
    <v>117.952</v>
    <v>119.63800000000001</v>
    <v>117.675</v>
    <v>117.154</v>
    <v>115.3415</v>
    <v>115.7385</v>
    <v>116.86750000000001</v>
    <v>117.59650000000001</v>
    <v>114.58750000000001</v>
    <v>113.503</v>
    <v>110.0125</v>
    <v>111.452</v>
    <v>113.919</v>
    <v>114.446</v>
    <v>113.12350000000001</v>
    <v>113.575</v>
    <v>115.3475</v>
    <v>114.70650000000001</v>
    <v>118.05200000000001</v>
    <v>118.1435</v>
    <v>119.0155</v>
    <v>118.134</v>
    <v>117.8425</v>
    <v>119.059</v>
    <v>118.5295</v>
    <v>117.379</v>
    <v>119.6785</v>
    <v>120.11499999999999</v>
    <v>119.922</v>
    <v>120.39700000000001</v>
    <v>121.7565</v>
    <v>121.51</v>
    <v>122.4455</v>
    <v>121.4195</v>
    <v>120.77249999999999</v>
    <v>121.7435</v>
    <v>120.111</v>
    <v>121.8125</v>
    <v>122.3305</v>
    <v>122.127</v>
    <v>122.5</v>
    <v>122.5085</v>
    <v>122.536</v>
    <v>122.27249999999999</v>
    <v>122.0895</v>
    <v>122.44450000000001</v>
    <v>125.25749999999999</v>
    <v>126.19</v>
    <v>126.474</v>
    <v>125.044</v>
    <v>125.5185</v>
    <v>126.9755</v>
    <v>127.3415</v>
    <v>128.23699999999999</v>
    <v>127.005</v>
    <v>126.97</v>
    <v>124.578</v>
    <v>126.20950000000001</v>
    <v>127.54900000000001</v>
    <v>128.42150000000001</v>
    <v>133.01499999999999</v>
    <v>134.035</v>
    <v>131.9</v>
    <v>136.09399999999999</v>
    <v>135.7775</v>
    <v>134.72649999999999</v>
    <v>134.8545</v>
    <v>135.63</v>
    <v>135.12549999999999</v>
    <v>136.25149999999999</v>
    <v>135.73849999999999</v>
    <v>136.91300000000001</v>
    <v>136.80699999999999</v>
    <v>136.279</v>
    <v>137.19399999999999</v>
    <v>137.72749999999999</v>
    <v>138.30950000000001</v>
    <v>136.66149999999999</v>
    <v>135.44900000000001</v>
    <v>135.68</v>
    <v>137.42949999999999</v>
    <v>140.04150000000001</v>
    <v>141.26150000000001</v>
    <v>142.07900000000001</v>
    <v>141.44049999999999</v>
    <v>144.00399999999999</v>
    <v>144.59049999999999</v>
    <v>144.69749999999999</v>
    <v>145.21549999999999</v>
    <v>143.28700000000001</v>
    <v>143.73949999999999</v>
    <v>144.28049999999999</v>
    <v>143.691</v>
    <v>143.541</v>
    <v>140.876</v>
    <v>142.33250000000001</v>
    <v>142.5445</v>
    <v>144.42949999999999</v>
    <v>143.61000000000001</v>
    <v>140.80000000000001</v>
    <v>138.71950000000001</v>
    <v>139.03299999999999</v>
    <v>140.2835</v>
    <v>141.21600000000001</v>
    <v>142.215</v>
    <v>141.072</v>
    <v>135.83000000000001</v>
    <v>134.3535</v>
    <v>133.67599999999999</v>
    <v>136.54300000000001</v>
    <v>133.65950000000001</v>
    <v>136.023</v>
    <v>137.565</v>
    <v>139.22499999999999</v>
    <v>139.78550000000001</v>
    <v>138.91399999999999</v>
    <v>136.44900000000001</v>
    <v>137.58199999999999</v>
    <v>141.15100000000001</v>
    <v>141.36799999999999</v>
    <v>142.77799999999999</v>
    <v>143.23699999999999</v>
    <v>141.76900000000001</v>
    <v>141.886</v>
    <v>137.56649999999999</v>
    <v>137.447</v>
    <v>139.30850000000001</v>
    <v>146.2175</v>
    <v>145.84899999999999</v>
    <v>148.04599999999999</v>
    <v>143.49700000000001</v>
    <v>145.4325</v>
    <v>146.59800000000001</v>
    <v>148.26750000000001</v>
    <v>148.852</v>
    <v>149.03100000000001</v>
    <v>148.91849999999999</v>
    <v>145.89349999999999</v>
    <v>145.76650000000001</v>
    <v>148.678</v>
    <v>148.452</v>
    <v>147.876</v>
    <v>148.047</v>
    <v>149.83850000000001</v>
    <v>148.9265</v>
    <v>146.30199999999999</v>
    <v>145.78200000000001</v>
    <v>146.12</v>
    <v>142.18299999999999</v>
    <v>145.53049999999999</v>
    <v>141.89750000000001</v>
    <v>141.0515</v>
    <v>142.96600000000001</v>
    <v>142.00149999999999</v>
    <v>143.155</v>
    <v>147.26949999999999</v>
    <v>148.1865</v>
    <v>147.63849999999999</v>
    <v>148.00149999999999</v>
    <v>145.82650000000001</v>
    <v>143.90700000000001</v>
    <v>146.441</v>
    <v>144.44499999999999</v>
    <v>141.72499999999999</v>
    <v>141.607</v>
    <v>143.4725</v>
    <v>146.41499999999999</v>
    <v>146.91650000000001</v>
    <v>147.90649999999999</v>
    <v>146.68700000000001</v>
    <v>146.655</v>
    <v>146.20050000000001</v>
    <v>144.852</v>
    <v>144.9915</v>
    <v>144.39949999999999</v>
    <v>137.77500000000001</v>
    <v>137.7475</v>
    <v>137.017</v>
    <v>138.6695</v>
    <v>139.73599999999999</v>
    <v>141.43049999999999</v>
    <v>138.58699999999999</v>
    <v>139.48050000000001</v>
    <v>135.99799999999999</v>
    <v>135.1165</v>
    <v>133.3075</v>
    <v>130.35149999999999</v>
    <v>130.804</v>
    <v>126.935</v>
    <v>129.233</v>
    <v>129.005</v>
    <v>133.351</v>
    <v>135.30350000000001</v>
    <v>137.64400000000001</v>
    <v>148</v>
    <v>143.09</v>
    <v>143.29300000000001</v>
    <v>139.20099999999999</v>
    <v>139.399</v>
    <v>141.59200000000001</v>
    <v>138.62</v>
    <v>134.2825</v>
    <v>135.52600000000001</v>
    <v>136.60849999999999</v>
    <v>137.738</v>
    <v>132.53899999999999</v>
    <v>130.40299999999999</v>
    <v>129.8135</v>
    <v>127.58799999999999</v>
    <v>132.691</v>
    <v>134.45949999999999</v>
    <v>135.05699999999999</v>
    <v>134.0615</v>
    <v>134.57149999999999</v>
    <v>133.89949999999999</v>
    <v>131.90649999999999</v>
    <v>126.3785</v>
    <v>127.1045</v>
    <v>133.41999999999999</v>
    <v>132.42949999999999</v>
    <v>129.87049999999999</v>
    <v>125.95099999999999</v>
    <v>129.19800000000001</v>
    <v>133.28049999999999</v>
    <v>133.839</v>
    <v>136.12549999999999</v>
    <v>136.10149999999999</v>
    <v>139.86799999999999</v>
    <v>138.27549999999999</v>
    <v>141.572</v>
    <v>141.673</v>
    <v>141.4555</v>
    <v>142.50550000000001</v>
    <v>141.9385</v>
    <v>139.0675</v>
    <v>140.15049999999999</v>
    <v>142.97149999999999</v>
    <v>140.59100000000001</v>
    <v>136.548</v>
    <v>135.88849999999999</v>
    <v>133.28749999999999</v>
    <v>128.8235</v>
    <v>127.7145</v>
    <v>129.89400000000001</v>
    <v>126.73</v>
    <v>127.6765</v>
    <v>130.00899999999999</v>
    <v>128.04</v>
    <v>124.8145</v>
    <v>119.63549999999999</v>
    <v>123.074</v>
    <v>118.65</v>
    <v>114.2945</v>
    <v>118.52249999999999</v>
    <v>114.1095</v>
    <v>116.583</v>
    <v>117.334</v>
    <v>122.261</v>
    <v>116.5055</v>
    <v>115.7465</v>
    <v>112.511</v>
    <v>114.395</v>
    <v>113.60250000000001</v>
    <v>112.84399999999999</v>
    <v>116.0505</v>
    <v>114.44499999999999</v>
    <v>116.473</v>
    <v>111.8995</v>
    <v>110.384</v>
    <v>108.908</v>
    <v>111.488</v>
    <v>105.97</v>
    <v>105.80500000000001</v>
    <v>107.7925</v>
    <v>112.3165</v>
    <v>113.762</v>
    <v>113.892</v>
    <v>117.6225</v>
    <v>114.541</v>
    <v>116.8205</v>
    <v>117.1495</v>
    <v>117.194</v>
    <v>114.8355</v>
    <v>111.1615</v>
    <v>106.3925</v>
    <v>106.71550000000001</v>
    <v>109.7645</v>
    <v>106.0335</v>
    <v>107.1435</v>
    <v>111.544</v>
    <v>111.4875</v>
    <v>112.242</v>
    <v>117.97499999999999</v>
    <v>115.8335</v>
    <v>112.00749999999999</v>
    <v>111.7015</v>
    <v>108.96299999999999</v>
    <v>108.7375</v>
    <v>113.26300000000001</v>
    <v>114.572</v>
    <v>118.783</v>
    <v>119.3535</v>
    <v>115.6765</v>
    <v>114.0205</v>
    <v>111.3535</v>
    <v>110.36750000000001</v>
    <v>111.7775</v>
    <v>109.03</v>
    <v>113.81</v>
    <v>113.9</v>
    <v>114.34</v>
    <v>107.9</v>
    <v>107.51</v>
    <v>105.02</v>
    <v>113.06</v>
    <v>114.22</v>
    <v>116.32</v>
    <v>114.86</v>
    <v>115.13</v>
    <v>118.08</v>
    <v>118.19</v>
    <v>117.47</v>
    <v>117.3</v>
    <v>116.63</v>
    <v>119.7</v>
    <v>118.84</v>
    <v>121.68</v>
    <v>122.08</v>
    <v>121.7</v>
    <v>119.55</v>
    <v>120.17</v>
    <v>117.21</v>
    <v>114.24</v>
    <v>113.86</v>
    <v>113.69</v>
    <v>116.65</v>
    <v>110.34</v>
    <v>109.42</v>
    <v>108.94</v>
    <v>108.22</v>
    <v>109.74</v>
    <v>107.85</v>
    <v>106.81</v>
    <v>109.45</v>
    <v>108.38</v>
    <v>110.65</v>
    <v>110.86</v>
    <v>104.32</v>
    <v>105</v>
    <v>102.91</v>
    <v>102.8</v>
    <v>103.07</v>
    <v>101.14</v>
    <v>99.28</v>
    <v>100.14</v>
    <v>98.74</v>
    <v>98.17</v>
    <v>97.5</v>
    <v>100.05</v>
    <v>97.42</v>
    <v>95.65</v>
    <v>98.64</v>
    <v>101.64</v>
    <v>101.43</v>
    <v>101.42</v>
    <v>98.68</v>
    <v>97.86</v>
    <v>97.18</v>
    <v>97.56</v>
    <v>99.06</v>
    <v>96.56</v>
    <v>99.97</v>
    <v>100.77</v>
    <v>99.63</v>
    <v>99.97</v>
    <v>101.13</v>
    <v>102.52</v>
    <v>104.48</v>
    <v>94.93</v>
    <v>92.22</v>
    <v>96.29</v>
    <v>94.51</v>
    <v>90.47</v>
    <v>86.97</v>
    <v>83.43</v>
    <v>86.58</v>
    <v>88.49</v>
    <v>88.9</v>
    <v>87.32</v>
    <v>93.94</v>
    <v>96.41</v>
    <v>95.7</v>
    <v>98.44</v>
    <v>98.85</v>
    <v>98.36</v>
    <v>97.43</v>
    <v>95.6</v>
    <v>97.05</v>
    <v>98.46</v>
    <v>97.46</v>
    <v>96.05</v>
    <v>95.19</v>
    <v>100.99</v>
    <v>100.99</v>
    <v>100.44</v>
    <v>99.48</v>
    <v>96.98</v>
    <v>94.94</v>
    <v>93.71</v>
    <v>92.83</v>
    <v>93.31</v>
    <v>95.63</v>
    <v>95.07</v>
    <v>90.86</v>
    <v>90.26</v>
    <v>88.44</v>
    <v>89.02</v>
    <v>89.58</v>
    <v>87.76</v>
    <v>89.23</v>
    <v>87.39</v>
    <v>86.02</v>
    <v>88.45</v>
    <v>88.23</v>
  </a>
  <a r="1" c="96">
    <v>27.31</v>
    <v>25.864999999999998</v>
    <v>26.012499999999999</v>
    <v>25.232500000000002</v>
    <v>25.585000000000001</v>
    <v>24.5075</v>
    <v>26.3</v>
    <v>24.602499999999999</v>
    <v>24.387499999999999</v>
    <v>25.664999999999999</v>
    <v>24.965</v>
    <v>25.9725</v>
    <v>27.927499999999998</v>
    <v>28.204999999999998</v>
    <v>29.585000000000001</v>
    <v>29.395</v>
    <v>30.03</v>
    <v>32.6</v>
    <v>32.072499999999998</v>
    <v>30.234999999999999</v>
    <v>30.58</v>
    <v>32</v>
    <v>28.557500000000001</v>
    <v>29.864999999999998</v>
    <v>30.93</v>
    <v>32.75</v>
    <v>32.092500000000001</v>
    <v>33.39</v>
    <v>35.36</v>
    <v>35.032499999999999</v>
    <v>36.522500000000001</v>
    <v>37.627499999999998</v>
    <v>36.637500000000003</v>
    <v>38.767499999999998</v>
    <v>39.51</v>
    <v>39.047499999999999</v>
    <v>39.604999999999997</v>
    <v>38.037500000000001</v>
    <v>40.832500000000003</v>
    <v>40.977499999999999</v>
    <v>41.452500000000001</v>
    <v>41.7575</v>
    <v>41.884999999999998</v>
    <v>42.524999999999999</v>
    <v>41.9</v>
    <v>43.125</v>
    <v>45.427500000000002</v>
    <v>43.454999999999998</v>
    <v>44.744999999999997</v>
    <v>46.93</v>
    <v>48.33</v>
    <v>48.61</v>
    <v>49.552500000000002</v>
    <v>51.215000000000003</v>
    <v>51.792499999999997</v>
    <v>54.77</v>
    <v>58.247500000000002</v>
    <v>59.585000000000001</v>
    <v>58.454999999999998</v>
    <v>60.54</v>
    <v>67.05</v>
    <v>63.19</v>
    <v>60.155000000000001</v>
    <v>57.78</v>
    <v>63.89</v>
    <v>60.042499999999997</v>
    <v>70.174999999999997</v>
    <v>69.792500000000004</v>
    <v>69.39</v>
    <v>73.209999999999994</v>
    <v>73.59</v>
    <v>77.150000000000006</v>
    <v>80.87</v>
    <v>73.48</v>
    <v>75.61</v>
    <v>77.510000000000005</v>
    <v>73.22</v>
    <v>73.28</v>
    <v>77.900000000000006</v>
    <v>83.99</v>
    <v>78.52</v>
    <v>85.33</v>
    <v>86.78</v>
    <v>93.36</v>
    <v>78.12</v>
    <v>78.27</v>
    <v>84.71</v>
    <v>71.02</v>
    <v>75.69</v>
    <v>77.459999999999994</v>
    <v>84.49</v>
    <v>85.06</v>
    <v>78.41</v>
    <v>77.5</v>
    <v>84.7</v>
    <v>83.6</v>
  </a>
  <a r="1" c="96">
    <v>0.48010000000000003</v>
    <v>0.55149999999999999</v>
    <v>0.52310000000000001</v>
    <v>0.55489999999999995</v>
    <v>0.55330000000000001</v>
    <v>0.50280000000000002</v>
    <v>0.49880000000000002</v>
    <v>0.56200000000000006</v>
    <v>0.61629999999999996</v>
    <v>0.70930000000000004</v>
    <v>0.79300000000000004</v>
    <v>0.82399999999999995</v>
    <v>0.73229999999999995</v>
    <v>0.78400000000000003</v>
    <v>0.89080000000000004</v>
    <v>0.88829999999999998</v>
    <v>1.1679999999999999</v>
    <v>1.1752</v>
    <v>1.4275</v>
    <v>1.5335000000000001</v>
    <v>1.7130000000000001</v>
    <v>1.7789999999999999</v>
    <v>2.3050000000000002</v>
    <v>2.6684999999999999</v>
    <v>2.7294999999999998</v>
    <v>2.5369999999999999</v>
    <v>2.7233000000000001</v>
    <v>2.6074999999999999</v>
    <v>3.6088</v>
    <v>3.6139999999999999</v>
    <v>4.0628000000000002</v>
    <v>4.2359999999999998</v>
    <v>4.4692999999999996</v>
    <v>5.1703000000000001</v>
    <v>5.0178000000000003</v>
    <v>4.8375000000000004</v>
    <v>6.1449999999999996</v>
    <v>6.05</v>
    <v>5.7897999999999996</v>
    <v>5.6224999999999996</v>
    <v>6.3048000000000002</v>
    <v>5.9225000000000003</v>
    <v>6.1215000000000002</v>
    <v>7.0170000000000003</v>
    <v>7.0255000000000001</v>
    <v>5.2708000000000004</v>
    <v>4.0857999999999999</v>
    <v>3.3374999999999999</v>
    <v>3.5937999999999999</v>
    <v>3.8565</v>
    <v>4.4889999999999999</v>
    <v>4.5250000000000004</v>
    <v>3.3864999999999998</v>
    <v>4.1056999999999997</v>
    <v>4.218</v>
    <v>4.1878000000000002</v>
    <v>4.3517999999999999</v>
    <v>5.0255000000000001</v>
    <v>5.4184999999999999</v>
    <v>5.8825000000000003</v>
    <v>5.9108000000000001</v>
    <v>6.7518000000000002</v>
    <v>6.59</v>
    <v>7.3070000000000004</v>
    <v>8.8755000000000006</v>
    <v>9.4977999999999998</v>
    <v>10.614800000000001</v>
    <v>13.374499999999999</v>
    <v>13.5305</v>
    <v>12.534000000000001</v>
    <v>13.4015</v>
    <v>13.055</v>
    <v>12.989800000000001</v>
    <v>13.714499999999999</v>
    <v>13.3483</v>
    <v>15.009499999999999</v>
    <v>16.244499999999999</v>
    <v>20.002500000000001</v>
    <v>19.498999999999999</v>
    <v>22.385000000000002</v>
    <v>20.716000000000001</v>
    <v>25.567</v>
    <v>32.676000000000002</v>
    <v>29.411000000000001</v>
    <v>24.486000000000001</v>
    <v>24.385000000000002</v>
    <v>27.286000000000001</v>
    <v>18.547000000000001</v>
    <v>18.672000000000001</v>
    <v>15.159000000000001</v>
    <v>18.163</v>
    <v>15.093999999999999</v>
    <v>12.138999999999999</v>
    <v>13.497</v>
    <v>16.922999999999998</v>
    <v>14.614000000000001</v>
  </a>
  <a r="1" c="96">
    <v>101.1</v>
    <v>108.4</v>
    <v>105.6</v>
    <v>107.63</v>
    <v>110.05</v>
    <v>107.07</v>
    <v>111.95</v>
    <v>104.31</v>
    <v>101.76</v>
    <v>113.33</v>
    <v>114.02</v>
    <v>111.86</v>
    <v>104.13</v>
    <v>102.5</v>
    <v>109.2</v>
    <v>105.72</v>
    <v>110.34</v>
    <v>107.54</v>
    <v>115.23</v>
    <v>116.44</v>
    <v>118.72</v>
    <v>116.99</v>
    <v>117.5</v>
    <v>118.48</v>
    <v>124.57</v>
    <v>130.02000000000001</v>
    <v>132.38</v>
    <v>135.99</v>
    <v>141.29</v>
    <v>137.63999999999999</v>
    <v>143.22999999999999</v>
    <v>146.19999999999999</v>
    <v>145.44999999999999</v>
    <v>152.15</v>
    <v>155.15</v>
    <v>155.76</v>
    <v>169.4</v>
    <v>167.21</v>
    <v>160.13</v>
    <v>160.94</v>
    <v>170.07</v>
    <v>171.65</v>
    <v>176.45</v>
    <v>186.65</v>
    <v>185.79</v>
    <v>169.82</v>
    <v>169.37</v>
    <v>154.26</v>
    <v>168.16</v>
    <v>173.19</v>
    <v>179.66</v>
    <v>189.54</v>
    <v>173.95</v>
    <v>186.74</v>
    <v>191.1</v>
    <v>187.47</v>
    <v>188.81</v>
    <v>197.08</v>
    <v>205.1</v>
    <v>212.61</v>
    <v>219.07</v>
    <v>205.8</v>
    <v>190.4</v>
    <v>218.91</v>
    <v>233.36</v>
    <v>247.6</v>
    <v>265.79000000000002</v>
    <v>294.88</v>
    <v>277.83999999999997</v>
    <v>269.38</v>
    <v>299.62</v>
    <v>313.74</v>
    <v>314.56</v>
    <v>314.14</v>
    <v>319.13</v>
    <v>337.99</v>
    <v>333.93</v>
    <v>354.43</v>
    <v>364.57</v>
    <v>379.95</v>
    <v>357.96</v>
    <v>386.11</v>
    <v>393.82</v>
    <v>397.85</v>
    <v>363.05</v>
    <v>346.8</v>
    <v>362.54</v>
    <v>313.25</v>
    <v>308.27999999999997</v>
    <v>280.27999999999997</v>
    <v>315.45999999999998</v>
    <v>299.27</v>
    <v>267.26</v>
    <v>277.95</v>
    <v>293.36</v>
    <v>266.27999999999997</v>
  </a>
  <a r="1" c="96">
    <v>106.25</v>
    <v>113.63</v>
    <v>118.29</v>
    <v>111.4</v>
    <v>120.21</v>
    <v>122</v>
    <v>121.4</v>
    <v>115.7</v>
    <v>116.01</v>
    <v>117.78</v>
    <v>112.71</v>
    <v>117.64</v>
    <v>115.16</v>
    <v>119.1</v>
    <v>128.9</v>
    <v>131.68</v>
    <v>133.66999999999999</v>
    <v>141.19999999999999</v>
    <v>143.19999999999999</v>
    <v>136.05000000000001</v>
    <v>140</v>
    <v>141.33000000000001</v>
    <v>158.32</v>
    <v>160.04</v>
    <v>162.1</v>
    <v>165.38</v>
    <v>164.01</v>
    <v>174.88</v>
    <v>175.18</v>
    <v>185.42</v>
    <v>191.81</v>
    <v>198.9</v>
    <v>195.85</v>
    <v>210.22</v>
    <v>228.17</v>
    <v>220.46</v>
    <v>236.78</v>
    <v>226.16</v>
    <v>214</v>
    <v>236.4</v>
    <v>241.51</v>
    <v>245.34</v>
    <v>253.22</v>
    <v>268.45999999999998</v>
    <v>266.04000000000002</v>
    <v>261.35000000000002</v>
    <v>281.36</v>
    <v>249.12</v>
    <v>270.2</v>
    <v>242.22</v>
    <v>247.26</v>
    <v>233.07</v>
    <v>241.8</v>
    <v>244.01</v>
    <v>249.01</v>
    <v>234</v>
    <v>217.32</v>
    <v>252.7</v>
    <v>279.87</v>
    <v>293.98</v>
    <v>272.45</v>
    <v>254.96</v>
    <v>249.38</v>
    <v>292.47000000000003</v>
    <v>304.85000000000002</v>
    <v>294.95</v>
    <v>302.77999999999997</v>
    <v>312.55</v>
    <v>311.77</v>
    <v>305.14</v>
    <v>336.34</v>
    <v>350.68</v>
    <v>333.58</v>
    <v>332.22</v>
    <v>372.07</v>
    <v>398.8</v>
    <v>411.92</v>
    <v>400.44</v>
    <v>412.22</v>
    <v>416.27</v>
    <v>390.74</v>
    <v>460.47</v>
    <v>444.22</v>
    <v>502.14</v>
    <v>472.57</v>
    <v>475.87</v>
    <v>509.97</v>
    <v>508.55</v>
    <v>496.78</v>
    <v>513.63</v>
    <v>542.34</v>
    <v>519.33000000000004</v>
    <v>505.04</v>
    <v>555.15</v>
    <v>547.76</v>
    <v>530.17999999999995</v>
  </a>
  <a r="1" c="1510">
    <v>111.236</v>
    <v>111.5424</v>
    <v>111.79130000000001</v>
    <v>113.486</v>
    <v>112.54770000000001</v>
    <v>112.8349</v>
    <v>112.9881</v>
    <v>112.62430000000001</v>
    <v>113.04559999999999</v>
    <v>112.2413</v>
    <v>113.036</v>
    <v>112.89239999999999</v>
    <v>112.8062</v>
    <v>112.41370000000001</v>
    <v>112.94029999999999</v>
    <v>112.86369999999999</v>
    <v>112.9498</v>
    <v>113.3807</v>
    <v>114.04130000000001</v>
    <v>113.28489999999999</v>
    <v>112.9786</v>
    <v>112.96899999999999</v>
    <v>114.11790000000001</v>
    <v>114.2615</v>
    <v>114.6254</v>
    <v>114.6349</v>
    <v>115.5254</v>
    <v>116.6647</v>
    <v>118.35939999999999</v>
    <v>118.35939999999999</v>
    <v>118.9913</v>
    <v>118.8764</v>
    <v>119.2594</v>
    <v>119.40300000000001</v>
    <v>119.71899999999999</v>
    <v>119.50830000000001</v>
    <v>119.7094</v>
    <v>119.5754</v>
    <v>119.202</v>
    <v>121.8349</v>
    <v>120.9541</v>
    <v>120.83920000000001</v>
    <v>120.71469999999999</v>
    <v>120.8871</v>
    <v>121.203</v>
    <v>120.82</v>
    <v>121.6339</v>
    <v>121.33710000000001</v>
    <v>120.3605</v>
    <v>121.5668</v>
    <v>120.9828</v>
    <v>121.7488</v>
    <v>121.1168</v>
    <v>120.3126</v>
    <v>120.15940000000001</v>
    <v>120.1786</v>
    <v>119.4605</v>
    <v>119.202</v>
    <v>119.94880000000001</v>
    <v>119.9679</v>
    <v>120.0732</v>
    <v>119.5562</v>
    <v>119.03919999999999</v>
    <v>118.8956</v>
    <v>118.3115</v>
    <v>118.5605</v>
    <v>118.9817</v>
    <v>119.16370000000001</v>
    <v>119.2403</v>
    <v>117.90940000000001</v>
    <v>117.2871</v>
    <v>118.17749999999999</v>
    <v>117.8424</v>
    <v>117.51690000000001</v>
    <v>118.503</v>
    <v>121.6722</v>
    <v>124.2668</v>
    <v>123.79770000000001</v>
    <v>124.5637</v>
    <v>124.35299999999999</v>
    <v>125.5594</v>
    <v>125.3296</v>
    <v>125.6073</v>
    <v>125.4924</v>
    <v>125.6168</v>
    <v>125.81789999999999</v>
    <v>125.5498</v>
    <v>126.2966</v>
    <v>126.1339</v>
    <v>126.2871</v>
    <v>125.89449999999999</v>
    <v>126.36360000000001</v>
    <v>126.39239999999999</v>
    <v>124.4105</v>
    <v>124.87</v>
    <v>125.8083</v>
    <v>126.2296</v>
    <v>126.2392</v>
    <v>126.5168</v>
    <v>128.0583</v>
    <v>127.5796</v>
    <v>127.2732</v>
    <v>127.33069999999999</v>
    <v>127.7711</v>
    <v>128.32640000000001</v>
    <v>127.8094</v>
    <v>127.0913</v>
    <v>127.0722</v>
    <v>127.8668</v>
    <v>128.0966</v>
    <v>127.58920000000001</v>
    <v>128.6711</v>
    <v>128.5275</v>
    <v>128.74770000000001</v>
    <v>128.90090000000001</v>
    <v>130.05940000000001</v>
    <v>129.16900000000001</v>
    <v>128.53710000000001</v>
    <v>128.3647</v>
    <v>128.28809999999999</v>
    <v>128.54660000000001</v>
    <v>127.2732</v>
    <v>128.26900000000001</v>
    <v>126.6892</v>
    <v>127.61790000000001</v>
    <v>128.02000000000001</v>
    <v>128.1062</v>
    <v>127.69450000000001</v>
    <v>128.4126</v>
    <v>128.95830000000001</v>
    <v>128.50829999999999</v>
    <v>129.03489999999999</v>
    <v>129.5711</v>
    <v>130.0498</v>
    <v>129.50409999999999</v>
    <v>129.43700000000001</v>
    <v>130.3562</v>
    <v>129.2073</v>
    <v>130.54769999999999</v>
    <v>131.84979999999999</v>
    <v>131.40940000000001</v>
    <v>132.5966</v>
    <v>131.15090000000001</v>
    <v>130.96899999999999</v>
    <v>130.32749999999999</v>
    <v>131.17959999999999</v>
    <v>132.8168</v>
    <v>133.62110000000001</v>
    <v>134.08070000000001</v>
    <v>133.04660000000001</v>
    <v>132.76900000000001</v>
    <v>133.0849</v>
    <v>131.3998</v>
    <v>130.7775</v>
    <v>132.386</v>
    <v>131.57220000000001</v>
    <v>132.20410000000001</v>
    <v>130.06899999999999</v>
    <v>129.2073</v>
    <v>129.80090000000001</v>
    <v>131.07429999999999</v>
    <v>130.60509999999999</v>
    <v>130.7296</v>
    <v>130.99770000000001</v>
    <v>131.04560000000001</v>
    <v>131.7732</v>
    <v>132.16579999999999</v>
    <v>132.386</v>
    <v>131.7732</v>
    <v>130.70089999999999</v>
    <v>130.73920000000001</v>
    <v>131.2466</v>
    <v>131.7158</v>
    <v>133.0849</v>
    <v>132.77850000000001</v>
    <v>132.0317</v>
    <v>131.37110000000001</v>
    <v>133.03700000000001</v>
    <v>131.8115</v>
    <v>131.88810000000001</v>
    <v>132.78809999999999</v>
    <v>134.86580000000001</v>
    <v>135.71789999999999</v>
    <v>134.81790000000001</v>
    <v>134.27209999999999</v>
    <v>133.63069999999999</v>
    <v>134.5977</v>
    <v>135.70830000000001</v>
    <v>136.58920000000001</v>
    <v>136.59870000000001</v>
    <v>136.4838</v>
    <v>136.98169999999999</v>
    <v>137.50829999999999</v>
    <v>137.48920000000001</v>
    <v>137.2115</v>
    <v>136.64660000000001</v>
    <v>137.0966</v>
    <v>137.26900000000001</v>
    <v>137.6328</v>
    <v>137.32640000000001</v>
    <v>137.33600000000001</v>
    <v>137.50829999999999</v>
    <v>139.16470000000001</v>
    <v>139.71039999999999</v>
    <v>139.90190000000001</v>
    <v>139.7775</v>
    <v>139.63380000000001</v>
    <v>139.9785</v>
    <v>138.48490000000001</v>
    <v>138.02529999999999</v>
    <v>138.76259999999999</v>
    <v>139.22210000000001</v>
    <v>138.80090000000001</v>
    <v>139.4041</v>
    <v>140.7158</v>
    <v>140.6104</v>
    <v>139.2509</v>
    <v>139.54769999999999</v>
    <v>140.47640000000001</v>
    <v>141.05090000000001</v>
    <v>140.1413</v>
    <v>140.62960000000001</v>
    <v>140.25620000000001</v>
    <v>141.64449999999999</v>
    <v>142.99449999999999</v>
    <v>142.6498</v>
    <v>143.29130000000001</v>
    <v>144.02850000000001</v>
    <v>146.2594</v>
    <v>146.71889999999999</v>
    <v>149.32320000000001</v>
    <v>147.8296</v>
    <v>147.22640000000001</v>
    <v>146.54660000000001</v>
    <v>146.48920000000001</v>
    <v>146.75720000000001</v>
    <v>147.12110000000001</v>
    <v>146.6902</v>
    <v>147.1977</v>
    <v>149.16999999999999</v>
    <v>146.70939999999999</v>
    <v>147.68600000000001</v>
    <v>148.01150000000001</v>
    <v>147.55189999999999</v>
    <v>148.1455</v>
    <v>147.17850000000001</v>
    <v>146.95830000000001</v>
    <v>147.21680000000001</v>
    <v>147.39869999999999</v>
    <v>147.5711</v>
    <v>146.8338</v>
    <v>147.16890000000001</v>
    <v>145.953</v>
    <v>147.92529999999999</v>
    <v>148.95939999999999</v>
    <v>148.1551</v>
    <v>149.37110000000001</v>
    <v>150.4051</v>
    <v>151.19980000000001</v>
    <v>152.30080000000001</v>
    <v>151.1711</v>
    <v>151.66890000000001</v>
    <v>151.06569999999999</v>
    <v>151.93700000000001</v>
    <v>151.79339999999999</v>
    <v>152.7987</v>
    <v>153.16249999999999</v>
    <v>154.953</v>
    <v>157.96889999999999</v>
    <v>154.59870000000001</v>
    <v>152.20509999999999</v>
    <v>152.87530000000001</v>
    <v>152.8562</v>
    <v>149.9838</v>
    <v>143.77959999999999</v>
    <v>144.9572</v>
    <v>144.75620000000001</v>
    <v>139.80619999999999</v>
    <v>141.6062</v>
    <v>143.10939999999999</v>
    <v>142.1806</v>
    <v>143.98060000000001</v>
    <v>146.8913</v>
    <v>147.4753</v>
    <v>147.77209999999999</v>
    <v>147.49449999999999</v>
    <v>146.786</v>
    <v>148.5189</v>
    <v>149.84020000000001</v>
    <v>147.37</v>
    <v>144.67959999999999</v>
    <v>140.94550000000001</v>
    <v>141.83600000000001</v>
    <v>142.1902</v>
    <v>142.9753</v>
    <v>144.0094</v>
    <v>144.7945</v>
    <v>147.64769999999999</v>
    <v>145.75190000000001</v>
    <v>145.053</v>
    <v>144.0189</v>
    <v>144.6413</v>
    <v>145.3211</v>
    <v>143.8083</v>
    <v>144.07640000000001</v>
    <v>144.91890000000001</v>
    <v>140.62960000000001</v>
    <v>137.18279999999999</v>
    <v>140.68700000000001</v>
    <v>138.1977</v>
    <v>137.1636</v>
    <v>138.3604</v>
    <v>136.369</v>
    <v>138.12110000000001</v>
    <v>138.6764</v>
    <v>140.16999999999999</v>
    <v>136.66579999999999</v>
    <v>136.75190000000001</v>
    <v>139.43279999999999</v>
    <v>138.14019999999999</v>
    <v>140.23699999999999</v>
    <v>139.90190000000001</v>
    <v>140.5051</v>
    <v>142.37209999999999</v>
    <v>143.0136</v>
    <v>141.82640000000001</v>
    <v>144.1626</v>
    <v>142.2955</v>
    <v>140.95509999999999</v>
    <v>140.80189999999999</v>
    <v>140.553</v>
    <v>140.67750000000001</v>
    <v>138.5232</v>
    <v>138.3604</v>
    <v>136.8955</v>
    <v>137.2594</v>
    <v>137.76679999999999</v>
    <v>138.02529999999999</v>
    <v>138.0924</v>
    <v>139.49019999999999</v>
    <v>141.0317</v>
    <v>141.08920000000001</v>
    <v>141.0317</v>
    <v>141.0796</v>
    <v>141.27109999999999</v>
    <v>140.85939999999999</v>
    <v>142.0275</v>
    <v>144.08600000000001</v>
    <v>144.44980000000001</v>
    <v>144.88059999999999</v>
    <v>144.65090000000001</v>
    <v>144.24870000000001</v>
    <v>141.89340000000001</v>
    <v>144.03809999999999</v>
    <v>141.61580000000001</v>
    <v>143.703</v>
    <v>143.7509</v>
    <v>143.4923</v>
    <v>144.57429999999999</v>
    <v>145.61789999999999</v>
    <v>145.39769999999999</v>
    <v>145.40719999999999</v>
    <v>145.78059999999999</v>
    <v>145.3689</v>
    <v>144.76580000000001</v>
    <v>143.83699999999999</v>
    <v>143.56890000000001</v>
    <v>141.01259999999999</v>
    <v>140.30410000000001</v>
    <v>137.8434</v>
    <v>137.87209999999999</v>
    <v>137.91040000000001</v>
    <v>137.8817</v>
    <v>137.0487</v>
    <v>137.03919999999999</v>
    <v>137.91999999999999</v>
    <v>138.64769999999999</v>
    <v>138.77209999999999</v>
    <v>138.75299999999999</v>
    <v>139.5189</v>
    <v>141.14660000000001</v>
    <v>141.74019999999999</v>
    <v>138.37</v>
    <v>141.5966</v>
    <v>141.22319999999999</v>
    <v>140.16999999999999</v>
    <v>142.1711</v>
    <v>142.803</v>
    <v>141.26150000000001</v>
    <v>146.61359999999999</v>
    <v>147.15940000000001</v>
    <v>148.55719999999999</v>
    <v>151.2955</v>
    <v>152.34870000000001</v>
    <v>152.55940000000001</v>
    <v>150.2423</v>
    <v>152.8562</v>
    <v>150.21360000000001</v>
    <v>149.26570000000001</v>
    <v>148.44229999999999</v>
    <v>148.37530000000001</v>
    <v>149.7062</v>
    <v>148.59549999999999</v>
    <v>147.4083</v>
    <v>146.5753</v>
    <v>145.86680000000001</v>
    <v>147.5711</v>
    <v>146.66149999999999</v>
    <v>147.54230000000001</v>
    <v>148.5668</v>
    <v>148.85400000000001</v>
    <v>150.2998</v>
    <v>149.48599999999999</v>
    <v>151.1902</v>
    <v>150.80719999999999</v>
    <v>152.56890000000001</v>
    <v>153.28700000000001</v>
    <v>153.4785</v>
    <v>152.66470000000001</v>
    <v>152.29130000000001</v>
    <v>152.8466</v>
    <v>154.9051</v>
    <v>157.03059999999999</v>
    <v>155.8817</v>
    <v>156.4179</v>
    <v>156.12110000000001</v>
    <v>156.91569999999999</v>
    <v>158.6583</v>
    <v>158.0838</v>
    <v>158.69659999999999</v>
    <v>159.07</v>
    <v>158.74449999999999</v>
    <v>159.453</v>
    <v>160.21889999999999</v>
    <v>158.41890000000001</v>
    <v>158.5147</v>
    <v>158.7062</v>
    <v>158.32320000000001</v>
    <v>159.31890000000001</v>
    <v>161.1489</v>
    <v>160.75190000000001</v>
    <v>160.12260000000001</v>
    <v>159.47389999999999</v>
    <v>158.85419999999999</v>
    <v>159.6191</v>
    <v>155.8237</v>
    <v>151.64109999999999</v>
    <v>148.7364</v>
    <v>151.23439999999999</v>
    <v>151.2441</v>
    <v>154.48759999999999</v>
    <v>153.0256</v>
    <v>150.25649999999999</v>
    <v>148.59119999999999</v>
    <v>147.7585</v>
    <v>145.8124</v>
    <v>140.71960000000001</v>
    <v>142.79159999999999</v>
    <v>141.3974</v>
    <v>141.06</v>
    <v>142.96</v>
    <v>144.82</v>
    <v>144.44999999999999</v>
    <v>145.47999999999999</v>
    <v>147.18</v>
    <v>148.44999999999999</v>
    <v>150.19999999999999</v>
    <v>150.55000000000001</v>
    <v>150.32</v>
    <v>148.13</v>
    <v>147.68</v>
    <v>147.53</v>
    <v>147.77000000000001</v>
    <v>148.55000000000001</v>
    <v>147.47</v>
    <v>144.05000000000001</v>
    <v>144.1</v>
    <v>143.26</v>
    <v>143.22</v>
    <v>142.88999999999999</v>
    <v>144.30000000000001</v>
    <v>145.74</v>
    <v>146.75</v>
    <v>148.97999999999999</v>
    <v>142.68</v>
    <v>141.56</v>
    <v>138.71</v>
    <v>137.94999999999999</v>
    <v>136.81</v>
    <v>138.29</v>
    <v>138.82</v>
    <v>136.44</v>
    <v>134.38</v>
    <v>135.18</v>
    <v>133.26</v>
    <v>130.66999999999999</v>
    <v>129.44</v>
    <v>124.83</v>
    <v>129.57</v>
    <v>131.57</v>
    <v>130.76</v>
    <v>132.12</v>
    <v>131.83000000000001</v>
    <v>130.07</v>
    <v>134.62</v>
    <v>135.37</v>
    <v>135.09</v>
    <v>135.72</v>
    <v>137.75</v>
    <v>137.36000000000001</v>
    <v>137.61000000000001</v>
    <v>137.77000000000001</v>
    <v>138.02000000000001</v>
    <v>139.88</v>
    <v>141.85</v>
    <v>139.82</v>
    <v>140.74</v>
    <v>141.18</v>
    <v>141.71</v>
    <v>140.47999999999999</v>
    <v>141.74</v>
    <v>143.28</v>
    <v>143.63</v>
    <v>144.71</v>
    <v>147.93</v>
    <v>148.69</v>
    <v>148.9</v>
    <v>148.15</v>
    <v>148.61000000000001</v>
    <v>148.47999999999999</v>
    <v>150.36000000000001</v>
    <v>151.47999999999999</v>
    <v>150.52000000000001</v>
    <v>153.32</v>
    <v>153.28</v>
    <v>154.58000000000001</v>
    <v>152.61000000000001</v>
    <v>153.19999999999999</v>
    <v>154.06</v>
    <v>153.91999999999999</v>
    <v>154.6</v>
    <v>154.07</v>
    <v>155.72</v>
    <v>154.5</v>
    <v>154.15</v>
    <v>153.74</v>
    <v>152.47999999999999</v>
    <v>151.59</v>
    <v>153.19</v>
    <v>153.5</v>
    <v>155.04</v>
    <v>155.25</v>
    <v>155.35</v>
    <v>156.93</v>
    <v>157.24</v>
    <v>156.29</v>
    <v>158.44999999999999</v>
    <v>155.83000000000001</v>
    <v>155.93</v>
    <v>157.47999999999999</v>
    <v>157.11000000000001</v>
    <v>158.54</v>
    <v>158.91999999999999</v>
    <v>161.47</v>
    <v>161.04</v>
    <v>160.29</v>
    <v>161.07</v>
    <v>161.69999999999999</v>
    <v>162.06</v>
    <v>160.85</v>
    <v>159.97</v>
    <v>160.9</v>
    <v>162.47</v>
    <v>162</v>
    <v>162.86000000000001</v>
    <v>162.88999999999999</v>
    <v>169.06</v>
    <v>168.24</v>
    <v>171.81</v>
    <v>171.29</v>
    <v>170.42</v>
    <v>172.25</v>
    <v>172.55</v>
    <v>173.63</v>
    <v>170.94</v>
    <v>171.38</v>
    <v>173.54</v>
    <v>172.61</v>
    <v>169.85</v>
    <v>170.36</v>
    <v>170.39</v>
    <v>171.63</v>
    <v>166.82</v>
    <v>168.16</v>
    <v>169.38</v>
    <v>170.79</v>
    <v>169.95</v>
    <v>168.62</v>
    <v>169.6</v>
    <v>169.31</v>
    <v>166.44</v>
    <v>166.68</v>
    <v>165.26</v>
    <v>164.37</v>
    <v>165.45</v>
    <v>164.31</v>
    <v>166.47</v>
    <v>168.15</v>
    <v>169.41</v>
    <v>170.26</v>
    <v>172.26</v>
    <v>171.28</v>
    <v>171.65</v>
    <v>172.9</v>
    <v>173.19</v>
    <v>172.81</v>
    <v>172.36</v>
    <v>175.75</v>
    <v>175.41</v>
    <v>176.29</v>
    <v>174.31</v>
    <v>174.61</v>
    <v>173.94</v>
    <v>173.59</v>
    <v>173.84</v>
    <v>174.59</v>
    <v>176.81</v>
    <v>176.62</v>
    <v>178.4</v>
    <v>176.59</v>
    <v>175.67</v>
    <v>175.52</v>
    <v>174.46</v>
    <v>174.54</v>
    <v>177.14</v>
    <v>175.01</v>
    <v>174.78</v>
    <v>168.62</v>
    <v>173.88</v>
    <v>172.99</v>
    <v>173.58</v>
    <v>174.86</v>
    <v>173.96</v>
    <v>173.77</v>
    <v>173.61</v>
    <v>174.53</v>
    <v>173.91</v>
    <v>172.46</v>
    <v>169.55</v>
    <v>168.01</v>
    <v>162.01</v>
    <v>164.52</v>
    <v>163.38999999999999</v>
    <v>167.01</v>
    <v>166.67</v>
    <v>164.69</v>
    <v>167.98</v>
    <v>164.04</v>
    <v>162.27000000000001</v>
    <v>165.03</v>
    <v>165.86</v>
    <v>163.47</v>
    <v>163.79</v>
    <v>162.9</v>
    <v>156.49</v>
    <v>156.91</v>
    <v>157.47999999999999</v>
    <v>159.55000000000001</v>
    <v>163.6</v>
    <v>164.62</v>
    <v>163.53</v>
    <v>167.14</v>
    <v>170.37</v>
    <v>171.16</v>
    <v>169.66</v>
    <v>169.61</v>
    <v>171.28</v>
    <v>168.63</v>
    <v>167.71</v>
    <v>166.21</v>
    <v>166.46</v>
    <v>167.97</v>
    <v>166.77</v>
    <v>168.31</v>
    <v>167.14</v>
    <v>165.76</v>
    <v>166.93</v>
    <v>167.03</v>
    <v>168.04</v>
    <v>169.2</v>
    <v>164.19</v>
    <v>161.08000000000001</v>
    <v>161.52000000000001</v>
    <v>163.63</v>
    <v>163.18</v>
    <v>158.62</v>
    <v>159.84</v>
    <v>160.97</v>
    <v>163.53</v>
    <v>162.97999999999999</v>
    <v>163.63999999999999</v>
    <v>163.63</v>
    <v>167.52</v>
    <v>165.57</v>
    <v>168.94</v>
    <v>168.94</v>
    <v>169.85</v>
    <v>171.46</v>
    <v>171.63</v>
    <v>172.68</v>
    <v>173.16</v>
    <v>174.6</v>
    <v>172.73</v>
    <v>176.12</v>
    <v>180</v>
    <v>180.68</v>
    <v>180.81</v>
    <v>179.66</v>
    <v>181.21</v>
    <v>180.83</v>
    <v>182.01</v>
    <v>181.95</v>
    <v>179.65</v>
    <v>181.75</v>
    <v>179.8</v>
    <v>180.12</v>
    <v>177.22</v>
    <v>176.53</v>
    <v>176.79</v>
    <v>176.51</v>
    <v>178.52</v>
    <v>179.42</v>
    <v>178.55</v>
    <v>174.32</v>
    <v>172.55</v>
    <v>173.21</v>
    <v>174.01</v>
    <v>175.46</v>
    <v>174.49</v>
    <v>174.04</v>
    <v>176.01</v>
    <v>177.39</v>
    <v>176.98</v>
    <v>176.4</v>
    <v>176.7</v>
    <v>174.64</v>
    <v>176.5</v>
    <v>176.41</v>
    <v>176.43</v>
    <v>176.31</v>
    <v>176.88</v>
    <v>176.48</v>
    <v>176.42</v>
    <v>177</v>
    <v>180.79</v>
    <v>178.86</v>
    <v>177.51</v>
    <v>177.61</v>
    <v>177.76</v>
    <v>179.07</v>
    <v>178.68</v>
    <v>181.27</v>
    <v>180.45</v>
    <v>180.73</v>
    <v>182.26</v>
    <v>183.23</v>
    <v>180.93</v>
    <v>180.05</v>
    <v>179.58</v>
    <v>177.13</v>
    <v>173.54</v>
    <v>175.46</v>
    <v>175.67</v>
    <v>178.34</v>
    <v>173.22</v>
    <v>171.32</v>
    <v>175.21</v>
    <v>176.9</v>
    <v>176.35</v>
    <v>175.28</v>
    <v>176.95</v>
    <v>179.15</v>
    <v>181.18</v>
    <v>180.12</v>
    <v>180.81</v>
    <v>179.42</v>
    <v>180.86</v>
    <v>180.7</v>
    <v>179.88</v>
    <v>175.27</v>
    <v>167.8</v>
    <v>167.18</v>
    <v>159.55000000000001</v>
    <v>162.16999999999999</v>
    <v>164.24</v>
    <v>161.88999999999999</v>
    <v>171.19</v>
    <v>164.92</v>
    <v>164.03</v>
    <v>152.86000000000001</v>
    <v>161.69</v>
    <v>153.38999999999999</v>
    <v>134.85</v>
    <v>149.41</v>
    <v>135.27000000000001</v>
    <v>131.80000000000001</v>
    <v>119.61</v>
    <v>118.96</v>
    <v>112.5</v>
    <v>103.86</v>
    <v>119.51</v>
    <v>129.65</v>
    <v>137.4</v>
    <v>131.27000000000001</v>
    <v>131.75</v>
    <v>133.79</v>
    <v>129.71</v>
    <v>132.81</v>
    <v>127.45</v>
    <v>134</v>
    <v>135.24</v>
    <v>139.25</v>
    <v>143.43</v>
    <v>137.94</v>
    <v>140.59</v>
    <v>134.84</v>
    <v>132.33000000000001</v>
    <v>138.32</v>
    <v>135.69999999999999</v>
    <v>132</v>
    <v>133.03</v>
    <v>134.68</v>
    <v>135.52000000000001</v>
    <v>139.88</v>
    <v>142.76</v>
    <v>146.16</v>
    <v>141.9</v>
    <v>137.25</v>
    <v>135.19999999999999</v>
    <v>134.87</v>
    <v>133.04</v>
    <v>132.79</v>
    <v>136.91</v>
    <v>134.28</v>
    <v>127.59</v>
    <v>122.97</v>
    <v>127.05</v>
    <v>125.41</v>
    <v>136.04</v>
    <v>131.94999999999999</v>
    <v>136.03</v>
    <v>137.69</v>
    <v>139.18</v>
    <v>144.94</v>
    <v>148.59</v>
    <v>147.56</v>
    <v>145.85</v>
    <v>146.18</v>
    <v>148.35</v>
    <v>153.35</v>
    <v>155.91</v>
    <v>161.37</v>
    <v>162.91999999999999</v>
    <v>158.1</v>
    <v>154.12</v>
    <v>143.44</v>
    <v>144.51</v>
    <v>146.63</v>
    <v>149.11000000000001</v>
    <v>148.34</v>
    <v>148.22999999999999</v>
    <v>145.37</v>
    <v>144.94</v>
    <v>144.86000000000001</v>
    <v>138.35</v>
    <v>142.46</v>
    <v>138.21</v>
    <v>143.24</v>
    <v>144.59</v>
    <v>144.11000000000001</v>
    <v>145.02000000000001</v>
    <v>147.22</v>
    <v>144.97</v>
    <v>145.59</v>
    <v>141.37</v>
    <v>142.44999999999999</v>
    <v>143.49</v>
    <v>148.1</v>
    <v>151.93</v>
    <v>153.08000000000001</v>
    <v>155</v>
    <v>153.38999999999999</v>
    <v>154.76</v>
    <v>154.61000000000001</v>
    <v>153.72999999999999</v>
    <v>149.43</v>
    <v>150.76</v>
    <v>152.01</v>
    <v>154.58000000000001</v>
    <v>149.16</v>
    <v>149.37</v>
    <v>148.53</v>
    <v>147.33000000000001</v>
    <v>150.82</v>
    <v>152.58000000000001</v>
    <v>155.11000000000001</v>
    <v>159.43</v>
    <v>160.28</v>
    <v>160.07</v>
    <v>158.97999999999999</v>
    <v>160.28</v>
    <v>158.76</v>
    <v>157.38</v>
    <v>156.85</v>
    <v>156.16999999999999</v>
    <v>157.5</v>
    <v>159.37</v>
    <v>164.53</v>
    <v>165.31</v>
    <v>165.99</v>
    <v>168.38</v>
    <v>165.55</v>
    <v>167.97</v>
    <v>172.47</v>
    <v>166.3</v>
    <v>166.69</v>
    <v>164.27</v>
    <v>165.75</v>
    <v>164.27</v>
    <v>166.45</v>
    <v>168.47</v>
    <v>168.3</v>
    <v>170</v>
    <v>170.34</v>
    <v>168.7</v>
    <v>161.37</v>
    <v>162.68</v>
    <v>158.79</v>
    <v>158.76</v>
    <v>161.49</v>
    <v>164.64</v>
    <v>164.51</v>
    <v>164.61</v>
    <v>163.68</v>
    <v>165.61</v>
    <v>168.72</v>
    <v>166.89</v>
    <v>171.55</v>
    <v>173.78</v>
    <v>174.38</v>
    <v>175.36</v>
    <v>171.55</v>
    <v>173.47</v>
    <v>172.61</v>
    <v>174.86</v>
    <v>171.59</v>
    <v>173.26</v>
    <v>172.87</v>
    <v>176.85</v>
    <v>175.54</v>
    <v>170.17</v>
    <v>166.75</v>
    <v>161.16</v>
    <v>164.6</v>
    <v>164.95</v>
    <v>173.61</v>
    <v>179.21</v>
    <v>178.91</v>
    <v>183.28</v>
    <v>184.27</v>
    <v>196.99</v>
    <v>201.98</v>
    <v>199.29</v>
    <v>197.24</v>
    <v>201.54</v>
    <v>208.59</v>
    <v>205.33</v>
    <v>201.11</v>
    <v>202.72</v>
    <v>202</v>
    <v>204.58</v>
    <v>207.89</v>
    <v>207.68</v>
    <v>209.41</v>
    <v>203.92</v>
    <v>206.2</v>
    <v>208</v>
    <v>208.22</v>
    <v>212.68</v>
    <v>211.1</v>
    <v>212.07</v>
    <v>212.24</v>
    <v>211.97</v>
    <v>214.63</v>
    <v>211.85</v>
    <v>214.17</v>
    <v>210.31</v>
    <v>211.94</v>
    <v>210.04</v>
    <v>210.66</v>
    <v>207.94</v>
    <v>209.99</v>
    <v>209.53</v>
    <v>209.94</v>
    <v>209.13</v>
    <v>210.95</v>
    <v>212.7</v>
    <v>207.95</v>
    <v>208.46</v>
    <v>212.26</v>
    <v>212.61</v>
    <v>210.03</v>
    <v>208.36</v>
    <v>208.88</v>
    <v>207.02</v>
    <v>208.61</v>
    <v>205.97</v>
    <v>206.76</v>
    <v>208.08</v>
    <v>205.23</v>
    <v>202.25</v>
    <v>201.87</v>
    <v>201.06</v>
    <v>199.38</v>
    <v>202.84</v>
    <v>195.37</v>
    <v>195.56</v>
    <v>200.12</v>
    <v>199.14</v>
    <v>200.59</v>
    <v>202.92</v>
    <v>203.86</v>
    <v>202.02</v>
    <v>202.16</v>
    <v>202.18</v>
    <v>203.57</v>
    <v>203.44</v>
    <v>201.9</v>
    <v>203.52</v>
    <v>203.56</v>
    <v>203.62</v>
    <v>205.04</v>
    <v>211.03</v>
    <v>204.79</v>
    <v>202.35</v>
    <v>206.22</v>
    <v>206.58</v>
    <v>207.01</v>
    <v>202.94</v>
    <v>206.58</v>
    <v>207.7</v>
    <v>207.61</v>
    <v>212.91</v>
    <v>212.5</v>
    <v>214.38</v>
    <v>216.2</v>
    <v>211.81</v>
    <v>213.03</v>
    <v>215.02</v>
    <v>212.91</v>
    <v>212.13</v>
    <v>208.59</v>
    <v>212.22</v>
    <v>213.88</v>
    <v>218.53</v>
    <v>218.88</v>
    <v>218.09</v>
    <v>217.07</v>
    <v>216.8</v>
    <v>219.27</v>
    <v>219.19</v>
    <v>218.5</v>
    <v>219.86</v>
    <v>226.98</v>
    <v>228.6</v>
    <v>229</v>
    <v>229.38</v>
    <v>229.84</v>
    <v>232.11</v>
    <v>230.97</v>
    <v>227.33</v>
    <v>230.5</v>
    <v>229.26</v>
    <v>224.5</v>
    <v>221.52</v>
    <v>222.93</v>
    <v>222.87</v>
    <v>223.9</v>
    <v>223.04</v>
    <v>223.2</v>
    <v>225.43</v>
    <v>226.19</v>
    <v>228.66</v>
    <v>228.79</v>
    <v>230.94</v>
    <v>229.16</v>
    <v>220.04</v>
    <v>223.68</v>
    <v>227.36</v>
    <v>226.47</v>
    <v>222.32</v>
    <v>221.32</v>
    <v>222.13</v>
    <v>223.2</v>
    <v>225</v>
    <v>224.04</v>
    <v>224.27</v>
    <v>231.27</v>
    <v>230.91</v>
    <v>232.95</v>
    <v>230.74</v>
    <v>229.2</v>
    <v>230.05</v>
    <v>228.19</v>
    <v>229.81</v>
    <v>227.81</v>
    <v>226.25</v>
    <v>225.18</v>
    <v>223.17</v>
    <v>222.5</v>
    <v>218.99</v>
    <v>216.29</v>
    <v>212.5</v>
    <v>216</v>
    <v>215.49</v>
    <v>214.66</v>
    <v>217.69</v>
    <v>218.74</v>
    <v>216.79</v>
    <v>215.95</v>
    <v>219.35</v>
    <v>220.62</v>
    <v>221.32</v>
    <v>218.56</v>
    <v>220.74</v>
    <v>219.32</v>
    <v>224.34</v>
    <v>225.02</v>
    <v>224.08</v>
    <v>227.77</v>
    <v>232.81</v>
    <v>230.33</v>
    <v>220.66</v>
    <v>229.66</v>
    <v>231.85</v>
    <v>232.74</v>
    <v>229.32</v>
    <v>229.25</v>
    <v>230.36</v>
    <v>230.49</v>
    <v>232.88</v>
    <v>233.79</v>
    <v>232.42</v>
    <v>232.65</v>
    <v>229.59</v>
    <v>229.88</v>
    <v>229.68</v>
    <v>228.23</v>
    <v>231.88</v>
    <v>234.18</v>
    <v>231.94</v>
    <v>231.76</v>
    <v>233.74</v>
    <v>231.45</v>
    <v>228.42</v>
    <v>227.73</v>
    <v>227.7</v>
    <v>229.11</v>
    <v>230.44</v>
    <v>230.66</v>
    <v>230.88</v>
    <v>231.14</v>
    <v>231.87</v>
    <v>231.91</v>
    <v>229.8</v>
    <v>230.97</v>
    <v>228.36</v>
    <v>222.93</v>
    <v>224.4</v>
    <v>222.93</v>
    <v>222.37</v>
    <v>223.6</v>
    <v>220.19</v>
    <v>221.69</v>
    <v>219.65</v>
    <v>218.49</v>
    <v>215.73</v>
    <v>214.9</v>
    <v>217.02</v>
    <v>219.7</v>
    <v>219.19</v>
    <v>217.9</v>
    <v>214.97</v>
    <v>214.92</v>
    <v>212.28</v>
    <v>215.65</v>
    <v>214.21</v>
    <v>215.72</v>
    <v>216.86</v>
    <v>218.37</v>
    <v>217.7</v>
    <v>215.29</v>
    <v>214.33</v>
    <v>215.58</v>
    <v>218.59</v>
    <v>220.72</v>
    <v>220.63</v>
    <v>221.78</v>
    <v>223.64</v>
    <v>224.52</v>
    <v>217.4</v>
    <v>217.54</v>
    <v>218.32</v>
    <v>215.72</v>
    <v>218.48</v>
    <v>218.62</v>
    <v>219.76</v>
    <v>221.19</v>
    <v>222.8</v>
    <v>222.49</v>
    <v>226.06</v>
    <v>225.73</v>
    <v>227.75</v>
    <v>225.41</v>
    <v>221.01</v>
    <v>222.39</v>
    <v>222.47</v>
    <v>221.37</v>
    <v>220.49</v>
    <v>220.7</v>
    <v>218.49</v>
    <v>218.14</v>
    <v>216</v>
    <v>212.21</v>
    <v>208.21</v>
    <v>207.66</v>
    <v>202.24</v>
    <v>199.42</v>
    <v>204</v>
    <v>203.5</v>
    <v>206.25</v>
    <v>207.15</v>
    <v>204.65</v>
    <v>206</v>
    <v>209.81</v>
    <v>209.23</v>
    <v>206.68</v>
    <v>209.76</v>
    <v>209.61</v>
    <v>205.17</v>
    <v>199.85</v>
    <v>201.67</v>
    <v>201.84</v>
    <v>205.22</v>
    <v>206.43</v>
    <v>207.05</v>
    <v>207.53</v>
    <v>207.11</v>
    <v>208.51</v>
    <v>206.8</v>
    <v>209</v>
    <v>211.06</v>
    <v>210.82</v>
    <v>215.75</v>
    <v>213.46</v>
    <v>216.31</v>
    <v>218.25</v>
    <v>219.43</v>
    <v>217.65</v>
    <v>213.59</v>
    <v>210.73</v>
    <v>208.92</v>
    <v>205.1</v>
    <v>204.45</v>
    <v>202.3</v>
    <v>200.65</v>
    <v>200.65</v>
    <v>201.99</v>
    <v>204.48</v>
    <v>205.34</v>
    <v>207.55</v>
    <v>191.74</v>
    <v>191.5</v>
    <v>192.48</v>
    <v>194.56</v>
    <v>196.62</v>
    <v>191.75</v>
    <v>186.99</v>
    <v>186.69</v>
    <v>189.53</v>
    <v>189.06</v>
    <v>184.59</v>
    <v>182.13</v>
    <v>182.56</v>
    <v>178.96</v>
    <v>182.34</v>
    <v>188.56</v>
    <v>189.75</v>
    <v>183.6</v>
    <v>186.44</v>
    <v>187.52</v>
    <v>187.43</v>
    <v>182.16</v>
    <v>183.24</v>
    <v>185.4</v>
    <v>184.36</v>
    <v>182.24</v>
    <v>183.2</v>
    <v>187.79</v>
    <v>191.03</v>
    <v>191.93</v>
    <v>194.72</v>
    <v>193.02</v>
    <v>195.03</v>
    <v>192.34</v>
    <v>194.69</v>
    <v>197.79</v>
    <v>197.11</v>
    <v>197.54</v>
    <v>196.54</v>
    <v>194.58</v>
    <v>196.03</v>
    <v>196.07</v>
    <v>193.63</v>
    <v>193.62</v>
    <v>192.7</v>
    <v>190.16</v>
    <v>189.27</v>
    <v>190.99</v>
    <v>194.85</v>
    <v>195.19</v>
    <v>192.07</v>
    <v>197.2</v>
    <v>196.34</v>
    <v>195.94</v>
    <v>190.63</v>
    <v>191.82</v>
    <v>187.67</v>
    <v>186.35</v>
    <v>189.92</v>
    <v>193.51</v>
    <v>196.87</v>
    <v>197.04</v>
    <v>205.85</v>
    <v>197.87</v>
    <v>195.43</v>
    <v>193.96</v>
    <v>194.77</v>
    <v>192.02</v>
    <v>192.92</v>
    <v>193.53</v>
    <v>193.96</v>
    <v>199.06</v>
    <v>193.87</v>
    <v>192.65</v>
    <v>189.75</v>
    <v>189.58</v>
    <v>189.96</v>
    <v>190.44</v>
    <v>193.1</v>
    <v>196.35</v>
    <v>193.62</v>
    <v>191.91</v>
    <v>197.04</v>
    <v>194.82</v>
    <v>195.19</v>
    <v>197.62</v>
    <v>194.52</v>
    <v>192.01</v>
    <v>186.28</v>
    <v>184.42</v>
    <v>183.28</v>
    <v>184.97</v>
    <v>179.88</v>
    <v>179.7</v>
    <v>180.51</v>
    <v>177.73</v>
    <v>174.57</v>
    <v>180.02</v>
    <v>178.29</v>
    <v>175.95</v>
    <v>173.2</v>
    <v>173.81</v>
    <v>175.11</v>
    <v>172.09</v>
    <v>173.21</v>
    <v>173.79</v>
    <v>173.34</v>
    <v>172.84</v>
    <v>173.61</v>
    <v>170.87</v>
    <v>169.51</v>
    <v>172.8</v>
    <v>170.95</v>
    <v>177.23</v>
    <v>178.26</v>
    <v>180.03</v>
    <v>181.47</v>
    <v>181.26</v>
    <v>181.42</v>
    <v>183.66</v>
    <v>190.44</v>
    <v>192.46</v>
    <v>191.99</v>
    <v>189.12</v>
    <v>191.5</v>
    <v>192.44</v>
    <v>192.27</v>
    <v>193.97</v>
    <v>194.09</v>
    <v>197.23</v>
    <v>198.51</v>
    <v>200.87</v>
    <v>202.25</v>
    <v>203.67</v>
    <v>202.78</v>
    <v>203.72</v>
    <v>201.56</v>
    <v>197.84</v>
    <v>197.55</v>
    <v>197.79</v>
    <v>200.43</v>
    <v>193.06</v>
    <v>192.42</v>
    <v>190.7</v>
    <v>189.35</v>
    <v>190.73</v>
    <v>186.89</v>
    <v>185.6</v>
    <v>189.09</v>
    <v>187.82</v>
    <v>191.69</v>
    <v>192.03</v>
    <v>184.98</v>
    <v>179.97</v>
    <v>176.86</v>
    <v>177.35</v>
    <v>178.63</v>
    <v>177.01</v>
    <v>174.3</v>
    <v>173.25</v>
    <v>171.38</v>
    <v>170.07</v>
    <v>170.07</v>
    <v>173.83</v>
    <v>170.07</v>
    <v>166.97</v>
    <v>173.04</v>
    <v>178.19</v>
    <v>177.81</v>
    <v>175.04</v>
    <v>171.41</v>
    <v>171.89</v>
    <v>173.62</v>
    <v>172.79</v>
    <v>177.55</v>
    <v>174.16</v>
    <v>177.04</v>
    <v>179.88</v>
    <v>179.28</v>
    <v>177.64</v>
    <v>182.81</v>
    <v>186.9</v>
    <v>189.65</v>
    <v>190.27</v>
    <v>196.49</v>
    <v>204.93</v>
    <v>204.02</v>
    <v>203.1</v>
    <v>200.47</v>
    <v>204.39</v>
    <v>207.85</v>
    <v>209.77</v>
    <v>211.36</v>
    <v>208.63</v>
    <v>214.8</v>
    <v>212.73</v>
    <v>213</v>
    <v>215.43</v>
    <v>214</v>
    <v>214.51</v>
    <v>214.53</v>
    <v>216.56</v>
    <v>218.76</v>
    <v>218.91</v>
    <v>220.05</v>
    <v>215.77</v>
    <v>216.72</v>
    <v>219.55</v>
    <v>217.39</v>
    <v>219.08</v>
    <v>215.6</v>
    <v>213.19</v>
    <v>213.45</v>
    <v>213.35</v>
    <v>211.63</v>
    <v>214.5</v>
    <v>214.96</v>
    <v>214.72</v>
    <v>208.97</v>
    <v>209.74</v>
    <v>209.41</v>
    <v>211.49</v>
    <v>215.1</v>
    <v>212.31</v>
    <v>213.87</v>
    <v>214.89</v>
    <v>212.19</v>
    <v>214.75</v>
    <v>214.3</v>
  </a>
  <a r="1" c="1510">
    <v>105.39</v>
    <v>106.39</v>
    <v>106.99</v>
    <v>107.76</v>
    <v>107.55</v>
    <v>107.32</v>
    <v>107.81</v>
    <v>108.71</v>
    <v>108.7</v>
    <v>108.4</v>
    <v>108.66</v>
    <v>108.53</v>
    <v>109.96</v>
    <v>109.63</v>
    <v>109.92</v>
    <v>110.19</v>
    <v>109.38</v>
    <v>109.84</v>
    <v>109.3</v>
    <v>106.33</v>
    <v>105</v>
    <v>105.14</v>
    <v>106.58</v>
    <v>106.59</v>
    <v>106.6</v>
    <v>106.72</v>
    <v>107.3</v>
    <v>107.27</v>
    <v>108.28</v>
    <v>108.88</v>
    <v>109.66</v>
    <v>109.3</v>
    <v>109.42</v>
    <v>110.16</v>
    <v>109.44</v>
    <v>110.74</v>
    <v>111</v>
    <v>110.57</v>
    <v>110.46</v>
    <v>112.31</v>
    <v>111.33</v>
    <v>111.74</v>
    <v>111.36</v>
    <v>110.96</v>
    <v>110.98</v>
    <v>110.79</v>
    <v>111.21</v>
    <v>111.53</v>
    <v>110.49</v>
    <v>112.02</v>
    <v>112.67</v>
    <v>112.83</v>
    <v>112.41</v>
    <v>110.71</v>
    <v>111.45</v>
    <v>111.6</v>
    <v>111.98</v>
    <v>111.94</v>
    <v>112.47</v>
    <v>112.06</v>
    <v>112.67</v>
    <v>112.47</v>
    <v>112.24</v>
    <v>112.09</v>
    <v>112.07</v>
    <v>112.43</v>
    <v>112.24</v>
    <v>112.32</v>
    <v>112.11</v>
    <v>111.47</v>
    <v>111.22</v>
    <v>112.67</v>
    <v>112.52</v>
    <v>112.29</v>
    <v>114.59</v>
    <v>114.27</v>
    <v>115.7</v>
    <v>116.13</v>
    <v>116.17</v>
    <v>117.1</v>
    <v>116.32</v>
    <v>116.37</v>
    <v>118.12</v>
    <v>117.33</v>
    <v>117.92</v>
    <v>117.5</v>
    <v>116.61</v>
    <v>116.41</v>
    <v>116.65</v>
    <v>116.53</v>
    <v>117.13</v>
    <v>118.21</v>
    <v>118.49</v>
    <v>116.8</v>
    <v>116.24</v>
    <v>117.58</v>
    <v>119</v>
    <v>119.6</v>
    <v>120.7</v>
    <v>121.92</v>
    <v>121.63</v>
    <v>121.65</v>
    <v>122.88</v>
    <v>123.4</v>
    <v>125.2</v>
    <v>125.9</v>
    <v>125.24</v>
    <v>125.19</v>
    <v>124.76</v>
    <v>123.04</v>
    <v>120.76</v>
    <v>122.32</v>
    <v>122.5</v>
    <v>121.42</v>
    <v>121.96</v>
    <v>123.09</v>
    <v>122.93</v>
    <v>123.1</v>
    <v>123.3</v>
    <v>124.01</v>
    <v>123.52</v>
    <v>122.74</v>
    <v>124.81</v>
    <v>121.51</v>
    <v>121.45</v>
    <v>120.78</v>
    <v>121.98</v>
    <v>120.8</v>
    <v>122.2</v>
    <v>122.73</v>
    <v>124.23</v>
    <v>125.28</v>
    <v>125.47</v>
    <v>127.01</v>
    <v>127.43</v>
    <v>127.73</v>
    <v>128.04</v>
    <v>128.47</v>
    <v>129.27000000000001</v>
    <v>129.52000000000001</v>
    <v>129.97999999999999</v>
    <v>130.99</v>
    <v>128.93</v>
    <v>127.91</v>
    <v>127.8</v>
    <v>129.49</v>
    <v>130.61000000000001</v>
    <v>129.88999999999999</v>
    <v>129.82</v>
    <v>130.38</v>
    <v>129.84</v>
    <v>129.72</v>
    <v>127.67</v>
    <v>128.55000000000001</v>
    <v>131.09</v>
    <v>131.58000000000001</v>
    <v>132.37</v>
    <v>130.88</v>
    <v>131.13999999999999</v>
    <v>131.94</v>
    <v>133.80000000000001</v>
    <v>133.07</v>
    <v>132.96</v>
    <v>132.75</v>
    <v>133.85</v>
    <v>133.84</v>
    <v>133.80000000000001</v>
    <v>133.30000000000001</v>
    <v>133.24</v>
    <v>132.66</v>
    <v>132.88999999999999</v>
    <v>136.53</v>
    <v>137.22</v>
    <v>141.99</v>
    <v>142.41999999999999</v>
    <v>140.1</v>
    <v>141.47</v>
    <v>141.58000000000001</v>
    <v>141.4</v>
    <v>142.49</v>
    <v>142.24</v>
    <v>141.72</v>
    <v>141.88999999999999</v>
    <v>138.57</v>
    <v>138.37</v>
    <v>139.66999999999999</v>
    <v>140.19999999999999</v>
    <v>141.19999999999999</v>
    <v>141.82</v>
    <v>143.02000000000001</v>
    <v>142.09</v>
    <v>143.75</v>
    <v>143.52000000000001</v>
    <v>144.55000000000001</v>
    <v>145.65</v>
    <v>146.85</v>
    <v>146.74</v>
    <v>147.34</v>
    <v>146.22</v>
    <v>145.93</v>
    <v>146.19</v>
    <v>144.97999999999999</v>
    <v>145.38</v>
    <v>145.56</v>
    <v>145.80000000000001</v>
    <v>146.24</v>
    <v>146.59</v>
    <v>148.52000000000001</v>
    <v>148.94999999999999</v>
    <v>148.77000000000001</v>
    <v>148.88999999999999</v>
    <v>148.25</v>
    <v>149.29</v>
    <v>150.09</v>
    <v>149.97</v>
    <v>149.97</v>
    <v>149.29</v>
    <v>149.54</v>
    <v>149.69</v>
    <v>149.94999999999999</v>
    <v>148.33000000000001</v>
    <v>150.33000000000001</v>
    <v>149.02000000000001</v>
    <v>149.56</v>
    <v>152.51</v>
    <v>151.25</v>
    <v>152.74</v>
    <v>152.97</v>
    <v>154.19</v>
    <v>148.35</v>
    <v>150.47</v>
    <v>149.69</v>
    <v>143.43</v>
    <v>145.13</v>
    <v>147.41999999999999</v>
    <v>149.44999999999999</v>
    <v>149.88999999999999</v>
    <v>150.88</v>
    <v>152.5</v>
    <v>151.69</v>
    <v>151.93</v>
    <v>153.4</v>
    <v>153.12</v>
    <v>151.68</v>
    <v>151.44999999999999</v>
    <v>150.53</v>
    <v>150.85</v>
    <v>151.28</v>
    <v>151.4</v>
    <v>151.77000000000001</v>
    <v>151.36000000000001</v>
    <v>151.91</v>
    <v>153.82</v>
    <v>155.81</v>
    <v>159.04</v>
    <v>159.27000000000001</v>
    <v>159.5</v>
    <v>159.86000000000001</v>
    <v>160.91999999999999</v>
    <v>162.33000000000001</v>
    <v>162.29</v>
    <v>164.32</v>
    <v>165.48</v>
    <v>166.83</v>
    <v>168.28</v>
    <v>167.19</v>
    <v>167.01</v>
    <v>168.59</v>
    <v>170.34</v>
    <v>168.55</v>
    <v>167.19</v>
    <v>169</v>
    <v>172.93</v>
    <v>170.55</v>
    <v>164.59</v>
    <v>169.28</v>
    <v>168.73</v>
    <v>160.62</v>
    <v>165.2</v>
    <v>168.19</v>
    <v>170.12</v>
    <v>172.52</v>
    <v>174.69</v>
    <v>175.65</v>
    <v>175.35</v>
    <v>172.32</v>
    <v>172.95</v>
    <v>175.76</v>
    <v>177.87</v>
    <v>175.93</v>
    <v>175.76</v>
    <v>173.49</v>
    <v>175.02</v>
    <v>178.53</v>
    <v>177.53</v>
    <v>179.21</v>
    <v>179.25</v>
    <v>183.24</v>
    <v>182.54</v>
    <v>181.01</v>
    <v>180.12</v>
    <v>180.95</v>
    <v>182.55</v>
    <v>180.58</v>
    <v>182.51</v>
    <v>180.75</v>
    <v>175.52</v>
    <v>171.83</v>
    <v>177.17</v>
    <v>172.52</v>
    <v>170.35</v>
    <v>175.16</v>
    <v>171.6</v>
    <v>172.47</v>
    <v>173.69</v>
    <v>175.8</v>
    <v>169.7</v>
    <v>170.34</v>
    <v>174.72</v>
    <v>172.36</v>
    <v>174.8</v>
    <v>174.27</v>
    <v>173.87</v>
    <v>178.34</v>
    <v>179.46</v>
    <v>179.01</v>
    <v>177.08</v>
    <v>175.43</v>
    <v>173.24</v>
    <v>172.47</v>
    <v>178.16</v>
    <v>175.94</v>
    <v>178.27</v>
    <v>180.25</v>
    <v>185.82</v>
    <v>186.48</v>
    <v>188.17</v>
    <v>189.1</v>
    <v>190.53</v>
    <v>190.63</v>
    <v>193.05</v>
    <v>193.35</v>
    <v>192.12</v>
    <v>192</v>
    <v>192.38</v>
    <v>191.2</v>
    <v>190.4</v>
    <v>191.2</v>
    <v>191.62</v>
    <v>192.99</v>
    <v>191.91</v>
    <v>191.17</v>
    <v>189.53</v>
    <v>191.76</v>
    <v>190.12</v>
    <v>195.37</v>
    <v>197.73</v>
    <v>199.36</v>
    <v>203.21</v>
    <v>199.54</v>
    <v>200.04</v>
    <v>198.49</v>
    <v>200.13</v>
    <v>199.41</v>
    <v>199.31</v>
    <v>199.53</v>
    <v>201.13</v>
    <v>199.69</v>
    <v>201.54</v>
    <v>200.78</v>
    <v>201.48</v>
    <v>194.98</v>
    <v>196.46</v>
    <v>193.18</v>
    <v>197.1</v>
    <v>196.52</v>
    <v>197.67</v>
    <v>196.29</v>
    <v>198.87</v>
    <v>199.52</v>
    <v>200.93</v>
    <v>201.52</v>
    <v>203.84</v>
    <v>207.78</v>
    <v>205.91</v>
    <v>204.08</v>
    <v>206.37</v>
    <v>208.36</v>
    <v>206.06</v>
    <v>206.71</v>
    <v>207.84</v>
    <v>209.58</v>
    <v>214.16</v>
    <v>207.37</v>
    <v>202.94</v>
    <v>197.87</v>
    <v>198</v>
    <v>201.2</v>
    <v>202.01</v>
    <v>201.2</v>
    <v>201.54</v>
    <v>202.62</v>
    <v>202.86</v>
    <v>203.6</v>
    <v>202.65</v>
    <v>202.31</v>
    <v>203.88</v>
    <v>200.24</v>
    <v>203.6</v>
    <v>203.21</v>
    <v>204.75</v>
    <v>203.09</v>
    <v>204.31</v>
    <v>205.22</v>
    <v>209.4</v>
    <v>211.53</v>
    <v>212.63</v>
    <v>214.57</v>
    <v>213.8</v>
    <v>215.56</v>
    <v>216.82</v>
    <v>211.16</v>
    <v>212.77</v>
    <v>211.09</v>
    <v>211.67</v>
    <v>213.45</v>
    <v>214.03</v>
    <v>217.22</v>
    <v>217.96</v>
    <v>216.47</v>
    <v>220.05</v>
    <v>218.19</v>
    <v>221.39</v>
    <v>221.9</v>
    <v>221.35</v>
    <v>222.12</v>
    <v>222.26</v>
    <v>222.31</v>
    <v>222.61</v>
    <v>223.77</v>
    <v>222.37</v>
    <v>223.13</v>
    <v>216.15</v>
    <v>213.26</v>
    <v>208.26</v>
    <v>209.76</v>
    <v>196.69</v>
    <v>194.51</v>
    <v>204.22</v>
    <v>200.32</v>
    <v>207.78</v>
    <v>207.38</v>
    <v>203.62</v>
    <v>203.06</v>
    <v>204.5</v>
    <v>202.43</v>
    <v>195.69</v>
    <v>204.2</v>
    <v>197.49</v>
    <v>191.04</v>
    <v>187.73</v>
    <v>197.67</v>
    <v>199.71</v>
    <v>197.72</v>
    <v>197.98</v>
    <v>199.15</v>
    <v>208.24</v>
    <v>208.86</v>
    <v>205.62</v>
    <v>199.14</v>
    <v>198.17</v>
    <v>197.58</v>
    <v>200.71</v>
    <v>199.04</v>
    <v>189.28</v>
    <v>187.06</v>
    <v>187.66</v>
    <v>182.6</v>
    <v>191.85</v>
    <v>192.98</v>
    <v>202.28</v>
    <v>196.66</v>
    <v>201.07</v>
    <v>209.86</v>
    <v>200.49</v>
    <v>202.99</v>
    <v>196.5</v>
    <v>198.06</v>
    <v>197.74</v>
    <v>200.29</v>
    <v>198.96</v>
    <v>195.33</v>
    <v>190.45</v>
    <v>191.61</v>
    <v>187.12</v>
    <v>182.71</v>
    <v>175.19</v>
    <v>174.65</v>
    <v>186.43</v>
    <v>188.69</v>
    <v>186.16</v>
    <v>188.65</v>
    <v>189.74</v>
    <v>181.18</v>
    <v>189.76</v>
    <v>191.22</v>
    <v>192.28</v>
    <v>195.77</v>
    <v>196.95</v>
    <v>195.9</v>
    <v>195.43</v>
    <v>196.52</v>
    <v>197.77</v>
    <v>199.31</v>
    <v>202</v>
    <v>199.46</v>
    <v>198.35</v>
    <v>199.79</v>
    <v>202.94</v>
    <v>200.16</v>
    <v>199.24</v>
    <v>204.02</v>
    <v>211.13</v>
    <v>213.77</v>
    <v>214.91</v>
    <v>215.86</v>
    <v>215.3</v>
    <v>213.97</v>
    <v>216.58</v>
    <v>217.1</v>
    <v>218.91</v>
    <v>220.54</v>
    <v>219.81</v>
    <v>222.11</v>
    <v>220.59</v>
    <v>221.11</v>
    <v>219.31</v>
    <v>223.32</v>
    <v>223.32</v>
    <v>224</v>
    <v>224.57</v>
    <v>224.77</v>
    <v>227.25</v>
    <v>226.29</v>
    <v>226.22</v>
    <v>224.47</v>
    <v>222.41</v>
    <v>221.87</v>
    <v>225.64</v>
    <v>226.94</v>
    <v>228.5</v>
    <v>229.51</v>
    <v>231.17</v>
    <v>230.39</v>
    <v>231.01</v>
    <v>229.89</v>
    <v>235.87</v>
    <v>230.76</v>
    <v>230.42</v>
    <v>233.29</v>
    <v>232.52</v>
    <v>234.86</v>
    <v>235.45</v>
    <v>239.05</v>
    <v>239.26</v>
    <v>238.93</v>
    <v>236.06</v>
    <v>236.63</v>
    <v>236.27</v>
    <v>235.91</v>
    <v>237.06</v>
    <v>236.04</v>
    <v>238.83</v>
    <v>239.15</v>
    <v>240.09</v>
    <v>241</v>
    <v>240.89</v>
    <v>243.05</v>
    <v>243.49</v>
    <v>245.29</v>
    <v>245.61</v>
    <v>246.68</v>
    <v>247.13</v>
    <v>254.24</v>
    <v>248.75</v>
    <v>247.19</v>
    <v>247.95</v>
    <v>248.64</v>
    <v>245.06</v>
    <v>245.33</v>
    <v>245.31</v>
    <v>247.43</v>
    <v>241.38</v>
    <v>245.94</v>
    <v>249.15</v>
    <v>253.42</v>
    <v>252.55</v>
    <v>253.49</v>
    <v>255.36</v>
    <v>256.89999999999998</v>
    <v>249.73</v>
    <v>251.48</v>
    <v>253.43</v>
    <v>253.56</v>
    <v>254.19</v>
    <v>251.49</v>
    <v>242.26</v>
    <v>249.18</v>
    <v>256.26</v>
    <v>257.83</v>
    <v>265.8</v>
    <v>266.10000000000002</v>
    <v>263.66000000000003</v>
    <v>263.85000000000002</v>
    <v>261.2</v>
    <v>260.10000000000002</v>
    <v>259.2</v>
    <v>258.81</v>
    <v>259.87</v>
    <v>266.79000000000002</v>
    <v>264.47000000000003</v>
    <v>265.3</v>
    <v>259.73</v>
    <v>261.3</v>
    <v>261.10000000000002</v>
    <v>264.52999999999997</v>
    <v>266.77</v>
    <v>270.57</v>
    <v>273.08</v>
    <v>272.14</v>
    <v>271.23</v>
    <v>273.33999999999997</v>
    <v>275.38</v>
    <v>278.32</v>
    <v>279.54000000000002</v>
    <v>279.37</v>
    <v>276.62</v>
    <v>275.27999999999997</v>
    <v>276.77999999999997</v>
    <v>275.60000000000002</v>
    <v>278.61</v>
    <v>278.97000000000003</v>
    <v>280.25</v>
    <v>279.35000000000002</v>
    <v>282.07</v>
    <v>281.44</v>
    <v>278.16000000000003</v>
    <v>272.27</v>
    <v>274.16000000000003</v>
    <v>269.45</v>
    <v>256.83999999999997</v>
    <v>264.68</v>
    <v>269.31</v>
    <v>278.04000000000002</v>
    <v>274.95</v>
    <v>270</v>
    <v>274.52999999999997</v>
    <v>267.14999999999998</v>
    <v>271.89</v>
    <v>274.36</v>
    <v>278.07</v>
    <v>277.04000000000002</v>
    <v>282.01</v>
    <v>280.77</v>
    <v>271.89</v>
    <v>276.43</v>
    <v>276.64</v>
    <v>278.24</v>
    <v>281.38</v>
    <v>281.37</v>
    <v>280.11</v>
    <v>286.10000000000002</v>
    <v>292.08</v>
    <v>291.38</v>
    <v>283.36</v>
    <v>272.33</v>
    <v>269.95</v>
    <v>276.39999999999998</v>
    <v>276.32</v>
    <v>274.08</v>
    <v>276.25</v>
    <v>275.10000000000002</v>
    <v>275.91000000000003</v>
    <v>271.17</v>
    <v>273.14999999999998</v>
    <v>271.12</v>
    <v>272.75</v>
    <v>273.89</v>
    <v>269.13</v>
    <v>271.57</v>
    <v>270.94</v>
    <v>264.48</v>
    <v>268.29000000000002</v>
    <v>274.06</v>
    <v>272.19</v>
    <v>267.07</v>
    <v>272.24</v>
    <v>273.83</v>
    <v>275.91000000000003</v>
    <v>276.38</v>
    <v>278.56</v>
    <v>278.27</v>
    <v>276.51</v>
    <v>270.63</v>
    <v>274.3</v>
    <v>261.26</v>
    <v>260.85000000000002</v>
    <v>268.75</v>
    <v>270.19</v>
    <v>275.93</v>
    <v>274.29000000000002</v>
    <v>277.14999999999998</v>
    <v>276.81</v>
    <v>279.05</v>
    <v>276.33</v>
    <v>269</v>
    <v>269.86</v>
    <v>272.79000000000002</v>
    <v>274.89</v>
    <v>277</v>
    <v>277.14</v>
    <v>278.07</v>
    <v>279.63</v>
    <v>280.77999999999997</v>
    <v>280.86</v>
    <v>285.31</v>
    <v>285.38</v>
    <v>284.45</v>
    <v>282.57</v>
    <v>287.61</v>
    <v>289.38</v>
    <v>291.7</v>
    <v>292.23</v>
    <v>286.47000000000003</v>
    <v>287.08999999999997</v>
    <v>286.83999999999997</v>
    <v>289.85000000000002</v>
    <v>290.39999999999998</v>
    <v>289.06</v>
    <v>288.61</v>
    <v>290.05</v>
    <v>292.20999999999998</v>
    <v>296.08999999999997</v>
    <v>296.95999999999998</v>
    <v>296</v>
    <v>294.74</v>
    <v>297.52999999999997</v>
    <v>298.57</v>
    <v>297.27</v>
    <v>297.48</v>
    <v>299.2</v>
    <v>300.74</v>
    <v>297.72000000000003</v>
    <v>298.58999999999997</v>
    <v>303.39</v>
    <v>300.43</v>
    <v>301.23</v>
    <v>300.20999999999998</v>
    <v>305.10000000000002</v>
    <v>309.10000000000002</v>
    <v>311.17</v>
    <v>315.20999999999998</v>
    <v>310.64</v>
    <v>314.25</v>
    <v>320.3</v>
    <v>323.66000000000003</v>
    <v>321.93</v>
    <v>324.31</v>
    <v>324.98</v>
    <v>323.67</v>
    <v>315.77</v>
    <v>320.27</v>
    <v>320.32</v>
    <v>324.45999999999998</v>
    <v>315.94</v>
    <v>324.52</v>
    <v>329.12</v>
    <v>328.32</v>
    <v>329.3</v>
    <v>327</v>
    <v>330.28</v>
    <v>330.92</v>
    <v>334.16</v>
    <v>335.84</v>
    <v>340.95</v>
    <v>341.24</v>
    <v>344.56</v>
    <v>344.45</v>
    <v>339.7</v>
    <v>324.67</v>
    <v>302.89</v>
    <v>298.04000000000002</v>
    <v>285.82</v>
    <v>290.25</v>
    <v>306.74</v>
    <v>292</v>
    <v>302.36</v>
    <v>290.73</v>
    <v>287.01</v>
    <v>262.01</v>
    <v>280.57</v>
    <v>269.76</v>
    <v>241.5</v>
    <v>270.01</v>
    <v>235.65</v>
    <v>237.88</v>
    <v>227.93</v>
    <v>227.15</v>
    <v>211.42</v>
    <v>203.3</v>
    <v>237.07</v>
    <v>256.48</v>
    <v>263.18</v>
    <v>247.65</v>
    <v>253.25</v>
    <v>241.56</v>
    <v>228.61</v>
    <v>238.88</v>
    <v>237.03</v>
    <v>265.94</v>
    <v>259.08</v>
    <v>270.95</v>
    <v>269.39999999999998</v>
    <v>263.33999999999997</v>
    <v>270.72000000000003</v>
    <v>257.14</v>
    <v>246.76</v>
    <v>259.97000000000003</v>
    <v>251.73</v>
    <v>245.35</v>
    <v>256.91000000000003</v>
    <v>255.86</v>
    <v>258.76</v>
    <v>265.12</v>
    <v>264.60000000000002</v>
    <v>283.69</v>
    <v>274.97000000000003</v>
    <v>268.74</v>
    <v>269.26</v>
    <v>273.98</v>
    <v>272.44</v>
    <v>278.47000000000003</v>
    <v>282.44</v>
    <v>281.23</v>
    <v>272.11</v>
    <v>269.16000000000003</v>
    <v>277.31</v>
    <v>278.94</v>
    <v>289.89999999999998</v>
    <v>290.73</v>
    <v>298.8</v>
    <v>294.26</v>
    <v>294.91000000000003</v>
    <v>303.33</v>
    <v>299.77</v>
    <v>302.3</v>
    <v>300.89</v>
    <v>301.39999999999998</v>
    <v>303.58999999999997</v>
    <v>307.07</v>
    <v>301.37</v>
    <v>311.88</v>
    <v>310.41000000000003</v>
    <v>311.49</v>
    <v>313.14999999999998</v>
    <v>291.25</v>
    <v>297.79000000000002</v>
    <v>297.17</v>
    <v>304.48</v>
    <v>303.76</v>
    <v>304.85000000000002</v>
    <v>296.5</v>
    <v>304.44</v>
    <v>306.88</v>
    <v>294.01</v>
    <v>298.01</v>
    <v>289.33999999999997</v>
    <v>292.93</v>
    <v>295.7</v>
    <v>301.17</v>
    <v>302.42</v>
    <v>305.57</v>
    <v>299.91000000000003</v>
    <v>300.14999999999998</v>
    <v>294.58999999999997</v>
    <v>295.68</v>
    <v>290.18</v>
    <v>298.95</v>
    <v>305.72000000000003</v>
    <v>299.35000000000002</v>
    <v>304.06</v>
    <v>311.95999999999998</v>
    <v>307.60000000000002</v>
    <v>313.37</v>
    <v>309.89999999999998</v>
    <v>306.92</v>
    <v>308.86</v>
    <v>306.33</v>
    <v>309.3</v>
    <v>309</v>
    <v>308.52999999999997</v>
    <v>312.58999999999997</v>
    <v>314.39</v>
    <v>328</v>
    <v>330.14</v>
    <v>328.02</v>
    <v>322.88</v>
    <v>328.54</v>
    <v>327.63</v>
    <v>326.19</v>
    <v>326.8</v>
    <v>330.23</v>
    <v>331</v>
    <v>332.4</v>
    <v>337.32</v>
    <v>337.1</v>
    <v>343.64</v>
    <v>347.66</v>
    <v>351.02</v>
    <v>356</v>
    <v>366.12</v>
    <v>358.19</v>
    <v>356.9</v>
    <v>360.7</v>
    <v>343.84</v>
    <v>335.01</v>
    <v>329.88</v>
    <v>339.64</v>
    <v>332.88</v>
    <v>330.15</v>
    <v>338.6</v>
    <v>339.14</v>
    <v>341.85</v>
    <v>339.43</v>
    <v>335.26</v>
    <v>327.85</v>
    <v>335.31</v>
    <v>324.52999999999997</v>
    <v>328.21</v>
    <v>331.78</v>
    <v>338.39</v>
    <v>336.23</v>
    <v>338.17</v>
    <v>343.37</v>
    <v>338.83</v>
    <v>343.25</v>
    <v>337.43</v>
    <v>343.9</v>
    <v>345.15</v>
    <v>352.39</v>
    <v>352.04</v>
    <v>345.84</v>
    <v>342.7</v>
    <v>338.57</v>
    <v>339.4</v>
    <v>331.67</v>
    <v>331.72</v>
    <v>333.42</v>
    <v>333.6</v>
    <v>329.61</v>
    <v>318.06</v>
    <v>317.11</v>
    <v>291.38</v>
    <v>293.18</v>
    <v>288.64</v>
    <v>289.97000000000003</v>
    <v>295.39</v>
    <v>307.2</v>
    <v>316.52999999999997</v>
    <v>313.64</v>
    <v>344.56</v>
    <v>334.78</v>
    <v>332.39</v>
    <v>328.29</v>
    <v>335.03</v>
    <v>335.45</v>
    <v>336.5</v>
    <v>335.94</v>
    <v>333.88</v>
    <v>323</v>
    <v>332.04</v>
    <v>342.39</v>
    <v>341.32</v>
    <v>339.07</v>
    <v>336.51</v>
    <v>338.88</v>
    <v>340.22</v>
    <v>335.14</v>
    <v>344.35</v>
    <v>340.96</v>
    <v>340.79</v>
    <v>336.85</v>
    <v>331.52</v>
    <v>327.42</v>
    <v>331.15</v>
    <v>333.65</v>
    <v>332.1</v>
    <v>336.9</v>
    <v>340.33</v>
    <v>334.37</v>
    <v>332.24</v>
    <v>329.23</v>
    <v>336</v>
    <v>344.47</v>
    <v>346.66</v>
    <v>355.55</v>
    <v>356.94</v>
    <v>351.49</v>
    <v>347.42</v>
    <v>347.55</v>
    <v>349.86</v>
    <v>353.85</v>
    <v>348.2</v>
    <v>342.92</v>
    <v>346.33</v>
    <v>326.93</v>
    <v>323.26</v>
    <v>325.94</v>
    <v>334.91</v>
    <v>334.44</v>
    <v>328.99</v>
    <v>329.19</v>
    <v>327.7</v>
    <v>315.49</v>
    <v>324.27999999999997</v>
    <v>316.29000000000002</v>
    <v>321.56</v>
    <v>334.37</v>
    <v>332.82</v>
    <v>340.83</v>
    <v>338.75</v>
    <v>337.03</v>
    <v>333.44</v>
    <v>334.21</v>
    <v>342.87</v>
    <v>341</v>
    <v>341.21</v>
    <v>337.33</v>
    <v>338.46</v>
    <v>333.17</v>
    <v>340.66</v>
    <v>350.42</v>
    <v>367.32</v>
    <v>354.57</v>
    <v>353.85</v>
    <v>362.9</v>
    <v>362.82</v>
    <v>360.25</v>
    <v>349.5</v>
    <v>360.88</v>
    <v>371.33</v>
    <v>376.52</v>
    <v>381.7</v>
    <v>384.38</v>
    <v>382.71</v>
    <v>381.76</v>
    <v>382.38</v>
    <v>378.68</v>
    <v>367</v>
    <v>356.51</v>
    <v>358.4</v>
    <v>355.27</v>
    <v>359.65</v>
    <v>358.36</v>
    <v>366.14</v>
    <v>362.91</v>
    <v>358.2</v>
    <v>356.05</v>
    <v>363.3</v>
    <v>368.32</v>
    <v>369.57</v>
    <v>371.08</v>
    <v>377.74</v>
    <v>380.08</v>
    <v>379.84</v>
    <v>378.13</v>
    <v>378.32</v>
    <v>386.49</v>
    <v>386.17</v>
    <v>382.16</v>
    <v>376.63</v>
    <v>383.1</v>
    <v>383.36</v>
    <v>387.06</v>
    <v>387.47</v>
    <v>389.07</v>
    <v>395.65</v>
    <v>388.95</v>
    <v>382.06</v>
    <v>379.4</v>
    <v>375.91</v>
    <v>369.14</v>
    <v>375.48</v>
    <v>375.4</v>
    <v>366.34</v>
    <v>367.61</v>
    <v>356.62</v>
    <v>360.02</v>
    <v>363.91</v>
    <v>363.3</v>
    <v>363.07</v>
    <v>360.98</v>
    <v>367.7</v>
    <v>367.6</v>
    <v>372.38</v>
    <v>367.22</v>
    <v>362.65</v>
    <v>362</v>
    <v>360.58</v>
    <v>359.79</v>
    <v>366.85</v>
    <v>361.82</v>
    <v>366.02</v>
    <v>364.08</v>
    <v>365.26</v>
    <v>363.33</v>
    <v>364.3</v>
    <v>365.5</v>
    <v>366.52</v>
    <v>368.12</v>
    <v>363.82</v>
    <v>367.29</v>
    <v>367.42</v>
    <v>373.09</v>
    <v>378.04</v>
    <v>375.14</v>
    <v>374.75</v>
    <v>379.61</v>
    <v>367.68</v>
    <v>368</v>
    <v>365.09</v>
    <v>370.71</v>
    <v>375.03</v>
    <v>376.12</v>
    <v>373.92</v>
    <v>370.19</v>
    <v>372.94</v>
    <v>375.56</v>
    <v>383.71</v>
    <v>390.8</v>
    <v>390.23</v>
    <v>387.12</v>
    <v>365.45</v>
    <v>374.39</v>
    <v>380.06</v>
    <v>382.16</v>
    <v>393.26</v>
    <v>392.8</v>
    <v>390.27</v>
    <v>383.44</v>
    <v>388.81</v>
    <v>385.94</v>
    <v>375.26</v>
    <v>367.6</v>
    <v>368.01</v>
    <v>371.94</v>
    <v>374.53</v>
    <v>370.68</v>
    <v>367.84</v>
    <v>364.24</v>
    <v>361.98</v>
    <v>362.75</v>
    <v>363.56</v>
    <v>363.23</v>
    <v>360.95</v>
    <v>357.31</v>
    <v>354.99</v>
    <v>361.01</v>
    <v>361.78</v>
    <v>359.1</v>
    <v>352.86</v>
    <v>355.73</v>
    <v>353.05</v>
    <v>346.23</v>
    <v>349.57</v>
    <v>341.28</v>
    <v>340.23</v>
    <v>344.71</v>
    <v>351.04</v>
    <v>351.41</v>
    <v>347.39</v>
    <v>347.82</v>
    <v>345.8</v>
    <v>344.75</v>
    <v>346.31</v>
    <v>343.04</v>
    <v>339.69</v>
    <v>337.38</v>
    <v>343.41</v>
    <v>354.07</v>
    <v>358.16</v>
    <v>356.77</v>
    <v>351.18</v>
    <v>353.19</v>
    <v>347.68</v>
    <v>360.18</v>
    <v>344.2</v>
    <v>343.21</v>
    <v>348.69</v>
    <v>353.91</v>
    <v>354.96</v>
    <v>347.15</v>
    <v>345.34</v>
    <v>342.35</v>
    <v>344.58</v>
    <v>356</v>
    <v>358.44</v>
    <v>362.1</v>
    <v>356.77</v>
    <v>356.21</v>
    <v>358.67</v>
    <v>360.86</v>
    <v>357.32</v>
    <v>335.72</v>
    <v>333.03</v>
    <v>335.52</v>
    <v>334.05</v>
    <v>328.48</v>
    <v>329.43</v>
    <v>335.43</v>
    <v>348.79</v>
    <v>349.67</v>
    <v>344.65</v>
    <v>357.94</v>
    <v>354.34</v>
    <v>363.5</v>
    <v>361.36</v>
    <v>369.56</v>
    <v>359.17</v>
    <v>348.22</v>
    <v>339.72</v>
    <v>321.3</v>
    <v>329</v>
    <v>340</v>
    <v>324.17</v>
    <v>323.01</v>
    <v>314.92</v>
    <v>306.27999999999997</v>
    <v>320.2</v>
    <v>322.11</v>
    <v>333.33</v>
    <v>339.51</v>
    <v>342.34</v>
    <v>344.52</v>
    <v>349.92</v>
    <v>345.31</v>
    <v>340.55</v>
    <v>346.35</v>
    <v>352.92</v>
    <v>349.31</v>
    <v>337.02</v>
    <v>350.74</v>
    <v>357.48</v>
    <v>360.58</v>
    <v>360.31</v>
    <v>360.78</v>
    <v>361.29</v>
    <v>360.99</v>
    <v>359.32</v>
    <v>370.95</v>
    <v>375.39</v>
    <v>373.9</v>
    <v>370</v>
    <v>369.65</v>
    <v>363.91</v>
    <v>366.29</v>
    <v>367.31</v>
    <v>369.52</v>
    <v>372.14</v>
    <v>366.3</v>
    <v>360.73</v>
    <v>364</v>
    <v>355.08</v>
    <v>349.42</v>
    <v>338.76</v>
    <v>344.66</v>
    <v>350.53</v>
    <v>382.51</v>
    <v>386.38</v>
    <v>392.06</v>
    <v>396.75</v>
    <v>390.07</v>
    <v>382.2</v>
    <v>376.13</v>
    <v>374.37</v>
    <v>381.37</v>
    <v>374.39</v>
    <v>369.77</v>
    <v>374.16</v>
    <v>381.54</v>
    <v>382.93</v>
    <v>373.7</v>
    <v>369.95</v>
    <v>368.29</v>
    <v>361.23</v>
    <v>369.38</v>
    <v>369.09</v>
    <v>360.82</v>
    <v>344.48</v>
    <v>344.09</v>
    <v>340.99</v>
    <v>330.76</v>
    <v>312.92</v>
    <v>314.33</v>
    <v>328.13</v>
    <v>324.58999999999997</v>
    <v>324.79000000000002</v>
    <v>328.59</v>
    <v>335</v>
    <v>344.68</v>
    <v>346.44</v>
    <v>350.09</v>
    <v>345.58</v>
    <v>349.53</v>
    <v>342.18</v>
    <v>349.35</v>
    <v>349.02</v>
    <v>350.49</v>
    <v>367.55</v>
    <v>362.24</v>
    <v>357.38</v>
    <v>363.97</v>
    <v>366.91</v>
    <v>363.32</v>
    <v>353.55</v>
    <v>349.55</v>
    <v>352.27</v>
    <v>347.37</v>
    <v>345.8</v>
    <v>355.14</v>
    <v>357.82</v>
    <v>356.8</v>
    <v>363.87</v>
    <v>365.29</v>
    <v>364.44</v>
    <v>351.18</v>
    <v>354.6</v>
    <v>344.11</v>
    <v>361.57</v>
    <v>378.83</v>
    <v>363.38</v>
    <v>359.04</v>
    <v>357.79</v>
    <v>368.52</v>
    <v>353.37</v>
    <v>347.12</v>
    <v>327.99</v>
    <v>325.33</v>
    <v>325.87</v>
    <v>321.24</v>
    <v>332.8</v>
    <v>329.73</v>
    <v>338.86</v>
    <v>335.9</v>
    <v>332.22</v>
    <v>336.18</v>
    <v>348.43</v>
    <v>340.69</v>
    <v>344.76</v>
    <v>349.89</v>
    <v>357.78</v>
    <v>357.87</v>
    <v>357.06</v>
    <v>363.08</v>
    <v>357.82</v>
    <v>360.14</v>
    <v>364.02</v>
    <v>362.33</v>
    <v>349</v>
    <v>334.75</v>
    <v>319.74</v>
    <v>322.14</v>
    <v>325.39</v>
    <v>308.77999999999997</v>
    <v>310.69</v>
    <v>317.39999999999998</v>
    <v>316.14999999999998</v>
    <v>316.76</v>
    <v>330.5</v>
    <v>328.83</v>
    <v>318.29000000000002</v>
    <v>322.58999999999997</v>
    <v>315.48</v>
    <v>318.24</v>
    <v>319.26</v>
    <v>320.17</v>
    <v>324.07</v>
    <v>323.06</v>
    <v>324.19</v>
    <v>322.86</v>
    <v>323.37</v>
    <v>325.02999999999997</v>
    <v>332.57</v>
    <v>331.01</v>
    <v>340.38</v>
    <v>341.27</v>
    <v>346.92</v>
    <v>343.88</v>
    <v>344.21</v>
    <v>341.28</v>
    <v>343.27</v>
    <v>352.45</v>
    <v>353.79</v>
    <v>350.54</v>
    <v>349.01</v>
    <v>354.13</v>
    <v>356.07</v>
    <v>357.51</v>
    <v>352.16</v>
    <v>346.54</v>
    <v>353.38</v>
    <v>350.58</v>
    <v>354.27</v>
    <v>359.95</v>
    <v>359.25</v>
    <v>355.33</v>
    <v>357.36</v>
    <v>354.28</v>
    <v>345.51</v>
    <v>340.89</v>
    <v>339.71</v>
    <v>344.67</v>
    <v>331.96</v>
    <v>329.35</v>
    <v>327.81</v>
    <v>324.37</v>
    <v>325.25</v>
    <v>322.56</v>
    <v>324.08</v>
    <v>328.62</v>
    <v>330.07</v>
    <v>335.85</v>
    <v>338.42</v>
    <v>325.44</v>
    <v>325.85000000000002</v>
    <v>316.95999999999998</v>
    <v>315.13</v>
    <v>314.02999999999997</v>
    <v>313.27</v>
    <v>304.5</v>
    <v>298.36</v>
    <v>293.58</v>
    <v>290.11</v>
    <v>286.48</v>
    <v>290.18</v>
    <v>286.77</v>
    <v>284.33999999999997</v>
    <v>290.48</v>
    <v>301.27</v>
    <v>304.2</v>
    <v>299.23</v>
    <v>294.97000000000003</v>
    <v>291.77999999999997</v>
    <v>286.05</v>
    <v>283.38</v>
    <v>293.95999999999998</v>
    <v>288.69</v>
    <v>295.04000000000002</v>
    <v>300.38</v>
    <v>297.76</v>
    <v>296.27999999999997</v>
    <v>302.37</v>
    <v>305.60000000000002</v>
    <v>311.41000000000003</v>
    <v>319.51</v>
    <v>319.37</v>
    <v>329.47</v>
    <v>328.18</v>
    <v>333.19</v>
    <v>319.82</v>
    <v>309.17</v>
    <v>318.37</v>
    <v>325.13</v>
    <v>325.75</v>
    <v>315.64</v>
    <v>337.27</v>
    <v>339.29</v>
    <v>339.37</v>
    <v>343.51</v>
    <v>342.76</v>
    <v>341.27</v>
    <v>343.69</v>
    <v>338.25</v>
    <v>344.96</v>
    <v>348.64</v>
    <v>351.29</v>
    <v>344.59</v>
    <v>343.13</v>
    <v>356.4</v>
    <v>360.8</v>
    <v>360.06</v>
    <v>356.09</v>
    <v>347.53</v>
    <v>347.42</v>
    <v>351.17</v>
    <v>348.83</v>
    <v>358.17</v>
    <v>357.15</v>
    <v>357.51</v>
    <v>346.25</v>
    <v>345.84</v>
    <v>341.26</v>
    <v>342.95</v>
    <v>345.69</v>
    <v>341.52</v>
    <v>343.6</v>
    <v>346.16</v>
    <v>341.95</v>
    <v>348.21</v>
    <v>347.73</v>
  </a>
  <a r="1" c="1510">
    <v>161.44999999999999</v>
    <v>161.91</v>
    <v>162.18</v>
    <v>162.41</v>
    <v>161.94999999999999</v>
    <v>161.58000000000001</v>
    <v>161.88999999999999</v>
    <v>162.36000000000001</v>
    <v>161.80000000000001</v>
    <v>160.66</v>
    <v>157.74</v>
    <v>158.69999999999999</v>
    <v>158.66</v>
    <v>159.07</v>
    <v>160.43</v>
    <v>161.24</v>
    <v>162.75</v>
    <v>162.99</v>
    <v>162.09</v>
    <v>162.1</v>
    <v>162.71</v>
    <v>160.76</v>
    <v>161.87</v>
    <v>160.51</v>
    <v>160.53</v>
    <v>160.31</v>
    <v>160.44</v>
    <v>160.75</v>
    <v>161.99</v>
    <v>163.13</v>
    <v>164.29</v>
    <v>163.65</v>
    <v>157.62</v>
    <v>160.57</v>
    <v>160.57</v>
    <v>162.6</v>
    <v>163.06</v>
    <v>165.38</v>
    <v>165.38</v>
    <v>167.94</v>
    <v>167.31</v>
    <v>168.2</v>
    <v>168.7</v>
    <v>168.3</v>
    <v>167.91</v>
    <v>168.01</v>
    <v>169.98</v>
    <v>170.21</v>
    <v>169.06</v>
    <v>171.78</v>
    <v>171.3</v>
    <v>169.7</v>
    <v>168</v>
    <v>167.7</v>
    <v>167.03</v>
    <v>165.29</v>
    <v>165</v>
    <v>164.6</v>
    <v>165.35</v>
    <v>163.44</v>
    <v>164.99</v>
    <v>164.01</v>
    <v>165.59</v>
    <v>164.97</v>
    <v>165.37</v>
    <v>165.34</v>
    <v>166.02</v>
    <v>165.48</v>
    <v>165.83</v>
    <v>165.56</v>
    <v>164.96</v>
    <v>167.18</v>
    <v>168.59</v>
    <v>169.25</v>
    <v>171.54</v>
    <v>171.16</v>
    <v>172.33</v>
    <v>174.04</v>
    <v>174.38</v>
    <v>174.63</v>
    <v>174.88</v>
    <v>174.59</v>
    <v>174.14</v>
    <v>172.54</v>
    <v>174.02</v>
    <v>174.12</v>
    <v>174.44</v>
    <v>173.24</v>
    <v>173.39</v>
    <v>173.32</v>
    <v>171.81</v>
    <v>171.53</v>
    <v>168.12</v>
    <v>168.86</v>
    <v>171.45</v>
    <v>172.59</v>
    <v>174.7</v>
    <v>175.22</v>
    <v>175.59</v>
    <v>178.05</v>
    <v>177.5</v>
    <v>176.59</v>
    <v>175.18</v>
    <v>179.58</v>
    <v>179.39</v>
    <v>179.37</v>
    <v>180.82</v>
    <v>183.21</v>
    <v>181.69</v>
    <v>181.46</v>
    <v>179.25</v>
    <v>181.05</v>
    <v>182.36</v>
    <v>180.38</v>
    <v>181.63</v>
    <v>183.02</v>
    <v>183.27</v>
    <v>184.92</v>
    <v>186.5</v>
    <v>185.25</v>
    <v>185.12</v>
    <v>184.6</v>
    <v>185.7</v>
    <v>185.27</v>
    <v>185.42</v>
    <v>186.65</v>
    <v>188.25</v>
    <v>186.94</v>
    <v>187.96</v>
    <v>186.95</v>
    <v>185.95</v>
    <v>186.69</v>
    <v>185.48</v>
    <v>186.9</v>
    <v>186.35</v>
    <v>186.85</v>
    <v>189.19</v>
    <v>191.5</v>
    <v>191.78</v>
    <v>190.89</v>
    <v>190.4</v>
    <v>190.75</v>
    <v>188.93</v>
    <v>191.15</v>
    <v>191.81</v>
    <v>192.23</v>
    <v>193</v>
    <v>194.77</v>
    <v>194.88</v>
    <v>194.78</v>
    <v>194.9</v>
    <v>194.83</v>
    <v>192.57</v>
    <v>193.02</v>
    <v>193.71</v>
    <v>194.5</v>
    <v>193.77</v>
    <v>192.7</v>
    <v>190.82</v>
    <v>192.03</v>
    <v>194.79</v>
    <v>194.24</v>
    <v>194.75</v>
    <v>194.36</v>
    <v>195.09</v>
    <v>196.73</v>
    <v>195.88</v>
    <v>198.9</v>
    <v>199.75</v>
    <v>199.31</v>
    <v>198.38</v>
    <v>198.17</v>
    <v>197.75</v>
    <v>199.58</v>
    <v>197.47</v>
    <v>198.33</v>
    <v>197.73</v>
    <v>198.18</v>
    <v>198.19</v>
    <v>194.65</v>
    <v>195.75</v>
    <v>195.21</v>
    <v>193.03</v>
    <v>191.75</v>
    <v>192.7</v>
    <v>194.49</v>
    <v>196.1</v>
    <v>195.85</v>
    <v>197.44</v>
    <v>198.63</v>
    <v>200.48</v>
    <v>197.9</v>
    <v>198.06</v>
    <v>196.3</v>
    <v>194.68</v>
    <v>195.26</v>
    <v>192.92</v>
    <v>192.52</v>
    <v>193.2</v>
    <v>203.89</v>
    <v>205.23</v>
    <v>203.25</v>
    <v>207.49</v>
    <v>207.01</v>
    <v>208.15</v>
    <v>207.56</v>
    <v>209.15</v>
    <v>212.6</v>
    <v>209.39</v>
    <v>210.22</v>
    <v>209.53</v>
    <v>211.1</v>
    <v>212.87</v>
    <v>212.12</v>
    <v>212.7</v>
    <v>210.77</v>
    <v>211.56</v>
    <v>211.07</v>
    <v>212.66</v>
    <v>211.71</v>
    <v>209.86</v>
    <v>211.13</v>
    <v>209.9</v>
    <v>210.25</v>
    <v>212.6</v>
    <v>211.22</v>
    <v>212.51</v>
    <v>212.4</v>
    <v>216.14</v>
    <v>222.88</v>
    <v>228.17</v>
    <v>226.78</v>
    <v>221.42</v>
    <v>220.09</v>
    <v>219.94</v>
    <v>220.15</v>
    <v>223.91</v>
    <v>222.77</v>
    <v>222.49</v>
    <v>224.35</v>
    <v>221.25</v>
    <v>221.82</v>
    <v>222.67</v>
    <v>222.04</v>
    <v>222.38</v>
    <v>221.69</v>
    <v>220</v>
    <v>219.6</v>
    <v>220.42</v>
    <v>222.77</v>
    <v>220.46</v>
    <v>221.16</v>
    <v>223.48</v>
    <v>224.45</v>
    <v>228.73</v>
    <v>224.76</v>
    <v>225.88</v>
    <v>224.2</v>
    <v>225.39</v>
    <v>228.64</v>
    <v>232.9</v>
    <v>238.43</v>
    <v>243.16</v>
    <v>243.35</v>
    <v>243.56</v>
    <v>245.21</v>
    <v>244.85</v>
    <v>245.18</v>
    <v>248.47</v>
    <v>247.41</v>
    <v>236.65</v>
    <v>236.78</v>
    <v>235.22</v>
    <v>231.88</v>
    <v>220.02</v>
    <v>225.18</v>
    <v>225.82</v>
    <v>216.46</v>
    <v>220.96</v>
    <v>225.69</v>
    <v>226.64</v>
    <v>228.78</v>
    <v>226.02</v>
    <v>229.37</v>
    <v>226.66</v>
    <v>225.13</v>
    <v>227.09</v>
    <v>230.16</v>
    <v>234.06</v>
    <v>232.52</v>
    <v>226.16</v>
    <v>224.45</v>
    <v>225.19</v>
    <v>228.38</v>
    <v>226.18</v>
    <v>227.27</v>
    <v>224.73</v>
    <v>225.43</v>
    <v>222.77</v>
    <v>226.94</v>
    <v>225.38</v>
    <v>229.48</v>
    <v>227.86</v>
    <v>225.05</v>
    <v>226.78</v>
    <v>222.82</v>
    <v>215.21</v>
    <v>212.55</v>
    <v>219.07</v>
    <v>217.96</v>
    <v>218.5</v>
    <v>214</v>
    <v>217.2</v>
    <v>224.58</v>
    <v>228.79</v>
    <v>229.07</v>
    <v>223.96</v>
    <v>222.73</v>
    <v>226.79</v>
    <v>221.9</v>
    <v>224.24</v>
    <v>224.28</v>
    <v>230.32</v>
    <v>238.55</v>
    <v>236.4</v>
    <v>235.76</v>
    <v>235.06</v>
    <v>234.34</v>
    <v>234.22</v>
    <v>234.9</v>
    <v>237.03</v>
    <v>240.18</v>
    <v>236.4</v>
    <v>236.85</v>
    <v>233.46</v>
    <v>234.15</v>
    <v>235.9</v>
    <v>233.78</v>
    <v>232.03</v>
    <v>229.21</v>
    <v>233.71</v>
    <v>238.28</v>
    <v>242.9</v>
    <v>239.5</v>
    <v>241.72</v>
    <v>242.96</v>
    <v>244.64</v>
    <v>247.9</v>
    <v>245.18</v>
    <v>244.26</v>
    <v>242.73</v>
    <v>244.95</v>
    <v>242.17</v>
    <v>244.94</v>
    <v>241.51</v>
    <v>243.35</v>
    <v>244.63</v>
    <v>244.43</v>
    <v>248.65</v>
    <v>248.98</v>
    <v>250.68</v>
    <v>253.78</v>
    <v>253.58</v>
    <v>252.87</v>
    <v>255.33</v>
    <v>255.98</v>
    <v>254.87</v>
    <v>253.02</v>
    <v>252.81</v>
    <v>251.89</v>
    <v>254.37</v>
    <v>250.71</v>
    <v>249.77</v>
    <v>248.17</v>
    <v>244.9</v>
    <v>245.34</v>
    <v>247.48</v>
    <v>246.98</v>
    <v>250.5</v>
    <v>250.76</v>
    <v>253.67</v>
    <v>255.54</v>
    <v>254.59</v>
    <v>256.05</v>
    <v>258.7</v>
    <v>256.98</v>
    <v>250.29</v>
    <v>255.42</v>
    <v>252.93</v>
    <v>252.7</v>
    <v>252.74</v>
    <v>253.76</v>
    <v>254.86</v>
    <v>257</v>
    <v>255.95</v>
    <v>253.84</v>
    <v>253.22</v>
    <v>253.37</v>
    <v>256.08</v>
    <v>257.22000000000003</v>
    <v>256.76</v>
    <v>257.64999999999998</v>
    <v>258.81</v>
    <v>261.58999999999997</v>
    <v>260.36</v>
    <v>260.91000000000003</v>
    <v>263.48</v>
    <v>260.61</v>
    <v>263.10000000000002</v>
    <v>262.33</v>
    <v>262.39999999999998</v>
    <v>261.69</v>
    <v>260.74</v>
    <v>261.42</v>
    <v>264.27999999999997</v>
    <v>267.08</v>
    <v>268.51</v>
    <v>269</v>
    <v>268.39</v>
    <v>268.45999999999998</v>
    <v>268.51</v>
    <v>267.64</v>
    <v>269.64999999999998</v>
    <v>268.27999999999997</v>
    <v>259.73</v>
    <v>261.04000000000002</v>
    <v>262.67</v>
    <v>265.49</v>
    <v>265.31</v>
    <v>263.87</v>
    <v>263.29000000000002</v>
    <v>265.33</v>
    <v>266.39</v>
    <v>266.67</v>
    <v>267.36</v>
    <v>263.51</v>
    <v>262.91000000000003</v>
    <v>264.64999999999998</v>
    <v>266.04000000000002</v>
    <v>269.10000000000002</v>
    <v>270.63</v>
    <v>270.89999999999998</v>
    <v>268.32</v>
    <v>269.2</v>
    <v>269.01</v>
    <v>270.11</v>
    <v>263.08</v>
    <v>257.12</v>
    <v>259.61</v>
    <v>260.25</v>
    <v>272.57</v>
    <v>267.3</v>
    <v>266.81</v>
    <v>265.3</v>
    <v>262.19</v>
    <v>264.86</v>
    <v>256.32</v>
    <v>264.24</v>
    <v>258.18</v>
    <v>256.52</v>
    <v>258.27999999999997</v>
    <v>261.35000000000002</v>
    <v>260.93</v>
    <v>261.01</v>
    <v>261.01</v>
    <v>263.54000000000002</v>
    <v>274.63</v>
    <v>276.64999999999998</v>
    <v>276.55</v>
    <v>272.38</v>
    <v>269.22000000000003</v>
    <v>264.95999999999998</v>
    <v>264.94</v>
    <v>271.11</v>
    <v>266.05</v>
    <v>261.5</v>
    <v>260.55</v>
    <v>261.62</v>
    <v>266.16000000000003</v>
    <v>271.14999999999998</v>
    <v>280.95</v>
    <v>282.55</v>
    <v>281.36</v>
    <v>286.33</v>
    <v>278.55</v>
    <v>276.85000000000002</v>
    <v>269.18</v>
    <v>266.52999999999997</v>
    <v>267.22000000000003</v>
    <v>270.64</v>
    <v>272.14999999999998</v>
    <v>265.02</v>
    <v>258.07</v>
    <v>252.97</v>
    <v>250.31</v>
    <v>242.44</v>
    <v>238.34</v>
    <v>232.94</v>
    <v>243.35</v>
    <v>245.97</v>
    <v>246.24</v>
    <v>249.12</v>
    <v>243.49</v>
    <v>236.85</v>
    <v>239.62</v>
    <v>240.08</v>
    <v>243.29</v>
    <v>243.64</v>
    <v>244.87</v>
    <v>247.67</v>
    <v>248.06</v>
    <v>256.87</v>
    <v>261.45999999999998</v>
    <v>259.77</v>
    <v>265.5</v>
    <v>265.69</v>
    <v>267.02</v>
    <v>266.13</v>
    <v>268.05</v>
    <v>266.77</v>
    <v>267.33999999999997</v>
    <v>270.37</v>
    <v>270.2</v>
    <v>268.72000000000003</v>
    <v>268.20999999999998</v>
    <v>266.31</v>
    <v>269.5</v>
    <v>269</v>
    <v>261.89999999999998</v>
    <v>257.14</v>
    <v>263.5</v>
    <v>263.8</v>
    <v>265.33</v>
    <v>271.13</v>
    <v>270.41000000000003</v>
    <v>269.51</v>
    <v>266.39999999999998</v>
    <v>267.11</v>
    <v>264.60000000000002</v>
    <v>262.98</v>
    <v>250.08</v>
    <v>242.22</v>
    <v>246.15</v>
    <v>236.02</v>
    <v>241.43</v>
    <v>239.07</v>
    <v>236.7</v>
    <v>237.29</v>
    <v>243.15</v>
    <v>245.88</v>
    <v>252.25</v>
    <v>253.27</v>
    <v>251.4</v>
    <v>255</v>
    <v>257.13</v>
    <v>250.5</v>
    <v>252.02</v>
    <v>247.09</v>
    <v>246.86</v>
    <v>243.39</v>
    <v>241.71</v>
    <v>242.23</v>
    <v>247.26</v>
    <v>245.54</v>
    <v>244.41</v>
    <v>245.84</v>
    <v>247.39</v>
    <v>248.78</v>
    <v>248.75</v>
    <v>248.79</v>
    <v>246.03</v>
    <v>235.42</v>
    <v>223.22</v>
    <v>230.2</v>
    <v>220.96</v>
    <v>216.84</v>
    <v>221.75</v>
    <v>227.11</v>
    <v>230.58</v>
    <v>230.35</v>
    <v>230.79</v>
    <v>237</v>
    <v>237.45</v>
    <v>233.07</v>
    <v>231.95</v>
    <v>232.45</v>
    <v>231.95</v>
    <v>240.5</v>
    <v>238.05</v>
    <v>239.15</v>
    <v>237.97</v>
    <v>240.59</v>
    <v>239.55</v>
    <v>236.43</v>
    <v>236.08</v>
    <v>236.79</v>
    <v>241.38</v>
    <v>245.99</v>
    <v>249.94</v>
    <v>249.34</v>
    <v>246.5</v>
    <v>247.63</v>
    <v>242.06</v>
    <v>242.4</v>
    <v>243.5</v>
    <v>241.8</v>
    <v>236.56</v>
    <v>240.76</v>
    <v>242.77</v>
    <v>241.82</v>
    <v>246.77</v>
    <v>248.14</v>
    <v>245.87</v>
    <v>244.5</v>
    <v>244.96</v>
    <v>245.37</v>
    <v>245.97</v>
    <v>245.7</v>
    <v>250.19</v>
    <v>247.76</v>
    <v>252.28</v>
    <v>249.64</v>
    <v>247.66</v>
    <v>243.47</v>
    <v>246.34</v>
    <v>244.01</v>
    <v>242.64</v>
    <v>243.97</v>
    <v>245.21</v>
    <v>246.99</v>
    <v>247.84</v>
    <v>246</v>
    <v>247.48</v>
    <v>261.16000000000003</v>
    <v>265.89999999999998</v>
    <v>265.95999999999998</v>
    <v>264.66000000000003</v>
    <v>266.64999999999998</v>
    <v>260.60000000000002</v>
    <v>256.64999999999998</v>
    <v>255.32</v>
    <v>255.01</v>
    <v>251.13</v>
    <v>248.7</v>
    <v>252.94</v>
    <v>253.82</v>
    <v>254.93</v>
    <v>249.01</v>
    <v>249.25</v>
    <v>250.05</v>
    <v>245.06</v>
    <v>248.28</v>
    <v>246.45</v>
    <v>247.62</v>
    <v>248.63</v>
    <v>243.2</v>
    <v>249.22</v>
    <v>243.2</v>
    <v>244.25</v>
    <v>245.69</v>
    <v>244.71</v>
    <v>240.16</v>
    <v>240.35</v>
    <v>232.94</v>
    <v>230.66</v>
    <v>231.08</v>
    <v>222.93</v>
    <v>227.35</v>
    <v>230.62</v>
    <v>234</v>
    <v>230.62</v>
    <v>226.73</v>
    <v>229.59</v>
    <v>229</v>
    <v>230.68</v>
    <v>232.46</v>
    <v>234.21</v>
    <v>230.1</v>
    <v>233.61</v>
    <v>234.43</v>
    <v>232.52</v>
    <v>230.61</v>
    <v>232.85</v>
    <v>232.89</v>
    <v>228.77</v>
    <v>225</v>
    <v>222.17</v>
    <v>215.48</v>
    <v>215.26</v>
    <v>217.32</v>
    <v>217.21</v>
    <v>216.75</v>
    <v>215.36</v>
    <v>219.8</v>
    <v>221.24</v>
    <v>220.11</v>
    <v>222.08</v>
    <v>223.73</v>
    <v>222.07</v>
    <v>220.59</v>
    <v>238.59</v>
    <v>236.99</v>
    <v>243.67</v>
    <v>245.34</v>
    <v>243.92</v>
    <v>249.48</v>
    <v>247.8</v>
    <v>244.51</v>
    <v>244.91</v>
    <v>247.05</v>
    <v>252.29</v>
    <v>254.8</v>
    <v>252.7</v>
    <v>252.21</v>
    <v>251.25</v>
    <v>250.3</v>
    <v>250.52</v>
    <v>256.45999999999998</v>
    <v>256.97000000000003</v>
    <v>254.09</v>
    <v>255.25</v>
    <v>253.57</v>
    <v>255.83</v>
    <v>269.39999999999998</v>
    <v>272.93</v>
    <v>274.23</v>
    <v>275.56</v>
    <v>276.55</v>
    <v>276.83999999999997</v>
    <v>282.67</v>
    <v>281.39999999999998</v>
    <v>280.67</v>
    <v>279.87</v>
    <v>279.66000000000003</v>
    <v>276.89999999999998</v>
    <v>279.32</v>
    <v>282</v>
    <v>280.19</v>
    <v>277.54000000000002</v>
    <v>279.52</v>
    <v>280.5</v>
    <v>283.61</v>
    <v>285.48</v>
    <v>292.02999999999997</v>
    <v>290.47000000000003</v>
    <v>292.89999999999998</v>
    <v>294.62</v>
    <v>292.58999999999997</v>
    <v>295.08999999999997</v>
    <v>294.54000000000002</v>
    <v>295.64999999999998</v>
    <v>295.97000000000003</v>
    <v>293.85000000000002</v>
    <v>293.98</v>
    <v>292.5</v>
    <v>289.54000000000002</v>
    <v>291.55</v>
    <v>289.79000000000002</v>
    <v>295.89999999999998</v>
    <v>294.22000000000003</v>
    <v>295.13</v>
    <v>285.85000000000002</v>
    <v>288.24</v>
    <v>296.41000000000003</v>
    <v>300.74</v>
    <v>298.47000000000003</v>
    <v>300.52999999999997</v>
    <v>300.58999999999997</v>
    <v>299.45999999999998</v>
    <v>292.81</v>
    <v>284.08999999999997</v>
    <v>285.87</v>
    <v>282.89999999999998</v>
    <v>280.98</v>
    <v>272.45</v>
    <v>274.02</v>
    <v>280.83999999999997</v>
    <v>295.73</v>
    <v>292.45999999999998</v>
    <v>289.22000000000003</v>
    <v>287.02999999999997</v>
    <v>290.79000000000002</v>
    <v>303.48</v>
    <v>302.2</v>
    <v>298.77999999999997</v>
    <v>302.14</v>
    <v>305.31</v>
    <v>302.13</v>
    <v>301.43</v>
    <v>277.79000000000002</v>
    <v>263.39</v>
    <v>263</v>
    <v>253.92</v>
    <v>254.96</v>
    <v>273.11</v>
    <v>261.39999999999998</v>
    <v>289.42</v>
    <v>282.95999999999998</v>
    <v>283.87</v>
    <v>273.44</v>
    <v>280</v>
    <v>277.77999999999997</v>
    <v>250.41</v>
    <v>272.04000000000002</v>
    <v>225.04</v>
    <v>244.22</v>
    <v>217.06</v>
    <v>219.8</v>
    <v>206.59</v>
    <v>194.86</v>
    <v>219.8</v>
    <v>234.49</v>
    <v>255.39</v>
    <v>242.45</v>
    <v>251.28</v>
    <v>249.38</v>
    <v>237.32</v>
    <v>240.44</v>
    <v>229.49</v>
    <v>248.34</v>
    <v>248.04</v>
    <v>267.83</v>
    <v>264.13</v>
    <v>263.51</v>
    <v>270.5</v>
    <v>281.68</v>
    <v>298.43</v>
    <v>290.56</v>
    <v>282.14</v>
    <v>274.19</v>
    <v>277.02</v>
    <v>285.33</v>
    <v>291.29000000000002</v>
    <v>293.98</v>
    <v>288.36</v>
    <v>287.64999999999998</v>
    <v>292.47000000000003</v>
    <v>284.51</v>
    <v>287.54000000000002</v>
    <v>293.04000000000002</v>
    <v>288.77</v>
    <v>285</v>
    <v>287</v>
    <v>288.69</v>
    <v>287.7</v>
    <v>278</v>
    <v>290.61</v>
    <v>290.95999999999998</v>
    <v>293.36</v>
    <v>289.05</v>
    <v>287.99</v>
    <v>286.91000000000003</v>
    <v>289.94</v>
    <v>294.89</v>
    <v>303.77</v>
    <v>303.97000000000003</v>
    <v>304.85000000000002</v>
    <v>305.93</v>
    <v>306.31</v>
    <v>305.35000000000002</v>
    <v>298.08</v>
    <v>311.85000000000002</v>
    <v>309.48</v>
    <v>309.20999999999998</v>
    <v>305.75</v>
    <v>283.73</v>
    <v>285.14999999999998</v>
    <v>286.27999999999997</v>
    <v>293</v>
    <v>292.60000000000002</v>
    <v>291.48</v>
    <v>291.24</v>
    <v>292.67</v>
    <v>297.60000000000002</v>
    <v>289.18</v>
    <v>296.22000000000003</v>
    <v>286.88</v>
    <v>289.76</v>
    <v>294.95</v>
    <v>297.73</v>
    <v>298.26</v>
    <v>302.81</v>
    <v>296.64999999999998</v>
    <v>298.36</v>
    <v>291.16000000000003</v>
    <v>291.23</v>
    <v>299.70999999999998</v>
    <v>308.52</v>
    <v>304.07</v>
    <v>307.14999999999998</v>
    <v>306.52999999999997</v>
    <v>303.45999999999998</v>
    <v>305.11</v>
    <v>306.70999999999998</v>
    <v>302.97000000000003</v>
    <v>300.79000000000002</v>
    <v>298.60000000000002</v>
    <v>299.93</v>
    <v>306.68</v>
    <v>305.23</v>
    <v>302.77999999999997</v>
    <v>303.61</v>
    <v>304.5</v>
    <v>312.47000000000003</v>
    <v>314.06</v>
    <v>317.02999999999997</v>
    <v>319.10000000000002</v>
    <v>315.55</v>
    <v>322.27</v>
    <v>321.52</v>
    <v>323.7</v>
    <v>320.51</v>
    <v>316.81</v>
    <v>315.39999999999998</v>
    <v>313.33</v>
    <v>314.14</v>
    <v>308.83999999999997</v>
    <v>312.22000000000003</v>
    <v>308.82</v>
    <v>311.67</v>
    <v>314.37</v>
    <v>312.55</v>
    <v>312.83</v>
    <v>320.24</v>
    <v>316.23</v>
    <v>312</v>
    <v>307.25</v>
    <v>312.02</v>
    <v>304.60000000000002</v>
    <v>301.48</v>
    <v>308.57</v>
    <v>307.23</v>
    <v>306.52</v>
    <v>304.98</v>
    <v>308.02</v>
    <v>299.19</v>
    <v>294.26</v>
    <v>292.14</v>
    <v>292.66000000000003</v>
    <v>302.5</v>
    <v>303.23</v>
    <v>304.14999999999998</v>
    <v>311.77</v>
    <v>313.07</v>
    <v>311.98</v>
    <v>318.14999999999998</v>
    <v>314.45</v>
    <v>323.17</v>
    <v>322.41000000000003</v>
    <v>327.84</v>
    <v>329.97</v>
    <v>331.42</v>
    <v>321.85000000000002</v>
    <v>324.57</v>
    <v>329.9</v>
    <v>324.22000000000003</v>
    <v>323.41000000000003</v>
    <v>322.79000000000002</v>
    <v>325.73</v>
    <v>330.6</v>
    <v>323.06</v>
    <v>320.51</v>
    <v>308</v>
    <v>303.68</v>
    <v>305.14</v>
    <v>312.10000000000002</v>
    <v>321.35000000000002</v>
    <v>354.56</v>
    <v>354.4</v>
    <v>347.46</v>
    <v>350</v>
    <v>353.69</v>
    <v>351.7</v>
    <v>354.41</v>
    <v>355.67</v>
    <v>356.82</v>
    <v>352.1</v>
    <v>344.51</v>
    <v>337</v>
    <v>334.7</v>
    <v>335.06</v>
    <v>336.01</v>
    <v>333.19</v>
    <v>337.94</v>
    <v>336.34</v>
    <v>341.19</v>
    <v>347.56</v>
    <v>348.68</v>
    <v>349.89</v>
    <v>347.86</v>
    <v>347.86</v>
    <v>344.41</v>
    <v>339.65</v>
    <v>337.07</v>
    <v>336.13</v>
    <v>339.67</v>
    <v>339.34</v>
    <v>341.67</v>
    <v>338.38</v>
    <v>336.08</v>
    <v>335.01</v>
    <v>337.59</v>
    <v>340.79</v>
    <v>345.95</v>
    <v>347.35</v>
    <v>344.99</v>
    <v>350.68</v>
    <v>349.5</v>
    <v>344.8</v>
    <v>359.27</v>
    <v>365.03</v>
    <v>363.39</v>
    <v>360.75</v>
    <v>357.37</v>
    <v>355.04</v>
    <v>350.53</v>
    <v>351.3</v>
    <v>352.19</v>
    <v>350.84</v>
    <v>355</v>
    <v>347.55</v>
    <v>347.81</v>
    <v>343.11</v>
    <v>332.99</v>
    <v>338.15</v>
    <v>333.58</v>
    <v>334</v>
    <v>338.72</v>
    <v>337.89</v>
    <v>329.32</v>
    <v>324.51</v>
    <v>324.33999999999997</v>
    <v>329.63</v>
    <v>333.4</v>
    <v>333.07</v>
    <v>328.24</v>
    <v>324.62</v>
    <v>326.86</v>
    <v>328.41</v>
    <v>324.58</v>
    <v>327.64</v>
    <v>329.51</v>
    <v>332.21</v>
    <v>328.87</v>
    <v>332.22</v>
    <v>334.65</v>
    <v>334.64</v>
    <v>332.87</v>
    <v>333.81</v>
    <v>347.1</v>
    <v>350.17</v>
    <v>351.98</v>
    <v>349.6</v>
    <v>353.1</v>
    <v>356.02</v>
    <v>353.88</v>
    <v>354.6</v>
    <v>352.18</v>
    <v>362.05</v>
    <v>365.58</v>
    <v>366.86</v>
    <v>368.5</v>
    <v>370.6</v>
    <v>371.09</v>
    <v>376.48</v>
    <v>379.06</v>
    <v>373.56</v>
    <v>372.07</v>
    <v>367.07</v>
    <v>370.18</v>
    <v>364.37</v>
    <v>365.64</v>
    <v>364.89</v>
    <v>376.3</v>
    <v>376.28</v>
    <v>374.5</v>
    <v>375.63</v>
    <v>390.01</v>
    <v>391.01</v>
    <v>389.84</v>
    <v>396.53</v>
    <v>398.81</v>
    <v>396.54</v>
    <v>400.31</v>
    <v>395.86</v>
    <v>394.5</v>
    <v>394.59</v>
    <v>401.55</v>
    <v>398.8</v>
    <v>405.9</v>
    <v>411.34</v>
    <v>412.5</v>
    <v>414.97</v>
    <v>417.65</v>
    <v>420.89</v>
    <v>411.7</v>
    <v>405.37</v>
    <v>408.56</v>
    <v>409.8</v>
    <v>408.63</v>
    <v>410.38</v>
    <v>409.5</v>
    <v>408.64</v>
    <v>411.63</v>
    <v>410.95</v>
    <v>413.05</v>
    <v>413.21</v>
    <v>412.7</v>
    <v>411.92</v>
    <v>406.72</v>
    <v>405.85</v>
    <v>407.96</v>
    <v>405.64</v>
    <v>400.25</v>
    <v>401.74</v>
    <v>401.1</v>
    <v>401.49</v>
    <v>397.89</v>
    <v>399.16</v>
    <v>400.28</v>
    <v>397.25</v>
    <v>397.35</v>
    <v>389.37</v>
    <v>398.07</v>
    <v>398.69</v>
    <v>395.56</v>
    <v>398.87</v>
    <v>404.95</v>
    <v>401.46</v>
    <v>398.1</v>
    <v>400.44</v>
    <v>404.89</v>
    <v>409.36</v>
    <v>410.26</v>
    <v>411.66</v>
    <v>409.95</v>
    <v>412.11</v>
    <v>416.04</v>
    <v>418.54</v>
    <v>414.74</v>
    <v>420.05</v>
    <v>419.7</v>
    <v>409.06</v>
    <v>412.97</v>
    <v>414.64</v>
    <v>415.77</v>
    <v>417.7</v>
    <v>413.54</v>
    <v>415.1</v>
    <v>409.17</v>
    <v>412.08</v>
    <v>412.22</v>
    <v>415.57</v>
    <v>421.9</v>
    <v>421.54</v>
    <v>411.19</v>
    <v>415.12</v>
    <v>410.87</v>
    <v>411.78</v>
    <v>407.74</v>
    <v>405.96</v>
    <v>409.67</v>
    <v>417.21</v>
    <v>421.78</v>
    <v>417.32</v>
    <v>427.89</v>
    <v>429.71</v>
    <v>425.36</v>
    <v>423.41</v>
    <v>419.74</v>
    <v>416.85</v>
    <v>418.76</v>
    <v>418.3</v>
    <v>416.27</v>
    <v>417.35</v>
    <v>423.71</v>
    <v>422.86</v>
    <v>421.24</v>
    <v>415.39</v>
    <v>414.55</v>
    <v>403.91</v>
    <v>414.52</v>
    <v>412.54</v>
    <v>417.52</v>
    <v>416.84</v>
    <v>420.16</v>
    <v>412.7</v>
    <v>412.34</v>
    <v>408.7</v>
    <v>408.03</v>
    <v>407.08</v>
    <v>405.27</v>
    <v>398.62</v>
    <v>400.41</v>
    <v>390.74</v>
    <v>392.43</v>
    <v>387.01</v>
    <v>393.43</v>
    <v>394.25</v>
    <v>404.7</v>
    <v>408.46</v>
    <v>404.99</v>
    <v>403.24</v>
    <v>403.55</v>
    <v>420.36</v>
    <v>428.07</v>
    <v>424.62</v>
    <v>424.38</v>
    <v>435.09</v>
    <v>442.28</v>
    <v>449.16</v>
    <v>449.49</v>
    <v>454.64</v>
    <v>453.48</v>
    <v>455.44</v>
    <v>460.47</v>
    <v>454.11</v>
    <v>452.04</v>
    <v>457.33</v>
    <v>456.76</v>
    <v>455.81</v>
    <v>462.62</v>
    <v>464.35</v>
    <v>459.9</v>
    <v>457.39</v>
    <v>458.99</v>
    <v>450.8</v>
    <v>449.62</v>
    <v>448.95</v>
    <v>449.47</v>
    <v>440</v>
    <v>437.54</v>
    <v>447.13</v>
    <v>450.16</v>
    <v>439.91</v>
    <v>452</v>
    <v>444.22</v>
    <v>444.34</v>
    <v>446.02</v>
    <v>449.32</v>
    <v>460.11</v>
    <v>464.73</v>
    <v>468.86</v>
    <v>473.32</v>
    <v>478.23</v>
    <v>478.14</v>
    <v>479.46</v>
    <v>494.38</v>
    <v>492.86</v>
    <v>487.12</v>
    <v>483.73</v>
    <v>487.21</v>
    <v>494.13</v>
    <v>495.38</v>
    <v>499.5</v>
    <v>502.94</v>
    <v>505.58</v>
    <v>504.43</v>
    <v>502.14</v>
    <v>502.28</v>
    <v>490.9</v>
    <v>489.69</v>
    <v>469.65</v>
    <v>458.6</v>
    <v>465</v>
    <v>469</v>
    <v>473.72</v>
    <v>467.43</v>
    <v>468.69</v>
    <v>460.99</v>
    <v>462.52</v>
    <v>463</v>
    <v>461.17</v>
    <v>462.27</v>
    <v>456.84</v>
    <v>458.43</v>
    <v>461.6</v>
    <v>466.06</v>
    <v>472.57</v>
    <v>468.41</v>
    <v>479.78</v>
    <v>488.77</v>
    <v>483.17</v>
    <v>483.7</v>
    <v>493.41</v>
    <v>498.1</v>
    <v>486.72</v>
    <v>478.13</v>
    <v>474.4</v>
    <v>478.23</v>
    <v>480.05</v>
    <v>470.34</v>
    <v>467.81</v>
    <v>462.51</v>
    <v>459.62</v>
    <v>455.89</v>
    <v>475.75</v>
    <v>475.87</v>
    <v>476.25</v>
    <v>485.38</v>
    <v>486.59</v>
    <v>498.65</v>
    <v>486.87</v>
    <v>473.46</v>
    <v>485.57</v>
    <v>491.44</v>
    <v>482.87</v>
    <v>487.92</v>
    <v>497.91</v>
    <v>498.26</v>
    <v>507.02</v>
    <v>506.12</v>
    <v>507.66</v>
    <v>505.32</v>
    <v>503.23</v>
    <v>513.46</v>
    <v>513.03</v>
    <v>513.20000000000005</v>
    <v>510.73</v>
    <v>520.82000000000005</v>
    <v>509.97</v>
    <v>512.59</v>
    <v>510.02</v>
    <v>517.76</v>
    <v>531.75</v>
    <v>536.95000000000005</v>
    <v>545.96</v>
    <v>537.44000000000005</v>
    <v>533.71</v>
    <v>537</v>
    <v>534.82000000000005</v>
    <v>534.08000000000004</v>
    <v>537.70000000000005</v>
    <v>546.01</v>
    <v>537.44000000000005</v>
    <v>520.94000000000005</v>
    <v>524.27</v>
    <v>513.78</v>
    <v>513.80999999999995</v>
    <v>524.41999999999996</v>
    <v>508.55</v>
    <v>501.15</v>
    <v>499.62</v>
    <v>507.62</v>
    <v>494.72</v>
    <v>499.62</v>
    <v>486.42</v>
    <v>488.01</v>
    <v>486.15</v>
    <v>478.8</v>
    <v>485.4</v>
    <v>489.22</v>
    <v>492.53</v>
    <v>471.38</v>
    <v>478.55</v>
    <v>485.73</v>
    <v>492.08</v>
    <v>497.56</v>
    <v>498.09</v>
    <v>502.23</v>
    <v>507.11</v>
    <v>496.78</v>
    <v>492.55</v>
    <v>492.26</v>
    <v>485.61</v>
    <v>490.18</v>
    <v>497.1</v>
    <v>493.53</v>
    <v>489.43</v>
    <v>484.63</v>
    <v>469.7</v>
    <v>461.75</v>
    <v>464.33</v>
    <v>456.09</v>
    <v>452.06</v>
    <v>480.32</v>
    <v>489.68</v>
    <v>499.81</v>
    <v>495.64</v>
    <v>505.66</v>
    <v>508.44</v>
    <v>515.71</v>
    <v>513.63</v>
    <v>517.4</v>
    <v>505.24</v>
    <v>515.29</v>
    <v>514.38</v>
    <v>518.63</v>
    <v>516.95000000000005</v>
    <v>514.41999999999996</v>
    <v>501.24</v>
    <v>502.43</v>
    <v>529.75</v>
    <v>519.37</v>
    <v>533.45000000000005</v>
    <v>519.47</v>
    <v>522.46</v>
    <v>521.41</v>
    <v>529.47</v>
    <v>531.59</v>
    <v>534.61</v>
    <v>541.49</v>
    <v>542.34</v>
    <v>535.38</v>
    <v>535.46</v>
    <v>540.65</v>
    <v>533.75</v>
    <v>535.05999999999995</v>
    <v>536.6</v>
    <v>537.26</v>
    <v>537.72</v>
    <v>532.86</v>
    <v>543.70000000000005</v>
    <v>544.64</v>
    <v>546.12</v>
    <v>545</v>
    <v>545.22</v>
    <v>548.32000000000005</v>
    <v>544.57000000000005</v>
    <v>535.79999999999995</v>
    <v>536.46</v>
    <v>541.57000000000005</v>
    <v>529.25</v>
    <v>529.77</v>
    <v>522.84</v>
    <v>519.33000000000004</v>
    <v>524</v>
    <v>516.35</v>
    <v>517.67999999999995</v>
    <v>521.67999999999995</v>
    <v>527.51</v>
    <v>524.34</v>
    <v>531.25</v>
    <v>513.96</v>
    <v>509.77</v>
    <v>522.91</v>
    <v>521.02</v>
    <v>523.54999999999995</v>
    <v>522.79999999999995</v>
    <v>512.08000000000004</v>
    <v>517.46</v>
    <v>513.61</v>
    <v>508.36</v>
    <v>508.37</v>
    <v>513.94000000000005</v>
    <v>508.83</v>
    <v>505.04</v>
    <v>515.51</v>
    <v>523.16999999999996</v>
    <v>527.07000000000005</v>
    <v>519.13</v>
    <v>504.85</v>
    <v>498.86</v>
    <v>499.81</v>
    <v>499.96</v>
    <v>509.91</v>
    <v>513.13</v>
    <v>521.88</v>
    <v>522.21</v>
    <v>520.32000000000005</v>
    <v>520.88</v>
    <v>533.73</v>
    <v>541.6</v>
    <v>540.22</v>
    <v>543.16999999999996</v>
    <v>541.79999999999995</v>
    <v>551.24</v>
    <v>555.15</v>
    <v>547.30999999999995</v>
    <v>543.42999999999995</v>
    <v>543.61</v>
    <v>538.16999999999996</v>
    <v>545.02</v>
    <v>553.04999999999995</v>
    <v>540.66</v>
    <v>544.16999999999996</v>
    <v>522.08000000000004</v>
    <v>513.75</v>
    <v>503.01</v>
    <v>511.52</v>
    <v>515.30999999999995</v>
    <v>530</v>
    <v>517.19000000000005</v>
    <v>523.09</v>
    <v>529.71</v>
    <v>537.62</v>
    <v>532.27</v>
    <v>528</v>
    <v>547.76</v>
    <v>536.91</v>
    <v>536.16</v>
    <v>535.04</v>
    <v>539.32000000000005</v>
    <v>542.91</v>
    <v>547.91999999999996</v>
    <v>539.20000000000005</v>
    <v>545.86</v>
    <v>538.22</v>
    <v>538.36</v>
    <v>527.67999999999995</v>
    <v>523.70000000000005</v>
    <v>523.6</v>
    <v>520.21</v>
    <v>527.54</v>
    <v>527.09</v>
    <v>531.30999999999995</v>
    <v>531.99</v>
    <v>528.45000000000005</v>
    <v>529.88</v>
    <v>530.17999999999995</v>
  </a>
  <a r="1" c="1510">
    <v>29.68</v>
    <v>29.767499999999998</v>
    <v>29.75</v>
    <v>29.662500000000001</v>
    <v>29.587499999999999</v>
    <v>29.645</v>
    <v>29.852499999999999</v>
    <v>29.875</v>
    <v>29.762499999999999</v>
    <v>30.055</v>
    <v>30.0075</v>
    <v>29.82</v>
    <v>29.815000000000001</v>
    <v>29.695</v>
    <v>29.702500000000001</v>
    <v>29.754999999999999</v>
    <v>29.6875</v>
    <v>30.342500000000001</v>
    <v>30.612500000000001</v>
    <v>30.93</v>
    <v>30.655000000000001</v>
    <v>30.864999999999998</v>
    <v>31.052499999999998</v>
    <v>30.965</v>
    <v>31.0825</v>
    <v>31.574999999999999</v>
    <v>31.162500000000001</v>
    <v>31.3675</v>
    <v>31.5</v>
    <v>31.5</v>
    <v>31.322500000000002</v>
    <v>31.547499999999999</v>
    <v>31.715</v>
    <v>32.064999999999998</v>
    <v>32.11</v>
    <v>32.292499999999997</v>
    <v>32.74</v>
    <v>32.467500000000001</v>
    <v>32.75</v>
    <v>32.352499999999999</v>
    <v>32.734999999999999</v>
    <v>32.700000000000003</v>
    <v>32.659999999999997</v>
    <v>32.662500000000001</v>
    <v>32.36</v>
    <v>32.1875</v>
    <v>32.515000000000001</v>
    <v>32.615000000000002</v>
    <v>32.642499999999998</v>
    <v>32.975000000000001</v>
    <v>32.475000000000001</v>
    <v>32.557499999999997</v>
    <v>32.472499999999997</v>
    <v>32.962499999999999</v>
    <v>33.102499999999999</v>
    <v>33.022500000000001</v>
    <v>33.200000000000003</v>
    <v>32.774999999999999</v>
    <v>32.814999999999998</v>
    <v>32.637500000000003</v>
    <v>32.032499999999999</v>
    <v>32.092500000000001</v>
    <v>32.18</v>
    <v>32.384999999999998</v>
    <v>32.659999999999997</v>
    <v>32.44</v>
    <v>32.232500000000002</v>
    <v>32.357500000000002</v>
    <v>32.33</v>
    <v>32.627499999999998</v>
    <v>32.692500000000003</v>
    <v>32.727499999999999</v>
    <v>32.984999999999999</v>
    <v>32.875</v>
    <v>32.717500000000001</v>
    <v>33.255000000000003</v>
    <v>33.1875</v>
    <v>33.229999999999997</v>
    <v>33.207500000000003</v>
    <v>33.380000000000003</v>
    <v>33.39</v>
    <v>33.26</v>
    <v>33.505000000000003</v>
    <v>33.340000000000003</v>
    <v>33.585000000000001</v>
    <v>33.582500000000003</v>
    <v>33.737499999999997</v>
    <v>33.442500000000003</v>
    <v>33.542499999999997</v>
    <v>33.659999999999997</v>
    <v>33.887500000000003</v>
    <v>34.032499999999999</v>
    <v>33.975000000000001</v>
    <v>34.112499999999997</v>
    <v>34.234999999999999</v>
    <v>34.322499999999998</v>
    <v>34.587499999999999</v>
    <v>34.74</v>
    <v>35.037500000000001</v>
    <v>35.174999999999997</v>
    <v>35.177500000000002</v>
    <v>35.162500000000001</v>
    <v>35.36</v>
    <v>35.475000000000001</v>
    <v>35.677500000000002</v>
    <v>35.462499999999999</v>
    <v>35.479999999999997</v>
    <v>35.645000000000003</v>
    <v>35.362499999999997</v>
    <v>35.06</v>
    <v>34.854999999999997</v>
    <v>34.987499999999997</v>
    <v>35.287500000000001</v>
    <v>35.467500000000001</v>
    <v>35.71</v>
    <v>35.597499999999997</v>
    <v>35.49</v>
    <v>35.265000000000001</v>
    <v>35.397500000000001</v>
    <v>35.784999999999997</v>
    <v>36.057499999999997</v>
    <v>35.567500000000003</v>
    <v>35.255000000000003</v>
    <v>34.9925</v>
    <v>35.032499999999999</v>
    <v>34.905000000000001</v>
    <v>34.704999999999998</v>
    <v>34.892499999999998</v>
    <v>35.119999999999997</v>
    <v>35.2575</v>
    <v>35.1875</v>
    <v>35.195</v>
    <v>35.145000000000003</v>
    <v>35.414999999999999</v>
    <v>35.2425</v>
    <v>35.372500000000002</v>
    <v>35.450000000000003</v>
    <v>35.869999999999997</v>
    <v>36.092500000000001</v>
    <v>35.787500000000001</v>
    <v>35.777500000000003</v>
    <v>36.372500000000002</v>
    <v>36.162500000000001</v>
    <v>36.28</v>
    <v>36.522500000000001</v>
    <v>36.642499999999998</v>
    <v>36.685000000000002</v>
    <v>36.884999999999998</v>
    <v>36.6875</v>
    <v>36.772500000000001</v>
    <v>36.837499999999999</v>
    <v>36.81</v>
    <v>36.93</v>
    <v>36.795000000000002</v>
    <v>37.015000000000001</v>
    <v>37.262500000000003</v>
    <v>37.494999999999997</v>
    <v>37.152500000000003</v>
    <v>37.482500000000002</v>
    <v>37.612499999999997</v>
    <v>37.71</v>
    <v>37.409999999999997</v>
    <v>37.327500000000001</v>
    <v>37.524999999999999</v>
    <v>37.72</v>
    <v>37.68</v>
    <v>37.655000000000001</v>
    <v>37.627499999999998</v>
    <v>37.54</v>
    <v>37.564999999999998</v>
    <v>37.0625</v>
    <v>37.372500000000002</v>
    <v>37.064999999999998</v>
    <v>37.85</v>
    <v>37.282499999999999</v>
    <v>37.045000000000002</v>
    <v>37.387500000000003</v>
    <v>37.522500000000001</v>
    <v>37.075000000000003</v>
    <v>36.979999999999997</v>
    <v>36.685000000000002</v>
    <v>36.695</v>
    <v>36.590000000000003</v>
    <v>36.704999999999998</v>
    <v>36.924999999999997</v>
    <v>36.5625</v>
    <v>36.747500000000002</v>
    <v>36.637500000000003</v>
    <v>36.685000000000002</v>
    <v>36.722499999999997</v>
    <v>37.142499999999998</v>
    <v>36.94</v>
    <v>36.8675</v>
    <v>36.975000000000001</v>
    <v>37.2575</v>
    <v>37.467500000000001</v>
    <v>37.674999999999997</v>
    <v>37.637500000000003</v>
    <v>37.880000000000003</v>
    <v>38.167499999999997</v>
    <v>38.134999999999998</v>
    <v>38.467500000000001</v>
    <v>38.54</v>
    <v>38.594999999999999</v>
    <v>38.555</v>
    <v>38.465000000000003</v>
    <v>38.347499999999997</v>
    <v>38.96</v>
    <v>38.840000000000003</v>
    <v>38.767499999999998</v>
    <v>38.344999999999999</v>
    <v>37.465000000000003</v>
    <v>38.162500000000001</v>
    <v>37.965000000000003</v>
    <v>38.872500000000002</v>
    <v>38.729999999999997</v>
    <v>38.8125</v>
    <v>38.79</v>
    <v>39.195</v>
    <v>39.6</v>
    <v>39.340000000000003</v>
    <v>39.322499999999998</v>
    <v>39.01</v>
    <v>38.979999999999997</v>
    <v>39.052500000000002</v>
    <v>38.795000000000002</v>
    <v>39.0075</v>
    <v>39.25</v>
    <v>39.447499999999998</v>
    <v>39.442500000000003</v>
    <v>39.51</v>
    <v>39.3675</v>
    <v>38.9925</v>
    <v>38.909999999999997</v>
    <v>39.445</v>
    <v>39.545000000000002</v>
    <v>39.7575</v>
    <v>39.8125</v>
    <v>39.267499999999998</v>
    <v>39.1175</v>
    <v>39.494999999999997</v>
    <v>39.607500000000002</v>
    <v>39.087499999999999</v>
    <v>38.524999999999999</v>
    <v>38.409999999999997</v>
    <v>38.619999999999997</v>
    <v>38.634999999999998</v>
    <v>38.5</v>
    <v>38.822499999999998</v>
    <v>39.087499999999999</v>
    <v>39.047499999999999</v>
    <v>38.772500000000001</v>
    <v>37.950000000000003</v>
    <v>37.755000000000003</v>
    <v>37.927500000000002</v>
    <v>38.24</v>
    <v>37.96</v>
    <v>37.647500000000001</v>
    <v>37.625</v>
    <v>37.58</v>
    <v>37.634999999999998</v>
    <v>37.97</v>
    <v>37.695</v>
    <v>37.54</v>
    <v>37.505000000000003</v>
    <v>38.18</v>
    <v>37.712499999999999</v>
    <v>38.272500000000001</v>
    <v>39.422499999999999</v>
    <v>38.92</v>
    <v>38.774999999999999</v>
    <v>39.604999999999997</v>
    <v>39.085000000000001</v>
    <v>38.979999999999997</v>
    <v>38.572499999999998</v>
    <v>37.39</v>
    <v>37.022500000000001</v>
    <v>36.322499999999998</v>
    <v>37.024999999999999</v>
    <v>37.5</v>
    <v>37.767499999999998</v>
    <v>37.520000000000003</v>
    <v>38.607500000000002</v>
    <v>39.012500000000003</v>
    <v>38.452500000000001</v>
    <v>37.94</v>
    <v>38.077500000000001</v>
    <v>39.064999999999998</v>
    <v>38.662500000000001</v>
    <v>37.92</v>
    <v>38.037500000000001</v>
    <v>38.307499999999997</v>
    <v>38.212499999999999</v>
    <v>38.755000000000003</v>
    <v>38.314999999999998</v>
    <v>38.262500000000003</v>
    <v>38.577500000000001</v>
    <v>38.702500000000001</v>
    <v>38.597499999999997</v>
    <v>38.667499999999997</v>
    <v>39.502499999999998</v>
    <v>39.534999999999997</v>
    <v>40.26</v>
    <v>39.982500000000002</v>
    <v>40.104999999999997</v>
    <v>40.020000000000003</v>
    <v>40.472499999999997</v>
    <v>39.872500000000002</v>
    <v>40.357500000000002</v>
    <v>40.647500000000001</v>
    <v>40.567500000000003</v>
    <v>40.832500000000003</v>
    <v>40.592500000000001</v>
    <v>40.5</v>
    <v>40.582500000000003</v>
    <v>41</v>
    <v>40.6875</v>
    <v>40.532499999999999</v>
    <v>40.450000000000003</v>
    <v>40.26</v>
    <v>39.767499999999998</v>
    <v>40.055</v>
    <v>40.53</v>
    <v>40.805</v>
    <v>40.715000000000003</v>
    <v>40.634999999999998</v>
    <v>40.197499999999998</v>
    <v>40.282499999999999</v>
    <v>40.542499999999997</v>
    <v>40.082500000000003</v>
    <v>40.802500000000002</v>
    <v>40.99</v>
    <v>40.977499999999999</v>
    <v>40.805</v>
    <v>40.862499999999997</v>
    <v>40.765000000000001</v>
    <v>41.022500000000001</v>
    <v>40.837499999999999</v>
    <v>39.977499999999999</v>
    <v>39.572499999999998</v>
    <v>40.057499999999997</v>
    <v>40.185000000000002</v>
    <v>40.049999999999997</v>
    <v>39.712499999999999</v>
    <v>39.292499999999997</v>
    <v>39.104999999999997</v>
    <v>39.112499999999997</v>
    <v>40.055</v>
    <v>39.857500000000002</v>
    <v>40.07</v>
    <v>40.299999999999997</v>
    <v>40.604999999999997</v>
    <v>40.932499999999997</v>
    <v>41.317500000000003</v>
    <v>41.452500000000001</v>
    <v>40.770000000000003</v>
    <v>40.292499999999997</v>
    <v>39.825000000000003</v>
    <v>39.032499999999999</v>
    <v>39.094999999999999</v>
    <v>39.200000000000003</v>
    <v>38.85</v>
    <v>39.352499999999999</v>
    <v>39.284999999999997</v>
    <v>39.704999999999998</v>
    <v>39.884999999999998</v>
    <v>40.102499999999999</v>
    <v>40.75</v>
    <v>40.674999999999997</v>
    <v>40.842500000000001</v>
    <v>41.075000000000003</v>
    <v>41.6</v>
    <v>41.692500000000003</v>
    <v>42.02</v>
    <v>41.702500000000001</v>
    <v>41.7575</v>
    <v>42.252499999999998</v>
    <v>42.14</v>
    <v>42.134999999999998</v>
    <v>42.577500000000001</v>
    <v>41.33</v>
    <v>41.86</v>
    <v>42.102499999999999</v>
    <v>42.122500000000002</v>
    <v>42.38</v>
    <v>42.375</v>
    <v>42.552500000000002</v>
    <v>42.354999999999997</v>
    <v>42.5625</v>
    <v>42.4925</v>
    <v>42.207500000000003</v>
    <v>42.552500000000002</v>
    <v>41.9375</v>
    <v>42.04</v>
    <v>41.744999999999997</v>
    <v>41.557499999999997</v>
    <v>41.884999999999998</v>
    <v>41.975000000000001</v>
    <v>42.362499999999997</v>
    <v>42.787500000000001</v>
    <v>42.752499999999998</v>
    <v>42.657499999999999</v>
    <v>42.52</v>
    <v>42.712499999999999</v>
    <v>42.732500000000002</v>
    <v>42.825000000000003</v>
    <v>42.984999999999999</v>
    <v>43.192500000000003</v>
    <v>43.697499999999998</v>
    <v>43.792499999999997</v>
    <v>43.575000000000003</v>
    <v>43.157499999999999</v>
    <v>42.927500000000002</v>
    <v>42.907499999999999</v>
    <v>43.174999999999997</v>
    <v>42.865000000000002</v>
    <v>42.64</v>
    <v>42.6325</v>
    <v>42.707500000000003</v>
    <v>42.524999999999999</v>
    <v>42.5075</v>
    <v>42.905000000000001</v>
    <v>43.454999999999998</v>
    <v>43.024999999999999</v>
    <v>43.0075</v>
    <v>43.037500000000001</v>
    <v>43.125</v>
    <v>43.65</v>
    <v>43.412500000000001</v>
    <v>43.465000000000003</v>
    <v>43.36</v>
    <v>42.292499999999997</v>
    <v>42.317500000000003</v>
    <v>42.69</v>
    <v>42.202500000000001</v>
    <v>41.712499999999999</v>
    <v>41.112499999999997</v>
    <v>41.397500000000001</v>
    <v>41.9</v>
    <v>41.747500000000002</v>
    <v>42.335000000000001</v>
    <v>42.06</v>
    <v>42.3125</v>
    <v>43.092500000000001</v>
    <v>43.33</v>
    <v>43.432499999999997</v>
    <v>43.1875</v>
    <v>42.272500000000001</v>
    <v>42.34</v>
    <v>42.41</v>
    <v>42.822499999999998</v>
    <v>42.704999999999998</v>
    <v>42.892499999999998</v>
    <v>43.365000000000002</v>
    <v>43.164999999999999</v>
    <v>42.657499999999999</v>
    <v>43.9</v>
    <v>43.3</v>
    <v>42.472499999999997</v>
    <v>43.195</v>
    <v>43.387500000000003</v>
    <v>43.125</v>
    <v>42.6175</v>
    <v>42.037500000000001</v>
    <v>42.677500000000002</v>
    <v>42.865000000000002</v>
    <v>43.384999999999998</v>
    <v>43.49</v>
    <v>44.14</v>
    <v>44.622500000000002</v>
    <v>44.664999999999999</v>
    <v>44.204999999999998</v>
    <v>44.795000000000002</v>
    <v>45.097499999999997</v>
    <v>45.502499999999998</v>
    <v>44.692500000000003</v>
    <v>44.045000000000002</v>
    <v>44.332500000000003</v>
    <v>44.2575</v>
    <v>44.5</v>
    <v>44.512500000000003</v>
    <v>44.28</v>
    <v>45.427500000000002</v>
    <v>45.622500000000002</v>
    <v>45.542499999999997</v>
    <v>45.664999999999999</v>
    <v>45.715000000000003</v>
    <v>45.652500000000003</v>
    <v>45.744999999999997</v>
    <v>45.327500000000001</v>
    <v>45.55</v>
    <v>45.31</v>
    <v>43.912500000000001</v>
    <v>44</v>
    <v>43.63</v>
    <v>43.727499999999999</v>
    <v>43.527500000000003</v>
    <v>42.02</v>
    <v>42.585000000000001</v>
    <v>43.04</v>
    <v>43.18</v>
    <v>43.454999999999998</v>
    <v>42.457500000000003</v>
    <v>42.352499999999999</v>
    <v>43.1325</v>
    <v>43.07</v>
    <v>43.384999999999998</v>
    <v>43.197499999999998</v>
    <v>43.847499999999997</v>
    <v>43.927500000000002</v>
    <v>42.807499999999997</v>
    <v>43.68</v>
    <v>43.67</v>
    <v>43.872500000000002</v>
    <v>44.022500000000001</v>
    <v>44.344999999999999</v>
    <v>44.844999999999999</v>
    <v>45.07</v>
    <v>43.55</v>
    <v>43.1175</v>
    <v>43.215000000000003</v>
    <v>43.397500000000001</v>
    <v>44.744999999999997</v>
    <v>44.454999999999998</v>
    <v>44.524999999999999</v>
    <v>44.542499999999997</v>
    <v>44.524999999999999</v>
    <v>45.337499999999999</v>
    <v>45.752499999999998</v>
    <v>45.752499999999998</v>
    <v>45.817500000000003</v>
    <v>45.712499999999999</v>
    <v>45.652500000000003</v>
    <v>46.01</v>
    <v>46.342500000000001</v>
    <v>46.41</v>
    <v>46.64</v>
    <v>47.032499999999999</v>
    <v>46.97</v>
    <v>47.057499999999997</v>
    <v>46.702500000000001</v>
    <v>46.93</v>
    <v>46.89</v>
    <v>47.06</v>
    <v>47.08</v>
    <v>46.892499999999998</v>
    <v>46.982500000000002</v>
    <v>47.174999999999997</v>
    <v>47.375</v>
    <v>47.722499999999997</v>
    <v>47.7425</v>
    <v>47.744999999999997</v>
    <v>47.81</v>
    <v>47.717500000000001</v>
    <v>47.125</v>
    <v>47.467500000000001</v>
    <v>47.977499999999999</v>
    <v>48.482500000000002</v>
    <v>48.402500000000003</v>
    <v>48.75</v>
    <v>48.48</v>
    <v>47.98</v>
    <v>48.33</v>
    <v>47.622500000000002</v>
    <v>47.37</v>
    <v>47.327500000000001</v>
    <v>47.1</v>
    <v>47.52</v>
    <v>47.16</v>
    <v>47.427500000000002</v>
    <v>47.155000000000001</v>
    <v>47.51</v>
    <v>47.712499999999999</v>
    <v>47.79</v>
    <v>47.38</v>
    <v>47.412500000000001</v>
    <v>47.34</v>
    <v>47.594999999999999</v>
    <v>47.447499999999998</v>
    <v>47.515000000000001</v>
    <v>47.62</v>
    <v>47.927500000000002</v>
    <v>47.942500000000003</v>
    <v>48.61</v>
    <v>48.317500000000003</v>
    <v>47.93</v>
    <v>48.102499999999999</v>
    <v>47.725000000000001</v>
    <v>47.4375</v>
    <v>46.97</v>
    <v>47.152500000000003</v>
    <v>47.94</v>
    <v>48.732500000000002</v>
    <v>48.725000000000001</v>
    <v>48.715000000000003</v>
    <v>49.277500000000003</v>
    <v>49.744999999999997</v>
    <v>49.837499999999999</v>
    <v>49.725000000000001</v>
    <v>50.482500000000002</v>
    <v>50.8825</v>
    <v>50.842500000000001</v>
    <v>50.292499999999997</v>
    <v>49.68</v>
    <v>49.734999999999999</v>
    <v>49.552500000000002</v>
    <v>49.895000000000003</v>
    <v>49.844999999999999</v>
    <v>51.162500000000001</v>
    <v>51.44</v>
    <v>51.097499999999997</v>
    <v>50.854999999999997</v>
    <v>50.4925</v>
    <v>51.137500000000003</v>
    <v>51.192500000000003</v>
    <v>51.74</v>
    <v>51.592500000000001</v>
    <v>51.354999999999997</v>
    <v>51.56</v>
    <v>51.594999999999999</v>
    <v>51.887500000000003</v>
    <v>52.05</v>
    <v>51.555</v>
    <v>50.767499999999998</v>
    <v>51.137500000000003</v>
    <v>51.215000000000003</v>
    <v>51.005000000000003</v>
    <v>51.914999999999999</v>
    <v>52.182499999999997</v>
    <v>52.027500000000003</v>
    <v>52.282499999999999</v>
    <v>52.04</v>
    <v>52.37</v>
    <v>52.6</v>
    <v>52.182499999999997</v>
    <v>52.212499999999999</v>
    <v>51.97</v>
    <v>52.477499999999999</v>
    <v>53.09</v>
    <v>52.432499999999997</v>
    <v>52.34</v>
    <v>51.825000000000003</v>
    <v>52.515000000000001</v>
    <v>51.907499999999999</v>
    <v>52.292499999999997</v>
    <v>52.844999999999999</v>
    <v>52.347499999999997</v>
    <v>51.792499999999997</v>
    <v>52.564999999999998</v>
    <v>52.852499999999999</v>
    <v>52.012500000000003</v>
    <v>52.85</v>
    <v>53.217500000000001</v>
    <v>53.805</v>
    <v>54.12</v>
    <v>53.862499999999997</v>
    <v>53.905000000000001</v>
    <v>53.74</v>
    <v>54.287500000000001</v>
    <v>54.3825</v>
    <v>54.74</v>
    <v>54.782499999999999</v>
    <v>55.314999999999998</v>
    <v>55.405000000000001</v>
    <v>55.475000000000001</v>
    <v>55.905000000000001</v>
    <v>56.002499999999998</v>
    <v>55.297499999999999</v>
    <v>55.28</v>
    <v>54.77</v>
    <v>56.39</v>
    <v>56.03</v>
    <v>54.952500000000001</v>
    <v>55.034999999999997</v>
    <v>54.972499999999997</v>
    <v>54.53</v>
    <v>55.015000000000001</v>
    <v>55.185000000000002</v>
    <v>54.622500000000002</v>
    <v>54.577500000000001</v>
    <v>55.555</v>
    <v>55.975000000000001</v>
    <v>56.225000000000001</v>
    <v>56.43</v>
    <v>56.32</v>
    <v>57.127499999999998</v>
    <v>57.342500000000001</v>
    <v>57.93</v>
    <v>57.814999999999998</v>
    <v>58.247500000000002</v>
    <v>58.0075</v>
    <v>57.277500000000003</v>
    <v>57.542499999999997</v>
    <v>58.397500000000001</v>
    <v>58.137500000000003</v>
    <v>57.4925</v>
    <v>58.34</v>
    <v>58</v>
    <v>57.384999999999998</v>
    <v>57.225000000000001</v>
    <v>56.884999999999998</v>
    <v>57.477499999999999</v>
    <v>57.772500000000001</v>
    <v>58.12</v>
    <v>58.2</v>
    <v>59.06</v>
    <v>59</v>
    <v>59.387500000000003</v>
    <v>59.22</v>
    <v>58.307499999999997</v>
    <v>58.15</v>
    <v>58.865000000000002</v>
    <v>59.585000000000001</v>
    <v>58.927500000000002</v>
    <v>57.4</v>
    <v>56.777500000000003</v>
    <v>56.872500000000002</v>
    <v>55.772500000000001</v>
    <v>55.52</v>
    <v>55.555</v>
    <v>55.805</v>
    <v>56.977499999999999</v>
    <v>57.467500000000001</v>
    <v>57.854999999999997</v>
    <v>58.04</v>
    <v>58.164999999999999</v>
    <v>58.805</v>
    <v>58.784999999999997</v>
    <v>58.344999999999999</v>
    <v>58.14</v>
    <v>58.73</v>
    <v>58.267499999999998</v>
    <v>58.454999999999998</v>
    <v>57.8125</v>
    <v>58.057499999999997</v>
    <v>58.564999999999998</v>
    <v>58.64</v>
    <v>58.597499999999997</v>
    <v>58.567500000000003</v>
    <v>58.612499999999997</v>
    <v>58.945</v>
    <v>58.475000000000001</v>
    <v>59.237499999999997</v>
    <v>59.8675</v>
    <v>59.954999999999998</v>
    <v>60.072499999999998</v>
    <v>60.162500000000001</v>
    <v>60.677500000000002</v>
    <v>59.695</v>
    <v>60.127499999999998</v>
    <v>60.49</v>
    <v>60.627499999999998</v>
    <v>60.322499999999998</v>
    <v>60.54</v>
    <v>59.655000000000001</v>
    <v>60.08</v>
    <v>60.38</v>
    <v>60.327500000000001</v>
    <v>60.3</v>
    <v>60.772500000000001</v>
    <v>60.887500000000003</v>
    <v>61.6</v>
    <v>61.932499999999997</v>
    <v>62.895000000000003</v>
    <v>63.067500000000003</v>
    <v>63.35</v>
    <v>64.222499999999997</v>
    <v>64.974999999999994</v>
    <v>65.02</v>
    <v>65.930000000000007</v>
    <v>66.685000000000002</v>
    <v>66.452500000000001</v>
    <v>66.44</v>
    <v>67.482500000000002</v>
    <v>67.05</v>
    <v>66.702500000000001</v>
    <v>66.135000000000005</v>
    <v>66.677499999999995</v>
    <v>67.082499999999996</v>
    <v>67.385000000000005</v>
    <v>67.935000000000002</v>
    <v>68.037499999999994</v>
    <v>67.564999999999998</v>
    <v>68.867500000000007</v>
    <v>69.63</v>
    <v>70.510000000000005</v>
    <v>68.667500000000004</v>
    <v>69.257499999999993</v>
    <v>69.397499999999994</v>
    <v>68.484999999999999</v>
    <v>67.582499999999996</v>
    <v>67.367500000000007</v>
    <v>63.962499999999999</v>
    <v>63.19</v>
    <v>67.087500000000006</v>
    <v>66.287499999999994</v>
    <v>70.555000000000007</v>
    <v>69.040000000000006</v>
    <v>67.954999999999998</v>
    <v>65.319999999999993</v>
    <v>63.932499999999997</v>
    <v>60.314999999999998</v>
    <v>52.222499999999997</v>
    <v>55.39</v>
    <v>50.342500000000001</v>
    <v>55.44</v>
    <v>52.66</v>
    <v>51.774999999999999</v>
    <v>47.9375</v>
    <v>45.414999999999999</v>
    <v>51.6325</v>
    <v>52.567500000000003</v>
    <v>57.774999999999999</v>
    <v>57.987499999999997</v>
    <v>61.502499999999998</v>
    <v>60.155000000000001</v>
    <v>54.557499999999997</v>
    <v>56.612499999999997</v>
    <v>55.41</v>
    <v>58.627499999999998</v>
    <v>57.122500000000002</v>
    <v>58.375</v>
    <v>61.32</v>
    <v>59.052500000000002</v>
    <v>60.594999999999999</v>
    <v>59.305</v>
    <v>59.37</v>
    <v>61.564999999999998</v>
    <v>59.402500000000003</v>
    <v>58.854999999999997</v>
    <v>61.792499999999997</v>
    <v>60.284999999999997</v>
    <v>59.924999999999997</v>
    <v>60.9</v>
    <v>59.825000000000003</v>
    <v>58.782499999999999</v>
    <v>57.78</v>
    <v>56.762500000000003</v>
    <v>57.522500000000001</v>
    <v>57.524999999999999</v>
    <v>55.664999999999999</v>
    <v>56.12</v>
    <v>57.432499999999997</v>
    <v>56.844999999999999</v>
    <v>56.982500000000002</v>
    <v>57.53</v>
    <v>58.057499999999997</v>
    <v>56.962499999999999</v>
    <v>58.862499999999997</v>
    <v>57.625</v>
    <v>58.197499999999998</v>
    <v>57.225000000000001</v>
    <v>58.462499999999999</v>
    <v>58.577500000000001</v>
    <v>60.282499999999999</v>
    <v>62.84</v>
    <v>63.89</v>
    <v>63.912500000000001</v>
    <v>64.150000000000006</v>
    <v>64.894999999999996</v>
    <v>62.972499999999997</v>
    <v>63.594999999999999</v>
    <v>65.12</v>
    <v>64.667500000000004</v>
    <v>64.197500000000005</v>
    <v>62.082500000000003</v>
    <v>61.727499999999999</v>
    <v>62.142499999999998</v>
    <v>62.042499999999997</v>
    <v>62.25</v>
    <v>62.232500000000002</v>
    <v>60.552500000000002</v>
    <v>61.76</v>
    <v>60.802500000000002</v>
    <v>60.417499999999997</v>
    <v>59.79</v>
    <v>59.055</v>
    <v>59.56</v>
    <v>60.042499999999997</v>
    <v>61.564999999999998</v>
    <v>61.6</v>
    <v>61.74</v>
    <v>61.68</v>
    <v>63.317500000000003</v>
    <v>62.997500000000002</v>
    <v>64.900000000000006</v>
    <v>64.06</v>
    <v>65.637500000000003</v>
    <v>64.75</v>
    <v>67.094999999999999</v>
    <v>68.844999999999999</v>
    <v>68.582499999999996</v>
    <v>69.082499999999996</v>
    <v>70.105000000000004</v>
    <v>70.242500000000007</v>
    <v>70.0625</v>
    <v>69.407499999999999</v>
    <v>70.010000000000005</v>
    <v>70.36</v>
    <v>70.584999999999994</v>
    <v>70.174999999999997</v>
    <v>69.397499999999994</v>
    <v>71.262500000000003</v>
    <v>70.944999999999993</v>
    <v>70.702500000000001</v>
    <v>71.944999999999993</v>
    <v>70.91</v>
    <v>69.447500000000005</v>
    <v>71.147499999999994</v>
    <v>71.099999999999994</v>
    <v>70.125</v>
    <v>70.747500000000002</v>
    <v>70.762500000000003</v>
    <v>70.584999999999994</v>
    <v>70.527500000000003</v>
    <v>70.602500000000006</v>
    <v>70.657499999999999</v>
    <v>70.327500000000001</v>
    <v>69.75</v>
    <v>69.72</v>
    <v>69.887500000000003</v>
    <v>69.792500000000004</v>
    <v>69.282499999999999</v>
    <v>72.064999999999998</v>
    <v>70.147499999999994</v>
    <v>69.33</v>
    <v>69.477500000000006</v>
    <v>70.592500000000001</v>
    <v>69.227500000000006</v>
    <v>69.537499999999994</v>
    <v>70.48</v>
    <v>73.924999999999997</v>
    <v>70.087500000000006</v>
    <v>69.88</v>
    <v>69.23</v>
    <v>69.05</v>
    <v>69.515000000000001</v>
    <v>68.327500000000001</v>
    <v>69.385000000000005</v>
    <v>70.454999999999998</v>
    <v>71.034999999999997</v>
    <v>70.78</v>
    <v>69.39</v>
    <v>70.69</v>
    <v>70.292500000000004</v>
    <v>71.977500000000006</v>
    <v>72.569999999999993</v>
    <v>74.28</v>
    <v>75.260000000000005</v>
    <v>75.727500000000006</v>
    <v>76.417500000000004</v>
    <v>75.367500000000007</v>
    <v>75.16</v>
    <v>74.614999999999995</v>
    <v>76.400000000000006</v>
    <v>74.887500000000003</v>
    <v>75.247500000000002</v>
    <v>74.42</v>
    <v>75.567499999999995</v>
    <v>75.767499999999998</v>
    <v>75.662499999999994</v>
    <v>75.78</v>
    <v>74.459999999999994</v>
    <v>74.010000000000005</v>
    <v>73.209999999999994</v>
    <v>75.13</v>
    <v>76.02</v>
    <v>73.319999999999993</v>
    <v>74.75</v>
    <v>75.72</v>
    <v>75.510000000000005</v>
    <v>75.989999999999995</v>
    <v>77.540000000000006</v>
    <v>76.67</v>
    <v>77.19</v>
    <v>77.75</v>
    <v>76.61</v>
    <v>75.790000000000006</v>
    <v>75.13</v>
    <v>75.55</v>
    <v>74.569999999999993</v>
    <v>74.98</v>
    <v>75.97</v>
    <v>75.13</v>
    <v>73.59</v>
    <v>74.150000000000006</v>
    <v>74.31</v>
    <v>73.349999999999994</v>
    <v>72.52</v>
    <v>73.27</v>
    <v>73.680000000000007</v>
    <v>73.67</v>
    <v>73.28</v>
    <v>73.8</v>
    <v>73.55</v>
    <v>74.91</v>
    <v>74.44</v>
    <v>75.06</v>
    <v>74.510000000000005</v>
    <v>74.400000000000006</v>
    <v>74.709999999999994</v>
    <v>74.33</v>
    <v>74.98</v>
    <v>75.489999999999995</v>
    <v>75.33</v>
    <v>75.91</v>
    <v>77.150000000000006</v>
    <v>74.22</v>
    <v>74.77</v>
    <v>78.430000000000007</v>
    <v>79.290000000000006</v>
    <v>81.13</v>
    <v>79.69</v>
    <v>79.75</v>
    <v>81.84</v>
    <v>82.53</v>
    <v>82.04</v>
    <v>82.81</v>
    <v>84.05</v>
    <v>83.71</v>
    <v>84.21</v>
    <v>86.87</v>
    <v>85.23</v>
    <v>80.19</v>
    <v>82.46</v>
    <v>80.87</v>
    <v>81.7</v>
    <v>82.93</v>
    <v>83.05</v>
    <v>83</v>
    <v>83.6</v>
    <v>83.4</v>
    <v>83.83</v>
    <v>83.91</v>
    <v>83.95</v>
    <v>83.13</v>
    <v>81.19</v>
    <v>80.680000000000007</v>
    <v>80.73</v>
    <v>78.099999999999994</v>
    <v>75.099999999999994</v>
    <v>74.709999999999994</v>
    <v>73.760000000000005</v>
    <v>74.06</v>
    <v>73.48</v>
    <v>75.91</v>
    <v>75.540000000000006</v>
    <v>72.52</v>
    <v>71.290000000000006</v>
    <v>70.7</v>
    <v>70.86</v>
    <v>74.02</v>
    <v>74.459999999999994</v>
    <v>74.86</v>
    <v>75.67</v>
    <v>75.52</v>
    <v>75.38</v>
    <v>72.959999999999994</v>
    <v>71.13</v>
    <v>70.84</v>
    <v>71.69</v>
    <v>74.02</v>
    <v>72.83</v>
    <v>73.45</v>
    <v>74.06</v>
    <v>74.8</v>
    <v>74.22</v>
    <v>75.61</v>
    <v>75.77</v>
    <v>76.78</v>
    <v>77.56</v>
    <v>77.41</v>
    <v>77.760000000000005</v>
    <v>77.94</v>
    <v>77.64</v>
    <v>79.040000000000006</v>
    <v>79.13</v>
    <v>80.180000000000007</v>
    <v>80.94</v>
    <v>79.790000000000006</v>
    <v>80.53</v>
    <v>77.97</v>
    <v>78.319999999999993</v>
    <v>78.239999999999995</v>
    <v>77.930000000000007</v>
    <v>77.28</v>
    <v>77.09</v>
    <v>77.22</v>
    <v>77.510000000000005</v>
    <v>76.7</v>
    <v>75.69</v>
    <v>73.78</v>
    <v>74.010000000000005</v>
    <v>74.53</v>
    <v>74.8</v>
    <v>74.069999999999993</v>
    <v>71.540000000000006</v>
    <v>72.63</v>
    <v>73.12</v>
    <v>71.900000000000006</v>
    <v>72.290000000000006</v>
    <v>72.66</v>
    <v>74.290000000000006</v>
    <v>74.44</v>
    <v>74.03</v>
    <v>73.37</v>
    <v>73.47</v>
    <v>73</v>
    <v>73.22</v>
    <v>72.12</v>
    <v>72.709999999999994</v>
    <v>72.37</v>
    <v>72.34</v>
    <v>72.47</v>
    <v>72.14</v>
    <v>72.45</v>
    <v>73.510000000000005</v>
    <v>73.489999999999995</v>
    <v>73.31</v>
    <v>73.430000000000007</v>
    <v>73.3</v>
    <v>74.58</v>
    <v>73.28</v>
    <v>74.33</v>
    <v>74.11</v>
    <v>73.349999999999994</v>
    <v>72.88</v>
    <v>73.86</v>
    <v>75.150000000000006</v>
    <v>74.08</v>
    <v>73.28</v>
    <v>74.19</v>
    <v>74.28</v>
    <v>75.13</v>
    <v>75.33</v>
    <v>75.13</v>
    <v>74.989999999999995</v>
    <v>75.09</v>
    <v>74.86</v>
    <v>75.7</v>
    <v>76.819999999999993</v>
    <v>77.92</v>
    <v>76.989999999999995</v>
    <v>77.17</v>
    <v>75.88</v>
    <v>76.12</v>
    <v>77.2</v>
    <v>76.91</v>
    <v>77.86</v>
    <v>77.849999999999994</v>
    <v>78.16</v>
    <v>77.900000000000006</v>
    <v>78.81</v>
    <v>79.42</v>
    <v>79.87</v>
    <v>80.489999999999995</v>
    <v>80.61</v>
    <v>80.56</v>
    <v>80.53</v>
    <v>82.37</v>
    <v>83</v>
    <v>83.45</v>
    <v>83.95</v>
    <v>83.96</v>
    <v>84.42</v>
    <v>84.55</v>
    <v>86.28</v>
    <v>84.4</v>
    <v>84.14</v>
    <v>84.53</v>
    <v>83.81</v>
    <v>83.41</v>
    <v>83.95</v>
    <v>83.99</v>
    <v>85.34</v>
    <v>86.48</v>
    <v>85.69</v>
    <v>85.03</v>
    <v>86.44</v>
    <v>85.84</v>
    <v>84.93</v>
    <v>84.58</v>
    <v>84.64</v>
    <v>84.61</v>
    <v>84</v>
    <v>81.64</v>
    <v>81.69</v>
    <v>81.92</v>
    <v>81.900000000000006</v>
    <v>81.27</v>
    <v>80.7</v>
    <v>78.760000000000005</v>
    <v>77.27</v>
    <v>78.349999999999994</v>
    <v>78.52</v>
    <v>79.209999999999994</v>
    <v>79.36</v>
    <v>79.48</v>
    <v>81.180000000000007</v>
    <v>80.92</v>
    <v>80.209999999999994</v>
    <v>77.83</v>
    <v>78.87</v>
    <v>80.19</v>
    <v>81.459999999999994</v>
    <v>81.67</v>
    <v>80.989999999999995</v>
    <v>82.03</v>
    <v>83.92</v>
    <v>83.81</v>
    <v>84.42</v>
    <v>84.29</v>
    <v>85.47</v>
    <v>85.01</v>
    <v>86.42</v>
    <v>85.33</v>
    <v>85.59</v>
    <v>85.42</v>
    <v>85.24</v>
    <v>84.76</v>
    <v>85.53</v>
    <v>84.59</v>
    <v>84.94</v>
    <v>85.2</v>
    <v>85.37</v>
    <v>86.31</v>
    <v>87.34</v>
    <v>86.98</v>
    <v>87.78</v>
    <v>87.6</v>
    <v>88.31</v>
    <v>87.36</v>
    <v>87.31</v>
    <v>87.21</v>
    <v>86.09</v>
    <v>88.66</v>
    <v>86.78</v>
    <v>87.84</v>
    <v>88.62</v>
    <v>88.03</v>
    <v>89.15</v>
    <v>90.41</v>
    <v>90.32</v>
    <v>89.91</v>
    <v>90.28</v>
    <v>91.74</v>
    <v>90.03</v>
    <v>92</v>
    <v>92.23</v>
    <v>90.94</v>
    <v>89.94</v>
    <v>90.45</v>
    <v>90.8</v>
    <v>90.7</v>
    <v>91.32</v>
    <v>91.88</v>
    <v>91.99</v>
    <v>92.77</v>
    <v>93.36</v>
    <v>91.66</v>
    <v>90.68</v>
    <v>89.73</v>
    <v>85.77</v>
    <v>86.41</v>
    <v>84.29</v>
    <v>84.79</v>
    <v>85.09</v>
    <v>84.9</v>
    <v>83.2</v>
    <v>81.25</v>
    <v>82.59</v>
    <v>83.51</v>
    <v>82.6</v>
    <v>81.92</v>
    <v>75.099999999999994</v>
    <v>72.64</v>
    <v>72.510000000000005</v>
    <v>72.5</v>
    <v>78.12</v>
    <v>77.23</v>
    <v>77.73</v>
    <v>75.77</v>
    <v>76.010000000000005</v>
    <v>75.680000000000007</v>
    <v>75.459999999999994</v>
    <v>76.66</v>
    <v>75.45</v>
    <v>74.959999999999994</v>
    <v>74.92</v>
    <v>75.09</v>
    <v>75.23</v>
    <v>75.38</v>
    <v>74.150000000000006</v>
    <v>73.78</v>
    <v>72.319999999999993</v>
    <v>75.44</v>
    <v>77.16</v>
    <v>78.27</v>
    <v>77.44</v>
    <v>77.55</v>
    <v>78.790000000000006</v>
    <v>80.209999999999994</v>
    <v>84.18</v>
    <v>81.95</v>
    <v>80.319999999999993</v>
    <v>80.16</v>
    <v>79.3</v>
    <v>79.28</v>
    <v>81.98</v>
    <v>82.51</v>
    <v>82.69</v>
    <v>82.37</v>
    <v>81.8</v>
    <v>82.85</v>
    <v>82.57</v>
    <v>83.7</v>
    <v>83.94</v>
    <v>84.43</v>
    <v>84.62</v>
    <v>85.5</v>
    <v>84.71</v>
    <v>85.71</v>
    <v>85.62</v>
    <v>86.33</v>
    <v>86.49</v>
    <v>87.08</v>
    <v>86.09</v>
    <v>84.58</v>
    <v>83.89</v>
    <v>83.55</v>
    <v>82.81</v>
    <v>81.709999999999994</v>
    <v>81.83</v>
    <v>81.510000000000005</v>
    <v>76.180000000000007</v>
    <v>73.95</v>
    <v>74.040000000000006</v>
    <v>73.569999999999993</v>
    <v>73.27</v>
    <v>73.489999999999995</v>
    <v>71.02</v>
    <v>69.87</v>
    <v>70.760000000000005</v>
    <v>73.06</v>
    <v>71.84</v>
    <v>72.47</v>
    <v>70.709999999999994</v>
    <v>69.989999999999995</v>
    <v>70.2</v>
    <v>68.510000000000005</v>
    <v>69.8</v>
    <v>70.12</v>
    <v>72.02</v>
    <v>71</v>
    <v>70.459999999999994</v>
    <v>71.22</v>
    <v>72.55</v>
    <v>74.67</v>
    <v>74.790000000000006</v>
    <v>75.040000000000006</v>
    <v>77.430000000000007</v>
    <v>75.69</v>
    <v>76.17</v>
    <v>78.52</v>
    <v>78.69</v>
    <v>80.19</v>
    <v>79.78</v>
    <v>78.489999999999995</v>
    <v>77.34</v>
    <v>75.91</v>
    <v>72.41</v>
    <v>71.48</v>
    <v>74.19</v>
    <v>70.87</v>
    <v>70.81</v>
    <v>72.73</v>
    <v>74.69</v>
    <v>77.2</v>
    <v>78.02</v>
    <v>77.89</v>
    <v>76.44</v>
    <v>76</v>
    <v>77.459999999999994</v>
    <v>80.56</v>
    <v>79.11</v>
    <v>79.569999999999993</v>
    <v>80.38</v>
    <v>80.25</v>
    <v>80.680000000000007</v>
    <v>79.95</v>
    <v>80.260000000000005</v>
    <v>80.13</v>
    <v>78.709999999999994</v>
    <v>77.510000000000005</v>
    <v>78.930000000000007</v>
    <v>78.319999999999993</v>
    <v>78.87</v>
    <v>80.25</v>
    <v>80.98</v>
    <v>79.91</v>
    <v>80.38</v>
    <v>84.54</v>
    <v>84.49</v>
    <v>85.31</v>
    <v>85.67</v>
    <v>86.46</v>
    <v>87.98</v>
    <v>87.98</v>
    <v>87.52</v>
    <v>88.92</v>
    <v>89.78</v>
    <v>89.43</v>
    <v>90.47</v>
    <v>91</v>
    <v>90.53</v>
    <v>90.2</v>
    <v>90.24</v>
    <v>89.71</v>
    <v>88.54</v>
    <v>87.98</v>
    <v>88.71</v>
    <v>89.39</v>
    <v>88.06</v>
    <v>87.02</v>
    <v>85.7</v>
    <v>85.06</v>
    <v>86.26</v>
    <v>85.11</v>
    <v>87.37</v>
    <v>90.24</v>
    <v>90.27</v>
    <v>89.9</v>
    <v>90.81</v>
    <v>88.86</v>
    <v>88.88</v>
    <v>86.01</v>
    <v>84.79</v>
    <v>86.84</v>
    <v>85.69</v>
    <v>83.97</v>
    <v>83.54</v>
    <v>82.52</v>
    <v>81.150000000000006</v>
    <v>81.08</v>
    <v>82.37</v>
    <v>79.97</v>
    <v>78.41</v>
    <v>81.19</v>
    <v>82.82</v>
    <v>81.77</v>
    <v>78.91</v>
    <v>76.73</v>
    <v>76.739999999999995</v>
    <v>76.03</v>
    <v>72.75</v>
    <v>73.09</v>
    <v>71.77</v>
    <v>73.650000000000006</v>
    <v>75.06</v>
    <v>73.64</v>
    <v>70.64</v>
    <v>71.650000000000006</v>
    <v>73.28</v>
    <v>75.86</v>
    <v>75.599999999999994</v>
    <v>75.47</v>
    <v>79.03</v>
    <v>77.5</v>
    <v>77.709999999999994</v>
    <v>77.28</v>
    <v>78.180000000000007</v>
    <v>78.8</v>
    <v>77.290000000000006</v>
    <v>78.27</v>
    <v>78.2</v>
    <v>83.2</v>
    <v>83.31</v>
    <v>81.66</v>
    <v>82.91</v>
    <v>84.32</v>
    <v>82.35</v>
    <v>83.2</v>
    <v>83.6</v>
    <v>84.11</v>
    <v>84.92</v>
    <v>85.34</v>
    <v>83.73</v>
    <v>82.49</v>
    <v>84.7</v>
    <v>84.83</v>
    <v>85.2</v>
    <v>85.15</v>
    <v>85.18</v>
    <v>85.29</v>
    <v>85.76</v>
    <v>84.51</v>
    <v>86.55</v>
    <v>87.15</v>
    <v>87.05</v>
    <v>85.81</v>
    <v>84.14</v>
    <v>83.52</v>
    <v>83.52</v>
    <v>84.65</v>
    <v>83.34</v>
    <v>84.17</v>
    <v>84</v>
    <v>83.16</v>
    <v>84.08</v>
    <v>83.6</v>
  </a>
</arrayData>
</file>

<file path=xl/richData/rdrichvalue.xml><?xml version="1.0" encoding="utf-8"?>
<rvData xmlns="http://schemas.microsoft.com/office/spreadsheetml/2017/richdata" count="18220">
  <rv s="0">
    <v>https://www.bing.com/financeapi/forcetrigger?t=a1u3rw&amp;q=XNAS%3aGOOGL&amp;form=skydnc</v>
    <v>Learn more on Bing</v>
  </rv>
  <rv s="1">
    <v>en-AU</v>
    <v>a1u3rw</v>
    <v>268435456</v>
    <v>1</v>
    <v>Powered by Refinitiv</v>
    <v>0</v>
    <v>ALPHABET INC. (XNAS:GOOGL)</v>
    <v>2</v>
    <v>3</v>
    <v>Finance</v>
    <v>4</v>
    <v>207.05</v>
    <v>140.53</v>
    <v>1.0039</v>
    <v>4.9000000000000004</v>
    <v>1.1440000000000001E-3</v>
    <v>2.4933999999999998E-2</v>
    <v>0.23050000000000001</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187103</v>
    <v>Nasdaq Stock Market</v>
    <v>XNAS</v>
    <v>XNAS</v>
    <v>1600 Amphitheatre Parkway, MOUNTAIN VIEW, CA, 94043 US</v>
    <v>202.61</v>
    <v>Software &amp; IT Services</v>
    <v>Stock</v>
    <v>45877.999812685157</v>
    <v>0</v>
    <v>197.17</v>
    <v>2380840000000</v>
    <v>ALPHABET INC.</v>
    <v>ALPHABET INC.</v>
    <v>197.22</v>
    <v>21.448399999999999</v>
    <v>196.52</v>
    <v>201.42</v>
    <v>201.65049999999999</v>
    <v>12094000000</v>
    <v>GOOGL</v>
    <v>ALPHABET INC. (XNAS:GOOGL)</v>
    <v>39161826</v>
    <v>37637905</v>
    <v>2015</v>
  </rv>
  <rv s="2">
    <v>1</v>
  </rv>
  <rv s="0">
    <v>https://www.bing.com/financeapi/forcetrigger?t=a1nhlh&amp;q=XNAS%3aAMZN&amp;form=skydnc</v>
    <v>Learn more on Bing</v>
  </rv>
  <rv s="1">
    <v>en-AU</v>
    <v>a1nhlh</v>
    <v>268435456</v>
    <v>1</v>
    <v>Powered by Refinitiv</v>
    <v>0</v>
    <v>AMAZON.COM, INC. (XNAS:AMZN)</v>
    <v>2</v>
    <v>3</v>
    <v>Finance</v>
    <v>4</v>
    <v>242.52</v>
    <v>161.38</v>
    <v>1.3153999999999999</v>
    <v>-0.44</v>
    <v>1.3469999999999999E-4</v>
    <v>-1.9719999999999998E-3</v>
    <v>0.03</v>
    <v>USD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1546000</v>
    <v>Nasdaq Stock Market</v>
    <v>XNAS</v>
    <v>XNAS</v>
    <v>410 Terry Avenue North, SEATTLE, WA, 98109 US</v>
    <v>223.8</v>
    <v>Diversified Retail</v>
    <v>Stock</v>
    <v>45877.999933032028</v>
    <v>3</v>
    <v>221.8836</v>
    <v>2374968807900</v>
    <v>AMAZON.COM, INC.</v>
    <v>AMAZON.COM, INC.</v>
    <v>223.14</v>
    <v>33.981900000000003</v>
    <v>223.13</v>
    <v>222.69</v>
    <v>222.72</v>
    <v>10664910000</v>
    <v>AMZN</v>
    <v>AMAZON.COM, INC. (XNAS:AMZN)</v>
    <v>32970477</v>
    <v>45317838</v>
    <v>1996</v>
  </rv>
  <rv s="2">
    <v>4</v>
  </rv>
  <rv s="0">
    <v>https://www.bing.com/financeapi/forcetrigger?t=a1s4mw&amp;q=XNAS%3aEQIX&amp;form=skydnc</v>
    <v>Learn more on Bing</v>
  </rv>
  <rv s="1">
    <v>en-AU</v>
    <v>a1s4mw</v>
    <v>268435456</v>
    <v>1</v>
    <v>Powered by Refinitiv</v>
    <v>0</v>
    <v>EQUINIX, INC. (XNAS:EQIX)</v>
    <v>2</v>
    <v>3</v>
    <v>Finance</v>
    <v>4</v>
    <v>994.03</v>
    <v>701.41</v>
    <v>0.91039999999999999</v>
    <v>-3.14</v>
    <v>0</v>
    <v>-4.0289999999999996E-3</v>
    <v>0</v>
    <v>USD</v>
    <v>Equinix, Inc. is a digital infrastructure company. The Company's platform, Equinix, combines a global footprint of International Business Exchange (IBX) and xScale data centers in the Americas, Asia-Pacific, and Europe, the Middle East and Africa (EMEA) regions, interconnection solutions, digital offerings, business and digital ecosystems and consulting and support. It offers a variety of enabling solutions that support a customer's need to implement, operate and maintain its colocated deployments. Its solutions include Equinix SmartView, Equinix Smart Hands, and Equinix Smart Build (ESB). Equinix SmartView is fully integrated monitoring software that provides customers visibility into the operating data relevant to their specific Equinix footprint. Its interconnection solutions connect businesses directly within and between its data centers across its global platform. Its interconnection solutions include Equinix Fabric, Equinix Fabric Cloud Router, Cross Connects, and others.</v>
    <v>13606</v>
    <v>Nasdaq Stock Market</v>
    <v>XNAS</v>
    <v>XNAS</v>
    <v>One Lagoon Drive, REDWOOD CITY, CA, 94065 US</v>
    <v>780.22500000000002</v>
    <v>Residential &amp; Commercial REIT</v>
    <v>Stock</v>
    <v>45877.928869594529</v>
    <v>6</v>
    <v>765.5</v>
    <v>75962029038</v>
    <v>EQUINIX, INC.</v>
    <v>EQUINIX, INC.</v>
    <v>776.38</v>
    <v>75.985600000000005</v>
    <v>779.34</v>
    <v>776.2</v>
    <v>776.2</v>
    <v>97863990</v>
    <v>EQIX</v>
    <v>EQUINIX, INC. (XNAS:EQIX)</v>
    <v>252817</v>
    <v>559577</v>
    <v>1998</v>
  </rv>
  <rv s="2">
    <v>7</v>
  </rv>
  <rv s="0">
    <v>https://www.bing.com/financeapi/forcetrigger?t=a1ut3m&amp;q=XNAS%3aHON&amp;form=skydnc</v>
    <v>Learn more on Bing</v>
  </rv>
  <rv s="1">
    <v>en-AU</v>
    <v>a1ut3m</v>
    <v>268435456</v>
    <v>1</v>
    <v>Powered by Refinitiv</v>
    <v>0</v>
    <v>HONEYWELL INTERNATIONAL INCORPORATION (XNAS:HON)</v>
    <v>2</v>
    <v>3</v>
    <v>Finance</v>
    <v>4</v>
    <v>242.77</v>
    <v>179.36</v>
    <v>1.0491999999999999</v>
    <v>-0.27</v>
    <v>2.7740000000000002E-4</v>
    <v>-1.2470000000000001E-3</v>
    <v>0.06</v>
    <v>USD</v>
    <v>Honeywell International Inc. is an integrated operating company. Its Aerospace Technologies segment supplies products, software, and services for aircraft that it sells to original equipment manufacturers and other customers in a variety of end markets, including air transport, business and general aviation aircraft. Its Industrial Automation segment is a provider of industrial automation solutions that deliver intelligent, sustainable, and secure operations for customers in refining/petrochemicals and life sciences. Its Building Automation segment is a provider of products, software, solutions, and technologies that enable building owners and occupants to ensure their facilities are safe, energy efficient, sustainable, and productive. It also offers an off-gas detection solution for lithium-ion batteries. Its Energy and Sustainability Solutions segment is a provider of technology, processing, and licensing capabilities combined with material science and capabilities and chemistry.</v>
    <v>102000</v>
    <v>Nasdaq Stock Market</v>
    <v>XNAS</v>
    <v>XNAS</v>
    <v>855 S. Mint Street, CHARLOTTE, NC, 28202 US</v>
    <v>217.7</v>
    <v>Consumer Goods Conglomerates</v>
    <v>Stock</v>
    <v>45877.999129976561</v>
    <v>9</v>
    <v>216</v>
    <v>137334461915</v>
    <v>HONEYWELL INTERNATIONAL INCORPORATION</v>
    <v>HONEYWELL INTERNATIONAL INCORPORATION</v>
    <v>216.77</v>
    <v>24.5991</v>
    <v>216.58</v>
    <v>216.31</v>
    <v>216.37</v>
    <v>634896500</v>
    <v>HON</v>
    <v>HONEYWELL INTERNATIONAL INCORPORATION (XNAS:HON)</v>
    <v>3059683</v>
    <v>3509266</v>
    <v>1985</v>
  </rv>
  <rv s="2">
    <v>10</v>
  </rv>
  <rv s="0">
    <v>https://www.bing.com/financeapi/forcetrigger?t=a1x8w7&amp;q=XNYS%3aMA&amp;form=skydnc</v>
    <v>Learn more on Bing</v>
  </rv>
  <rv s="1">
    <v>en-AU</v>
    <v>a1x8w7</v>
    <v>268435456</v>
    <v>1</v>
    <v>Powered by Refinitiv</v>
    <v>0</v>
    <v>MASTERCARD INCORPORATED. (XNYS:MA)</v>
    <v>2</v>
    <v>3</v>
    <v>Finance</v>
    <v>4</v>
    <v>594.71</v>
    <v>451.03</v>
    <v>0.9879</v>
    <v>13.1</v>
    <v>2.751E-3</v>
    <v>2.3342000000000002E-2</v>
    <v>1.58</v>
    <v>USD</v>
    <v>Mastercard Incorporated is a technology company in the global payments industry. The Company connects consumers, financial institutions, merchants, governments, digital partners, businesses and other organizations worldwide by enabling electronic payments and making those payment transactions secure, simple, smart and accessible. It provides a range of payment solutions and services using its brands, including Mastercard, Maestro and Cirrus. It operates a payments network that provides choice and flexibility for consumers, merchants and its customers. Through its proprietary global payments network, it switches (authorizes, clears and settles) payment transactions. Its additional payments capabilities include automated clearing house (ACH) transactions (both batch and real-time account-based payments). It offers security solutions, consumer acquisition and engagement, business and market insights, gateway, processing and open banking, among other services and solutions.</v>
    <v>35300</v>
    <v>New York Stock Exchange</v>
    <v>XNYS</v>
    <v>XNYS</v>
    <v>2000 Purchase St, PURCHASE, NY, 10577 US</v>
    <v>576.16</v>
    <v>Software &amp; IT Services</v>
    <v>Stock</v>
    <v>45877.999275392969</v>
    <v>12</v>
    <v>562.69000000000005</v>
    <v>519192056976</v>
    <v>MASTERCARD INCORPORATED.</v>
    <v>MASTERCARD INCORPORATED.</v>
    <v>563.75</v>
    <v>38.7316</v>
    <v>561.22</v>
    <v>574.32000000000005</v>
    <v>575.9</v>
    <v>904011800</v>
    <v>MA</v>
    <v>MASTERCARD INCORPORATED. (XNYS:MA)</v>
    <v>2908038</v>
    <v>2579746</v>
    <v>2001</v>
  </rv>
  <rv s="2">
    <v>13</v>
  </rv>
  <rv s="0">
    <v>https://www.bing.com/financeapi/forcetrigger?t=a1ye2w&amp;q=XNYS%3aNEE&amp;form=skydnc</v>
    <v>Learn more on Bing</v>
  </rv>
  <rv s="1">
    <v>en-AU</v>
    <v>a1ye2w</v>
    <v>268435456</v>
    <v>1</v>
    <v>Powered by Refinitiv</v>
    <v>0</v>
    <v>NEXTERA ENERGY, INC. (XNYS:NEE)</v>
    <v>2</v>
    <v>3</v>
    <v>Finance</v>
    <v>4</v>
    <v>86.1</v>
    <v>61.72</v>
    <v>0.63460000000000005</v>
    <v>-0.17</v>
    <v>1.243E-3</v>
    <v>-2.3419999999999999E-3</v>
    <v>0.09</v>
    <v>USD</v>
    <v>NextEra Energy, Inc. is an electric power and energy infrastructure company. It operates through its wholly owned subsidiaries, NextEra Energy Resources, LLC and NextEra Energy Transmission, LLC (collectively, NEER) and Florida Power &amp; Light Company (FPL). Its segments include NEER and FPL. FPL segment is a rate-regulated electric utility engaged in the generation, transmission, distribution and sale of electric energy in Florida. FPL has approximately 35,052 megawatts of net generating capacity, over 91,000 circuit miles of transmission and distribution lines and 921 substations. The NEER segment owns, develops, constructs, manages and operates electric generation facilities in wholesale energy markets in the United States and Canada and includes assets and investments in other businesses with a clean energy focus, such as battery storage, natural gas pipelines, and renewable fuels. It owns, develops, constructs and operates rate-regulated transmission facilities in North America.</v>
    <v>16800</v>
    <v>New York Stock Exchange</v>
    <v>XNYS</v>
    <v>XNYS</v>
    <v>700 Universe Blvd, JUNO BEACH, FL, 33408 US</v>
    <v>73</v>
    <v>Electrical Utilities &amp; IPPs</v>
    <v>Stock</v>
    <v>45877.999665659372</v>
    <v>15</v>
    <v>72.230199999999996</v>
    <v>149463500000</v>
    <v>NEXTERA ENERGY, INC.</v>
    <v>NEXTERA ENERGY, INC.</v>
    <v>72.66</v>
    <v>27.081299999999999</v>
    <v>72.58</v>
    <v>72.41</v>
    <v>72.5</v>
    <v>2059292000</v>
    <v>NEE</v>
    <v>NEXTERA ENERGY, INC. (XNYS:NEE)</v>
    <v>5575995</v>
    <v>9263266</v>
    <v>1984</v>
  </rv>
  <rv s="2">
    <v>16</v>
  </rv>
  <rv s="0">
    <v>https://www.bing.com/financeapi/forcetrigger?t=a232mw&amp;q=XNYS%3aSLB&amp;form=skydnc</v>
    <v>Learn more on Bing</v>
  </rv>
  <rv s="1">
    <v>en-AU</v>
    <v>a232mw</v>
    <v>268435456</v>
    <v>1</v>
    <v>Powered by Refinitiv</v>
    <v>0</v>
    <v>Schlumberger N.V. (XNYS:SLB)</v>
    <v>2</v>
    <v>3</v>
    <v>Finance</v>
    <v>4</v>
    <v>46.16</v>
    <v>31.11</v>
    <v>1.0563</v>
    <v>0.08</v>
    <v>1.2019999999999999E-3</v>
    <v>2.4399999999999999E-3</v>
    <v>3.95E-2</v>
    <v>USD</v>
    <v>Schlumberger N.V. is a global technology company. It operates in four segments: Digital &amp; Integration, Reservoir Performance, Well Construction, and Production Systems. The Digital &amp; Integration segment combines its digital solutions and data products with its integrated offering of Asset Performance Solutions (APS). The Reservoir Performance segment consists of reservoir-centric technologies and services that are critical to optimizing reservoir productivity and performance. The Well Construction segment combines the full portfolio of products and services to optimize well placement and performance, maximize drilling efficiency, and improve wellbore assurance. The segment provides operators and drilling rig manufacturers with services and products related to designing and constructing a well. The Production Systems segment develops technologies and provides knowledge that enhances production and recovery from subsurface reservoirs to the surface, into pipelines, and to refineries.</v>
    <v>110000</v>
    <v>New York Stock Exchange</v>
    <v>XNYS</v>
    <v>XNYS</v>
    <v>5599 San Felipe, 17Th Floor, HOUSTON, TX, 77056 US</v>
    <v>33.22</v>
    <v>Oil &amp; Gas Related Equipment and Services</v>
    <v>Stock</v>
    <v>45877.999812638278</v>
    <v>18</v>
    <v>32.590000000000003</v>
    <v>49040560849</v>
    <v>Schlumberger N.V.</v>
    <v>Schlumberger N.V.</v>
    <v>33.049999999999997</v>
    <v>11.2622</v>
    <v>32.79</v>
    <v>32.869999999999997</v>
    <v>32.909500000000001</v>
    <v>1491955000</v>
    <v>SLB</v>
    <v>Schlumberger N.V. (XNYS:SLB)</v>
    <v>10217202</v>
    <v>17455208</v>
    <v>1956</v>
  </rv>
  <rv s="2">
    <v>19</v>
  </rv>
  <rv s="0">
    <v>https://www.bing.com/financeapi/forcetrigger?t=a1yv52&amp;q=XNAS%3aNVDA&amp;form=skydnc</v>
    <v>Learn more on Bing</v>
  </rv>
  <rv s="1">
    <v>en-AU</v>
    <v>a1yv52</v>
    <v>268435456</v>
    <v>1</v>
    <v>Powered by Refinitiv</v>
    <v>0</v>
    <v>NVIDIA CORPORATION (XNAS:NVDA)</v>
    <v>2</v>
    <v>3</v>
    <v>Finance</v>
    <v>4</v>
    <v>183.88</v>
    <v>86.62</v>
    <v>2.1092</v>
    <v>1.93</v>
    <v>7.115E-4</v>
    <v>1.0677000000000001E-2</v>
    <v>0.13</v>
    <v>USD</v>
    <v>NVIDIA Corporation is a full-stack computing infrastructure company. The Company is engaged in accelerated computing to help solve the challenging computational problems. The Company’s segments include Compute &amp; Networking and Graphics. The Compute &amp; Networking segment includes its Data Center accelerated computing platforms and artificial intelligence (AI) solutions and software; networking; automotive platforms and autonomous and electric vehicle solutions; Jetson for robotics and other embedded platforms, and DGX Cloud computing services. The Graphics segment includes GeForce GPUs for gaming and PCs, the GeForce NOW game streaming service and related infrastructure, and solutions for gaming platforms; Quadro/NVIDIA RTX GPUs for enterprise workstation graphics; virtual GPU software for cloud-based visual and virtual computing; automotive platforms for infotainment systems, and Omniverse Enterprise software for building and operating industrial AI and digital twin applications.</v>
    <v>36000</v>
    <v>Nasdaq Stock Market</v>
    <v>XNAS</v>
    <v>XNAS</v>
    <v>2788 San Tomas Expressway, SANTA CLARA, CA, 95051 US</v>
    <v>183.3</v>
    <v>Semiconductors &amp; Semiconductor Equipment</v>
    <v>Stock</v>
    <v>45877.999994282029</v>
    <v>21</v>
    <v>180.4</v>
    <v>4457880000000</v>
    <v>NVIDIA CORPORATION</v>
    <v>NVIDIA CORPORATION</v>
    <v>181.55</v>
    <v>58.2286</v>
    <v>180.77</v>
    <v>182.7</v>
    <v>182.83</v>
    <v>24400000000</v>
    <v>NVDA</v>
    <v>NVIDIA CORPORATION (XNAS:NVDA)</v>
    <v>123396679</v>
    <v>160424744</v>
    <v>1998</v>
  </rv>
  <rv s="2">
    <v>22</v>
  </rv>
  <rv s="0">
    <v>https://www.bing.com/financeapi/forcetrigger?t=aj7whw&amp;q=P%26G+Structured+Credit+Opportunities+Fund+A&amp;form=skydnc</v>
    <v>Learn more on Bing</v>
  </rv>
  <rv s="3">
    <v>en-AU</v>
    <v>aj7whw</v>
    <v>268435456</v>
    <v>1</v>
    <v>Powered by Refinitiv</v>
    <v>5</v>
    <v>P&amp;G Structured Credit Opportunities Fund A</v>
    <v>6</v>
    <v>7</v>
    <v>Finance</v>
    <v>8</v>
    <v>0.74539999999999995</v>
    <v>2.872E-3</v>
    <v>IE</v>
    <v>EUR</v>
    <v>2.2000000000000001E-3</v>
    <v>Mutual Fund</v>
    <v>45838</v>
    <v>45878.22058402656</v>
    <v>24</v>
    <v>P&amp;G Structured Credit Opportunities Fund A</v>
    <v>54740149.979999997</v>
    <v>259.55459999999999</v>
    <v>260.3</v>
    <v>3.6301000000000001</v>
    <v>0</v>
    <v>4.639E-8</v>
    <v>3.1841000000000001E-2</v>
    <v>6.9599999999999992E-3</v>
    <v>4.5442999999999997E-2</v>
    <v>2.4759000000000003E-2</v>
    <v>1.3745E-2</v>
    <v>P&amp;G Structured Credit Opportunities Fund A</v>
  </rv>
  <rv s="2">
    <v>25</v>
  </rv>
  <rv s="0">
    <v>https://www.bing.com/financeapi/forcetrigger?t=a24xlh&amp;q=XNYS%3aUNH&amp;form=skydnc</v>
    <v>Learn more on Bing</v>
  </rv>
  <rv s="1">
    <v>en-AU</v>
    <v>a24xlh</v>
    <v>268435456</v>
    <v>1</v>
    <v>Powered by Refinitiv</v>
    <v>0</v>
    <v>UNITEDHEALTH GROUP INCORPORATED (XNYS:UNH)</v>
    <v>2</v>
    <v>3</v>
    <v>Finance</v>
    <v>4</v>
    <v>630.73</v>
    <v>234.6</v>
    <v>0.4385</v>
    <v>6.22</v>
    <v>4.3839999999999998E-4</v>
    <v>2.5421999999999997E-2</v>
    <v>0.11</v>
    <v>USD</v>
    <v>UnitedHealth Group Incorporated is a healthcare company. The Company operates two businesses, Optum and UnitedHealthcare. Optum serves the healthcare marketplace, including patients and consumers, payers, care providers, employers, governments and life sciences companies, through its Optum Health, Optum Insight and Optum Rx businesses. UnitedHealthcare offers a full range of health benefits, simplifying the healthcare experience and providing affordable solutions. The Company’s segments include Optum Health, Optum Insight, Optum Rx and UnitedHealthcare. The UnitedHealthcare segment includes UnitedHealthcare Employer &amp; Individual, which serves consumers and employers; UnitedHealthcare Medicare &amp; Retirement delivers health and well-being benefits to seniors and other Medicare-eligible consumers; and UnitedHealthcare Community &amp; State serves consumers who are economically disadvantaged, the medically underserved and those without the benefit of employer sponsored health benefits coverage.</v>
    <v>400000</v>
    <v>New York Stock Exchange</v>
    <v>XNYS</v>
    <v>XNYS</v>
    <v>1 HEALTH DRIVE, EDEN PRAIRIE, MN, 55344 US</v>
    <v>251.08</v>
    <v>Healthcare Providers &amp; Services</v>
    <v>Stock</v>
    <v>45877.999989849217</v>
    <v>27</v>
    <v>244.37</v>
    <v>227592454956</v>
    <v>UNITEDHEALTH GROUP INCORPORATED</v>
    <v>UNITEDHEALTH GROUP INCORPORATED</v>
    <v>244.79</v>
    <v>10.864000000000001</v>
    <v>244.67</v>
    <v>250.89</v>
    <v>251</v>
    <v>907140400</v>
    <v>UNH</v>
    <v>UNITEDHEALTH GROUP INCORPORATED (XNYS:UNH)</v>
    <v>10185749</v>
    <v>16682776</v>
    <v>2015</v>
  </rv>
  <rv s="2">
    <v>28</v>
  </rv>
  <rv s="0">
    <v>https://www.bing.com/financeapi/forcetrigger?t=a33k6h&amp;q=S%26P+500+INDEX&amp;form=skydnc</v>
    <v>Learn more on Bing</v>
  </rv>
  <rv s="4">
    <v>en-AU</v>
    <v>a33k6h</v>
    <v>268435456</v>
    <v>1</v>
    <v>Powered by Refinitiv</v>
    <v>9</v>
    <v>S&amp;P 500 INDEX</v>
    <v>10</v>
    <v>11</v>
    <v>Finance</v>
    <v>12</v>
    <v>6427.02</v>
    <v>4835.04</v>
    <v>49.45</v>
    <v>7.8000000000000005E-3</v>
    <v>DE</v>
    <v>6395.16</v>
    <v>Index</v>
    <v>30</v>
    <v>6355.22</v>
    <v>S&amp;P 500 INDEX</v>
    <v>6355.22</v>
    <v>6340</v>
    <v>6389.45</v>
    <v>INX</v>
    <v>S&amp;P 500 INDEX</v>
  </rv>
  <rv s="2">
    <v>31</v>
  </rv>
  <rv s="5">
    <fb>42738</fb>
    <v>13</v>
  </rv>
  <rv s="5">
    <fb>40.400500000000001</fb>
    <v>14</v>
  </rv>
  <rv s="5">
    <fb>37.683500000000002</fb>
    <v>14</v>
  </rv>
  <rv s="5">
    <fb>37.875</fb>
    <v>14</v>
  </rv>
  <rv s="5">
    <fb>358.72</fb>
    <v>14</v>
  </rv>
  <rv s="5">
    <fb>111.236</fb>
    <v>14</v>
  </rv>
  <rv s="5">
    <fb>105.39</fb>
    <v>14</v>
  </rv>
  <rv s="5">
    <fb>29.68</fb>
    <v>14</v>
  </rv>
  <rv s="5">
    <fb>84.8</fb>
    <v>14</v>
  </rv>
  <rv s="5">
    <fb>2.5503</fb>
    <v>14</v>
  </rv>
  <rv s="5">
    <fb>84.2</fb>
    <v>14</v>
  </rv>
  <rv s="5">
    <fb>161.44999999999999</fb>
    <v>14</v>
  </rv>
  <rv s="5">
    <fb>2257.83</fb>
    <v>14</v>
  </rv>
  <rv s="5">
    <fb>42739</fb>
    <v>13</v>
  </rv>
  <rv s="5">
    <fb>40.388500000000001</fb>
    <v>14</v>
  </rv>
  <rv s="5">
    <fb>37.859000000000002</fb>
    <v>14</v>
  </rv>
  <rv s="5">
    <fb>38.450000000000003</fb>
    <v>14</v>
  </rv>
  <rv s="5">
    <fb>365.91</fb>
    <v>14</v>
  </rv>
  <rv s="5">
    <fb>111.5424</fb>
    <v>14</v>
  </rv>
  <rv s="5">
    <fb>106.39</fb>
    <v>14</v>
  </rv>
  <rv s="5">
    <fb>29.767499999999998</fb>
    <v>14</v>
  </rv>
  <rv s="5">
    <fb>85.43</fb>
    <v>14</v>
  </rv>
  <rv s="5">
    <fb>2.6097999999999999</fb>
    <v>14</v>
  </rv>
  <rv s="5">
    <fb>84.5</fb>
    <v>14</v>
  </rv>
  <rv s="5">
    <fb>161.91</fb>
    <v>14</v>
  </rv>
  <rv s="5">
    <fb>2270.75</fb>
    <v>14</v>
  </rv>
  <rv s="5">
    <fb>42740</fb>
    <v>13</v>
  </rv>
  <rv s="5">
    <fb>40.651000000000003</fb>
    <v>14</v>
  </rv>
  <rv s="5">
    <fb>39.022500000000001</fb>
    <v>14</v>
  </rv>
  <rv s="5">
    <fb>38.43</fb>
    <v>14</v>
  </rv>
  <rv s="5">
    <fb>369.75</fb>
    <v>14</v>
  </rv>
  <rv s="5">
    <fb>111.79130000000001</fb>
    <v>14</v>
  </rv>
  <rv s="5">
    <fb>106.99</fb>
    <v>14</v>
  </rv>
  <rv s="5">
    <fb>29.75</fb>
    <v>14</v>
  </rv>
  <rv s="5">
    <fb>85.3</fb>
    <v>14</v>
  </rv>
  <rv s="5">
    <fb>2.5434999999999999</fb>
    <v>14</v>
  </rv>
  <rv s="5">
    <fb>85.06</fb>
    <v>14</v>
  </rv>
  <rv s="5">
    <fb>162.18</fb>
    <v>14</v>
  </rv>
  <rv s="5">
    <fb>2269</fb>
    <v>14</v>
  </rv>
  <rv s="5">
    <fb>42741</fb>
    <v>13</v>
  </rv>
  <rv s="5">
    <fb>41.2605</fb>
    <v>14</v>
  </rv>
  <rv s="5">
    <fb>39.799500000000002</fb>
    <v>14</v>
  </rv>
  <rv s="5">
    <fb>38.6</fb>
    <v>14</v>
  </rv>
  <rv s="5">
    <fb>370.49</fb>
    <v>14</v>
  </rv>
  <rv s="5">
    <fb>113.486</fb>
    <v>14</v>
  </rv>
  <rv s="5">
    <fb>107.76</fb>
    <v>14</v>
  </rv>
  <rv s="5">
    <fb>29.662500000000001</fb>
    <v>14</v>
  </rv>
  <rv s="5">
    <fb>86.48</fb>
    <v>14</v>
  </rv>
  <rv s="5">
    <fb>2.5775000000000001</fb>
    <v>14</v>
  </rv>
  <rv s="5">
    <fb>85.03</fb>
    <v>14</v>
  </rv>
  <rv s="5">
    <fb>162.41</fb>
    <v>14</v>
  </rv>
  <rv s="5">
    <fb>2276.98</fb>
    <v>14</v>
  </rv>
  <rv s="5">
    <fb>42744</fb>
    <v>13</v>
  </rv>
  <rv s="5">
    <fb>41.359000000000002</fb>
    <v>14</v>
  </rv>
  <rv s="5">
    <fb>39.845999999999997</fb>
    <v>14</v>
  </rv>
  <rv s="5">
    <fb>37.99</fb>
    <v>14</v>
  </rv>
  <rv s="5">
    <fb>373.19</fb>
    <v>14</v>
  </rv>
  <rv s="5">
    <fb>112.54770000000001</fb>
    <v>14</v>
  </rv>
  <rv s="5">
    <fb>107.55</fb>
    <v>14</v>
  </rv>
  <rv s="5">
    <fb>29.587499999999999</fb>
    <v>14</v>
  </rv>
  <rv s="5">
    <fb>85.77</fb>
    <v>14</v>
  </rv>
  <rv s="5">
    <fb>2.6819999999999999</fb>
    <v>14</v>
  </rv>
  <rv s="5">
    <fb>84.4</fb>
    <v>14</v>
  </rv>
  <rv s="5">
    <fb>161.94999999999999</fb>
    <v>14</v>
  </rv>
  <rv s="5">
    <fb>2268.9</fb>
    <v>14</v>
  </rv>
  <rv s="5">
    <fb>42745</fb>
    <v>13</v>
  </rv>
  <rv s="5">
    <fb>41.3005</fb>
    <v>14</v>
  </rv>
  <rv s="5">
    <fb>39.795000000000002</fb>
    <v>14</v>
  </rv>
  <rv s="5">
    <fb>37.81</fb>
    <v>14</v>
  </rv>
  <rv s="5">
    <fb>370.03</fb>
    <v>14</v>
  </rv>
  <rv s="5">
    <fb>112.8349</fb>
    <v>14</v>
  </rv>
  <rv s="5">
    <fb>107.32</fb>
    <v>14</v>
  </rv>
  <rv s="5">
    <fb>29.645</fb>
    <v>14</v>
  </rv>
  <rv s="5">
    <fb>84.6</fb>
    <v>14</v>
  </rv>
  <rv s="5">
    <fb>2.6617999999999999</fb>
    <v>14</v>
  </rv>
  <rv s="5">
    <fb>83.49</fb>
    <v>14</v>
  </rv>
  <rv s="5">
    <fb>161.58000000000001</fb>
    <v>14</v>
  </rv>
  <rv s="5">
    <fb>42746</fb>
    <v>13</v>
  </rv>
  <rv s="5">
    <fb>41.493000000000002</fb>
    <v>14</v>
  </rv>
  <rv s="5">
    <fb>39.951000000000001</fb>
    <v>14</v>
  </rv>
  <rv s="5">
    <fb>38.354999999999997</fb>
    <v>14</v>
  </rv>
  <rv s="5">
    <fb>371.58</fb>
    <v>14</v>
  </rv>
  <rv s="5">
    <fb>112.9881</fb>
    <v>14</v>
  </rv>
  <rv s="5">
    <fb>107.81</fb>
    <v>14</v>
  </rv>
  <rv s="5">
    <fb>29.852499999999999</fb>
    <v>14</v>
  </rv>
  <rv s="5">
    <fb>85.66</fb>
    <v>14</v>
  </rv>
  <rv s="5">
    <fb>2.629</fb>
    <v>14</v>
  </rv>
  <rv s="5">
    <fb>83.75</fb>
    <v>14</v>
  </rv>
  <rv s="5">
    <fb>161.88999999999999</fb>
    <v>14</v>
  </rv>
  <rv s="5">
    <fb>2275.3200000000002</fb>
    <v>14</v>
  </rv>
  <rv s="5">
    <fb>42747</fb>
    <v>13</v>
  </rv>
  <rv s="5">
    <fb>41.476500000000001</fb>
    <v>14</v>
  </rv>
  <rv s="5">
    <fb>40.682000000000002</fb>
    <v>14</v>
  </rv>
  <rv s="5">
    <fb>38.524999999999999</fb>
    <v>14</v>
  </rv>
  <rv s="5">
    <fb>374.15</fb>
    <v>14</v>
  </rv>
  <rv s="5">
    <fb>112.62430000000001</fb>
    <v>14</v>
  </rv>
  <rv s="5">
    <fb>108.71</fb>
    <v>14</v>
  </rv>
  <rv s="5">
    <fb>29.875</fb>
    <v>14</v>
  </rv>
  <rv s="5">
    <fb>85.33</fb>
    <v>14</v>
  </rv>
  <rv s="5">
    <fb>2.5859999999999999</fb>
    <v>14</v>
  </rv>
  <rv s="5">
    <fb>83.84</fb>
    <v>14</v>
  </rv>
  <rv s="5">
    <fb>162.36000000000001</fb>
    <v>14</v>
  </rv>
  <rv s="5">
    <fb>2270.44</fb>
    <v>14</v>
  </rv>
  <rv s="5">
    <fb>42748</fb>
    <v>13</v>
  </rv>
  <rv s="5">
    <fb>41.546999999999997</fb>
    <v>14</v>
  </rv>
  <rv s="5">
    <fb>40.856999999999999</fb>
    <v>14</v>
  </rv>
  <rv s="5">
    <fb>38.085000000000001</fb>
    <v>14</v>
  </rv>
  <rv s="5">
    <fb>374.95</fb>
    <v>14</v>
  </rv>
  <rv s="5">
    <fb>113.04559999999999</fb>
    <v>14</v>
  </rv>
  <rv s="5">
    <fb>108.7</fb>
    <v>14</v>
  </rv>
  <rv s="5">
    <fb>29.762499999999999</fb>
    <v>14</v>
  </rv>
  <rv s="5">
    <fb>84.82</fb>
    <v>14</v>
  </rv>
  <rv s="5">
    <fb>2.5857999999999999</fb>
    <v>14</v>
  </rv>
  <rv s="5">
    <fb>84.01</fb>
    <v>14</v>
  </rv>
  <rv s="5">
    <fb>161.80000000000001</fb>
    <v>14</v>
  </rv>
  <rv s="5">
    <fb>2274.64</fb>
    <v>14</v>
  </rv>
  <rv s="5">
    <fb>42752</fb>
    <v>13</v>
  </rv>
  <rv s="5">
    <fb>41.372999999999998</fb>
    <v>14</v>
  </rv>
  <rv s="5">
    <fb>40.485999999999997</fb>
    <v>14</v>
  </rv>
  <rv s="5">
    <fb>38.244999999999997</fb>
    <v>14</v>
  </rv>
  <rv s="5">
    <fb>376.13</fb>
    <v>14</v>
  </rv>
  <rv s="5">
    <fb>112.2413</fb>
    <v>14</v>
  </rv>
  <rv s="5">
    <fb>108.4</fb>
    <v>14</v>
  </rv>
  <rv s="5">
    <fb>30.055</fb>
    <v>14</v>
  </rv>
  <rv s="5">
    <fb>86.43</fb>
    <v>14</v>
  </rv>
  <rv s="5">
    <fb>2.5278</fb>
    <v>14</v>
  </rv>
  <rv s="5">
    <fb>85.21</fb>
    <v>14</v>
  </rv>
  <rv s="5">
    <fb>160.66</fb>
    <v>14</v>
  </rv>
  <rv s="5">
    <fb>2267.89</fb>
    <v>14</v>
  </rv>
  <rv s="5">
    <fb>42753</fb>
    <v>13</v>
  </rv>
  <rv s="5">
    <fb>41.451000000000001</fb>
    <v>14</v>
  </rv>
  <rv s="5">
    <fb>40.374000000000002</fb>
    <v>14</v>
  </rv>
  <rv s="5">
    <fb>38.49</fb>
    <v>14</v>
  </rv>
  <rv s="5">
    <fb>376.73</fb>
    <v>14</v>
  </rv>
  <rv s="5">
    <fb>113.036</fb>
    <v>14</v>
  </rv>
  <rv s="5">
    <fb>108.66</fb>
    <v>14</v>
  </rv>
  <rv s="5">
    <fb>30.0075</fb>
    <v>14</v>
  </rv>
  <rv s="5">
    <fb>87.48</fb>
    <v>14</v>
  </rv>
  <rv s="5">
    <fb>2.5737999999999999</fb>
    <v>14</v>
  </rv>
  <rv s="5">
    <fb>84.93</fb>
    <v>14</v>
  </rv>
  <rv s="5">
    <fb>157.74</fb>
    <v>14</v>
  </rv>
  <rv s="5">
    <fb>2271.89</fb>
    <v>14</v>
  </rv>
  <rv s="5">
    <fb>42754</fb>
    <v>13</v>
  </rv>
  <rv s="5">
    <fb>41.218499999999999</fb>
    <v>14</v>
  </rv>
  <rv s="5">
    <fb>40.451999999999998</fb>
    <v>14</v>
  </rv>
  <rv s="5">
    <fb>37.805</fb>
    <v>14</v>
  </rv>
  <rv s="5">
    <fb>381.15</fb>
    <v>14</v>
  </rv>
  <rv s="5">
    <fb>112.89239999999999</fb>
    <v>14</v>
  </rv>
  <rv s="5">
    <fb>108.53</fb>
    <v>14</v>
  </rv>
  <rv s="5">
    <fb>29.82</fb>
    <v>14</v>
  </rv>
  <rv s="5">
    <fb>87.2</fb>
    <v>14</v>
  </rv>
  <rv s="5">
    <fb>84.7</fb>
    <v>14</v>
  </rv>
  <rv s="5">
    <fb>158.69999999999999</fb>
    <v>14</v>
  </rv>
  <rv s="5">
    <fb>2263.69</fb>
    <v>14</v>
  </rv>
  <rv s="5">
    <fb>42755</fb>
    <v>13</v>
  </rv>
  <rv s="5">
    <fb>41.408499999999997</fb>
    <v>14</v>
  </rv>
  <rv s="5">
    <fb>40.416499999999999</fb>
    <v>14</v>
  </rv>
  <rv s="5">
    <fb>37.49</fb>
    <v>14</v>
  </rv>
  <rv s="5">
    <fb>383.27</fb>
    <v>14</v>
  </rv>
  <rv s="5">
    <fb>112.8062</fb>
    <v>14</v>
  </rv>
  <rv s="5">
    <fb>109.96</fb>
    <v>14</v>
  </rv>
  <rv s="5">
    <fb>29.815000000000001</fb>
    <v>14</v>
  </rv>
  <rv s="5">
    <fb>86.49</fb>
    <v>14</v>
  </rv>
  <rv s="5">
    <fb>2.6002999999999998</fb>
    <v>14</v>
  </rv>
  <rv s="5">
    <fb>87.45</fb>
    <v>14</v>
  </rv>
  <rv s="5">
    <fb>158.66</fb>
    <v>14</v>
  </rv>
  <rv s="5">
    <fb>2271.31</fb>
    <v>14</v>
  </rv>
  <rv s="5">
    <fb>42758</fb>
    <v>13</v>
  </rv>
  <rv s="5">
    <fb>42.221499999999999</fb>
    <v>14</v>
  </rv>
  <rv s="5">
    <fb>40.893999999999998</fb>
    <v>14</v>
  </rv>
  <rv s="5">
    <fb>37.69</fb>
    <v>14</v>
  </rv>
  <rv s="5">
    <fb>385.35</fb>
    <v>14</v>
  </rv>
  <rv s="5">
    <fb>112.41370000000001</fb>
    <v>14</v>
  </rv>
  <rv s="5">
    <fb>109.63</fb>
    <v>14</v>
  </rv>
  <rv s="5">
    <fb>29.695</fb>
    <v>14</v>
  </rv>
  <rv s="5">
    <fb>84.27</fb>
    <v>14</v>
  </rv>
  <rv s="5">
    <fb>2.6273</fb>
    <v>14</v>
  </rv>
  <rv s="5">
    <fb>86.96</fb>
    <v>14</v>
  </rv>
  <rv s="5">
    <fb>159.07</fb>
    <v>14</v>
  </rv>
  <rv s="5">
    <fb>2265.1999999999998</fb>
    <v>14</v>
  </rv>
  <rv s="5">
    <fb>42759</fb>
    <v>13</v>
  </rv>
  <rv s="5">
    <fb>42.476500000000001</fb>
    <v>14</v>
  </rv>
  <rv s="5">
    <fb>41.122</fb>
    <v>14</v>
  </rv>
  <rv s="5">
    <fb>38.229999999999997</fb>
    <v>14</v>
  </rv>
  <rv s="5">
    <fb>389.66</fb>
    <v>14</v>
  </rv>
  <rv s="5">
    <fb>112.94029999999999</fb>
    <v>14</v>
  </rv>
  <rv s="5">
    <fb>109.92</fb>
    <v>14</v>
  </rv>
  <rv s="5">
    <fb>29.702500000000001</fb>
    <v>14</v>
  </rv>
  <rv s="5">
    <fb>84.58</fb>
    <v>14</v>
  </rv>
  <rv s="5">
    <fb>2.6833</fb>
    <v>14</v>
  </rv>
  <rv s="5">
    <fb>87.86</fb>
    <v>14</v>
  </rv>
  <rv s="5">
    <fb>160.43</fb>
    <v>14</v>
  </rv>
  <rv s="5">
    <fb>2280.0700000000002</fb>
    <v>14</v>
  </rv>
  <rv s="5">
    <fb>42760</fb>
    <v>13</v>
  </rv>
  <rv s="5">
    <fb>42.922499999999999</fb>
    <v>14</v>
  </rv>
  <rv s="5">
    <fb>41.826000000000001</fb>
    <v>14</v>
  </rv>
  <rv s="5">
    <fb>38.375</fb>
    <v>14</v>
  </rv>
  <rv s="5">
    <fb>384.43</fb>
    <v>14</v>
  </rv>
  <rv s="5">
    <fb>112.86369999999999</fb>
    <v>14</v>
  </rv>
  <rv s="5">
    <fb>110.19</fb>
    <v>14</v>
  </rv>
  <rv s="5">
    <fb>29.754999999999999</fb>
    <v>14</v>
  </rv>
  <rv s="5">
    <fb>85.51</fb>
    <v>14</v>
  </rv>
  <rv s="5">
    <fb>2.6947999999999999</fb>
    <v>14</v>
  </rv>
  <rv s="5">
    <fb>87.16</fb>
    <v>14</v>
  </rv>
  <rv s="5">
    <fb>161.24</fb>
    <v>14</v>
  </rv>
  <rv s="5">
    <fb>2298.37</fb>
    <v>14</v>
  </rv>
  <rv s="5">
    <fb>42761</fb>
    <v>13</v>
  </rv>
  <rv s="5">
    <fb>42.848999999999997</fb>
    <v>14</v>
  </rv>
  <rv s="5">
    <fb>41.957500000000003</fb>
    <v>14</v>
  </rv>
  <rv s="5">
    <fb>38.18</fb>
    <v>14</v>
  </rv>
  <rv s="5">
    <fb>384.21</fb>
    <v>14</v>
  </rv>
  <rv s="5">
    <fb>112.9498</fb>
    <v>14</v>
  </rv>
  <rv s="5">
    <fb>109.38</fb>
    <v>14</v>
  </rv>
  <rv s="5">
    <fb>29.6875</fb>
    <v>14</v>
  </rv>
  <rv s="5">
    <fb>84.88</fb>
    <v>14</v>
  </rv>
  <rv s="5">
    <fb>2.7412999999999998</fb>
    <v>14</v>
  </rv>
  <rv s="5">
    <fb>86.6</fb>
    <v>14</v>
  </rv>
  <rv s="5">
    <fb>162.75</fb>
    <v>14</v>
  </rv>
  <rv s="5">
    <fb>2296.6799999999998</fb>
    <v>14</v>
  </rv>
  <rv s="5">
    <fb>42762</fb>
    <v>13</v>
  </rv>
  <rv s="5">
    <fb>42.2515</fb>
    <v>14</v>
  </rv>
  <rv s="5">
    <fb>41.788499999999999</fb>
    <v>14</v>
  </rv>
  <rv s="5">
    <fb>38.47</fb>
    <v>14</v>
  </rv>
  <rv s="5">
    <fb>382.96</fb>
    <v>14</v>
  </rv>
  <rv s="5">
    <fb>113.3807</fb>
    <v>14</v>
  </rv>
  <rv s="5">
    <fb>109.84</fb>
    <v>14</v>
  </rv>
  <rv s="5">
    <fb>30.342500000000001</fb>
    <v>14</v>
  </rv>
  <rv s="5">
    <fb>2.7942999999999998</fb>
    <v>14</v>
  </rv>
  <rv s="5">
    <fb>86.72</fb>
    <v>14</v>
  </rv>
  <rv s="5">
    <fb>162.99</fb>
    <v>14</v>
  </rv>
  <rv s="5">
    <fb>2294.69</fb>
    <v>14</v>
  </rv>
  <rv s="5">
    <fb>42765</fb>
    <v>13</v>
  </rv>
  <rv s="5">
    <fb>41.191499999999998</fb>
    <v>14</v>
  </rv>
  <rv s="5">
    <fb>41.518999999999998</fb>
    <v>14</v>
  </rv>
  <rv s="5">
    <fb>38.24</fb>
    <v>14</v>
  </rv>
  <rv s="5">
    <fb>386.37</fb>
    <v>14</v>
  </rv>
  <rv s="5">
    <fb>114.04130000000001</fb>
    <v>14</v>
  </rv>
  <rv s="5">
    <fb>109.3</fb>
    <v>14</v>
  </rv>
  <rv s="5">
    <fb>30.612500000000001</fb>
    <v>14</v>
  </rv>
  <rv s="5">
    <fb>83.61</fb>
    <v>14</v>
  </rv>
  <rv s="5">
    <fb>2.7505000000000002</fb>
    <v>14</v>
  </rv>
  <rv s="5">
    <fb>86.75</fb>
    <v>14</v>
  </rv>
  <rv s="5">
    <fb>162.09</fb>
    <v>14</v>
  </rv>
  <rv s="5">
    <fb>2280.9</fb>
    <v>14</v>
  </rv>
  <rv s="5">
    <fb>42766</fb>
    <v>13</v>
  </rv>
  <rv s="5">
    <fb>41.009500000000003</fb>
    <v>14</v>
  </rv>
  <rv s="5">
    <fb>41.173999999999999</fb>
    <v>14</v>
  </rv>
  <rv s="5">
    <fb>38.130000000000003</fb>
    <v>14</v>
  </rv>
  <rv s="5">
    <fb>384.98</fb>
    <v>14</v>
  </rv>
  <rv s="5">
    <fb>113.28489999999999</fb>
    <v>14</v>
  </rv>
  <rv s="5">
    <fb>106.33</fb>
    <v>14</v>
  </rv>
  <rv s="5">
    <fb>30.93</fb>
    <v>14</v>
  </rv>
  <rv s="5">
    <fb>83.71</fb>
    <v>14</v>
  </rv>
  <rv s="5">
    <fb>2.7294999999999998</fb>
    <v>14</v>
  </rv>
  <rv s="5">
    <fb>87.6</fb>
    <v>14</v>
  </rv>
  <rv s="5">
    <fb>162.1</fb>
    <v>14</v>
  </rv>
  <rv s="5">
    <fb>2278.87</fb>
    <v>14</v>
  </rv>
  <rv s="5">
    <fb>42767</fb>
    <v>13</v>
  </rv>
  <rv s="5">
    <fb>40.762</fb>
    <v>14</v>
  </rv>
  <rv s="5">
    <fb>41.6175</fb>
    <v>14</v>
  </rv>
  <rv s="5">
    <fb>38.265000000000001</fb>
    <v>14</v>
  </rv>
  <rv s="5">
    <fb>381.3</fb>
    <v>14</v>
  </rv>
  <rv s="5">
    <fb>112.9786</fb>
    <v>14</v>
  </rv>
  <rv s="5">
    <fb>105</fb>
    <v>14</v>
  </rv>
  <rv s="5">
    <fb>30.655000000000001</fb>
    <v>14</v>
  </rv>
  <rv s="5">
    <fb>83.17</fb>
    <v>14</v>
  </rv>
  <rv s="5">
    <fb>2.8488000000000002</fb>
    <v>14</v>
  </rv>
  <rv s="5">
    <fb>87.33</fb>
    <v>14</v>
  </rv>
  <rv s="5">
    <fb>162.71</fb>
    <v>14</v>
  </rv>
  <rv s="5">
    <fb>2279.5500000000002</fb>
    <v>14</v>
  </rv>
  <rv s="5">
    <fb>42768</fb>
    <v>13</v>
  </rv>
  <rv s="5">
    <fb>40.912999999999997</fb>
    <v>14</v>
  </rv>
  <rv s="5">
    <fb>41.997500000000002</fb>
    <v>14</v>
  </rv>
  <rv s="5">
    <fb>36.659999999999997</fb>
    <v>14</v>
  </rv>
  <rv s="5">
    <fb>383.08</fb>
    <v>14</v>
  </rv>
  <rv s="5">
    <fb>112.96899999999999</fb>
    <v>14</v>
  </rv>
  <rv s="5">
    <fb>105.14</fb>
    <v>14</v>
  </rv>
  <rv s="5">
    <fb>30.864999999999998</fb>
    <v>14</v>
  </rv>
  <rv s="5">
    <fb>82.44</fb>
    <v>14</v>
  </rv>
  <rv s="5">
    <fb>2.8847999999999998</fb>
    <v>14</v>
  </rv>
  <rv s="5">
    <fb>87.76</fb>
    <v>14</v>
  </rv>
  <rv s="5">
    <fb>160.76</fb>
    <v>14</v>
  </rv>
  <rv s="5">
    <fb>2280.85</fb>
    <v>14</v>
  </rv>
  <rv s="5">
    <fb>42769</fb>
    <v>13</v>
  </rv>
  <rv s="5">
    <fb>41.006500000000003</fb>
    <v>14</v>
  </rv>
  <rv s="5">
    <fb>40.51</fb>
    <v>14</v>
  </rv>
  <rv s="5">
    <fb>36.92</fb>
    <v>14</v>
  </rv>
  <rv s="5">
    <fb>384.82</fb>
    <v>14</v>
  </rv>
  <rv s="5">
    <fb>114.11790000000001</fb>
    <v>14</v>
  </rv>
  <rv s="5">
    <fb>106.58</fb>
    <v>14</v>
  </rv>
  <rv s="5">
    <fb>31.052499999999998</fb>
    <v>14</v>
  </rv>
  <rv s="5">
    <fb>82.5</fb>
    <v>14</v>
  </rv>
  <rv s="5">
    <fb>2.8595000000000002</fb>
    <v>14</v>
  </rv>
  <rv s="5">
    <fb>87.41</fb>
    <v>14</v>
  </rv>
  <rv s="5">
    <fb>161.87</fb>
    <v>14</v>
  </rv>
  <rv s="5">
    <fb>2297.42</fb>
    <v>14</v>
  </rv>
  <rv s="5">
    <fb>42772</fb>
    <v>13</v>
  </rv>
  <rv s="5">
    <fb>41.081000000000003</fb>
    <v>14</v>
  </rv>
  <rv s="5">
    <fb>40.381999999999998</fb>
    <v>14</v>
  </rv>
  <rv s="5">
    <fb>36.47</fb>
    <v>14</v>
  </rv>
  <rv s="5">
    <fb>381.67</fb>
    <v>14</v>
  </rv>
  <rv s="5">
    <fb>114.2615</fb>
    <v>14</v>
  </rv>
  <rv s="5">
    <fb>106.59</fb>
    <v>14</v>
  </rv>
  <rv s="5">
    <fb>30.965</fb>
    <v>14</v>
  </rv>
  <rv s="5">
    <fb>81.69</fb>
    <v>14</v>
  </rv>
  <rv s="5">
    <fb>2.9327999999999999</fb>
    <v>14</v>
  </rv>
  <rv s="5">
    <fb>87.4</fb>
    <v>14</v>
  </rv>
  <rv s="5">
    <fb>160.51</fb>
    <v>14</v>
  </rv>
  <rv s="5">
    <fb>2292.56</fb>
    <v>14</v>
  </rv>
  <rv s="5">
    <fb>42773</fb>
    <v>13</v>
  </rv>
  <rv s="5">
    <fb>41.461500000000001</fb>
    <v>14</v>
  </rv>
  <rv s="5">
    <fb>40.625</fb>
    <v>14</v>
  </rv>
  <rv s="5">
    <fb>36.31</fb>
    <v>14</v>
  </rv>
  <rv s="5">
    <fb>380.64</fb>
    <v>14</v>
  </rv>
  <rv s="5">
    <fb>114.6254</fb>
    <v>14</v>
  </rv>
  <rv s="5">
    <fb>106.6</fb>
    <v>14</v>
  </rv>
  <rv s="5">
    <fb>31.0825</fb>
    <v>14</v>
  </rv>
  <rv s="5">
    <fb>81.069999999999993</fb>
    <v>14</v>
  </rv>
  <rv s="5">
    <fb>2.9782999999999999</fb>
    <v>14</v>
  </rv>
  <rv s="5">
    <fb>88.01</fb>
    <v>14</v>
  </rv>
  <rv s="5">
    <fb>160.53</fb>
    <v>14</v>
  </rv>
  <rv s="5">
    <fb>2293.08</fb>
    <v>14</v>
  </rv>
  <rv s="5">
    <fb>42774</fb>
    <v>13</v>
  </rv>
  <rv s="5">
    <fb>41.494</fb>
    <v>14</v>
  </rv>
  <rv s="5">
    <fb>40.985500000000002</fb>
    <v>14</v>
  </rv>
  <rv s="5">
    <fb>37.229999999999997</fb>
    <v>14</v>
  </rv>
  <rv s="5">
    <fb>383.97</fb>
    <v>14</v>
  </rv>
  <rv s="5">
    <fb>114.6349</fb>
    <v>14</v>
  </rv>
  <rv s="5">
    <fb>106.72</fb>
    <v>14</v>
  </rv>
  <rv s="5">
    <fb>31.574999999999999</fb>
    <v>14</v>
  </rv>
  <rv s="5">
    <fb>81.12</fb>
    <v>14</v>
  </rv>
  <rv s="5">
    <fb>2.9653</fb>
    <v>14</v>
  </rv>
  <rv s="5">
    <fb>88.33</fb>
    <v>14</v>
  </rv>
  <rv s="5">
    <fb>160.31</fb>
    <v>14</v>
  </rv>
  <rv s="5">
    <fb>2294.67</fb>
    <v>14</v>
  </rv>
  <rv s="5">
    <fb>42775</fb>
    <v>13</v>
  </rv>
  <rv s="5">
    <fb>41.503</fb>
    <v>14</v>
  </rv>
  <rv s="5">
    <fb>41.067999999999998</fb>
    <v>14</v>
  </rv>
  <rv s="5">
    <fb>37.04</fb>
    <v>14</v>
  </rv>
  <rv s="5">
    <fb>385.8</fb>
    <v>14</v>
  </rv>
  <rv s="5">
    <fb>115.5254</fb>
    <v>14</v>
  </rv>
  <rv s="5">
    <fb>107.3</fb>
    <v>14</v>
  </rv>
  <rv s="5">
    <fb>31.162500000000001</fb>
    <v>14</v>
  </rv>
  <rv s="5">
    <fb>81.209999999999994</fb>
    <v>14</v>
  </rv>
  <rv s="5">
    <fb>2.9095</fb>
    <v>14</v>
  </rv>
  <rv s="5">
    <fb>88.67</fb>
    <v>14</v>
  </rv>
  <rv s="5">
    <fb>160.44</fb>
    <v>14</v>
  </rv>
  <rv s="5">
    <fb>2307.87</fb>
    <v>14</v>
  </rv>
  <rv s="5">
    <fb>42776</fb>
    <v>13</v>
  </rv>
  <rv s="5">
    <fb>41.7425</fb>
    <v>14</v>
  </rv>
  <rv s="5">
    <fb>37.164999999999999</fb>
    <v>14</v>
  </rv>
  <rv s="5">
    <fb>386.45</fb>
    <v>14</v>
  </rv>
  <rv s="5">
    <fb>116.6647</fb>
    <v>14</v>
  </rv>
  <rv s="5">
    <fb>107.27</fb>
    <v>14</v>
  </rv>
  <rv s="5">
    <fb>31.3675</fb>
    <v>14</v>
  </rv>
  <rv s="5">
    <fb>82.16</fb>
    <v>14</v>
  </rv>
  <rv s="5">
    <fb>2.8405</fb>
    <v>14</v>
  </rv>
  <rv s="5">
    <fb>87.97</fb>
    <v>14</v>
  </rv>
  <rv s="5">
    <fb>160.75</fb>
    <v>14</v>
  </rv>
  <rv s="5">
    <fb>2316.1</fb>
    <v>14</v>
  </rv>
  <rv s="5">
    <fb>42779</fb>
    <v>13</v>
  </rv>
  <rv s="5">
    <fb>41.948</fb>
    <v>14</v>
  </rv>
  <rv s="5">
    <fb>41.826500000000003</fb>
    <v>14</v>
  </rv>
  <rv s="5">
    <fb>36.924999999999997</fb>
    <v>14</v>
  </rv>
  <rv s="5">
    <fb>386.69</fb>
    <v>14</v>
  </rv>
  <rv s="5">
    <fb>118.35939999999999</fb>
    <v>14</v>
  </rv>
  <rv s="5">
    <fb>108.28</fb>
    <v>14</v>
  </rv>
  <rv s="5">
    <fb>31.5</fb>
    <v>14</v>
  </rv>
  <rv s="5">
    <fb>81.819999999999993</fb>
    <v>14</v>
  </rv>
  <rv s="5">
    <fb>2.7094999999999998</fb>
    <v>14</v>
  </rv>
  <rv s="5">
    <fb>88.31</fb>
    <v>14</v>
  </rv>
  <rv s="5">
    <fb>161.99</fb>
    <v>14</v>
  </rv>
  <rv s="5">
    <fb>2328.25</fb>
    <v>14</v>
  </rv>
  <rv s="5">
    <fb>42780</fb>
    <v>13</v>
  </rv>
  <rv s="5">
    <fb>42.0015</fb>
    <v>14</v>
  </rv>
  <rv s="5">
    <fb>41.819499999999998</fb>
    <v>14</v>
  </rv>
  <rv s="5">
    <fb>36.869999999999997</fb>
    <v>14</v>
  </rv>
  <rv s="5">
    <fb>382.64</fb>
    <v>14</v>
  </rv>
  <rv s="5">
    <fb>108.88</fb>
    <v>14</v>
  </rv>
  <rv s="5">
    <fb>82.46</fb>
    <v>14</v>
  </rv>
  <rv s="5">
    <fb>2.7195</fb>
    <v>14</v>
  </rv>
  <rv s="5">
    <fb>163.13</fb>
    <v>14</v>
  </rv>
  <rv s="5">
    <fb>2337.58</fb>
    <v>14</v>
  </rv>
  <rv s="5">
    <fb>42781</fb>
    <v>13</v>
  </rv>
  <rv s="5">
    <fb>41.866</fb>
    <v>14</v>
  </rv>
  <rv s="5">
    <fb>42.134999999999998</fb>
    <v>14</v>
  </rv>
  <rv s="5">
    <fb>36.56</fb>
    <v>14</v>
  </rv>
  <rv s="5">
    <fb>380.76</fb>
    <v>14</v>
  </rv>
  <rv s="5">
    <fb>118.9913</fb>
    <v>14</v>
  </rv>
  <rv s="5">
    <fb>109.66</fb>
    <v>14</v>
  </rv>
  <rv s="5">
    <fb>31.322500000000002</fb>
    <v>14</v>
  </rv>
  <rv s="5">
    <fb>81.75</fb>
    <v>14</v>
  </rv>
  <rv s="5">
    <fb>2.7250000000000001</fb>
    <v>14</v>
  </rv>
  <rv s="5">
    <fb>91.12</fb>
    <v>14</v>
  </rv>
  <rv s="5">
    <fb>164.29</fb>
    <v>14</v>
  </rv>
  <rv s="5">
    <fb>2349.25</fb>
    <v>14</v>
  </rv>
  <rv s="5">
    <fb>42782</fb>
    <v>13</v>
  </rv>
  <rv s="5">
    <fb>42.108499999999999</fb>
    <v>14</v>
  </rv>
  <rv s="5">
    <fb>42.207000000000001</fb>
    <v>14</v>
  </rv>
  <rv s="5">
    <fb>36.49</fb>
    <v>14</v>
  </rv>
  <rv s="5">
    <fb>373.18</fb>
    <v>14</v>
  </rv>
  <rv s="5">
    <fb>118.8764</fb>
    <v>14</v>
  </rv>
  <rv s="5">
    <fb>31.547499999999999</fb>
    <v>14</v>
  </rv>
  <rv s="5">
    <fb>81.13</fb>
    <v>14</v>
  </rv>
  <rv s="5">
    <fb>2.6812999999999998</fb>
    <v>14</v>
  </rv>
  <rv s="5">
    <fb>90.79</fb>
    <v>14</v>
  </rv>
  <rv s="5">
    <fb>163.65</fb>
    <v>14</v>
  </rv>
  <rv s="5">
    <fb>2347.2199999999998</fb>
    <v>14</v>
  </rv>
  <rv s="5">
    <fb>42783</fb>
    <v>13</v>
  </rv>
  <rv s="5">
    <fb>42.327500000000001</fb>
    <v>14</v>
  </rv>
  <rv s="5">
    <fb>42.253500000000003</fb>
    <v>14</v>
  </rv>
  <rv s="5">
    <fb>36.634999999999998</fb>
    <v>14</v>
  </rv>
  <rv s="5">
    <fb>374.28</fb>
    <v>14</v>
  </rv>
  <rv s="5">
    <fb>119.2594</fb>
    <v>14</v>
  </rv>
  <rv s="5">
    <fb>109.42</fb>
    <v>14</v>
  </rv>
  <rv s="5">
    <fb>31.715</fb>
    <v>14</v>
  </rv>
  <rv s="5">
    <fb>80.650000000000006</fb>
    <v>14</v>
  </rv>
  <rv s="5">
    <fb>2.6808000000000001</fb>
    <v>14</v>
  </rv>
  <rv s="5">
    <fb>91.09</fb>
    <v>14</v>
  </rv>
  <rv s="5">
    <fb>157.62</fb>
    <v>14</v>
  </rv>
  <rv s="5">
    <fb>2351.16</fb>
    <v>14</v>
  </rv>
  <rv s="5">
    <fb>42787</fb>
    <v>13</v>
  </rv>
  <rv s="5">
    <fb>42.463500000000003</fb>
    <v>14</v>
  </rv>
  <rv s="5">
    <fb>42.822000000000003</fb>
    <v>14</v>
  </rv>
  <rv s="5">
    <fb>36.85</fb>
    <v>14</v>
  </rv>
  <rv s="5">
    <fb>371.34</fb>
    <v>14</v>
  </rv>
  <rv s="5">
    <fb>119.40300000000001</fb>
    <v>14</v>
  </rv>
  <rv s="5">
    <fb>110.16</fb>
    <v>14</v>
  </rv>
  <rv s="5">
    <fb>32.064999999999998</fb>
    <v>14</v>
  </rv>
  <rv s="5">
    <fb>80.680000000000007</fb>
    <v>14</v>
  </rv>
  <rv s="5">
    <fb>2.7768000000000002</fb>
    <v>14</v>
  </rv>
  <rv s="5">
    <fb>91.67</fb>
    <v>14</v>
  </rv>
  <rv s="5">
    <fb>160.57</fb>
    <v>14</v>
  </rv>
  <rv s="5">
    <fb>2365.38</fb>
    <v>14</v>
  </rv>
  <rv s="5">
    <fb>42788</fb>
    <v>13</v>
  </rv>
  <rv s="5">
    <fb>42.567999999999998</fb>
    <v>14</v>
  </rv>
  <rv s="5">
    <fb>42.780500000000004</fb>
    <v>14</v>
  </rv>
  <rv s="5">
    <fb>36.72</fb>
    <v>14</v>
  </rv>
  <rv s="5">
    <fb>373.32</fb>
    <v>14</v>
  </rv>
  <rv s="5">
    <fb>119.71899999999999</fb>
    <v>14</v>
  </rv>
  <rv s="5">
    <fb>109.44</fb>
    <v>14</v>
  </rv>
  <rv s="5">
    <fb>32.11</fb>
    <v>14</v>
  </rv>
  <rv s="5">
    <fb>79.7</fb>
    <v>14</v>
  </rv>
  <rv s="5">
    <fb>2.7690000000000001</fb>
    <v>14</v>
  </rv>
  <rv s="5">
    <fb>91.44</fb>
    <v>14</v>
  </rv>
  <rv s="5">
    <fb>2362.8200000000002</fb>
    <v>14</v>
  </rv>
  <rv s="5">
    <fb>42789</fb>
    <v>13</v>
  </rv>
  <rv s="5">
    <fb>42.55</fb>
    <v>14</v>
  </rv>
  <rv s="5">
    <fb>42.609499999999997</fb>
    <v>14</v>
  </rv>
  <rv s="5">
    <fb>37.015000000000001</fb>
    <v>14</v>
  </rv>
  <rv s="5">
    <fb>370.85</fb>
    <v>14</v>
  </rv>
  <rv s="5">
    <fb>119.50830000000001</fb>
    <v>14</v>
  </rv>
  <rv s="5">
    <fb>110.74</fb>
    <v>14</v>
  </rv>
  <rv s="5">
    <fb>32.292499999999997</fb>
    <v>14</v>
  </rv>
  <rv s="5">
    <fb>80.47</fb>
    <v>14</v>
  </rv>
  <rv s="5">
    <fb>2.5123000000000002</fb>
    <v>14</v>
  </rv>
  <rv s="5">
    <fb>91.13</fb>
    <v>14</v>
  </rv>
  <rv s="5">
    <fb>162.6</fb>
    <v>14</v>
  </rv>
  <rv s="5">
    <fb>2363.81</fb>
    <v>14</v>
  </rv>
  <rv s="5">
    <fb>42790</fb>
    <v>13</v>
  </rv>
  <rv s="5">
    <fb>42.390500000000003</fb>
    <v>14</v>
  </rv>
  <rv s="5">
    <fb>42.262</fb>
    <v>14</v>
  </rv>
  <rv s="5">
    <fb>36.534999999999997</fb>
    <v>14</v>
  </rv>
  <rv s="5">
    <fb>379.64</fb>
    <v>14</v>
  </rv>
  <rv s="5">
    <fb>119.7094</fb>
    <v>14</v>
  </rv>
  <rv s="5">
    <fb>111</fb>
    <v>14</v>
  </rv>
  <rv s="5">
    <fb>32.74</fb>
    <v>14</v>
  </rv>
  <rv s="5">
    <fb>80.150000000000006</fb>
    <v>14</v>
  </rv>
  <rv s="5">
    <fb>2.5365000000000002</fb>
    <v>14</v>
  </rv>
  <rv s="5">
    <fb>91.05</fb>
    <v>14</v>
  </rv>
  <rv s="5">
    <fb>163.06</fb>
    <v>14</v>
  </rv>
  <rv s="5">
    <fb>2367.34</fb>
    <v>14</v>
  </rv>
  <rv s="5">
    <fb>42793</fb>
    <v>13</v>
  </rv>
  <rv s="5">
    <fb>42.483499999999999</fb>
    <v>14</v>
  </rv>
  <rv s="5">
    <fb>42.432000000000002</fb>
    <v>14</v>
  </rv>
  <rv s="5">
    <fb>36.75</fb>
    <v>14</v>
  </rv>
  <rv s="5">
    <fb>377.24</fb>
    <v>14</v>
  </rv>
  <rv s="5">
    <fb>119.5754</fb>
    <v>14</v>
  </rv>
  <rv s="5">
    <fb>110.57</fb>
    <v>14</v>
  </rv>
  <rv s="5">
    <fb>32.467500000000001</fb>
    <v>14</v>
  </rv>
  <rv s="5">
    <fb>81.06</fb>
    <v>14</v>
  </rv>
  <rv s="5">
    <fb>2.6103000000000001</fb>
    <v>14</v>
  </rv>
  <rv s="5">
    <fb>90.89</fb>
    <v>14</v>
  </rv>
  <rv s="5">
    <fb>165.38</fb>
    <v>14</v>
  </rv>
  <rv s="5">
    <fb>2369.75</fb>
    <v>14</v>
  </rv>
  <rv s="5">
    <fb>42794</fb>
    <v>13</v>
  </rv>
  <rv s="5">
    <fb>42.246499999999997</fb>
    <v>14</v>
  </rv>
  <rv s="5">
    <fb>42.252000000000002</fb>
    <v>14</v>
  </rv>
  <rv s="5">
    <fb>36.765000000000001</fb>
    <v>14</v>
  </rv>
  <rv s="5">
    <fb>376.07</fb>
    <v>14</v>
  </rv>
  <rv s="5">
    <fb>119.202</fb>
    <v>14</v>
  </rv>
  <rv s="5">
    <fb>110.46</fb>
    <v>14</v>
  </rv>
  <rv s="5">
    <fb>32.75</fb>
    <v>14</v>
  </rv>
  <rv s="5">
    <fb>80.36</fb>
    <v>14</v>
  </rv>
  <rv s="5">
    <fb>2.5369999999999999</fb>
    <v>14</v>
  </rv>
  <rv s="5">
    <fb>91.07</fb>
    <v>14</v>
  </rv>
  <rv s="5">
    <fb>2363.64</fb>
    <v>14</v>
  </rv>
  <rv s="5">
    <fb>42795</fb>
    <v>13</v>
  </rv>
  <rv s="5">
    <fb>42.837499999999999</fb>
    <v>14</v>
  </rv>
  <rv s="5">
    <fb>42.654000000000003</fb>
    <v>14</v>
  </rv>
  <rv s="5">
    <fb>37.5</fb>
    <v>14</v>
  </rv>
  <rv s="5">
    <fb>377.99</fb>
    <v>14</v>
  </rv>
  <rv s="5">
    <fb>121.8349</fb>
    <v>14</v>
  </rv>
  <rv s="5">
    <fb>112.31</fb>
    <v>14</v>
  </rv>
  <rv s="5">
    <fb>32.352499999999999</fb>
    <v>14</v>
  </rv>
  <rv s="5">
    <fb>82.27</fb>
    <v>14</v>
  </rv>
  <rv s="5">
    <fb>2.5697999999999999</fb>
    <v>14</v>
  </rv>
  <rv s="5">
    <fb>91.66</fb>
    <v>14</v>
  </rv>
  <rv s="5">
    <fb>167.94</fb>
    <v>14</v>
  </rv>
  <rv s="5">
    <fb>2395.96</fb>
    <v>14</v>
  </rv>
  <rv s="5">
    <fb>42796</fb>
    <v>13</v>
  </rv>
  <rv s="5">
    <fb>42.4925</fb>
    <v>14</v>
  </rv>
  <rv s="5">
    <fb>42.445500000000003</fb>
    <v>14</v>
  </rv>
  <rv s="5">
    <fb>372.73</fb>
    <v>14</v>
  </rv>
  <rv s="5">
    <fb>120.9541</fb>
    <v>14</v>
  </rv>
  <rv s="5">
    <fb>111.33</fb>
    <v>14</v>
  </rv>
  <rv s="5">
    <fb>32.734999999999999</fb>
    <v>14</v>
  </rv>
  <rv s="5">
    <fb>80.95</fb>
    <v>14</v>
  </rv>
  <rv s="5">
    <fb>2.4750000000000001</fb>
    <v>14</v>
  </rv>
  <rv s="5">
    <fb>90.91</fb>
    <v>14</v>
  </rv>
  <rv s="5">
    <fb>167.31</fb>
    <v>14</v>
  </rv>
  <rv s="5">
    <fb>2381.92</fb>
    <v>14</v>
  </rv>
  <rv s="5">
    <fb>42797</fb>
    <v>13</v>
  </rv>
  <rv s="5">
    <fb>42.454000000000001</fb>
    <v>14</v>
  </rv>
  <rv s="5">
    <fb>42.494</fb>
    <v>14</v>
  </rv>
  <rv s="5">
    <fb>36.905000000000001</fb>
    <v>14</v>
  </rv>
  <rv s="5">
    <fb>375.69</fb>
    <v>14</v>
  </rv>
  <rv s="5">
    <fb>120.83920000000001</fb>
    <v>14</v>
  </rv>
  <rv s="5">
    <fb>111.74</fb>
    <v>14</v>
  </rv>
  <rv s="5">
    <fb>32.700000000000003</fb>
    <v>14</v>
  </rv>
  <rv s="5">
    <fb>80.7</fb>
    <v>14</v>
  </rv>
  <rv s="5">
    <fb>2.4607999999999999</fb>
    <v>14</v>
  </rv>
  <rv s="5">
    <fb>90.5</fb>
    <v>14</v>
  </rv>
  <rv s="5">
    <fb>168.2</fb>
    <v>14</v>
  </rv>
  <rv s="5">
    <fb>2383.12</fb>
    <v>14</v>
  </rv>
  <rv s="5">
    <fb>42800</fb>
    <v>13</v>
  </rv>
  <rv s="5">
    <fb>42.363500000000002</fb>
    <v>14</v>
  </rv>
  <rv s="5">
    <fb>42.330500000000001</fb>
    <v>14</v>
  </rv>
  <rv s="5">
    <fb>36.365000000000002</fb>
    <v>14</v>
  </rv>
  <rv s="5">
    <fb>377.55</fb>
    <v>14</v>
  </rv>
  <rv s="5">
    <fb>120.71469999999999</fb>
    <v>14</v>
  </rv>
  <rv s="5">
    <fb>111.36</fb>
    <v>14</v>
  </rv>
  <rv s="5">
    <fb>32.659999999999997</fb>
    <v>14</v>
  </rv>
  <rv s="5">
    <fb>80.72</fb>
    <v>14</v>
  </rv>
  <rv s="5">
    <fb>2.4418000000000002</fb>
    <v>14</v>
  </rv>
  <rv s="5">
    <fb>90.37</fb>
    <v>14</v>
  </rv>
  <rv s="5">
    <fb>168.7</fb>
    <v>14</v>
  </rv>
  <rv s="5">
    <fb>2375.31</fb>
    <v>14</v>
  </rv>
  <rv s="5">
    <fb>42801</fb>
    <v>13</v>
  </rv>
  <rv s="5">
    <fb>42.557499999999997</fb>
    <v>14</v>
  </rv>
  <rv s="5">
    <fb>42.301000000000002</fb>
    <v>14</v>
  </rv>
  <rv s="5">
    <fb>36.14</fb>
    <v>14</v>
  </rv>
  <rv s="5">
    <fb>375.24</fb>
    <v>14</v>
  </rv>
  <rv s="5">
    <fb>120.8871</fb>
    <v>14</v>
  </rv>
  <rv s="5">
    <fb>110.96</fb>
    <v>14</v>
  </rv>
  <rv s="5">
    <fb>32.662500000000001</fb>
    <v>14</v>
  </rv>
  <rv s="5">
    <fb>79.95</fb>
    <v>14</v>
  </rv>
  <rv s="5">
    <fb>2.4685000000000001</fb>
    <v>14</v>
  </rv>
  <rv s="5">
    <fb>90.29</fb>
    <v>14</v>
  </rv>
  <rv s="5">
    <fb>168.3</fb>
    <v>14</v>
  </rv>
  <rv s="5">
    <fb>2368.39</fb>
    <v>14</v>
  </rv>
  <rv s="5">
    <fb>42802</fb>
    <v>13</v>
  </rv>
  <rv s="5">
    <fb>42.682000000000002</fb>
    <v>14</v>
  </rv>
  <rv s="5">
    <fb>42.524999999999999</fb>
    <v>14</v>
  </rv>
  <rv s="5">
    <fb>36.340000000000003</fb>
    <v>14</v>
  </rv>
  <rv s="5">
    <fb>363.43</fb>
    <v>14</v>
  </rv>
  <rv s="5">
    <fb>121.203</fb>
    <v>14</v>
  </rv>
  <rv s="5">
    <fb>110.98</fb>
    <v>14</v>
  </rv>
  <rv s="5">
    <fb>32.36</fb>
    <v>14</v>
  </rv>
  <rv s="5">
    <fb>78.099999999999994</fb>
    <v>14</v>
  </rv>
  <rv s="5">
    <fb>2.464</fb>
    <v>14</v>
  </rv>
  <rv s="5">
    <fb>90.14</fb>
    <v>14</v>
  </rv>
  <rv s="5">
    <fb>167.91</fb>
    <v>14</v>
  </rv>
  <rv s="5">
    <fb>2362.98</fb>
    <v>14</v>
  </rv>
  <rv s="5">
    <fb>42803</fb>
    <v>13</v>
  </rv>
  <rv s="5">
    <fb>42.892000000000003</fb>
    <v>14</v>
  </rv>
  <rv s="5">
    <fb>42.65</fb>
    <v>14</v>
  </rv>
  <rv s="5">
    <fb>36.674999999999997</fb>
    <v>14</v>
  </rv>
  <rv s="5">
    <fb>376.01</fb>
    <v>14</v>
  </rv>
  <rv s="5">
    <fb>120.82</fb>
    <v>14</v>
  </rv>
  <rv s="5">
    <fb>110.79</fb>
    <v>14</v>
  </rv>
  <rv s="5">
    <fb>32.1875</fb>
    <v>14</v>
  </rv>
  <rv s="5">
    <fb>78.7</fb>
    <v>14</v>
  </rv>
  <rv s="5">
    <fb>2.4634999999999998</fb>
    <v>14</v>
  </rv>
  <rv s="5">
    <fb>90.34</fb>
    <v>14</v>
  </rv>
  <rv s="5">
    <fb>168.01</fb>
    <v>14</v>
  </rv>
  <rv s="5">
    <fb>2364.87</fb>
    <v>14</v>
  </rv>
  <rv s="5">
    <fb>42804</fb>
    <v>13</v>
  </rv>
  <rv s="5">
    <fb>43.070300000000003</fb>
    <v>14</v>
  </rv>
  <rv s="5">
    <fb>42.622999999999998</fb>
    <v>14</v>
  </rv>
  <rv s="5">
    <fb>379.16</fb>
    <v>14</v>
  </rv>
  <rv s="5">
    <fb>121.6339</fb>
    <v>14</v>
  </rv>
  <rv s="5">
    <fb>111.21</fb>
    <v>14</v>
  </rv>
  <rv s="5">
    <fb>32.515000000000001</fb>
    <v>14</v>
  </rv>
  <rv s="5">
    <fb>78.69</fb>
    <v>14</v>
  </rv>
  <rv s="5">
    <fb>2.4780000000000002</fb>
    <v>14</v>
  </rv>
  <rv s="5">
    <fb>169.98</fb>
    <v>14</v>
  </rv>
  <rv s="5">
    <fb>2372.6</fb>
    <v>14</v>
  </rv>
  <rv s="5">
    <fb>42807</fb>
    <v>13</v>
  </rv>
  <rv s="5">
    <fb>43.228999999999999</fb>
    <v>14</v>
  </rv>
  <rv s="5">
    <fb>42.729500000000002</fb>
    <v>14</v>
  </rv>
  <rv s="5">
    <fb>37.159999999999997</fb>
    <v>14</v>
  </rv>
  <rv s="5">
    <fb>380.32</fb>
    <v>14</v>
  </rv>
  <rv s="5">
    <fb>121.33710000000001</fb>
    <v>14</v>
  </rv>
  <rv s="5">
    <fb>111.53</fb>
    <v>14</v>
  </rv>
  <rv s="5">
    <fb>32.615000000000002</fb>
    <v>14</v>
  </rv>
  <rv s="5">
    <fb>78.59</fb>
    <v>14</v>
  </rv>
  <rv s="5">
    <fb>2.5463</fb>
    <v>14</v>
  </rv>
  <rv s="5">
    <fb>91.31</fb>
    <v>14</v>
  </rv>
  <rv s="5">
    <fb>170.21</fb>
    <v>14</v>
  </rv>
  <rv s="5">
    <fb>2373.4699999999998</fb>
    <v>14</v>
  </rv>
  <rv s="5">
    <fb>42808</fb>
    <v>13</v>
  </rv>
  <rv s="5">
    <fb>43.295499999999997</fb>
    <v>14</v>
  </rv>
  <rv s="5">
    <fb>42.6265</fb>
    <v>14</v>
  </rv>
  <rv s="5">
    <fb>37.024999999999999</fb>
    <v>14</v>
  </rv>
  <rv s="5">
    <fb>381.38</fb>
    <v>14</v>
  </rv>
  <rv s="5">
    <fb>120.3605</fb>
    <v>14</v>
  </rv>
  <rv s="5">
    <fb>110.49</fb>
    <v>14</v>
  </rv>
  <rv s="5">
    <fb>32.642499999999998</fb>
    <v>14</v>
  </rv>
  <rv s="5">
    <fb>78.38</fb>
    <v>14</v>
  </rv>
  <rv s="5">
    <fb>2.5445000000000002</fb>
    <v>14</v>
  </rv>
  <rv s="5">
    <fb>91</fb>
    <v>14</v>
  </rv>
  <rv s="5">
    <fb>169.06</fb>
    <v>14</v>
  </rv>
  <rv s="5">
    <fb>2365.4499999999998</fb>
    <v>14</v>
  </rv>
  <rv s="5">
    <fb>42809</fb>
    <v>13</v>
  </rv>
  <rv s="5">
    <fb>43.419499999999999</fb>
    <v>14</v>
  </rv>
  <rv s="5">
    <fb>42.648499999999999</fb>
    <v>14</v>
  </rv>
  <rv s="5">
    <fb>37.47</fb>
    <v>14</v>
  </rv>
  <rv s="5">
    <fb>383.78</fb>
    <v>14</v>
  </rv>
  <rv s="5">
    <fb>121.5668</fb>
    <v>14</v>
  </rv>
  <rv s="5">
    <fb>112.02</fb>
    <v>14</v>
  </rv>
  <rv s="5">
    <fb>32.975000000000001</fb>
    <v>14</v>
  </rv>
  <rv s="5">
    <fb>80.25</fb>
    <v>14</v>
  </rv>
  <rv s="5">
    <fb>2.5638000000000001</fb>
    <v>14</v>
  </rv>
  <rv s="5">
    <fb>91.4</fb>
    <v>14</v>
  </rv>
  <rv s="5">
    <fb>171.78</fb>
    <v>14</v>
  </rv>
  <rv s="5">
    <fb>2385.2600000000002</fb>
    <v>14</v>
  </rv>
  <rv s="5">
    <fb>42810</fb>
    <v>13</v>
  </rv>
  <rv s="5">
    <fb>43.5</fb>
    <v>14</v>
  </rv>
  <rv s="5">
    <fb>42.670999999999999</fb>
    <v>14</v>
  </rv>
  <rv s="5">
    <fb>37.375</fb>
    <v>14</v>
  </rv>
  <rv s="5">
    <fb>378.17</fb>
    <v>14</v>
  </rv>
  <rv s="5">
    <fb>120.9828</fb>
    <v>14</v>
  </rv>
  <rv s="5">
    <fb>112.67</fb>
    <v>14</v>
  </rv>
  <rv s="5">
    <fb>32.475000000000001</fb>
    <v>14</v>
  </rv>
  <rv s="5">
    <fb>79.650000000000006</fb>
    <v>14</v>
  </rv>
  <rv s="5">
    <fb>2.5952999999999999</fb>
    <v>14</v>
  </rv>
  <rv s="5">
    <fb>171.3</fb>
    <v>14</v>
  </rv>
  <rv s="5">
    <fb>2381.38</fb>
    <v>14</v>
  </rv>
  <rv s="5">
    <fb>42811</fb>
    <v>13</v>
  </rv>
  <rv s="5">
    <fb>43.618499999999997</fb>
    <v>14</v>
  </rv>
  <rv s="5">
    <fb>42.615499999999997</fb>
    <v>14</v>
  </rv>
  <rv s="5">
    <fb>37.56</fb>
    <v>14</v>
  </rv>
  <rv s="5">
    <fb>375.64</fb>
    <v>14</v>
  </rv>
  <rv s="5">
    <fb>121.7488</fb>
    <v>14</v>
  </rv>
  <rv s="5">
    <fb>112.83</fb>
    <v>14</v>
  </rv>
  <rv s="5">
    <fb>32.557499999999997</fb>
    <v>14</v>
  </rv>
  <rv s="5">
    <fb>79.55</fb>
    <v>14</v>
  </rv>
  <rv s="5">
    <fb>2.6518000000000002</fb>
    <v>14</v>
  </rv>
  <rv s="5">
    <fb>169.7</fb>
    <v>14</v>
  </rv>
  <rv s="5">
    <fb>2378.25</fb>
    <v>14</v>
  </rv>
  <rv s="5">
    <fb>42814</fb>
    <v>13</v>
  </rv>
  <rv s="5">
    <fb>43.395499999999998</fb>
    <v>14</v>
  </rv>
  <rv s="5">
    <fb>42.848500000000001</fb>
    <v>14</v>
  </rv>
  <rv s="5">
    <fb>37.655000000000001</fb>
    <v>14</v>
  </rv>
  <rv s="5">
    <fb>383.57</fb>
    <v>14</v>
  </rv>
  <rv s="5">
    <fb>121.1168</fb>
    <v>14</v>
  </rv>
  <rv s="5">
    <fb>112.41</fb>
    <v>14</v>
  </rv>
  <rv s="5">
    <fb>32.472499999999997</fb>
    <v>14</v>
  </rv>
  <rv s="5">
    <fb>78.92</fb>
    <v>14</v>
  </rv>
  <rv s="5">
    <fb>2.7363</fb>
    <v>14</v>
  </rv>
  <rv s="5">
    <fb>91.22</fb>
    <v>14</v>
  </rv>
  <rv s="5">
    <fb>168</fb>
    <v>14</v>
  </rv>
  <rv s="5">
    <fb>42815</fb>
    <v>13</v>
  </rv>
  <rv s="5">
    <fb>42.506999999999998</fb>
    <v>14</v>
  </rv>
  <rv s="5">
    <fb>42.16</fb>
    <v>14</v>
  </rv>
  <rv s="5">
    <fb>36.99</fb>
    <v>14</v>
  </rv>
  <rv s="5">
    <fb>383.41</fb>
    <v>14</v>
  </rv>
  <rv s="5">
    <fb>120.3126</fb>
    <v>14</v>
  </rv>
  <rv s="5">
    <fb>110.71</fb>
    <v>14</v>
  </rv>
  <rv s="5">
    <fb>32.962499999999999</fb>
    <v>14</v>
  </rv>
  <rv s="5">
    <fb>2.6478000000000002</fb>
    <v>14</v>
  </rv>
  <rv s="5">
    <fb>91.19</fb>
    <v>14</v>
  </rv>
  <rv s="5">
    <fb>167.7</fb>
    <v>14</v>
  </rv>
  <rv s="5">
    <fb>2344.02</fb>
    <v>14</v>
  </rv>
  <rv s="5">
    <fb>42816</fb>
    <v>13</v>
  </rv>
  <rv s="5">
    <fb>42.49</fb>
    <v>14</v>
  </rv>
  <rv s="5">
    <fb>42.402999999999999</fb>
    <v>14</v>
  </rv>
  <rv s="5">
    <fb>37.18</fb>
    <v>14</v>
  </rv>
  <rv s="5">
    <fb>387.47</fb>
    <v>14</v>
  </rv>
  <rv s="5">
    <fb>120.15940000000001</fb>
    <v>14</v>
  </rv>
  <rv s="5">
    <fb>111.45</fb>
    <v>14</v>
  </rv>
  <rv s="5">
    <fb>33.102499999999999</fb>
    <v>14</v>
  </rv>
  <rv s="5">
    <fb>2.7018</fb>
    <v>14</v>
  </rv>
  <rv s="5">
    <fb>90.99</fb>
    <v>14</v>
  </rv>
  <rv s="5">
    <fb>167.03</fb>
    <v>14</v>
  </rv>
  <rv s="5">
    <fb>2348.4499999999998</fb>
    <v>14</v>
  </rv>
  <rv s="5">
    <fb>42817</fb>
    <v>13</v>
  </rv>
  <rv s="5">
    <fb>41.982500000000002</fb>
    <v>14</v>
  </rv>
  <rv s="5">
    <fb>42.369</fb>
    <v>14</v>
  </rv>
  <rv s="5">
    <fb>37.155000000000001</fb>
    <v>14</v>
  </rv>
  <rv s="5">
    <fb>388.05</fb>
    <v>14</v>
  </rv>
  <rv s="5">
    <fb>120.1786</fb>
    <v>14</v>
  </rv>
  <rv s="5">
    <fb>111.6</fb>
    <v>14</v>
  </rv>
  <rv s="5">
    <fb>33.022500000000001</fb>
    <v>14</v>
  </rv>
  <rv s="5">
    <fb>77.67</fb>
    <v>14</v>
  </rv>
  <rv s="5">
    <fb>2.6772999999999998</fb>
    <v>14</v>
  </rv>
  <rv s="5">
    <fb>90.77</fb>
    <v>14</v>
  </rv>
  <rv s="5">
    <fb>165.29</fb>
    <v>14</v>
  </rv>
  <rv s="5">
    <fb>2345.96</fb>
    <v>14</v>
  </rv>
  <rv s="5">
    <fb>42818</fb>
    <v>13</v>
  </rv>
  <rv s="5">
    <fb>41.756999999999998</fb>
    <v>14</v>
  </rv>
  <rv s="5">
    <fb>42.280500000000004</fb>
    <v>14</v>
  </rv>
  <rv s="5">
    <fb>36.865000000000002</fb>
    <v>14</v>
  </rv>
  <rv s="5">
    <fb>388.09</fb>
    <v>14</v>
  </rv>
  <rv s="5">
    <fb>119.4605</fb>
    <v>14</v>
  </rv>
  <rv s="5">
    <fb>111.98</fb>
    <v>14</v>
  </rv>
  <rv s="5">
    <fb>33.200000000000003</fb>
    <v>14</v>
  </rv>
  <rv s="5">
    <fb>76.959999999999994</fb>
    <v>14</v>
  </rv>
  <rv s="5">
    <fb>2.6867999999999999</fb>
    <v>14</v>
  </rv>
  <rv s="5">
    <fb>90.57</fb>
    <v>14</v>
  </rv>
  <rv s="5">
    <fb>165</fb>
    <v>14</v>
  </rv>
  <rv s="5">
    <fb>2343.98</fb>
    <v>14</v>
  </rv>
  <rv s="5">
    <fb>42821</fb>
    <v>13</v>
  </rv>
  <rv s="5">
    <fb>41.9255</fb>
    <v>14</v>
  </rv>
  <rv s="5">
    <fb>42.341000000000001</fb>
    <v>14</v>
  </rv>
  <rv s="5">
    <fb>384</fb>
    <v>14</v>
  </rv>
  <rv s="5">
    <fb>111.94</fb>
    <v>14</v>
  </rv>
  <rv s="5">
    <fb>32.774999999999999</fb>
    <v>14</v>
  </rv>
  <rv s="5">
    <fb>77.02</fb>
    <v>14</v>
  </rv>
  <rv s="5">
    <fb>2.7063000000000001</fb>
    <v>14</v>
  </rv>
  <rv s="5">
    <fb>90.49</fb>
    <v>14</v>
  </rv>
  <rv s="5">
    <fb>164.6</fb>
    <v>14</v>
  </rv>
  <rv s="5">
    <fb>2341.59</fb>
    <v>14</v>
  </rv>
  <rv s="5">
    <fb>42822</fb>
    <v>13</v>
  </rv>
  <rv s="5">
    <fb>42.031500000000001</fb>
    <v>14</v>
  </rv>
  <rv s="5">
    <fb>42.8</fb>
    <v>14</v>
  </rv>
  <rv s="5">
    <fb>37</fb>
    <v>14</v>
  </rv>
  <rv s="5">
    <fb>384.86</fb>
    <v>14</v>
  </rv>
  <rv s="5">
    <fb>119.94880000000001</fb>
    <v>14</v>
  </rv>
  <rv s="5">
    <fb>112.47</fb>
    <v>14</v>
  </rv>
  <rv s="5">
    <fb>32.814999999999998</fb>
    <v>14</v>
  </rv>
  <rv s="5">
    <fb>78.31</fb>
    <v>14</v>
  </rv>
  <rv s="5">
    <fb>2.6922999999999999</fb>
    <v>14</v>
  </rv>
  <rv s="5">
    <fb>90.76</fb>
    <v>14</v>
  </rv>
  <rv s="5">
    <fb>165.35</fb>
    <v>14</v>
  </rv>
  <rv s="5">
    <fb>2358.5700000000002</fb>
    <v>14</v>
  </rv>
  <rv s="5">
    <fb>42823</fb>
    <v>13</v>
  </rv>
  <rv s="5">
    <fb>42.493499999999997</fb>
    <v>14</v>
  </rv>
  <rv s="5">
    <fb>43.716000000000001</fb>
    <v>14</v>
  </rv>
  <rv s="5">
    <fb>36.784999999999997</fb>
    <v>14</v>
  </rv>
  <rv s="5">
    <fb>394</fb>
    <v>14</v>
  </rv>
  <rv s="5">
    <fb>119.9679</fb>
    <v>14</v>
  </rv>
  <rv s="5">
    <fb>112.06</fb>
    <v>14</v>
  </rv>
  <rv s="5">
    <fb>32.637500000000003</fb>
    <v>14</v>
  </rv>
  <rv s="5">
    <fb>78.67</fb>
    <v>14</v>
  </rv>
  <rv s="5">
    <fb>2.6835</fb>
    <v>14</v>
  </rv>
  <rv s="5">
    <fb>90.6</fb>
    <v>14</v>
  </rv>
  <rv s="5">
    <fb>163.44</fb>
    <v>14</v>
  </rv>
  <rv s="5">
    <fb>2361.13</fb>
    <v>14</v>
  </rv>
  <rv s="5">
    <fb>42824</fb>
    <v>13</v>
  </rv>
  <rv s="5">
    <fb>42.473999999999997</fb>
    <v>14</v>
  </rv>
  <rv s="5">
    <fb>43.817</fb>
    <v>14</v>
  </rv>
  <rv s="5">
    <fb>36.81</fb>
    <v>14</v>
  </rv>
  <rv s="5">
    <fb>397.14</fb>
    <v>14</v>
  </rv>
  <rv s="5">
    <fb>120.0732</fb>
    <v>14</v>
  </rv>
  <rv s="5">
    <fb>32.032499999999999</fb>
    <v>14</v>
  </rv>
  <rv s="5">
    <fb>77.84</fb>
    <v>14</v>
  </rv>
  <rv s="5">
    <fb>2.7349999999999999</fb>
    <v>14</v>
  </rv>
  <rv s="5">
    <fb>90.2</fb>
    <v>14</v>
  </rv>
  <rv s="5">
    <fb>164.99</fb>
    <v>14</v>
  </rv>
  <rv s="5">
    <fb>2368.06</fb>
    <v>14</v>
  </rv>
  <rv s="5">
    <fb>42825</fb>
    <v>13</v>
  </rv>
  <rv s="5">
    <fb>42.39</fb>
    <v>14</v>
  </rv>
  <rv s="5">
    <fb>44.326999999999998</fb>
    <v>14</v>
  </rv>
  <rv s="5">
    <fb>37.130000000000003</fb>
    <v>14</v>
  </rv>
  <rv s="5">
    <fb>400.37</fb>
    <v>14</v>
  </rv>
  <rv s="5">
    <fb>119.5562</fb>
    <v>14</v>
  </rv>
  <rv s="5">
    <fb>32.092500000000001</fb>
    <v>14</v>
  </rv>
  <rv s="5">
    <fb>2.7233000000000001</fb>
    <v>14</v>
  </rv>
  <rv s="5">
    <fb>89.85</fb>
    <v>14</v>
  </rv>
  <rv s="5">
    <fb>164.01</fb>
    <v>14</v>
  </rv>
  <rv s="5">
    <fb>2362.7199999999998</fb>
    <v>14</v>
  </rv>
  <rv s="5">
    <fb>42828</fb>
    <v>13</v>
  </rv>
  <rv s="5">
    <fb>44.575499999999998</fb>
    <v>14</v>
  </rv>
  <rv s="5">
    <fb>402.47</fb>
    <v>14</v>
  </rv>
  <rv s="5">
    <fb>119.03919999999999</fb>
    <v>14</v>
  </rv>
  <rv s="5">
    <fb>112.24</fb>
    <v>14</v>
  </rv>
  <rv s="5">
    <fb>32.18</fb>
    <v>14</v>
  </rv>
  <rv s="5">
    <fb>77.7</fb>
    <v>14</v>
  </rv>
  <rv s="5">
    <fb>89.68</fb>
    <v>14</v>
  </rv>
  <rv s="5">
    <fb>165.59</fb>
    <v>14</v>
  </rv>
  <rv s="5">
    <fb>2358.84</fb>
    <v>14</v>
  </rv>
  <rv s="5">
    <fb>42829</fb>
    <v>13</v>
  </rv>
  <rv s="5">
    <fb>42.628500000000003</fb>
    <v>14</v>
  </rv>
  <rv s="5">
    <fb>45.341500000000003</fb>
    <v>14</v>
  </rv>
  <rv s="5">
    <fb>36.695</fb>
    <v>14</v>
  </rv>
  <rv s="5">
    <fb>399.98</fb>
    <v>14</v>
  </rv>
  <rv s="5">
    <fb>118.8956</fb>
    <v>14</v>
  </rv>
  <rv s="5">
    <fb>112.09</fb>
    <v>14</v>
  </rv>
  <rv s="5">
    <fb>32.384999999999998</fb>
    <v>14</v>
  </rv>
  <rv s="5">
    <fb>78.209999999999994</fb>
    <v>14</v>
  </rv>
  <rv s="5">
    <fb>2.5194999999999999</fb>
    <v>14</v>
  </rv>
  <rv s="5">
    <fb>89.91</fb>
    <v>14</v>
  </rv>
  <rv s="5">
    <fb>164.97</fb>
    <v>14</v>
  </rv>
  <rv s="5">
    <fb>2360.16</fb>
    <v>14</v>
  </rv>
  <rv s="5">
    <fb>42830</fb>
    <v>13</v>
  </rv>
  <rv s="5">
    <fb>45.463999999999999</fb>
    <v>14</v>
  </rv>
  <rv s="5">
    <fb>36.325000000000003</fb>
    <v>14</v>
  </rv>
  <rv s="5">
    <fb>400.04</fb>
    <v>14</v>
  </rv>
  <rv s="5">
    <fb>118.3115</fb>
    <v>14</v>
  </rv>
  <rv s="5">
    <fb>112.07</fb>
    <v>14</v>
  </rv>
  <rv s="5">
    <fb>78.3</fb>
    <v>14</v>
  </rv>
  <rv s="5">
    <fb>2.5007999999999999</fb>
    <v>14</v>
  </rv>
  <rv s="5">
    <fb>89.97</fb>
    <v>14</v>
  </rv>
  <rv s="5">
    <fb>165.37</fb>
    <v>14</v>
  </rv>
  <rv s="5">
    <fb>2352.9499999999998</fb>
    <v>14</v>
  </rv>
  <rv s="5">
    <fb>42831</fb>
    <v>13</v>
  </rv>
  <rv s="5">
    <fb>42.254800000000003</fb>
    <v>14</v>
  </rv>
  <rv s="5">
    <fb>44.914000000000001</fb>
    <v>14</v>
  </rv>
  <rv s="5">
    <fb>36.200000000000003</fb>
    <v>14</v>
  </rv>
  <rv s="5">
    <fb>402.18</fb>
    <v>14</v>
  </rv>
  <rv s="5">
    <fb>118.5605</fb>
    <v>14</v>
  </rv>
  <rv s="5">
    <fb>112.43</fb>
    <v>14</v>
  </rv>
  <rv s="5">
    <fb>32.44</fb>
    <v>14</v>
  </rv>
  <rv s="5">
    <fb>78.62</fb>
    <v>14</v>
  </rv>
  <rv s="5">
    <fb>2.5190000000000001</fb>
    <v>14</v>
  </rv>
  <rv s="5">
    <fb>89.4</fb>
    <v>14</v>
  </rv>
  <rv s="5">
    <fb>165.34</fb>
    <v>14</v>
  </rv>
  <rv s="5">
    <fb>2357.4899999999998</fb>
    <v>14</v>
  </rv>
  <rv s="5">
    <fb>42832</fb>
    <v>13</v>
  </rv>
  <rv s="5">
    <fb>42.104999999999997</fb>
    <v>14</v>
  </rv>
  <rv s="5">
    <fb>44.744</fb>
    <v>14</v>
  </rv>
  <rv s="5">
    <fb>36.115000000000002</fb>
    <v>14</v>
  </rv>
  <rv s="5">
    <fb>401.74</fb>
    <v>14</v>
  </rv>
  <rv s="5">
    <fb>118.9817</fb>
    <v>14</v>
  </rv>
  <rv s="5">
    <fb>32.232500000000002</fb>
    <v>14</v>
  </rv>
  <rv s="5">
    <fb>78.33</fb>
    <v>14</v>
  </rv>
  <rv s="5">
    <fb>2.5083000000000002</fb>
    <v>14</v>
  </rv>
  <rv s="5">
    <fb>89.23</fb>
    <v>14</v>
  </rv>
  <rv s="5">
    <fb>166.02</fb>
    <v>14</v>
  </rv>
  <rv s="5">
    <fb>2355.54</fb>
    <v>14</v>
  </rv>
  <rv s="5">
    <fb>42835</fb>
    <v>13</v>
  </rv>
  <rv s="5">
    <fb>42.085000000000001</fb>
    <v>14</v>
  </rv>
  <rv s="5">
    <fb>45.351999999999997</fb>
    <v>14</v>
  </rv>
  <rv s="5">
    <fb>36.11</fb>
    <v>14</v>
  </rv>
  <rv s="5">
    <fb>400.93</fb>
    <v>14</v>
  </rv>
  <rv s="5">
    <fb>119.16370000000001</fb>
    <v>14</v>
  </rv>
  <rv s="5">
    <fb>112.32</fb>
    <v>14</v>
  </rv>
  <rv s="5">
    <fb>32.357500000000002</fb>
    <v>14</v>
  </rv>
  <rv s="5">
    <fb>78.709999999999994</fb>
    <v>14</v>
  </rv>
  <rv s="5">
    <fb>2.4443000000000001</fb>
    <v>14</v>
  </rv>
  <rv s="5">
    <fb>89.49</fb>
    <v>14</v>
  </rv>
  <rv s="5">
    <fb>165.48</fb>
    <v>14</v>
  </rv>
  <rv s="5">
    <fb>2357.16</fb>
    <v>14</v>
  </rv>
  <rv s="5">
    <fb>42836</fb>
    <v>13</v>
  </rv>
  <rv s="5">
    <fb>41.994</fb>
    <v>14</v>
  </rv>
  <rv s="5">
    <fb>45.118000000000002</fb>
    <v>14</v>
  </rv>
  <rv s="5">
    <fb>36.125</fb>
    <v>14</v>
  </rv>
  <rv s="5">
    <fb>399.84</fb>
    <v>14</v>
  </rv>
  <rv s="5">
    <fb>119.2403</fb>
    <v>14</v>
  </rv>
  <rv s="5">
    <fb>112.11</fb>
    <v>14</v>
  </rv>
  <rv s="5">
    <fb>32.33</fb>
    <v>14</v>
  </rv>
  <rv s="5">
    <fb>2.4529999999999998</fb>
    <v>14</v>
  </rv>
  <rv s="5">
    <fb>89.8</fb>
    <v>14</v>
  </rv>
  <rv s="5">
    <fb>165.83</fb>
    <v>14</v>
  </rv>
  <rv s="5">
    <fb>2353.7800000000002</fb>
    <v>14</v>
  </rv>
  <rv s="5">
    <fb>42837</fb>
    <v>13</v>
  </rv>
  <rv s="5">
    <fb>42.073</fb>
    <v>14</v>
  </rv>
  <rv s="5">
    <fb>44.811500000000002</fb>
    <v>14</v>
  </rv>
  <rv s="5">
    <fb>35.869999999999997</fb>
    <v>14</v>
  </rv>
  <rv s="5">
    <fb>399.76</fb>
    <v>14</v>
  </rv>
  <rv s="5">
    <fb>117.90940000000001</fb>
    <v>14</v>
  </rv>
  <rv s="5">
    <fb>111.47</fb>
    <v>14</v>
  </rv>
  <rv s="5">
    <fb>32.627499999999998</fb>
    <v>14</v>
  </rv>
  <rv s="5">
    <fb>79.569999999999993</fb>
    <v>14</v>
  </rv>
  <rv s="5">
    <fb>2.4327999999999999</fb>
    <v>14</v>
  </rv>
  <rv s="5">
    <fb>90.31</fb>
    <v>14</v>
  </rv>
  <rv s="5">
    <fb>165.56</fb>
    <v>14</v>
  </rv>
  <rv s="5">
    <fb>2344.9299999999998</fb>
    <v>14</v>
  </rv>
  <rv s="5">
    <fb>42838</fb>
    <v>13</v>
  </rv>
  <rv s="5">
    <fb>42.009</fb>
    <v>14</v>
  </rv>
  <rv s="5">
    <fb>44.233499999999999</fb>
    <v>14</v>
  </rv>
  <rv s="5">
    <fb>35.765000000000001</fb>
    <v>14</v>
  </rv>
  <rv s="5">
    <fb>399.11</fb>
    <v>14</v>
  </rv>
  <rv s="5">
    <fb>117.2871</fb>
    <v>14</v>
  </rv>
  <rv s="5">
    <fb>111.22</fb>
    <v>14</v>
  </rv>
  <rv s="5">
    <fb>32.692500000000003</fb>
    <v>14</v>
  </rv>
  <rv s="5">
    <fb>78.150000000000006</fb>
    <v>14</v>
  </rv>
  <rv s="5">
    <fb>2.3873000000000002</fb>
    <v>14</v>
  </rv>
  <rv s="5">
    <fb>90.03</fb>
    <v>14</v>
  </rv>
  <rv s="5">
    <fb>164.96</fb>
    <v>14</v>
  </rv>
  <rv s="5">
    <fb>2328.9499999999998</fb>
    <v>14</v>
  </rv>
  <rv s="5">
    <fb>42842</fb>
    <v>13</v>
  </rv>
  <rv s="5">
    <fb>42.756500000000003</fb>
    <v>14</v>
  </rv>
  <rv s="5">
    <fb>45.099499999999999</fb>
    <v>14</v>
  </rv>
  <rv s="5">
    <fb>36.15</fb>
    <v>14</v>
  </rv>
  <rv s="5">
    <fb>403.01</fb>
    <v>14</v>
  </rv>
  <rv s="5">
    <fb>118.17749999999999</fb>
    <v>14</v>
  </rv>
  <rv s="5">
    <fb>32.727499999999999</fb>
    <v>14</v>
  </rv>
  <rv s="5">
    <fb>78.239999999999995</fb>
    <v>14</v>
  </rv>
  <rv s="5">
    <fb>2.4807999999999999</fb>
    <v>14</v>
  </rv>
  <rv s="5">
    <fb>90.39</fb>
    <v>14</v>
  </rv>
  <rv s="5">
    <fb>167.18</fb>
    <v>14</v>
  </rv>
  <rv s="5">
    <fb>2349.0100000000002</fb>
    <v>14</v>
  </rv>
  <rv s="5">
    <fb>42843</fb>
    <v>13</v>
  </rv>
  <rv s="5">
    <fb>42.6995</fb>
    <v>14</v>
  </rv>
  <rv s="5">
    <fb>45.189</fb>
    <v>14</v>
  </rv>
  <rv s="5">
    <fb>402.95</fb>
    <v>14</v>
  </rv>
  <rv s="5">
    <fb>117.8424</fb>
    <v>14</v>
  </rv>
  <rv s="5">
    <fb>112.52</fb>
    <v>14</v>
  </rv>
  <rv s="5">
    <fb>32.984999999999999</fb>
    <v>14</v>
  </rv>
  <rv s="5">
    <fb>77.930000000000007</fb>
    <v>14</v>
  </rv>
  <rv s="5">
    <fb>2.4823</fb>
    <v>14</v>
  </rv>
  <rv s="5">
    <fb>90.8</fb>
    <v>14</v>
  </rv>
  <rv s="5">
    <fb>168.59</fb>
    <v>14</v>
  </rv>
  <rv s="5">
    <fb>2342.19</fb>
    <v>14</v>
  </rv>
  <rv s="5">
    <fb>42844</fb>
    <v>13</v>
  </rv>
  <rv s="5">
    <fb>42.825499999999998</fb>
    <v>14</v>
  </rv>
  <rv s="5">
    <fb>44.96</fb>
    <v>14</v>
  </rv>
  <rv s="5">
    <fb>36.4</fb>
    <v>14</v>
  </rv>
  <rv s="5">
    <fb>403.96</fb>
    <v>14</v>
  </rv>
  <rv s="5">
    <fb>117.51690000000001</fb>
    <v>14</v>
  </rv>
  <rv s="5">
    <fb>112.29</fb>
    <v>14</v>
  </rv>
  <rv s="5">
    <fb>32.875</fb>
    <v>14</v>
  </rv>
  <rv s="5">
    <fb>76.48</fb>
    <v>14</v>
  </rv>
  <rv s="5">
    <fb>2.492</fb>
    <v>14</v>
  </rv>
  <rv s="5">
    <fb>89.6</fb>
    <v>14</v>
  </rv>
  <rv s="5">
    <fb>169.25</fb>
    <v>14</v>
  </rv>
  <rv s="5">
    <fb>2338.17</fb>
    <v>14</v>
  </rv>
  <rv s="5">
    <fb>42845</fb>
    <v>13</v>
  </rv>
  <rv s="5">
    <fb>43.003999999999998</fb>
    <v>14</v>
  </rv>
  <rv s="5">
    <fb>45.103000000000002</fb>
    <v>14</v>
  </rv>
  <rv s="5">
    <fb>405.13</fb>
    <v>14</v>
  </rv>
  <rv s="5">
    <fb>118.503</fb>
    <v>14</v>
  </rv>
  <rv s="5">
    <fb>114.59</fb>
    <v>14</v>
  </rv>
  <rv s="5">
    <fb>32.717500000000001</fb>
    <v>14</v>
  </rv>
  <rv s="5">
    <fb>76.510000000000005</fb>
    <v>14</v>
  </rv>
  <rv s="5">
    <fb>2.5314999999999999</fb>
    <v>14</v>
  </rv>
  <rv s="5">
    <fb>89.33</fb>
    <v>14</v>
  </rv>
  <rv s="5">
    <fb>171.54</fb>
    <v>14</v>
  </rv>
  <rv s="5">
    <fb>2355.84</fb>
    <v>14</v>
  </rv>
  <rv s="5">
    <fb>42846</fb>
    <v>13</v>
  </rv>
  <rv s="5">
    <fb>42.947499999999998</fb>
    <v>14</v>
  </rv>
  <rv s="5">
    <fb>44.926499999999997</fb>
    <v>14</v>
  </rv>
  <rv s="5">
    <fb>36.840000000000003</fb>
    <v>14</v>
  </rv>
  <rv s="5">
    <fb>401.84</fb>
    <v>14</v>
  </rv>
  <rv s="5">
    <fb>121.6722</fb>
    <v>14</v>
  </rv>
  <rv s="5">
    <fb>114.27</fb>
    <v>14</v>
  </rv>
  <rv s="5">
    <fb>33.255000000000003</fb>
    <v>14</v>
  </rv>
  <rv s="5">
    <fb>74.84</fb>
    <v>14</v>
  </rv>
  <rv s="5">
    <fb>2.5419999999999998</fb>
    <v>14</v>
  </rv>
  <rv s="5">
    <fb>88.62</fb>
    <v>14</v>
  </rv>
  <rv s="5">
    <fb>171.16</fb>
    <v>14</v>
  </rv>
  <rv s="5">
    <fb>2348.69</fb>
    <v>14</v>
  </rv>
  <rv s="5">
    <fb>42849</fb>
    <v>13</v>
  </rv>
  <rv s="5">
    <fb>43.9465</fb>
    <v>14</v>
  </rv>
  <rv s="5">
    <fb>45.3705</fb>
    <v>14</v>
  </rv>
  <rv s="5">
    <fb>37.195</fb>
    <v>14</v>
  </rv>
  <rv s="5">
    <fb>404.03</fb>
    <v>14</v>
  </rv>
  <rv s="5">
    <fb>124.2668</fb>
    <v>14</v>
  </rv>
  <rv s="5">
    <fb>115.7</fb>
    <v>14</v>
  </rv>
  <rv s="5">
    <fb>33.1875</fb>
    <v>14</v>
  </rv>
  <rv s="5">
    <fb>74.099999999999994</fb>
    <v>14</v>
  </rv>
  <rv s="5">
    <fb>89.55</fb>
    <v>14</v>
  </rv>
  <rv s="5">
    <fb>172.33</fb>
    <v>14</v>
  </rv>
  <rv s="5">
    <fb>2374.15</fb>
    <v>14</v>
  </rv>
  <rv s="5">
    <fb>42850</fb>
    <v>13</v>
  </rv>
  <rv s="5">
    <fb>44.442</fb>
    <v>14</v>
  </rv>
  <rv s="5">
    <fb>45.381</fb>
    <v>14</v>
  </rv>
  <rv s="5">
    <fb>37.57</fb>
    <v>14</v>
  </rv>
  <rv s="5">
    <fb>406.55</fb>
    <v>14</v>
  </rv>
  <rv s="5">
    <fb>123.79770000000001</fb>
    <v>14</v>
  </rv>
  <rv s="5">
    <fb>116.13</fb>
    <v>14</v>
  </rv>
  <rv s="5">
    <fb>33.229999999999997</fb>
    <v>14</v>
  </rv>
  <rv s="5">
    <fb>74.09</fb>
    <v>14</v>
  </rv>
  <rv s="5">
    <fb>2.6185</fb>
    <v>14</v>
  </rv>
  <rv s="5">
    <fb>90</fb>
    <v>14</v>
  </rv>
  <rv s="5">
    <fb>174.04</fb>
    <v>14</v>
  </rv>
  <rv s="5">
    <fb>2388.61</fb>
    <v>14</v>
  </rv>
  <rv s="5">
    <fb>42851</fb>
    <v>13</v>
  </rv>
  <rv s="5">
    <fb>44.457000000000001</fb>
    <v>14</v>
  </rv>
  <rv s="5">
    <fb>45.464500000000001</fb>
    <v>14</v>
  </rv>
  <rv s="5">
    <fb>37.585000000000001</fb>
    <v>14</v>
  </rv>
  <rv s="5">
    <fb>407.33</fb>
    <v>14</v>
  </rv>
  <rv s="5">
    <fb>124.5637</fb>
    <v>14</v>
  </rv>
  <rv s="5">
    <fb>116.17</fb>
    <v>14</v>
  </rv>
  <rv s="5">
    <fb>33.207500000000003</fb>
    <v>14</v>
  </rv>
  <rv s="5">
    <fb>74.11</fb>
    <v>14</v>
  </rv>
  <rv s="5">
    <fb>2.6004999999999998</fb>
    <v>14</v>
  </rv>
  <rv s="5">
    <fb>87.74</fb>
    <v>14</v>
  </rv>
  <rv s="5">
    <fb>174.38</fb>
    <v>14</v>
  </rv>
  <rv s="5">
    <fb>2387.4499999999998</fb>
    <v>14</v>
  </rv>
  <rv s="5">
    <fb>42852</fb>
    <v>13</v>
  </rv>
  <rv s="5">
    <fb>44.572000000000003</fb>
    <v>14</v>
  </rv>
  <rv s="5">
    <fb>45.918999999999997</fb>
    <v>14</v>
  </rv>
  <rv s="5">
    <fb>38.674999999999997</fb>
    <v>14</v>
  </rv>
  <rv s="5">
    <fb>410.94</fb>
    <v>14</v>
  </rv>
  <rv s="5">
    <fb>124.35299999999999</fb>
    <v>14</v>
  </rv>
  <rv s="5">
    <fb>117.1</fb>
    <v>14</v>
  </rv>
  <rv s="5">
    <fb>33.380000000000003</fb>
    <v>14</v>
  </rv>
  <rv s="5">
    <fb>72.84</fb>
    <v>14</v>
  </rv>
  <rv s="5">
    <fb>2.641</fb>
    <v>14</v>
  </rv>
  <rv s="5">
    <fb>87.69</fb>
    <v>14</v>
  </rv>
  <rv s="5">
    <fb>174.63</fb>
    <v>14</v>
  </rv>
  <rv s="5">
    <fb>2388.77</fb>
    <v>14</v>
  </rv>
  <rv s="5">
    <fb>42853</fb>
    <v>13</v>
  </rv>
  <rv s="5">
    <fb>46.225999999999999</fb>
    <v>14</v>
  </rv>
  <rv s="5">
    <fb>46.249499999999998</fb>
    <v>14</v>
  </rv>
  <rv s="5">
    <fb>38.445</fb>
    <v>14</v>
  </rv>
  <rv s="5">
    <fb>417.7</fb>
    <v>14</v>
  </rv>
  <rv s="5">
    <fb>125.5594</fb>
    <v>14</v>
  </rv>
  <rv s="5">
    <fb>116.32</fb>
    <v>14</v>
  </rv>
  <rv s="5">
    <fb>33.39</fb>
    <v>14</v>
  </rv>
  <rv s="5">
    <fb>72.59</fb>
    <v>14</v>
  </rv>
  <rv s="5">
    <fb>2.6074999999999999</fb>
    <v>14</v>
  </rv>
  <rv s="5">
    <fb>174.88</fb>
    <v>14</v>
  </rv>
  <rv s="5">
    <fb>2384.1999999999998</fb>
    <v>14</v>
  </rv>
  <rv s="5">
    <fb>42856</fb>
    <v>13</v>
  </rv>
  <rv s="5">
    <fb>46.640999999999998</fb>
    <v>14</v>
  </rv>
  <rv s="5">
    <fb>47.411499999999997</fb>
    <v>14</v>
  </rv>
  <rv s="5">
    <fb>38.46</fb>
    <v>14</v>
  </rv>
  <rv s="5">
    <fb>420.18</fb>
    <v>14</v>
  </rv>
  <rv s="5">
    <fb>125.3296</fb>
    <v>14</v>
  </rv>
  <rv s="5">
    <fb>116.37</fb>
    <v>14</v>
  </rv>
  <rv s="5">
    <fb>33.26</fb>
    <v>14</v>
  </rv>
  <rv s="5">
    <fb>72.3</fb>
    <v>14</v>
  </rv>
  <rv s="5">
    <fb>2.6659999999999999</fb>
    <v>14</v>
  </rv>
  <rv s="5">
    <fb>87.09</fb>
    <v>14</v>
  </rv>
  <rv s="5">
    <fb>174.59</fb>
    <v>14</v>
  </rv>
  <rv s="5">
    <fb>2388.33</fb>
    <v>14</v>
  </rv>
  <rv s="5">
    <fb>42857</fb>
    <v>13</v>
  </rv>
  <rv s="5">
    <fb>46.854500000000002</fb>
    <v>14</v>
  </rv>
  <rv s="5">
    <fb>47.347000000000001</fb>
    <v>14</v>
  </rv>
  <rv s="5">
    <fb>38.4</fb>
    <v>14</v>
  </rv>
  <rv s="5">
    <fb>422.86</fb>
    <v>14</v>
  </rv>
  <rv s="5">
    <fb>125.6073</fb>
    <v>14</v>
  </rv>
  <rv s="5">
    <fb>118.12</fb>
    <v>14</v>
  </rv>
  <rv s="5">
    <fb>33.505000000000003</fb>
    <v>14</v>
  </rv>
  <rv s="5">
    <fb>71.45</fb>
    <v>14</v>
  </rv>
  <rv s="5">
    <fb>2.5870000000000002</fb>
    <v>14</v>
  </rv>
  <rv s="5">
    <fb>86.22</fb>
    <v>14</v>
  </rv>
  <rv s="5">
    <fb>174.14</fb>
    <v>14</v>
  </rv>
  <rv s="5">
    <fb>2391.17</fb>
    <v>14</v>
  </rv>
  <rv s="5">
    <fb>42858</fb>
    <v>13</v>
  </rv>
  <rv s="5">
    <fb>47.422499999999999</fb>
    <v>14</v>
  </rv>
  <rv s="5">
    <fb>47.051499999999997</fb>
    <v>14</v>
  </rv>
  <rv s="5">
    <fb>38.11</fb>
    <v>14</v>
  </rv>
  <rv s="5">
    <fb>423.18</fb>
    <v>14</v>
  </rv>
  <rv s="5">
    <fb>125.4924</fb>
    <v>14</v>
  </rv>
  <rv s="5">
    <fb>117.33</fb>
    <v>14</v>
  </rv>
  <rv s="5">
    <fb>33.340000000000003</fb>
    <v>14</v>
  </rv>
  <rv s="5">
    <fb>71.53</fb>
    <v>14</v>
  </rv>
  <rv s="5">
    <fb>2.6063000000000001</fb>
    <v>14</v>
  </rv>
  <rv s="5">
    <fb>172.54</fb>
    <v>14</v>
  </rv>
  <rv s="5">
    <fb>2388.13</fb>
    <v>14</v>
  </rv>
  <rv s="5">
    <fb>42859</fb>
    <v>13</v>
  </rv>
  <rv s="5">
    <fb>47.735999999999997</fb>
    <v>14</v>
  </rv>
  <rv s="5">
    <fb>46.8765</fb>
    <v>14</v>
  </rv>
  <rv s="5">
    <fb>40.244999999999997</fb>
    <v>14</v>
  </rv>
  <rv s="5">
    <fb>424.28</fb>
    <v>14</v>
  </rv>
  <rv s="5">
    <fb>125.6168</fb>
    <v>14</v>
  </rv>
  <rv s="5">
    <fb>117.92</fb>
    <v>14</v>
  </rv>
  <rv s="5">
    <fb>33.585000000000001</fb>
    <v>14</v>
  </rv>
  <rv s="5">
    <fb>70.94</fb>
    <v>14</v>
  </rv>
  <rv s="5">
    <fb>2.5962999999999998</fb>
    <v>14</v>
  </rv>
  <rv s="5">
    <fb>86.45</fb>
    <v>14</v>
  </rv>
  <rv s="5">
    <fb>174.02</fb>
    <v>14</v>
  </rv>
  <rv s="5">
    <fb>2389.52</fb>
    <v>14</v>
  </rv>
  <rv s="5">
    <fb>42860</fb>
    <v>13</v>
  </rv>
  <rv s="5">
    <fb>47.514000000000003</fb>
    <v>14</v>
  </rv>
  <rv s="5">
    <fb>46.707500000000003</fb>
    <v>14</v>
  </rv>
  <rv s="5">
    <fb>40.020000000000003</fb>
    <v>14</v>
  </rv>
  <rv s="5">
    <fb>426.25</fb>
    <v>14</v>
  </rv>
  <rv s="5">
    <fb>125.81789999999999</fb>
    <v>14</v>
  </rv>
  <rv s="5">
    <fb>117.5</fb>
    <v>14</v>
  </rv>
  <rv s="5">
    <fb>33.582500000000003</fb>
    <v>14</v>
  </rv>
  <rv s="5">
    <fb>71.97</fb>
    <v>14</v>
  </rv>
  <rv s="5">
    <fb>2.5964999999999998</fb>
    <v>14</v>
  </rv>
  <rv s="5">
    <fb>86.5</fb>
    <v>14</v>
  </rv>
  <rv s="5">
    <fb>174.12</fb>
    <v>14</v>
  </rv>
  <rv s="5">
    <fb>2399.29</fb>
    <v>14</v>
  </rv>
  <rv s="5">
    <fb>42863</fb>
    <v>13</v>
  </rv>
  <rv s="5">
    <fb>47.9345</fb>
    <v>14</v>
  </rv>
  <rv s="5">
    <fb>47.451999999999998</fb>
    <v>14</v>
  </rv>
  <rv s="5">
    <fb>39.805</fb>
    <v>14</v>
  </rv>
  <rv s="5">
    <fb>426.64</fb>
    <v>14</v>
  </rv>
  <rv s="5">
    <fb>125.5498</fb>
    <v>14</v>
  </rv>
  <rv s="5">
    <fb>116.61</fb>
    <v>14</v>
  </rv>
  <rv s="5">
    <fb>33.737499999999997</fb>
    <v>14</v>
  </rv>
  <rv s="5">
    <fb>72.22</fb>
    <v>14</v>
  </rv>
  <rv s="5">
    <fb>2.5693000000000001</fb>
    <v>14</v>
  </rv>
  <rv s="5">
    <fb>86.55</fb>
    <v>14</v>
  </rv>
  <rv s="5">
    <fb>174.44</fb>
    <v>14</v>
  </rv>
  <rv s="5">
    <fb>2399.38</fb>
    <v>14</v>
  </rv>
  <rv s="5">
    <fb>42864</fb>
    <v>13</v>
  </rv>
  <rv s="5">
    <fb>47.835500000000003</fb>
    <v>14</v>
  </rv>
  <rv s="5">
    <fb>47.640999999999998</fb>
    <v>14</v>
  </rv>
  <rv s="5">
    <fb>39.82</fb>
    <v>14</v>
  </rv>
  <rv s="5">
    <fb>425.91</fb>
    <v>14</v>
  </rv>
  <rv s="5">
    <fb>126.2966</fb>
    <v>14</v>
  </rv>
  <rv s="5">
    <fb>116.41</fb>
    <v>14</v>
  </rv>
  <rv s="5">
    <fb>33.442500000000003</fb>
    <v>14</v>
  </rv>
  <rv s="5">
    <fb>72.28</fb>
    <v>14</v>
  </rv>
  <rv s="5">
    <fb>2.5735000000000001</fb>
    <v>14</v>
  </rv>
  <rv s="5">
    <fb>86.4</fb>
    <v>14</v>
  </rv>
  <rv s="5">
    <fb>173.24</fb>
    <v>14</v>
  </rv>
  <rv s="5">
    <fb>2396.92</fb>
    <v>14</v>
  </rv>
  <rv s="5">
    <fb>42865</fb>
    <v>13</v>
  </rv>
  <rv s="5">
    <fb>47.741999999999997</fb>
    <v>14</v>
  </rv>
  <rv s="5">
    <fb>47.447499999999998</fb>
    <v>14</v>
  </rv>
  <rv s="5">
    <fb>40.094999999999999</fb>
    <v>14</v>
  </rv>
  <rv s="5">
    <fb>425.05</fb>
    <v>14</v>
  </rv>
  <rv s="5">
    <fb>126.1339</fb>
    <v>14</v>
  </rv>
  <rv s="5">
    <fb>116.65</fb>
    <v>14</v>
  </rv>
  <rv s="5">
    <fb>33.542499999999997</fb>
    <v>14</v>
  </rv>
  <rv s="5">
    <fb>72.67</fb>
    <v>14</v>
  </rv>
  <rv s="5">
    <fb>3.0323000000000002</fb>
    <v>14</v>
  </rv>
  <rv s="5">
    <fb>173.39</fb>
    <v>14</v>
  </rv>
  <rv s="5">
    <fb>2399.63</fb>
    <v>14</v>
  </rv>
  <rv s="5">
    <fb>42866</fb>
    <v>13</v>
  </rv>
  <rv s="5">
    <fb>47.794499999999999</fb>
    <v>14</v>
  </rv>
  <rv s="5">
    <fb>47.381</fb>
    <v>14</v>
  </rv>
  <rv s="5">
    <fb>40</fb>
    <v>14</v>
  </rv>
  <rv s="5">
    <fb>428.77</fb>
    <v>14</v>
  </rv>
  <rv s="5">
    <fb>126.2871</fb>
    <v>14</v>
  </rv>
  <rv s="5">
    <fb>116.53</fb>
    <v>14</v>
  </rv>
  <rv s="5">
    <fb>33.659999999999997</fb>
    <v>14</v>
  </rv>
  <rv s="5">
    <fb>71.78</fb>
    <v>14</v>
  </rv>
  <rv s="5">
    <fb>3.1625000000000001</fb>
    <v>14</v>
  </rv>
  <rv s="5">
    <fb>86.17</fb>
    <v>14</v>
  </rv>
  <rv s="5">
    <fb>173.32</fb>
    <v>14</v>
  </rv>
  <rv s="5">
    <fb>2394.44</fb>
    <v>14</v>
  </rv>
  <rv s="5">
    <fb>42867</fb>
    <v>13</v>
  </rv>
  <rv s="5">
    <fb>47.756999999999998</fb>
    <v>14</v>
  </rv>
  <rv s="5">
    <fb>48.067500000000003</fb>
    <v>14</v>
  </rv>
  <rv s="5">
    <fb>40.18</fb>
    <v>14</v>
  </rv>
  <rv s="5">
    <fb>431.07</fb>
    <v>14</v>
  </rv>
  <rv s="5">
    <fb>125.89449999999999</fb>
    <v>14</v>
  </rv>
  <rv s="5">
    <fb>117.13</fb>
    <v>14</v>
  </rv>
  <rv s="5">
    <fb>33.887500000000003</fb>
    <v>14</v>
  </rv>
  <rv s="5">
    <fb>71.02</fb>
    <v>14</v>
  </rv>
  <rv s="5">
    <fb>3.1972999999999998</fb>
    <v>14</v>
  </rv>
  <rv s="5">
    <fb>86.19</fb>
    <v>14</v>
  </rv>
  <rv s="5">
    <fb>171.81</fb>
    <v>14</v>
  </rv>
  <rv s="5">
    <fb>2390.9</fb>
    <v>14</v>
  </rv>
  <rv s="5">
    <fb>42870</fb>
    <v>13</v>
  </rv>
  <rv s="5">
    <fb>47.960999999999999</fb>
    <v>14</v>
  </rv>
  <rv s="5">
    <fb>47.898499999999999</fb>
    <v>14</v>
  </rv>
  <rv s="5">
    <fb>40.39</fb>
    <v>14</v>
  </rv>
  <rv s="5">
    <fb>429.81</fb>
    <v>14</v>
  </rv>
  <rv s="5">
    <fb>126.36360000000001</fb>
    <v>14</v>
  </rv>
  <rv s="5">
    <fb>118.21</fb>
    <v>14</v>
  </rv>
  <rv s="5">
    <fb>34.032499999999999</fb>
    <v>14</v>
  </rv>
  <rv s="5">
    <fb>72</fb>
    <v>14</v>
  </rv>
  <rv s="5">
    <fb>3.3578000000000001</fb>
    <v>14</v>
  </rv>
  <rv s="5">
    <fb>86.33</fb>
    <v>14</v>
  </rv>
  <rv s="5">
    <fb>171.53</fb>
    <v>14</v>
  </rv>
  <rv s="5">
    <fb>2402.3200000000002</fb>
    <v>14</v>
  </rv>
  <rv s="5">
    <fb>42871</fb>
    <v>13</v>
  </rv>
  <rv s="5">
    <fb>48.230499999999999</fb>
    <v>14</v>
  </rv>
  <rv s="5">
    <fb>48.3035</fb>
    <v>14</v>
  </rv>
  <rv s="5">
    <fb>40.405000000000001</fb>
    <v>14</v>
  </rv>
  <rv s="5">
    <fb>427.64</fb>
    <v>14</v>
  </rv>
  <rv s="5">
    <fb>126.39239999999999</fb>
    <v>14</v>
  </rv>
  <rv s="5">
    <fb>118.49</fb>
    <v>14</v>
  </rv>
  <rv s="5">
    <fb>33.975000000000001</fb>
    <v>14</v>
  </rv>
  <rv s="5">
    <fb>71.37</fb>
    <v>14</v>
  </rv>
  <rv s="5">
    <fb>3.4203000000000001</fb>
    <v>14</v>
  </rv>
  <rv s="5">
    <fb>86.24</fb>
    <v>14</v>
  </rv>
  <rv s="5">
    <fb>168.12</fb>
    <v>14</v>
  </rv>
  <rv s="5">
    <fb>2400.67</fb>
    <v>14</v>
  </rv>
  <rv s="5">
    <fb>42872</fb>
    <v>13</v>
  </rv>
  <rv s="5">
    <fb>47.108499999999999</fb>
    <v>14</v>
  </rv>
  <rv s="5">
    <fb>47.238</fb>
    <v>14</v>
  </rv>
  <rv s="5">
    <fb>39.979999999999997</fb>
    <v>14</v>
  </rv>
  <rv s="5">
    <fb>426.97</fb>
    <v>14</v>
  </rv>
  <rv s="5">
    <fb>124.4105</fb>
    <v>14</v>
  </rv>
  <rv s="5">
    <fb>116.8</fb>
    <v>14</v>
  </rv>
  <rv s="5">
    <fb>34.112499999999997</fb>
    <v>14</v>
  </rv>
  <rv s="5">
    <fb>70.989999999999995</fb>
    <v>14</v>
  </rv>
  <rv s="5">
    <fb>3.1930000000000001</fb>
    <v>14</v>
  </rv>
  <rv s="5">
    <fb>86.26</fb>
    <v>14</v>
  </rv>
  <rv s="5">
    <fb>168.86</fb>
    <v>14</v>
  </rv>
  <rv s="5">
    <fb>2357.0300000000002</fb>
    <v>14</v>
  </rv>
  <rv s="5">
    <fb>42873</fb>
    <v>13</v>
  </rv>
  <rv s="5">
    <fb>47.524999999999999</fb>
    <v>14</v>
  </rv>
  <rv s="5">
    <fb>47.924500000000002</fb>
    <v>14</v>
  </rv>
  <rv s="5">
    <fb>39.75</fb>
    <v>14</v>
  </rv>
  <rv s="5">
    <fb>425.76</fb>
    <v>14</v>
  </rv>
  <rv s="5">
    <fb>124.87</fb>
    <v>14</v>
  </rv>
  <rv s="5">
    <fb>116.24</fb>
    <v>14</v>
  </rv>
  <rv s="5">
    <fb>34.234999999999999</fb>
    <v>14</v>
  </rv>
  <rv s="5">
    <fb>71.430000000000007</fb>
    <v>14</v>
  </rv>
  <rv s="5">
    <fb>3.3268</fb>
    <v>14</v>
  </rv>
  <rv s="5">
    <fb>85.87</fb>
    <v>14</v>
  </rv>
  <rv s="5">
    <fb>171.45</fb>
    <v>14</v>
  </rv>
  <rv s="5">
    <fb>2365.7199999999998</fb>
    <v>14</v>
  </rv>
  <rv s="5">
    <fb>42874</fb>
    <v>13</v>
  </rv>
  <rv s="5">
    <fb>47.732500000000002</fb>
    <v>14</v>
  </rv>
  <rv s="5">
    <fb>47.991999999999997</fb>
    <v>14</v>
  </rv>
  <rv s="5">
    <fb>40.04</fb>
    <v>14</v>
  </rv>
  <rv s="5">
    <fb>426.74</fb>
    <v>14</v>
  </rv>
  <rv s="5">
    <fb>125.8083</fb>
    <v>14</v>
  </rv>
  <rv s="5">
    <fb>117.58</fb>
    <v>14</v>
  </rv>
  <rv s="5">
    <fb>34.322499999999998</fb>
    <v>14</v>
  </rv>
  <rv s="5">
    <fb>71.75</fb>
    <v>14</v>
  </rv>
  <rv s="5">
    <fb>3.4</fb>
    <v>14</v>
  </rv>
  <rv s="5">
    <fb>172.59</fb>
    <v>14</v>
  </rv>
  <rv s="5">
    <fb>2381.73</fb>
    <v>14</v>
  </rv>
  <rv s="5">
    <fb>42877</fb>
    <v>13</v>
  </rv>
  <rv s="5">
    <fb>48.203499999999998</fb>
    <v>14</v>
  </rv>
  <rv s="5">
    <fb>48.533499999999997</fb>
    <v>14</v>
  </rv>
  <rv s="5">
    <fb>434.68</fb>
    <v>14</v>
  </rv>
  <rv s="5">
    <fb>126.2296</fb>
    <v>14</v>
  </rv>
  <rv s="5">
    <fb>119</fb>
    <v>14</v>
  </rv>
  <rv s="5">
    <fb>34.587499999999999</fb>
    <v>14</v>
  </rv>
  <rv s="5">
    <fb>71.89</fb>
    <v>14</v>
  </rv>
  <rv s="5">
    <fb>3.4725000000000001</fb>
    <v>14</v>
  </rv>
  <rv s="5">
    <fb>86.21</fb>
    <v>14</v>
  </rv>
  <rv s="5">
    <fb>174.7</fb>
    <v>14</v>
  </rv>
  <rv s="5">
    <fb>2394.02</fb>
    <v>14</v>
  </rv>
  <rv s="5">
    <fb>42878</fb>
    <v>13</v>
  </rv>
  <rv s="5">
    <fb>48.527500000000003</fb>
    <v>14</v>
  </rv>
  <rv s="5">
    <fb>48.576999999999998</fb>
    <v>14</v>
  </rv>
  <rv s="5">
    <fb>40.130000000000003</fb>
    <v>14</v>
  </rv>
  <rv s="5">
    <fb>435.79</fb>
    <v>14</v>
  </rv>
  <rv s="5">
    <fb>126.2392</fb>
    <v>14</v>
  </rv>
  <rv s="5">
    <fb>119.6</fb>
    <v>14</v>
  </rv>
  <rv s="5">
    <fb>34.74</fb>
    <v>14</v>
  </rv>
  <rv s="5">
    <fb>72.09</fb>
    <v>14</v>
  </rv>
  <rv s="5">
    <fb>3.4258000000000002</fb>
    <v>14</v>
  </rv>
  <rv s="5">
    <fb>86.08</fb>
    <v>14</v>
  </rv>
  <rv s="5">
    <fb>175.22</fb>
    <v>14</v>
  </rv>
  <rv s="5">
    <fb>2398.42</fb>
    <v>14</v>
  </rv>
  <rv s="5">
    <fb>42879</fb>
    <v>13</v>
  </rv>
  <rv s="5">
    <fb>48.880499999999998</fb>
    <v>14</v>
  </rv>
  <rv s="5">
    <fb>49.017499999999998</fb>
    <v>14</v>
  </rv>
  <rv s="5">
    <fb>40.32</fb>
    <v>14</v>
  </rv>
  <rv s="5">
    <fb>440.43</fb>
    <v>14</v>
  </rv>
  <rv s="5">
    <fb>126.5168</fb>
    <v>14</v>
  </rv>
  <rv s="5">
    <fb>120.7</fb>
    <v>14</v>
  </rv>
  <rv s="5">
    <fb>35.037500000000001</fb>
    <v>14</v>
  </rv>
  <rv s="5">
    <fb>71.36</fb>
    <v>14</v>
  </rv>
  <rv s="5">
    <fb>3.4643000000000002</fb>
    <v>14</v>
  </rv>
  <rv s="5">
    <fb>175.59</fb>
    <v>14</v>
  </rv>
  <rv s="5">
    <fb>2404.39</fb>
    <v>14</v>
  </rv>
  <rv s="5">
    <fb>42880</fb>
    <v>13</v>
  </rv>
  <rv s="5">
    <fb>49.593000000000004</fb>
    <v>14</v>
  </rv>
  <rv s="5">
    <fb>49.668999999999997</fb>
    <v>14</v>
  </rv>
  <rv s="5">
    <fb>40.72</fb>
    <v>14</v>
  </rv>
  <rv s="5">
    <fb>444.97</fb>
    <v>14</v>
  </rv>
  <rv s="5">
    <fb>128.0583</fb>
    <v>14</v>
  </rv>
  <rv s="5">
    <fb>121.92</fb>
    <v>14</v>
  </rv>
  <rv s="5">
    <fb>35.174999999999997</fb>
    <v>14</v>
  </rv>
  <rv s="5">
    <fb>69.39</fb>
    <v>14</v>
  </rv>
  <rv s="5">
    <fb>3.4565000000000001</fb>
    <v>14</v>
  </rv>
  <rv s="5">
    <fb>86.86</fb>
    <v>14</v>
  </rv>
  <rv s="5">
    <fb>178.05</fb>
    <v>14</v>
  </rv>
  <rv s="5">
    <fb>2415.0700000000002</fb>
    <v>14</v>
  </rv>
  <rv s="5">
    <fb>42881</fb>
    <v>13</v>
  </rv>
  <rv s="5">
    <fb>49.663499999999999</fb>
    <v>14</v>
  </rv>
  <rv s="5">
    <fb>49.789000000000001</fb>
    <v>14</v>
  </rv>
  <rv s="5">
    <fb>40.69</fb>
    <v>14</v>
  </rv>
  <rv s="5">
    <fb>441.22</fb>
    <v>14</v>
  </rv>
  <rv s="5">
    <fb>127.5796</fb>
    <v>14</v>
  </rv>
  <rv s="5">
    <fb>121.63</fb>
    <v>14</v>
  </rv>
  <rv s="5">
    <fb>35.177500000000002</fb>
    <v>14</v>
  </rv>
  <rv s="5">
    <fb>70.09</fb>
    <v>14</v>
  </rv>
  <rv s="5">
    <fb>3.5459999999999998</fb>
    <v>14</v>
  </rv>
  <rv s="5">
    <fb>87.25</fb>
    <v>14</v>
  </rv>
  <rv s="5">
    <fb>177.5</fb>
    <v>14</v>
  </rv>
  <rv s="5">
    <fb>2415.8200000000002</fb>
    <v>14</v>
  </rv>
  <rv s="5">
    <fb>42885</fb>
    <v>13</v>
  </rv>
  <rv s="5">
    <fb>49.808500000000002</fb>
    <v>14</v>
  </rv>
  <rv s="5">
    <fb>49.835000000000001</fb>
    <v>14</v>
  </rv>
  <rv s="5">
    <fb>40.83</fb>
    <v>14</v>
  </rv>
  <rv s="5">
    <fb>439.91</fb>
    <v>14</v>
  </rv>
  <rv s="5">
    <fb>127.2732</fb>
    <v>14</v>
  </rv>
  <rv s="5">
    <fb>121.65</fb>
    <v>14</v>
  </rv>
  <rv s="5">
    <fb>35.162500000000001</fb>
    <v>14</v>
  </rv>
  <rv s="5">
    <fb>68.739999999999995</fb>
    <v>14</v>
  </rv>
  <rv s="5">
    <fb>3.6217999999999999</fb>
    <v>14</v>
  </rv>
  <rv s="5">
    <fb>176.59</fb>
    <v>14</v>
  </rv>
  <rv s="5">
    <fb>2412.91</fb>
    <v>14</v>
  </rv>
  <rv s="5">
    <fb>42886</fb>
    <v>13</v>
  </rv>
  <rv s="5">
    <fb>49.354500000000002</fb>
    <v>14</v>
  </rv>
  <rv s="5">
    <fb>49.731000000000002</fb>
    <v>14</v>
  </rv>
  <rv s="5">
    <fb>40.9</fb>
    <v>14</v>
  </rv>
  <rv s="5">
    <fb>441.01</fb>
    <v>14</v>
  </rv>
  <rv s="5">
    <fb>127.33069999999999</fb>
    <v>14</v>
  </rv>
  <rv s="5">
    <fb>122.88</fb>
    <v>14</v>
  </rv>
  <rv s="5">
    <fb>35.36</fb>
    <v>14</v>
  </rv>
  <rv s="5">
    <fb>69.59</fb>
    <v>14</v>
  </rv>
  <rv s="5">
    <fb>3.6088</fb>
    <v>14</v>
  </rv>
  <rv s="5">
    <fb>88.09</fb>
    <v>14</v>
  </rv>
  <rv s="5">
    <fb>175.18</fb>
    <v>14</v>
  </rv>
  <rv s="5">
    <fb>2411.8000000000002</fb>
    <v>14</v>
  </rv>
  <rv s="5">
    <fb>42887</fb>
    <v>13</v>
  </rv>
  <rv s="5">
    <fb>49.414499999999997</fb>
    <v>14</v>
  </rv>
  <rv s="5">
    <fb>49.797499999999999</fb>
    <v>14</v>
  </rv>
  <rv s="5">
    <fb>41.42</fb>
    <v>14</v>
  </rv>
  <rv s="5">
    <fb>436.93</fb>
    <v>14</v>
  </rv>
  <rv s="5">
    <fb>127.7711</fb>
    <v>14</v>
  </rv>
  <rv s="5">
    <fb>123.4</fb>
    <v>14</v>
  </rv>
  <rv s="5">
    <fb>35.475000000000001</fb>
    <v>14</v>
  </rv>
  <rv s="5">
    <fb>69.78</fb>
    <v>14</v>
  </rv>
  <rv s="5">
    <fb>3.609</fb>
    <v>14</v>
  </rv>
  <rv s="5">
    <fb>88.13</fb>
    <v>14</v>
  </rv>
  <rv s="5">
    <fb>179.58</fb>
    <v>14</v>
  </rv>
  <rv s="5">
    <fb>2430.06</fb>
    <v>14</v>
  </rv>
  <rv s="5">
    <fb>42888</fb>
    <v>13</v>
  </rv>
  <rv s="5">
    <fb>49.805999999999997</fb>
    <v>14</v>
  </rv>
  <rv s="5">
    <fb>50.336500000000001</fb>
    <v>14</v>
  </rv>
  <rv s="5">
    <fb>41.36</fb>
    <v>14</v>
  </rv>
  <rv s="5">
    <fb>444.32</fb>
    <v>14</v>
  </rv>
  <rv s="5">
    <fb>128.32640000000001</fb>
    <v>14</v>
  </rv>
  <rv s="5">
    <fb>125.2</fb>
    <v>14</v>
  </rv>
  <rv s="5">
    <fb>35.677500000000002</fb>
    <v>14</v>
  </rv>
  <rv s="5">
    <fb>68.959999999999994</fb>
    <v>14</v>
  </rv>
  <rv s="5">
    <fb>3.5910000000000002</fb>
    <v>14</v>
  </rv>
  <rv s="5">
    <fb>88.59</fb>
    <v>14</v>
  </rv>
  <rv s="5">
    <fb>179.39</fb>
    <v>14</v>
  </rv>
  <rv s="5">
    <fb>2439.0700000000002</fb>
    <v>14</v>
  </rv>
  <rv s="5">
    <fb>42891</fb>
    <v>13</v>
  </rv>
  <rv s="5">
    <fb>50.194000000000003</fb>
    <v>14</v>
  </rv>
  <rv s="5">
    <fb>50.567</fb>
    <v>14</v>
  </rv>
  <rv s="5">
    <fb>41.2</fb>
    <v>14</v>
  </rv>
  <rv s="5">
    <fb>444.21</fb>
    <v>14</v>
  </rv>
  <rv s="5">
    <fb>127.8094</fb>
    <v>14</v>
  </rv>
  <rv s="5">
    <fb>125.9</fb>
    <v>14</v>
  </rv>
  <rv s="5">
    <fb>35.462499999999999</fb>
    <v>14</v>
  </rv>
  <rv s="5">
    <fb>69.27</fb>
    <v>14</v>
  </rv>
  <rv s="5">
    <fb>3.7002999999999999</fb>
    <v>14</v>
  </rv>
  <rv s="5">
    <fb>88.74</fb>
    <v>14</v>
  </rv>
  <rv s="5">
    <fb>179.37</fb>
    <v>14</v>
  </rv>
  <rv s="5">
    <fb>2436.1</fb>
    <v>14</v>
  </rv>
  <rv s="5">
    <fb>42892</fb>
    <v>13</v>
  </rv>
  <rv s="5">
    <fb>49.834000000000003</fb>
    <v>14</v>
  </rv>
  <rv s="5">
    <fb>50.15</fb>
    <v>14</v>
  </rv>
  <rv s="5">
    <fb>40.99</fb>
    <v>14</v>
  </rv>
  <rv s="5">
    <fb>442.31</fb>
    <v>14</v>
  </rv>
  <rv s="5">
    <fb>127.0913</fb>
    <v>14</v>
  </rv>
  <rv s="5">
    <fb>125.24</fb>
    <v>14</v>
  </rv>
  <rv s="5">
    <fb>35.479999999999997</fb>
    <v>14</v>
  </rv>
  <rv s="5">
    <fb>69.97</fb>
    <v>14</v>
  </rv>
  <rv s="5">
    <fb>3.6835</fb>
    <v>14</v>
  </rv>
  <rv s="5">
    <fb>88.8</fb>
    <v>14</v>
  </rv>
  <rv s="5">
    <fb>180.82</fb>
    <v>14</v>
  </rv>
  <rv s="5">
    <fb>2429.33</fb>
    <v>14</v>
  </rv>
  <rv s="5">
    <fb>42893</fb>
    <v>13</v>
  </rv>
  <rv s="5">
    <fb>50.079500000000003</fb>
    <v>14</v>
  </rv>
  <rv s="5">
    <fb>50.503500000000003</fb>
    <v>14</v>
  </rv>
  <rv s="5">
    <fb>40.729999999999997</fb>
    <v>14</v>
  </rv>
  <rv s="5">
    <fb>440.69</fb>
    <v>14</v>
  </rv>
  <rv s="5">
    <fb>127.0722</fb>
    <v>14</v>
  </rv>
  <rv s="5">
    <fb>125.19</fb>
    <v>14</v>
  </rv>
  <rv s="5">
    <fb>35.645000000000003</fb>
    <v>14</v>
  </rv>
  <rv s="5">
    <fb>68.67</fb>
    <v>14</v>
  </rv>
  <rv s="5">
    <fb>3.7280000000000002</fb>
    <v>14</v>
  </rv>
  <rv s="5">
    <fb>88.77</fb>
    <v>14</v>
  </rv>
  <rv s="5">
    <fb>183.21</fb>
    <v>14</v>
  </rv>
  <rv s="5">
    <fb>2433.14</fb>
    <v>14</v>
  </rv>
  <rv s="5">
    <fb>42894</fb>
    <v>13</v>
  </rv>
  <rv s="5">
    <fb>50.213999999999999</fb>
    <v>14</v>
  </rv>
  <rv s="5">
    <fb>50.513500000000001</fb>
    <v>14</v>
  </rv>
  <rv s="5">
    <fb>440.39</fb>
    <v>14</v>
  </rv>
  <rv s="5">
    <fb>127.8668</fb>
    <v>14</v>
  </rv>
  <rv s="5">
    <fb>124.76</fb>
    <v>14</v>
  </rv>
  <rv s="5">
    <fb>35.362499999999997</fb>
    <v>14</v>
  </rv>
  <rv s="5">
    <fb>68.31</fb>
    <v>14</v>
  </rv>
  <rv s="5">
    <fb>3.9984999999999999</fb>
    <v>14</v>
  </rv>
  <rv s="5">
    <fb>87.85</fb>
    <v>14</v>
  </rv>
  <rv s="5">
    <fb>181.69</fb>
    <v>14</v>
  </rv>
  <rv s="5">
    <fb>2433.79</fb>
    <v>14</v>
  </rv>
  <rv s="5">
    <fb>42895</fb>
    <v>13</v>
  </rv>
  <rv s="5">
    <fb>48.506</fb>
    <v>14</v>
  </rv>
  <rv s="5">
    <fb>48.915500000000002</fb>
    <v>14</v>
  </rv>
  <rv s="5">
    <fb>40.28</fb>
    <v>14</v>
  </rv>
  <rv s="5">
    <fb>439.21</fb>
    <v>14</v>
  </rv>
  <rv s="5">
    <fb>128.0966</fb>
    <v>14</v>
  </rv>
  <rv s="5">
    <fb>123.04</fb>
    <v>14</v>
  </rv>
  <rv s="5">
    <fb>35.06</fb>
    <v>14</v>
  </rv>
  <rv s="5">
    <fb>69.680000000000007</fb>
    <v>14</v>
  </rv>
  <rv s="5">
    <fb>3.74</fb>
    <v>14</v>
  </rv>
  <rv s="5">
    <fb>88.16</fb>
    <v>14</v>
  </rv>
  <rv s="5">
    <fb>181.46</fb>
    <v>14</v>
  </rv>
  <rv s="5">
    <fb>2431.77</fb>
    <v>14</v>
  </rv>
  <rv s="5">
    <fb>42898</fb>
    <v>13</v>
  </rv>
  <rv s="5">
    <fb>48.090499999999999</fb>
    <v>14</v>
  </rv>
  <rv s="5">
    <fb>48.2455</fb>
    <v>14</v>
  </rv>
  <rv s="5">
    <fb>40.43</fb>
    <v>14</v>
  </rv>
  <rv s="5">
    <fb>425.01</fb>
    <v>14</v>
  </rv>
  <rv s="5">
    <fb>127.58920000000001</fb>
    <v>14</v>
  </rv>
  <rv s="5">
    <fb>120.76</fb>
    <v>14</v>
  </rv>
  <rv s="5">
    <fb>34.854999999999997</fb>
    <v>14</v>
  </rv>
  <rv s="5">
    <fb>69.31</fb>
    <v>14</v>
  </rv>
  <rv s="5">
    <fb>3.7492999999999999</fb>
    <v>14</v>
  </rv>
  <rv s="5">
    <fb>88.24</fb>
    <v>14</v>
  </rv>
  <rv s="5">
    <fb>179.25</fb>
    <v>14</v>
  </rv>
  <rv s="5">
    <fb>2429.39</fb>
    <v>14</v>
  </rv>
  <rv s="5">
    <fb>42899</fb>
    <v>13</v>
  </rv>
  <rv s="5">
    <fb>48.524999999999999</fb>
    <v>14</v>
  </rv>
  <rv s="5">
    <fb>49.039499999999997</fb>
    <v>14</v>
  </rv>
  <rv s="5">
    <fb>41.21</fb>
    <v>14</v>
  </rv>
  <rv s="5">
    <fb>430.54</fb>
    <v>14</v>
  </rv>
  <rv s="5">
    <fb>128.6711</fb>
    <v>14</v>
  </rv>
  <rv s="5">
    <fb>122.32</fb>
    <v>14</v>
  </rv>
  <rv s="5">
    <fb>34.987499999999997</fb>
    <v>14</v>
  </rv>
  <rv s="5">
    <fb>69.349999999999994</fb>
    <v>14</v>
  </rv>
  <rv s="5">
    <fb>3.7850000000000001</fb>
    <v>14</v>
  </rv>
  <rv s="5">
    <fb>88.06</fb>
    <v>14</v>
  </rv>
  <rv s="5">
    <fb>181.05</fb>
    <v>14</v>
  </rv>
  <rv s="5">
    <fb>2440.35</fb>
    <v>14</v>
  </rv>
  <rv s="5">
    <fb>42900</fb>
    <v>13</v>
  </rv>
  <rv s="5">
    <fb>48.396500000000003</fb>
    <v>14</v>
  </rv>
  <rv s="5">
    <fb>48.823500000000003</fb>
    <v>14</v>
  </rv>
  <rv s="5">
    <fb>41.28</fb>
    <v>14</v>
  </rv>
  <rv s="5">
    <fb>432.1</fb>
    <v>14</v>
  </rv>
  <rv s="5">
    <fb>128.5275</fb>
    <v>14</v>
  </rv>
  <rv s="5">
    <fb>122.5</fb>
    <v>14</v>
  </rv>
  <rv s="5">
    <fb>35.287500000000001</fb>
    <v>14</v>
  </rv>
  <rv s="5">
    <fb>68.180000000000007</fb>
    <v>14</v>
  </rv>
  <rv s="5">
    <fb>3.7930000000000001</fb>
    <v>14</v>
  </rv>
  <rv s="5">
    <fb>88.44</fb>
    <v>14</v>
  </rv>
  <rv s="5">
    <fb>182.36</fb>
    <v>14</v>
  </rv>
  <rv s="5">
    <fb>2437.92</fb>
    <v>14</v>
  </rv>
  <rv s="5">
    <fb>42901</fb>
    <v>13</v>
  </rv>
  <rv s="5">
    <fb>48.009</fb>
    <v>14</v>
  </rv>
  <rv s="5">
    <fb>48.208500000000001</fb>
    <v>14</v>
  </rv>
  <rv s="5">
    <fb>41.15</fb>
    <v>14</v>
  </rv>
  <rv s="5">
    <fb>433.96</fb>
    <v>14</v>
  </rv>
  <rv s="5">
    <fb>128.74770000000001</fb>
    <v>14</v>
  </rv>
  <rv s="5">
    <fb>121.42</fb>
    <v>14</v>
  </rv>
  <rv s="5">
    <fb>35.467500000000001</fb>
    <v>14</v>
  </rv>
  <rv s="5">
    <fb>67.33</fb>
    <v>14</v>
  </rv>
  <rv s="5">
    <fb>3.8092999999999999</fb>
    <v>14</v>
  </rv>
  <rv s="5">
    <fb>89.38</fb>
    <v>14</v>
  </rv>
  <rv s="5">
    <fb>180.38</fb>
    <v>14</v>
  </rv>
  <rv s="5">
    <fb>2432.46</fb>
    <v>14</v>
  </rv>
  <rv s="5">
    <fb>42902</fb>
    <v>13</v>
  </rv>
  <rv s="5">
    <fb>47.930999999999997</fb>
    <v>14</v>
  </rv>
  <rv s="5">
    <fb>49.3855</fb>
    <v>14</v>
  </rv>
  <rv s="5">
    <fb>41.16</fb>
    <v>14</v>
  </rv>
  <rv s="5">
    <fb>427.28</fb>
    <v>14</v>
  </rv>
  <rv s="5">
    <fb>128.90090000000001</fb>
    <v>14</v>
  </rv>
  <rv s="5">
    <fb>121.96</fb>
    <v>14</v>
  </rv>
  <rv s="5">
    <fb>35.71</fb>
    <v>14</v>
  </rv>
  <rv s="5">
    <fb>68.58</fb>
    <v>14</v>
  </rv>
  <rv s="5">
    <fb>3.7905000000000002</fb>
    <v>14</v>
  </rv>
  <rv s="5">
    <fb>89.66</fb>
    <v>14</v>
  </rv>
  <rv s="5">
    <fb>181.63</fb>
    <v>14</v>
  </rv>
  <rv s="5">
    <fb>2433.15</fb>
    <v>14</v>
  </rv>
  <rv s="5">
    <fb>42905</fb>
    <v>13</v>
  </rv>
  <rv s="5">
    <fb>48.761000000000003</fb>
    <v>14</v>
  </rv>
  <rv s="5">
    <fb>49.758499999999998</fb>
    <v>14</v>
  </rv>
  <rv s="5">
    <fb>41.89</fb>
    <v>14</v>
  </rv>
  <rv s="5">
    <fb>432.22</fb>
    <v>14</v>
  </rv>
  <rv s="5">
    <fb>130.05940000000001</fb>
    <v>14</v>
  </rv>
  <rv s="5">
    <fb>123.09</fb>
    <v>14</v>
  </rv>
  <rv s="5">
    <fb>35.597499999999997</fb>
    <v>14</v>
  </rv>
  <rv s="5">
    <fb>68.099999999999994</fb>
    <v>14</v>
  </rv>
  <rv s="5">
    <fb>3.9329999999999998</fb>
    <v>14</v>
  </rv>
  <rv s="5">
    <fb>89.86</fb>
    <v>14</v>
  </rv>
  <rv s="5">
    <fb>183.02</fb>
    <v>14</v>
  </rv>
  <rv s="5">
    <fb>2453.46</fb>
    <v>14</v>
  </rv>
  <rv s="5">
    <fb>42906</fb>
    <v>13</v>
  </rv>
  <rv s="5">
    <fb>48.4495</fb>
    <v>14</v>
  </rv>
  <rv s="5">
    <fb>49.6295</fb>
    <v>14</v>
  </rv>
  <rv s="5">
    <fb>41.79</fb>
    <v>14</v>
  </rv>
  <rv s="5">
    <fb>433.94</fb>
    <v>14</v>
  </rv>
  <rv s="5">
    <fb>129.16900000000001</fb>
    <v>14</v>
  </rv>
  <rv s="5">
    <fb>122.93</fb>
    <v>14</v>
  </rv>
  <rv s="5">
    <fb>35.49</fb>
    <v>14</v>
  </rv>
  <rv s="5">
    <fb>66.75</fb>
    <v>14</v>
  </rv>
  <rv s="5">
    <fb>3.9272999999999998</fb>
    <v>14</v>
  </rv>
  <rv s="5">
    <fb>89.63</fb>
    <v>14</v>
  </rv>
  <rv s="5">
    <fb>183.27</fb>
    <v>14</v>
  </rv>
  <rv s="5">
    <fb>2437.0300000000002</fb>
    <v>14</v>
  </rv>
  <rv s="5">
    <fb>42907</fb>
    <v>13</v>
  </rv>
  <rv s="5">
    <fb>48.929499999999997</fb>
    <v>14</v>
  </rv>
  <rv s="5">
    <fb>50.111499999999999</fb>
    <v>14</v>
  </rv>
  <rv s="5">
    <fb>41.78</fb>
    <v>14</v>
  </rv>
  <rv s="5">
    <fb>436.49</fb>
    <v>14</v>
  </rv>
  <rv s="5">
    <fb>128.53710000000001</fb>
    <v>14</v>
  </rv>
  <rv s="5">
    <fb>123.1</fb>
    <v>14</v>
  </rv>
  <rv s="5">
    <fb>35.265000000000001</fb>
    <v>14</v>
  </rv>
  <rv s="5">
    <fb>65.47</fb>
    <v>14</v>
  </rv>
  <rv s="5">
    <fb>3.9868000000000001</fb>
    <v>14</v>
  </rv>
  <rv s="5">
    <fb>184.92</fb>
    <v>14</v>
  </rv>
  <rv s="5">
    <fb>2435.61</fb>
    <v>14</v>
  </rv>
  <rv s="5">
    <fb>42908</fb>
    <v>13</v>
  </rv>
  <rv s="5">
    <fb>48.831000000000003</fb>
    <v>14</v>
  </rv>
  <rv s="5">
    <fb>50.064999999999998</fb>
    <v>14</v>
  </rv>
  <rv s="5">
    <fb>41.67</fb>
    <v>14</v>
  </rv>
  <rv s="5">
    <fb>440.29</fb>
    <v>14</v>
  </rv>
  <rv s="5">
    <fb>128.3647</fb>
    <v>14</v>
  </rv>
  <rv s="5">
    <fb>123.3</fb>
    <v>14</v>
  </rv>
  <rv s="5">
    <fb>35.397500000000001</fb>
    <v>14</v>
  </rv>
  <rv s="5">
    <fb>65.37</fb>
    <v>14</v>
  </rv>
  <rv s="5">
    <fb>3.9592999999999998</fb>
    <v>14</v>
  </rv>
  <rv s="5">
    <fb>89.03</fb>
    <v>14</v>
  </rv>
  <rv s="5">
    <fb>186.5</fb>
    <v>14</v>
  </rv>
  <rv s="5">
    <fb>2434.5</fb>
    <v>14</v>
  </rv>
  <rv s="5">
    <fb>42909</fb>
    <v>13</v>
  </rv>
  <rv s="5">
    <fb>49.304499999999997</fb>
    <v>14</v>
  </rv>
  <rv s="5">
    <fb>50.186999999999998</fb>
    <v>14</v>
  </rv>
  <rv s="5">
    <fb>42.07</fb>
    <v>14</v>
  </rv>
  <rv s="5">
    <fb>434.07</fb>
    <v>14</v>
  </rv>
  <rv s="5">
    <fb>128.28809999999999</fb>
    <v>14</v>
  </rv>
  <rv s="5">
    <fb>124.01</fb>
    <v>14</v>
  </rv>
  <rv s="5">
    <fb>35.784999999999997</fb>
    <v>14</v>
  </rv>
  <rv s="5">
    <fb>65.930000000000007</fb>
    <v>14</v>
  </rv>
  <rv s="5">
    <fb>3.8458000000000001</fb>
    <v>14</v>
  </rv>
  <rv s="5">
    <fb>89.42</fb>
    <v>14</v>
  </rv>
  <rv s="5">
    <fb>185.25</fb>
    <v>14</v>
  </rv>
  <rv s="5">
    <fb>2438.3000000000002</fb>
    <v>14</v>
  </rv>
  <rv s="5">
    <fb>42912</fb>
    <v>13</v>
  </rv>
  <rv s="5">
    <fb>48.604500000000002</fb>
    <v>14</v>
  </rv>
  <rv s="5">
    <fb>49.698999999999998</fb>
    <v>14</v>
  </rv>
  <rv s="5">
    <fb>42.29</fb>
    <v>14</v>
  </rv>
  <rv s="5">
    <fb>438.49</fb>
    <v>14</v>
  </rv>
  <rv s="5">
    <fb>128.54660000000001</fb>
    <v>14</v>
  </rv>
  <rv s="5">
    <fb>123.52</fb>
    <v>14</v>
  </rv>
  <rv s="5">
    <fb>36.057499999999997</fb>
    <v>14</v>
  </rv>
  <rv s="5">
    <fb>65.89</fb>
    <v>14</v>
  </rv>
  <rv s="5">
    <fb>3.8037999999999998</fb>
    <v>14</v>
  </rv>
  <rv s="5">
    <fb>89.36</fb>
    <v>14</v>
  </rv>
  <rv s="5">
    <fb>185.12</fb>
    <v>14</v>
  </rv>
  <rv s="5">
    <fb>42913</fb>
    <v>13</v>
  </rv>
  <rv s="5">
    <fb>47.404499999999999</fb>
    <v>14</v>
  </rv>
  <rv s="5">
    <fb>48.838999999999999</fb>
    <v>14</v>
  </rv>
  <rv s="5">
    <fb>42.09</fb>
    <v>14</v>
  </rv>
  <rv s="5">
    <fb>433.65</fb>
    <v>14</v>
  </rv>
  <rv s="5">
    <fb>122.74</fb>
    <v>14</v>
  </rv>
  <rv s="5">
    <fb>35.567500000000003</fb>
    <v>14</v>
  </rv>
  <rv s="5">
    <fb>65.36</fb>
    <v>14</v>
  </rv>
  <rv s="5">
    <fb>3.6644999999999999</fb>
    <v>14</v>
  </rv>
  <rv s="5">
    <fb>88.61</fb>
    <v>14</v>
  </rv>
  <rv s="5">
    <fb>184.6</fb>
    <v>14</v>
  </rv>
  <rv s="5">
    <fb>2419.38</fb>
    <v>14</v>
  </rv>
  <rv s="5">
    <fb>42914</fb>
    <v>13</v>
  </rv>
  <rv s="5">
    <fb>48.0505</fb>
    <v>14</v>
  </rv>
  <rv s="5">
    <fb>49.516500000000001</fb>
    <v>14</v>
  </rv>
  <rv s="5">
    <fb>42.52</fb>
    <v>14</v>
  </rv>
  <rv s="5">
    <fb>430.76</fb>
    <v>14</v>
  </rv>
  <rv s="5">
    <fb>128.26900000000001</fb>
    <v>14</v>
  </rv>
  <rv s="5">
    <fb>124.81</fb>
    <v>14</v>
  </rv>
  <rv s="5">
    <fb>35.255000000000003</fb>
    <v>14</v>
  </rv>
  <rv s="5">
    <fb>65.25</fb>
    <v>14</v>
  </rv>
  <rv s="5">
    <fb>3.7938000000000001</fb>
    <v>14</v>
  </rv>
  <rv s="5">
    <fb>88.37</fb>
    <v>14</v>
  </rv>
  <rv s="5">
    <fb>185.7</fb>
    <v>14</v>
  </rv>
  <rv s="5">
    <fb>2440.69</fb>
    <v>14</v>
  </rv>
  <rv s="5">
    <fb>42915</fb>
    <v>13</v>
  </rv>
  <rv s="5">
    <fb>46.890999999999998</fb>
    <v>14</v>
  </rv>
  <rv s="5">
    <fb>48.796500000000002</fb>
    <v>14</v>
  </rv>
  <rv s="5">
    <fb>42.03</fb>
    <v>14</v>
  </rv>
  <rv s="5">
    <fb>421.28</fb>
    <v>14</v>
  </rv>
  <rv s="5">
    <fb>126.6892</fb>
    <v>14</v>
  </rv>
  <rv s="5">
    <fb>121.51</fb>
    <v>14</v>
  </rv>
  <rv s="5">
    <fb>34.9925</fb>
    <v>14</v>
  </rv>
  <rv s="5">
    <fb>65.38</fb>
    <v>14</v>
  </rv>
  <rv s="5">
    <fb>3.6669999999999998</fb>
    <v>14</v>
  </rv>
  <rv s="5">
    <fb>86.99</fb>
    <v>14</v>
  </rv>
  <rv s="5">
    <fb>185.27</fb>
    <v>14</v>
  </rv>
  <rv s="5">
    <fb>2419.6999999999998</fb>
    <v>14</v>
  </rv>
  <rv s="5">
    <fb>42916</fb>
    <v>13</v>
  </rv>
  <rv s="5">
    <fb>46.484000000000002</fb>
    <v>14</v>
  </rv>
  <rv s="5">
    <fb>48.4</fb>
    <v>14</v>
  </rv>
  <rv s="5">
    <fb>42.21</fb>
    <v>14</v>
  </rv>
  <rv s="5">
    <fb>429.16</fb>
    <v>14</v>
  </rv>
  <rv s="5">
    <fb>127.61790000000001</fb>
    <v>14</v>
  </rv>
  <rv s="5">
    <fb>121.45</fb>
    <v>14</v>
  </rv>
  <rv s="5">
    <fb>35.032499999999999</fb>
    <v>14</v>
  </rv>
  <rv s="5">
    <fb>65.84</fb>
    <v>14</v>
  </rv>
  <rv s="5">
    <fb>3.6139999999999999</fb>
    <v>14</v>
  </rv>
  <rv s="5">
    <fb>87.15</fb>
    <v>14</v>
  </rv>
  <rv s="5">
    <fb>185.42</fb>
    <v>14</v>
  </rv>
  <rv s="5">
    <fb>2423.41</fb>
    <v>14</v>
  </rv>
  <rv s="5">
    <fb>42919</fb>
    <v>13</v>
  </rv>
  <rv s="5">
    <fb>45.972999999999999</fb>
    <v>14</v>
  </rv>
  <rv s="5">
    <fb>47.683</fb>
    <v>14</v>
  </rv>
  <rv s="5">
    <fb>42.47</fb>
    <v>14</v>
  </rv>
  <rv s="5">
    <fb>422.76</fb>
    <v>14</v>
  </rv>
  <rv s="5">
    <fb>128.02000000000001</fb>
    <v>14</v>
  </rv>
  <rv s="5">
    <fb>120.78</fb>
    <v>14</v>
  </rv>
  <rv s="5">
    <fb>34.905000000000001</fb>
    <v>14</v>
  </rv>
  <rv s="5">
    <fb>66.97</fb>
    <v>14</v>
  </rv>
  <rv s="5">
    <fb>3.4832999999999998</fb>
    <v>14</v>
  </rv>
  <rv s="5">
    <fb>186.65</fb>
    <v>14</v>
  </rv>
  <rv s="5">
    <fb>2429.0100000000002</fb>
    <v>14</v>
  </rv>
  <rv s="5">
    <fb>42921</fb>
    <v>13</v>
  </rv>
  <rv s="5">
    <fb>46.613</fb>
    <v>14</v>
  </rv>
  <rv s="5">
    <fb>48.57</fb>
    <v>14</v>
  </rv>
  <rv s="5">
    <fb>42.58</fb>
    <v>14</v>
  </rv>
  <rv s="5">
    <fb>424.08</fb>
    <v>14</v>
  </rv>
  <rv s="5">
    <fb>128.1062</fb>
    <v>14</v>
  </rv>
  <rv s="5">
    <fb>121.98</fb>
    <v>14</v>
  </rv>
  <rv s="5">
    <fb>34.704999999999998</fb>
    <v>14</v>
  </rv>
  <rv s="5">
    <fb>65.739999999999995</fb>
    <v>14</v>
  </rv>
  <rv s="5">
    <fb>3.5762999999999998</fb>
    <v>14</v>
  </rv>
  <rv s="5">
    <fb>87.67</fb>
    <v>14</v>
  </rv>
  <rv s="5">
    <fb>188.25</fb>
    <v>14</v>
  </rv>
  <rv s="5">
    <fb>2432.54</fb>
    <v>14</v>
  </rv>
  <rv s="5">
    <fb>42922</fb>
    <v>13</v>
  </rv>
  <rv s="5">
    <fb>46.384500000000003</fb>
    <v>14</v>
  </rv>
  <rv s="5">
    <fb>48.256999999999998</fb>
    <v>14</v>
  </rv>
  <rv s="5">
    <fb>42.02</fb>
    <v>14</v>
  </rv>
  <rv s="5">
    <fb>418.43</fb>
    <v>14</v>
  </rv>
  <rv s="5">
    <fb>127.69450000000001</fb>
    <v>14</v>
  </rv>
  <rv s="5">
    <fb>120.8</fb>
    <v>14</v>
  </rv>
  <rv s="5">
    <fb>34.892499999999998</fb>
    <v>14</v>
  </rv>
  <rv s="5">
    <fb>65.13</fb>
    <v>14</v>
  </rv>
  <rv s="5">
    <fb>3.5870000000000002</fb>
    <v>14</v>
  </rv>
  <rv s="5">
    <fb>87.37</fb>
    <v>14</v>
  </rv>
  <rv s="5">
    <fb>186.94</fb>
    <v>14</v>
  </rv>
  <rv s="5">
    <fb>2409.75</fb>
    <v>14</v>
  </rv>
  <rv s="5">
    <fb>42923</fb>
    <v>13</v>
  </rv>
  <rv s="5">
    <fb>47.040500000000002</fb>
    <v>14</v>
  </rv>
  <rv s="5">
    <fb>48.938000000000002</fb>
    <v>14</v>
  </rv>
  <rv s="5">
    <fb>42.3</fb>
    <v>14</v>
  </rv>
  <rv s="5">
    <fb>423.3</fb>
    <v>14</v>
  </rv>
  <rv s="5">
    <fb>128.4126</fb>
    <v>14</v>
  </rv>
  <rv s="5">
    <fb>122.2</fb>
    <v>14</v>
  </rv>
  <rv s="5">
    <fb>35.119999999999997</fb>
    <v>14</v>
  </rv>
  <rv s="5">
    <fb>65.08</fb>
    <v>14</v>
  </rv>
  <rv s="5">
    <fb>3.669</fb>
    <v>14</v>
  </rv>
  <rv s="5">
    <fb>87.65</fb>
    <v>14</v>
  </rv>
  <rv s="5">
    <fb>187.96</fb>
    <v>14</v>
  </rv>
  <rv s="5">
    <fb>2425.1799999999998</fb>
    <v>14</v>
  </rv>
  <rv s="5">
    <fb>42926</fb>
    <v>13</v>
  </rv>
  <rv s="5">
    <fb>47.55</fb>
    <v>14</v>
  </rv>
  <rv s="5">
    <fb>49.823500000000003</fb>
    <v>14</v>
  </rv>
  <rv s="5">
    <fb>427.08499999999998</fb>
    <v>14</v>
  </rv>
  <rv s="5">
    <fb>128.95830000000001</fb>
    <v>14</v>
  </rv>
  <rv s="5">
    <fb>122.73</fb>
    <v>14</v>
  </rv>
  <rv s="5">
    <fb>35.2575</fb>
    <v>14</v>
  </rv>
  <rv s="5">
    <fb>65.349999999999994</fb>
    <v>14</v>
  </rv>
  <rv s="5">
    <fb>3.8424999999999998</fb>
    <v>14</v>
  </rv>
  <rv s="5">
    <fb>186.95</fb>
    <v>14</v>
  </rv>
  <rv s="5">
    <fb>2427.4299999999998</fb>
    <v>14</v>
  </rv>
  <rv s="5">
    <fb>42927</fb>
    <v>13</v>
  </rv>
  <rv s="5">
    <fb>47.676499999999997</fb>
    <v>14</v>
  </rv>
  <rv s="5">
    <fb>49.706499999999998</fb>
    <v>14</v>
  </rv>
  <rv s="5">
    <fb>41.66</fb>
    <v>14</v>
  </rv>
  <rv s="5">
    <fb>431.04</fb>
    <v>14</v>
  </rv>
  <rv s="5">
    <fb>128.50829999999999</fb>
    <v>14</v>
  </rv>
  <rv s="5">
    <fb>124.23</fb>
    <v>14</v>
  </rv>
  <rv s="5">
    <fb>35.1875</fb>
    <v>14</v>
  </rv>
  <rv s="5">
    <fb>65.790000000000006</fb>
    <v>14</v>
  </rv>
  <rv s="5">
    <fb>3.8969999999999998</fb>
    <v>14</v>
  </rv>
  <rv s="5">
    <fb>86.77</fb>
    <v>14</v>
  </rv>
  <rv s="5">
    <fb>185.95</fb>
    <v>14</v>
  </rv>
  <rv s="5">
    <fb>2425.5300000000002</fb>
    <v>14</v>
  </rv>
  <rv s="5">
    <fb>42928</fb>
    <v>13</v>
  </rv>
  <rv s="5">
    <fb>48.383000000000003</fb>
    <v>14</v>
  </rv>
  <rv s="5">
    <fb>50.325499999999998</fb>
    <v>14</v>
  </rv>
  <rv s="5">
    <fb>41.96</fb>
    <v>14</v>
  </rv>
  <rv s="5">
    <fb>437.11</fb>
    <v>14</v>
  </rv>
  <rv s="5">
    <fb>129.03489999999999</fb>
    <v>14</v>
  </rv>
  <rv s="5">
    <fb>125.28</fb>
    <v>14</v>
  </rv>
  <rv s="5">
    <fb>35.195</fb>
    <v>14</v>
  </rv>
  <rv s="5">
    <fb>65.58</fb>
    <v>14</v>
  </rv>
  <rv s="5">
    <fb>4.0628000000000002</fb>
    <v>14</v>
  </rv>
  <rv s="5">
    <fb>186.69</fb>
    <v>14</v>
  </rv>
  <rv s="5">
    <fb>2443.25</fb>
    <v>14</v>
  </rv>
  <rv s="5">
    <fb>42929</fb>
    <v>13</v>
  </rv>
  <rv s="5">
    <fb>48.442500000000003</fb>
    <v>14</v>
  </rv>
  <rv s="5">
    <fb>50.031500000000001</fb>
    <v>14</v>
  </rv>
  <rv s="5">
    <fb>41.72</fb>
    <v>14</v>
  </rv>
  <rv s="5">
    <fb>436.24</fb>
    <v>14</v>
  </rv>
  <rv s="5">
    <fb>129.5711</fb>
    <v>14</v>
  </rv>
  <rv s="5">
    <fb>125.47</fb>
    <v>14</v>
  </rv>
  <rv s="5">
    <fb>35.145000000000003</fb>
    <v>14</v>
  </rv>
  <rv s="5">
    <fb>66.489999999999995</fb>
    <v>14</v>
  </rv>
  <rv s="5">
    <fb>4.0157999999999996</fb>
    <v>14</v>
  </rv>
  <rv s="5">
    <fb>86.7</fb>
    <v>14</v>
  </rv>
  <rv s="5">
    <fb>185.48</fb>
    <v>14</v>
  </rv>
  <rv s="5">
    <fb>2447.83</fb>
    <v>14</v>
  </rv>
  <rv s="5">
    <fb>42930</fb>
    <v>13</v>
  </rv>
  <rv s="5">
    <fb>48.845500000000001</fb>
    <v>14</v>
  </rv>
  <rv s="5">
    <fb>50.090499999999999</fb>
    <v>14</v>
  </rv>
  <rv s="5">
    <fb>42.1</fb>
    <v>14</v>
  </rv>
  <rv s="5">
    <fb>437.7</fb>
    <v>14</v>
  </rv>
  <rv s="5">
    <fb>130.0498</fb>
    <v>14</v>
  </rv>
  <rv s="5">
    <fb>127.01</fb>
    <v>14</v>
  </rv>
  <rv s="5">
    <fb>35.414999999999999</fb>
    <v>14</v>
  </rv>
  <rv s="5">
    <fb>66.849999999999994</fb>
    <v>14</v>
  </rv>
  <rv s="5">
    <fb>4.1238000000000001</fb>
    <v>14</v>
  </rv>
  <rv s="5">
    <fb>87.1</fb>
    <v>14</v>
  </rv>
  <rv s="5">
    <fb>186.9</fb>
    <v>14</v>
  </rv>
  <rv s="5">
    <fb>2459.27</fb>
    <v>14</v>
  </rv>
  <rv s="5">
    <fb>42933</fb>
    <v>13</v>
  </rv>
  <rv s="5">
    <fb>48.798000000000002</fb>
    <v>14</v>
  </rv>
  <rv s="5">
    <fb>50.502000000000002</fb>
    <v>14</v>
  </rv>
  <rv s="5">
    <fb>42.43</fb>
    <v>14</v>
  </rv>
  <rv s="5">
    <fb>435.48</fb>
    <v>14</v>
  </rv>
  <rv s="5">
    <fb>129.50409999999999</fb>
    <v>14</v>
  </rv>
  <rv s="5">
    <fb>127.43</fb>
    <v>14</v>
  </rv>
  <rv s="5">
    <fb>35.2425</fb>
    <v>14</v>
  </rv>
  <rv s="5">
    <fb>66.83</fb>
    <v>14</v>
  </rv>
  <rv s="5">
    <fb>4.1063000000000001</fb>
    <v>14</v>
  </rv>
  <rv s="5">
    <fb>87.55</fb>
    <v>14</v>
  </rv>
  <rv s="5">
    <fb>186.35</fb>
    <v>14</v>
  </rv>
  <rv s="5">
    <fb>2459.14</fb>
    <v>14</v>
  </rv>
  <rv s="5">
    <fb>42934</fb>
    <v>13</v>
  </rv>
  <rv s="5">
    <fb>49.347499999999997</fb>
    <v>14</v>
  </rv>
  <rv s="5">
    <fb>51.222499999999997</fb>
    <v>14</v>
  </rv>
  <rv s="5">
    <fb>42.42</fb>
    <v>14</v>
  </rv>
  <rv s="5">
    <fb>438.28</fb>
    <v>14</v>
  </rv>
  <rv s="5">
    <fb>129.43700000000001</fb>
    <v>14</v>
  </rv>
  <rv s="5">
    <fb>127.73</fb>
    <v>14</v>
  </rv>
  <rv s="5">
    <fb>35.372500000000002</fb>
    <v>14</v>
  </rv>
  <rv s="5">
    <fb>66.180000000000007</fb>
    <v>14</v>
  </rv>
  <rv s="5">
    <fb>4.149</fb>
    <v>14</v>
  </rv>
  <rv s="5">
    <fb>88.64</fb>
    <v>14</v>
  </rv>
  <rv s="5">
    <fb>186.85</fb>
    <v>14</v>
  </rv>
  <rv s="5">
    <fb>2460.61</fb>
    <v>14</v>
  </rv>
  <rv s="5">
    <fb>42935</fb>
    <v>13</v>
  </rv>
  <rv s="5">
    <fb>49.638500000000001</fb>
    <v>14</v>
  </rv>
  <rv s="5">
    <fb>51.343499999999999</fb>
    <v>14</v>
  </rv>
  <rv s="5">
    <fb>42.53</fb>
    <v>14</v>
  </rv>
  <rv s="5">
    <fb>440.5</fb>
    <v>14</v>
  </rv>
  <rv s="5">
    <fb>130.3562</fb>
    <v>14</v>
  </rv>
  <rv s="5">
    <fb>128.04</fb>
    <v>14</v>
  </rv>
  <rv s="5">
    <fb>35.450000000000003</fb>
    <v>14</v>
  </rv>
  <rv s="5">
    <fb>67.44</fb>
    <v>14</v>
  </rv>
  <rv s="5">
    <fb>4.1275000000000004</fb>
    <v>14</v>
  </rv>
  <rv s="5">
    <fb>88.35</fb>
    <v>14</v>
  </rv>
  <rv s="5">
    <fb>189.19</fb>
    <v>14</v>
  </rv>
  <rv s="5">
    <fb>2473.83</fb>
    <v>14</v>
  </rv>
  <rv s="5">
    <fb>42936</fb>
    <v>13</v>
  </rv>
  <rv s="5">
    <fb>49.609499999999997</fb>
    <v>14</v>
  </rv>
  <rv s="5">
    <fb>51.435000000000002</fb>
    <v>14</v>
  </rv>
  <rv s="5">
    <fb>441.21</fb>
    <v>14</v>
  </rv>
  <rv s="5">
    <fb>129.2073</fb>
    <v>14</v>
  </rv>
  <rv s="5">
    <fb>128.47</fb>
    <v>14</v>
  </rv>
  <rv s="5">
    <fb>67.02</fb>
    <v>14</v>
  </rv>
  <rv s="5">
    <fb>4.1875</fb>
    <v>14</v>
  </rv>
  <rv s="5">
    <fb>88.6</fb>
    <v>14</v>
  </rv>
  <rv s="5">
    <fb>191.5</fb>
    <v>14</v>
  </rv>
  <rv s="5">
    <fb>2473.4499999999998</fb>
    <v>14</v>
  </rv>
  <rv s="5">
    <fb>42937</fb>
    <v>13</v>
  </rv>
  <rv s="5">
    <fb>49.692</fb>
    <v>14</v>
  </rv>
  <rv s="5">
    <fb>51.283499999999997</fb>
    <v>14</v>
  </rv>
  <rv s="5">
    <fb>42.92</fb>
    <v>14</v>
  </rv>
  <rv s="5">
    <fb>441.44</fb>
    <v>14</v>
  </rv>
  <rv s="5">
    <fb>130.54769999999999</fb>
    <v>14</v>
  </rv>
  <rv s="5">
    <fb>129.27000000000001</fb>
    <v>14</v>
  </rv>
  <rv s="5">
    <fb>36.092500000000001</fb>
    <v>14</v>
  </rv>
  <rv s="5">
    <fb>66.53</fb>
    <v>14</v>
  </rv>
  <rv s="5">
    <fb>4.2024999999999997</fb>
    <v>14</v>
  </rv>
  <rv s="5">
    <fb>191.78</fb>
    <v>14</v>
  </rv>
  <rv s="5">
    <fb>2472.54</fb>
    <v>14</v>
  </rv>
  <rv s="5">
    <fb>42940</fb>
    <v>13</v>
  </rv>
  <rv s="5">
    <fb>49.915500000000002</fb>
    <v>14</v>
  </rv>
  <rv s="5">
    <fb>51.947499999999998</fb>
    <v>14</v>
  </rv>
  <rv s="5">
    <fb>42.68</fb>
    <v>14</v>
  </rv>
  <rv s="5">
    <fb>441.6</fb>
    <v>14</v>
  </rv>
  <rv s="5">
    <fb>131.84979999999999</fb>
    <v>14</v>
  </rv>
  <rv s="5">
    <fb>129.52000000000001</fb>
    <v>14</v>
  </rv>
  <rv s="5">
    <fb>35.787500000000001</fb>
    <v>14</v>
  </rv>
  <rv s="5">
    <fb>66.42</fb>
    <v>14</v>
  </rv>
  <rv s="5">
    <fb>4.1538000000000004</fb>
    <v>14</v>
  </rv>
  <rv s="5">
    <fb>88.18</fb>
    <v>14</v>
  </rv>
  <rv s="5">
    <fb>190.89</fb>
    <v>14</v>
  </rv>
  <rv s="5">
    <fb>2469.91</fb>
    <v>14</v>
  </rv>
  <rv s="5">
    <fb>42941</fb>
    <v>13</v>
  </rv>
  <rv s="5">
    <fb>48.451500000000003</fb>
    <v>14</v>
  </rv>
  <rv s="5">
    <fb>51.993499999999997</fb>
    <v>14</v>
  </rv>
  <rv s="5">
    <fb>42.51</fb>
    <v>14</v>
  </rv>
  <rv s="5">
    <fb>436.96</fb>
    <v>14</v>
  </rv>
  <rv s="5">
    <fb>131.40940000000001</fb>
    <v>14</v>
  </rv>
  <rv s="5">
    <fb>129.97999999999999</fb>
    <v>14</v>
  </rv>
  <rv s="5">
    <fb>35.777500000000003</fb>
    <v>14</v>
  </rv>
  <rv s="5">
    <fb>67.010000000000005</fb>
    <v>14</v>
  </rv>
  <rv s="5">
    <fb>4.1337999999999999</fb>
    <v>14</v>
  </rv>
  <rv s="5">
    <fb>89.14</fb>
    <v>14</v>
  </rv>
  <rv s="5">
    <fb>190.4</fb>
    <v>14</v>
  </rv>
  <rv s="5">
    <fb>2477.13</fb>
    <v>14</v>
  </rv>
  <rv s="5">
    <fb>42942</fb>
    <v>13</v>
  </rv>
  <rv s="5">
    <fb>48.265500000000003</fb>
    <v>14</v>
  </rv>
  <rv s="5">
    <fb>52.64</fb>
    <v>14</v>
  </rv>
  <rv s="5">
    <fb>42.41</fb>
    <v>14</v>
  </rv>
  <rv s="5">
    <fb>440.04</fb>
    <v>14</v>
  </rv>
  <rv s="5">
    <fb>132.5966</fb>
    <v>14</v>
  </rv>
  <rv s="5">
    <fb>130.99</fb>
    <v>14</v>
  </rv>
  <rv s="5">
    <fb>36.372500000000002</fb>
    <v>14</v>
  </rv>
  <rv s="5">
    <fb>66.989999999999995</fb>
    <v>14</v>
  </rv>
  <rv s="5">
    <fb>4.1814999999999998</fb>
    <v>14</v>
  </rv>
  <rv s="5">
    <fb>89.3</fb>
    <v>14</v>
  </rv>
  <rv s="5">
    <fb>190.75</fb>
    <v>14</v>
  </rv>
  <rv s="5">
    <fb>2477.83</fb>
    <v>14</v>
  </rv>
  <rv s="5">
    <fb>42943</fb>
    <v>13</v>
  </rv>
  <rv s="5">
    <fb>47.625500000000002</fb>
    <v>14</v>
  </rv>
  <rv s="5">
    <fb>52.3</fb>
    <v>14</v>
  </rv>
  <rv s="5">
    <fb>442.87</fb>
    <v>14</v>
  </rv>
  <rv s="5">
    <fb>131.15090000000001</fb>
    <v>14</v>
  </rv>
  <rv s="5">
    <fb>128.93</fb>
    <v>14</v>
  </rv>
  <rv s="5">
    <fb>36.162500000000001</fb>
    <v>14</v>
  </rv>
  <rv s="5">
    <fb>67.78</fb>
    <v>14</v>
  </rv>
  <rv s="5">
    <fb>4.0434999999999999</fb>
    <v>14</v>
  </rv>
  <rv s="5">
    <fb>90.68</fb>
    <v>14</v>
  </rv>
  <rv s="5">
    <fb>188.93</fb>
    <v>14</v>
  </rv>
  <rv s="5">
    <fb>2475.42</fb>
    <v>14</v>
  </rv>
  <rv s="5">
    <fb>42944</fb>
    <v>13</v>
  </rv>
  <rv s="5">
    <fb>47.916499999999999</fb>
    <v>14</v>
  </rv>
  <rv s="5">
    <fb>51.002000000000002</fb>
    <v>14</v>
  </rv>
  <rv s="5">
    <fb>447.9</fb>
    <v>14</v>
  </rv>
  <rv s="5">
    <fb>130.96899999999999</fb>
    <v>14</v>
  </rv>
  <rv s="5">
    <fb>127.91</fb>
    <v>14</v>
  </rv>
  <rv s="5">
    <fb>36.28</fb>
    <v>14</v>
  </rv>
  <rv s="5">
    <fb>68.459999999999994</fb>
    <v>14</v>
  </rv>
  <rv s="5">
    <fb>4.1097999999999999</fb>
    <v>14</v>
  </rv>
  <rv s="5">
    <fb>90.21</fb>
    <v>14</v>
  </rv>
  <rv s="5">
    <fb>191.15</fb>
    <v>14</v>
  </rv>
  <rv s="5">
    <fb>2472.1</fb>
    <v>14</v>
  </rv>
  <rv s="5">
    <fb>42947</fb>
    <v>13</v>
  </rv>
  <rv s="5">
    <fb>47.274999999999999</fb>
    <v>14</v>
  </rv>
  <rv s="5">
    <fb>49.389000000000003</fb>
    <v>14</v>
  </rv>
  <rv s="5">
    <fb>41.9</fb>
    <v>14</v>
  </rv>
  <rv s="5">
    <fb>450.73</fb>
    <v>14</v>
  </rv>
  <rv s="5">
    <fb>130.32749999999999</fb>
    <v>14</v>
  </rv>
  <rv s="5">
    <fb>127.8</fb>
    <v>14</v>
  </rv>
  <rv s="5">
    <fb>36.522500000000001</fb>
    <v>14</v>
  </rv>
  <rv s="5">
    <fb>68.599999999999994</fb>
    <v>14</v>
  </rv>
  <rv s="5">
    <fb>90.82</fb>
    <v>14</v>
  </rv>
  <rv s="5">
    <fb>191.81</fb>
    <v>14</v>
  </rv>
  <rv s="5">
    <fb>2470.3000000000002</fb>
    <v>14</v>
  </rv>
  <rv s="5">
    <fb>42948</fb>
    <v>13</v>
  </rv>
  <rv s="5">
    <fb>47.328000000000003</fb>
    <v>14</v>
  </rv>
  <rv s="5">
    <fb>49.8095</fb>
    <v>14</v>
  </rv>
  <rv s="5">
    <fb>41.99</fb>
    <v>14</v>
  </rv>
  <rv s="5">
    <fb>453.08</fb>
    <v>14</v>
  </rv>
  <rv s="5">
    <fb>131.17959999999999</fb>
    <v>14</v>
  </rv>
  <rv s="5">
    <fb>129.49</fb>
    <v>14</v>
  </rv>
  <rv s="5">
    <fb>36.642499999999998</fb>
    <v>14</v>
  </rv>
  <rv s="5">
    <fb>69.010000000000005</fb>
    <v>14</v>
  </rv>
  <rv s="5">
    <fb>4.1123000000000003</fb>
    <v>14</v>
  </rv>
  <rv s="5">
    <fb>91.1</fb>
    <v>14</v>
  </rv>
  <rv s="5">
    <fb>192.23</fb>
    <v>14</v>
  </rv>
  <rv s="5">
    <fb>2476.35</fb>
    <v>14</v>
  </rv>
  <rv s="5">
    <fb>42949</fb>
    <v>13</v>
  </rv>
  <rv s="5">
    <fb>47.381999999999998</fb>
    <v>14</v>
  </rv>
  <rv s="5">
    <fb>49.794499999999999</fb>
    <v>14</v>
  </rv>
  <rv s="5">
    <fb>41.88</fb>
    <v>14</v>
  </rv>
  <rv s="5">
    <fb>455.47</fb>
    <v>14</v>
  </rv>
  <rv s="5">
    <fb>132.8168</fb>
    <v>14</v>
  </rv>
  <rv s="5">
    <fb>130.61000000000001</fb>
    <v>14</v>
  </rv>
  <rv s="5">
    <fb>36.685000000000002</fb>
    <v>14</v>
  </rv>
  <rv s="5">
    <fb>69.13</fb>
    <v>14</v>
  </rv>
  <rv s="5">
    <fb>91.04</fb>
    <v>14</v>
  </rv>
  <rv s="5">
    <fb>193</fb>
    <v>14</v>
  </rv>
  <rv s="5">
    <fb>2477.5700000000002</fb>
    <v>14</v>
  </rv>
  <rv s="5">
    <fb>42950</fb>
    <v>13</v>
  </rv>
  <rv s="5">
    <fb>47.015000000000001</fb>
    <v>14</v>
  </rv>
  <rv s="5">
    <fb>49.345999999999997</fb>
    <v>14</v>
  </rv>
  <rv s="5">
    <fb>40.61</fb>
    <v>14</v>
  </rv>
  <rv s="5">
    <fb>449.36</fb>
    <v>14</v>
  </rv>
  <rv s="5">
    <fb>133.62110000000001</fb>
    <v>14</v>
  </rv>
  <rv s="5">
    <fb>129.88999999999999</fb>
    <v>14</v>
  </rv>
  <rv s="5">
    <fb>36.884999999999998</fb>
    <v>14</v>
  </rv>
  <rv s="5">
    <fb>68.22</fb>
    <v>14</v>
  </rv>
  <rv s="5">
    <fb>4.1619999999999999</fb>
    <v>14</v>
  </rv>
  <rv s="5">
    <fb>90.86</fb>
    <v>14</v>
  </rv>
  <rv s="5">
    <fb>194.77</fb>
    <v>14</v>
  </rv>
  <rv s="5">
    <fb>2472.16</fb>
    <v>14</v>
  </rv>
  <rv s="5">
    <fb>42951</fb>
    <v>13</v>
  </rv>
  <rv s="5">
    <fb>47.289499999999997</fb>
    <v>14</v>
  </rv>
  <rv s="5">
    <fb>49.378999999999998</fb>
    <v>14</v>
  </rv>
  <rv s="5">
    <fb>40.56</fb>
    <v>14</v>
  </rv>
  <rv s="5">
    <fb>445.58</fb>
    <v>14</v>
  </rv>
  <rv s="5">
    <fb>134.08070000000001</fb>
    <v>14</v>
  </rv>
  <rv s="5">
    <fb>129.82</fb>
    <v>14</v>
  </rv>
  <rv s="5">
    <fb>36.6875</fb>
    <v>14</v>
  </rv>
  <rv s="5">
    <fb>67.540000000000006</fb>
    <v>14</v>
  </rv>
  <rv s="5">
    <fb>4.1802999999999999</fb>
    <v>14</v>
  </rv>
  <rv s="5">
    <fb>90.67</fb>
    <v>14</v>
  </rv>
  <rv s="5">
    <fb>194.88</fb>
    <v>14</v>
  </rv>
  <rv s="5">
    <fb>2476.83</fb>
    <v>14</v>
  </rv>
  <rv s="5">
    <fb>42954</fb>
    <v>13</v>
  </rv>
  <rv s="5">
    <fb>47.287500000000001</fb>
    <v>14</v>
  </rv>
  <rv s="5">
    <fb>49.613500000000002</fb>
    <v>14</v>
  </rv>
  <rv s="5">
    <fb>41.17</fb>
    <v>14</v>
  </rv>
  <rv s="5">
    <fb>444.23</fb>
    <v>14</v>
  </rv>
  <rv s="5">
    <fb>133.04660000000001</fb>
    <v>14</v>
  </rv>
  <rv s="5">
    <fb>130.38</fb>
    <v>14</v>
  </rv>
  <rv s="5">
    <fb>36.772500000000001</fb>
    <v>14</v>
  </rv>
  <rv s="5">
    <fb>66.55</fb>
    <v>14</v>
  </rv>
  <rv s="5">
    <fb>4.3087999999999997</fb>
    <v>14</v>
  </rv>
  <rv s="5">
    <fb>194.78</fb>
    <v>14</v>
  </rv>
  <rv s="5">
    <fb>2480.91</fb>
    <v>14</v>
  </rv>
  <rv s="5">
    <fb>42955</fb>
    <v>13</v>
  </rv>
  <rv s="5">
    <fb>47.209499999999998</fb>
    <v>14</v>
  </rv>
  <rv s="5">
    <fb>49.491999999999997</fb>
    <v>14</v>
  </rv>
  <rv s="5">
    <fb>41.09</fb>
    <v>14</v>
  </rv>
  <rv s="5">
    <fb>441.53</fb>
    <v>14</v>
  </rv>
  <rv s="5">
    <fb>132.76900000000001</fb>
    <v>14</v>
  </rv>
  <rv s="5">
    <fb>129.84</fb>
    <v>14</v>
  </rv>
  <rv s="5">
    <fb>36.837499999999999</fb>
    <v>14</v>
  </rv>
  <rv s="5">
    <fb>65.489999999999995</fb>
    <v>14</v>
  </rv>
  <rv s="5">
    <fb>4.2575000000000003</fb>
    <v>14</v>
  </rv>
  <rv s="5">
    <fb>91.58</fb>
    <v>14</v>
  </rv>
  <rv s="5">
    <fb>194.9</fb>
    <v>14</v>
  </rv>
  <rv s="5">
    <fb>2474.92</fb>
    <v>14</v>
  </rv>
  <rv s="5">
    <fb>42956</fb>
    <v>13</v>
  </rv>
  <rv s="5">
    <fb>47.003999999999998</fb>
    <v>14</v>
  </rv>
  <rv s="5">
    <fb>49.100499999999997</fb>
    <v>14</v>
  </rv>
  <rv s="5">
    <fb>447.81</fb>
    <v>14</v>
  </rv>
  <rv s="5">
    <fb>133.0849</fb>
    <v>14</v>
  </rv>
  <rv s="5">
    <fb>129.72</fb>
    <v>14</v>
  </rv>
  <rv s="5">
    <fb>4.3028000000000004</fb>
    <v>14</v>
  </rv>
  <rv s="5">
    <fb>91.92</fb>
    <v>14</v>
  </rv>
  <rv s="5">
    <fb>194.83</fb>
    <v>14</v>
  </rv>
  <rv s="5">
    <fb>2474.02</fb>
    <v>14</v>
  </rv>
  <rv s="5">
    <fb>42957</fb>
    <v>13</v>
  </rv>
  <rv s="5">
    <fb>46.179499999999997</fb>
    <v>14</v>
  </rv>
  <rv s="5">
    <fb>47.845999999999997</fb>
    <v>14</v>
  </rv>
  <rv s="5">
    <fb>40.049999999999997</fb>
    <v>14</v>
  </rv>
  <rv s="5">
    <fb>439.48</fb>
    <v>14</v>
  </rv>
  <rv s="5">
    <fb>131.3998</fb>
    <v>14</v>
  </rv>
  <rv s="5">
    <fb>127.67</fb>
    <v>14</v>
  </rv>
  <rv s="5">
    <fb>36.93</fb>
    <v>14</v>
  </rv>
  <rv s="5">
    <fb>64.400000000000006</fb>
    <v>14</v>
  </rv>
  <rv s="5">
    <fb>4.1185</fb>
    <v>14</v>
  </rv>
  <rv s="5">
    <fb>91.74</fb>
    <v>14</v>
  </rv>
  <rv s="5">
    <fb>192.57</fb>
    <v>14</v>
  </rv>
  <rv s="5">
    <fb>2438.21</fb>
    <v>14</v>
  </rv>
  <rv s="5">
    <fb>42958</fb>
    <v>13</v>
  </rv>
  <rv s="5">
    <fb>46.5045</fb>
    <v>14</v>
  </rv>
  <rv s="5">
    <fb>48.399500000000003</fb>
    <v>14</v>
  </rv>
  <rv s="5">
    <fb>40.159999999999997</fb>
    <v>14</v>
  </rv>
  <rv s="5">
    <fb>438.39</fb>
    <v>14</v>
  </rv>
  <rv s="5">
    <fb>130.7775</fb>
    <v>14</v>
  </rv>
  <rv s="5">
    <fb>128.55000000000001</fb>
    <v>14</v>
  </rv>
  <rv s="5">
    <fb>36.795000000000002</fb>
    <v>14</v>
  </rv>
  <rv s="5">
    <fb>63.83</fb>
    <v>14</v>
  </rv>
  <rv s="5">
    <fb>3.899</fb>
    <v>14</v>
  </rv>
  <rv s="5">
    <fb>91.34</fb>
    <v>14</v>
  </rv>
  <rv s="5">
    <fb>193.02</fb>
    <v>14</v>
  </rv>
  <rv s="5">
    <fb>2441.3200000000002</fb>
    <v>14</v>
  </rv>
  <rv s="5">
    <fb>42961</fb>
    <v>13</v>
  </rv>
  <rv s="5">
    <fb>46.9465</fb>
    <v>14</v>
  </rv>
  <rv s="5">
    <fb>49.164999999999999</fb>
    <v>14</v>
  </rv>
  <rv s="5">
    <fb>40.64</fb>
    <v>14</v>
  </rv>
  <rv s="5">
    <fb>449.49</fb>
    <v>14</v>
  </rv>
  <rv s="5">
    <fb>132.386</fb>
    <v>14</v>
  </rv>
  <rv s="5">
    <fb>131.09</fb>
    <v>14</v>
  </rv>
  <rv s="5">
    <fb>63.95</fb>
    <v>14</v>
  </rv>
  <rv s="5">
    <fb>4.21</fb>
    <v>14</v>
  </rv>
  <rv s="5">
    <fb>91.65</fb>
    <v>14</v>
  </rv>
  <rv s="5">
    <fb>193.71</fb>
    <v>14</v>
  </rv>
  <rv s="5">
    <fb>2465.84</fb>
    <v>14</v>
  </rv>
  <rv s="5">
    <fb>42962</fb>
    <v>13</v>
  </rv>
  <rv s="5">
    <fb>46.904000000000003</fb>
    <v>14</v>
  </rv>
  <rv s="5">
    <fb>49.137</fb>
    <v>14</v>
  </rv>
  <rv s="5">
    <fb>448.33</fb>
    <v>14</v>
  </rv>
  <rv s="5">
    <fb>131.57220000000001</fb>
    <v>14</v>
  </rv>
  <rv s="5">
    <fb>131.58000000000001</fb>
    <v>14</v>
  </rv>
  <rv s="5">
    <fb>37.262500000000003</fb>
    <v>14</v>
  </rv>
  <rv s="5">
    <fb>63.44</fb>
    <v>14</v>
  </rv>
  <rv s="5">
    <fb>4.1745000000000001</fb>
    <v>14</v>
  </rv>
  <rv s="5">
    <fb>92.2</fb>
    <v>14</v>
  </rv>
  <rv s="5">
    <fb>194.5</fb>
    <v>14</v>
  </rv>
  <rv s="5">
    <fb>2464.61</fb>
    <v>14</v>
  </rv>
  <rv s="5">
    <fb>42963</fb>
    <v>13</v>
  </rv>
  <rv s="5">
    <fb>47.213500000000003</fb>
    <v>14</v>
  </rv>
  <rv s="5">
    <fb>48.908999999999999</fb>
    <v>14</v>
  </rv>
  <rv s="5">
    <fb>40.82</fb>
    <v>14</v>
  </rv>
  <rv s="5">
    <fb>454.79</fb>
    <v>14</v>
  </rv>
  <rv s="5">
    <fb>132.20410000000001</fb>
    <v>14</v>
  </rv>
  <rv s="5">
    <fb>132.37</fb>
    <v>14</v>
  </rv>
  <rv s="5">
    <fb>37.494999999999997</fb>
    <v>14</v>
  </rv>
  <rv s="5">
    <fb>63.71</fb>
    <v>14</v>
  </rv>
  <rv s="5">
    <fb>4.1288</fb>
    <v>14</v>
  </rv>
  <rv s="5">
    <fb>92.44</fb>
    <v>14</v>
  </rv>
  <rv s="5">
    <fb>193.77</fb>
    <v>14</v>
  </rv>
  <rv s="5">
    <fb>2468.11</fb>
    <v>14</v>
  </rv>
  <rv s="5">
    <fb>42964</fb>
    <v>13</v>
  </rv>
  <rv s="5">
    <fb>46.383000000000003</fb>
    <v>14</v>
  </rv>
  <rv s="5">
    <fb>48.028500000000001</fb>
    <v>14</v>
  </rv>
  <rv s="5">
    <fb>40.270000000000003</fb>
    <v>14</v>
  </rv>
  <rv s="5">
    <fb>451.55</fb>
    <v>14</v>
  </rv>
  <rv s="5">
    <fb>130.06899999999999</fb>
    <v>14</v>
  </rv>
  <rv s="5">
    <fb>130.88</fb>
    <v>14</v>
  </rv>
  <rv s="5">
    <fb>37.152500000000003</fb>
    <v>14</v>
  </rv>
  <rv s="5">
    <fb>63.03</fb>
    <v>14</v>
  </rv>
  <rv s="5">
    <fb>4.0368000000000004</fb>
    <v>14</v>
  </rv>
  <rv s="5">
    <fb>92.07</fb>
    <v>14</v>
  </rv>
  <rv s="5">
    <fb>192.7</fb>
    <v>14</v>
  </rv>
  <rv s="5">
    <fb>2430.0100000000002</fb>
    <v>14</v>
  </rv>
  <rv s="5">
    <fb>42965</fb>
    <v>13</v>
  </rv>
  <rv s="5">
    <fb>46.308999999999997</fb>
    <v>14</v>
  </rv>
  <rv s="5">
    <fb>47.923499999999997</fb>
    <v>14</v>
  </rv>
  <rv s="5">
    <fb>40.119999999999997</fb>
    <v>14</v>
  </rv>
  <rv s="5">
    <fb>450</fb>
    <v>14</v>
  </rv>
  <rv s="5">
    <fb>131.13999999999999</fb>
    <v>14</v>
  </rv>
  <rv s="5">
    <fb>37.482500000000002</fb>
    <v>14</v>
  </rv>
  <rv s="5">
    <fb>63.32</fb>
    <v>14</v>
  </rv>
  <rv s="5">
    <fb>4.0374999999999996</fb>
    <v>14</v>
  </rv>
  <rv s="5">
    <fb>92.47</fb>
    <v>14</v>
  </rv>
  <rv s="5">
    <fb>190.82</fb>
    <v>14</v>
  </rv>
  <rv s="5">
    <fb>2425.5500000000002</fb>
    <v>14</v>
  </rv>
  <rv s="5">
    <fb>42968</fb>
    <v>13</v>
  </rv>
  <rv s="5">
    <fb>46.043500000000002</fb>
    <v>14</v>
  </rv>
  <rv s="5">
    <fb>47.664499999999997</fb>
    <v>14</v>
  </rv>
  <rv s="5">
    <fb>39.590000000000003</fb>
    <v>14</v>
  </rv>
  <rv s="5">
    <fb>450.29</fb>
    <v>14</v>
  </rv>
  <rv s="5">
    <fb>129.80090000000001</fb>
    <v>14</v>
  </rv>
  <rv s="5">
    <fb>131.94</fb>
    <v>14</v>
  </rv>
  <rv s="5">
    <fb>37.612499999999997</fb>
    <v>14</v>
  </rv>
  <rv s="5">
    <fb>63</fb>
    <v>14</v>
  </rv>
  <rv s="5">
    <fb>3.9788000000000001</fb>
    <v>14</v>
  </rv>
  <rv s="5">
    <fb>92.86</fb>
    <v>14</v>
  </rv>
  <rv s="5">
    <fb>192.03</fb>
    <v>14</v>
  </rv>
  <rv s="5">
    <fb>2428.37</fb>
    <v>14</v>
  </rv>
  <rv s="5">
    <fb>42969</fb>
    <v>13</v>
  </rv>
  <rv s="5">
    <fb>47.02</fb>
    <v>14</v>
  </rv>
  <rv s="5">
    <fb>48.344999999999999</fb>
    <v>14</v>
  </rv>
  <rv s="5">
    <fb>39.76</fb>
    <v>14</v>
  </rv>
  <rv s="5">
    <fb>456.29</fb>
    <v>14</v>
  </rv>
  <rv s="5">
    <fb>131.07429999999999</fb>
    <v>14</v>
  </rv>
  <rv s="5">
    <fb>133.80000000000001</fb>
    <v>14</v>
  </rv>
  <rv s="5">
    <fb>37.71</fb>
    <v>14</v>
  </rv>
  <rv s="5">
    <fb>63.35</fb>
    <v>14</v>
  </rv>
  <rv s="5">
    <fb>4.0637999999999996</fb>
    <v>14</v>
  </rv>
  <rv s="5">
    <fb>92.79</fb>
    <v>14</v>
  </rv>
  <rv s="5">
    <fb>194.79</fb>
    <v>14</v>
  </rv>
  <rv s="5">
    <fb>2452.5100000000002</fb>
    <v>14</v>
  </rv>
  <rv s="5">
    <fb>42970</fb>
    <v>13</v>
  </rv>
  <rv s="5">
    <fb>47.128999999999998</fb>
    <v>14</v>
  </rv>
  <rv s="5">
    <fb>47.9</fb>
    <v>14</v>
  </rv>
  <rv s="5">
    <fb>39.39</fb>
    <v>14</v>
  </rv>
  <rv s="5">
    <fb>461.8</fb>
    <v>14</v>
  </rv>
  <rv s="5">
    <fb>130.60509999999999</fb>
    <v>14</v>
  </rv>
  <rv s="5">
    <fb>133.07</fb>
    <v>14</v>
  </rv>
  <rv s="5">
    <fb>37.409999999999997</fb>
    <v>14</v>
  </rv>
  <rv s="5">
    <fb>63.19</fb>
    <v>14</v>
  </rv>
  <rv s="5">
    <fb>4.1449999999999996</fb>
    <v>14</v>
  </rv>
  <rv s="5">
    <fb>194.24</fb>
    <v>14</v>
  </rv>
  <rv s="5">
    <fb>2444.04</fb>
    <v>14</v>
  </rv>
  <rv s="5">
    <fb>42971</fb>
    <v>13</v>
  </rv>
  <rv s="5">
    <fb>46.844499999999996</fb>
    <v>14</v>
  </rv>
  <rv s="5">
    <fb>47.622500000000002</fb>
    <v>14</v>
  </rv>
  <rv s="5">
    <fb>39.21</fb>
    <v>14</v>
  </rv>
  <rv s="5">
    <fb>463.53</fb>
    <v>14</v>
  </rv>
  <rv s="5">
    <fb>130.7296</fb>
    <v>14</v>
  </rv>
  <rv s="5">
    <fb>132.96</fb>
    <v>14</v>
  </rv>
  <rv s="5">
    <fb>37.327500000000001</fb>
    <v>14</v>
  </rv>
  <rv s="5">
    <fb>62.88</fb>
    <v>14</v>
  </rv>
  <rv s="5">
    <fb>4.1298000000000004</fb>
    <v>14</v>
  </rv>
  <rv s="5">
    <fb>92.27</fb>
    <v>14</v>
  </rv>
  <rv s="5">
    <fb>194.75</fb>
    <v>14</v>
  </rv>
  <rv s="5">
    <fb>2438.9699999999998</fb>
    <v>14</v>
  </rv>
  <rv s="5">
    <fb>42972</fb>
    <v>13</v>
  </rv>
  <rv s="5">
    <fb>46.524999999999999</fb>
    <v>14</v>
  </rv>
  <rv s="5">
    <fb>47.262999999999998</fb>
    <v>14</v>
  </rv>
  <rv s="5">
    <fb>39.299999999999997</fb>
    <v>14</v>
  </rv>
  <rv s="5">
    <fb>466.19</fb>
    <v>14</v>
  </rv>
  <rv s="5">
    <fb>130.99770000000001</fb>
    <v>14</v>
  </rv>
  <rv s="5">
    <fb>132.75</fb>
    <v>14</v>
  </rv>
  <rv s="5">
    <fb>37.524999999999999</fb>
    <v>14</v>
  </rv>
  <rv s="5">
    <fb>63.88</fb>
    <v>14</v>
  </rv>
  <rv s="5">
    <fb>4.0952999999999999</fb>
    <v>14</v>
  </rv>
  <rv s="5">
    <fb>92.51</fb>
    <v>14</v>
  </rv>
  <rv s="5">
    <fb>194.36</fb>
    <v>14</v>
  </rv>
  <rv s="5">
    <fb>2443.0500000000002</fb>
    <v>14</v>
  </rv>
  <rv s="5">
    <fb>42975</fb>
    <v>13</v>
  </rv>
  <rv s="5">
    <fb>46.406500000000001</fb>
    <v>14</v>
  </rv>
  <rv s="5">
    <fb>47.301000000000002</fb>
    <v>14</v>
  </rv>
  <rv s="5">
    <fb>39.08</fb>
    <v>14</v>
  </rv>
  <rv s="5">
    <fb>462.91</fb>
    <v>14</v>
  </rv>
  <rv s="5">
    <fb>131.04560000000001</fb>
    <v>14</v>
  </rv>
  <rv s="5">
    <fb>133.85</fb>
    <v>14</v>
  </rv>
  <rv s="5">
    <fb>37.72</fb>
    <v>14</v>
  </rv>
  <rv s="5">
    <fb>63.45</fb>
    <v>14</v>
  </rv>
  <rv s="5">
    <fb>4.1242999999999999</fb>
    <v>14</v>
  </rv>
  <rv s="5">
    <fb>195.09</fb>
    <v>14</v>
  </rv>
  <rv s="5">
    <fb>2444.2399999999998</fb>
    <v>14</v>
  </rv>
  <rv s="5">
    <fb>42976</fb>
    <v>13</v>
  </rv>
  <rv s="5">
    <fb>46.787500000000001</fb>
    <v>14</v>
  </rv>
  <rv s="5">
    <fb>47.703000000000003</fb>
    <v>14</v>
  </rv>
  <rv s="5">
    <fb>39.06</fb>
    <v>14</v>
  </rv>
  <rv s="5">
    <fb>466.24</fb>
    <v>14</v>
  </rv>
  <rv s="5">
    <fb>131.7732</fb>
    <v>14</v>
  </rv>
  <rv s="5">
    <fb>133.84</fb>
    <v>14</v>
  </rv>
  <rv s="5">
    <fb>37.68</fb>
    <v>14</v>
  </rv>
  <rv s="5">
    <fb>63.5</fb>
    <v>14</v>
  </rv>
  <rv s="5">
    <fb>4.1174999999999997</fb>
    <v>14</v>
  </rv>
  <rv s="5">
    <fb>92.32</fb>
    <v>14</v>
  </rv>
  <rv s="5">
    <fb>196.73</fb>
    <v>14</v>
  </rv>
  <rv s="5">
    <fb>2446.3000000000002</fb>
    <v>14</v>
  </rv>
  <rv s="5">
    <fb>42977</fb>
    <v>13</v>
  </rv>
  <rv s="5">
    <fb>47.1815</fb>
    <v>14</v>
  </rv>
  <rv s="5">
    <fb>48.3795</fb>
    <v>14</v>
  </rv>
  <rv s="5">
    <fb>39.51</fb>
    <v>14</v>
  </rv>
  <rv s="5">
    <fb>465.67</fb>
    <v>14</v>
  </rv>
  <rv s="5">
    <fb>132.16579999999999</fb>
    <v>14</v>
  </rv>
  <rv s="5">
    <fb>63.39</fb>
    <v>14</v>
  </rv>
  <rv s="5">
    <fb>4.1420000000000003</fb>
    <v>14</v>
  </rv>
  <rv s="5">
    <fb>91.87</fb>
    <v>14</v>
  </rv>
  <rv s="5">
    <fb>195.88</fb>
    <v>14</v>
  </rv>
  <rv s="5">
    <fb>2457.59</fb>
    <v>14</v>
  </rv>
  <rv s="5">
    <fb>42978</fb>
    <v>13</v>
  </rv>
  <rv s="5">
    <fb>47.762</fb>
    <v>14</v>
  </rv>
  <rv s="5">
    <fb>49.03</fb>
    <v>14</v>
  </rv>
  <rv s="5">
    <fb>39.99</fb>
    <v>14</v>
  </rv>
  <rv s="5">
    <fb>468.41</fb>
    <v>14</v>
  </rv>
  <rv s="5">
    <fb>133.30000000000001</fb>
    <v>14</v>
  </rv>
  <rv s="5">
    <fb>37.627499999999998</fb>
    <v>14</v>
  </rv>
  <rv s="5">
    <fb>63.51</fb>
    <v>14</v>
  </rv>
  <rv s="5">
    <fb>4.2359999999999998</fb>
    <v>14</v>
  </rv>
  <rv s="5">
    <fb>198.9</fb>
    <v>14</v>
  </rv>
  <rv s="5">
    <fb>2471.65</fb>
    <v>14</v>
  </rv>
  <rv s="5">
    <fb>42979</fb>
    <v>13</v>
  </rv>
  <rv s="5">
    <fb>47.599499999999999</fb>
    <v>14</v>
  </rv>
  <rv s="5">
    <fb>48.912500000000001</fb>
    <v>14</v>
  </rv>
  <rv s="5">
    <fb>40.15</fb>
    <v>14</v>
  </rv>
  <rv s="5">
    <fb>465.96</fb>
    <v>14</v>
  </rv>
  <rv s="5">
    <fb>133.24</fb>
    <v>14</v>
  </rv>
  <rv s="5">
    <fb>37.54</fb>
    <v>14</v>
  </rv>
  <rv s="5">
    <fb>4.2614999999999998</fb>
    <v>14</v>
  </rv>
  <rv s="5">
    <fb>92.53</fb>
    <v>14</v>
  </rv>
  <rv s="5">
    <fb>199.75</fb>
    <v>14</v>
  </rv>
  <rv s="5">
    <fb>2476.5500000000002</fb>
    <v>14</v>
  </rv>
  <rv s="5">
    <fb>42983</fb>
    <v>13</v>
  </rv>
  <rv s="5">
    <fb>47.073999999999998</fb>
    <v>14</v>
  </rv>
  <rv s="5">
    <fb>48.263500000000001</fb>
    <v>14</v>
  </rv>
  <rv s="5">
    <fb>463.49</fb>
    <v>14</v>
  </rv>
  <rv s="5">
    <fb>130.70089999999999</fb>
    <v>14</v>
  </rv>
  <rv s="5">
    <fb>132.66</fb>
    <v>14</v>
  </rv>
  <rv s="5">
    <fb>37.564999999999998</fb>
    <v>14</v>
  </rv>
  <rv s="5">
    <fb>65.099999999999994</fb>
    <v>14</v>
  </rv>
  <rv s="5">
    <fb>4.1478000000000002</fb>
    <v>14</v>
  </rv>
  <rv s="5">
    <fb>92.72</fb>
    <v>14</v>
  </rv>
  <rv s="5">
    <fb>199.31</fb>
    <v>14</v>
  </rv>
  <rv s="5">
    <fb>2457.85</fb>
    <v>14</v>
  </rv>
  <rv s="5">
    <fb>42984</fb>
    <v>13</v>
  </rv>
  <rv s="5">
    <fb>47.100999999999999</fb>
    <v>14</v>
  </rv>
  <rv s="5">
    <fb>48.39</fb>
    <v>14</v>
  </rv>
  <rv s="5">
    <fb>463.52</fb>
    <v>14</v>
  </rv>
  <rv s="5">
    <fb>130.73920000000001</fb>
    <v>14</v>
  </rv>
  <rv s="5">
    <fb>132.88999999999999</fb>
    <v>14</v>
  </rv>
  <rv s="5">
    <fb>37.0625</fb>
    <v>14</v>
  </rv>
  <rv s="5">
    <fb>65.72</fb>
    <v>14</v>
  </rv>
  <rv s="5">
    <fb>4.1452999999999998</fb>
    <v>14</v>
  </rv>
  <rv s="5">
    <fb>198.38</fb>
    <v>14</v>
  </rv>
  <rv s="5">
    <fb>2465.54</fb>
    <v>14</v>
  </rv>
  <rv s="5">
    <fb>42985</fb>
    <v>13</v>
  </rv>
  <rv s="5">
    <fb>47.494500000000002</fb>
    <v>14</v>
  </rv>
  <rv s="5">
    <fb>48.973500000000001</fb>
    <v>14</v>
  </rv>
  <rv s="5">
    <fb>40.26</fb>
    <v>14</v>
  </rv>
  <rv s="5">
    <fb>464.82</fb>
    <v>14</v>
  </rv>
  <rv s="5">
    <fb>131.2466</fb>
    <v>14</v>
  </rv>
  <rv s="5">
    <fb>136.53</fb>
    <v>14</v>
  </rv>
  <rv s="5">
    <fb>37.372500000000002</fb>
    <v>14</v>
  </rv>
  <rv s="5">
    <fb>65.87</fb>
    <v>14</v>
  </rv>
  <rv s="5">
    <fb>4.1645000000000003</fb>
    <v>14</v>
  </rv>
  <rv s="5">
    <fb>92.97</fb>
    <v>14</v>
  </rv>
  <rv s="5">
    <fb>198.17</fb>
    <v>14</v>
  </rv>
  <rv s="5">
    <fb>2465.1</fb>
    <v>14</v>
  </rv>
  <rv s="5">
    <fb>42986</fb>
    <v>13</v>
  </rv>
  <rv s="5">
    <fb>47.070500000000003</fb>
    <v>14</v>
  </rv>
  <rv s="5">
    <fb>48.295000000000002</fb>
    <v>14</v>
  </rv>
  <rv s="5">
    <fb>462</fb>
    <v>14</v>
  </rv>
  <rv s="5">
    <fb>131.7158</fb>
    <v>14</v>
  </rv>
  <rv s="5">
    <fb>137.22</fb>
    <v>14</v>
  </rv>
  <rv s="5">
    <fb>37.064999999999998</fb>
    <v>14</v>
  </rv>
  <rv s="5">
    <fb>64.86</fb>
    <v>14</v>
  </rv>
  <rv s="5">
    <fb>4.0922999999999998</fb>
    <v>14</v>
  </rv>
  <rv s="5">
    <fb>92.84</fb>
    <v>14</v>
  </rv>
  <rv s="5">
    <fb>197.75</fb>
    <v>14</v>
  </rv>
  <rv s="5">
    <fb>2461.4299999999998</fb>
    <v>14</v>
  </rv>
  <rv s="5">
    <fb>42989</fb>
    <v>13</v>
  </rv>
  <rv s="5">
    <fb>47.164499999999997</fb>
    <v>14</v>
  </rv>
  <rv s="5">
    <fb>48.898000000000003</fb>
    <v>14</v>
  </rv>
  <rv s="5">
    <fb>40.94</fb>
    <v>14</v>
  </rv>
  <rv s="5">
    <fb>474.42</fb>
    <v>14</v>
  </rv>
  <rv s="5">
    <fb>141.99</fb>
    <v>14</v>
  </rv>
  <rv s="5">
    <fb>37.85</fb>
    <v>14</v>
  </rv>
  <rv s="5">
    <fb>65.77</fb>
    <v>14</v>
  </rv>
  <rv s="5">
    <fb>4.2249999999999996</fb>
    <v>14</v>
  </rv>
  <rv s="5">
    <fb>93.99</fb>
    <v>14</v>
  </rv>
  <rv s="5">
    <fb>199.58</fb>
    <v>14</v>
  </rv>
  <rv s="5">
    <fb>2488.11</fb>
    <v>14</v>
  </rv>
  <rv s="5">
    <fb>42990</fb>
    <v>13</v>
  </rv>
  <rv s="5">
    <fb>47.332500000000003</fb>
    <v>14</v>
  </rv>
  <rv s="5">
    <fb>49.128999999999998</fb>
    <v>14</v>
  </rv>
  <rv s="5">
    <fb>468.38</fb>
    <v>14</v>
  </rv>
  <rv s="5">
    <fb>132.77850000000001</fb>
    <v>14</v>
  </rv>
  <rv s="5">
    <fb>142.41999999999999</fb>
    <v>14</v>
  </rv>
  <rv s="5">
    <fb>37.282499999999999</fb>
    <v>14</v>
  </rv>
  <rv s="5">
    <fb>66.430000000000007</fb>
    <v>14</v>
  </rv>
  <rv s="5">
    <fb>4.2403000000000004</fb>
    <v>14</v>
  </rv>
  <rv s="5">
    <fb>93.51</fb>
    <v>14</v>
  </rv>
  <rv s="5">
    <fb>197.47</fb>
    <v>14</v>
  </rv>
  <rv s="5">
    <fb>2496.48</fb>
    <v>14</v>
  </rv>
  <rv s="5">
    <fb>42991</fb>
    <v>13</v>
  </rv>
  <rv s="5">
    <fb>47.521999999999998</fb>
    <v>14</v>
  </rv>
  <rv s="5">
    <fb>49.98</fb>
    <v>14</v>
  </rv>
  <rv s="5">
    <fb>40.36</fb>
    <v>14</v>
  </rv>
  <rv s="5">
    <fb>458.87</fb>
    <v>14</v>
  </rv>
  <rv s="5">
    <fb>132.0317</fb>
    <v>14</v>
  </rv>
  <rv s="5">
    <fb>140.1</fb>
    <v>14</v>
  </rv>
  <rv s="5">
    <fb>37.045000000000002</fb>
    <v>14</v>
  </rv>
  <rv s="5">
    <fb>66.92</fb>
    <v>14</v>
  </rv>
  <rv s="5">
    <fb>4.2592999999999996</fb>
    <v>14</v>
  </rv>
  <rv s="5">
    <fb>93.55</fb>
    <v>14</v>
  </rv>
  <rv s="5">
    <fb>198.33</fb>
    <v>14</v>
  </rv>
  <rv s="5">
    <fb>2498.37</fb>
    <v>14</v>
  </rv>
  <rv s="5">
    <fb>42992</fb>
    <v>13</v>
  </rv>
  <rv s="5">
    <fb>47.006500000000003</fb>
    <v>14</v>
  </rv>
  <rv s="5">
    <fb>49.610500000000002</fb>
    <v>14</v>
  </rv>
  <rv s="5">
    <fb>40.409999999999997</fb>
    <v>14</v>
  </rv>
  <rv s="5">
    <fb>454.91</fb>
    <v>14</v>
  </rv>
  <rv s="5">
    <fb>131.37110000000001</fb>
    <v>14</v>
  </rv>
  <rv s="5">
    <fb>141.47</fb>
    <v>14</v>
  </rv>
  <rv s="5">
    <fb>37.387500000000003</fb>
    <v>14</v>
  </rv>
  <rv s="5">
    <fb>67.7</fb>
    <v>14</v>
  </rv>
  <rv s="5">
    <fb>4.2350000000000003</fb>
    <v>14</v>
  </rv>
  <rv s="5">
    <fb>197.73</fb>
    <v>14</v>
  </rv>
  <rv s="5">
    <fb>2495.62</fb>
    <v>14</v>
  </rv>
  <rv s="5">
    <fb>42993</fb>
    <v>13</v>
  </rv>
  <rv s="5">
    <fb>46.764499999999998</fb>
    <v>14</v>
  </rv>
  <rv s="5">
    <fb>49.339500000000001</fb>
    <v>14</v>
  </rv>
  <rv s="5">
    <fb>40.53</fb>
    <v>14</v>
  </rv>
  <rv s="5">
    <fb>455.31</fb>
    <v>14</v>
  </rv>
  <rv s="5">
    <fb>133.03700000000001</fb>
    <v>14</v>
  </rv>
  <rv s="5">
    <fb>141.58000000000001</fb>
    <v>14</v>
  </rv>
  <rv s="5">
    <fb>37.522500000000001</fb>
    <v>14</v>
  </rv>
  <rv s="5">
    <fb>67.239999999999995</fb>
    <v>14</v>
  </rv>
  <rv s="5">
    <fb>4.5027999999999997</fb>
    <v>14</v>
  </rv>
  <rv s="5">
    <fb>93.27</fb>
    <v>14</v>
  </rv>
  <rv s="5">
    <fb>198.18</fb>
    <v>14</v>
  </rv>
  <rv s="5">
    <fb>2500.23</fb>
    <v>14</v>
  </rv>
  <rv s="5">
    <fb>42996</fb>
    <v>13</v>
  </rv>
  <rv s="5">
    <fb>46.487499999999997</fb>
    <v>14</v>
  </rv>
  <rv s="5">
    <fb>48.709499999999998</fb>
    <v>14</v>
  </rv>
  <rv s="5">
    <fb>40.78</fb>
    <v>14</v>
  </rv>
  <rv s="5">
    <fb>450.15</fb>
    <v>14</v>
  </rv>
  <rv s="5">
    <fb>131.8115</fb>
    <v>14</v>
  </rv>
  <rv s="5">
    <fb>141.4</fb>
    <v>14</v>
  </rv>
  <rv s="5">
    <fb>37.075000000000003</fb>
    <v>14</v>
  </rv>
  <rv s="5">
    <fb>67.87</fb>
    <v>14</v>
  </rv>
  <rv s="5">
    <fb>4.6887999999999996</fb>
    <v>14</v>
  </rv>
  <rv s="5">
    <fb>93.15</fb>
    <v>14</v>
  </rv>
  <rv s="5">
    <fb>198.19</fb>
    <v>14</v>
  </rv>
  <rv s="5">
    <fb>2503.87</fb>
    <v>14</v>
  </rv>
  <rv s="5">
    <fb>42997</fb>
    <v>13</v>
  </rv>
  <rv s="5">
    <fb>46.843000000000004</fb>
    <v>14</v>
  </rv>
  <rv s="5">
    <fb>48.493000000000002</fb>
    <v>14</v>
  </rv>
  <rv s="5">
    <fb>453.04</fb>
    <v>14</v>
  </rv>
  <rv s="5">
    <fb>131.88810000000001</fb>
    <v>14</v>
  </rv>
  <rv s="5">
    <fb>142.49</fb>
    <v>14</v>
  </rv>
  <rv s="5">
    <fb>36.979999999999997</fb>
    <v>14</v>
  </rv>
  <rv s="5">
    <fb>67.89</fb>
    <v>14</v>
  </rv>
  <rv s="5">
    <fb>4.6837999999999997</fb>
    <v>14</v>
  </rv>
  <rv s="5">
    <fb>94.17</fb>
    <v>14</v>
  </rv>
  <rv s="5">
    <fb>194.65</fb>
    <v>14</v>
  </rv>
  <rv s="5">
    <fb>2506.65</fb>
    <v>14</v>
  </rv>
  <rv s="5">
    <fb>42998</fb>
    <v>13</v>
  </rv>
  <rv s="5">
    <fb>47.377000000000002</fb>
    <v>14</v>
  </rv>
  <rv s="5">
    <fb>48.660499999999999</fb>
    <v>14</v>
  </rv>
  <rv s="5">
    <fb>449.24</fb>
    <v>14</v>
  </rv>
  <rv s="5">
    <fb>132.78809999999999</fb>
    <v>14</v>
  </rv>
  <rv s="5">
    <fb>142.24</fb>
    <v>14</v>
  </rv>
  <rv s="5">
    <fb>67.62</fb>
    <v>14</v>
  </rv>
  <rv s="5">
    <fb>4.6459999999999999</fb>
    <v>14</v>
  </rv>
  <rv s="5">
    <fb>94.4</fb>
    <v>14</v>
  </rv>
  <rv s="5">
    <fb>195.75</fb>
    <v>14</v>
  </rv>
  <rv s="5">
    <fb>2508.2399999999998</fb>
    <v>14</v>
  </rv>
  <rv s="5">
    <fb>42999</fb>
    <v>13</v>
  </rv>
  <rv s="5">
    <fb>47.377499999999998</fb>
    <v>14</v>
  </rv>
  <rv s="5">
    <fb>48.232500000000002</fb>
    <v>14</v>
  </rv>
  <rv s="5">
    <fb>40.799999999999997</fb>
    <v>14</v>
  </rv>
  <rv s="5">
    <fb>446.57</fb>
    <v>14</v>
  </rv>
  <rv s="5">
    <fb>134.86580000000001</fb>
    <v>14</v>
  </rv>
  <rv s="5">
    <fb>141.72</fb>
    <v>14</v>
  </rv>
  <rv s="5">
    <fb>68.09</fb>
    <v>14</v>
  </rv>
  <rv s="5">
    <fb>4.5190000000000001</fb>
    <v>14</v>
  </rv>
  <rv s="5">
    <fb>92.64</fb>
    <v>14</v>
  </rv>
  <rv s="5">
    <fb>195.21</fb>
    <v>14</v>
  </rv>
  <rv s="5">
    <fb>2500.6</fb>
    <v>14</v>
  </rv>
  <rv s="5">
    <fb>43000</fb>
    <v>13</v>
  </rv>
  <rv s="5">
    <fb>47.162999999999997</fb>
    <v>14</v>
  </rv>
  <rv s="5">
    <fb>47.755000000000003</fb>
    <v>14</v>
  </rv>
  <rv s="5">
    <fb>41</fb>
    <v>14</v>
  </rv>
  <rv s="5">
    <fb>441.66</fb>
    <v>14</v>
  </rv>
  <rv s="5">
    <fb>135.71789999999999</fb>
    <v>14</v>
  </rv>
  <rv s="5">
    <fb>141.88999999999999</fb>
    <v>14</v>
  </rv>
  <rv s="5">
    <fb>36.590000000000003</fb>
    <v>14</v>
  </rv>
  <rv s="5">
    <fb>68.8</fb>
    <v>14</v>
  </rv>
  <rv s="5">
    <fb>4.4749999999999996</fb>
    <v>14</v>
  </rv>
  <rv s="5">
    <fb>92.24</fb>
    <v>14</v>
  </rv>
  <rv s="5">
    <fb>193.03</fb>
    <v>14</v>
  </rv>
  <rv s="5">
    <fb>2502.2199999999998</fb>
    <v>14</v>
  </rv>
  <rv s="5">
    <fb>43003</fb>
    <v>13</v>
  </rv>
  <rv s="5">
    <fb>46.713999999999999</fb>
    <v>14</v>
  </rv>
  <rv s="5">
    <fb>46.9895</fb>
    <v>14</v>
  </rv>
  <rv s="5">
    <fb>40.81</fb>
    <v>14</v>
  </rv>
  <rv s="5">
    <fb>437.21</fb>
    <v>14</v>
  </rv>
  <rv s="5">
    <fb>134.81790000000001</fb>
    <v>14</v>
  </rv>
  <rv s="5">
    <fb>138.57</fb>
    <v>14</v>
  </rv>
  <rv s="5">
    <fb>36.704999999999998</fb>
    <v>14</v>
  </rv>
  <rv s="5">
    <fb>69.650000000000006</fb>
    <v>14</v>
  </rv>
  <rv s="5">
    <fb>4.2750000000000004</fb>
    <v>14</v>
  </rv>
  <rv s="5">
    <fb>191.75</fb>
    <v>14</v>
  </rv>
  <rv s="5">
    <fb>2496.66</fb>
    <v>14</v>
  </rv>
  <rv s="5">
    <fb>43004</fb>
    <v>13</v>
  </rv>
  <rv s="5">
    <fb>46.871499999999997</fb>
    <v>14</v>
  </rv>
  <rv s="5">
    <fb>46.93</fb>
    <v>14</v>
  </rv>
  <rv s="5">
    <fb>40.97</fb>
    <v>14</v>
  </rv>
  <rv s="5">
    <fb>434.42</fb>
    <v>14</v>
  </rv>
  <rv s="5">
    <fb>134.27209999999999</fb>
    <v>14</v>
  </rv>
  <rv s="5">
    <fb>138.37</fb>
    <v>14</v>
  </rv>
  <rv s="5">
    <fb>68.819999999999993</fb>
    <v>14</v>
  </rv>
  <rv s="5">
    <fb>4.2990000000000004</fb>
    <v>14</v>
  </rv>
  <rv s="5">
    <fb>92.65</fb>
    <v>14</v>
  </rv>
  <rv s="5">
    <fb>2496.84</fb>
    <v>14</v>
  </rv>
  <rv s="5">
    <fb>43005</fb>
    <v>13</v>
  </rv>
  <rv s="5">
    <fb>47.994999999999997</fb>
    <v>14</v>
  </rv>
  <rv s="5">
    <fb>47.543500000000002</fb>
    <v>14</v>
  </rv>
  <rv s="5">
    <fb>441.93</fb>
    <v>14</v>
  </rv>
  <rv s="5">
    <fb>133.63069999999999</fb>
    <v>14</v>
  </rv>
  <rv s="5">
    <fb>139.66999999999999</fb>
    <v>14</v>
  </rv>
  <rv s="5">
    <fb>36.5625</fb>
    <v>14</v>
  </rv>
  <rv s="5">
    <fb>69.08</fb>
    <v>14</v>
  </rv>
  <rv s="5">
    <fb>4.3933</fb>
    <v>14</v>
  </rv>
  <rv s="5">
    <fb>90.87</fb>
    <v>14</v>
  </rv>
  <rv s="5">
    <fb>194.49</fb>
    <v>14</v>
  </rv>
  <rv s="5">
    <fb>2507.04</fb>
    <v>14</v>
  </rv>
  <rv s="5">
    <fb>43006</fb>
    <v>13</v>
  </rv>
  <rv s="5">
    <fb>48.240499999999997</fb>
    <v>14</v>
  </rv>
  <rv s="5">
    <fb>47.82</fb>
    <v>14</v>
  </rv>
  <rv s="5">
    <fb>441.72</fb>
    <v>14</v>
  </rv>
  <rv s="5">
    <fb>134.5977</fb>
    <v>14</v>
  </rv>
  <rv s="5">
    <fb>140.19999999999999</fb>
    <v>14</v>
  </rv>
  <rv s="5">
    <fb>36.747500000000002</fb>
    <v>14</v>
  </rv>
  <rv s="5">
    <fb>69.16</fb>
    <v>14</v>
  </rv>
  <rv s="5">
    <fb>4.3920000000000003</fb>
    <v>14</v>
  </rv>
  <rv s="5">
    <fb>196.1</fb>
    <v>14</v>
  </rv>
  <rv s="5">
    <fb>2510.06</fb>
    <v>14</v>
  </rv>
  <rv s="5">
    <fb>43007</fb>
    <v>13</v>
  </rv>
  <rv s="5">
    <fb>48.686</fb>
    <v>14</v>
  </rv>
  <rv s="5">
    <fb>41.3</fb>
    <v>14</v>
  </rv>
  <rv s="5">
    <fb>446.3</fb>
    <v>14</v>
  </rv>
  <rv s="5">
    <fb>135.70830000000001</fb>
    <v>14</v>
  </rv>
  <rv s="5">
    <fb>141.19999999999999</fb>
    <v>14</v>
  </rv>
  <rv s="5">
    <fb>36.637500000000003</fb>
    <v>14</v>
  </rv>
  <rv s="5">
    <fb>69.760000000000005</fb>
    <v>14</v>
  </rv>
  <rv s="5">
    <fb>4.4692999999999996</fb>
    <v>14</v>
  </rv>
  <rv s="5">
    <fb>90.98</fb>
    <v>14</v>
  </rv>
  <rv s="5">
    <fb>195.85</fb>
    <v>14</v>
  </rv>
  <rv s="5">
    <fb>2519.36</fb>
    <v>14</v>
  </rv>
  <rv s="5">
    <fb>43010</fb>
    <v>13</v>
  </rv>
  <rv s="5">
    <fb>48.3735</fb>
    <v>14</v>
  </rv>
  <rv s="5">
    <fb>47.959499999999998</fb>
    <v>14</v>
  </rv>
  <rv s="5">
    <fb>444.48</fb>
    <v>14</v>
  </rv>
  <rv s="5">
    <fb>136.58920000000001</fb>
    <v>14</v>
  </rv>
  <rv s="5">
    <fb>141.82</fb>
    <v>14</v>
  </rv>
  <rv s="5">
    <fb>69.319999999999993</fb>
    <v>14</v>
  </rv>
  <rv s="5">
    <fb>91.77</fb>
    <v>14</v>
  </rv>
  <rv s="5">
    <fb>197.44</fb>
    <v>14</v>
  </rv>
  <rv s="5">
    <fb>2529.12</fb>
    <v>14</v>
  </rv>
  <rv s="5">
    <fb>43011</fb>
    <v>13</v>
  </rv>
  <rv s="5">
    <fb>48.603999999999999</fb>
    <v>14</v>
  </rv>
  <rv s="5">
    <fb>47.854999999999997</fb>
    <v>14</v>
  </rv>
  <rv s="5">
    <fb>41.58</fb>
    <v>14</v>
  </rv>
  <rv s="5">
    <fb>442.36</fb>
    <v>14</v>
  </rv>
  <rv s="5">
    <fb>136.59870000000001</fb>
    <v>14</v>
  </rv>
  <rv s="5">
    <fb>143.02000000000001</fb>
    <v>14</v>
  </rv>
  <rv s="5">
    <fb>36.722499999999997</fb>
    <v>14</v>
  </rv>
  <rv s="5">
    <fb>69.06</fb>
    <v>14</v>
  </rv>
  <rv s="5">
    <fb>4.4843000000000002</fb>
    <v>14</v>
  </rv>
  <rv s="5">
    <fb>92.12</fb>
    <v>14</v>
  </rv>
  <rv s="5">
    <fb>198.63</fb>
    <v>14</v>
  </rv>
  <rv s="5">
    <fb>2534.58</fb>
    <v>14</v>
  </rv>
  <rv s="5">
    <fb>43012</fb>
    <v>13</v>
  </rv>
  <rv s="5">
    <fb>48.338999999999999</fb>
    <v>14</v>
  </rv>
  <rv s="5">
    <fb>48.272500000000001</fb>
    <v>14</v>
  </rv>
  <rv s="5">
    <fb>41.76</fb>
    <v>14</v>
  </rv>
  <rv s="5">
    <fb>442.97</fb>
    <v>14</v>
  </rv>
  <rv s="5">
    <fb>136.4838</fb>
    <v>14</v>
  </rv>
  <rv s="5">
    <fb>142.09</fb>
    <v>14</v>
  </rv>
  <rv s="5">
    <fb>37.142499999999998</fb>
    <v>14</v>
  </rv>
  <rv s="5">
    <fb>4.5217999999999998</fb>
    <v>14</v>
  </rv>
  <rv s="5">
    <fb>92.42</fb>
    <v>14</v>
  </rv>
  <rv s="5">
    <fb>200.48</fb>
    <v>14</v>
  </rv>
  <rv s="5">
    <fb>2537.7399999999998</fb>
    <v>14</v>
  </rv>
  <rv s="5">
    <fb>43013</fb>
    <v>13</v>
  </rv>
  <rv s="5">
    <fb>49.259500000000003</fb>
    <v>14</v>
  </rv>
  <rv s="5">
    <fb>49.042499999999997</fb>
    <v>14</v>
  </rv>
  <rv s="5">
    <fb>445.42</fb>
    <v>14</v>
  </rv>
  <rv s="5">
    <fb>136.98169999999999</fb>
    <v>14</v>
  </rv>
  <rv s="5">
    <fb>143.75</fb>
    <v>14</v>
  </rv>
  <rv s="5">
    <fb>36.94</fb>
    <v>14</v>
  </rv>
  <rv s="5">
    <fb>68.87</fb>
    <v>14</v>
  </rv>
  <rv s="5">
    <fb>4.5193000000000003</fb>
    <v>14</v>
  </rv>
  <rv s="5">
    <fb>92.03</fb>
    <v>14</v>
  </rv>
  <rv s="5">
    <fb>197.9</fb>
    <v>14</v>
  </rv>
  <rv s="5">
    <fb>2552.0700000000002</fb>
    <v>14</v>
  </rv>
  <rv s="5">
    <fb>43014</fb>
    <v>13</v>
  </rv>
  <rv s="5">
    <fb>49.682000000000002</fb>
    <v>14</v>
  </rv>
  <rv s="5">
    <fb>49.478999999999999</fb>
    <v>14</v>
  </rv>
  <rv s="5">
    <fb>448.83</fb>
    <v>14</v>
  </rv>
  <rv s="5">
    <fb>137.50829999999999</fb>
    <v>14</v>
  </rv>
  <rv s="5">
    <fb>143.52000000000001</fb>
    <v>14</v>
  </rv>
  <rv s="5">
    <fb>36.8675</fb>
    <v>14</v>
  </rv>
  <rv s="5">
    <fb>68.34</fb>
    <v>14</v>
  </rv>
  <rv s="5">
    <fb>4.5324999999999998</fb>
    <v>14</v>
  </rv>
  <rv s="5">
    <fb>92.33</fb>
    <v>14</v>
  </rv>
  <rv s="5">
    <fb>198.06</fb>
    <v>14</v>
  </rv>
  <rv s="5">
    <fb>2549.33</fb>
    <v>14</v>
  </rv>
  <rv s="5">
    <fb>43017</fb>
    <v>13</v>
  </rv>
  <rv s="5">
    <fb>49.615499999999997</fb>
    <v>14</v>
  </rv>
  <rv s="5">
    <fb>49.549500000000002</fb>
    <v>14</v>
  </rv>
  <rv s="5">
    <fb>42.06</fb>
    <v>14</v>
  </rv>
  <rv s="5">
    <fb>451.32</fb>
    <v>14</v>
  </rv>
  <rv s="5">
    <fb>137.48920000000001</fb>
    <v>14</v>
  </rv>
  <rv s="5">
    <fb>144.55000000000001</fb>
    <v>14</v>
  </rv>
  <rv s="5">
    <fb>36.975000000000001</fb>
    <v>14</v>
  </rv>
  <rv s="5">
    <fb>68.33</fb>
    <v>14</v>
  </rv>
  <rv s="5">
    <fb>4.6346999999999996</fb>
    <v>14</v>
  </rv>
  <rv s="5">
    <fb>196.3</fb>
    <v>14</v>
  </rv>
  <rv s="5">
    <fb>2544.73</fb>
    <v>14</v>
  </rv>
  <rv s="5">
    <fb>43018</fb>
    <v>13</v>
  </rv>
  <rv s="5">
    <fb>49.39</fb>
    <v>14</v>
  </rv>
  <rv s="5">
    <fb>49.36</fb>
    <v>14</v>
  </rv>
  <rv s="5">
    <fb>42.5</fb>
    <v>14</v>
  </rv>
  <rv s="5">
    <fb>451.89</fb>
    <v>14</v>
  </rv>
  <rv s="5">
    <fb>137.2115</fb>
    <v>14</v>
  </rv>
  <rv s="5">
    <fb>145.65</fb>
    <v>14</v>
  </rv>
  <rv s="5">
    <fb>37.2575</fb>
    <v>14</v>
  </rv>
  <rv s="5">
    <fb>4.7233000000000001</fb>
    <v>14</v>
  </rv>
  <rv s="5">
    <fb>91.62</fb>
    <v>14</v>
  </rv>
  <rv s="5">
    <fb>194.68</fb>
    <v>14</v>
  </rv>
  <rv s="5">
    <fb>2550.64</fb>
    <v>14</v>
  </rv>
  <rv s="5">
    <fb>43019</fb>
    <v>13</v>
  </rv>
  <rv s="5">
    <fb>50.282499999999999</fb>
    <v>14</v>
  </rv>
  <rv s="5">
    <fb>49.75</fb>
    <v>14</v>
  </rv>
  <rv s="5">
    <fb>458.97</fb>
    <v>14</v>
  </rv>
  <rv s="5">
    <fb>136.64660000000001</fb>
    <v>14</v>
  </rv>
  <rv s="5">
    <fb>146.85</fb>
    <v>14</v>
  </rv>
  <rv s="5">
    <fb>37.467500000000001</fb>
    <v>14</v>
  </rv>
  <rv s="5">
    <fb>67.739999999999995</fb>
    <v>14</v>
  </rv>
  <rv s="5">
    <fb>4.7735000000000003</fb>
    <v>14</v>
  </rv>
  <rv s="5">
    <fb>91.46</fb>
    <v>14</v>
  </rv>
  <rv s="5">
    <fb>195.26</fb>
    <v>14</v>
  </rv>
  <rv s="5">
    <fb>2555.2399999999998</fb>
    <v>14</v>
  </rv>
  <rv s="5">
    <fb>43020</fb>
    <v>13</v>
  </rv>
  <rv s="5">
    <fb>50.046500000000002</fb>
    <v>14</v>
  </rv>
  <rv s="5">
    <fb>42.25</fb>
    <v>14</v>
  </rv>
  <rv s="5">
    <fb>464.7</fb>
    <v>14</v>
  </rv>
  <rv s="5">
    <fb>137.0966</fb>
    <v>14</v>
  </rv>
  <rv s="5">
    <fb>146.74</fb>
    <v>14</v>
  </rv>
  <rv s="5">
    <fb>37.674999999999997</fb>
    <v>14</v>
  </rv>
  <rv s="5">
    <fb>67.290000000000006</fb>
    <v>14</v>
  </rv>
  <rv s="5">
    <fb>4.7758000000000003</fb>
    <v>14</v>
  </rv>
  <rv s="5">
    <fb>92.15</fb>
    <v>14</v>
  </rv>
  <rv s="5">
    <fb>192.92</fb>
    <v>14</v>
  </rv>
  <rv s="5">
    <fb>2550.9299999999998</fb>
    <v>14</v>
  </rv>
  <rv s="5">
    <fb>43021</fb>
    <v>13</v>
  </rv>
  <rv s="5">
    <fb>50.393500000000003</fb>
    <v>14</v>
  </rv>
  <rv s="5">
    <fb>50.146999999999998</fb>
    <v>14</v>
  </rv>
  <rv s="5">
    <fb>42.35</fb>
    <v>14</v>
  </rv>
  <rv s="5">
    <fb>462.82</fb>
    <v>14</v>
  </rv>
  <rv s="5">
    <fb>137.26900000000001</fb>
    <v>14</v>
  </rv>
  <rv s="5">
    <fb>147.34</fb>
    <v>14</v>
  </rv>
  <rv s="5">
    <fb>37.637500000000003</fb>
    <v>14</v>
  </rv>
  <rv s="5">
    <fb>67.17</fb>
    <v>14</v>
  </rv>
  <rv s="5">
    <fb>4.8647999999999998</fb>
    <v>14</v>
  </rv>
  <rv s="5">
    <fb>93.04</fb>
    <v>14</v>
  </rv>
  <rv s="5">
    <fb>192.52</fb>
    <v>14</v>
  </rv>
  <rv s="5">
    <fb>2553.17</fb>
    <v>14</v>
  </rv>
  <rv s="5">
    <fb>43024</fb>
    <v>13</v>
  </rv>
  <rv s="5">
    <fb>50.467500000000001</fb>
    <v>14</v>
  </rv>
  <rv s="5">
    <fb>50.317</fb>
    <v>14</v>
  </rv>
  <rv s="5">
    <fb>42.19</fb>
    <v>14</v>
  </rv>
  <rv s="5">
    <fb>461.35</fb>
    <v>14</v>
  </rv>
  <rv s="5">
    <fb>137.6328</fb>
    <v>14</v>
  </rv>
  <rv s="5">
    <fb>146.22</fb>
    <v>14</v>
  </rv>
  <rv s="5">
    <fb>37.880000000000003</fb>
    <v>14</v>
  </rv>
  <rv s="5">
    <fb>66.8</fb>
    <v>14</v>
  </rv>
  <rv s="5">
    <fb>4.9482999999999997</fb>
    <v>14</v>
  </rv>
  <rv s="5">
    <fb>93.14</fb>
    <v>14</v>
  </rv>
  <rv s="5">
    <fb>193.2</fb>
    <v>14</v>
  </rv>
  <rv s="5">
    <fb>2557.64</fb>
    <v>14</v>
  </rv>
  <rv s="5">
    <fb>43025</fb>
    <v>13</v>
  </rv>
  <rv s="5">
    <fb>50.55</fb>
    <v>14</v>
  </rv>
  <rv s="5">
    <fb>50.456499999999998</fb>
    <v>14</v>
  </rv>
  <rv s="5">
    <fb>41.98</fb>
    <v>14</v>
  </rv>
  <rv s="5">
    <fb>461.58</fb>
    <v>14</v>
  </rv>
  <rv s="5">
    <fb>137.32640000000001</fb>
    <v>14</v>
  </rv>
  <rv s="5">
    <fb>145.93</fb>
    <v>14</v>
  </rv>
  <rv s="5">
    <fb>38.167499999999997</fb>
    <v>14</v>
  </rv>
  <rv s="5">
    <fb>66.5</fb>
    <v>14</v>
  </rv>
  <rv s="5">
    <fb>4.9438000000000004</fb>
    <v>14</v>
  </rv>
  <rv s="5">
    <fb>92.8</fb>
    <v>14</v>
  </rv>
  <rv s="5">
    <fb>203.89</fb>
    <v>14</v>
  </rv>
  <rv s="5">
    <fb>2559.36</fb>
    <v>14</v>
  </rv>
  <rv s="5">
    <fb>43026</fb>
    <v>13</v>
  </rv>
  <rv s="5">
    <fb>50.637</fb>
    <v>14</v>
  </rv>
  <rv s="5">
    <fb>49.85</fb>
    <v>14</v>
  </rv>
  <rv s="5">
    <fb>42.11</fb>
    <v>14</v>
  </rv>
  <rv s="5">
    <fb>471.23</fb>
    <v>14</v>
  </rv>
  <rv s="5">
    <fb>137.33600000000001</fb>
    <v>14</v>
  </rv>
  <rv s="5">
    <fb>146.19</fb>
    <v>14</v>
  </rv>
  <rv s="5">
    <fb>38.134999999999998</fb>
    <v>14</v>
  </rv>
  <rv s="5">
    <fb>65.91</fb>
    <v>14</v>
  </rv>
  <rv s="5">
    <fb>4.9394999999999998</fb>
    <v>14</v>
  </rv>
  <rv s="5">
    <fb>92.77</fb>
    <v>14</v>
  </rv>
  <rv s="5">
    <fb>205.23</fb>
    <v>14</v>
  </rv>
  <rv s="5">
    <fb>2561.2600000000002</fb>
    <v>14</v>
  </rv>
  <rv s="5">
    <fb>43027</fb>
    <v>13</v>
  </rv>
  <rv s="5">
    <fb>50.091999999999999</fb>
    <v>14</v>
  </rv>
  <rv s="5">
    <fb>49.330500000000001</fb>
    <v>14</v>
  </rv>
  <rv s="5">
    <fb>41.94</fb>
    <v>14</v>
  </rv>
  <rv s="5">
    <fb>470.55</fb>
    <v>14</v>
  </rv>
  <rv s="5">
    <fb>144.97999999999999</fb>
    <v>14</v>
  </rv>
  <rv s="5">
    <fb>38.467500000000001</fb>
    <v>14</v>
  </rv>
  <rv s="5">
    <fb>64.5</fb>
    <v>14</v>
  </rv>
  <rv s="5">
    <fb>4.9450000000000003</fb>
    <v>14</v>
  </rv>
  <rv s="5">
    <fb>91.59</fb>
    <v>14</v>
  </rv>
  <rv s="5">
    <fb>203.25</fb>
    <v>14</v>
  </rv>
  <rv s="5">
    <fb>2562.1</fb>
    <v>14</v>
  </rv>
  <rv s="5">
    <fb>43028</fb>
    <v>13</v>
  </rv>
  <rv s="5">
    <fb>50.253500000000003</fb>
    <v>14</v>
  </rv>
  <rv s="5">
    <fb>49.145499999999998</fb>
    <v>14</v>
  </rv>
  <rv s="5">
    <fb>468.76</fb>
    <v>14</v>
  </rv>
  <rv s="5">
    <fb>139.16470000000001</fb>
    <v>14</v>
  </rv>
  <rv s="5">
    <fb>145.38</fb>
    <v>14</v>
  </rv>
  <rv s="5">
    <fb>38.54</fb>
    <v>14</v>
  </rv>
  <rv s="5">
    <fb>63.15</fb>
    <v>14</v>
  </rv>
  <rv s="5">
    <fb>4.9225000000000003</fb>
    <v>14</v>
  </rv>
  <rv s="5">
    <fb>88.25</fb>
    <v>14</v>
  </rv>
  <rv s="5">
    <fb>207.49</fb>
    <v>14</v>
  </rv>
  <rv s="5">
    <fb>2575.21</fb>
    <v>14</v>
  </rv>
  <rv s="5">
    <fb>43031</fb>
    <v>13</v>
  </rv>
  <rv s="5">
    <fb>49.277000000000001</fb>
    <v>14</v>
  </rv>
  <rv s="5">
    <fb>48.314999999999998</fb>
    <v>14</v>
  </rv>
  <rv s="5">
    <fb>42.91</fb>
    <v>14</v>
  </rv>
  <rv s="5">
    <fb>458.81</fb>
    <v>14</v>
  </rv>
  <rv s="5">
    <fb>139.71039999999999</fb>
    <v>14</v>
  </rv>
  <rv s="5">
    <fb>145.56</fb>
    <v>14</v>
  </rv>
  <rv s="5">
    <fb>38.594999999999999</fb>
    <v>14</v>
  </rv>
  <rv s="5">
    <fb>61.91</fb>
    <v>14</v>
  </rv>
  <rv s="5">
    <fb>4.9154999999999998</fb>
    <v>14</v>
  </rv>
  <rv s="5">
    <fb>87.3</fb>
    <v>14</v>
  </rv>
  <rv s="5">
    <fb>207.01</fb>
    <v>14</v>
  </rv>
  <rv s="5">
    <fb>2564.98</fb>
    <v>14</v>
  </rv>
  <rv s="5">
    <fb>43032</fb>
    <v>13</v>
  </rv>
  <rv s="5">
    <fb>49.424500000000002</fb>
    <v>14</v>
  </rv>
  <rv s="5">
    <fb>48.795000000000002</fb>
    <v>14</v>
  </rv>
  <rv s="5">
    <fb>462.97</fb>
    <v>14</v>
  </rv>
  <rv s="5">
    <fb>139.90190000000001</fb>
    <v>14</v>
  </rv>
  <rv s="5">
    <fb>145.80000000000001</fb>
    <v>14</v>
  </rv>
  <rv s="5">
    <fb>38.555</fb>
    <v>14</v>
  </rv>
  <rv s="5">
    <fb>62.44</fb>
    <v>14</v>
  </rv>
  <rv s="5">
    <fb>4.9669999999999996</fb>
    <v>14</v>
  </rv>
  <rv s="5">
    <fb>86.98</fb>
    <v>14</v>
  </rv>
  <rv s="5">
    <fb>208.15</fb>
    <v>14</v>
  </rv>
  <rv s="5">
    <fb>2569.13</fb>
    <v>14</v>
  </rv>
  <rv s="5">
    <fb>43033</fb>
    <v>13</v>
  </rv>
  <rv s="5">
    <fb>49.573</fb>
    <v>14</v>
  </rv>
  <rv s="5">
    <fb>48.645499999999998</fb>
    <v>14</v>
  </rv>
  <rv s="5">
    <fb>42.45</fb>
    <v>14</v>
  </rv>
  <rv s="5">
    <fb>457.93</fb>
    <v>14</v>
  </rv>
  <rv s="5">
    <fb>139.7775</fb>
    <v>14</v>
  </rv>
  <rv s="5">
    <fb>146.24</fb>
    <v>14</v>
  </rv>
  <rv s="5">
    <fb>38.465000000000003</fb>
    <v>14</v>
  </rv>
  <rv s="5">
    <fb>4.8414999999999999</fb>
    <v>14</v>
  </rv>
  <rv s="5">
    <fb>207.56</fb>
    <v>14</v>
  </rv>
  <rv s="5">
    <fb>2557.15</fb>
    <v>14</v>
  </rv>
  <rv s="5">
    <fb>43034</fb>
    <v>13</v>
  </rv>
  <rv s="5">
    <fb>49.570999999999998</fb>
    <v>14</v>
  </rv>
  <rv s="5">
    <fb>48.621499999999997</fb>
    <v>14</v>
  </rv>
  <rv s="5">
    <fb>42.73</fb>
    <v>14</v>
  </rv>
  <rv s="5">
    <fb>454.2</fb>
    <v>14</v>
  </rv>
  <rv s="5">
    <fb>139.63380000000001</fb>
    <v>14</v>
  </rv>
  <rv s="5">
    <fb>146.59</fb>
    <v>14</v>
  </rv>
  <rv s="5">
    <fb>38.347499999999997</fb>
    <v>14</v>
  </rv>
  <rv s="5">
    <fb>63.37</fb>
    <v>14</v>
  </rv>
  <rv s="5">
    <fb>4.8922999999999996</fb>
    <v>14</v>
  </rv>
  <rv s="5">
    <fb>87.5</fb>
    <v>14</v>
  </rv>
  <rv s="5">
    <fb>209.15</fb>
    <v>14</v>
  </rv>
  <rv s="5">
    <fb>2560.4</fb>
    <v>14</v>
  </rv>
  <rv s="5">
    <fb>43035</fb>
    <v>13</v>
  </rv>
  <rv s="5">
    <fb>51.683500000000002</fb>
    <v>14</v>
  </rv>
  <rv s="5">
    <fb>55.047499999999999</fb>
    <v>14</v>
  </rv>
  <rv s="5">
    <fb>42.77</fb>
    <v>14</v>
  </rv>
  <rv s="5">
    <fb>456.51</fb>
    <v>14</v>
  </rv>
  <rv s="5">
    <fb>139.9785</fb>
    <v>14</v>
  </rv>
  <rv s="5">
    <fb>148.52000000000001</fb>
    <v>14</v>
  </rv>
  <rv s="5">
    <fb>38.96</fb>
    <v>14</v>
  </rv>
  <rv s="5">
    <fb>63.55</fb>
    <v>14</v>
  </rv>
  <rv s="5">
    <fb>5.0465</fb>
    <v>14</v>
  </rv>
  <rv s="5">
    <fb>87.04</fb>
    <v>14</v>
  </rv>
  <rv s="5">
    <fb>212.6</fb>
    <v>14</v>
  </rv>
  <rv s="5">
    <fb>2581.0700000000002</fb>
    <v>14</v>
  </rv>
  <rv s="5">
    <fb>43038</fb>
    <v>13</v>
  </rv>
  <rv s="5">
    <fb>51.656500000000001</fb>
    <v>14</v>
  </rv>
  <rv s="5">
    <fb>55.542499999999997</fb>
    <v>14</v>
  </rv>
  <rv s="5">
    <fb>42.64</fb>
    <v>14</v>
  </rv>
  <rv s="5">
    <fb>459.73</fb>
    <v>14</v>
  </rv>
  <rv s="5">
    <fb>138.48490000000001</fb>
    <v>14</v>
  </rv>
  <rv s="5">
    <fb>148.94999999999999</fb>
    <v>14</v>
  </rv>
  <rv s="5">
    <fb>38.840000000000003</fb>
    <v>14</v>
  </rv>
  <rv s="5">
    <fb>64.11</fb>
    <v>14</v>
  </rv>
  <rv s="5">
    <fb>5.0960000000000001</fb>
    <v>14</v>
  </rv>
  <rv s="5">
    <fb>86.27</fb>
    <v>14</v>
  </rv>
  <rv s="5">
    <fb>209.39</fb>
    <v>14</v>
  </rv>
  <rv s="5">
    <fb>2572.83</fb>
    <v>14</v>
  </rv>
  <rv s="5">
    <fb>43039</fb>
    <v>13</v>
  </rv>
  <rv s="5">
    <fb>51.652000000000001</fb>
    <v>14</v>
  </rv>
  <rv s="5">
    <fb>55.264000000000003</fb>
    <v>14</v>
  </rv>
  <rv s="5">
    <fb>42.93</fb>
    <v>14</v>
  </rv>
  <rv s="5">
    <fb>463.5</fb>
    <v>14</v>
  </rv>
  <rv s="5">
    <fb>138.02529999999999</fb>
    <v>14</v>
  </rv>
  <rv s="5">
    <fb>148.77000000000001</fb>
    <v>14</v>
  </rv>
  <rv s="5">
    <fb>38.767499999999998</fb>
    <v>14</v>
  </rv>
  <rv s="5">
    <fb>64</fb>
    <v>14</v>
  </rv>
  <rv s="5">
    <fb>5.1703000000000001</fb>
    <v>14</v>
  </rv>
  <rv s="5">
    <fb>86.34</fb>
    <v>14</v>
  </rv>
  <rv s="5">
    <fb>210.22</fb>
    <v>14</v>
  </rv>
  <rv s="5">
    <fb>2575.2600000000002</fb>
    <v>14</v>
  </rv>
  <rv s="5">
    <fb>43040</fb>
    <v>13</v>
  </rv>
  <rv s="5">
    <fb>52.129800000000003</fb>
    <v>14</v>
  </rv>
  <rv s="5">
    <fb>55.183999999999997</fb>
    <v>14</v>
  </rv>
  <rv s="5">
    <fb>42.7</fb>
    <v>14</v>
  </rv>
  <rv s="5">
    <fb>467.06</fb>
    <v>14</v>
  </rv>
  <rv s="5">
    <fb>138.76259999999999</fb>
    <v>14</v>
  </rv>
  <rv s="5">
    <fb>148.88999999999999</fb>
    <v>14</v>
  </rv>
  <rv s="5">
    <fb>38.344999999999999</fb>
    <v>14</v>
  </rv>
  <rv s="5">
    <fb>64.28</fb>
    <v>14</v>
  </rv>
  <rv s="5">
    <fb>5.18</fb>
    <v>14</v>
  </rv>
  <rv s="5">
    <fb>86.89</fb>
    <v>14</v>
  </rv>
  <rv s="5">
    <fb>209.53</fb>
    <v>14</v>
  </rv>
  <rv s="5">
    <fb>2579.36</fb>
    <v>14</v>
  </rv>
  <rv s="5">
    <fb>43041</fb>
    <v>13</v>
  </rv>
  <rv s="5">
    <fb>52.148499999999999</fb>
    <v>14</v>
  </rv>
  <rv s="5">
    <fb>54.710999999999999</fb>
    <v>14</v>
  </rv>
  <rv s="5">
    <fb>41.8</fb>
    <v>14</v>
  </rv>
  <rv s="5">
    <fb>488.68</fb>
    <v>14</v>
  </rv>
  <rv s="5">
    <fb>139.22210000000001</fb>
    <v>14</v>
  </rv>
  <rv s="5">
    <fb>148.25</fb>
    <v>14</v>
  </rv>
  <rv s="5">
    <fb>37.465000000000003</fb>
    <v>14</v>
  </rv>
  <rv s="5">
    <fb>63.25</fb>
    <v>14</v>
  </rv>
  <rv s="5">
    <fb>5.1485000000000003</fb>
    <v>14</v>
  </rv>
  <rv s="5">
    <fb>86.51</fb>
    <v>14</v>
  </rv>
  <rv s="5">
    <fb>211.1</fb>
    <v>14</v>
  </rv>
  <rv s="5">
    <fb>2579.85</fb>
    <v>14</v>
  </rv>
  <rv s="5">
    <fb>43042</fb>
    <v>13</v>
  </rv>
  <rv s="5">
    <fb>52.499499999999998</fb>
    <v>14</v>
  </rv>
  <rv s="5">
    <fb>55.58</fb>
    <v>14</v>
  </rv>
  <rv s="5">
    <fb>41.75</fb>
    <v>14</v>
  </rv>
  <rv s="5">
    <fb>486.65</fb>
    <v>14</v>
  </rv>
  <rv s="5">
    <fb>138.80090000000001</fb>
    <v>14</v>
  </rv>
  <rv s="5">
    <fb>149.29</fb>
    <v>14</v>
  </rv>
  <rv s="5">
    <fb>38.162500000000001</fb>
    <v>14</v>
  </rv>
  <rv s="5">
    <fb>63.58</fb>
    <v>14</v>
  </rv>
  <rv s="5">
    <fb>5.2172999999999998</fb>
    <v>14</v>
  </rv>
  <rv s="5">
    <fb>86.58</fb>
    <v>14</v>
  </rv>
  <rv s="5">
    <fb>212.87</fb>
    <v>14</v>
  </rv>
  <rv s="5">
    <fb>2587.84</fb>
    <v>14</v>
  </rv>
  <rv s="5">
    <fb>43045</fb>
    <v>13</v>
  </rv>
  <rv s="5">
    <fb>52.134</fb>
    <v>14</v>
  </rv>
  <rv s="5">
    <fb>56.033000000000001</fb>
    <v>14</v>
  </rv>
  <rv s="5">
    <fb>41.45</fb>
    <v>14</v>
  </rv>
  <rv s="5">
    <fb>491.62</fb>
    <v>14</v>
  </rv>
  <rv s="5">
    <fb>139.4041</fb>
    <v>14</v>
  </rv>
  <rv s="5">
    <fb>150.09</fb>
    <v>14</v>
  </rv>
  <rv s="5">
    <fb>37.965000000000003</fb>
    <v>14</v>
  </rv>
  <rv s="5">
    <fb>67.08</fb>
    <v>14</v>
  </rv>
  <rv s="5">
    <fb>5.2408000000000001</fb>
    <v>14</v>
  </rv>
  <rv s="5">
    <fb>86.05</fb>
    <v>14</v>
  </rv>
  <rv s="5">
    <fb>212.12</fb>
    <v>14</v>
  </rv>
  <rv s="5">
    <fb>2591.13</fb>
    <v>14</v>
  </rv>
  <rv s="5">
    <fb>43046</fb>
    <v>13</v>
  </rv>
  <rv s="5">
    <fb>52.619500000000002</fb>
    <v>14</v>
  </rv>
  <rv s="5">
    <fb>56.158499999999997</fb>
    <v>14</v>
  </rv>
  <rv s="5">
    <fb>41.05</fb>
    <v>14</v>
  </rv>
  <rv s="5">
    <fb>488.06</fb>
    <v>14</v>
  </rv>
  <rv s="5">
    <fb>140.7158</fb>
    <v>14</v>
  </rv>
  <rv s="5">
    <fb>149.97</fb>
    <v>14</v>
  </rv>
  <rv s="5">
    <fb>38.872500000000002</fb>
    <v>14</v>
  </rv>
  <rv s="5">
    <fb>5.3007999999999997</fb>
    <v>14</v>
  </rv>
  <rv s="5">
    <fb>212.7</fb>
    <v>14</v>
  </rv>
  <rv s="5">
    <fb>2590.64</fb>
    <v>14</v>
  </rv>
  <rv s="5">
    <fb>43047</fb>
    <v>13</v>
  </rv>
  <rv s="5">
    <fb>52.914499999999997</fb>
    <v>14</v>
  </rv>
  <rv s="5">
    <fb>56.643999999999998</fb>
    <v>14</v>
  </rv>
  <rv s="5">
    <fb>40.74</fb>
    <v>14</v>
  </rv>
  <rv s="5">
    <fb>492.98</fb>
    <v>14</v>
  </rv>
  <rv s="5">
    <fb>140.6104</fb>
    <v>14</v>
  </rv>
  <rv s="5">
    <fb>38.729999999999997</fb>
    <v>14</v>
  </rv>
  <rv s="5">
    <fb>67.06</fb>
    <v>14</v>
  </rv>
  <rv s="5">
    <fb>5.2290000000000001</fb>
    <v>14</v>
  </rv>
  <rv s="5">
    <fb>87.58</fb>
    <v>14</v>
  </rv>
  <rv s="5">
    <fb>210.77</fb>
    <v>14</v>
  </rv>
  <rv s="5">
    <fb>2594.38</fb>
    <v>14</v>
  </rv>
  <rv s="5">
    <fb>43048</fb>
    <v>13</v>
  </rv>
  <rv s="5">
    <fb>52.386000000000003</fb>
    <v>14</v>
  </rv>
  <rv s="5">
    <fb>56.456499999999998</fb>
    <v>14</v>
  </rv>
  <rv s="5">
    <fb>484.86</fb>
    <v>14</v>
  </rv>
  <rv s="5">
    <fb>139.2509</fb>
    <v>14</v>
  </rv>
  <rv s="5">
    <fb>38.8125</fb>
    <v>14</v>
  </rv>
  <rv s="5">
    <fb>66.89</fb>
    <v>14</v>
  </rv>
  <rv s="5">
    <fb>5.133</fb>
    <v>14</v>
  </rv>
  <rv s="5">
    <fb>87.78</fb>
    <v>14</v>
  </rv>
  <rv s="5">
    <fb>211.56</fb>
    <v>14</v>
  </rv>
  <rv s="5">
    <fb>2584.62</fb>
    <v>14</v>
  </rv>
  <rv s="5">
    <fb>43049</fb>
    <v>13</v>
  </rv>
  <rv s="5">
    <fb>52.207500000000003</fb>
    <v>14</v>
  </rv>
  <rv s="5">
    <fb>56.267499999999998</fb>
    <v>14</v>
  </rv>
  <rv s="5">
    <fb>482.21</fb>
    <v>14</v>
  </rv>
  <rv s="5">
    <fb>139.54769999999999</fb>
    <v>14</v>
  </rv>
  <rv s="5">
    <fb>149.54</fb>
    <v>14</v>
  </rv>
  <rv s="5">
    <fb>38.79</fb>
    <v>14</v>
  </rv>
  <rv s="5">
    <fb>5.4035000000000002</fb>
    <v>14</v>
  </rv>
  <rv s="5">
    <fb>211.07</fb>
    <v>14</v>
  </rv>
  <rv s="5">
    <fb>2582.3000000000002</fb>
    <v>14</v>
  </rv>
  <rv s="5">
    <fb>43052</fb>
    <v>13</v>
  </rv>
  <rv s="5">
    <fb>52.06</fb>
    <v>14</v>
  </rv>
  <rv s="5">
    <fb>56.458500000000001</fb>
    <v>14</v>
  </rv>
  <rv s="5">
    <fb>40.31</fb>
    <v>14</v>
  </rv>
  <rv s="5">
    <fb>484.12</fb>
    <v>14</v>
  </rv>
  <rv s="5">
    <fb>140.47640000000001</fb>
    <v>14</v>
  </rv>
  <rv s="5">
    <fb>149.69</fb>
    <v>14</v>
  </rv>
  <rv s="5">
    <fb>39.195</fb>
    <v>14</v>
  </rv>
  <rv s="5">
    <fb>65.040000000000006</fb>
    <v>14</v>
  </rv>
  <rv s="5">
    <fb>5.3158000000000003</fb>
    <v>14</v>
  </rv>
  <rv s="5">
    <fb>89</fb>
    <v>14</v>
  </rv>
  <rv s="5">
    <fb>212.66</fb>
    <v>14</v>
  </rv>
  <rv s="5">
    <fb>2584.84</fb>
    <v>14</v>
  </rv>
  <rv s="5">
    <fb>43053</fb>
    <v>13</v>
  </rv>
  <rv s="5">
    <fb>52.082000000000001</fb>
    <v>14</v>
  </rv>
  <rv s="5">
    <fb>56.841999999999999</fb>
    <v>14</v>
  </rv>
  <rv s="5">
    <fb>481.05</fb>
    <v>14</v>
  </rv>
  <rv s="5">
    <fb>141.05090000000001</fb>
    <v>14</v>
  </rv>
  <rv s="5">
    <fb>149.94999999999999</fb>
    <v>14</v>
  </rv>
  <rv s="5">
    <fb>39.6</fb>
    <v>14</v>
  </rv>
  <rv s="5">
    <fb>62.78</fb>
    <v>14</v>
  </rv>
  <rv s="5">
    <fb>5.3544999999999998</fb>
    <v>14</v>
  </rv>
  <rv s="5">
    <fb>88.87</fb>
    <v>14</v>
  </rv>
  <rv s="5">
    <fb>211.71</fb>
    <v>14</v>
  </rv>
  <rv s="5">
    <fb>2578.87</fb>
    <v>14</v>
  </rv>
  <rv s="5">
    <fb>43054</fb>
    <v>13</v>
  </rv>
  <rv s="5">
    <fb>51.820500000000003</fb>
    <v>14</v>
  </rv>
  <rv s="5">
    <fb>56.334499999999998</fb>
    <v>14</v>
  </rv>
  <rv s="5">
    <fb>39.380000000000003</fb>
    <v>14</v>
  </rv>
  <rv s="5">
    <fb>140.1413</fb>
    <v>14</v>
  </rv>
  <rv s="5">
    <fb>148.33000000000001</fb>
    <v>14</v>
  </rv>
  <rv s="5">
    <fb>39.340000000000003</fb>
    <v>14</v>
  </rv>
  <rv s="5">
    <fb>61.55</fb>
    <v>14</v>
  </rv>
  <rv s="5">
    <fb>5.2495000000000003</fb>
    <v>14</v>
  </rv>
  <rv s="5">
    <fb>88.23</fb>
    <v>14</v>
  </rv>
  <rv s="5">
    <fb>209.86</fb>
    <v>14</v>
  </rv>
  <rv s="5">
    <fb>2564.62</fb>
    <v>14</v>
  </rv>
  <rv s="5">
    <fb>43055</fb>
    <v>13</v>
  </rv>
  <rv s="5">
    <fb>52.423499999999997</fb>
    <v>14</v>
  </rv>
  <rv s="5">
    <fb>56.8645</fb>
    <v>14</v>
  </rv>
  <rv s="5">
    <fb>40.520000000000003</fb>
    <v>14</v>
  </rv>
  <rv s="5">
    <fb>475.09</fb>
    <v>14</v>
  </rv>
  <rv s="5">
    <fb>140.62960000000001</fb>
    <v>14</v>
  </rv>
  <rv s="5">
    <fb>150.33000000000001</fb>
    <v>14</v>
  </rv>
  <rv s="5">
    <fb>39.322499999999998</fb>
    <v>14</v>
  </rv>
  <rv s="5">
    <fb>61.31</fb>
    <v>14</v>
  </rv>
  <rv s="5">
    <fb>5.2903000000000002</fb>
    <v>14</v>
  </rv>
  <rv s="5">
    <fb>89.25</fb>
    <v>14</v>
  </rv>
  <rv s="5">
    <fb>211.13</fb>
    <v>14</v>
  </rv>
  <rv s="5">
    <fb>2585.64</fb>
    <v>14</v>
  </rv>
  <rv s="5">
    <fb>43056</fb>
    <v>13</v>
  </rv>
  <rv s="5">
    <fb>51.794499999999999</fb>
    <v>14</v>
  </rv>
  <rv s="5">
    <fb>56.494</fb>
    <v>14</v>
  </rv>
  <rv s="5">
    <fb>472.8</fb>
    <v>14</v>
  </rv>
  <rv s="5">
    <fb>140.25620000000001</fb>
    <v>14</v>
  </rv>
  <rv s="5">
    <fb>149.02000000000001</fb>
    <v>14</v>
  </rv>
  <rv s="5">
    <fb>39.01</fb>
    <v>14</v>
  </rv>
  <rv s="5">
    <fb>61.96</fb>
    <v>14</v>
  </rv>
  <rv s="5">
    <fb>5.2839999999999998</fb>
    <v>14</v>
  </rv>
  <rv s="5">
    <fb>88.43</fb>
    <v>14</v>
  </rv>
  <rv s="5">
    <fb>209.9</fb>
    <v>14</v>
  </rv>
  <rv s="5">
    <fb>2578.85</fb>
    <v>14</v>
  </rv>
  <rv s="5">
    <fb>43059</fb>
    <v>13</v>
  </rv>
  <rv s="5">
    <fb>51.732999999999997</fb>
    <v>14</v>
  </rv>
  <rv s="5">
    <fb>56.3155</fb>
    <v>14</v>
  </rv>
  <rv s="5">
    <fb>39.74</fb>
    <v>14</v>
  </rv>
  <rv s="5">
    <fb>471.89</fb>
    <v>14</v>
  </rv>
  <rv s="5">
    <fb>141.64449999999999</fb>
    <v>14</v>
  </rv>
  <rv s="5">
    <fb>149.56</fb>
    <v>14</v>
  </rv>
  <rv s="5">
    <fb>38.979999999999997</fb>
    <v>14</v>
  </rv>
  <rv s="5">
    <fb>61.72</fb>
    <v>14</v>
  </rv>
  <rv s="5">
    <fb>5.3520000000000003</fb>
    <v>14</v>
  </rv>
  <rv s="5">
    <fb>88.27</fb>
    <v>14</v>
  </rv>
  <rv s="5">
    <fb>210.25</fb>
    <v>14</v>
  </rv>
  <rv s="5">
    <fb>2582.14</fb>
    <v>14</v>
  </rv>
  <rv s="5">
    <fb>43060</fb>
    <v>13</v>
  </rv>
  <rv s="5">
    <fb>52.515000000000001</fb>
    <v>14</v>
  </rv>
  <rv s="5">
    <fb>56.974499999999999</fb>
    <v>14</v>
  </rv>
  <rv s="5">
    <fb>474.26</fb>
    <v>14</v>
  </rv>
  <rv s="5">
    <fb>142.99449999999999</fb>
    <v>14</v>
  </rv>
  <rv s="5">
    <fb>152.51</fb>
    <v>14</v>
  </rv>
  <rv s="5">
    <fb>39.052500000000002</fb>
    <v>14</v>
  </rv>
  <rv s="5">
    <fb>61.88</fb>
    <v>14</v>
  </rv>
  <rv s="5">
    <fb>5.4013</fb>
    <v>14</v>
  </rv>
  <rv s="5">
    <fb>88.72</fb>
    <v>14</v>
  </rv>
  <rv s="5">
    <fb>2599.0300000000002</fb>
    <v>14</v>
  </rv>
  <rv s="5">
    <fb>43061</fb>
    <v>13</v>
  </rv>
  <rv s="5">
    <fb>52.595999999999997</fb>
    <v>14</v>
  </rv>
  <rv s="5">
    <fb>57.808</fb>
    <v>14</v>
  </rv>
  <rv s="5">
    <fb>39.520000000000003</fb>
    <v>14</v>
  </rv>
  <rv s="5">
    <fb>472.37</fb>
    <v>14</v>
  </rv>
  <rv s="5">
    <fb>142.6498</fb>
    <v>14</v>
  </rv>
  <rv s="5">
    <fb>151.25</fb>
    <v>14</v>
  </rv>
  <rv s="5">
    <fb>38.795000000000002</fb>
    <v>14</v>
  </rv>
  <rv s="5">
    <fb>62.14</fb>
    <v>14</v>
  </rv>
  <rv s="5">
    <fb>5.3733000000000004</fb>
    <v>14</v>
  </rv>
  <rv s="5">
    <fb>211.22</fb>
    <v>14</v>
  </rv>
  <rv s="5">
    <fb>2597.08</fb>
    <v>14</v>
  </rv>
  <rv s="5">
    <fb>43063</fb>
    <v>13</v>
  </rv>
  <rv s="5">
    <fb>52.826000000000001</fb>
    <v>14</v>
  </rv>
  <rv s="5">
    <fb>59.3</fb>
    <v>14</v>
  </rv>
  <rv s="5">
    <fb>39.94</fb>
    <v>14</v>
  </rv>
  <rv s="5">
    <fb>474.07</fb>
    <v>14</v>
  </rv>
  <rv s="5">
    <fb>143.29130000000001</fb>
    <v>14</v>
  </rv>
  <rv s="5">
    <fb>152.74</fb>
    <v>14</v>
  </rv>
  <rv s="5">
    <fb>39.0075</fb>
    <v>14</v>
  </rv>
  <rv s="5">
    <fb>61.93</fb>
    <v>14</v>
  </rv>
  <rv s="5">
    <fb>5.4240000000000004</fb>
    <v>14</v>
  </rv>
  <rv s="5">
    <fb>88.45</fb>
    <v>14</v>
  </rv>
  <rv s="5">
    <fb>212.51</fb>
    <v>14</v>
  </rv>
  <rv s="5">
    <fb>2602.42</fb>
    <v>14</v>
  </rv>
  <rv s="5">
    <fb>43066</fb>
    <v>13</v>
  </rv>
  <rv s="5">
    <fb>53.600499999999997</fb>
    <v>14</v>
  </rv>
  <rv s="5">
    <fb>59.791499999999999</fb>
    <v>14</v>
  </rv>
  <rv s="5">
    <fb>478.92</fb>
    <v>14</v>
  </rv>
  <rv s="5">
    <fb>144.02850000000001</fb>
    <v>14</v>
  </rv>
  <rv s="5">
    <fb>152.97</fb>
    <v>14</v>
  </rv>
  <rv s="5">
    <fb>39.25</fb>
    <v>14</v>
  </rv>
  <rv s="5">
    <fb>61.36</fb>
    <v>14</v>
  </rv>
  <rv s="5">
    <fb>5.3535000000000004</fb>
    <v>14</v>
  </rv>
  <rv s="5">
    <fb>88.96</fb>
    <v>14</v>
  </rv>
  <rv s="5">
    <fb>212.4</fb>
    <v>14</v>
  </rv>
  <rv s="5">
    <fb>2601.42</fb>
    <v>14</v>
  </rv>
  <rv s="5">
    <fb>43067</fb>
    <v>13</v>
  </rv>
  <rv s="5">
    <fb>53.164499999999997</fb>
    <v>14</v>
  </rv>
  <rv s="5">
    <fb>59.68</fb>
    <v>14</v>
  </rv>
  <rv s="5">
    <fb>39.58</fb>
    <v>14</v>
  </rv>
  <rv s="5">
    <fb>477.95</fb>
    <v>14</v>
  </rv>
  <rv s="5">
    <fb>146.2594</fb>
    <v>14</v>
  </rv>
  <rv s="5">
    <fb>154.19</fb>
    <v>14</v>
  </rv>
  <rv s="5">
    <fb>39.447499999999998</fb>
    <v>14</v>
  </rv>
  <rv s="5">
    <fb>62.29</fb>
    <v>14</v>
  </rv>
  <rv s="5">
    <fb>5.2678000000000003</fb>
    <v>14</v>
  </rv>
  <rv s="5">
    <fb>216.14</fb>
    <v>14</v>
  </rv>
  <rv s="5">
    <fb>2627.04</fb>
    <v>14</v>
  </rv>
  <rv s="5">
    <fb>43068</fb>
    <v>13</v>
  </rv>
  <rv s="5">
    <fb>51.869</fb>
    <v>14</v>
  </rv>
  <rv s="5">
    <fb>58.063499999999998</fb>
    <v>14</v>
  </rv>
  <rv s="5">
    <fb>39.56</fb>
    <v>14</v>
  </rv>
  <rv s="5">
    <fb>468.32</fb>
    <v>14</v>
  </rv>
  <rv s="5">
    <fb>146.71889999999999</fb>
    <v>14</v>
  </rv>
  <rv s="5">
    <fb>148.35</fb>
    <v>14</v>
  </rv>
  <rv s="5">
    <fb>39.442500000000003</fb>
    <v>14</v>
  </rv>
  <rv s="5">
    <fb>62.15</fb>
    <v>14</v>
  </rv>
  <rv s="5">
    <fb>4.9104999999999999</fb>
    <v>14</v>
  </rv>
  <rv s="5">
    <fb>222.88</fb>
    <v>14</v>
  </rv>
  <rv s="5">
    <fb>2626.07</fb>
    <v>14</v>
  </rv>
  <rv s="5">
    <fb>43069</fb>
    <v>13</v>
  </rv>
  <rv s="5">
    <fb>51.808500000000002</fb>
    <v>14</v>
  </rv>
  <rv s="5">
    <fb>58.837499999999999</fb>
    <v>14</v>
  </rv>
  <rv s="5">
    <fb>39.909999999999997</fb>
    <v>14</v>
  </rv>
  <rv s="5">
    <fb>464.49</fb>
    <v>14</v>
  </rv>
  <rv s="5">
    <fb>149.32320000000001</fb>
    <v>14</v>
  </rv>
  <rv s="5">
    <fb>150.47</fb>
    <v>14</v>
  </rv>
  <rv s="5">
    <fb>62.85</fb>
    <v>14</v>
  </rv>
  <rv s="5">
    <fb>5.0178000000000003</fb>
    <v>14</v>
  </rv>
  <rv s="5">
    <fb>89.99</fb>
    <v>14</v>
  </rv>
  <rv s="5">
    <fb>228.17</fb>
    <v>14</v>
  </rv>
  <rv s="5">
    <fb>2647.58</fb>
    <v>14</v>
  </rv>
  <rv s="5">
    <fb>43070</fb>
    <v>13</v>
  </rv>
  <rv s="5">
    <fb>51.253500000000003</fb>
    <v>14</v>
  </rv>
  <rv s="5">
    <fb>58.1175</fb>
    <v>14</v>
  </rv>
  <rv s="5">
    <fb>469.16</fb>
    <v>14</v>
  </rv>
  <rv s="5">
    <fb>147.8296</fb>
    <v>14</v>
  </rv>
  <rv s="5">
    <fb>39.3675</fb>
    <v>14</v>
  </rv>
  <rv s="5">
    <fb>64.73</fb>
    <v>14</v>
  </rv>
  <rv s="5">
    <fb>4.9420000000000002</fb>
    <v>14</v>
  </rv>
  <rv s="5">
    <fb>90.36</fb>
    <v>14</v>
  </rv>
  <rv s="5">
    <fb>226.78</fb>
    <v>14</v>
  </rv>
  <rv s="5">
    <fb>2642.22</fb>
    <v>14</v>
  </rv>
  <rv s="5">
    <fb>43073</fb>
    <v>13</v>
  </rv>
  <rv s="5">
    <fb>50.593499999999999</fb>
    <v>14</v>
  </rv>
  <rv s="5">
    <fb>56.697499999999998</fb>
    <v>14</v>
  </rv>
  <rv s="5">
    <fb>40.65</fb>
    <v>14</v>
  </rv>
  <rv s="5">
    <fb>442.28</fb>
    <v>14</v>
  </rv>
  <rv s="5">
    <fb>147.22640000000001</fb>
    <v>14</v>
  </rv>
  <rv s="5">
    <fb>143.43</fb>
    <v>14</v>
  </rv>
  <rv s="5">
    <fb>38.9925</fb>
    <v>14</v>
  </rv>
  <rv s="5">
    <fb>64.599999999999994</fb>
    <v>14</v>
  </rv>
  <rv s="5">
    <fb>4.6665000000000001</fb>
    <v>14</v>
  </rv>
  <rv s="5">
    <fb>91.41</fb>
    <v>14</v>
  </rv>
  <rv s="5">
    <fb>221.42</fb>
    <v>14</v>
  </rv>
  <rv s="5">
    <fb>2639.44</fb>
    <v>14</v>
  </rv>
  <rv s="5">
    <fb>43074</fb>
    <v>13</v>
  </rv>
  <rv s="5">
    <fb>50.98</fb>
    <v>14</v>
  </rv>
  <rv s="5">
    <fb>57.078499999999998</fb>
    <v>14</v>
  </rv>
  <rv s="5">
    <fb>40.79</fb>
    <v>14</v>
  </rv>
  <rv s="5">
    <fb>445.59</fb>
    <v>14</v>
  </rv>
  <rv s="5">
    <fb>146.54660000000001</fb>
    <v>14</v>
  </rv>
  <rv s="5">
    <fb>145.13</fb>
    <v>14</v>
  </rv>
  <rv s="5">
    <fb>38.909999999999997</fb>
    <v>14</v>
  </rv>
  <rv s="5">
    <fb>4.6935000000000002</fb>
    <v>14</v>
  </rv>
  <rv s="5">
    <fb>220.09</fb>
    <v>14</v>
  </rv>
  <rv s="5">
    <fb>2629.57</fb>
    <v>14</v>
  </rv>
  <rv s="5">
    <fb>43075</fb>
    <v>13</v>
  </rv>
  <rv s="5">
    <fb>51.636000000000003</fb>
    <v>14</v>
  </rv>
  <rv s="5">
    <fb>57.6175</fb>
    <v>14</v>
  </rv>
  <rv s="5">
    <fb>450.24</fb>
    <v>14</v>
  </rv>
  <rv s="5">
    <fb>146.48920000000001</fb>
    <v>14</v>
  </rv>
  <rv s="5">
    <fb>147.41999999999999</fb>
    <v>14</v>
  </rv>
  <rv s="5">
    <fb>39.445</fb>
    <v>14</v>
  </rv>
  <rv s="5">
    <fb>62.07</fb>
    <v>14</v>
  </rv>
  <rv s="5">
    <fb>4.7314999999999996</fb>
    <v>14</v>
  </rv>
  <rv s="5">
    <fb>91.25</fb>
    <v>14</v>
  </rv>
  <rv s="5">
    <fb>219.94</fb>
    <v>14</v>
  </rv>
  <rv s="5">
    <fb>2629.27</fb>
    <v>14</v>
  </rv>
  <rv s="5">
    <fb>43076</fb>
    <v>13</v>
  </rv>
  <rv s="5">
    <fb>52.228499999999997</fb>
    <v>14</v>
  </rv>
  <rv s="5">
    <fb>57.9895</fb>
    <v>14</v>
  </rv>
  <rv s="5">
    <fb>455.77</fb>
    <v>14</v>
  </rv>
  <rv s="5">
    <fb>146.75720000000001</fb>
    <v>14</v>
  </rv>
  <rv s="5">
    <fb>149.44999999999999</fb>
    <v>14</v>
  </rv>
  <rv s="5">
    <fb>39.545000000000002</fb>
    <v>14</v>
  </rv>
  <rv s="5">
    <fb>4.7998000000000003</fb>
    <v>14</v>
  </rv>
  <rv s="5">
    <fb>90.1</fb>
    <v>14</v>
  </rv>
  <rv s="5">
    <fb>220.15</fb>
    <v>14</v>
  </rv>
  <rv s="5">
    <fb>2636.98</fb>
    <v>14</v>
  </rv>
  <rv s="5">
    <fb>43077</fb>
    <v>13</v>
  </rv>
  <rv s="5">
    <fb>52.469000000000001</fb>
    <v>14</v>
  </rv>
  <rv s="5">
    <fb>58.1</fb>
    <v>14</v>
  </rv>
  <rv s="5">
    <fb>452.39</fb>
    <v>14</v>
  </rv>
  <rv s="5">
    <fb>147.12110000000001</fb>
    <v>14</v>
  </rv>
  <rv s="5">
    <fb>149.88999999999999</fb>
    <v>14</v>
  </rv>
  <rv s="5">
    <fb>39.7575</fb>
    <v>14</v>
  </rv>
  <rv s="5">
    <fb>63.54</fb>
    <v>14</v>
  </rv>
  <rv s="5">
    <fb>4.7873000000000001</fb>
    <v>14</v>
  </rv>
  <rv s="5">
    <fb>223.91</fb>
    <v>14</v>
  </rv>
  <rv s="5">
    <fb>2651.5</fb>
    <v>14</v>
  </rv>
  <rv s="5">
    <fb>43080</fb>
    <v>13</v>
  </rv>
  <rv s="5">
    <fb>52.598500000000001</fb>
    <v>14</v>
  </rv>
  <rv s="5">
    <fb>58.445999999999998</fb>
    <v>14</v>
  </rv>
  <rv s="5">
    <fb>449.58</fb>
    <v>14</v>
  </rv>
  <rv s="5">
    <fb>146.6902</fb>
    <v>14</v>
  </rv>
  <rv s="5">
    <fb>150.88</fb>
    <v>14</v>
  </rv>
  <rv s="5">
    <fb>39.8125</fb>
    <v>14</v>
  </rv>
  <rv s="5">
    <fb>64.56</fb>
    <v>14</v>
  </rv>
  <rv s="5">
    <fb>4.8665000000000003</fb>
    <v>14</v>
  </rv>
  <rv s="5">
    <fb>90.23</fb>
    <v>14</v>
  </rv>
  <rv s="5">
    <fb>222.77</fb>
    <v>14</v>
  </rv>
  <rv s="5">
    <fb>2659.99</fb>
    <v>14</v>
  </rv>
  <rv s="5">
    <fb>43081</fb>
    <v>13</v>
  </rv>
  <rv s="5">
    <fb>52.438499999999998</fb>
    <v>14</v>
  </rv>
  <rv s="5">
    <fb>58.253999999999998</fb>
    <v>14</v>
  </rv>
  <rv s="5">
    <fb>38.89</fb>
    <v>14</v>
  </rv>
  <rv s="5">
    <fb>450.21</fb>
    <v>14</v>
  </rv>
  <rv s="5">
    <fb>147.1977</fb>
    <v>14</v>
  </rv>
  <rv s="5">
    <fb>152.5</fb>
    <v>14</v>
  </rv>
  <rv s="5">
    <fb>39.267499999999998</fb>
    <v>14</v>
  </rv>
  <rv s="5">
    <fb>64.180000000000007</fb>
    <v>14</v>
  </rv>
  <rv s="5">
    <fb>4.7709999999999999</fb>
    <v>14</v>
  </rv>
  <rv s="5">
    <fb>222.49</fb>
    <v>14</v>
  </rv>
  <rv s="5">
    <fb>2664.11</fb>
    <v>14</v>
  </rv>
  <rv s="5">
    <fb>43082</fb>
    <v>13</v>
  </rv>
  <rv s="5">
    <fb>52.569499999999998</fb>
    <v>14</v>
  </rv>
  <rv s="5">
    <fb>58.206499999999998</fb>
    <v>14</v>
  </rv>
  <rv s="5">
    <fb>38.64</fb>
    <v>14</v>
  </rv>
  <rv s="5">
    <fb>451.28</fb>
    <v>14</v>
  </rv>
  <rv s="5">
    <fb>149.16999999999999</fb>
    <v>14</v>
  </rv>
  <rv s="5">
    <fb>151.69</fb>
    <v>14</v>
  </rv>
  <rv s="5">
    <fb>39.1175</fb>
    <v>14</v>
  </rv>
  <rv s="5">
    <fb>63.3</fb>
    <v>14</v>
  </rv>
  <rv s="5">
    <fb>4.6544999999999996</fb>
    <v>14</v>
  </rv>
  <rv s="5">
    <fb>90.88</fb>
    <v>14</v>
  </rv>
  <rv s="5">
    <fb>224.35</fb>
    <v>14</v>
  </rv>
  <rv s="5">
    <fb>2662.85</fb>
    <v>14</v>
  </rv>
  <rv s="5">
    <fb>43083</fb>
    <v>13</v>
  </rv>
  <rv s="5">
    <fb>52.8735</fb>
    <v>14</v>
  </rv>
  <rv s="5">
    <fb>58.713000000000001</fb>
    <v>14</v>
  </rv>
  <rv s="5">
    <fb>38.29</fb>
    <v>14</v>
  </rv>
  <rv s="5">
    <fb>460.35</fb>
    <v>14</v>
  </rv>
  <rv s="5">
    <fb>146.70939999999999</fb>
    <v>14</v>
  </rv>
  <rv s="5">
    <fb>151.93</fb>
    <v>14</v>
  </rv>
  <rv s="5">
    <fb>39.494999999999997</fb>
    <v>14</v>
  </rv>
  <rv s="5">
    <fb>62.37</fb>
    <v>14</v>
  </rv>
  <rv s="5">
    <fb>4.6618000000000004</fb>
    <v>14</v>
  </rv>
  <rv s="5">
    <fb>221.25</fb>
    <v>14</v>
  </rv>
  <rv s="5">
    <fb>2652.01</fb>
    <v>14</v>
  </rv>
  <rv s="5">
    <fb>43084</fb>
    <v>13</v>
  </rv>
  <rv s="5">
    <fb>53.6</fb>
    <v>14</v>
  </rv>
  <rv s="5">
    <fb>58.957000000000001</fb>
    <v>14</v>
  </rv>
  <rv s="5">
    <fb>39.4</fb>
    <v>14</v>
  </rv>
  <rv s="5">
    <fb>457.85</fb>
    <v>14</v>
  </rv>
  <rv s="5">
    <fb>147.68600000000001</fb>
    <v>14</v>
  </rv>
  <rv s="5">
    <fb>153.4</fb>
    <v>14</v>
  </rv>
  <rv s="5">
    <fb>39.607500000000002</fb>
    <v>14</v>
  </rv>
  <rv s="5">
    <fb>62.09</fb>
    <v>14</v>
  </rv>
  <rv s="5">
    <fb>4.7889999999999997</fb>
    <v>14</v>
  </rv>
  <rv s="5">
    <fb>91.89</fb>
    <v>14</v>
  </rv>
  <rv s="5">
    <fb>221.82</fb>
    <v>14</v>
  </rv>
  <rv s="5">
    <fb>2675.81</fb>
    <v>14</v>
  </rv>
  <rv s="5">
    <fb>43087</fb>
    <v>13</v>
  </rv>
  <rv s="5">
    <fb>54.2545</fb>
    <v>14</v>
  </rv>
  <rv s="5">
    <fb>59.529000000000003</fb>
    <v>14</v>
  </rv>
  <rv s="5">
    <fb>38.53</fb>
    <v>14</v>
  </rv>
  <rv s="5">
    <fb>455.82</fb>
    <v>14</v>
  </rv>
  <rv s="5">
    <fb>148.01150000000001</fb>
    <v>14</v>
  </rv>
  <rv s="5">
    <fb>153.12</fb>
    <v>14</v>
  </rv>
  <rv s="5">
    <fb>39.087499999999999</fb>
    <v>14</v>
  </rv>
  <rv s="5">
    <fb>63.6</fb>
    <v>14</v>
  </rv>
  <rv s="5">
    <fb>4.9474999999999998</fb>
    <v>14</v>
  </rv>
  <rv s="5">
    <fb>91.88</fb>
    <v>14</v>
  </rv>
  <rv s="5">
    <fb>222.67</fb>
    <v>14</v>
  </rv>
  <rv s="5">
    <fb>2690.16</fb>
    <v>14</v>
  </rv>
  <rv s="5">
    <fb>43088</fb>
    <v>13</v>
  </rv>
  <rv s="5">
    <fb>53.988999999999997</fb>
    <v>14</v>
  </rv>
  <rv s="5">
    <fb>59.369</fb>
    <v>14</v>
  </rv>
  <rv s="5">
    <fb>38.26</fb>
    <v>14</v>
  </rv>
  <rv s="5">
    <fb>448.52</fb>
    <v>14</v>
  </rv>
  <rv s="5">
    <fb>147.55189999999999</fb>
    <v>14</v>
  </rv>
  <rv s="5">
    <fb>151.68</fb>
    <v>14</v>
  </rv>
  <rv s="5">
    <fb>64.39</fb>
    <v>14</v>
  </rv>
  <rv s="5">
    <fb>4.9028</fb>
    <v>14</v>
  </rv>
  <rv s="5">
    <fb>91.68</fb>
    <v>14</v>
  </rv>
  <rv s="5">
    <fb>222.04</fb>
    <v>14</v>
  </rv>
  <rv s="5">
    <fb>2681.47</fb>
    <v>14</v>
  </rv>
  <rv s="5">
    <fb>43089</fb>
    <v>13</v>
  </rv>
  <rv s="5">
    <fb>53.677999999999997</fb>
    <v>14</v>
  </rv>
  <rv s="5">
    <fb>58.881</fb>
    <v>14</v>
  </rv>
  <rv s="5">
    <fb>447.2</fb>
    <v>14</v>
  </rv>
  <rv s="5">
    <fb>148.1455</fb>
    <v>14</v>
  </rv>
  <rv s="5">
    <fb>151.44999999999999</fb>
    <v>14</v>
  </rv>
  <rv s="5">
    <fb>38.409999999999997</fb>
    <v>14</v>
  </rv>
  <rv s="5">
    <fb>65.28</fb>
    <v>14</v>
  </rv>
  <rv s="5">
    <fb>4.92</fb>
    <v>14</v>
  </rv>
  <rv s="5">
    <fb>91.53</fb>
    <v>14</v>
  </rv>
  <rv s="5">
    <fb>222.38</fb>
    <v>14</v>
  </rv>
  <rv s="5">
    <fb>2679.25</fb>
    <v>14</v>
  </rv>
  <rv s="5">
    <fb>43090</fb>
    <v>13</v>
  </rv>
  <rv s="5">
    <fb>53.542499999999997</fb>
    <v>14</v>
  </rv>
  <rv s="5">
    <fb>58.738</fb>
    <v>14</v>
  </rv>
  <rv s="5">
    <fb>37.630000000000003</fb>
    <v>14</v>
  </rv>
  <rv s="5">
    <fb>445.89</fb>
    <v>14</v>
  </rv>
  <rv s="5">
    <fb>147.17850000000001</fb>
    <v>14</v>
  </rv>
  <rv s="5">
    <fb>150.53</fb>
    <v>14</v>
  </rv>
  <rv s="5">
    <fb>38.619999999999997</fb>
    <v>14</v>
  </rv>
  <rv s="5">
    <fb>67.86</fb>
    <v>14</v>
  </rv>
  <rv s="5">
    <fb>4.8973000000000004</fb>
    <v>14</v>
  </rv>
  <rv s="5">
    <fb>221.69</fb>
    <v>14</v>
  </rv>
  <rv s="5">
    <fb>2684.57</fb>
    <v>14</v>
  </rv>
  <rv s="5">
    <fb>43091</fb>
    <v>13</v>
  </rv>
  <rv s="5">
    <fb>53.442999999999998</fb>
    <v>14</v>
  </rv>
  <rv s="5">
    <fb>58.417999999999999</fb>
    <v>14</v>
  </rv>
  <rv s="5">
    <fb>37.97</fb>
    <v>14</v>
  </rv>
  <rv s="5">
    <fb>446.6</fb>
    <v>14</v>
  </rv>
  <rv s="5">
    <fb>146.95830000000001</fb>
    <v>14</v>
  </rv>
  <rv s="5">
    <fb>150.85</fb>
    <v>14</v>
  </rv>
  <rv s="5">
    <fb>38.634999999999998</fb>
    <v>14</v>
  </rv>
  <rv s="5">
    <fb>4.8818000000000001</fb>
    <v>14</v>
  </rv>
  <rv s="5">
    <fb>92.13</fb>
    <v>14</v>
  </rv>
  <rv s="5">
    <fb>220</fb>
    <v>14</v>
  </rv>
  <rv s="5">
    <fb>2683.34</fb>
    <v>14</v>
  </rv>
  <rv s="5">
    <fb>43095</fb>
    <v>13</v>
  </rv>
  <rv s="5">
    <fb>53.292499999999997</fb>
    <v>14</v>
  </rv>
  <rv s="5">
    <fb>58.838000000000001</fb>
    <v>14</v>
  </rv>
  <rv s="5">
    <fb>37.6</fb>
    <v>14</v>
  </rv>
  <rv s="5">
    <fb>446.7</fb>
    <v>14</v>
  </rv>
  <rv s="5">
    <fb>147.21680000000001</fb>
    <v>14</v>
  </rv>
  <rv s="5">
    <fb>151.28</fb>
    <v>14</v>
  </rv>
  <rv s="5">
    <fb>38.5</fb>
    <v>14</v>
  </rv>
  <rv s="5">
    <fb>67.61</fb>
    <v>14</v>
  </rv>
  <rv s="5">
    <fb>4.9359999999999999</fb>
    <v>14</v>
  </rv>
  <rv s="5">
    <fb>92.48</fb>
    <v>14</v>
  </rv>
  <rv s="5">
    <fb>219.6</fb>
    <v>14</v>
  </rv>
  <rv s="5">
    <fb>2680.5</fb>
    <v>14</v>
  </rv>
  <rv s="5">
    <fb>43096</fb>
    <v>13</v>
  </rv>
  <rv s="5">
    <fb>53.01</fb>
    <v>14</v>
  </rv>
  <rv s="5">
    <fb>59.113</fb>
    <v>14</v>
  </rv>
  <rv s="5">
    <fb>451.69</fb>
    <v>14</v>
  </rv>
  <rv s="5">
    <fb>147.39869999999999</fb>
    <v>14</v>
  </rv>
  <rv s="5">
    <fb>151.4</fb>
    <v>14</v>
  </rv>
  <rv s="5">
    <fb>38.822499999999998</fb>
    <v>14</v>
  </rv>
  <rv s="5">
    <fb>67.92</fb>
    <v>14</v>
  </rv>
  <rv s="5">
    <fb>4.9292999999999996</fb>
    <v>14</v>
  </rv>
  <rv s="5">
    <fb>92.1</fb>
    <v>14</v>
  </rv>
  <rv s="5">
    <fb>220.42</fb>
    <v>14</v>
  </rv>
  <rv s="5">
    <fb>2682.62</fb>
    <v>14</v>
  </rv>
  <rv s="5">
    <fb>43097</fb>
    <v>13</v>
  </rv>
  <rv s="5">
    <fb>52.797499999999999</fb>
    <v>14</v>
  </rv>
  <rv s="5">
    <fb>59.305</fb>
    <v>14</v>
  </rv>
  <rv s="5">
    <fb>37.92</fb>
    <v>14</v>
  </rv>
  <rv s="5">
    <fb>455.11</fb>
    <v>14</v>
  </rv>
  <rv s="5">
    <fb>147.5711</fb>
    <v>14</v>
  </rv>
  <rv s="5">
    <fb>151.77000000000001</fb>
    <v>14</v>
  </rv>
  <rv s="5">
    <fb>67.459999999999994</fb>
    <v>14</v>
  </rv>
  <rv s="5">
    <fb>4.9349999999999996</fb>
    <v>14</v>
  </rv>
  <rv s="5">
    <fb>2687.54</fb>
    <v>14</v>
  </rv>
  <rv s="5">
    <fb>43098</fb>
    <v>13</v>
  </rv>
  <rv s="5">
    <fb>52.67</fb>
    <v>14</v>
  </rv>
  <rv s="5">
    <fb>58.473500000000001</fb>
    <v>14</v>
  </rv>
  <rv s="5">
    <fb>453.22</fb>
    <v>14</v>
  </rv>
  <rv s="5">
    <fb>146.8338</fb>
    <v>14</v>
  </rv>
  <rv s="5">
    <fb>151.36000000000001</fb>
    <v>14</v>
  </rv>
  <rv s="5">
    <fb>39.047499999999999</fb>
    <v>14</v>
  </rv>
  <rv s="5">
    <fb>67.39</fb>
    <v>14</v>
  </rv>
  <rv s="5">
    <fb>4.8375000000000004</fb>
    <v>14</v>
  </rv>
  <rv s="5">
    <fb>220.46</fb>
    <v>14</v>
  </rv>
  <rv s="5">
    <fb>2673.61</fb>
    <v>14</v>
  </rv>
  <rv s="5">
    <fb>43102</fb>
    <v>13</v>
  </rv>
  <rv s="5">
    <fb>53.660499999999999</fb>
    <v>14</v>
  </rv>
  <rv s="5">
    <fb>59.450499999999998</fb>
    <v>14</v>
  </rv>
  <rv s="5">
    <fb>38.630000000000003</fb>
    <v>14</v>
  </rv>
  <rv s="5">
    <fb>446.92</fb>
    <v>14</v>
  </rv>
  <rv s="5">
    <fb>147.16890000000001</fb>
    <v>14</v>
  </rv>
  <rv s="5">
    <fb>151.91</fb>
    <v>14</v>
  </rv>
  <rv s="5">
    <fb>38.772500000000001</fb>
    <v>14</v>
  </rv>
  <rv s="5">
    <fb>69.52</fb>
    <v>14</v>
  </rv>
  <rv s="5">
    <fb>4.9837999999999996</fb>
    <v>14</v>
  </rv>
  <rv s="5">
    <fb>90.65</fb>
    <v>14</v>
  </rv>
  <rv s="5">
    <fb>221.16</fb>
    <v>14</v>
  </rv>
  <rv s="5">
    <fb>2695.81</fb>
    <v>14</v>
  </rv>
  <rv s="5">
    <fb>43103</fb>
    <v>13</v>
  </rv>
  <rv s="5">
    <fb>54.576000000000001</fb>
    <v>14</v>
  </rv>
  <rv s="5">
    <fb>60.21</fb>
    <v>14</v>
  </rv>
  <rv s="5">
    <fb>448.98</fb>
    <v>14</v>
  </rv>
  <rv s="5">
    <fb>145.953</fb>
    <v>14</v>
  </rv>
  <rv s="5">
    <fb>153.82</fb>
    <v>14</v>
  </rv>
  <rv s="5">
    <fb>37.950000000000003</fb>
    <v>14</v>
  </rv>
  <rv s="5">
    <fb>71.33</fb>
    <v>14</v>
  </rv>
  <rv s="5">
    <fb>5.3117999999999999</fb>
    <v>14</v>
  </rv>
  <rv s="5">
    <fb>90.54</fb>
    <v>14</v>
  </rv>
  <rv s="5">
    <fb>223.48</fb>
    <v>14</v>
  </rv>
  <rv s="5">
    <fb>2713.06</fb>
    <v>14</v>
  </rv>
  <rv s="5">
    <fb>43104</fb>
    <v>13</v>
  </rv>
  <rv s="5">
    <fb>54.787999999999997</fb>
    <v>14</v>
  </rv>
  <rv s="5">
    <fb>60.479500000000002</fb>
    <v>14</v>
  </rv>
  <rv s="5">
    <fb>38.35</fb>
    <v>14</v>
  </rv>
  <rv s="5">
    <fb>447.95</fb>
    <v>14</v>
  </rv>
  <rv s="5">
    <fb>147.92529999999999</fb>
    <v>14</v>
  </rv>
  <rv s="5">
    <fb>155.81</fb>
    <v>14</v>
  </rv>
  <rv s="5">
    <fb>37.755000000000003</fb>
    <v>14</v>
  </rv>
  <rv s="5">
    <fb>73.099999999999994</fb>
    <v>14</v>
  </rv>
  <rv s="5">
    <fb>5.3398000000000003</fb>
    <v>14</v>
  </rv>
  <rv s="5">
    <fb>91.18</fb>
    <v>14</v>
  </rv>
  <rv s="5">
    <fb>224.45</fb>
    <v>14</v>
  </rv>
  <rv s="5">
    <fb>2723.99</fb>
    <v>14</v>
  </rv>
  <rv s="5">
    <fb>43105</fb>
    <v>13</v>
  </rv>
  <rv s="5">
    <fb>55.514499999999998</fb>
    <v>14</v>
  </rv>
  <rv s="5">
    <fb>61.457000000000001</fb>
    <v>14</v>
  </rv>
  <rv s="5">
    <fb>38.590000000000003</fb>
    <v>14</v>
  </rv>
  <rv s="5">
    <fb>148.95939999999999</fb>
    <v>14</v>
  </rv>
  <rv s="5">
    <fb>159.04</fb>
    <v>14</v>
  </rv>
  <rv s="5">
    <fb>37.927500000000002</fb>
    <v>14</v>
  </rv>
  <rv s="5">
    <fb>73.599999999999994</fb>
    <v>14</v>
  </rv>
  <rv s="5">
    <fb>5.3849999999999998</fb>
    <v>14</v>
  </rv>
  <rv s="5">
    <fb>91.24</fb>
    <v>14</v>
  </rv>
  <rv s="5">
    <fb>228.73</fb>
    <v>14</v>
  </rv>
  <rv s="5">
    <fb>2743.15</fb>
    <v>14</v>
  </rv>
  <rv s="5">
    <fb>43108</fb>
    <v>13</v>
  </rv>
  <rv s="5">
    <fb>55.710500000000003</fb>
    <v>14</v>
  </rv>
  <rv s="5">
    <fb>62.343499999999999</fb>
    <v>14</v>
  </rv>
  <rv s="5">
    <fb>458.2</fb>
    <v>14</v>
  </rv>
  <rv s="5">
    <fb>148.1551</fb>
    <v>14</v>
  </rv>
  <rv s="5">
    <fb>159.27000000000001</fb>
    <v>14</v>
  </rv>
  <rv s="5">
    <fb>74.8</fb>
    <v>14</v>
  </rv>
  <rv s="5">
    <fb>5.55</fb>
    <v>14</v>
  </rv>
  <rv s="5">
    <fb>91.72</fb>
    <v>14</v>
  </rv>
  <rv s="5">
    <fb>224.76</fb>
    <v>14</v>
  </rv>
  <rv s="5">
    <fb>2747.71</fb>
    <v>14</v>
  </rv>
  <rv s="5">
    <fb>43109</fb>
    <v>13</v>
  </rv>
  <rv s="5">
    <fb>55.639499999999998</fb>
    <v>14</v>
  </rv>
  <rv s="5">
    <fb>62.634999999999998</fb>
    <v>14</v>
  </rv>
  <rv s="5">
    <fb>455.98</fb>
    <v>14</v>
  </rv>
  <rv s="5">
    <fb>149.37110000000001</fb>
    <v>14</v>
  </rv>
  <rv s="5">
    <fb>159.5</fb>
    <v>14</v>
  </rv>
  <rv s="5">
    <fb>37.96</fb>
    <v>14</v>
  </rv>
  <rv s="5">
    <fb>74.900000000000006</fb>
    <v>14</v>
  </rv>
  <rv s="5">
    <fb>5.5484999999999998</fb>
    <v>14</v>
  </rv>
  <rv s="5">
    <fb>225.88</fb>
    <v>14</v>
  </rv>
  <rv s="5">
    <fb>2751.29</fb>
    <v>14</v>
  </rv>
  <rv s="5">
    <fb>43110</fb>
    <v>13</v>
  </rv>
  <rv s="5">
    <fb>55.506999999999998</fb>
    <v>14</v>
  </rv>
  <rv s="5">
    <fb>62.716500000000003</fb>
    <v>14</v>
  </rv>
  <rv s="5">
    <fb>443</fb>
    <v>14</v>
  </rv>
  <rv s="5">
    <fb>150.4051</fb>
    <v>14</v>
  </rv>
  <rv s="5">
    <fb>159.86000000000001</fb>
    <v>14</v>
  </rv>
  <rv s="5">
    <fb>37.647500000000001</fb>
    <v>14</v>
  </rv>
  <rv s="5">
    <fb>75.599999999999994</fb>
    <v>14</v>
  </rv>
  <rv s="5">
    <fb>5.5919999999999996</fb>
    <v>14</v>
  </rv>
  <rv s="5">
    <fb>90.47</fb>
    <v>14</v>
  </rv>
  <rv s="5">
    <fb>224.2</fb>
    <v>14</v>
  </rv>
  <rv s="5">
    <fb>2748.23</fb>
    <v>14</v>
  </rv>
  <rv s="5">
    <fb>43111</fb>
    <v>13</v>
  </rv>
  <rv s="5">
    <fb>55.602499999999999</fb>
    <v>14</v>
  </rv>
  <rv s="5">
    <fb>63.834000000000003</fb>
    <v>14</v>
  </rv>
  <rv s="5">
    <fb>38.380000000000003</fb>
    <v>14</v>
  </rv>
  <rv s="5">
    <fb>435.39</fb>
    <v>14</v>
  </rv>
  <rv s="5">
    <fb>151.19980000000001</fb>
    <v>14</v>
  </rv>
  <rv s="5">
    <fb>160.91999999999999</fb>
    <v>14</v>
  </rv>
  <rv s="5">
    <fb>37.625</fb>
    <v>14</v>
  </rv>
  <rv s="5">
    <fb>77.05</fb>
    <v>14</v>
  </rv>
  <rv s="5">
    <fb>5.6020000000000003</fb>
    <v>14</v>
  </rv>
  <rv s="5">
    <fb>90.15</fb>
    <v>14</v>
  </rv>
  <rv s="5">
    <fb>225.39</fb>
    <v>14</v>
  </rv>
  <rv s="5">
    <fb>2767.56</fb>
    <v>14</v>
  </rv>
  <rv s="5">
    <fb>43112</fb>
    <v>13</v>
  </rv>
  <rv s="5">
    <fb>56.532499999999999</fb>
    <v>14</v>
  </rv>
  <rv s="5">
    <fb>65.260000000000005</fb>
    <v>14</v>
  </rv>
  <rv s="5">
    <fb>37.9</fb>
    <v>14</v>
  </rv>
  <rv s="5">
    <fb>435.95</fb>
    <v>14</v>
  </rv>
  <rv s="5">
    <fb>152.30080000000001</fb>
    <v>14</v>
  </rv>
  <rv s="5">
    <fb>162.33000000000001</fb>
    <v>14</v>
  </rv>
  <rv s="5">
    <fb>37.58</fb>
    <v>14</v>
  </rv>
  <rv s="5">
    <fb>77.97</fb>
    <v>14</v>
  </rv>
  <rv s="5">
    <fb>5.5744999999999996</fb>
    <v>14</v>
  </rv>
  <rv s="5">
    <fb>89.61</fb>
    <v>14</v>
  </rv>
  <rv s="5">
    <fb>228.64</fb>
    <v>14</v>
  </rv>
  <rv s="5">
    <fb>2786.24</fb>
    <v>14</v>
  </rv>
  <rv s="5">
    <fb>43116</fb>
    <v>13</v>
  </rv>
  <rv s="5">
    <fb>56.534999999999997</fb>
    <v>14</v>
  </rv>
  <rv s="5">
    <fb>65.242999999999995</fb>
    <v>14</v>
  </rv>
  <rv s="5">
    <fb>38.39</fb>
    <v>14</v>
  </rv>
  <rv s="5">
    <fb>448.1</fb>
    <v>14</v>
  </rv>
  <rv s="5">
    <fb>151.1711</fb>
    <v>14</v>
  </rv>
  <rv s="5">
    <fb>162.29</fb>
    <v>14</v>
  </rv>
  <rv s="5">
    <fb>37.634999999999998</fb>
    <v>14</v>
  </rv>
  <rv s="5">
    <fb>77.17</fb>
    <v>14</v>
  </rv>
  <rv s="5">
    <fb>5.5027999999999997</fb>
    <v>14</v>
  </rv>
  <rv s="5">
    <fb>90.22</fb>
    <v>14</v>
  </rv>
  <rv s="5">
    <fb>232.9</fb>
    <v>14</v>
  </rv>
  <rv s="5">
    <fb>2776.42</fb>
    <v>14</v>
  </rv>
  <rv s="5">
    <fb>43117</fb>
    <v>13</v>
  </rv>
  <rv s="5">
    <fb>56.954999999999998</fb>
    <v>14</v>
  </rv>
  <rv s="5">
    <fb>64.75</fb>
    <v>14</v>
  </rv>
  <rv s="5">
    <fb>39.04</fb>
    <v>14</v>
  </rv>
  <rv s="5">
    <fb>441.9</fb>
    <v>14</v>
  </rv>
  <rv s="5">
    <fb>151.66890000000001</fb>
    <v>14</v>
  </rv>
  <rv s="5">
    <fb>164.32</fb>
    <v>14</v>
  </rv>
  <rv s="5">
    <fb>77.209999999999994</fb>
    <v>14</v>
  </rv>
  <rv s="5">
    <fb>5.6180000000000003</fb>
    <v>14</v>
  </rv>
  <rv s="5">
    <fb>91.2</fb>
    <v>14</v>
  </rv>
  <rv s="5">
    <fb>238.43</fb>
    <v>14</v>
  </rv>
  <rv s="5">
    <fb>2802.56</fb>
    <v>14</v>
  </rv>
  <rv s="5">
    <fb>43118</fb>
    <v>13</v>
  </rv>
  <rv s="5">
    <fb>56.798499999999997</fb>
    <v>14</v>
  </rv>
  <rv s="5">
    <fb>64.665999999999997</fb>
    <v>14</v>
  </rv>
  <rv s="5">
    <fb>437.45</fb>
    <v>14</v>
  </rv>
  <rv s="5">
    <fb>151.06569999999999</fb>
    <v>14</v>
  </rv>
  <rv s="5">
    <fb>37.695</fb>
    <v>14</v>
  </rv>
  <rv s="5">
    <fb>76.37</fb>
    <v>14</v>
  </rv>
  <rv s="5">
    <fb>5.6109999999999998</fb>
    <v>14</v>
  </rv>
  <rv s="5">
    <fb>90.18</fb>
    <v>14</v>
  </rv>
  <rv s="5">
    <fb>243.16</fb>
    <v>14</v>
  </rv>
  <rv s="5">
    <fb>2798.03</fb>
    <v>14</v>
  </rv>
  <rv s="5">
    <fb>43119</fb>
    <v>13</v>
  </rv>
  <rv s="5">
    <fb>57.174999999999997</fb>
    <v>14</v>
  </rv>
  <rv s="5">
    <fb>64.728999999999999</fb>
    <v>14</v>
  </rv>
  <rv s="5">
    <fb>38.72</fb>
    <v>14</v>
  </rv>
  <rv s="5">
    <fb>437.89</fb>
    <v>14</v>
  </rv>
  <rv s="5">
    <fb>151.93700000000001</fb>
    <v>14</v>
  </rv>
  <rv s="5">
    <fb>166.83</fb>
    <v>14</v>
  </rv>
  <rv s="5">
    <fb>76.42</fb>
    <v>14</v>
  </rv>
  <rv s="5">
    <fb>5.7527999999999997</fb>
    <v>14</v>
  </rv>
  <rv s="5">
    <fb>243.35</fb>
    <v>14</v>
  </rv>
  <rv s="5">
    <fb>2810.3</fb>
    <v>14</v>
  </rv>
  <rv s="5">
    <fb>43122</fb>
    <v>13</v>
  </rv>
  <rv s="5">
    <fb>58.207999999999998</fb>
    <v>14</v>
  </rv>
  <rv s="5">
    <fb>66.365499999999997</fb>
    <v>14</v>
  </rv>
  <rv s="5">
    <fb>37.76</fb>
    <v>14</v>
  </rv>
  <rv s="5">
    <fb>436.05</fb>
    <v>14</v>
  </rv>
  <rv s="5">
    <fb>151.79339999999999</fb>
    <v>14</v>
  </rv>
  <rv s="5">
    <fb>168.28</fb>
    <v>14</v>
  </rv>
  <rv s="5">
    <fb>37.505000000000003</fb>
    <v>14</v>
  </rv>
  <rv s="5">
    <fb>79.790000000000006</fb>
    <v>14</v>
  </rv>
  <rv s="5">
    <fb>5.8422999999999998</fb>
    <v>14</v>
  </rv>
  <rv s="5">
    <fb>243.56</fb>
    <v>14</v>
  </rv>
  <rv s="5">
    <fb>2832.97</fb>
    <v>14</v>
  </rv>
  <rv s="5">
    <fb>43123</fb>
    <v>13</v>
  </rv>
  <rv s="5">
    <fb>58.808500000000002</fb>
    <v>14</v>
  </rv>
  <rv s="5">
    <fb>68.126999999999995</fb>
    <v>14</v>
  </rv>
  <rv s="5">
    <fb>442</fb>
    <v>14</v>
  </rv>
  <rv s="5">
    <fb>152.7987</fb>
    <v>14</v>
  </rv>
  <rv s="5">
    <fb>167.19</fb>
    <v>14</v>
  </rv>
  <rv s="5">
    <fb>79.209999999999994</fb>
    <v>14</v>
  </rv>
  <rv s="5">
    <fb>5.9728000000000003</fb>
    <v>14</v>
  </rv>
  <rv s="5">
    <fb>89.05</fb>
    <v>14</v>
  </rv>
  <rv s="5">
    <fb>245.21</fb>
    <v>14</v>
  </rv>
  <rv s="5">
    <fb>2839.13</fb>
    <v>14</v>
  </rv>
  <rv s="5">
    <fb>43124</fb>
    <v>13</v>
  </rv>
  <rv s="5">
    <fb>58.564500000000002</fb>
    <v>14</v>
  </rv>
  <rv s="5">
    <fb>67.875500000000002</fb>
    <v>14</v>
  </rv>
  <rv s="5">
    <fb>441.3</fb>
    <v>14</v>
  </rv>
  <rv s="5">
    <fb>153.16249999999999</fb>
    <v>14</v>
  </rv>
  <rv s="5">
    <fb>167.01</fb>
    <v>14</v>
  </rv>
  <rv s="5">
    <fb>37.712499999999999</fb>
    <v>14</v>
  </rv>
  <rv s="5">
    <fb>78.180000000000007</fb>
    <v>14</v>
  </rv>
  <rv s="5">
    <fb>5.8949999999999996</fb>
    <v>14</v>
  </rv>
  <rv s="5">
    <fb>244.85</fb>
    <v>14</v>
  </rv>
  <rv s="5">
    <fb>2837.54</fb>
    <v>14</v>
  </rv>
  <rv s="5">
    <fb>43125</fb>
    <v>13</v>
  </rv>
  <rv s="5">
    <fb>59.106999999999999</fb>
    <v>14</v>
  </rv>
  <rv s="5">
    <fb>68.897499999999994</fb>
    <v>14</v>
  </rv>
  <rv s="5">
    <fb>439.17</fb>
    <v>14</v>
  </rv>
  <rv s="5">
    <fb>154.953</fb>
    <v>14</v>
  </rv>
  <rv s="5">
    <fb>38.272500000000001</fb>
    <v>14</v>
  </rv>
  <rv s="5">
    <fb>77.33</fb>
    <v>14</v>
  </rv>
  <rv s="5">
    <fb>5.9088000000000003</fb>
    <v>14</v>
  </rv>
  <rv s="5">
    <fb>88.34</fb>
    <v>14</v>
  </rv>
  <rv s="5">
    <fb>245.18</fb>
    <v>14</v>
  </rv>
  <rv s="5">
    <fb>2839.25</fb>
    <v>14</v>
  </rv>
  <rv s="5">
    <fb>43126</fb>
    <v>13</v>
  </rv>
  <rv s="5">
    <fb>59.378</fb>
    <v>14</v>
  </rv>
  <rv s="5">
    <fb>70.102500000000006</fb>
    <v>14</v>
  </rv>
  <rv s="5">
    <fb>38.119999999999997</fb>
    <v>14</v>
  </rv>
  <rv s="5">
    <fb>441.59</fb>
    <v>14</v>
  </rv>
  <rv s="5">
    <fb>157.96889999999999</fb>
    <v>14</v>
  </rv>
  <rv s="5">
    <fb>170.34</fb>
    <v>14</v>
  </rv>
  <rv s="5">
    <fb>39.422499999999999</fb>
    <v>14</v>
  </rv>
  <rv s="5">
    <fb>77.61</fb>
    <v>14</v>
  </rv>
  <rv s="5">
    <fb>6.0833000000000004</fb>
    <v>14</v>
  </rv>
  <rv s="5">
    <fb>87.73</fb>
    <v>14</v>
  </rv>
  <rv s="5">
    <fb>248.47</fb>
    <v>14</v>
  </rv>
  <rv s="5">
    <fb>2872.87</fb>
    <v>14</v>
  </rv>
  <rv s="5">
    <fb>43129</fb>
    <v>13</v>
  </rv>
  <rv s="5">
    <fb>59.323999999999998</fb>
    <v>14</v>
  </rv>
  <rv s="5">
    <fb>70.884</fb>
    <v>14</v>
  </rv>
  <rv s="5">
    <fb>435.16</fb>
    <v>14</v>
  </rv>
  <rv s="5">
    <fb>154.59870000000001</fb>
    <v>14</v>
  </rv>
  <rv s="5">
    <fb>168.55</fb>
    <v>14</v>
  </rv>
  <rv s="5">
    <fb>38.92</fb>
    <v>14</v>
  </rv>
  <rv s="5">
    <fb>76.38</fb>
    <v>14</v>
  </rv>
  <rv s="5">
    <fb>6.1712999999999996</fb>
    <v>14</v>
  </rv>
  <rv s="5">
    <fb>247.41</fb>
    <v>14</v>
  </rv>
  <rv s="5">
    <fb>2853.53</fb>
    <v>14</v>
  </rv>
  <rv s="5">
    <fb>43130</fb>
    <v>13</v>
  </rv>
  <rv s="5">
    <fb>58.868499999999997</fb>
    <v>14</v>
  </rv>
  <rv s="5">
    <fb>71.891000000000005</fb>
    <v>14</v>
  </rv>
  <rv s="5">
    <fb>439.56</fb>
    <v>14</v>
  </rv>
  <rv s="5">
    <fb>152.20509999999999</fb>
    <v>14</v>
  </rv>
  <rv s="5">
    <fb>38.774999999999999</fb>
    <v>14</v>
  </rv>
  <rv s="5">
    <fb>74.540000000000006</fb>
    <v>14</v>
  </rv>
  <rv s="5">
    <fb>6.0679999999999996</fb>
    <v>14</v>
  </rv>
  <rv s="5">
    <fb>86.95</fb>
    <v>14</v>
  </rv>
  <rv s="5">
    <fb>236.65</fb>
    <v>14</v>
  </rv>
  <rv s="5">
    <fb>2822.43</fb>
    <v>14</v>
  </rv>
  <rv s="5">
    <fb>43131</fb>
    <v>13</v>
  </rv>
  <rv s="5">
    <fb>59.110999999999997</fb>
    <v>14</v>
  </rv>
  <rv s="5">
    <fb>72.544499999999999</fb>
    <v>14</v>
  </rv>
  <rv s="5">
    <fb>38.28</fb>
    <v>14</v>
  </rv>
  <rv s="5">
    <fb>455.19</fb>
    <v>14</v>
  </rv>
  <rv s="5">
    <fb>152.87530000000001</fb>
    <v>14</v>
  </rv>
  <rv s="5">
    <fb>169</fb>
    <v>14</v>
  </rv>
  <rv s="5">
    <fb>39.604999999999997</fb>
    <v>14</v>
  </rv>
  <rv s="5">
    <fb>73.58</fb>
    <v>14</v>
  </rv>
  <rv s="5">
    <fb>6.1449999999999996</fb>
    <v>14</v>
  </rv>
  <rv s="5">
    <fb>236.78</fb>
    <v>14</v>
  </rv>
  <rv s="5">
    <fb>2823.81</fb>
    <v>14</v>
  </rv>
  <rv s="5">
    <fb>43132</fb>
    <v>13</v>
  </rv>
  <rv s="5">
    <fb>59.079500000000003</fb>
    <v>14</v>
  </rv>
  <rv s="5">
    <fb>69.5</fb>
    <v>14</v>
  </rv>
  <rv s="5">
    <fb>444.54</fb>
    <v>14</v>
  </rv>
  <rv s="5">
    <fb>152.8562</fb>
    <v>14</v>
  </rv>
  <rv s="5">
    <fb>172.93</fb>
    <v>14</v>
  </rv>
  <rv s="5">
    <fb>39.085000000000001</fb>
    <v>14</v>
  </rv>
  <rv s="5">
    <fb>75.510000000000005</fb>
    <v>14</v>
  </rv>
  <rv s="5">
    <fb>6.0125000000000002</fb>
    <v>14</v>
  </rv>
  <rv s="5">
    <fb>85.85</fb>
    <v>14</v>
  </rv>
  <rv s="5">
    <fb>235.22</fb>
    <v>14</v>
  </rv>
  <rv s="5">
    <fb>2821.98</fb>
    <v>14</v>
  </rv>
  <rv s="5">
    <fb>43133</fb>
    <v>13</v>
  </rv>
  <rv s="5">
    <fb>55.96</fb>
    <v>14</v>
  </rv>
  <rv s="5">
    <fb>71.497500000000002</fb>
    <v>14</v>
  </rv>
  <rv s="5">
    <fb>37.46</fb>
    <v>14</v>
  </rv>
  <rv s="5">
    <fb>437.35</fb>
    <v>14</v>
  </rv>
  <rv s="5">
    <fb>149.9838</fb>
    <v>14</v>
  </rv>
  <rv s="5">
    <fb>170.55</fb>
    <v>14</v>
  </rv>
  <rv s="5">
    <fb>73.69</fb>
    <v>14</v>
  </rv>
  <rv s="5">
    <fb>5.8380000000000001</fb>
    <v>14</v>
  </rv>
  <rv s="5">
    <fb>84.25</fb>
    <v>14</v>
  </rv>
  <rv s="5">
    <fb>231.88</fb>
    <v>14</v>
  </rv>
  <rv s="5">
    <fb>2762.13</fb>
    <v>14</v>
  </rv>
  <rv s="5">
    <fb>43136</fb>
    <v>13</v>
  </rv>
  <rv s="5">
    <fb>53.119500000000002</fb>
    <v>14</v>
  </rv>
  <rv s="5">
    <fb>36.51</fb>
    <v>14</v>
  </rv>
  <rv s="5">
    <fb>143.77959999999999</fb>
    <v>14</v>
  </rv>
  <rv s="5">
    <fb>164.59</fb>
    <v>14</v>
  </rv>
  <rv s="5">
    <fb>38.572499999999998</fb>
    <v>14</v>
  </rv>
  <rv s="5">
    <fb>71.349999999999994</fb>
    <v>14</v>
  </rv>
  <rv s="5">
    <fb>5.3425000000000002</fb>
    <v>14</v>
  </rv>
  <rv s="5">
    <fb>220.02</fb>
    <v>14</v>
  </rv>
  <rv s="5">
    <fb>2648.94</fb>
    <v>14</v>
  </rv>
  <rv s="5">
    <fb>43137</fb>
    <v>13</v>
  </rv>
  <rv s="5">
    <fb>54.221499999999999</fb>
    <v>14</v>
  </rv>
  <rv s="5">
    <fb>72.141999999999996</fb>
    <v>14</v>
  </rv>
  <rv s="5">
    <fb>430.85</fb>
    <v>14</v>
  </rv>
  <rv s="5">
    <fb>144.9572</fb>
    <v>14</v>
  </rv>
  <rv s="5">
    <fb>169.28</fb>
    <v>14</v>
  </rv>
  <rv s="5">
    <fb>37.39</fb>
    <v>14</v>
  </rv>
  <rv s="5">
    <fb>71.040000000000006</fb>
    <v>14</v>
  </rv>
  <rv s="5">
    <fb>5.6395</fb>
    <v>14</v>
  </rv>
  <rv s="5">
    <fb>82.38</fb>
    <v>14</v>
  </rv>
  <rv s="5">
    <fb>225.18</fb>
    <v>14</v>
  </rv>
  <rv s="5">
    <fb>2695.14</fb>
    <v>14</v>
  </rv>
  <rv s="5">
    <fb>43138</fb>
    <v>13</v>
  </rv>
  <rv s="5">
    <fb>52.770499999999998</fb>
    <v>14</v>
  </rv>
  <rv s="5">
    <fb>70.838999999999999</fb>
    <v>14</v>
  </rv>
  <rv s="5">
    <fb>39.33</fb>
    <v>14</v>
  </rv>
  <rv s="5">
    <fb>426.08</fb>
    <v>14</v>
  </rv>
  <rv s="5">
    <fb>144.75620000000001</fb>
    <v>14</v>
  </rv>
  <rv s="5">
    <fb>168.73</fb>
    <v>14</v>
  </rv>
  <rv s="5">
    <fb>37.022500000000001</fb>
    <v>14</v>
  </rv>
  <rv s="5">
    <fb>69.75</fb>
    <v>14</v>
  </rv>
  <rv s="5">
    <fb>5.72</fb>
    <v>14</v>
  </rv>
  <rv s="5">
    <fb>81.84</fb>
    <v>14</v>
  </rv>
  <rv s="5">
    <fb>225.82</fb>
    <v>14</v>
  </rv>
  <rv s="5">
    <fb>2681.66</fb>
    <v>14</v>
  </rv>
  <rv s="5">
    <fb>43139</fb>
    <v>13</v>
  </rv>
  <rv s="5">
    <fb>50.3855</fb>
    <v>14</v>
  </rv>
  <rv s="5">
    <fb>67.525000000000006</fb>
    <v>14</v>
  </rv>
  <rv s="5">
    <fb>38.44</fb>
    <v>14</v>
  </rv>
  <rv s="5">
    <fb>409.98</fb>
    <v>14</v>
  </rv>
  <rv s="5">
    <fb>139.80619999999999</fb>
    <v>14</v>
  </rv>
  <rv s="5">
    <fb>160.62</fb>
    <v>14</v>
  </rv>
  <rv s="5">
    <fb>36.322499999999998</fb>
    <v>14</v>
  </rv>
  <rv s="5">
    <fb>67.400000000000006</fb>
    <v>14</v>
  </rv>
  <rv s="5">
    <fb>5.4379999999999997</fb>
    <v>14</v>
  </rv>
  <rv s="5">
    <fb>80.22</fb>
    <v>14</v>
  </rv>
  <rv s="5">
    <fb>216.46</fb>
    <v>14</v>
  </rv>
  <rv s="5">
    <fb>2581</fb>
    <v>14</v>
  </rv>
  <rv s="5">
    <fb>43140</fb>
    <v>13</v>
  </rv>
  <rv s="5">
    <fb>52.313499999999998</fb>
    <v>14</v>
  </rv>
  <rv s="5">
    <fb>66.98</fb>
    <v>14</v>
  </rv>
  <rv s="5">
    <fb>37.869999999999997</fb>
    <v>14</v>
  </rv>
  <rv s="5">
    <fb>425.81</fb>
    <v>14</v>
  </rv>
  <rv s="5">
    <fb>141.6062</fb>
    <v>14</v>
  </rv>
  <rv s="5">
    <fb>165.2</fb>
    <v>14</v>
  </rv>
  <rv s="5">
    <fb>65.19</fb>
    <v>14</v>
  </rv>
  <rv s="5">
    <fb>5.8019999999999996</fb>
    <v>14</v>
  </rv>
  <rv s="5">
    <fb>79.92</fb>
    <v>14</v>
  </rv>
  <rv s="5">
    <fb>220.96</fb>
    <v>14</v>
  </rv>
  <rv s="5">
    <fb>2619.5500000000002</fb>
    <v>14</v>
  </rv>
  <rv s="5">
    <fb>43143</fb>
    <v>13</v>
  </rv>
  <rv s="5">
    <fb>52.728000000000002</fb>
    <v>14</v>
  </rv>
  <rv s="5">
    <fb>69.311499999999995</fb>
    <v>14</v>
  </rv>
  <rv s="5">
    <fb>37.53</fb>
    <v>14</v>
  </rv>
  <rv s="5">
    <fb>431.45</fb>
    <v>14</v>
  </rv>
  <rv s="5">
    <fb>143.10939999999999</fb>
    <v>14</v>
  </rv>
  <rv s="5">
    <fb>168.19</fb>
    <v>14</v>
  </rv>
  <rv s="5">
    <fb>66.84</fb>
    <v>14</v>
  </rv>
  <rv s="5">
    <fb>5.7008000000000001</fb>
    <v>14</v>
  </rv>
  <rv s="5">
    <fb>81.33</fb>
    <v>14</v>
  </rv>
  <rv s="5">
    <fb>225.69</fb>
    <v>14</v>
  </rv>
  <rv s="5">
    <fb>2656</fb>
    <v>14</v>
  </rv>
  <rv s="5">
    <fb>43144</fb>
    <v>13</v>
  </rv>
  <rv s="5">
    <fb>52.707000000000001</fb>
    <v>14</v>
  </rv>
  <rv s="5">
    <fb>70.725499999999997</fb>
    <v>14</v>
  </rv>
  <rv s="5">
    <fb>436.25</fb>
    <v>14</v>
  </rv>
  <rv s="5">
    <fb>142.1806</fb>
    <v>14</v>
  </rv>
  <rv s="5">
    <fb>170.12</fb>
    <v>14</v>
  </rv>
  <rv s="5">
    <fb>37.767499999999998</fb>
    <v>14</v>
  </rv>
  <rv s="5">
    <fb>65.92</fb>
    <v>14</v>
  </rv>
  <rv s="5">
    <fb>5.8158000000000003</fb>
    <v>14</v>
  </rv>
  <rv s="5">
    <fb>81.5</fb>
    <v>14</v>
  </rv>
  <rv s="5">
    <fb>226.64</fb>
    <v>14</v>
  </rv>
  <rv s="5">
    <fb>2662.94</fb>
    <v>14</v>
  </rv>
  <rv s="5">
    <fb>43145</fb>
    <v>13</v>
  </rv>
  <rv s="5">
    <fb>53.634999999999998</fb>
    <v>14</v>
  </rv>
  <rv s="5">
    <fb>72.552499999999995</fb>
    <v>14</v>
  </rv>
  <rv s="5">
    <fb>435.83</fb>
    <v>14</v>
  </rv>
  <rv s="5">
    <fb>143.98060000000001</fb>
    <v>14</v>
  </rv>
  <rv s="5">
    <fb>172.52</fb>
    <v>14</v>
  </rv>
  <rv s="5">
    <fb>37.520000000000003</fb>
    <v>14</v>
  </rv>
  <rv s="5">
    <fb>6.0354999999999999</fb>
    <v>14</v>
  </rv>
  <rv s="5">
    <fb>228.78</fb>
    <v>14</v>
  </rv>
  <rv s="5">
    <fb>2698.63</fb>
    <v>14</v>
  </rv>
  <rv s="5">
    <fb>43146</fb>
    <v>13</v>
  </rv>
  <rv s="5">
    <fb>54.567999999999998</fb>
    <v>14</v>
  </rv>
  <rv s="5">
    <fb>73.087999999999994</fb>
    <v>14</v>
  </rv>
  <rv s="5">
    <fb>39.119999999999997</fb>
    <v>14</v>
  </rv>
  <rv s="5">
    <fb>407.31</fb>
    <v>14</v>
  </rv>
  <rv s="5">
    <fb>146.8913</fb>
    <v>14</v>
  </rv>
  <rv s="5">
    <fb>174.69</fb>
    <v>14</v>
  </rv>
  <rv s="5">
    <fb>38.607500000000002</fb>
    <v>14</v>
  </rv>
  <rv s="5">
    <fb>66.209999999999994</fb>
    <v>14</v>
  </rv>
  <rv s="5">
    <fb>6.1624999999999996</fb>
    <v>14</v>
  </rv>
  <rv s="5">
    <fb>82.41</fb>
    <v>14</v>
  </rv>
  <rv s="5">
    <fb>226.02</fb>
    <v>14</v>
  </rv>
  <rv s="5">
    <fb>2731.2</fb>
    <v>14</v>
  </rv>
  <rv s="5">
    <fb>43147</fb>
    <v>13</v>
  </rv>
  <rv s="5">
    <fb>54.774999999999999</fb>
    <v>14</v>
  </rv>
  <rv s="5">
    <fb>72.4345</fb>
    <v>14</v>
  </rv>
  <rv s="5">
    <fb>39.619999999999997</fb>
    <v>14</v>
  </rv>
  <rv s="5">
    <fb>403.3</fb>
    <v>14</v>
  </rv>
  <rv s="5">
    <fb>147.4753</fb>
    <v>14</v>
  </rv>
  <rv s="5">
    <fb>175.65</fb>
    <v>14</v>
  </rv>
  <rv s="5">
    <fb>39.012500000000003</fb>
    <v>14</v>
  </rv>
  <rv s="5">
    <fb>66.28</fb>
    <v>14</v>
  </rv>
  <rv s="5">
    <fb>6.0960000000000001</fb>
    <v>14</v>
  </rv>
  <rv s="5">
    <fb>82.6</fb>
    <v>14</v>
  </rv>
  <rv s="5">
    <fb>229.37</fb>
    <v>14</v>
  </rv>
  <rv s="5">
    <fb>2732.22</fb>
    <v>14</v>
  </rv>
  <rv s="5">
    <fb>43151</fb>
    <v>13</v>
  </rv>
  <rv s="5">
    <fb>55.179499999999997</fb>
    <v>14</v>
  </rv>
  <rv s="5">
    <fb>73.417500000000004</fb>
    <v>14</v>
  </rv>
  <rv s="5">
    <fb>396.44</fb>
    <v>14</v>
  </rv>
  <rv s="5">
    <fb>147.77209999999999</fb>
    <v>14</v>
  </rv>
  <rv s="5">
    <fb>175.35</fb>
    <v>14</v>
  </rv>
  <rv s="5">
    <fb>38.452500000000001</fb>
    <v>14</v>
  </rv>
  <rv s="5">
    <fb>65.61</fb>
    <v>14</v>
  </rv>
  <rv s="5">
    <fb>6.2270000000000003</fb>
    <v>14</v>
  </rv>
  <rv s="5">
    <fb>81.34</fb>
    <v>14</v>
  </rv>
  <rv s="5">
    <fb>226.66</fb>
    <v>14</v>
  </rv>
  <rv s="5">
    <fb>2716.26</fb>
    <v>14</v>
  </rv>
  <rv s="5">
    <fb>43152</fb>
    <v>13</v>
  </rv>
  <rv s="5">
    <fb>55.6875</fb>
    <v>14</v>
  </rv>
  <rv s="5">
    <fb>74.146000000000001</fb>
    <v>14</v>
  </rv>
  <rv s="5">
    <fb>39.14</fb>
    <v>14</v>
  </rv>
  <rv s="5">
    <fb>384.92</fb>
    <v>14</v>
  </rv>
  <rv s="5">
    <fb>147.49449999999999</fb>
    <v>14</v>
  </rv>
  <rv s="5">
    <fb>172.32</fb>
    <v>14</v>
  </rv>
  <rv s="5">
    <fb>37.94</fb>
    <v>14</v>
  </rv>
  <rv s="5">
    <fb>6.0377999999999998</fb>
    <v>14</v>
  </rv>
  <rv s="5">
    <fb>80.239999999999995</fb>
    <v>14</v>
  </rv>
  <rv s="5">
    <fb>225.13</fb>
    <v>14</v>
  </rv>
  <rv s="5">
    <fb>2701.33</fb>
    <v>14</v>
  </rv>
  <rv s="5">
    <fb>43153</fb>
    <v>13</v>
  </rv>
  <rv s="5">
    <fb>55.494999999999997</fb>
    <v>14</v>
  </rv>
  <rv s="5">
    <fb>74.266999999999996</fb>
    <v>14</v>
  </rv>
  <rv s="5">
    <fb>39.549999999999997</fb>
    <v>14</v>
  </rv>
  <rv s="5">
    <fb>390.45</fb>
    <v>14</v>
  </rv>
  <rv s="5">
    <fb>146.786</fb>
    <v>14</v>
  </rv>
  <rv s="5">
    <fb>172.95</fb>
    <v>14</v>
  </rv>
  <rv s="5">
    <fb>38.077500000000001</fb>
    <v>14</v>
  </rv>
  <rv s="5">
    <fb>64.959999999999994</fb>
    <v>14</v>
  </rv>
  <rv s="5">
    <fb>6.0537999999999998</fb>
    <v>14</v>
  </rv>
  <rv s="5">
    <fb>80.84</fb>
    <v>14</v>
  </rv>
  <rv s="5">
    <fb>227.09</fb>
    <v>14</v>
  </rv>
  <rv s="5">
    <fb>2703.96</fb>
    <v>14</v>
  </rv>
  <rv s="5">
    <fb>43154</fb>
    <v>13</v>
  </rv>
  <rv s="5">
    <fb>56.404499999999999</fb>
    <v>14</v>
  </rv>
  <rv s="5">
    <fb>75</fb>
    <v>14</v>
  </rv>
  <rv s="5">
    <fb>39.729999999999997</fb>
    <v>14</v>
  </rv>
  <rv s="5">
    <fb>394.84</fb>
    <v>14</v>
  </rv>
  <rv s="5">
    <fb>148.5189</fb>
    <v>14</v>
  </rv>
  <rv s="5">
    <fb>175.76</fb>
    <v>14</v>
  </rv>
  <rv s="5">
    <fb>39.064999999999998</fb>
    <v>14</v>
  </rv>
  <rv s="5">
    <fb>6.1482999999999999</fb>
    <v>14</v>
  </rv>
  <rv s="5">
    <fb>81.05</fb>
    <v>14</v>
  </rv>
  <rv s="5">
    <fb>230.16</fb>
    <v>14</v>
  </rv>
  <rv s="5">
    <fb>2747.3</fb>
    <v>14</v>
  </rv>
  <rv s="5">
    <fb>43157</fb>
    <v>13</v>
  </rv>
  <rv s="5">
    <fb>57.185000000000002</fb>
    <v>14</v>
  </rv>
  <rv s="5">
    <fb>76.097499999999997</fb>
    <v>14</v>
  </rv>
  <rv s="5">
    <fb>40.08</fb>
    <v>14</v>
  </rv>
  <rv s="5">
    <fb>394.18</fb>
    <v>14</v>
  </rv>
  <rv s="5">
    <fb>149.84020000000001</fb>
    <v>14</v>
  </rv>
  <rv s="5">
    <fb>177.87</fb>
    <v>14</v>
  </rv>
  <rv s="5">
    <fb>38.662500000000001</fb>
    <v>14</v>
  </rv>
  <rv s="5">
    <fb>66.73</fb>
    <v>14</v>
  </rv>
  <rv s="5">
    <fb>6.1645000000000003</fb>
    <v>14</v>
  </rv>
  <rv s="5">
    <fb>81.63</fb>
    <v>14</v>
  </rv>
  <rv s="5">
    <fb>234.06</fb>
    <v>14</v>
  </rv>
  <rv s="5">
    <fb>2779.6</fb>
    <v>14</v>
  </rv>
  <rv s="5">
    <fb>43158</fb>
    <v>13</v>
  </rv>
  <rv s="5">
    <fb>55.875500000000002</fb>
    <v>14</v>
  </rv>
  <rv s="5">
    <fb>75.599000000000004</fb>
    <v>14</v>
  </rv>
  <rv s="5">
    <fb>40.01</fb>
    <v>14</v>
  </rv>
  <rv s="5">
    <fb>391.21</fb>
    <v>14</v>
  </rv>
  <rv s="5">
    <fb>147.37</fb>
    <v>14</v>
  </rv>
  <rv s="5">
    <fb>175.93</fb>
    <v>14</v>
  </rv>
  <rv s="5">
    <fb>66.91</fb>
    <v>14</v>
  </rv>
  <rv s="5">
    <fb>6.1515000000000004</fb>
    <v>14</v>
  </rv>
  <rv s="5">
    <fb>80.540000000000006</fb>
    <v>14</v>
  </rv>
  <rv s="5">
    <fb>232.52</fb>
    <v>14</v>
  </rv>
  <rv s="5">
    <fb>2744.28</fb>
    <v>14</v>
  </rv>
  <rv s="5">
    <fb>43159</fb>
    <v>13</v>
  </rv>
  <rv s="5">
    <fb>55.195999999999998</fb>
    <v>14</v>
  </rv>
  <rv s="5">
    <fb>75.622500000000002</fb>
    <v>14</v>
  </rv>
  <rv s="5">
    <fb>39.950000000000003</fb>
    <v>14</v>
  </rv>
  <rv s="5">
    <fb>392.1</fb>
    <v>14</v>
  </rv>
  <rv s="5">
    <fb>144.67959999999999</fb>
    <v>14</v>
  </rv>
  <rv s="5">
    <fb>38.037500000000001</fb>
    <v>14</v>
  </rv>
  <rv s="5">
    <fb>65.64</fb>
    <v>14</v>
  </rv>
  <rv s="5">
    <fb>6.05</fb>
    <v>14</v>
  </rv>
  <rv s="5">
    <fb>78.52</fb>
    <v>14</v>
  </rv>
  <rv s="5">
    <fb>226.16</fb>
    <v>14</v>
  </rv>
  <rv s="5">
    <fb>2713.83</fb>
    <v>14</v>
  </rv>
  <rv s="5">
    <fb>43160</fb>
    <v>13</v>
  </rv>
  <rv s="5">
    <fb>53.570500000000003</fb>
    <v>14</v>
  </rv>
  <rv s="5">
    <fb>74.672499999999999</fb>
    <v>14</v>
  </rv>
  <rv s="5">
    <fb>39.5</fb>
    <v>14</v>
  </rv>
  <rv s="5">
    <fb>386.29</fb>
    <v>14</v>
  </rv>
  <rv s="5">
    <fb>140.94550000000001</fb>
    <v>14</v>
  </rv>
  <rv s="5">
    <fb>173.49</fb>
    <v>14</v>
  </rv>
  <rv s="5">
    <fb>38.307499999999997</fb>
    <v>14</v>
  </rv>
  <rv s="5">
    <fb>65.22</fb>
    <v>14</v>
  </rv>
  <rv s="5">
    <fb>5.8052999999999999</fb>
    <v>14</v>
  </rv>
  <rv s="5">
    <fb>2677.67</fb>
    <v>14</v>
  </rv>
  <rv s="5">
    <fb>43161</fb>
    <v>13</v>
  </rv>
  <rv s="5">
    <fb>54.207000000000001</fb>
    <v>14</v>
  </rv>
  <rv s="5">
    <fb>75.012500000000003</fb>
    <v>14</v>
  </rv>
  <rv s="5">
    <fb>381.82</fb>
    <v>14</v>
  </rv>
  <rv s="5">
    <fb>141.83600000000001</fb>
    <v>14</v>
  </rv>
  <rv s="5">
    <fb>175.02</fb>
    <v>14</v>
  </rv>
  <rv s="5">
    <fb>38.212499999999999</fb>
    <v>14</v>
  </rv>
  <rv s="5">
    <fb>5.9135</fb>
    <v>14</v>
  </rv>
  <rv s="5">
    <fb>79.5</fb>
    <v>14</v>
  </rv>
  <rv s="5">
    <fb>225.19</fb>
    <v>14</v>
  </rv>
  <rv s="5">
    <fb>2691.25</fb>
    <v>14</v>
  </rv>
  <rv s="5">
    <fb>43164</fb>
    <v>13</v>
  </rv>
  <rv s="5">
    <fb>54.738</fb>
    <v>14</v>
  </rv>
  <rv s="5">
    <fb>76.180499999999995</fb>
    <v>14</v>
  </rv>
  <rv s="5">
    <fb>39.93</fb>
    <v>14</v>
  </rv>
  <rv s="5">
    <fb>388.51</fb>
    <v>14</v>
  </rv>
  <rv s="5">
    <fb>142.1902</fb>
    <v>14</v>
  </rv>
  <rv s="5">
    <fb>178.53</fb>
    <v>14</v>
  </rv>
  <rv s="5">
    <fb>38.755000000000003</fb>
    <v>14</v>
  </rv>
  <rv s="5">
    <fb>66.16</fb>
    <v>14</v>
  </rv>
  <rv s="5">
    <fb>5.8913000000000002</fb>
    <v>14</v>
  </rv>
  <rv s="5">
    <fb>80.290000000000006</fb>
    <v>14</v>
  </rv>
  <rv s="5">
    <fb>228.38</fb>
    <v>14</v>
  </rv>
  <rv s="5">
    <fb>2720.94</fb>
    <v>14</v>
  </rv>
  <rv s="5">
    <fb>43165</fb>
    <v>13</v>
  </rv>
  <rv s="5">
    <fb>55.045000000000002</fb>
    <v>14</v>
  </rv>
  <rv s="5">
    <fb>76.882000000000005</fb>
    <v>14</v>
  </rv>
  <rv s="5">
    <fb>391.62</fb>
    <v>14</v>
  </rv>
  <rv s="5">
    <fb>142.9753</fb>
    <v>14</v>
  </rv>
  <rv s="5">
    <fb>177.53</fb>
    <v>14</v>
  </rv>
  <rv s="5">
    <fb>38.314999999999998</fb>
    <v>14</v>
  </rv>
  <rv s="5">
    <fb>66.63</fb>
    <v>14</v>
  </rv>
  <rv s="5">
    <fb>6.0540000000000003</fb>
    <v>14</v>
  </rv>
  <rv s="5">
    <fb>80.02</fb>
    <v>14</v>
  </rv>
  <rv s="5">
    <fb>226.18</fb>
    <v>14</v>
  </rv>
  <rv s="5">
    <fb>2728.12</fb>
    <v>14</v>
  </rv>
  <rv s="5">
    <fb>43166</fb>
    <v>13</v>
  </rv>
  <rv s="5">
    <fb>55.752000000000002</fb>
    <v>14</v>
  </rv>
  <rv s="5">
    <fb>77.25</fb>
    <v>14</v>
  </rv>
  <rv s="5">
    <fb>391.38</fb>
    <v>14</v>
  </rv>
  <rv s="5">
    <fb>144.0094</fb>
    <v>14</v>
  </rv>
  <rv s="5">
    <fb>179.21</fb>
    <v>14</v>
  </rv>
  <rv s="5">
    <fb>38.262500000000003</fb>
    <v>14</v>
  </rv>
  <rv s="5">
    <fb>66.23</fb>
    <v>14</v>
  </rv>
  <rv s="5">
    <fb>6.0460000000000003</fb>
    <v>14</v>
  </rv>
  <rv s="5">
    <fb>79.16</fb>
    <v>14</v>
  </rv>
  <rv s="5">
    <fb>227.27</fb>
    <v>14</v>
  </rv>
  <rv s="5">
    <fb>2726.8</fb>
    <v>14</v>
  </rv>
  <rv s="5">
    <fb>43167</fb>
    <v>13</v>
  </rv>
  <rv s="5">
    <fb>56.469000000000001</fb>
    <v>14</v>
  </rv>
  <rv s="5">
    <fb>77.593000000000004</fb>
    <v>14</v>
  </rv>
  <rv s="5">
    <fb>41.02</fb>
    <v>14</v>
  </rv>
  <rv s="5">
    <fb>389.42</fb>
    <v>14</v>
  </rv>
  <rv s="5">
    <fb>144.7945</fb>
    <v>14</v>
  </rv>
  <rv s="5">
    <fb>38.577500000000001</fb>
    <v>14</v>
  </rv>
  <rv s="5">
    <fb>66.739999999999995</fb>
    <v>14</v>
  </rv>
  <rv s="5">
    <fb>6.0294999999999996</fb>
    <v>14</v>
  </rv>
  <rv s="5">
    <fb>79.97</fb>
    <v>14</v>
  </rv>
  <rv s="5">
    <fb>224.73</fb>
    <v>14</v>
  </rv>
  <rv s="5">
    <fb>2738.97</fb>
    <v>14</v>
  </rv>
  <rv s="5">
    <fb>43168</fb>
    <v>13</v>
  </rv>
  <rv s="5">
    <fb>58.042000000000002</fb>
    <v>14</v>
  </rv>
  <rv s="5">
    <fb>78.944500000000005</fb>
    <v>14</v>
  </rv>
  <rv s="5">
    <fb>41.81</fb>
    <v>14</v>
  </rv>
  <rv s="5">
    <fb>395.16</fb>
    <v>14</v>
  </rv>
  <rv s="5">
    <fb>147.64769999999999</fb>
    <v>14</v>
  </rv>
  <rv s="5">
    <fb>183.24</fb>
    <v>14</v>
  </rv>
  <rv s="5">
    <fb>38.702500000000001</fb>
    <v>14</v>
  </rv>
  <rv s="5">
    <fb>68.78</fb>
    <v>14</v>
  </rv>
  <rv s="5">
    <fb>6.1333000000000002</fb>
    <v>14</v>
  </rv>
  <rv s="5">
    <fb>225.43</fb>
    <v>14</v>
  </rv>
  <rv s="5">
    <fb>2786.57</fb>
    <v>14</v>
  </rv>
  <rv s="5">
    <fb>43171</fb>
    <v>13</v>
  </rv>
  <rv s="5">
    <fb>58.296500000000002</fb>
    <v>14</v>
  </rv>
  <rv s="5">
    <fb>79.919499999999999</fb>
    <v>14</v>
  </rv>
  <rv s="5">
    <fb>41.65</fb>
    <v>14</v>
  </rv>
  <rv s="5">
    <fb>395.35</fb>
    <v>14</v>
  </rv>
  <rv s="5">
    <fb>145.75190000000001</fb>
    <v>14</v>
  </rv>
  <rv s="5">
    <fb>182.54</fb>
    <v>14</v>
  </rv>
  <rv s="5">
    <fb>38.597499999999997</fb>
    <v>14</v>
  </rv>
  <rv s="5">
    <fb>6.2439999999999998</fb>
    <v>14</v>
  </rv>
  <rv s="5">
    <fb>79.86</fb>
    <v>14</v>
  </rv>
  <rv s="5">
    <fb>2783.02</fb>
    <v>14</v>
  </rv>
  <rv s="5">
    <fb>43172</fb>
    <v>13</v>
  </rv>
  <rv s="5">
    <fb>56.9955</fb>
    <v>14</v>
  </rv>
  <rv s="5">
    <fb>79.409000000000006</fb>
    <v>14</v>
  </rv>
  <rv s="5">
    <fb>41.62</fb>
    <v>14</v>
  </rv>
  <rv s="5">
    <fb>405.42</fb>
    <v>14</v>
  </rv>
  <rv s="5">
    <fb>145.053</fb>
    <v>14</v>
  </rv>
  <rv s="5">
    <fb>181.01</fb>
    <v>14</v>
  </rv>
  <rv s="5">
    <fb>38.667499999999997</fb>
    <v>14</v>
  </rv>
  <rv s="5">
    <fb>67.14</fb>
    <v>14</v>
  </rv>
  <rv s="5">
    <fb>6.1928000000000001</fb>
    <v>14</v>
  </rv>
  <rv s="5">
    <fb>79.72</fb>
    <v>14</v>
  </rv>
  <rv s="5">
    <fb>226.94</fb>
    <v>14</v>
  </rv>
  <rv s="5">
    <fb>2765.31</fb>
    <v>14</v>
  </rv>
  <rv s="5">
    <fb>43173</fb>
    <v>13</v>
  </rv>
  <rv s="5">
    <fb>57.444499999999998</fb>
    <v>14</v>
  </rv>
  <rv s="5">
    <fb>413.71</fb>
    <v>14</v>
  </rv>
  <rv s="5">
    <fb>144.0189</fb>
    <v>14</v>
  </rv>
  <rv s="5">
    <fb>180.12</fb>
    <v>14</v>
  </rv>
  <rv s="5">
    <fb>39.502499999999998</fb>
    <v>14</v>
  </rv>
  <rv s="5">
    <fb>6.2184999999999997</fb>
    <v>14</v>
  </rv>
  <rv s="5">
    <fb>79</fb>
    <v>14</v>
  </rv>
  <rv s="5">
    <fb>225.38</fb>
    <v>14</v>
  </rv>
  <rv s="5">
    <fb>2749.48</fb>
    <v>14</v>
  </rv>
  <rv s="5">
    <fb>43174</fb>
    <v>13</v>
  </rv>
  <rv s="5">
    <fb>57.530500000000004</fb>
    <v>14</v>
  </rv>
  <rv s="5">
    <fb>79.116</fb>
    <v>14</v>
  </rv>
  <rv s="5">
    <fb>415.23</fb>
    <v>14</v>
  </rv>
  <rv s="5">
    <fb>144.6413</fb>
    <v>14</v>
  </rv>
  <rv s="5">
    <fb>180.95</fb>
    <v>14</v>
  </rv>
  <rv s="5">
    <fb>39.534999999999997</fb>
    <v>14</v>
  </rv>
  <rv s="5">
    <fb>6.2335000000000003</fb>
    <v>14</v>
  </rv>
  <rv s="5">
    <fb>229.48</fb>
    <v>14</v>
  </rv>
  <rv s="5">
    <fb>2747.33</fb>
    <v>14</v>
  </rv>
  <rv s="5">
    <fb>43175</fb>
    <v>13</v>
  </rv>
  <rv s="5">
    <fb>56.720999999999997</fb>
    <v>14</v>
  </rv>
  <rv s="5">
    <fb>78.584000000000003</fb>
    <v>14</v>
  </rv>
  <rv s="5">
    <fb>40.6</fb>
    <v>14</v>
  </rv>
  <rv s="5">
    <fb>419.89</fb>
    <v>14</v>
  </rv>
  <rv s="5">
    <fb>145.3211</fb>
    <v>14</v>
  </rv>
  <rv s="5">
    <fb>182.55</fb>
    <v>14</v>
  </rv>
  <rv s="5">
    <fb>66.099999999999994</fb>
    <v>14</v>
  </rv>
  <rv s="5">
    <fb>6.2619999999999996</fb>
    <v>14</v>
  </rv>
  <rv s="5">
    <fb>78.97</fb>
    <v>14</v>
  </rv>
  <rv s="5">
    <fb>227.86</fb>
    <v>14</v>
  </rv>
  <rv s="5">
    <fb>2752.01</fb>
    <v>14</v>
  </rv>
  <rv s="5">
    <fb>43178</fb>
    <v>13</v>
  </rv>
  <rv s="5">
    <fb>55.003500000000003</fb>
    <v>14</v>
  </rv>
  <rv s="5">
    <fb>77.246499999999997</fb>
    <v>14</v>
  </rv>
  <rv s="5">
    <fb>40.229999999999997</fb>
    <v>14</v>
  </rv>
  <rv s="5">
    <fb>411.71</fb>
    <v>14</v>
  </rv>
  <rv s="5">
    <fb>143.8083</fb>
    <v>14</v>
  </rv>
  <rv s="5">
    <fb>180.58</fb>
    <v>14</v>
  </rv>
  <rv s="5">
    <fb>39.982500000000002</fb>
    <v>14</v>
  </rv>
  <rv s="5">
    <fb>64.7</fb>
    <v>14</v>
  </rv>
  <rv s="5">
    <fb>6.0250000000000004</fb>
    <v>14</v>
  </rv>
  <rv s="5">
    <fb>78.66</fb>
    <v>14</v>
  </rv>
  <rv s="5">
    <fb>225.05</fb>
    <v>14</v>
  </rv>
  <rv s="5">
    <fb>2712.92</fb>
    <v>14</v>
  </rv>
  <rv s="5">
    <fb>43179</fb>
    <v>13</v>
  </rv>
  <rv s="5">
    <fb>54.79</fb>
    <v>14</v>
  </rv>
  <rv s="5">
    <fb>79.325500000000005</fb>
    <v>14</v>
  </rv>
  <rv s="5">
    <fb>39.89</fb>
    <v>14</v>
  </rv>
  <rv s="5">
    <fb>415.26</fb>
    <v>14</v>
  </rv>
  <rv s="5">
    <fb>144.07640000000001</fb>
    <v>14</v>
  </rv>
  <rv s="5">
    <fb>182.51</fb>
    <v>14</v>
  </rv>
  <rv s="5">
    <fb>40.104999999999997</fb>
    <v>14</v>
  </rv>
  <rv s="5">
    <fb>65.56</fb>
    <v>14</v>
  </rv>
  <rv s="5">
    <fb>6.2394999999999996</fb>
    <v>14</v>
  </rv>
  <rv s="5">
    <fb>2716.94</fb>
    <v>14</v>
  </rv>
  <rv s="5">
    <fb>43180</fb>
    <v>13</v>
  </rv>
  <rv s="5">
    <fb>54.7</fb>
    <v>14</v>
  </rv>
  <rv s="5">
    <fb>79.093000000000004</fb>
    <v>14</v>
  </rv>
  <rv s="5">
    <fb>411.84</fb>
    <v>14</v>
  </rv>
  <rv s="5">
    <fb>144.91890000000001</fb>
    <v>14</v>
  </rv>
  <rv s="5">
    <fb>180.75</fb>
    <v>14</v>
  </rv>
  <rv s="5">
    <fb>6.2140000000000004</fb>
    <v>14</v>
  </rv>
  <rv s="5">
    <fb>77.040000000000006</fb>
    <v>14</v>
  </rv>
  <rv s="5">
    <fb>222.82</fb>
    <v>14</v>
  </rv>
  <rv s="5">
    <fb>2711.93</fb>
    <v>14</v>
  </rv>
  <rv s="5">
    <fb>43181</fb>
    <v>13</v>
  </rv>
  <rv s="5">
    <fb>52.657499999999999</fb>
    <v>14</v>
  </rv>
  <rv s="5">
    <fb>77.245999999999995</fb>
    <v>14</v>
  </rv>
  <rv s="5">
    <fb>417.58</fb>
    <v>14</v>
  </rv>
  <rv s="5">
    <fb>175.52</fb>
    <v>14</v>
  </rv>
  <rv s="5">
    <fb>40.472499999999997</fb>
    <v>14</v>
  </rv>
  <rv s="5">
    <fb>65.52</fb>
    <v>14</v>
  </rv>
  <rv s="5">
    <fb>6.0462999999999996</fb>
    <v>14</v>
  </rv>
  <rv s="5">
    <fb>76.41</fb>
    <v>14</v>
  </rv>
  <rv s="5">
    <fb>215.21</fb>
    <v>14</v>
  </rv>
  <rv s="5">
    <fb>2643.69</fb>
    <v>14</v>
  </rv>
  <rv s="5">
    <fb>43182</fb>
    <v>13</v>
  </rv>
  <rv s="5">
    <fb>51.327500000000001</fb>
    <v>14</v>
  </rv>
  <rv s="5">
    <fb>74.778000000000006</fb>
    <v>14</v>
  </rv>
  <rv s="5">
    <fb>38.770000000000003</fb>
    <v>14</v>
  </rv>
  <rv s="5">
    <fb>401.68</fb>
    <v>14</v>
  </rv>
  <rv s="5">
    <fb>137.18279999999999</fb>
    <v>14</v>
  </rv>
  <rv s="5">
    <fb>171.83</fb>
    <v>14</v>
  </rv>
  <rv s="5">
    <fb>39.872500000000002</fb>
    <v>14</v>
  </rv>
  <rv s="5">
    <fb>64.14</fb>
    <v>14</v>
  </rv>
  <rv s="5">
    <fb>5.8243</fb>
    <v>14</v>
  </rv>
  <rv s="5">
    <fb>75.91</fb>
    <v>14</v>
  </rv>
  <rv s="5">
    <fb>212.55</fb>
    <v>14</v>
  </rv>
  <rv s="5">
    <fb>2588.2600000000002</fb>
    <v>14</v>
  </rv>
  <rv s="5">
    <fb>43185</fb>
    <v>13</v>
  </rv>
  <rv s="5">
    <fb>52.704500000000003</fb>
    <v>14</v>
  </rv>
  <rv s="5">
    <fb>77.793000000000006</fb>
    <v>14</v>
  </rv>
  <rv s="5">
    <fb>39.31</fb>
    <v>14</v>
  </rv>
  <rv s="5">
    <fb>409.61</fb>
    <v>14</v>
  </rv>
  <rv s="5">
    <fb>140.68700000000001</fb>
    <v>14</v>
  </rv>
  <rv s="5">
    <fb>177.17</fb>
    <v>14</v>
  </rv>
  <rv s="5">
    <fb>40.357500000000002</fb>
    <v>14</v>
  </rv>
  <rv s="5">
    <fb>64.459999999999994</fb>
    <v>14</v>
  </rv>
  <rv s="5">
    <fb>6.1120000000000001</fb>
    <v>14</v>
  </rv>
  <rv s="5">
    <fb>219.07</fb>
    <v>14</v>
  </rv>
  <rv s="5">
    <fb>2658.55</fb>
    <v>14</v>
  </rv>
  <rv s="5">
    <fb>43186</fb>
    <v>13</v>
  </rv>
  <rv s="5">
    <fb>50.347000000000001</fb>
    <v>14</v>
  </rv>
  <rv s="5">
    <fb>74.852500000000006</fb>
    <v>14</v>
  </rv>
  <rv s="5">
    <fb>39.19</fb>
    <v>14</v>
  </rv>
  <rv s="5">
    <fb>409.88</fb>
    <v>14</v>
  </rv>
  <rv s="5">
    <fb>138.1977</fb>
    <v>14</v>
  </rv>
  <rv s="5">
    <fb>40.647500000000001</fb>
    <v>14</v>
  </rv>
  <rv s="5">
    <fb>64.48</fb>
    <v>14</v>
  </rv>
  <rv s="5">
    <fb>5.6379999999999999</fb>
    <v>14</v>
  </rv>
  <rv s="5">
    <fb>77.790000000000006</fb>
    <v>14</v>
  </rv>
  <rv s="5">
    <fb>217.96</fb>
    <v>14</v>
  </rv>
  <rv s="5">
    <fb>2612.62</fb>
    <v>14</v>
  </rv>
  <rv s="5">
    <fb>43187</fb>
    <v>13</v>
  </rv>
  <rv s="5">
    <fb>50.259</fb>
    <v>14</v>
  </rv>
  <rv s="5">
    <fb>71.570999999999998</fb>
    <v>14</v>
  </rv>
  <rv s="5">
    <fb>417.02</fb>
    <v>14</v>
  </rv>
  <rv s="5">
    <fb>137.1636</fb>
    <v>14</v>
  </rv>
  <rv s="5">
    <fb>170.35</fb>
    <v>14</v>
  </rv>
  <rv s="5">
    <fb>40.567500000000003</fb>
    <v>14</v>
  </rv>
  <rv s="5">
    <fb>63.21</fb>
    <v>14</v>
  </rv>
  <rv s="5">
    <fb>5.5338000000000003</fb>
    <v>14</v>
  </rv>
  <rv s="5">
    <fb>78.84</fb>
    <v>14</v>
  </rv>
  <rv s="5">
    <fb>218.5</fb>
    <v>14</v>
  </rv>
  <rv s="5">
    <fb>2605</fb>
    <v>14</v>
  </rv>
  <rv s="5">
    <fb>43188</fb>
    <v>13</v>
  </rv>
  <rv s="5">
    <fb>51.856999999999999</fb>
    <v>14</v>
  </rv>
  <rv s="5">
    <fb>72.367000000000004</fb>
    <v>14</v>
  </rv>
  <rv s="5">
    <fb>39.71</fb>
    <v>14</v>
  </rv>
  <rv s="5">
    <fb>418.14</fb>
    <v>14</v>
  </rv>
  <rv s="5">
    <fb>138.3604</fb>
    <v>14</v>
  </rv>
  <rv s="5">
    <fb>175.16</fb>
    <v>14</v>
  </rv>
  <rv s="5">
    <fb>40.832500000000003</fb>
    <v>14</v>
  </rv>
  <rv s="5">
    <fb>64.78</fb>
    <v>14</v>
  </rv>
  <rv s="5">
    <fb>5.7897999999999996</fb>
    <v>14</v>
  </rv>
  <rv s="5">
    <fb>79.28</fb>
    <v>14</v>
  </rv>
  <rv s="5">
    <fb>214</fb>
    <v>14</v>
  </rv>
  <rv s="5">
    <fb>2640.87</fb>
    <v>14</v>
  </rv>
  <rv s="5">
    <fb>43192</fb>
    <v>13</v>
  </rv>
  <rv s="5">
    <fb>50.631500000000003</fb>
    <v>14</v>
  </rv>
  <rv s="5">
    <fb>68.599500000000006</fb>
    <v>14</v>
  </rv>
  <rv s="5">
    <fb>408.55</fb>
    <v>14</v>
  </rv>
  <rv s="5">
    <fb>136.369</fb>
    <v>14</v>
  </rv>
  <rv s="5">
    <fb>171.6</fb>
    <v>14</v>
  </rv>
  <rv s="5">
    <fb>40.592500000000001</fb>
    <v>14</v>
  </rv>
  <rv s="5">
    <fb>63.48</fb>
    <v>14</v>
  </rv>
  <rv s="5">
    <fb>5.5263</fb>
    <v>14</v>
  </rv>
  <rv s="5">
    <fb>77.400000000000006</fb>
    <v>14</v>
  </rv>
  <rv s="5">
    <fb>217.2</fb>
    <v>14</v>
  </rv>
  <rv s="5">
    <fb>2581.88</fb>
    <v>14</v>
  </rv>
  <rv s="5">
    <fb>43193</fb>
    <v>13</v>
  </rv>
  <rv s="5">
    <fb>50.933999999999997</fb>
    <v>14</v>
  </rv>
  <rv s="5">
    <fb>69.602500000000006</fb>
    <v>14</v>
  </rv>
  <rv s="5">
    <fb>39.659999999999997</fb>
    <v>14</v>
  </rv>
  <rv s="5">
    <fb>408.6</fb>
    <v>14</v>
  </rv>
  <rv s="5">
    <fb>138.12110000000001</fb>
    <v>14</v>
  </rv>
  <rv s="5">
    <fb>172.47</fb>
    <v>14</v>
  </rv>
  <rv s="5">
    <fb>40.5</fb>
    <v>14</v>
  </rv>
  <rv s="5">
    <fb>64.790000000000006</fb>
    <v>14</v>
  </rv>
  <rv s="5">
    <fb>5.6337999999999999</fb>
    <v>14</v>
  </rv>
  <rv s="5">
    <fb>78.459999999999994</fb>
    <v>14</v>
  </rv>
  <rv s="5">
    <fb>224.58</fb>
    <v>14</v>
  </rv>
  <rv s="5">
    <fb>2614.4499999999998</fb>
    <v>14</v>
  </rv>
  <rv s="5">
    <fb>43194</fb>
    <v>13</v>
  </rv>
  <rv s="5">
    <fb>51.485500000000002</fb>
    <v>14</v>
  </rv>
  <rv s="5">
    <fb>70.528499999999994</fb>
    <v>14</v>
  </rv>
  <rv s="5">
    <fb>40.090000000000003</fb>
    <v>14</v>
  </rv>
  <rv s="5">
    <fb>411.99</fb>
    <v>14</v>
  </rv>
  <rv s="5">
    <fb>138.6764</fb>
    <v>14</v>
  </rv>
  <rv s="5">
    <fb>173.69</fb>
    <v>14</v>
  </rv>
  <rv s="5">
    <fb>40.582500000000003</fb>
    <v>14</v>
  </rv>
  <rv s="5">
    <fb>64.81</fb>
    <v>14</v>
  </rv>
  <rv s="5">
    <fb>5.6559999999999997</fb>
    <v>14</v>
  </rv>
  <rv s="5">
    <fb>79.05</fb>
    <v>14</v>
  </rv>
  <rv s="5">
    <fb>228.79</fb>
    <v>14</v>
  </rv>
  <rv s="5">
    <fb>2644.69</fb>
    <v>14</v>
  </rv>
  <rv s="5">
    <fb>43195</fb>
    <v>13</v>
  </rv>
  <rv s="5">
    <fb>51.631999999999998</fb>
    <v>14</v>
  </rv>
  <rv s="5">
    <fb>72.587500000000006</fb>
    <v>14</v>
  </rv>
  <rv s="5">
    <fb>413.59</fb>
    <v>14</v>
  </rv>
  <rv s="5">
    <fb>140.16999999999999</fb>
    <v>14</v>
  </rv>
  <rv s="5">
    <fb>175.8</fb>
    <v>14</v>
  </rv>
  <rv s="5">
    <fb>5.5345000000000004</fb>
    <v>14</v>
  </rv>
  <rv s="5">
    <fb>78.8</fb>
    <v>14</v>
  </rv>
  <rv s="5">
    <fb>229.07</fb>
    <v>14</v>
  </rv>
  <rv s="5">
    <fb>2662.84</fb>
    <v>14</v>
  </rv>
  <rv s="5">
    <fb>43196</fb>
    <v>13</v>
  </rv>
  <rv s="5">
    <fb>50.497500000000002</fb>
    <v>14</v>
  </rv>
  <rv s="5">
    <fb>70.261499999999998</fb>
    <v>14</v>
  </rv>
  <rv s="5">
    <fb>39.26</fb>
    <v>14</v>
  </rv>
  <rv s="5">
    <fb>407.04</fb>
    <v>14</v>
  </rv>
  <rv s="5">
    <fb>136.66579999999999</fb>
    <v>14</v>
  </rv>
  <rv s="5">
    <fb>40.6875</fb>
    <v>14</v>
  </rv>
  <rv s="5">
    <fb>64.36</fb>
    <v>14</v>
  </rv>
  <rv s="5">
    <fb>5.3563000000000001</fb>
    <v>14</v>
  </rv>
  <rv s="5">
    <fb>78.430000000000007</fb>
    <v>14</v>
  </rv>
  <rv s="5">
    <fb>223.96</fb>
    <v>14</v>
  </rv>
  <rv s="5">
    <fb>2604.4699999999998</fb>
    <v>14</v>
  </rv>
  <rv s="5">
    <fb>43199</fb>
    <v>13</v>
  </rv>
  <rv s="5">
    <fb>51.0045</fb>
    <v>14</v>
  </rv>
  <rv s="5">
    <fb>70.304000000000002</fb>
    <v>14</v>
  </rv>
  <rv s="5">
    <fb>409.57</fb>
    <v>14</v>
  </rv>
  <rv s="5">
    <fb>136.75190000000001</fb>
    <v>14</v>
  </rv>
  <rv s="5">
    <fb>40.532499999999999</fb>
    <v>14</v>
  </rv>
  <rv s="5">
    <fb>64.260000000000005</fb>
    <v>14</v>
  </rv>
  <rv s="5">
    <fb>5.3853</fb>
    <v>14</v>
  </rv>
  <rv s="5">
    <fb>78.16</fb>
    <v>14</v>
  </rv>
  <rv s="5">
    <fb>222.73</fb>
    <v>14</v>
  </rv>
  <rv s="5">
    <fb>2613.16</fb>
    <v>14</v>
  </rv>
  <rv s="5">
    <fb>43200</fb>
    <v>13</v>
  </rv>
  <rv s="5">
    <fb>51.825000000000003</fb>
    <v>14</v>
  </rv>
  <rv s="5">
    <fb>71.811000000000007</fb>
    <v>14</v>
  </rv>
  <rv s="5">
    <fb>40.14</fb>
    <v>14</v>
  </rv>
  <rv s="5">
    <fb>405.59</fb>
    <v>14</v>
  </rv>
  <rv s="5">
    <fb>139.43279999999999</fb>
    <v>14</v>
  </rv>
  <rv s="5">
    <fb>174.72</fb>
    <v>14</v>
  </rv>
  <rv s="5">
    <fb>40.450000000000003</fb>
    <v>14</v>
  </rv>
  <rv s="5">
    <fb>66.709999999999994</fb>
    <v>14</v>
  </rv>
  <rv s="5">
    <fb>5.6978</fb>
    <v>14</v>
  </rv>
  <rv s="5">
    <fb>78.37</fb>
    <v>14</v>
  </rv>
  <rv s="5">
    <fb>226.79</fb>
    <v>14</v>
  </rv>
  <rv s="5">
    <fb>2656.87</fb>
    <v>14</v>
  </rv>
  <rv s="5">
    <fb>43201</fb>
    <v>13</v>
  </rv>
  <rv s="5">
    <fb>51.253</fb>
    <v>14</v>
  </rv>
  <rv s="5">
    <fb>71.352500000000006</fb>
    <v>14</v>
  </rv>
  <rv s="5">
    <fb>40.25</fb>
    <v>14</v>
  </rv>
  <rv s="5">
    <fb>408.98</fb>
    <v>14</v>
  </rv>
  <rv s="5">
    <fb>138.14019999999999</fb>
    <v>14</v>
  </rv>
  <rv s="5">
    <fb>172.36</fb>
    <v>14</v>
  </rv>
  <rv s="5">
    <fb>67.55</fb>
    <v>14</v>
  </rv>
  <rv s="5">
    <fb>78.27</fb>
    <v>14</v>
  </rv>
  <rv s="5">
    <fb>221.9</fb>
    <v>14</v>
  </rv>
  <rv s="5">
    <fb>2642.19</fb>
    <v>14</v>
  </rv>
  <rv s="5">
    <fb>43202</fb>
    <v>13</v>
  </rv>
  <rv s="5">
    <fb>51.8645</fb>
    <v>14</v>
  </rv>
  <rv s="5">
    <fb>72.424999999999997</fb>
    <v>14</v>
  </rv>
  <rv s="5">
    <fb>401.2</fb>
    <v>14</v>
  </rv>
  <rv s="5">
    <fb>140.23699999999999</fb>
    <v>14</v>
  </rv>
  <rv s="5">
    <fb>174.8</fb>
    <v>14</v>
  </rv>
  <rv s="5">
    <fb>39.767499999999998</fb>
    <v>14</v>
  </rv>
  <rv s="5">
    <fb>67.56</fb>
    <v>14</v>
  </rv>
  <rv s="5">
    <fb>5.8650000000000002</fb>
    <v>14</v>
  </rv>
  <rv s="5">
    <fb>224.24</fb>
    <v>14</v>
  </rv>
  <rv s="5">
    <fb>2663.99</fb>
    <v>14</v>
  </rv>
  <rv s="5">
    <fb>43203</fb>
    <v>13</v>
  </rv>
  <rv s="5">
    <fb>51.802</fb>
    <v>14</v>
  </rv>
  <rv s="5">
    <fb>71.539500000000004</fb>
    <v>14</v>
  </rv>
  <rv s="5">
    <fb>401.45</fb>
    <v>14</v>
  </rv>
  <rv s="5">
    <fb>174.27</fb>
    <v>14</v>
  </rv>
  <rv s="5">
    <fb>40.055</fb>
    <v>14</v>
  </rv>
  <rv s="5">
    <fb>67.95</fb>
    <v>14</v>
  </rv>
  <rv s="5">
    <fb>5.7874999999999996</fb>
    <v>14</v>
  </rv>
  <rv s="5">
    <fb>224.28</fb>
    <v>14</v>
  </rv>
  <rv s="5">
    <fb>2656.3</fb>
    <v>14</v>
  </rv>
  <rv s="5">
    <fb>43206</fb>
    <v>13</v>
  </rv>
  <rv s="5">
    <fb>52.305</fb>
    <v>14</v>
  </rv>
  <rv s="5">
    <fb>72.075000000000003</fb>
    <v>14</v>
  </rv>
  <rv s="5">
    <fb>40.76</fb>
    <v>14</v>
  </rv>
  <rv s="5">
    <fb>405.52</fb>
    <v>14</v>
  </rv>
  <rv s="5">
    <fb>140.5051</fb>
    <v>14</v>
  </rv>
  <rv s="5">
    <fb>173.87</fb>
    <v>14</v>
  </rv>
  <rv s="5">
    <fb>68.52</fb>
    <v>14</v>
  </rv>
  <rv s="5">
    <fb>5.7873000000000001</fb>
    <v>14</v>
  </rv>
  <rv s="5">
    <fb>78.61</fb>
    <v>14</v>
  </rv>
  <rv s="5">
    <fb>230.32</fb>
    <v>14</v>
  </rv>
  <rv s="5">
    <fb>2677.84</fb>
    <v>14</v>
  </rv>
  <rv s="5">
    <fb>43207</fb>
    <v>13</v>
  </rv>
  <rv s="5">
    <fb>53.968000000000004</fb>
    <v>14</v>
  </rv>
  <rv s="5">
    <fb>75.191500000000005</fb>
    <v>14</v>
  </rv>
  <rv s="5">
    <fb>41.41</fb>
    <v>14</v>
  </rv>
  <rv s="5">
    <fb>409.76</fb>
    <v>14</v>
  </rv>
  <rv s="5">
    <fb>142.37209999999999</fb>
    <v>14</v>
  </rv>
  <rv s="5">
    <fb>178.34</fb>
    <v>14</v>
  </rv>
  <rv s="5">
    <fb>40.805</fb>
    <v>14</v>
  </rv>
  <rv s="5">
    <fb>68.66</fb>
    <v>14</v>
  </rv>
  <rv s="5">
    <fb>5.9385000000000003</fb>
    <v>14</v>
  </rv>
  <rv s="5">
    <fb>238.55</fb>
    <v>14</v>
  </rv>
  <rv s="5">
    <fb>2706.39</fb>
    <v>14</v>
  </rv>
  <rv s="5">
    <fb>43208</fb>
    <v>13</v>
  </rv>
  <rv s="5">
    <fb>53.769500000000001</fb>
    <v>14</v>
  </rv>
  <rv s="5">
    <fb>76.391999999999996</fb>
    <v>14</v>
  </rv>
  <rv s="5">
    <fb>41.25</fb>
    <v>14</v>
  </rv>
  <rv s="5">
    <fb>414.18</fb>
    <v>14</v>
  </rv>
  <rv s="5">
    <fb>143.0136</fb>
    <v>14</v>
  </rv>
  <rv s="5">
    <fb>179.46</fb>
    <v>14</v>
  </rv>
  <rv s="5">
    <fb>40.715000000000003</fb>
    <v>14</v>
  </rv>
  <rv s="5">
    <fb>70.34</fb>
    <v>14</v>
  </rv>
  <rv s="5">
    <fb>5.9093</fb>
    <v>14</v>
  </rv>
  <rv s="5">
    <fb>78.2</fb>
    <v>14</v>
  </rv>
  <rv s="5">
    <fb>236.4</fb>
    <v>14</v>
  </rv>
  <rv s="5">
    <fb>2708.64</fb>
    <v>14</v>
  </rv>
  <rv s="5">
    <fb>43209</fb>
    <v>13</v>
  </rv>
  <rv s="5">
    <fb>54.472499999999997</fb>
    <v>14</v>
  </rv>
  <rv s="5">
    <fb>77.845500000000001</fb>
    <v>14</v>
  </rv>
  <rv s="5">
    <fb>40.92</fb>
    <v>14</v>
  </rv>
  <rv s="5">
    <fb>409.37</fb>
    <v>14</v>
  </rv>
  <rv s="5">
    <fb>141.82640000000001</fb>
    <v>14</v>
  </rv>
  <rv s="5">
    <fb>179.01</fb>
    <v>14</v>
  </rv>
  <rv s="5">
    <fb>40.634999999999998</fb>
    <v>14</v>
  </rv>
  <rv s="5">
    <fb>70.28</fb>
    <v>14</v>
  </rv>
  <rv s="5">
    <fb>5.726</fb>
    <v>14</v>
  </rv>
  <rv s="5">
    <fb>74.95</fb>
    <v>14</v>
  </rv>
  <rv s="5">
    <fb>235.76</fb>
    <v>14</v>
  </rv>
  <rv s="5">
    <fb>2693.13</fb>
    <v>14</v>
  </rv>
  <rv s="5">
    <fb>43210</fb>
    <v>13</v>
  </rv>
  <rv s="5">
    <fb>53.866</fb>
    <v>14</v>
  </rv>
  <rv s="5">
    <fb>76.374499999999998</fb>
    <v>14</v>
  </rv>
  <rv s="5">
    <fb>40.67</fb>
    <v>14</v>
  </rv>
  <rv s="5">
    <fb>406.06</fb>
    <v>14</v>
  </rv>
  <rv s="5">
    <fb>144.1626</fb>
    <v>14</v>
  </rv>
  <rv s="5">
    <fb>177.08</fb>
    <v>14</v>
  </rv>
  <rv s="5">
    <fb>40.197499999999998</fb>
    <v>14</v>
  </rv>
  <rv s="5">
    <fb>69.23</fb>
    <v>14</v>
  </rv>
  <rv s="5">
    <fb>5.7178000000000004</fb>
    <v>14</v>
  </rv>
  <rv s="5">
    <fb>73.8</fb>
    <v>14</v>
  </rv>
  <rv s="5">
    <fb>235.06</fb>
    <v>14</v>
  </rv>
  <rv s="5">
    <fb>2670.14</fb>
    <v>14</v>
  </rv>
  <rv s="5">
    <fb>43213</fb>
    <v>13</v>
  </rv>
  <rv s="5">
    <fb>53.6905</fb>
    <v>14</v>
  </rv>
  <rv s="5">
    <fb>75.893000000000001</fb>
    <v>14</v>
  </rv>
  <rv s="5">
    <fb>40.49</fb>
    <v>14</v>
  </rv>
  <rv s="5">
    <fb>407.58</fb>
    <v>14</v>
  </rv>
  <rv s="5">
    <fb>142.2955</fb>
    <v>14</v>
  </rv>
  <rv s="5">
    <fb>175.43</fb>
    <v>14</v>
  </rv>
  <rv s="5">
    <fb>40.282499999999999</fb>
    <v>14</v>
  </rv>
  <rv s="5">
    <fb>68.91</fb>
    <v>14</v>
  </rv>
  <rv s="5">
    <fb>5.5970000000000004</fb>
    <v>14</v>
  </rv>
  <rv s="5">
    <fb>73</fb>
    <v>14</v>
  </rv>
  <rv s="5">
    <fb>234.34</fb>
    <v>14</v>
  </rv>
  <rv s="5">
    <fb>2670.29</fb>
    <v>14</v>
  </rv>
  <rv s="5">
    <fb>43214</fb>
    <v>13</v>
  </rv>
  <rv s="5">
    <fb>51.131999999999998</fb>
    <v>14</v>
  </rv>
  <rv s="5">
    <fb>73.004499999999993</fb>
    <v>14</v>
  </rv>
  <rv s="5">
    <fb>409.53</fb>
    <v>14</v>
  </rv>
  <rv s="5">
    <fb>140.95509999999999</fb>
    <v>14</v>
  </rv>
  <rv s="5">
    <fb>40.542499999999997</fb>
    <v>14</v>
  </rv>
  <rv s="5">
    <fb>68.28</fb>
    <v>14</v>
  </rv>
  <rv s="5">
    <fb>5.53</fb>
    <v>14</v>
  </rv>
  <rv s="5">
    <fb>72.5</fb>
    <v>14</v>
  </rv>
  <rv s="5">
    <fb>234.22</fb>
    <v>14</v>
  </rv>
  <rv s="5">
    <fb>2634.56</fb>
    <v>14</v>
  </rv>
  <rv s="5">
    <fb>43215</fb>
    <v>13</v>
  </rv>
  <rv s="5">
    <fb>51.149500000000003</fb>
    <v>14</v>
  </rv>
  <rv s="5">
    <fb>73.008499999999998</fb>
    <v>14</v>
  </rv>
  <rv s="5">
    <fb>40.22</fb>
    <v>14</v>
  </rv>
  <rv s="5">
    <fb>410.21</fb>
    <v>14</v>
  </rv>
  <rv s="5">
    <fb>140.80189999999999</fb>
    <v>14</v>
  </rv>
  <rv s="5">
    <fb>40.082500000000003</fb>
    <v>14</v>
  </rv>
  <rv s="5">
    <fb>69.099999999999994</fb>
    <v>14</v>
  </rv>
  <rv s="5">
    <fb>5.4165000000000001</fb>
    <v>14</v>
  </rv>
  <rv s="5">
    <fb>234.9</fb>
    <v>14</v>
  </rv>
  <rv s="5">
    <fb>2639.4</fb>
    <v>14</v>
  </rv>
  <rv s="5">
    <fb>43216</fb>
    <v>13</v>
  </rv>
  <rv s="5">
    <fb>52.165500000000002</fb>
    <v>14</v>
  </rv>
  <rv s="5">
    <fb>75.897999999999996</fb>
    <v>14</v>
  </rv>
  <rv s="5">
    <fb>416.08</fb>
    <v>14</v>
  </rv>
  <rv s="5">
    <fb>140.553</fb>
    <v>14</v>
  </rv>
  <rv s="5">
    <fb>178.16</fb>
    <v>14</v>
  </rv>
  <rv s="5">
    <fb>40.802500000000002</fb>
    <v>14</v>
  </rv>
  <rv s="5">
    <fb>69.47</fb>
    <v>14</v>
  </rv>
  <rv s="5">
    <fb>5.6304999999999996</fb>
    <v>14</v>
  </rv>
  <rv s="5">
    <fb>72.75</fb>
    <v>14</v>
  </rv>
  <rv s="5">
    <fb>237.03</fb>
    <v>14</v>
  </rv>
  <rv s="5">
    <fb>2666.94</fb>
    <v>14</v>
  </rv>
  <rv s="5">
    <fb>43217</fb>
    <v>13</v>
  </rv>
  <rv s="5">
    <fb>51.572499999999998</fb>
    <v>14</v>
  </rv>
  <rv s="5">
    <fb>78.631</fb>
    <v>14</v>
  </rv>
  <rv s="5">
    <fb>40.549999999999997</fb>
    <v>14</v>
  </rv>
  <rv s="5">
    <fb>421.15</fb>
    <v>14</v>
  </rv>
  <rv s="5">
    <fb>140.67750000000001</fb>
    <v>14</v>
  </rv>
  <rv s="5">
    <fb>175.94</fb>
    <v>14</v>
  </rv>
  <rv s="5">
    <fb>5.6582999999999997</fb>
    <v>14</v>
  </rv>
  <rv s="5">
    <fb>72.81</fb>
    <v>14</v>
  </rv>
  <rv s="5">
    <fb>240.18</fb>
    <v>14</v>
  </rv>
  <rv s="5">
    <fb>2669.91</fb>
    <v>14</v>
  </rv>
  <rv s="5">
    <fb>43220</fb>
    <v>13</v>
  </rv>
  <rv s="5">
    <fb>50.929000000000002</fb>
    <v>14</v>
  </rv>
  <rv s="5">
    <fb>78.3065</fb>
    <v>14</v>
  </rv>
  <rv s="5">
    <fb>420.79</fb>
    <v>14</v>
  </rv>
  <rv s="5">
    <fb>138.5232</fb>
    <v>14</v>
  </rv>
  <rv s="5">
    <fb>178.27</fb>
    <v>14</v>
  </rv>
  <rv s="5">
    <fb>40.977499999999999</fb>
    <v>14</v>
  </rv>
  <rv s="5">
    <fb>68.56</fb>
    <v>14</v>
  </rv>
  <rv s="5">
    <fb>5.6224999999999996</fb>
    <v>14</v>
  </rv>
  <rv s="5">
    <fb>72.34</fb>
    <v>14</v>
  </rv>
  <rv s="5">
    <fb>2648.05</fb>
    <v>14</v>
  </rv>
  <rv s="5">
    <fb>43221</fb>
    <v>13</v>
  </rv>
  <rv s="5">
    <fb>52.037500000000001</fb>
    <v>14</v>
  </rv>
  <rv s="5">
    <fb>79.113</fb>
    <v>14</v>
  </rv>
  <rv s="5">
    <fb>423.03</fb>
    <v>14</v>
  </rv>
  <rv s="5">
    <fb>180.25</fb>
    <v>14</v>
  </rv>
  <rv s="5">
    <fb>68.400000000000006</fb>
    <v>14</v>
  </rv>
  <rv s="5">
    <fb>5.6784999999999997</fb>
    <v>14</v>
  </rv>
  <rv s="5">
    <fb>71.959999999999994</fb>
    <v>14</v>
  </rv>
  <rv s="5">
    <fb>236.85</fb>
    <v>14</v>
  </rv>
  <rv s="5">
    <fb>2654.8</fb>
    <v>14</v>
  </rv>
  <rv s="5">
    <fb>43222</fb>
    <v>13</v>
  </rv>
  <rv s="5">
    <fb>51.302500000000002</fb>
    <v>14</v>
  </rv>
  <rv s="5">
    <fb>78.483999999999995</fb>
    <v>14</v>
  </rv>
  <rv s="5">
    <fb>424.09</fb>
    <v>14</v>
  </rv>
  <rv s="5">
    <fb>136.8955</fb>
    <v>14</v>
  </rv>
  <rv s="5">
    <fb>185.82</fb>
    <v>14</v>
  </rv>
  <rv s="5">
    <fb>40.862499999999997</fb>
    <v>14</v>
  </rv>
  <rv s="5">
    <fb>5.6577999999999999</fb>
    <v>14</v>
  </rv>
  <rv s="5">
    <fb>233.46</fb>
    <v>14</v>
  </rv>
  <rv s="5">
    <fb>2635.67</fb>
    <v>14</v>
  </rv>
  <rv s="5">
    <fb>43223</fb>
    <v>13</v>
  </rv>
  <rv s="5">
    <fb>51.314999999999998</fb>
    <v>14</v>
  </rv>
  <rv s="5">
    <fb>78.603800000000007</fb>
    <v>14</v>
  </rv>
  <rv s="5">
    <fb>398.13</fb>
    <v>14</v>
  </rv>
  <rv s="5">
    <fb>137.2594</fb>
    <v>14</v>
  </rv>
  <rv s="5">
    <fb>186.48</fb>
    <v>14</v>
  </rv>
  <rv s="5">
    <fb>40.765000000000001</fb>
    <v>14</v>
  </rv>
  <rv s="5">
    <fb>67.72</fb>
    <v>14</v>
  </rv>
  <rv s="5">
    <fb>5.8247999999999998</fb>
    <v>14</v>
  </rv>
  <rv s="5">
    <fb>234.15</fb>
    <v>14</v>
  </rv>
  <rv s="5">
    <fb>2629.73</fb>
    <v>14</v>
  </rv>
  <rv s="5">
    <fb>43224</fb>
    <v>13</v>
  </rv>
  <rv s="5">
    <fb>52.55</fb>
    <v>14</v>
  </rv>
  <rv s="5">
    <fb>79.047499999999999</fb>
    <v>14</v>
  </rv>
  <rv s="5">
    <fb>403.88</fb>
    <v>14</v>
  </rv>
  <rv s="5">
    <fb>137.76679999999999</fb>
    <v>14</v>
  </rv>
  <rv s="5">
    <fb>188.17</fb>
    <v>14</v>
  </rv>
  <rv s="5">
    <fb>41.022500000000001</fb>
    <v>14</v>
  </rv>
  <rv s="5">
    <fb>68.790000000000006</fb>
    <v>14</v>
  </rv>
  <rv s="5">
    <fb>5.9764999999999997</fb>
    <v>14</v>
  </rv>
  <rv s="5">
    <fb>72.430000000000007</fb>
    <v>14</v>
  </rv>
  <rv s="5">
    <fb>235.9</fb>
    <v>14</v>
  </rv>
  <rv s="5">
    <fb>2663.42</fb>
    <v>14</v>
  </rv>
  <rv s="5">
    <fb>43227</fb>
    <v>13</v>
  </rv>
  <rv s="5">
    <fb>52.972999999999999</fb>
    <v>14</v>
  </rv>
  <rv s="5">
    <fb>80.007000000000005</fb>
    <v>14</v>
  </rv>
  <rv s="5">
    <fb>38.22</fb>
    <v>14</v>
  </rv>
  <rv s="5">
    <fb>394.16</fb>
    <v>14</v>
  </rv>
  <rv s="5">
    <fb>189.1</fb>
    <v>14</v>
  </rv>
  <rv s="5">
    <fb>40.837499999999999</fb>
    <v>14</v>
  </rv>
  <rv s="5">
    <fb>69.209999999999994</fb>
    <v>14</v>
  </rv>
  <rv s="5">
    <fb>6.2169999999999996</fb>
    <v>14</v>
  </rv>
  <rv s="5">
    <fb>71.98</fb>
    <v>14</v>
  </rv>
  <rv s="5">
    <fb>233.78</fb>
    <v>14</v>
  </rv>
  <rv s="5">
    <fb>2672.63</fb>
    <v>14</v>
  </rv>
  <rv s="5">
    <fb>43228</fb>
    <v>13</v>
  </rv>
  <rv s="5">
    <fb>52.929499999999997</fb>
    <v>14</v>
  </rv>
  <rv s="5">
    <fb>79.619500000000002</fb>
    <v>14</v>
  </rv>
  <rv s="5">
    <fb>38.07</fb>
    <v>14</v>
  </rv>
  <rv s="5">
    <fb>388.34</fb>
    <v>14</v>
  </rv>
  <rv s="5">
    <fb>138.0924</fb>
    <v>14</v>
  </rv>
  <rv s="5">
    <fb>190.53</fb>
    <v>14</v>
  </rv>
  <rv s="5">
    <fb>39.977499999999999</fb>
    <v>14</v>
  </rv>
  <rv s="5">
    <fb>69.540000000000006</fb>
    <v>14</v>
  </rv>
  <rv s="5">
    <fb>6.26</fb>
    <v>14</v>
  </rv>
  <rv s="5">
    <fb>71.44</fb>
    <v>14</v>
  </rv>
  <rv s="5">
    <fb>232.03</fb>
    <v>14</v>
  </rv>
  <rv s="5">
    <fb>2671.92</fb>
    <v>14</v>
  </rv>
  <rv s="5">
    <fb>43229</fb>
    <v>13</v>
  </rv>
  <rv s="5">
    <fb>54.447499999999998</fb>
    <v>14</v>
  </rv>
  <rv s="5">
    <fb>80.400000000000006</fb>
    <v>14</v>
  </rv>
  <rv s="5">
    <fb>388.17</fb>
    <v>14</v>
  </rv>
  <rv s="5">
    <fb>139.49019999999999</fb>
    <v>14</v>
  </rv>
  <rv s="5">
    <fb>190.63</fb>
    <v>14</v>
  </rv>
  <rv s="5">
    <fb>39.572499999999998</fb>
    <v>14</v>
  </rv>
  <rv s="5">
    <fb>70.88</fb>
    <v>14</v>
  </rv>
  <rv s="5">
    <fb>6.3944999999999999</fb>
    <v>14</v>
  </rv>
  <rv s="5">
    <fb>72.37</fb>
    <v>14</v>
  </rv>
  <rv s="5">
    <fb>229.21</fb>
    <v>14</v>
  </rv>
  <rv s="5">
    <fb>2697.79</fb>
    <v>14</v>
  </rv>
  <rv s="5">
    <fb>43230</fb>
    <v>13</v>
  </rv>
  <rv s="5">
    <fb>55.273499999999999</fb>
    <v>14</v>
  </rv>
  <rv s="5">
    <fb>80.453999999999994</fb>
    <v>14</v>
  </rv>
  <rv s="5">
    <fb>38.81</fb>
    <v>14</v>
  </rv>
  <rv s="5">
    <fb>398.66</fb>
    <v>14</v>
  </rv>
  <rv s="5">
    <fb>141.0317</fb>
    <v>14</v>
  </rv>
  <rv s="5">
    <fb>193.05</fb>
    <v>14</v>
  </rv>
  <rv s="5">
    <fb>40.057499999999997</fb>
    <v>14</v>
  </rv>
  <rv s="5">
    <fb>71.12</fb>
    <v>14</v>
  </rv>
  <rv s="5">
    <fb>6.5033000000000003</fb>
    <v>14</v>
  </rv>
  <rv s="5">
    <fb>73.150000000000006</fb>
    <v>14</v>
  </rv>
  <rv s="5">
    <fb>233.71</fb>
    <v>14</v>
  </rv>
  <rv s="5">
    <fb>2723.07</fb>
    <v>14</v>
  </rv>
  <rv s="5">
    <fb>43231</fb>
    <v>13</v>
  </rv>
  <rv s="5">
    <fb>55.168999999999997</fb>
    <v>14</v>
  </rv>
  <rv s="5">
    <fb>80.145499999999998</fb>
    <v>14</v>
  </rv>
  <rv s="5">
    <fb>38.549999999999997</fb>
    <v>14</v>
  </rv>
  <rv s="5">
    <fb>401.89</fb>
    <v>14</v>
  </rv>
  <rv s="5">
    <fb>141.08920000000001</fb>
    <v>14</v>
  </rv>
  <rv s="5">
    <fb>193.35</fb>
    <v>14</v>
  </rv>
  <rv s="5">
    <fb>40.185000000000002</fb>
    <v>14</v>
  </rv>
  <rv s="5">
    <fb>71.08</fb>
    <v>14</v>
  </rv>
  <rv s="5">
    <fb>6.3632999999999997</fb>
    <v>14</v>
  </rv>
  <rv s="5">
    <fb>73.37</fb>
    <v>14</v>
  </rv>
  <rv s="5">
    <fb>238.28</fb>
    <v>14</v>
  </rv>
  <rv s="5">
    <fb>2727.72</fb>
    <v>14</v>
  </rv>
  <rv s="5">
    <fb>43234</fb>
    <v>13</v>
  </rv>
  <rv s="5">
    <fb>55.33</fb>
    <v>14</v>
  </rv>
  <rv s="5">
    <fb>80.076999999999998</fb>
    <v>14</v>
  </rv>
  <rv s="5">
    <fb>38.36</fb>
    <v>14</v>
  </rv>
  <rv s="5">
    <fb>397.95</fb>
    <v>14</v>
  </rv>
  <rv s="5">
    <fb>192.12</fb>
    <v>14</v>
  </rv>
  <rv s="5">
    <fb>71.599999999999994</fb>
    <v>14</v>
  </rv>
  <rv s="5">
    <fb>6.3840000000000003</fb>
    <v>14</v>
  </rv>
  <rv s="5">
    <fb>73.28</fb>
    <v>14</v>
  </rv>
  <rv s="5">
    <fb>242.9</fb>
    <v>14</v>
  </rv>
  <rv s="5">
    <fb>2730.13</fb>
    <v>14</v>
  </rv>
  <rv s="5">
    <fb>43235</fb>
    <v>13</v>
  </rv>
  <rv s="5">
    <fb>54.243499999999997</fb>
    <v>14</v>
  </rv>
  <rv s="5">
    <fb>78.805999999999997</fb>
    <v>14</v>
  </rv>
  <rv s="5">
    <fb>37.74</fb>
    <v>14</v>
  </rv>
  <rv s="5">
    <fb>388.32</fb>
    <v>14</v>
  </rv>
  <rv s="5">
    <fb>141.0796</fb>
    <v>14</v>
  </rv>
  <rv s="5">
    <fb>192</fb>
    <v>14</v>
  </rv>
  <rv s="5">
    <fb>39.712499999999999</fb>
    <v>14</v>
  </rv>
  <rv s="5">
    <fb>6.1390000000000002</fb>
    <v>14</v>
  </rv>
  <rv s="5">
    <fb>72.95</fb>
    <v>14</v>
  </rv>
  <rv s="5">
    <fb>239.5</fb>
    <v>14</v>
  </rv>
  <rv s="5">
    <fb>2711.45</fb>
    <v>14</v>
  </rv>
  <rv s="5">
    <fb>43236</fb>
    <v>13</v>
  </rv>
  <rv s="5">
    <fb>54.204500000000003</fb>
    <v>14</v>
  </rv>
  <rv s="5">
    <fb>79.364000000000004</fb>
    <v>14</v>
  </rv>
  <rv s="5">
    <fb>38.15</fb>
    <v>14</v>
  </rv>
  <rv s="5">
    <fb>385.76</fb>
    <v>14</v>
  </rv>
  <rv s="5">
    <fb>141.27109999999999</fb>
    <v>14</v>
  </rv>
  <rv s="5">
    <fb>192.38</fb>
    <v>14</v>
  </rv>
  <rv s="5">
    <fb>39.292499999999997</fb>
    <v>14</v>
  </rv>
  <rv s="5">
    <fb>73.11</fb>
    <v>14</v>
  </rv>
  <rv s="5">
    <fb>6.1502999999999997</fb>
    <v>14</v>
  </rv>
  <rv s="5">
    <fb>73.53</fb>
    <v>14</v>
  </rv>
  <rv s="5">
    <fb>241.72</fb>
    <v>14</v>
  </rv>
  <rv s="5">
    <fb>2722.46</fb>
    <v>14</v>
  </rv>
  <rv s="5">
    <fb>43237</fb>
    <v>13</v>
  </rv>
  <rv s="5">
    <fb>54.063000000000002</fb>
    <v>14</v>
  </rv>
  <rv s="5">
    <fb>79.087999999999994</fb>
    <v>14</v>
  </rv>
  <rv s="5">
    <fb>381.93</fb>
    <v>14</v>
  </rv>
  <rv s="5">
    <fb>140.85939999999999</fb>
    <v>14</v>
  </rv>
  <rv s="5">
    <fb>191.2</fb>
    <v>14</v>
  </rv>
  <rv s="5">
    <fb>39.104999999999997</fb>
    <v>14</v>
  </rv>
  <rv s="5">
    <fb>74.430000000000007</fb>
    <v>14</v>
  </rv>
  <rv s="5">
    <fb>73.959999999999994</fb>
    <v>14</v>
  </rv>
  <rv s="5">
    <fb>242.96</fb>
    <v>14</v>
  </rv>
  <rv s="5">
    <fb>2720.13</fb>
    <v>14</v>
  </rv>
  <rv s="5">
    <fb>43238</fb>
    <v>13</v>
  </rv>
  <rv s="5">
    <fb>53.481999999999999</fb>
    <v>14</v>
  </rv>
  <rv s="5">
    <fb>78.718500000000006</fb>
    <v>14</v>
  </rv>
  <rv s="5">
    <fb>385.86</fb>
    <v>14</v>
  </rv>
  <rv s="5">
    <fb>142.0275</fb>
    <v>14</v>
  </rv>
  <rv s="5">
    <fb>39.112499999999997</fb>
    <v>14</v>
  </rv>
  <rv s="5">
    <fb>74.290000000000006</fb>
    <v>14</v>
  </rv>
  <rv s="5">
    <fb>6.1485000000000003</fb>
    <v>14</v>
  </rv>
  <rv s="5">
    <fb>73.45</fb>
    <v>14</v>
  </rv>
  <rv s="5">
    <fb>244.64</fb>
    <v>14</v>
  </rv>
  <rv s="5">
    <fb>2712.97</fb>
    <v>14</v>
  </rv>
  <rv s="5">
    <fb>43241</fb>
    <v>13</v>
  </rv>
  <rv s="5">
    <fb>54.200499999999998</fb>
    <v>14</v>
  </rv>
  <rv s="5">
    <fb>79.272999999999996</fb>
    <v>14</v>
  </rv>
  <rv s="5">
    <fb>38.020000000000003</fb>
    <v>14</v>
  </rv>
  <rv s="5">
    <fb>388.75</fb>
    <v>14</v>
  </rv>
  <rv s="5">
    <fb>144.08600000000001</fb>
    <v>14</v>
  </rv>
  <rv s="5">
    <fb>75.03</fb>
    <v>14</v>
  </rv>
  <rv s="5">
    <fb>6.1059999999999999</fb>
    <v>14</v>
  </rv>
  <rv s="5">
    <fb>74.06</fb>
    <v>14</v>
  </rv>
  <rv s="5">
    <fb>247.9</fb>
    <v>14</v>
  </rv>
  <rv s="5">
    <fb>2733.01</fb>
    <v>14</v>
  </rv>
  <rv s="5">
    <fb>43242</fb>
    <v>13</v>
  </rv>
  <rv s="5">
    <fb>53.765500000000003</fb>
    <v>14</v>
  </rv>
  <rv s="5">
    <fb>79.069999999999993</fb>
    <v>14</v>
  </rv>
  <rv s="5">
    <fb>383.19</fb>
    <v>14</v>
  </rv>
  <rv s="5">
    <fb>144.44980000000001</fb>
    <v>14</v>
  </rv>
  <rv s="5">
    <fb>191.62</fb>
    <v>14</v>
  </rv>
  <rv s="5">
    <fb>39.857500000000002</fb>
    <v>14</v>
  </rv>
  <rv s="5">
    <fb>73.73</fb>
    <v>14</v>
  </rv>
  <rv s="5">
    <fb>6.0674999999999999</fb>
    <v>14</v>
  </rv>
  <rv s="5">
    <fb>74.03</fb>
    <v>14</v>
  </rv>
  <rv s="5">
    <fb>2724.44</fb>
    <v>14</v>
  </rv>
  <rv s="5">
    <fb>43243</fb>
    <v>13</v>
  </rv>
  <rv s="5">
    <fb>54.298000000000002</fb>
    <v>14</v>
  </rv>
  <rv s="5">
    <fb>80.093000000000004</fb>
    <v>14</v>
  </rv>
  <rv s="5">
    <fb>384.42</fb>
    <v>14</v>
  </rv>
  <rv s="5">
    <fb>144.88059999999999</fb>
    <v>14</v>
  </rv>
  <rv s="5">
    <fb>192.99</fb>
    <v>14</v>
  </rv>
  <rv s="5">
    <fb>40.07</fb>
    <v>14</v>
  </rv>
  <rv s="5">
    <fb>6.1885000000000003</fb>
    <v>14</v>
  </rv>
  <rv s="5">
    <fb>74.180000000000007</fb>
    <v>14</v>
  </rv>
  <rv s="5">
    <fb>244.26</fb>
    <v>14</v>
  </rv>
  <rv s="5">
    <fb>2733.29</fb>
    <v>14</v>
  </rv>
  <rv s="5">
    <fb>43244</fb>
    <v>13</v>
  </rv>
  <rv s="5">
    <fb>54.272500000000001</fb>
    <v>14</v>
  </rv>
  <rv s="5">
    <fb>80.153499999999994</fb>
    <v>14</v>
  </rv>
  <rv s="5">
    <fb>387</fb>
    <v>14</v>
  </rv>
  <rv s="5">
    <fb>144.65090000000001</fb>
    <v>14</v>
  </rv>
  <rv s="5">
    <fb>191.91</fb>
    <v>14</v>
  </rv>
  <rv s="5">
    <fb>40.299999999999997</fb>
    <v>14</v>
  </rv>
  <rv s="5">
    <fb>71.22</fb>
    <v>14</v>
  </rv>
  <rv s="5">
    <fb>6.1923000000000004</fb>
    <v>14</v>
  </rv>
  <rv s="5">
    <fb>73.77</fb>
    <v>14</v>
  </rv>
  <rv s="5">
    <fb>242.73</fb>
    <v>14</v>
  </rv>
  <rv s="5">
    <fb>2727.76</fb>
    <v>14</v>
  </rv>
  <rv s="5">
    <fb>43245</fb>
    <v>13</v>
  </rv>
  <rv s="5">
    <fb>54.204000000000001</fb>
    <v>14</v>
  </rv>
  <rv s="5">
    <fb>80.507499999999993</fb>
    <v>14</v>
  </rv>
  <rv s="5">
    <fb>38.369999999999997</fb>
    <v>14</v>
  </rv>
  <rv s="5">
    <fb>144.24870000000001</fb>
    <v>14</v>
  </rv>
  <rv s="5">
    <fb>191.17</fb>
    <v>14</v>
  </rv>
  <rv s="5">
    <fb>40.604999999999997</fb>
    <v>14</v>
  </rv>
  <rv s="5">
    <fb>6.2320000000000002</fb>
    <v>14</v>
  </rv>
  <rv s="5">
    <fb>74.31</fb>
    <v>14</v>
  </rv>
  <rv s="5">
    <fb>244.95</fb>
    <v>14</v>
  </rv>
  <rv s="5">
    <fb>2721.33</fb>
    <v>14</v>
  </rv>
  <rv s="5">
    <fb>43249</fb>
    <v>13</v>
  </rv>
  <rv s="5">
    <fb>53.403500000000001</fb>
    <v>14</v>
  </rv>
  <rv s="5">
    <fb>80.643500000000003</fb>
    <v>14</v>
  </rv>
  <rv s="5">
    <fb>37.590000000000003</fb>
    <v>14</v>
  </rv>
  <rv s="5">
    <fb>396.1</fb>
    <v>14</v>
  </rv>
  <rv s="5">
    <fb>141.89340000000001</fb>
    <v>14</v>
  </rv>
  <rv s="5">
    <fb>189.53</fb>
    <v>14</v>
  </rv>
  <rv s="5">
    <fb>40.932499999999997</fb>
    <v>14</v>
  </rv>
  <rv s="5">
    <fb>68.069999999999993</fb>
    <v>14</v>
  </rv>
  <rv s="5">
    <fb>6.2148000000000003</fb>
    <v>14</v>
  </rv>
  <rv s="5">
    <fb>74.05</fb>
    <v>14</v>
  </rv>
  <rv s="5">
    <fb>242.17</fb>
    <v>14</v>
  </rv>
  <rv s="5">
    <fb>2689.86</fb>
    <v>14</v>
  </rv>
  <rv s="5">
    <fb>43250</fb>
    <v>13</v>
  </rv>
  <rv s="5">
    <fb>53.8735</fb>
    <v>14</v>
  </rv>
  <rv s="5">
    <fb>81.244500000000002</fb>
    <v>14</v>
  </rv>
  <rv s="5">
    <fb>37.67</fb>
    <v>14</v>
  </rv>
  <rv s="5">
    <fb>401.29</fb>
    <v>14</v>
  </rv>
  <rv s="5">
    <fb>144.03809999999999</fb>
    <v>14</v>
  </rv>
  <rv s="5">
    <fb>191.76</fb>
    <v>14</v>
  </rv>
  <rv s="5">
    <fb>41.317500000000003</fb>
    <v>14</v>
  </rv>
  <rv s="5">
    <fb>69.48</fb>
    <v>14</v>
  </rv>
  <rv s="5">
    <fb>6.3247999999999998</fb>
    <v>14</v>
  </rv>
  <rv s="5">
    <fb>74.89</fb>
    <v>14</v>
  </rv>
  <rv s="5">
    <fb>244.94</fb>
    <v>14</v>
  </rv>
  <rv s="5">
    <fb>2724.01</fb>
    <v>14</v>
  </rv>
  <rv s="5">
    <fb>43251</fb>
    <v>13</v>
  </rv>
  <rv s="5">
    <fb>55</fb>
    <v>14</v>
  </rv>
  <rv s="5">
    <fb>81.480999999999995</fb>
    <v>14</v>
  </rv>
  <rv s="5">
    <fb>36.950000000000003</fb>
    <v>14</v>
  </rv>
  <rv s="5">
    <fb>396.85</fb>
    <v>14</v>
  </rv>
  <rv s="5">
    <fb>141.61580000000001</fb>
    <v>14</v>
  </rv>
  <rv s="5">
    <fb>190.12</fb>
    <v>14</v>
  </rv>
  <rv s="5">
    <fb>41.452500000000001</fb>
    <v>14</v>
  </rv>
  <rv s="5">
    <fb>6.3048000000000002</fb>
    <v>14</v>
  </rv>
  <rv s="5">
    <fb>73.17</fb>
    <v>14</v>
  </rv>
  <rv s="5">
    <fb>241.51</fb>
    <v>14</v>
  </rv>
  <rv s="5">
    <fb>2705.27</fb>
    <v>14</v>
  </rv>
  <rv s="5">
    <fb>43252</fb>
    <v>13</v>
  </rv>
  <rv s="5">
    <fb>56.75</fb>
    <v>14</v>
  </rv>
  <rv s="5">
    <fb>82.076999999999998</fb>
    <v>14</v>
  </rv>
  <rv s="5">
    <fb>36.76</fb>
    <v>14</v>
  </rv>
  <rv s="5">
    <fb>399.21</fb>
    <v>14</v>
  </rv>
  <rv s="5">
    <fb>143.703</fb>
    <v>14</v>
  </rv>
  <rv s="5">
    <fb>195.37</fb>
    <v>14</v>
  </rv>
  <rv s="5">
    <fb>40.770000000000003</fb>
    <v>14</v>
  </rv>
  <rv s="5">
    <fb>6.4405000000000001</fb>
    <v>14</v>
  </rv>
  <rv s="5">
    <fb>2734.62</fb>
    <v>14</v>
  </rv>
  <rv s="5">
    <fb>43255</fb>
    <v>13</v>
  </rv>
  <rv s="5">
    <fb>57.652000000000001</fb>
    <v>14</v>
  </rv>
  <rv s="5">
    <fb>83.263499999999993</fb>
    <v>14</v>
  </rv>
  <rv s="5">
    <fb>400.94</fb>
    <v>14</v>
  </rv>
  <rv s="5">
    <fb>143.7509</fb>
    <v>14</v>
  </rv>
  <rv s="5">
    <fb>40.292499999999997</fb>
    <v>14</v>
  </rv>
  <rv s="5">
    <fb>69.069999999999993</fb>
    <v>14</v>
  </rv>
  <rv s="5">
    <fb>6.6212999999999997</fb>
    <v>14</v>
  </rv>
  <rv s="5">
    <fb>244.63</fb>
    <v>14</v>
  </rv>
  <rv s="5">
    <fb>2746.87</fb>
    <v>14</v>
  </rv>
  <rv s="5">
    <fb>43256</fb>
    <v>13</v>
  </rv>
  <rv s="5">
    <fb>57.551000000000002</fb>
    <v>14</v>
  </rv>
  <rv s="5">
    <fb>84.817499999999995</fb>
    <v>14</v>
  </rv>
  <rv s="5">
    <fb>36.65</fb>
    <v>14</v>
  </rv>
  <rv s="5">
    <fb>395.57</fb>
    <v>14</v>
  </rv>
  <rv s="5">
    <fb>143.4923</fb>
    <v>14</v>
  </rv>
  <rv s="5">
    <fb>199.36</fb>
    <v>14</v>
  </rv>
  <rv s="5">
    <fb>39.825000000000003</fb>
    <v>14</v>
  </rv>
  <rv s="5">
    <fb>6.6268000000000002</fb>
    <v>14</v>
  </rv>
  <rv s="5">
    <fb>73.97</fb>
    <v>14</v>
  </rv>
  <rv s="5">
    <fb>244.43</fb>
    <v>14</v>
  </rv>
  <rv s="5">
    <fb>2748.8</fb>
    <v>14</v>
  </rv>
  <rv s="5">
    <fb>43257</fb>
    <v>13</v>
  </rv>
  <rv s="5">
    <fb>57.347499999999997</fb>
    <v>14</v>
  </rv>
  <rv s="5">
    <fb>84.787499999999994</fb>
    <v>14</v>
  </rv>
  <rv s="5">
    <fb>36.729999999999997</fb>
    <v>14</v>
  </rv>
  <rv s="5">
    <fb>395.51</fb>
    <v>14</v>
  </rv>
  <rv s="5">
    <fb>144.57429999999999</fb>
    <v>14</v>
  </rv>
  <rv s="5">
    <fb>203.21</fb>
    <v>14</v>
  </rv>
  <rv s="5">
    <fb>39.032499999999999</fb>
    <v>14</v>
  </rv>
  <rv s="5">
    <fb>68.89</fb>
    <v>14</v>
  </rv>
  <rv s="5">
    <fb>6.6288</fb>
    <v>14</v>
  </rv>
  <rv s="5">
    <fb>74.349999999999994</fb>
    <v>14</v>
  </rv>
  <rv s="5">
    <fb>248.65</fb>
    <v>14</v>
  </rv>
  <rv s="5">
    <fb>2772.35</fb>
    <v>14</v>
  </rv>
  <rv s="5">
    <fb>43258</fb>
    <v>13</v>
  </rv>
  <rv s="5">
    <fb>84.465000000000003</fb>
    <v>14</v>
  </rv>
  <rv s="5">
    <fb>37.33</fb>
    <v>14</v>
  </rv>
  <rv s="5">
    <fb>397.42</fb>
    <v>14</v>
  </rv>
  <rv s="5">
    <fb>145.61789999999999</fb>
    <v>14</v>
  </rv>
  <rv s="5">
    <fb>199.54</fb>
    <v>14</v>
  </rv>
  <rv s="5">
    <fb>39.094999999999999</fb>
    <v>14</v>
  </rv>
  <rv s="5">
    <fb>69.599999999999994</fb>
    <v>14</v>
  </rv>
  <rv s="5">
    <fb>6.5724999999999998</fb>
    <v>14</v>
  </rv>
  <rv s="5">
    <fb>75.760000000000005</fb>
    <v>14</v>
  </rv>
  <rv s="5">
    <fb>248.98</fb>
    <v>14</v>
  </rv>
  <rv s="5">
    <fb>2770.37</fb>
    <v>14</v>
  </rv>
  <rv s="5">
    <fb>43259</fb>
    <v>13</v>
  </rv>
  <rv s="5">
    <fb>56.6355</fb>
    <v>14</v>
  </rv>
  <rv s="5">
    <fb>84.1995</fb>
    <v>14</v>
  </rv>
  <rv s="5">
    <fb>403.35</fb>
    <v>14</v>
  </rv>
  <rv s="5">
    <fb>145.39769999999999</fb>
    <v>14</v>
  </rv>
  <rv s="5">
    <fb>200.04</fb>
    <v>14</v>
  </rv>
  <rv s="5">
    <fb>39.200000000000003</fb>
    <v>14</v>
  </rv>
  <rv s="5">
    <fb>69.430000000000007</fb>
    <v>14</v>
  </rv>
  <rv s="5">
    <fb>6.5570000000000004</fb>
    <v>14</v>
  </rv>
  <rv s="5">
    <fb>77.180000000000007</fb>
    <v>14</v>
  </rv>
  <rv s="5">
    <fb>250.68</fb>
    <v>14</v>
  </rv>
  <rv s="5">
    <fb>2779.03</fb>
    <v>14</v>
  </rv>
  <rv s="5">
    <fb>43262</fb>
    <v>13</v>
  </rv>
  <rv s="5">
    <fb>57.045000000000002</fb>
    <v>14</v>
  </rv>
  <rv s="5">
    <fb>84.456000000000003</fb>
    <v>14</v>
  </rv>
  <rv s="5">
    <fb>404.23</fb>
    <v>14</v>
  </rv>
  <rv s="5">
    <fb>145.40719999999999</fb>
    <v>14</v>
  </rv>
  <rv s="5">
    <fb>198.49</fb>
    <v>14</v>
  </rv>
  <rv s="5">
    <fb>38.85</fb>
    <v>14</v>
  </rv>
  <rv s="5">
    <fb>69.87</fb>
    <v>14</v>
  </rv>
  <rv s="5">
    <fb>6.5155000000000003</fb>
    <v>14</v>
  </rv>
  <rv s="5">
    <fb>77.53</fb>
    <v>14</v>
  </rv>
  <rv s="5">
    <fb>253.78</fb>
    <v>14</v>
  </rv>
  <rv s="5">
    <fb>2782</fb>
    <v>14</v>
  </rv>
  <rv s="5">
    <fb>43263</fb>
    <v>13</v>
  </rv>
  <rv s="5">
    <fb>57.409500000000001</fb>
    <v>14</v>
  </rv>
  <rv s="5">
    <fb>84.9375</fb>
    <v>14</v>
  </rv>
  <rv s="5">
    <fb>37.82</fb>
    <v>14</v>
  </rv>
  <rv s="5">
    <fb>405.33</fb>
    <v>14</v>
  </rv>
  <rv s="5">
    <fb>145.78059999999999</fb>
    <v>14</v>
  </rv>
  <rv s="5">
    <fb>200.13</fb>
    <v>14</v>
  </rv>
  <rv s="5">
    <fb>39.352499999999999</fb>
    <v>14</v>
  </rv>
  <rv s="5">
    <fb>6.5644999999999998</fb>
    <v>14</v>
  </rv>
  <rv s="5">
    <fb>77.239999999999995</fb>
    <v>14</v>
  </rv>
  <rv s="5">
    <fb>253.58</fb>
    <v>14</v>
  </rv>
  <rv s="5">
    <fb>2786.85</fb>
    <v>14</v>
  </rv>
  <rv s="5">
    <fb>43264</fb>
    <v>13</v>
  </rv>
  <rv s="5">
    <fb>57.211500000000001</fb>
    <v>14</v>
  </rv>
  <rv s="5">
    <fb>85.242999999999995</fb>
    <v>14</v>
  </rv>
  <rv s="5">
    <fb>37.11</fb>
    <v>14</v>
  </rv>
  <rv s="5">
    <fb>392.69</fb>
    <v>14</v>
  </rv>
  <rv s="5">
    <fb>145.3689</fb>
    <v>14</v>
  </rv>
  <rv s="5">
    <fb>199.41</fb>
    <v>14</v>
  </rv>
  <rv s="5">
    <fb>39.284999999999997</fb>
    <v>14</v>
  </rv>
  <rv s="5">
    <fb>67.97</fb>
    <v>14</v>
  </rv>
  <rv s="5">
    <fb>6.56</fb>
    <v>14</v>
  </rv>
  <rv s="5">
    <fb>76.47</fb>
    <v>14</v>
  </rv>
  <rv s="5">
    <fb>252.87</fb>
    <v>14</v>
  </rv>
  <rv s="5">
    <fb>2775.63</fb>
    <v>14</v>
  </rv>
  <rv s="5">
    <fb>43265</fb>
    <v>13</v>
  </rv>
  <rv s="5">
    <fb>58.005499999999998</fb>
    <v>14</v>
  </rv>
  <rv s="5">
    <fb>86.192999999999998</fb>
    <v>14</v>
  </rv>
  <rv s="5">
    <fb>36.880000000000003</fb>
    <v>14</v>
  </rv>
  <rv s="5">
    <fb>396.74</fb>
    <v>14</v>
  </rv>
  <rv s="5">
    <fb>144.76580000000001</fb>
    <v>14</v>
  </rv>
  <rv s="5">
    <fb>39.704999999999998</fb>
    <v>14</v>
  </rv>
  <rv s="5">
    <fb>6.6727999999999996</fb>
    <v>14</v>
  </rv>
  <rv s="5">
    <fb>75.989999999999995</fb>
    <v>14</v>
  </rv>
  <rv s="5">
    <fb>255.33</fb>
    <v>14</v>
  </rv>
  <rv s="5">
    <fb>2782.49</fb>
    <v>14</v>
  </rv>
  <rv s="5">
    <fb>43266</fb>
    <v>13</v>
  </rv>
  <rv s="5">
    <fb>57.963500000000003</fb>
    <v>14</v>
  </rv>
  <rv s="5">
    <fb>85.798500000000004</fb>
    <v>14</v>
  </rv>
  <rv s="5">
    <fb>398.76</fb>
    <v>14</v>
  </rv>
  <rv s="5">
    <fb>143.83699999999999</fb>
    <v>14</v>
  </rv>
  <rv s="5">
    <fb>199.53</fb>
    <v>14</v>
  </rv>
  <rv s="5">
    <fb>39.884999999999998</fb>
    <v>14</v>
  </rv>
  <rv s="5">
    <fb>6.6315</fb>
    <v>14</v>
  </rv>
  <rv s="5">
    <fb>77.38</fb>
    <v>14</v>
  </rv>
  <rv s="5">
    <fb>255.98</fb>
    <v>14</v>
  </rv>
  <rv s="5">
    <fb>2779.66</fb>
    <v>14</v>
  </rv>
  <rv s="5">
    <fb>43269</fb>
    <v>13</v>
  </rv>
  <rv s="5">
    <fb>59.179000000000002</fb>
    <v>14</v>
  </rv>
  <rv s="5">
    <fb>86.189499999999995</fb>
    <v>14</v>
  </rv>
  <rv s="5">
    <fb>36.74</fb>
    <v>14</v>
  </rv>
  <rv s="5">
    <fb>401.69</fb>
    <v>14</v>
  </rv>
  <rv s="5">
    <fb>143.56890000000001</fb>
    <v>14</v>
  </rv>
  <rv s="5">
    <fb>201.13</fb>
    <v>14</v>
  </rv>
  <rv s="5">
    <fb>40.102499999999999</fb>
    <v>14</v>
  </rv>
  <rv s="5">
    <fb>67.040000000000006</fb>
    <v>14</v>
  </rv>
  <rv s="5">
    <fb>6.6273</fb>
    <v>14</v>
  </rv>
  <rv s="5">
    <fb>75.84</fb>
    <v>14</v>
  </rv>
  <rv s="5">
    <fb>254.87</fb>
    <v>14</v>
  </rv>
  <rv s="5">
    <fb>2773.75</fb>
    <v>14</v>
  </rv>
  <rv s="5">
    <fb>43270</fb>
    <v>13</v>
  </rv>
  <rv s="5">
    <fb>58.9345</fb>
    <v>14</v>
  </rv>
  <rv s="5">
    <fb>86.739000000000004</fb>
    <v>14</v>
  </rv>
  <rv s="5">
    <fb>35.97</fb>
    <v>14</v>
  </rv>
  <rv s="5">
    <fb>401.76</fb>
    <v>14</v>
  </rv>
  <rv s="5">
    <fb>141.01259999999999</fb>
    <v>14</v>
  </rv>
  <rv s="5">
    <fb>199.69</fb>
    <v>14</v>
  </rv>
  <rv s="5">
    <fb>40.75</fb>
    <v>14</v>
  </rv>
  <rv s="5">
    <fb>65.7</fb>
    <v>14</v>
  </rv>
  <rv s="5">
    <fb>6.5042999999999997</fb>
    <v>14</v>
  </rv>
  <rv s="5">
    <fb>76.33</fb>
    <v>14</v>
  </rv>
  <rv s="5">
    <fb>253.02</fb>
    <v>14</v>
  </rv>
  <rv s="5">
    <fb>2762.59</fb>
    <v>14</v>
  </rv>
  <rv s="5">
    <fb>43271</fb>
    <v>13</v>
  </rv>
  <rv s="5">
    <fb>59.203499999999998</fb>
    <v>14</v>
  </rv>
  <rv s="5">
    <fb>87.504000000000005</fb>
    <v>14</v>
  </rv>
  <rv s="5">
    <fb>35.72</fb>
    <v>14</v>
  </rv>
  <rv s="5">
    <fb>410.72</fb>
    <v>14</v>
  </rv>
  <rv s="5">
    <fb>140.30410000000001</fb>
    <v>14</v>
  </rv>
  <rv s="5">
    <fb>201.54</fb>
    <v>14</v>
  </rv>
  <rv s="5">
    <fb>40.674999999999997</fb>
    <v>14</v>
  </rv>
  <rv s="5">
    <fb>65.55</fb>
    <v>14</v>
  </rv>
  <rv s="5">
    <fb>6.5578000000000003</fb>
    <v>14</v>
  </rv>
  <rv s="5">
    <fb>75.849999999999994</fb>
    <v>14</v>
  </rv>
  <rv s="5">
    <fb>252.81</fb>
    <v>14</v>
  </rv>
  <rv s="5">
    <fb>2767.32</fb>
    <v>14</v>
  </rv>
  <rv s="5">
    <fb>43272</fb>
    <v>13</v>
  </rv>
  <rv s="5">
    <fb>58.472000000000001</fb>
    <v>14</v>
  </rv>
  <rv s="5">
    <fb>86.510999999999996</fb>
    <v>14</v>
  </rv>
  <rv s="5">
    <fb>35.28</fb>
    <v>14</v>
  </rv>
  <rv s="5">
    <fb>419</fb>
    <v>14</v>
  </rv>
  <rv s="5">
    <fb>137.8434</fb>
    <v>14</v>
  </rv>
  <rv s="5">
    <fb>200.78</fb>
    <v>14</v>
  </rv>
  <rv s="5">
    <fb>40.842500000000001</fb>
    <v>14</v>
  </rv>
  <rv s="5">
    <fb>6.4278000000000004</fb>
    <v>14</v>
  </rv>
  <rv s="5">
    <fb>76.44</fb>
    <v>14</v>
  </rv>
  <rv s="5">
    <fb>251.89</fb>
    <v>14</v>
  </rv>
  <rv s="5">
    <fb>2749.76</fb>
    <v>14</v>
  </rv>
  <rv s="5">
    <fb>43273</fb>
    <v>13</v>
  </rv>
  <rv s="5">
    <fb>58.464500000000001</fb>
    <v>14</v>
  </rv>
  <rv s="5">
    <fb>85.783500000000004</fb>
    <v>14</v>
  </rv>
  <rv s="5">
    <fb>35.909999999999997</fb>
    <v>14</v>
  </rv>
  <rv s="5">
    <fb>418.86</fb>
    <v>14</v>
  </rv>
  <rv s="5">
    <fb>137.87209999999999</fb>
    <v>14</v>
  </rv>
  <rv s="5">
    <fb>201.48</fb>
    <v>14</v>
  </rv>
  <rv s="5">
    <fb>41.075000000000003</fb>
    <v>14</v>
  </rv>
  <rv s="5">
    <fb>66.58</fb>
    <v>14</v>
  </rv>
  <rv s="5">
    <fb>6.2737999999999996</fb>
    <v>14</v>
  </rv>
  <rv s="5">
    <fb>77.430000000000007</fb>
    <v>14</v>
  </rv>
  <rv s="5">
    <fb>254.37</fb>
    <v>14</v>
  </rv>
  <rv s="5">
    <fb>2754.88</fb>
    <v>14</v>
  </rv>
  <rv s="5">
    <fb>43276</fb>
    <v>13</v>
  </rv>
  <rv s="5">
    <fb>56.963999999999999</fb>
    <v>14</v>
  </rv>
  <rv s="5">
    <fb>83.157499999999999</fb>
    <v>14</v>
  </rv>
  <rv s="5">
    <fb>35.92</fb>
    <v>14</v>
  </rv>
  <rv s="5">
    <fb>418.57</fb>
    <v>14</v>
  </rv>
  <rv s="5">
    <fb>137.91040000000001</fb>
    <v>14</v>
  </rv>
  <rv s="5">
    <fb>194.98</fb>
    <v>14</v>
  </rv>
  <rv s="5">
    <fb>41.6</fb>
    <v>14</v>
  </rv>
  <rv s="5">
    <fb>65.430000000000007</fb>
    <v>14</v>
  </rv>
  <rv s="5">
    <fb>5.9779999999999998</fb>
    <v>14</v>
  </rv>
  <rv s="5">
    <fb>250.71</fb>
    <v>14</v>
  </rv>
  <rv s="5">
    <fb>2717.07</fb>
    <v>14</v>
  </rv>
  <rv s="5">
    <fb>43277</fb>
    <v>13</v>
  </rv>
  <rv s="5">
    <fb>56.631</fb>
    <v>14</v>
  </rv>
  <rv s="5">
    <fb>84.554500000000004</fb>
    <v>14</v>
  </rv>
  <rv s="5">
    <fb>35.74</fb>
    <v>14</v>
  </rv>
  <rv s="5">
    <fb>429</fb>
    <v>14</v>
  </rv>
  <rv s="5">
    <fb>137.8817</fb>
    <v>14</v>
  </rv>
  <rv s="5">
    <fb>196.46</fb>
    <v>14</v>
  </rv>
  <rv s="5">
    <fb>41.692500000000003</fb>
    <v>14</v>
  </rv>
  <rv s="5">
    <fb>66.02</fb>
    <v>14</v>
  </rv>
  <rv s="5">
    <fb>6.0498000000000003</fb>
    <v>14</v>
  </rv>
  <rv s="5">
    <fb>78</fb>
    <v>14</v>
  </rv>
  <rv s="5">
    <fb>249.77</fb>
    <v>14</v>
  </rv>
  <rv s="5">
    <fb>2723.06</fb>
    <v>14</v>
  </rv>
  <rv s="5">
    <fb>43278</fb>
    <v>13</v>
  </rv>
  <rv s="5">
    <fb>55.847000000000001</fb>
    <v>14</v>
  </rv>
  <rv s="5">
    <fb>83.025499999999994</fb>
    <v>14</v>
  </rv>
  <rv s="5">
    <fb>35.26</fb>
    <v>14</v>
  </rv>
  <rv s="5">
    <fb>425.57</fb>
    <v>14</v>
  </rv>
  <rv s="5">
    <fb>137.0487</fb>
    <v>14</v>
  </rv>
  <rv s="5">
    <fb>193.18</fb>
    <v>14</v>
  </rv>
  <rv s="5">
    <fb>66.81</fb>
    <v>14</v>
  </rv>
  <rv s="5">
    <fb>5.8929999999999998</fb>
    <v>14</v>
  </rv>
  <rv s="5">
    <fb>77.69</fb>
    <v>14</v>
  </rv>
  <rv s="5">
    <fb>248.17</fb>
    <v>14</v>
  </rv>
  <rv s="5">
    <fb>2699.63</fb>
    <v>14</v>
  </rv>
  <rv s="5">
    <fb>43279</fb>
    <v>13</v>
  </rv>
  <rv s="5">
    <fb>56.338999999999999</fb>
    <v>14</v>
  </rv>
  <rv s="5">
    <fb>85.072500000000005</fb>
    <v>14</v>
  </rv>
  <rv s="5">
    <fb>35.25</fb>
    <v>14</v>
  </rv>
  <rv s="5">
    <fb>427.05</fb>
    <v>14</v>
  </rv>
  <rv s="5">
    <fb>137.03919999999999</fb>
    <v>14</v>
  </rv>
  <rv s="5">
    <fb>197.1</fb>
    <v>14</v>
  </rv>
  <rv s="5">
    <fb>41.702500000000001</fb>
    <v>14</v>
  </rv>
  <rv s="5">
    <fb>6.0214999999999996</fb>
    <v>14</v>
  </rv>
  <rv s="5">
    <fb>78.05</fb>
    <v>14</v>
  </rv>
  <rv s="5">
    <fb>244.9</fb>
    <v>14</v>
  </rv>
  <rv s="5">
    <fb>2716.31</fb>
    <v>14</v>
  </rv>
  <rv s="5">
    <fb>43280</fb>
    <v>13</v>
  </rv>
  <rv s="5">
    <fb>56.459499999999998</fb>
    <v>14</v>
  </rv>
  <rv s="5">
    <fb>84.99</fb>
    <v>14</v>
  </rv>
  <rv s="5">
    <fb>35.549999999999997</fb>
    <v>14</v>
  </rv>
  <rv s="5">
    <fb>429.89</fb>
    <v>14</v>
  </rv>
  <rv s="5">
    <fb>137.91999999999999</fb>
    <v>14</v>
  </rv>
  <rv s="5">
    <fb>196.52</fb>
    <v>14</v>
  </rv>
  <rv s="5">
    <fb>41.7575</fb>
    <v>14</v>
  </rv>
  <rv s="5">
    <fb>67.03</fb>
    <v>14</v>
  </rv>
  <rv s="5">
    <fb>5.9225000000000003</fb>
    <v>14</v>
  </rv>
  <rv s="5">
    <fb>78.06</fb>
    <v>14</v>
  </rv>
  <rv s="5">
    <fb>245.34</fb>
    <v>14</v>
  </rv>
  <rv s="5">
    <fb>2718.37</fb>
    <v>14</v>
  </rv>
  <rv s="5">
    <fb>43283</fb>
    <v>13</v>
  </rv>
  <rv s="5">
    <fb>57.105499999999999</fb>
    <v>14</v>
  </rv>
  <rv s="5">
    <fb>85.688999999999993</fb>
    <v>14</v>
  </rv>
  <rv s="5">
    <fb>35.76</fb>
    <v>14</v>
  </rv>
  <rv s="5">
    <fb>428.21</fb>
    <v>14</v>
  </rv>
  <rv s="5">
    <fb>138.64769999999999</fb>
    <v>14</v>
  </rv>
  <rv s="5">
    <fb>197.67</fb>
    <v>14</v>
  </rv>
  <rv s="5">
    <fb>42.252499999999998</fb>
    <v>14</v>
  </rv>
  <rv s="5">
    <fb>65.209999999999994</fb>
    <v>14</v>
  </rv>
  <rv s="5">
    <fb>6.056</fb>
    <v>14</v>
  </rv>
  <rv s="5">
    <fb>78.13</fb>
    <v>14</v>
  </rv>
  <rv s="5">
    <fb>247.48</fb>
    <v>14</v>
  </rv>
  <rv s="5">
    <fb>2726.71</fb>
    <v>14</v>
  </rv>
  <rv s="5">
    <fb>43284</fb>
    <v>13</v>
  </rv>
  <rv s="5">
    <fb>55.814</fb>
    <v>14</v>
  </rv>
  <rv s="5">
    <fb>84.697999999999993</fb>
    <v>14</v>
  </rv>
  <rv s="5">
    <fb>426.24</fb>
    <v>14</v>
  </rv>
  <rv s="5">
    <fb>138.77209999999999</fb>
    <v>14</v>
  </rv>
  <rv s="5">
    <fb>196.29</fb>
    <v>14</v>
  </rv>
  <rv s="5">
    <fb>42.14</fb>
    <v>14</v>
  </rv>
  <rv s="5">
    <fb>5.9210000000000003</fb>
    <v>14</v>
  </rv>
  <rv s="5">
    <fb>77.900000000000006</fb>
    <v>14</v>
  </rv>
  <rv s="5">
    <fb>246.98</fb>
    <v>14</v>
  </rv>
  <rv s="5">
    <fb>2713.22</fb>
    <v>14</v>
  </rv>
  <rv s="5">
    <fb>43286</fb>
    <v>13</v>
  </rv>
  <rv s="5">
    <fb>57.064500000000002</fb>
    <v>14</v>
  </rv>
  <rv s="5">
    <fb>84.986500000000007</fb>
    <v>14</v>
  </rv>
  <rv s="5">
    <fb>36.450000000000003</fb>
    <v>14</v>
  </rv>
  <rv s="5">
    <fb>440.15</fb>
    <v>14</v>
  </rv>
  <rv s="5">
    <fb>138.75299999999999</fb>
    <v>14</v>
  </rv>
  <rv s="5">
    <fb>198.87</fb>
    <v>14</v>
  </rv>
  <rv s="5">
    <fb>6.0682999999999998</fb>
    <v>14</v>
  </rv>
  <rv s="5">
    <fb>250.5</fb>
    <v>14</v>
  </rv>
  <rv s="5">
    <fb>2736.61</fb>
    <v>14</v>
  </rv>
  <rv s="5">
    <fb>43287</fb>
    <v>13</v>
  </rv>
  <rv s="5">
    <fb>57.753999999999998</fb>
    <v>14</v>
  </rv>
  <rv s="5">
    <fb>85.531499999999994</fb>
    <v>14</v>
  </rv>
  <rv s="5">
    <fb>445.7</fb>
    <v>14</v>
  </rv>
  <rv s="5">
    <fb>139.5189</fb>
    <v>14</v>
  </rv>
  <rv s="5">
    <fb>199.52</fb>
    <v>14</v>
  </rv>
  <rv s="5">
    <fb>42.577500000000001</fb>
    <v>14</v>
  </rv>
  <rv s="5">
    <fb>6.1833</fb>
    <v>14</v>
  </rv>
  <rv s="5">
    <fb>79.31</fb>
    <v>14</v>
  </rv>
  <rv s="5">
    <fb>250.76</fb>
    <v>14</v>
  </rv>
  <rv s="5">
    <fb>2759.82</fb>
    <v>14</v>
  </rv>
  <rv s="5">
    <fb>43290</fb>
    <v>13</v>
  </rv>
  <rv s="5">
    <fb>58.363999999999997</fb>
    <v>14</v>
  </rv>
  <rv s="5">
    <fb>86.950999999999993</fb>
    <v>14</v>
  </rv>
  <rv s="5">
    <fb>37.06</fb>
    <v>14</v>
  </rv>
  <rv s="5">
    <fb>442.51</fb>
    <v>14</v>
  </rv>
  <rv s="5">
    <fb>141.14660000000001</fb>
    <v>14</v>
  </rv>
  <rv s="5">
    <fb>200.93</fb>
    <v>14</v>
  </rv>
  <rv s="5">
    <fb>41.33</fb>
    <v>14</v>
  </rv>
  <rv s="5">
    <fb>6.2313000000000001</fb>
    <v>14</v>
  </rv>
  <rv s="5">
    <fb>77.86</fb>
    <v>14</v>
  </rv>
  <rv s="5">
    <fb>253.67</fb>
    <v>14</v>
  </rv>
  <rv s="5">
    <fb>2784.17</fb>
    <v>14</v>
  </rv>
  <rv s="5">
    <fb>43291</fb>
    <v>13</v>
  </rv>
  <rv s="5">
    <fb>58.356999999999999</fb>
    <v>14</v>
  </rv>
  <rv s="5">
    <fb>87.153499999999994</fb>
    <v>14</v>
  </rv>
  <rv s="5">
    <fb>37.65</fb>
    <v>14</v>
  </rv>
  <rv s="5">
    <fb>445.88</fb>
    <v>14</v>
  </rv>
  <rv s="5">
    <fb>141.74019999999999</fb>
    <v>14</v>
  </rv>
  <rv s="5">
    <fb>201.52</fb>
    <v>14</v>
  </rv>
  <rv s="5">
    <fb>41.86</fb>
    <v>14</v>
  </rv>
  <rv s="5">
    <fb>69.489999999999995</fb>
    <v>14</v>
  </rv>
  <rv s="5">
    <fb>6.3312999999999997</fb>
    <v>14</v>
  </rv>
  <rv s="5">
    <fb>79.819999999999993</fb>
    <v>14</v>
  </rv>
  <rv s="5">
    <fb>255.54</fb>
    <v>14</v>
  </rv>
  <rv s="5">
    <fb>2793.84</fb>
    <v>14</v>
  </rv>
  <rv s="5">
    <fb>43292</fb>
    <v>13</v>
  </rv>
  <rv s="5">
    <fb>58.573</fb>
    <v>14</v>
  </rv>
  <rv s="5">
    <fb>87.75</fb>
    <v>14</v>
  </rv>
  <rv s="5">
    <fb>443.47</fb>
    <v>14</v>
  </rv>
  <rv s="5">
    <fb>203.84</fb>
    <v>14</v>
  </rv>
  <rv s="5">
    <fb>42.102499999999999</fb>
    <v>14</v>
  </rv>
  <rv s="5">
    <fb>6.1882999999999999</fb>
    <v>14</v>
  </rv>
  <rv s="5">
    <fb>254.59</fb>
    <v>14</v>
  </rv>
  <rv s="5">
    <fb>2774.02</fb>
    <v>14</v>
  </rv>
  <rv s="5">
    <fb>43293</fb>
    <v>13</v>
  </rv>
  <rv s="5">
    <fb>60.063000000000002</fb>
    <v>14</v>
  </rv>
  <rv s="5">
    <fb>89.831000000000003</fb>
    <v>14</v>
  </rv>
  <rv s="5">
    <fb>445.67</fb>
    <v>14</v>
  </rv>
  <rv s="5">
    <fb>141.5966</fb>
    <v>14</v>
  </rv>
  <rv s="5">
    <fb>207.78</fb>
    <v>14</v>
  </rv>
  <rv s="5">
    <fb>42.122500000000002</fb>
    <v>14</v>
  </rv>
  <rv s="5">
    <fb>67.47</fb>
    <v>14</v>
  </rv>
  <rv s="5">
    <fb>6.2808000000000002</fb>
    <v>14</v>
  </rv>
  <rv s="5">
    <fb>78.89</fb>
    <v>14</v>
  </rv>
  <rv s="5">
    <fb>256.05</fb>
    <v>14</v>
  </rv>
  <rv s="5">
    <fb>2798.29</fb>
    <v>14</v>
  </rv>
  <rv s="5">
    <fb>43294</fb>
    <v>13</v>
  </rv>
  <rv s="5">
    <fb>60.220999999999997</fb>
    <v>14</v>
  </rv>
  <rv s="5">
    <fb>90.651499999999999</fb>
    <v>14</v>
  </rv>
  <rv s="5">
    <fb>37.619999999999997</fb>
    <v>14</v>
  </rv>
  <rv s="5">
    <fb>443.43</fb>
    <v>14</v>
  </rv>
  <rv s="5">
    <fb>141.22319999999999</fb>
    <v>14</v>
  </rv>
  <rv s="5">
    <fb>205.91</fb>
    <v>14</v>
  </rv>
  <rv s="5">
    <fb>42.38</fb>
    <v>14</v>
  </rv>
  <rv s="5">
    <fb>68.08</fb>
    <v>14</v>
  </rv>
  <rv s="5">
    <fb>6.2329999999999997</fb>
    <v>14</v>
  </rv>
  <rv s="5">
    <fb>258.7</fb>
    <v>14</v>
  </rv>
  <rv s="5">
    <fb>2801.31</fb>
    <v>14</v>
  </rv>
  <rv s="5">
    <fb>43297</fb>
    <v>13</v>
  </rv>
  <rv s="5">
    <fb>59.825499999999998</fb>
    <v>14</v>
  </rv>
  <rv s="5">
    <fb>91.124499999999998</fb>
    <v>14</v>
  </rv>
  <rv s="5">
    <fb>439.78</fb>
    <v>14</v>
  </rv>
  <rv s="5">
    <fb>204.08</fb>
    <v>14</v>
  </rv>
  <rv s="5">
    <fb>42.375</fb>
    <v>14</v>
  </rv>
  <rv s="5">
    <fb>67.42</fb>
    <v>14</v>
  </rv>
  <rv s="5">
    <fb>6.2050000000000001</fb>
    <v>14</v>
  </rv>
  <rv s="5">
    <fb>79.53</fb>
    <v>14</v>
  </rv>
  <rv s="5">
    <fb>256.98</fb>
    <v>14</v>
  </rv>
  <rv s="5">
    <fb>2798.43</fb>
    <v>14</v>
  </rv>
  <rv s="5">
    <fb>43298</fb>
    <v>13</v>
  </rv>
  <rv s="5">
    <fb>60.654000000000003</fb>
    <v>14</v>
  </rv>
  <rv s="5">
    <fb>92.1965</fb>
    <v>14</v>
  </rv>
  <rv s="5">
    <fb>38.25</fb>
    <v>14</v>
  </rv>
  <rv s="5">
    <fb>438.45</fb>
    <v>14</v>
  </rv>
  <rv s="5">
    <fb>142.1711</fb>
    <v>14</v>
  </rv>
  <rv s="5">
    <fb>206.37</fb>
    <v>14</v>
  </rv>
  <rv s="5">
    <fb>42.552500000000002</fb>
    <v>14</v>
  </rv>
  <rv s="5">
    <fb>6.3422999999999998</fb>
    <v>14</v>
  </rv>
  <rv s="5">
    <fb>80.03</fb>
    <v>14</v>
  </rv>
  <rv s="5">
    <fb>250.29</fb>
    <v>14</v>
  </rv>
  <rv s="5">
    <fb>2809.55</fb>
    <v>14</v>
  </rv>
  <rv s="5">
    <fb>43299</fb>
    <v>13</v>
  </rv>
  <rv s="5">
    <fb>60.645499999999998</fb>
    <v>14</v>
  </rv>
  <rv s="5">
    <fb>92.146000000000001</fb>
    <v>14</v>
  </rv>
  <rv s="5">
    <fb>38.08</fb>
    <v>14</v>
  </rv>
  <rv s="5">
    <fb>434.55</fb>
    <v>14</v>
  </rv>
  <rv s="5">
    <fb>142.803</fb>
    <v>14</v>
  </rv>
  <rv s="5">
    <fb>208.36</fb>
    <v>14</v>
  </rv>
  <rv s="5">
    <fb>42.354999999999997</fb>
    <v>14</v>
  </rv>
  <rv s="5">
    <fb>6.2925000000000004</fb>
    <v>14</v>
  </rv>
  <rv s="5">
    <fb>255.42</fb>
    <v>14</v>
  </rv>
  <rv s="5">
    <fb>2815.62</fb>
    <v>14</v>
  </rv>
  <rv s="5">
    <fb>43300</fb>
    <v>13</v>
  </rv>
  <rv s="5">
    <fb>59.954999999999998</fb>
    <v>14</v>
  </rv>
  <rv s="5">
    <fb>90.648499999999999</fb>
    <v>14</v>
  </rv>
  <rv s="5">
    <fb>38.270000000000003</fb>
    <v>14</v>
  </rv>
  <rv s="5">
    <fb>437.19</fb>
    <v>14</v>
  </rv>
  <rv s="5">
    <fb>141.26150000000001</fb>
    <v>14</v>
  </rv>
  <rv s="5">
    <fb>206.06</fb>
    <v>14</v>
  </rv>
  <rv s="5">
    <fb>42.5625</fb>
    <v>14</v>
  </rv>
  <rv s="5">
    <fb>6.3007999999999997</fb>
    <v>14</v>
  </rv>
  <rv s="5">
    <fb>78.73</fb>
    <v>14</v>
  </rv>
  <rv s="5">
    <fb>252.93</fb>
    <v>14</v>
  </rv>
  <rv s="5">
    <fb>2804.49</fb>
    <v>14</v>
  </rv>
  <rv s="5">
    <fb>43301</fb>
    <v>13</v>
  </rv>
  <rv s="5">
    <fb>59.893999999999998</fb>
    <v>14</v>
  </rv>
  <rv s="5">
    <fb>90.685000000000002</fb>
    <v>14</v>
  </rv>
  <rv s="5">
    <fb>434.22</fb>
    <v>14</v>
  </rv>
  <rv s="5">
    <fb>146.61359999999999</fb>
    <v>14</v>
  </rv>
  <rv s="5">
    <fb>206.71</fb>
    <v>14</v>
  </rv>
  <rv s="5">
    <fb>66.09</fb>
    <v>14</v>
  </rv>
  <rv s="5">
    <fb>6.2723000000000004</fb>
    <v>14</v>
  </rv>
  <rv s="5">
    <fb>78.680000000000007</fb>
    <v>14</v>
  </rv>
  <rv s="5">
    <fb>252.7</fb>
    <v>14</v>
  </rv>
  <rv s="5">
    <fb>2801.83</fb>
    <v>14</v>
  </rv>
  <rv s="5">
    <fb>43304</fb>
    <v>13</v>
  </rv>
  <rv s="5">
    <fb>60.55</fb>
    <v>14</v>
  </rv>
  <rv s="5">
    <fb>428.8</fb>
    <v>14</v>
  </rv>
  <rv s="5">
    <fb>147.15940000000001</fb>
    <v>14</v>
  </rv>
  <rv s="5">
    <fb>207.84</fb>
    <v>14</v>
  </rv>
  <rv s="5">
    <fb>42.207500000000003</fb>
    <v>14</v>
  </rv>
  <rv s="5">
    <fb>6.2352999999999996</fb>
    <v>14</v>
  </rv>
  <rv s="5">
    <fb>78.510000000000005</fb>
    <v>14</v>
  </rv>
  <rv s="5">
    <fb>252.74</fb>
    <v>14</v>
  </rv>
  <rv s="5">
    <fb>2806.98</fb>
    <v>14</v>
  </rv>
  <rv s="5">
    <fb>43305</fb>
    <v>13</v>
  </rv>
  <rv s="5">
    <fb>62.907499999999999</fb>
    <v>14</v>
  </rv>
  <rv s="5">
    <fb>91.462000000000003</fb>
    <v>14</v>
  </rv>
  <rv s="5">
    <fb>428.73</fb>
    <v>14</v>
  </rv>
  <rv s="5">
    <fb>148.55719999999999</fb>
    <v>14</v>
  </rv>
  <rv s="5">
    <fb>209.58</fb>
    <v>14</v>
  </rv>
  <rv s="5">
    <fb>6.2178000000000004</fb>
    <v>14</v>
  </rv>
  <rv s="5">
    <fb>78.989999999999995</fb>
    <v>14</v>
  </rv>
  <rv s="5">
    <fb>253.76</fb>
    <v>14</v>
  </rv>
  <rv s="5">
    <fb>2820.4</fb>
    <v>14</v>
  </rv>
  <rv s="5">
    <fb>43306</fb>
    <v>13</v>
  </rv>
  <rv s="5">
    <fb>63.796999999999997</fb>
    <v>14</v>
  </rv>
  <rv s="5">
    <fb>93.180499999999995</fb>
    <v>14</v>
  </rv>
  <rv s="5">
    <fb>432.64</fb>
    <v>14</v>
  </rv>
  <rv s="5">
    <fb>151.2955</fb>
    <v>14</v>
  </rv>
  <rv s="5">
    <fb>214.16</fb>
    <v>14</v>
  </rv>
  <rv s="5">
    <fb>41.9375</fb>
    <v>14</v>
  </rv>
  <rv s="5">
    <fb>65.78</fb>
    <v>14</v>
  </rv>
  <rv s="5">
    <fb>6.2968000000000002</fb>
    <v>14</v>
  </rv>
  <rv s="5">
    <fb>79.47</fb>
    <v>14</v>
  </rv>
  <rv s="5">
    <fb>254.86</fb>
    <v>14</v>
  </rv>
  <rv s="5">
    <fb>2846.07</fb>
    <v>14</v>
  </rv>
  <rv s="5">
    <fb>43307</fb>
    <v>13</v>
  </rv>
  <rv s="5">
    <fb>64.275000000000006</fb>
    <v>14</v>
  </rv>
  <rv s="5">
    <fb>90.4</fb>
    <v>14</v>
  </rv>
  <rv s="5">
    <fb>435.2</fb>
    <v>14</v>
  </rv>
  <rv s="5">
    <fb>152.34870000000001</fb>
    <v>14</v>
  </rv>
  <rv s="5">
    <fb>207.37</fb>
    <v>14</v>
  </rv>
  <rv s="5">
    <fb>42.04</fb>
    <v>14</v>
  </rv>
  <rv s="5">
    <fb>66.86</fb>
    <v>14</v>
  </rv>
  <rv s="5">
    <fb>6.3710000000000004</fb>
    <v>14</v>
  </rv>
  <rv s="5">
    <fb>80.09</fb>
    <v>14</v>
  </rv>
  <rv s="5">
    <fb>257</fb>
    <v>14</v>
  </rv>
  <rv s="5">
    <fb>2837.44</fb>
    <v>14</v>
  </rv>
  <rv s="5">
    <fb>43308</fb>
    <v>13</v>
  </rv>
  <rv s="5">
    <fb>62.644500000000001</fb>
    <v>14</v>
  </rv>
  <rv s="5">
    <fb>90.863500000000002</fb>
    <v>14</v>
  </rv>
  <rv s="5">
    <fb>443.2</fb>
    <v>14</v>
  </rv>
  <rv s="5">
    <fb>152.55940000000001</fb>
    <v>14</v>
  </rv>
  <rv s="5">
    <fb>202.94</fb>
    <v>14</v>
  </rv>
  <rv s="5">
    <fb>41.744999999999997</fb>
    <v>14</v>
  </rv>
  <rv s="5">
    <fb>6.3005000000000004</fb>
    <v>14</v>
  </rv>
  <rv s="5">
    <fb>80.58</fb>
    <v>14</v>
  </rv>
  <rv s="5">
    <fb>255.95</fb>
    <v>14</v>
  </rv>
  <rv s="5">
    <fb>2818.82</fb>
    <v>14</v>
  </rv>
  <rv s="5">
    <fb>43311</fb>
    <v>13</v>
  </rv>
  <rv s="5">
    <fb>61.502000000000002</fb>
    <v>14</v>
  </rv>
  <rv s="5">
    <fb>88.960999999999999</fb>
    <v>14</v>
  </rv>
  <rv s="5">
    <fb>38.58</fb>
    <v>14</v>
  </rv>
  <rv s="5">
    <fb>432.66</fb>
    <v>14</v>
  </rv>
  <rv s="5">
    <fb>150.2423</fb>
    <v>14</v>
  </rv>
  <rv s="5">
    <fb>197.87</fb>
    <v>14</v>
  </rv>
  <rv s="5">
    <fb>41.557499999999997</fb>
    <v>14</v>
  </rv>
  <rv s="5">
    <fb>67.58</fb>
    <v>14</v>
  </rv>
  <rv s="5">
    <fb>6.1032999999999999</fb>
    <v>14</v>
  </rv>
  <rv s="5">
    <fb>80.2</fb>
    <v>14</v>
  </rv>
  <rv s="5">
    <fb>253.84</fb>
    <v>14</v>
  </rv>
  <rv s="5">
    <fb>2802.6</fb>
    <v>14</v>
  </rv>
  <rv s="5">
    <fb>43312</fb>
    <v>13</v>
  </rv>
  <rv s="5">
    <fb>61.360999999999997</fb>
    <v>14</v>
  </rv>
  <rv s="5">
    <fb>88.872</fb>
    <v>14</v>
  </rv>
  <rv s="5">
    <fb>38.97</fb>
    <v>14</v>
  </rv>
  <rv s="5">
    <fb>439.28</fb>
    <v>14</v>
  </rv>
  <rv s="5">
    <fb>198</fb>
    <v>14</v>
  </rv>
  <rv s="5">
    <fb>41.884999999999998</fb>
    <v>14</v>
  </rv>
  <rv s="5">
    <fb>67.52</fb>
    <v>14</v>
  </rv>
  <rv s="5">
    <fb>6.1215000000000002</fb>
    <v>14</v>
  </rv>
  <rv s="5">
    <fb>80.88</fb>
    <v>14</v>
  </rv>
  <rv s="5">
    <fb>253.22</fb>
    <v>14</v>
  </rv>
  <rv s="5">
    <fb>2816.29</fb>
    <v>14</v>
  </rv>
  <rv s="5">
    <fb>43313</fb>
    <v>13</v>
  </rv>
  <rv s="5">
    <fb>61.649500000000003</fb>
    <v>14</v>
  </rv>
  <rv s="5">
    <fb>89.858500000000006</fb>
    <v>14</v>
  </rv>
  <rv s="5">
    <fb>445.13</fb>
    <v>14</v>
  </rv>
  <rv s="5">
    <fb>150.21360000000001</fb>
    <v>14</v>
  </rv>
  <rv s="5">
    <fb>201.2</fb>
    <v>14</v>
  </rv>
  <rv s="5">
    <fb>41.975000000000001</fb>
    <v>14</v>
  </rv>
  <rv s="5">
    <fb>66.66</fb>
    <v>14</v>
  </rv>
  <rv s="5">
    <fb>6.1618000000000004</fb>
    <v>14</v>
  </rv>
  <rv s="5">
    <fb>253.37</fb>
    <v>14</v>
  </rv>
  <rv s="5">
    <fb>2813.36</fb>
    <v>14</v>
  </rv>
  <rv s="5">
    <fb>43314</fb>
    <v>13</v>
  </rv>
  <rv s="5">
    <fb>62.0565</fb>
    <v>14</v>
  </rv>
  <rv s="5">
    <fb>91.716499999999996</fb>
    <v>14</v>
  </rv>
  <rv s="5">
    <fb>447.89</fb>
    <v>14</v>
  </rv>
  <rv s="5">
    <fb>149.26570000000001</fb>
    <v>14</v>
  </rv>
  <rv s="5">
    <fb>202.01</fb>
    <v>14</v>
  </rv>
  <rv s="5">
    <fb>42.362499999999997</fb>
    <v>14</v>
  </rv>
  <rv s="5">
    <fb>65.94</fb>
    <v>14</v>
  </rv>
  <rv s="5">
    <fb>6.2655000000000003</fb>
    <v>14</v>
  </rv>
  <rv s="5">
    <fb>82</fb>
    <v>14</v>
  </rv>
  <rv s="5">
    <fb>256.08</fb>
    <v>14</v>
  </rv>
  <rv s="5">
    <fb>2827.22</fb>
    <v>14</v>
  </rv>
  <rv s="5">
    <fb>43315</fb>
    <v>13</v>
  </rv>
  <rv s="5">
    <fb>61.908000000000001</fb>
    <v>14</v>
  </rv>
  <rv s="5">
    <fb>91.164500000000004</fb>
    <v>14</v>
  </rv>
  <rv s="5">
    <fb>455.43</fb>
    <v>14</v>
  </rv>
  <rv s="5">
    <fb>148.44229999999999</fb>
    <v>14</v>
  </rv>
  <rv s="5">
    <fb>42.787500000000001</fb>
    <v>14</v>
  </rv>
  <rv s="5">
    <fb>6.3025000000000002</fb>
    <v>14</v>
  </rv>
  <rv s="5">
    <fb>82.33</fb>
    <v>14</v>
  </rv>
  <rv s="5">
    <fb>257.22000000000003</fb>
    <v>14</v>
  </rv>
  <rv s="5">
    <fb>2840.35</fb>
    <v>14</v>
  </rv>
  <rv s="5">
    <fb>43318</fb>
    <v>13</v>
  </rv>
  <rv s="5">
    <fb>61.883499999999998</fb>
    <v>14</v>
  </rv>
  <rv s="5">
    <fb>92.387500000000003</fb>
    <v>14</v>
  </rv>
  <rv s="5">
    <fb>452.87</fb>
    <v>14</v>
  </rv>
  <rv s="5">
    <fb>148.37530000000001</fb>
    <v>14</v>
  </rv>
  <rv s="5">
    <fb>42.752499999999998</fb>
    <v>14</v>
  </rv>
  <rv s="5">
    <fb>6.3507999999999996</fb>
    <v>14</v>
  </rv>
  <rv s="5">
    <fb>82.52</fb>
    <v>14</v>
  </rv>
  <rv s="5">
    <fb>256.76</fb>
    <v>14</v>
  </rv>
  <rv s="5">
    <fb>2850.4</fb>
    <v>14</v>
  </rv>
  <rv s="5">
    <fb>43319</fb>
    <v>13</v>
  </rv>
  <rv s="5">
    <fb>62.792000000000002</fb>
    <v>14</v>
  </rv>
  <rv s="5">
    <fb>93.123999999999995</fb>
    <v>14</v>
  </rv>
  <rv s="5">
    <fb>41.74</fb>
    <v>14</v>
  </rv>
  <rv s="5">
    <fb>149.7062</fb>
    <v>14</v>
  </rv>
  <rv s="5">
    <fb>202.62</fb>
    <v>14</v>
  </rv>
  <rv s="5">
    <fb>42.657499999999999</fb>
    <v>14</v>
  </rv>
  <rv s="5">
    <fb>66.680000000000007</fb>
    <v>14</v>
  </rv>
  <rv s="5">
    <fb>6.4238</fb>
    <v>14</v>
  </rv>
  <rv s="5">
    <fb>82.64</fb>
    <v>14</v>
  </rv>
  <rv s="5">
    <fb>257.64999999999998</fb>
    <v>14</v>
  </rv>
  <rv s="5">
    <fb>2858.45</fb>
    <v>14</v>
  </rv>
  <rv s="5">
    <fb>43320</fb>
    <v>13</v>
  </rv>
  <rv s="5">
    <fb>63.066499999999998</fb>
    <v>14</v>
  </rv>
  <rv s="5">
    <fb>94.325999999999993</fb>
    <v>14</v>
  </rv>
  <rv s="5">
    <fb>41.46</fb>
    <v>14</v>
  </rv>
  <rv s="5">
    <fb>447.5</fb>
    <v>14</v>
  </rv>
  <rv s="5">
    <fb>148.59549999999999</fb>
    <v>14</v>
  </rv>
  <rv s="5">
    <fb>202.86</fb>
    <v>14</v>
  </rv>
  <rv s="5">
    <fb>66.41</fb>
    <v>14</v>
  </rv>
  <rv s="5">
    <fb>6.4604999999999997</fb>
    <v>14</v>
  </rv>
  <rv s="5">
    <fb>82.35</fb>
    <v>14</v>
  </rv>
  <rv s="5">
    <fb>258.81</fb>
    <v>14</v>
  </rv>
  <rv s="5">
    <fb>2857.7</fb>
    <v>14</v>
  </rv>
  <rv s="5">
    <fb>43321</fb>
    <v>13</v>
  </rv>
  <rv s="5">
    <fb>63.222999999999999</fb>
    <v>14</v>
  </rv>
  <rv s="5">
    <fb>94.926000000000002</fb>
    <v>14</v>
  </rv>
  <rv s="5">
    <fb>444.99</fb>
    <v>14</v>
  </rv>
  <rv s="5">
    <fb>147.4083</fb>
    <v>14</v>
  </rv>
  <rv s="5">
    <fb>203.6</fb>
    <v>14</v>
  </rv>
  <rv s="5">
    <fb>42.712499999999999</fb>
    <v>14</v>
  </rv>
  <rv s="5">
    <fb>65.400000000000006</fb>
    <v>14</v>
  </rv>
  <rv s="5">
    <fb>6.4115000000000002</fb>
    <v>14</v>
  </rv>
  <rv s="5">
    <fb>81.400000000000006</fb>
    <v>14</v>
  </rv>
  <rv s="5">
    <fb>261.58999999999997</fb>
    <v>14</v>
  </rv>
  <rv s="5">
    <fb>2853.58</fb>
    <v>14</v>
  </rv>
  <rv s="5">
    <fb>43322</fb>
    <v>13</v>
  </rv>
  <rv s="5">
    <fb>62.625500000000002</fb>
    <v>14</v>
  </rv>
  <rv s="5">
    <fb>94.314999999999998</fb>
    <v>14</v>
  </rv>
  <rv s="5">
    <fb>437.24</fb>
    <v>14</v>
  </rv>
  <rv s="5">
    <fb>146.5753</fb>
    <v>14</v>
  </rv>
  <rv s="5">
    <fb>202.65</fb>
    <v>14</v>
  </rv>
  <rv s="5">
    <fb>42.732500000000002</fb>
    <v>14</v>
  </rv>
  <rv s="5">
    <fb>66.040000000000006</fb>
    <v>14</v>
  </rv>
  <rv s="5">
    <fb>6.3697999999999997</fb>
    <v>14</v>
  </rv>
  <rv s="5">
    <fb>81.430000000000007</fb>
    <v>14</v>
  </rv>
  <rv s="5">
    <fb>260.36</fb>
    <v>14</v>
  </rv>
  <rv s="5">
    <fb>2833.28</fb>
    <v>14</v>
  </rv>
  <rv s="5">
    <fb>43325</fb>
    <v>13</v>
  </rv>
  <rv s="5">
    <fb>62.432000000000002</fb>
    <v>14</v>
  </rv>
  <rv s="5">
    <fb>94.81</fb>
    <v>14</v>
  </rv>
  <rv s="5">
    <fb>39.65</fb>
    <v>14</v>
  </rv>
  <rv s="5">
    <fb>440.81</fb>
    <v>14</v>
  </rv>
  <rv s="5">
    <fb>145.86680000000001</fb>
    <v>14</v>
  </rv>
  <rv s="5">
    <fb>202.31</fb>
    <v>14</v>
  </rv>
  <rv s="5">
    <fb>42.825000000000003</fb>
    <v>14</v>
  </rv>
  <rv s="5">
    <fb>64.97</fb>
    <v>14</v>
  </rv>
  <rv s="5">
    <fb>6.4029999999999996</fb>
    <v>14</v>
  </rv>
  <rv s="5">
    <fb>81.52</fb>
    <v>14</v>
  </rv>
  <rv s="5">
    <fb>260.91000000000003</fb>
    <v>14</v>
  </rv>
  <rv s="5">
    <fb>2821.93</fb>
    <v>14</v>
  </rv>
  <rv s="5">
    <fb>43326</fb>
    <v>13</v>
  </rv>
  <rv s="5">
    <fb>62.906999999999996</fb>
    <v>14</v>
  </rv>
  <rv s="5">
    <fb>95.982500000000002</fb>
    <v>14</v>
  </rv>
  <rv s="5">
    <fb>39.700000000000003</fb>
    <v>14</v>
  </rv>
  <rv s="5">
    <fb>434.02</fb>
    <v>14</v>
  </rv>
  <rv s="5">
    <fb>203.88</fb>
    <v>14</v>
  </rv>
  <rv s="5">
    <fb>42.984999999999999</fb>
    <v>14</v>
  </rv>
  <rv s="5">
    <fb>64.8</fb>
    <v>14</v>
  </rv>
  <rv s="5">
    <fb>6.5358000000000001</fb>
    <v>14</v>
  </rv>
  <rv s="5">
    <fb>81.31</fb>
    <v>14</v>
  </rv>
  <rv s="5">
    <fb>263.48</fb>
    <v>14</v>
  </rv>
  <rv s="5">
    <fb>2839.96</fb>
    <v>14</v>
  </rv>
  <rv s="5">
    <fb>43327</fb>
    <v>13</v>
  </rv>
  <rv s="5">
    <fb>61.610999999999997</fb>
    <v>14</v>
  </rv>
  <rv s="5">
    <fb>94.131</fb>
    <v>14</v>
  </rv>
  <rv s="5">
    <fb>40.11</fb>
    <v>14</v>
  </rv>
  <rv s="5">
    <fb>436.41</fb>
    <v>14</v>
  </rv>
  <rv s="5">
    <fb>146.66149999999999</fb>
    <v>14</v>
  </rv>
  <rv s="5">
    <fb>200.24</fb>
    <v>14</v>
  </rv>
  <rv s="5">
    <fb>43.192500000000003</fb>
    <v>14</v>
  </rv>
  <rv s="5">
    <fb>6.4770000000000003</fb>
    <v>14</v>
  </rv>
  <rv s="5">
    <fb>82.3</fb>
    <v>14</v>
  </rv>
  <rv s="5">
    <fb>260.61</fb>
    <v>14</v>
  </rv>
  <rv s="5">
    <fb>2818.37</fb>
    <v>14</v>
  </rv>
  <rv s="5">
    <fb>43328</fb>
    <v>13</v>
  </rv>
  <rv s="5">
    <fb>61.203000000000003</fb>
    <v>14</v>
  </rv>
  <rv s="5">
    <fb>443.6</fb>
    <v>14</v>
  </rv>
  <rv s="5">
    <fb>147.54230000000001</fb>
    <v>14</v>
  </rv>
  <rv s="5">
    <fb>43.697499999999998</fb>
    <v>14</v>
  </rv>
  <rv s="5">
    <fb>62.49</fb>
    <v>14</v>
  </rv>
  <rv s="5">
    <fb>6.4359999999999999</fb>
    <v>14</v>
  </rv>
  <rv s="5">
    <fb>83.69</fb>
    <v>14</v>
  </rv>
  <rv s="5">
    <fb>263.10000000000002</fb>
    <v>14</v>
  </rv>
  <rv s="5">
    <fb>2840.69</fb>
    <v>14</v>
  </rv>
  <rv s="5">
    <fb>43329</fb>
    <v>13</v>
  </rv>
  <rv s="5">
    <fb>60.792499999999997</fb>
    <v>14</v>
  </rv>
  <rv s="5">
    <fb>94.111000000000004</fb>
    <v>14</v>
  </rv>
  <rv s="5">
    <fb>40.659999999999997</fb>
    <v>14</v>
  </rv>
  <rv s="5">
    <fb>438.77</fb>
    <v>14</v>
  </rv>
  <rv s="5">
    <fb>148.5668</fb>
    <v>14</v>
  </rv>
  <rv s="5">
    <fb>43.792499999999997</fb>
    <v>14</v>
  </rv>
  <rv s="5">
    <fb>62.83</fb>
    <v>14</v>
  </rv>
  <rv s="5">
    <fb>6.1204999999999998</fb>
    <v>14</v>
  </rv>
  <rv s="5">
    <fb>262.33</fb>
    <v>14</v>
  </rv>
  <rv s="5">
    <fb>2850.13</fb>
    <v>14</v>
  </rv>
  <rv s="5">
    <fb>43332</fb>
    <v>13</v>
  </rv>
  <rv s="5">
    <fb>61.097499999999997</fb>
    <v>14</v>
  </rv>
  <rv s="5">
    <fb>93.835499999999996</fb>
    <v>14</v>
  </rv>
  <rv s="5">
    <fb>438.33</fb>
    <v>14</v>
  </rv>
  <rv s="5">
    <fb>148.85400000000001</fb>
    <v>14</v>
  </rv>
  <rv s="5">
    <fb>204.75</fb>
    <v>14</v>
  </rv>
  <rv s="5">
    <fb>43.575000000000003</fb>
    <v>14</v>
  </rv>
  <rv s="5">
    <fb>6.1959999999999997</fb>
    <v>14</v>
  </rv>
  <rv s="5">
    <fb>83.64</fb>
    <v>14</v>
  </rv>
  <rv s="5">
    <fb>262.39999999999998</fb>
    <v>14</v>
  </rv>
  <rv s="5">
    <fb>2857.05</fb>
    <v>14</v>
  </rv>
  <rv s="5">
    <fb>43333</fb>
    <v>13</v>
  </rv>
  <rv s="5">
    <fb>60.8705</fb>
    <v>14</v>
  </rv>
  <rv s="5">
    <fb>94.171000000000006</fb>
    <v>14</v>
  </rv>
  <rv s="5">
    <fb>41.07</fb>
    <v>14</v>
  </rv>
  <rv s="5">
    <fb>432.61</fb>
    <v>14</v>
  </rv>
  <rv s="5">
    <fb>150.2998</fb>
    <v>14</v>
  </rv>
  <rv s="5">
    <fb>203.09</fb>
    <v>14</v>
  </rv>
  <rv s="5">
    <fb>43.157499999999999</fb>
    <v>14</v>
  </rv>
  <rv s="5">
    <fb>64.760000000000005</fb>
    <v>14</v>
  </rv>
  <rv s="5">
    <fb>6.3330000000000002</fb>
    <v>14</v>
  </rv>
  <rv s="5">
    <fb>83.9</fb>
    <v>14</v>
  </rv>
  <rv s="5">
    <fb>261.69</fb>
    <v>14</v>
  </rv>
  <rv s="5">
    <fb>2862.96</fb>
    <v>14</v>
  </rv>
  <rv s="5">
    <fb>43334</fb>
    <v>13</v>
  </rv>
  <rv s="5">
    <fb>61.087499999999999</fb>
    <v>14</v>
  </rv>
  <rv s="5">
    <fb>95.245000000000005</fb>
    <v>14</v>
  </rv>
  <rv s="5">
    <fb>429.94</fb>
    <v>14</v>
  </rv>
  <rv s="5">
    <fb>149.48599999999999</fb>
    <v>14</v>
  </rv>
  <rv s="5">
    <fb>204.31</fb>
    <v>14</v>
  </rv>
  <rv s="5">
    <fb>42.927500000000002</fb>
    <v>14</v>
  </rv>
  <rv s="5">
    <fb>65.09</fb>
    <v>14</v>
  </rv>
  <rv s="5">
    <fb>6.5705</fb>
    <v>14</v>
  </rv>
  <rv s="5">
    <fb>83.39</fb>
    <v>14</v>
  </rv>
  <rv s="5">
    <fb>260.74</fb>
    <v>14</v>
  </rv>
  <rv s="5">
    <fb>2861.82</fb>
    <v>14</v>
  </rv>
  <rv s="5">
    <fb>43335</fb>
    <v>13</v>
  </rv>
  <rv s="5">
    <fb>61.058</fb>
    <v>14</v>
  </rv>
  <rv s="5">
    <fb>95.144999999999996</fb>
    <v>14</v>
  </rv>
  <rv s="5">
    <fb>40.68</fb>
    <v>14</v>
  </rv>
  <rv s="5">
    <fb>429.17</fb>
    <v>14</v>
  </rv>
  <rv s="5">
    <fb>151.1902</fb>
    <v>14</v>
  </rv>
  <rv s="5">
    <fb>205.22</fb>
    <v>14</v>
  </rv>
  <rv s="5">
    <fb>42.907499999999999</fb>
    <v>14</v>
  </rv>
  <rv s="5">
    <fb>64.650000000000006</fb>
    <v>14</v>
  </rv>
  <rv s="5">
    <fb>6.6710000000000003</fb>
    <v>14</v>
  </rv>
  <rv s="5">
    <fb>83.24</fb>
    <v>14</v>
  </rv>
  <rv s="5">
    <fb>261.42</fb>
    <v>14</v>
  </rv>
  <rv s="5">
    <fb>2856.98</fb>
    <v>14</v>
  </rv>
  <rv s="5">
    <fb>43336</fb>
    <v>13</v>
  </rv>
  <rv s="5">
    <fb>61.837499999999999</fb>
    <v>14</v>
  </rv>
  <rv s="5">
    <fb>95.269499999999994</fb>
    <v>14</v>
  </rv>
  <rv s="5">
    <fb>430.02</fb>
    <v>14</v>
  </rv>
  <rv s="5">
    <fb>150.80719999999999</fb>
    <v>14</v>
  </rv>
  <rv s="5">
    <fb>209.4</fb>
    <v>14</v>
  </rv>
  <rv s="5">
    <fb>43.174999999999997</fb>
    <v>14</v>
  </rv>
  <rv s="5">
    <fb>6.8055000000000003</fb>
    <v>14</v>
  </rv>
  <rv s="5">
    <fb>83.36</fb>
    <v>14</v>
  </rv>
  <rv s="5">
    <fb>264.27999999999997</fb>
    <v>14</v>
  </rv>
  <rv s="5">
    <fb>2874.69</fb>
    <v>14</v>
  </rv>
  <rv s="5">
    <fb>43339</fb>
    <v>13</v>
  </rv>
  <rv s="5">
    <fb>62.813499999999998</fb>
    <v>14</v>
  </rv>
  <rv s="5">
    <fb>96.384</fb>
    <v>14</v>
  </rv>
  <rv s="5">
    <fb>41.85</fb>
    <v>14</v>
  </rv>
  <rv s="5">
    <fb>432.55</fb>
    <v>14</v>
  </rv>
  <rv s="5">
    <fb>152.56890000000001</fb>
    <v>14</v>
  </rv>
  <rv s="5">
    <fb>211.53</fb>
    <v>14</v>
  </rv>
  <rv s="5">
    <fb>42.865000000000002</fb>
    <v>14</v>
  </rv>
  <rv s="5">
    <fb>64.849999999999994</fb>
    <v>14</v>
  </rv>
  <rv s="5">
    <fb>6.8975</fb>
    <v>14</v>
  </rv>
  <rv s="5">
    <fb>83.44</fb>
    <v>14</v>
  </rv>
  <rv s="5">
    <fb>267.08</fb>
    <v>14</v>
  </rv>
  <rv s="5">
    <fb>2896.74</fb>
    <v>14</v>
  </rv>
  <rv s="5">
    <fb>43340</fb>
    <v>13</v>
  </rv>
  <rv s="5">
    <fb>62.292999999999999</fb>
    <v>14</v>
  </rv>
  <rv s="5">
    <fb>96.641000000000005</fb>
    <v>14</v>
  </rv>
  <rv s="5">
    <fb>435.68</fb>
    <v>14</v>
  </rv>
  <rv s="5">
    <fb>153.28700000000001</fb>
    <v>14</v>
  </rv>
  <rv s="5">
    <fb>212.63</fb>
    <v>14</v>
  </rv>
  <rv s="5">
    <fb>64.069999999999993</fb>
    <v>14</v>
  </rv>
  <rv s="5">
    <fb>6.8594999999999997</fb>
    <v>14</v>
  </rv>
  <rv s="5">
    <fb>83.48</fb>
    <v>14</v>
  </rv>
  <rv s="5">
    <fb>268.51</fb>
    <v>14</v>
  </rv>
  <rv s="5">
    <fb>2897.52</fb>
    <v>14</v>
  </rv>
  <rv s="5">
    <fb>43341</fb>
    <v>13</v>
  </rv>
  <rv s="5">
    <fb>63.232500000000002</fb>
    <v>14</v>
  </rv>
  <rv s="5">
    <fb>99.905000000000001</fb>
    <v>14</v>
  </rv>
  <rv s="5">
    <fb>41.84</fb>
    <v>14</v>
  </rv>
  <rv s="5">
    <fb>436.11</fb>
    <v>14</v>
  </rv>
  <rv s="5">
    <fb>153.4785</fb>
    <v>14</v>
  </rv>
  <rv s="5">
    <fb>214.57</fb>
    <v>14</v>
  </rv>
  <rv s="5">
    <fb>42.6325</fb>
    <v>14</v>
  </rv>
  <rv s="5">
    <fb>64.489999999999995</fb>
    <v>14</v>
  </rv>
  <rv s="5">
    <fb>6.9622999999999999</fb>
    <v>14</v>
  </rv>
  <rv s="5">
    <fb>269</fb>
    <v>14</v>
  </rv>
  <rv s="5">
    <fb>2914.04</fb>
    <v>14</v>
  </rv>
  <rv s="5">
    <fb>43342</fb>
    <v>13</v>
  </rv>
  <rv s="5">
    <fb>62.722000000000001</fb>
    <v>14</v>
  </rv>
  <rv s="5">
    <fb>100.119</fb>
    <v>14</v>
  </rv>
  <rv s="5">
    <fb>430.69</fb>
    <v>14</v>
  </rv>
  <rv s="5">
    <fb>152.66470000000001</fb>
    <v>14</v>
  </rv>
  <rv s="5">
    <fb>213.8</fb>
    <v>14</v>
  </rv>
  <rv s="5">
    <fb>42.707500000000003</fb>
    <v>14</v>
  </rv>
  <rv s="5">
    <fb>64.34</fb>
    <v>14</v>
  </rv>
  <rv s="5">
    <fb>6.9452999999999996</fb>
    <v>14</v>
  </rv>
  <rv s="5">
    <fb>83.41</fb>
    <v>14</v>
  </rv>
  <rv s="5">
    <fb>268.39</fb>
    <v>14</v>
  </rv>
  <rv s="5">
    <fb>2901.13</fb>
    <v>14</v>
  </rv>
  <rv s="5">
    <fb>43343</fb>
    <v>13</v>
  </rv>
  <rv s="5">
    <fb>61.59</fb>
    <v>14</v>
  </rv>
  <rv s="5">
    <fb>100.63549999999999</fb>
    <v>14</v>
  </rv>
  <rv s="5">
    <fb>436.13</fb>
    <v>14</v>
  </rv>
  <rv s="5">
    <fb>152.29130000000001</fb>
    <v>14</v>
  </rv>
  <rv s="5">
    <fb>215.56</fb>
    <v>14</v>
  </rv>
  <rv s="5">
    <fb>63.16</fb>
    <v>14</v>
  </rv>
  <rv s="5">
    <fb>7.0170000000000003</fb>
    <v>14</v>
  </rv>
  <rv s="5">
    <fb>82.95</fb>
    <v>14</v>
  </rv>
  <rv s="5">
    <fb>268.45999999999998</fb>
    <v>14</v>
  </rv>
  <rv s="5">
    <fb>2901.52</fb>
    <v>14</v>
  </rv>
  <rv s="5">
    <fb>43347</fb>
    <v>13</v>
  </rv>
  <rv s="5">
    <fb>60.5655</fb>
    <v>14</v>
  </rv>
  <rv s="5">
    <fb>101.9755</fb>
    <v>14</v>
  </rv>
  <rv s="5">
    <fb>428.39</fb>
    <v>14</v>
  </rv>
  <rv s="5">
    <fb>152.8466</fb>
    <v>14</v>
  </rv>
  <rv s="5">
    <fb>216.82</fb>
    <v>14</v>
  </rv>
  <rv s="5">
    <fb>42.5075</fb>
    <v>14</v>
  </rv>
  <rv s="5">
    <fb>61.92</fb>
    <v>14</v>
  </rv>
  <rv s="5">
    <fb>7.0925000000000002</fb>
    <v>14</v>
  </rv>
  <rv s="5">
    <fb>82.7</fb>
    <v>14</v>
  </rv>
  <rv s="5">
    <fb>2896.72</fb>
    <v>14</v>
  </rv>
  <rv s="5">
    <fb>43348</fb>
    <v>13</v>
  </rv>
  <rv s="5">
    <fb>99.741</fb>
    <v>14</v>
  </rv>
  <rv s="5">
    <fb>41.95</fb>
    <v>14</v>
  </rv>
  <rv s="5">
    <fb>430.21</fb>
    <v>14</v>
  </rv>
  <rv s="5">
    <fb>154.9051</fb>
    <v>14</v>
  </rv>
  <rv s="5">
    <fb>211.16</fb>
    <v>14</v>
  </rv>
  <rv s="5">
    <fb>42.905000000000001</fb>
    <v>14</v>
  </rv>
  <rv s="5">
    <fb>61.02</fb>
    <v>14</v>
  </rv>
  <rv s="5">
    <fb>6.9604999999999997</fb>
    <v>14</v>
  </rv>
  <rv s="5">
    <fb>83.29</fb>
    <v>14</v>
  </rv>
  <rv s="5">
    <fb>267.64</fb>
    <v>14</v>
  </rv>
  <rv s="5">
    <fb>2888.6</fb>
    <v>14</v>
  </rv>
  <rv s="5">
    <fb>43349</fb>
    <v>13</v>
  </rv>
  <rv s="5">
    <fb>59.1995</fb>
    <v>14</v>
  </rv>
  <rv s="5">
    <fb>97.915499999999994</fb>
    <v>14</v>
  </rv>
  <rv s="5">
    <fb>431.65</fb>
    <v>14</v>
  </rv>
  <rv s="5">
    <fb>157.03059999999999</fb>
    <v>14</v>
  </rv>
  <rv s="5">
    <fb>212.77</fb>
    <v>14</v>
  </rv>
  <rv s="5">
    <fb>43.454999999999998</fb>
    <v>14</v>
  </rv>
  <rv s="5">
    <fb>6.8179999999999996</fb>
    <v>14</v>
  </rv>
  <rv s="5">
    <fb>82.65</fb>
    <v>14</v>
  </rv>
  <rv s="5">
    <fb>269.64999999999998</fb>
    <v>14</v>
  </rv>
  <rv s="5">
    <fb>2878.05</fb>
    <v>14</v>
  </rv>
  <rv s="5">
    <fb>43350</fb>
    <v>13</v>
  </rv>
  <rv s="5">
    <fb>58.8795</fb>
    <v>14</v>
  </rv>
  <rv s="5">
    <fb>97.603499999999997</fb>
    <v>14</v>
  </rv>
  <rv s="5">
    <fb>431.09</fb>
    <v>14</v>
  </rv>
  <rv s="5">
    <fb>155.8817</fb>
    <v>14</v>
  </rv>
  <rv s="5">
    <fb>211.09</fb>
    <v>14</v>
  </rv>
  <rv s="5">
    <fb>43.024999999999999</fb>
    <v>14</v>
  </rv>
  <rv s="5">
    <fb>59.7</fb>
    <v>14</v>
  </rv>
  <rv s="5">
    <fb>6.7965</fb>
    <v>14</v>
  </rv>
  <rv s="5">
    <fb>81.91</fb>
    <v>14</v>
  </rv>
  <rv s="5">
    <fb>268.27999999999997</fb>
    <v>14</v>
  </rv>
  <rv s="5">
    <fb>2871.68</fb>
    <v>14</v>
  </rv>
  <rv s="5">
    <fb>43353</fb>
    <v>13</v>
  </rv>
  <rv s="5">
    <fb>58.753</fb>
    <v>14</v>
  </rv>
  <rv s="5">
    <fb>96.950500000000005</fb>
    <v>14</v>
  </rv>
  <rv s="5">
    <fb>43.18</fb>
    <v>14</v>
  </rv>
  <rv s="5">
    <fb>156.4179</fb>
    <v>14</v>
  </rv>
  <rv s="5">
    <fb>211.67</fb>
    <v>14</v>
  </rv>
  <rv s="5">
    <fb>43.0075</fb>
    <v>14</v>
  </rv>
  <rv s="5">
    <fb>59.98</fb>
    <v>14</v>
  </rv>
  <rv s="5">
    <fb>6.8682999999999996</fb>
    <v>14</v>
  </rv>
  <rv s="5">
    <fb>259.73</fb>
    <v>14</v>
  </rv>
  <rv s="5">
    <fb>2877.13</fb>
    <v>14</v>
  </rv>
  <rv s="5">
    <fb>43354</fb>
    <v>13</v>
  </rv>
  <rv s="5">
    <fb>59.499499999999998</fb>
    <v>14</v>
  </rv>
  <rv s="5">
    <fb>99.357500000000002</fb>
    <v>14</v>
  </rv>
  <rv s="5">
    <fb>42.79</fb>
    <v>14</v>
  </rv>
  <rv s="5">
    <fb>434.66</fb>
    <v>14</v>
  </rv>
  <rv s="5">
    <fb>156.12110000000001</fb>
    <v>14</v>
  </rv>
  <rv s="5">
    <fb>213.45</fb>
    <v>14</v>
  </rv>
  <rv s="5">
    <fb>43.037500000000001</fb>
    <v>14</v>
  </rv>
  <rv s="5">
    <fb>60.32</fb>
    <v>14</v>
  </rv>
  <rv s="5">
    <fb>6.82</fb>
    <v>14</v>
  </rv>
  <rv s="5">
    <fb>82.01</fb>
    <v>14</v>
  </rv>
  <rv s="5">
    <fb>261.04000000000002</fb>
    <v>14</v>
  </rv>
  <rv s="5">
    <fb>2887.89</fb>
    <v>14</v>
  </rv>
  <rv s="5">
    <fb>43355</fb>
    <v>13</v>
  </rv>
  <rv s="5">
    <fb>58.58</fb>
    <v>14</v>
  </rv>
  <rv s="5">
    <fb>99.5</fb>
    <v>14</v>
  </rv>
  <rv s="5">
    <fb>43.2</fb>
    <v>14</v>
  </rv>
  <rv s="5">
    <fb>439.43</fb>
    <v>14</v>
  </rv>
  <rv s="5">
    <fb>156.91569999999999</fb>
    <v>14</v>
  </rv>
  <rv s="5">
    <fb>214.03</fb>
    <v>14</v>
  </rv>
  <rv s="5">
    <fb>43.125</fb>
    <v>14</v>
  </rv>
  <rv s="5">
    <fb>60.82</fb>
    <v>14</v>
  </rv>
  <rv s="5">
    <fb>6.7050000000000001</fb>
    <v>14</v>
  </rv>
  <rv s="5">
    <fb>83.11</fb>
    <v>14</v>
  </rv>
  <rv s="5">
    <fb>262.67</fb>
    <v>14</v>
  </rv>
  <rv s="5">
    <fb>2888.92</fb>
    <v>14</v>
  </rv>
  <rv s="5">
    <fb>43356</fb>
    <v>13</v>
  </rv>
  <rv s="5">
    <fb>99.493499999999997</fb>
    <v>14</v>
  </rv>
  <rv s="5">
    <fb>43.81</fb>
    <v>14</v>
  </rv>
  <rv s="5">
    <fb>443.84</fb>
    <v>14</v>
  </rv>
  <rv s="5">
    <fb>158.6583</fb>
    <v>14</v>
  </rv>
  <rv s="5">
    <fb>217.22</fb>
    <v>14</v>
  </rv>
  <rv s="5">
    <fb>43.65</fb>
    <v>14</v>
  </rv>
  <rv s="5">
    <fb>6.7835000000000001</fb>
    <v>14</v>
  </rv>
  <rv s="5">
    <fb>83.45</fb>
    <v>14</v>
  </rv>
  <rv s="5">
    <fb>265.49</fb>
    <v>14</v>
  </rv>
  <rv s="5">
    <fb>2904.18</fb>
    <v>14</v>
  </rv>
  <rv s="5">
    <fb>43357</fb>
    <v>13</v>
  </rv>
  <rv s="5">
    <fb>58.899000000000001</fb>
    <v>14</v>
  </rv>
  <rv s="5">
    <fb>98.509500000000003</fb>
    <v>14</v>
  </rv>
  <rv s="5">
    <fb>44.14</fb>
    <v>14</v>
  </rv>
  <rv s="5">
    <fb>448.14</fb>
    <v>14</v>
  </rv>
  <rv s="5">
    <fb>158.0838</fb>
    <v>14</v>
  </rv>
  <rv s="5">
    <fb>43.412500000000001</fb>
    <v>14</v>
  </rv>
  <rv s="5">
    <fb>61.23</fb>
    <v>14</v>
  </rv>
  <rv s="5">
    <fb>6.9108000000000001</fb>
    <v>14</v>
  </rv>
  <rv s="5">
    <fb>265.31</fb>
    <v>14</v>
  </rv>
  <rv s="5">
    <fb>2904.98</fb>
    <v>14</v>
  </rv>
  <rv s="5">
    <fb>43360</fb>
    <v>13</v>
  </rv>
  <rv s="5">
    <fb>57.991500000000002</fb>
    <v>14</v>
  </rv>
  <rv s="5">
    <fb>95.401499999999999</fb>
    <v>14</v>
  </rv>
  <rv s="5">
    <fb>447.3</fb>
    <v>14</v>
  </rv>
  <rv s="5">
    <fb>158.69659999999999</fb>
    <v>14</v>
  </rv>
  <rv s="5">
    <fb>216.47</fb>
    <v>14</v>
  </rv>
  <rv s="5">
    <fb>43.465000000000003</fb>
    <v>14</v>
  </rv>
  <rv s="5">
    <fb>60.97</fb>
    <v>14</v>
  </rv>
  <rv s="5">
    <fb>6.8483000000000001</fb>
    <v>14</v>
  </rv>
  <rv s="5">
    <fb>263.87</fb>
    <v>14</v>
  </rv>
  <rv s="5">
    <fb>2888.8</fb>
    <v>14</v>
  </rv>
  <rv s="5">
    <fb>43361</fb>
    <v>13</v>
  </rv>
  <rv s="5">
    <fb>58.355499999999999</fb>
    <v>14</v>
  </rv>
  <rv s="5">
    <fb>97.052499999999995</fb>
    <v>14</v>
  </rv>
  <rv s="5">
    <fb>44.92</fb>
    <v>14</v>
  </rv>
  <rv s="5">
    <fb>445.21</fb>
    <v>14</v>
  </rv>
  <rv s="5">
    <fb>220.05</fb>
    <v>14</v>
  </rv>
  <rv s="5">
    <fb>43.36</fb>
    <v>14</v>
  </rv>
  <rv s="5">
    <fb>60.99</fb>
    <v>14</v>
  </rv>
  <rv s="5">
    <fb>6.7755000000000001</fb>
    <v>14</v>
  </rv>
  <rv s="5">
    <fb>84</fb>
    <v>14</v>
  </rv>
  <rv s="5">
    <fb>263.29000000000002</fb>
    <v>14</v>
  </rv>
  <rv s="5">
    <fb>2904.31</fb>
    <v>14</v>
  </rv>
  <rv s="5">
    <fb>43362</fb>
    <v>13</v>
  </rv>
  <rv s="5">
    <fb>58.713500000000003</fb>
    <v>14</v>
  </rv>
  <rv s="5">
    <fb>96.320999999999998</fb>
    <v>14</v>
  </rv>
  <rv s="5">
    <fb>44.23</fb>
    <v>14</v>
  </rv>
  <rv s="5">
    <fb>442.27</fb>
    <v>14</v>
  </rv>
  <rv s="5">
    <fb>158.74449999999999</fb>
    <v>14</v>
  </rv>
  <rv s="5">
    <fb>218.19</fb>
    <v>14</v>
  </rv>
  <rv s="5">
    <fb>42.292499999999997</fb>
    <v>14</v>
  </rv>
  <rv s="5">
    <fb>6.7995000000000001</fb>
    <v>14</v>
  </rv>
  <rv s="5">
    <fb>265.33</fb>
    <v>14</v>
  </rv>
  <rv s="5">
    <fb>2907.95</fb>
    <v>14</v>
  </rv>
  <rv s="5">
    <fb>43363</fb>
    <v>13</v>
  </rv>
  <rv s="5">
    <fb>59.578499999999998</fb>
    <v>14</v>
  </rv>
  <rv s="5">
    <fb>97.215000000000003</fb>
    <v>14</v>
  </rv>
  <rv s="5">
    <fb>44.39</fb>
    <v>14</v>
  </rv>
  <rv s="5">
    <fb>445.01</fb>
    <v>14</v>
  </rv>
  <rv s="5">
    <fb>159.453</fb>
    <v>14</v>
  </rv>
  <rv s="5">
    <fb>221.39</fb>
    <v>14</v>
  </rv>
  <rv s="5">
    <fb>42.317500000000003</fb>
    <v>14</v>
  </rv>
  <rv s="5">
    <fb>61.57</fb>
    <v>14</v>
  </rv>
  <rv s="5">
    <fb>6.657</fb>
    <v>14</v>
  </rv>
  <rv s="5">
    <fb>85.36</fb>
    <v>14</v>
  </rv>
  <rv s="5">
    <fb>266.39</fb>
    <v>14</v>
  </rv>
  <rv s="5">
    <fb>2930.75</fb>
    <v>14</v>
  </rv>
  <rv s="5">
    <fb>43364</fb>
    <v>13</v>
  </rv>
  <rv s="5">
    <fb>58.606000000000002</fb>
    <v>14</v>
  </rv>
  <rv s="5">
    <fb>95.750500000000002</fb>
    <v>14</v>
  </rv>
  <rv s="5">
    <fb>44.57</fb>
    <v>14</v>
  </rv>
  <rv s="5">
    <fb>441.68</fb>
    <v>14</v>
  </rv>
  <rv s="5">
    <fb>160.21889999999999</fb>
    <v>14</v>
  </rv>
  <rv s="5">
    <fb>42.69</fb>
    <v>14</v>
  </rv>
  <rv s="5">
    <fb>61.13</fb>
    <v>14</v>
  </rv>
  <rv s="5">
    <fb>6.5862999999999996</fb>
    <v>14</v>
  </rv>
  <rv s="5">
    <fb>85.82</fb>
    <v>14</v>
  </rv>
  <rv s="5">
    <fb>266.67</fb>
    <v>14</v>
  </rv>
  <rv s="5">
    <fb>2929.67</fb>
    <v>14</v>
  </rv>
  <rv s="5">
    <fb>43367</fb>
    <v>13</v>
  </rv>
  <rv s="5">
    <fb>58.978000000000002</fb>
    <v>14</v>
  </rv>
  <rv s="5">
    <fb>96.718000000000004</fb>
    <v>14</v>
  </rv>
  <rv s="5">
    <fb>44.86</fb>
    <v>14</v>
  </rv>
  <rv s="5">
    <fb>431.97</fb>
    <v>14</v>
  </rv>
  <rv s="5">
    <fb>158.41890000000001</fb>
    <v>14</v>
  </rv>
  <rv s="5">
    <fb>221.35</fb>
    <v>14</v>
  </rv>
  <rv s="5">
    <fb>42.202500000000001</fb>
    <v>14</v>
  </rv>
  <rv s="5">
    <fb>61.6</fb>
    <v>14</v>
  </rv>
  <rv s="5">
    <fb>6.6425000000000001</fb>
    <v>14</v>
  </rv>
  <rv s="5">
    <fb>267.36</fb>
    <v>14</v>
  </rv>
  <rv s="5">
    <fb>2919.37</fb>
    <v>14</v>
  </rv>
  <rv s="5">
    <fb>43368</fb>
    <v>13</v>
  </rv>
  <rv s="5">
    <fb>59.694499999999998</fb>
    <v>14</v>
  </rv>
  <rv s="5">
    <fb>98.727500000000006</fb>
    <v>14</v>
  </rv>
  <rv s="5">
    <fb>44.22</fb>
    <v>14</v>
  </rv>
  <rv s="5">
    <fb>428.76</fb>
    <v>14</v>
  </rv>
  <rv s="5">
    <fb>158.5147</fb>
    <v>14</v>
  </rv>
  <rv s="5">
    <fb>222.12</fb>
    <v>14</v>
  </rv>
  <rv s="5">
    <fb>41.712499999999999</fb>
    <v>14</v>
  </rv>
  <rv s="5">
    <fb>62.53</fb>
    <v>14</v>
  </rv>
  <rv s="5">
    <fb>6.7103000000000002</fb>
    <v>14</v>
  </rv>
  <rv s="5">
    <fb>83.12</fb>
    <v>14</v>
  </rv>
  <rv s="5">
    <fb>263.51</fb>
    <v>14</v>
  </rv>
  <rv s="5">
    <fb>2915.56</fb>
    <v>14</v>
  </rv>
  <rv s="5">
    <fb>43369</fb>
    <v>13</v>
  </rv>
  <rv s="5">
    <fb>59.703000000000003</fb>
    <v>14</v>
  </rv>
  <rv s="5">
    <fb>98.742500000000007</fb>
    <v>14</v>
  </rv>
  <rv s="5">
    <fb>44.3</fb>
    <v>14</v>
  </rv>
  <rv s="5">
    <fb>423.13</fb>
    <v>14</v>
  </rv>
  <rv s="5">
    <fb>158.7062</fb>
    <v>14</v>
  </rv>
  <rv s="5">
    <fb>222.26</fb>
    <v>14</v>
  </rv>
  <rv s="5">
    <fb>41.112499999999997</fb>
    <v>14</v>
  </rv>
  <rv s="5">
    <fb>60.88</fb>
    <v>14</v>
  </rv>
  <rv s="5">
    <fb>6.673</fb>
    <v>14</v>
  </rv>
  <rv s="5">
    <fb>83.26</fb>
    <v>14</v>
  </rv>
  <rv s="5">
    <fb>262.91000000000003</fb>
    <v>14</v>
  </rv>
  <rv s="5">
    <fb>2905.97</fb>
    <v>14</v>
  </rv>
  <rv s="5">
    <fb>43370</fb>
    <v>13</v>
  </rv>
  <rv s="5">
    <fb>60.368000000000002</fb>
    <v>14</v>
  </rv>
  <rv s="5">
    <fb>100.649</fb>
    <v>14</v>
  </rv>
  <rv s="5">
    <fb>430.15</fb>
    <v>14</v>
  </rv>
  <rv s="5">
    <fb>158.32320000000001</fb>
    <v>14</v>
  </rv>
  <rv s="5">
    <fb>222.31</fb>
    <v>14</v>
  </rv>
  <rv s="5">
    <fb>41.397500000000001</fb>
    <v>14</v>
  </rv>
  <rv s="5">
    <fb>61.17</fb>
    <v>14</v>
  </rv>
  <rv s="5">
    <fb>6.6849999999999996</fb>
    <v>14</v>
  </rv>
  <rv s="5">
    <fb>82.86</fb>
    <v>14</v>
  </rv>
  <rv s="5">
    <fb>264.64999999999998</fb>
    <v>14</v>
  </rv>
  <rv s="5">
    <fb>2914</fb>
    <v>14</v>
  </rv>
  <rv s="5">
    <fb>43371</fb>
    <v>13</v>
  </rv>
  <rv s="5">
    <fb>60.353999999999999</fb>
    <v>14</v>
  </rv>
  <rv s="5">
    <fb>100.15</fb>
    <v>14</v>
  </rv>
  <rv s="5">
    <fb>43.99</fb>
    <v>14</v>
  </rv>
  <rv s="5">
    <fb>432.89</fb>
    <v>14</v>
  </rv>
  <rv s="5">
    <fb>159.31890000000001</fb>
    <v>14</v>
  </rv>
  <rv s="5">
    <fb>222.61</fb>
    <v>14</v>
  </rv>
  <rv s="5">
    <fb>60.92</fb>
    <v>14</v>
  </rv>
  <rv s="5">
    <fb>7.0255000000000001</fb>
    <v>14</v>
  </rv>
  <rv s="5">
    <fb>83.23</fb>
    <v>14</v>
  </rv>
  <rv s="5">
    <fb>266.04000000000002</fb>
    <v>14</v>
  </rv>
  <rv s="5">
    <fb>2913.98</fb>
    <v>14</v>
  </rv>
  <rv s="5">
    <fb>43374</fb>
    <v>13</v>
  </rv>
  <rv s="5">
    <fb>60.426499999999997</fb>
    <v>14</v>
  </rv>
  <rv s="5">
    <fb>100.218</fb>
    <v>14</v>
  </rv>
  <rv s="5">
    <fb>43.88</fb>
    <v>14</v>
  </rv>
  <rv s="5">
    <fb>431.35</fb>
    <v>14</v>
  </rv>
  <rv s="5">
    <fb>161.1489</fb>
    <v>14</v>
  </rv>
  <rv s="5">
    <fb>223.77</fb>
    <v>14</v>
  </rv>
  <rv s="5">
    <fb>41.747500000000002</fb>
    <v>14</v>
  </rv>
  <rv s="5">
    <fb>7.234</fb>
    <v>14</v>
  </rv>
  <rv s="5">
    <fb>83.67</fb>
    <v>14</v>
  </rv>
  <rv s="5">
    <fb>269.10000000000002</fb>
    <v>14</v>
  </rv>
  <rv s="5">
    <fb>2924.59</fb>
    <v>14</v>
  </rv>
  <rv s="5">
    <fb>43375</fb>
    <v>13</v>
  </rv>
  <rv s="5">
    <fb>60.381999999999998</fb>
    <v>14</v>
  </rv>
  <rv s="5">
    <fb>98.5655</fb>
    <v>14</v>
  </rv>
  <rv s="5">
    <fb>44.45</fb>
    <v>14</v>
  </rv>
  <rv s="5">
    <fb>431.81</fb>
    <v>14</v>
  </rv>
  <rv s="5">
    <fb>160.75190000000001</fb>
    <v>14</v>
  </rv>
  <rv s="5">
    <fb>222.37</fb>
    <v>14</v>
  </rv>
  <rv s="5">
    <fb>42.335000000000001</fb>
    <v>14</v>
  </rv>
  <rv s="5">
    <fb>61.89</fb>
    <v>14</v>
  </rv>
  <rv s="5">
    <fb>7.1619999999999999</fb>
    <v>14</v>
  </rv>
  <rv s="5">
    <fb>84.36</fb>
    <v>14</v>
  </rv>
  <rv s="5">
    <fb>270.63</fb>
    <v>14</v>
  </rv>
  <rv s="5">
    <fb>2923.43</fb>
    <v>14</v>
  </rv>
  <rv s="5">
    <fb>43376</fb>
    <v>13</v>
  </rv>
  <rv s="5">
    <fb>60.576500000000003</fb>
    <v>14</v>
  </rv>
  <rv s="5">
    <fb>97.638000000000005</fb>
    <v>14</v>
  </rv>
  <rv s="5">
    <fb>45.32</fb>
    <v>14</v>
  </rv>
  <rv s="5">
    <fb>425.3</fb>
    <v>14</v>
  </rv>
  <rv s="5">
    <fb>160.12260000000001</fb>
    <v>14</v>
  </rv>
  <rv s="5">
    <fb>223.13</fb>
    <v>14</v>
  </rv>
  <rv s="5">
    <fb>62.62</fb>
    <v>14</v>
  </rv>
  <rv s="5">
    <fb>7.1683000000000003</fb>
    <v>14</v>
  </rv>
  <rv s="5">
    <fb>83.03</fb>
    <v>14</v>
  </rv>
  <rv s="5">
    <fb>270.89999999999998</fb>
    <v>14</v>
  </rv>
  <rv s="5">
    <fb>2925.51</fb>
    <v>14</v>
  </rv>
  <rv s="5">
    <fb>43377</fb>
    <v>13</v>
  </rv>
  <rv s="5">
    <fb>58.853499999999997</fb>
    <v>14</v>
  </rv>
  <rv s="5">
    <fb>95.471000000000004</fb>
    <v>14</v>
  </rv>
  <rv s="5">
    <fb>45.81</fb>
    <v>14</v>
  </rv>
  <rv s="5">
    <fb>422.46</fb>
    <v>14</v>
  </rv>
  <rv s="5">
    <fb>159.47389999999999</fb>
    <v>14</v>
  </rv>
  <rv s="5">
    <fb>216.15</fb>
    <v>14</v>
  </rv>
  <rv s="5">
    <fb>42.3125</fb>
    <v>14</v>
  </rv>
  <rv s="5">
    <fb>6.9823000000000004</fb>
    <v>14</v>
  </rv>
  <rv s="5">
    <fb>81.92</fb>
    <v>14</v>
  </rv>
  <rv s="5">
    <fb>268.32</fb>
    <v>14</v>
  </rv>
  <rv s="5">
    <fb>2901.61</fb>
    <v>14</v>
  </rv>
  <rv s="5">
    <fb>43378</fb>
    <v>13</v>
  </rv>
  <rv s="5">
    <fb>58.391500000000001</fb>
    <v>14</v>
  </rv>
  <rv s="5">
    <fb>94.482500000000002</fb>
    <v>14</v>
  </rv>
  <rv s="5">
    <fb>45.93</fb>
    <v>14</v>
  </rv>
  <rv s="5">
    <fb>417.32</fb>
    <v>14</v>
  </rv>
  <rv s="5">
    <fb>158.85419999999999</fb>
    <v>14</v>
  </rv>
  <rv s="5">
    <fb>213.26</fb>
    <v>14</v>
  </rv>
  <rv s="5">
    <fb>43.092500000000001</fb>
    <v>14</v>
  </rv>
  <rv s="5">
    <fb>6.7465000000000002</fb>
    <v>14</v>
  </rv>
  <rv s="5">
    <fb>82.15</fb>
    <v>14</v>
  </rv>
  <rv s="5">
    <fb>269.2</fb>
    <v>14</v>
  </rv>
  <rv s="5">
    <fb>2885.57</fb>
    <v>14</v>
  </rv>
  <rv s="5">
    <fb>43381</fb>
    <v>13</v>
  </rv>
  <rv s="5">
    <fb>57.795999999999999</fb>
    <v>14</v>
  </rv>
  <rv s="5">
    <fb>93.221000000000004</fb>
    <v>14</v>
  </rv>
  <rv s="5">
    <fb>46.35</fb>
    <v>14</v>
  </rv>
  <rv s="5">
    <fb>418.94</fb>
    <v>14</v>
  </rv>
  <rv s="5">
    <fb>159.6191</fb>
    <v>14</v>
  </rv>
  <rv s="5">
    <fb>208.26</fb>
    <v>14</v>
  </rv>
  <rv s="5">
    <fb>43.33</fb>
    <v>14</v>
  </rv>
  <rv s="5">
    <fb>62.94</fb>
    <v>14</v>
  </rv>
  <rv s="5">
    <fb>6.6443000000000003</fb>
    <v>14</v>
  </rv>
  <rv s="5">
    <fb>82.4</fb>
    <v>14</v>
  </rv>
  <rv s="5">
    <fb>269.01</fb>
    <v>14</v>
  </rv>
  <rv s="5">
    <fb>2884.43</fb>
    <v>14</v>
  </rv>
  <rv s="5">
    <fb>43382</fb>
    <v>13</v>
  </rv>
  <rv s="5">
    <fb>57.258499999999998</fb>
    <v>14</v>
  </rv>
  <rv s="5">
    <fb>93.516000000000005</fb>
    <v>14</v>
  </rv>
  <rv s="5">
    <fb>45.72</fb>
    <v>14</v>
  </rv>
  <rv s="5">
    <fb>416.59</fb>
    <v>14</v>
  </rv>
  <rv s="5">
    <fb>155.8237</fb>
    <v>14</v>
  </rv>
  <rv s="5">
    <fb>209.76</fb>
    <v>14</v>
  </rv>
  <rv s="5">
    <fb>43.432499999999997</fb>
    <v>14</v>
  </rv>
  <rv s="5">
    <fb>63.11</fb>
    <v>14</v>
  </rv>
  <rv s="5">
    <fb>6.6384999999999996</fb>
    <v>14</v>
  </rv>
  <rv s="5">
    <fb>82.2</fb>
    <v>14</v>
  </rv>
  <rv s="5">
    <fb>270.11</fb>
    <v>14</v>
  </rv>
  <rv s="5">
    <fb>2880.34</fb>
    <v>14</v>
  </rv>
  <rv s="5">
    <fb>43383</fb>
    <v>13</v>
  </rv>
  <rv s="5">
    <fb>54.607999999999997</fb>
    <v>14</v>
  </rv>
  <rv s="5">
    <fb>87.762500000000003</fb>
    <v>14</v>
  </rv>
  <rv s="5">
    <fb>43.86</fb>
    <v>14</v>
  </rv>
  <rv s="5">
    <fb>410.08</fb>
    <v>14</v>
  </rv>
  <rv s="5">
    <fb>151.64109999999999</fb>
    <v>14</v>
  </rv>
  <rv s="5">
    <fb>196.69</fb>
    <v>14</v>
  </rv>
  <rv s="5">
    <fb>43.1875</fb>
    <v>14</v>
  </rv>
  <rv s="5">
    <fb>6.1422999999999996</fb>
    <v>14</v>
  </rv>
  <rv s="5">
    <fb>81.44</fb>
    <v>14</v>
  </rv>
  <rv s="5">
    <fb>263.08</fb>
    <v>14</v>
  </rv>
  <rv s="5">
    <fb>2785.68</fb>
    <v>14</v>
  </rv>
  <rv s="5">
    <fb>43384</fb>
    <v>13</v>
  </rv>
  <rv s="5">
    <fb>54.536999999999999</fb>
    <v>14</v>
  </rv>
  <rv s="5">
    <fb>85.968000000000004</fb>
    <v>14</v>
  </rv>
  <rv s="5">
    <fb>43.51</fb>
    <v>14</v>
  </rv>
  <rv s="5">
    <fb>397.08</fb>
    <v>14</v>
  </rv>
  <rv s="5">
    <fb>148.7364</fb>
    <v>14</v>
  </rv>
  <rv s="5">
    <fb>194.51</fb>
    <v>14</v>
  </rv>
  <rv s="5">
    <fb>42.272500000000001</fb>
    <v>14</v>
  </rv>
  <rv s="5">
    <fb>59.12</fb>
    <v>14</v>
  </rv>
  <rv s="5">
    <fb>5.8783000000000003</fb>
    <v>14</v>
  </rv>
  <rv s="5">
    <fb>78.87</fb>
    <v>14</v>
  </rv>
  <rv s="5">
    <fb>257.12</fb>
    <v>14</v>
  </rv>
  <rv s="5">
    <fb>2728.37</fb>
    <v>14</v>
  </rv>
  <rv s="5">
    <fb>43385</fb>
    <v>13</v>
  </rv>
  <rv s="5">
    <fb>56.027000000000001</fb>
    <v>14</v>
  </rv>
  <rv s="5">
    <fb>89.430499999999995</fb>
    <v>14</v>
  </rv>
  <rv s="5">
    <fb>44.16</fb>
    <v>14</v>
  </rv>
  <rv s="5">
    <fb>395.94</fb>
    <v>14</v>
  </rv>
  <rv s="5">
    <fb>151.23439999999999</fb>
    <v>14</v>
  </rv>
  <rv s="5">
    <fb>204.22</fb>
    <v>14</v>
  </rv>
  <rv s="5">
    <fb>42.34</fb>
    <v>14</v>
  </rv>
  <rv s="5">
    <fb>59.33</fb>
    <v>14</v>
  </rv>
  <rv s="5">
    <fb>6.1635</fb>
    <v>14</v>
  </rv>
  <rv s="5">
    <fb>79.06</fb>
    <v>14</v>
  </rv>
  <rv s="5">
    <fb>259.61</fb>
    <v>14</v>
  </rv>
  <rv s="5">
    <fb>2767.13</fb>
    <v>14</v>
  </rv>
  <rv s="5">
    <fb>43388</fb>
    <v>13</v>
  </rv>
  <rv s="5">
    <fb>55.122</fb>
    <v>14</v>
  </rv>
  <rv s="5">
    <fb>88.047499999999999</fb>
    <v>14</v>
  </rv>
  <rv s="5">
    <fb>44.6</fb>
    <v>14</v>
  </rv>
  <rv s="5">
    <fb>396.59</fb>
    <v>14</v>
  </rv>
  <rv s="5">
    <fb>151.2441</fb>
    <v>14</v>
  </rv>
  <rv s="5">
    <fb>200.32</fb>
    <v>14</v>
  </rv>
  <rv s="5">
    <fb>59.55</fb>
    <v>14</v>
  </rv>
  <rv s="5">
    <fb>5.8845000000000001</fb>
    <v>14</v>
  </rv>
  <rv s="5">
    <fb>80.13</fb>
    <v>14</v>
  </rv>
  <rv s="5">
    <fb>260.25</fb>
    <v>14</v>
  </rv>
  <rv s="5">
    <fb>2750.79</fb>
    <v>14</v>
  </rv>
  <rv s="5">
    <fb>43389</fb>
    <v>13</v>
  </rv>
  <rv s="5">
    <fb>56.654000000000003</fb>
    <v>14</v>
  </rv>
  <rv s="5">
    <fb>90.998000000000005</fb>
    <v>14</v>
  </rv>
  <rv s="5">
    <fb>46.1</fb>
    <v>14</v>
  </rv>
  <rv s="5">
    <fb>408.29</fb>
    <v>14</v>
  </rv>
  <rv s="5">
    <fb>154.48759999999999</fb>
    <v>14</v>
  </rv>
  <rv s="5">
    <fb>42.822499999999998</fb>
    <v>14</v>
  </rv>
  <rv s="5">
    <fb>6.1458000000000004</fb>
    <v>14</v>
  </rv>
  <rv s="5">
    <fb>81.010000000000005</fb>
    <v>14</v>
  </rv>
  <rv s="5">
    <fb>272.57</fb>
    <v>14</v>
  </rv>
  <rv s="5">
    <fb>2809.92</fb>
    <v>14</v>
  </rv>
  <rv s="5">
    <fb>43390</fb>
    <v>13</v>
  </rv>
  <rv s="5">
    <fb>56.3795</fb>
    <v>14</v>
  </rv>
  <rv s="5">
    <fb>91.586500000000001</fb>
    <v>14</v>
  </rv>
  <rv s="5">
    <fb>46.2</fb>
    <v>14</v>
  </rv>
  <rv s="5">
    <fb>410.44</fb>
    <v>14</v>
  </rv>
  <rv s="5">
    <fb>153.0256</fb>
    <v>14</v>
  </rv>
  <rv s="5">
    <fb>207.38</fb>
    <v>14</v>
  </rv>
  <rv s="5">
    <fb>42.704999999999998</fb>
    <v>14</v>
  </rv>
  <rv s="5">
    <fb>59.24</fb>
    <v>14</v>
  </rv>
  <rv s="5">
    <fb>6.0765000000000002</fb>
    <v>14</v>
  </rv>
  <rv s="5">
    <fb>81.86</fb>
    <v>14</v>
  </rv>
  <rv s="5">
    <fb>267.3</fb>
    <v>14</v>
  </rv>
  <rv s="5">
    <fb>2809.21</fb>
    <v>14</v>
  </rv>
  <rv s="5">
    <fb>43391</fb>
    <v>13</v>
  </rv>
  <rv s="5">
    <fb>54.895499999999998</fb>
    <v>14</v>
  </rv>
  <rv s="5">
    <fb>88.536000000000001</fb>
    <v>14</v>
  </rv>
  <rv s="5">
    <fb>411.65</fb>
    <v>14</v>
  </rv>
  <rv s="5">
    <fb>150.25649999999999</fb>
    <v>14</v>
  </rv>
  <rv s="5">
    <fb>203.62</fb>
    <v>14</v>
  </rv>
  <rv s="5">
    <fb>42.892499999999998</fb>
    <v>14</v>
  </rv>
  <rv s="5">
    <fb>58.43</fb>
    <v>14</v>
  </rv>
  <rv s="5">
    <fb>5.9882999999999997</fb>
    <v>14</v>
  </rv>
  <rv s="5">
    <fb>266.81</fb>
    <v>14</v>
  </rv>
  <rv s="5">
    <fb>2768.78</fb>
    <v>14</v>
  </rv>
  <rv s="5">
    <fb>43392</fb>
    <v>13</v>
  </rv>
  <rv s="5">
    <fb>55.259</fb>
    <v>14</v>
  </rv>
  <rv s="5">
    <fb>88.201499999999996</fb>
    <v>14</v>
  </rv>
  <rv s="5">
    <fb>414.31</fb>
    <v>14</v>
  </rv>
  <rv s="5">
    <fb>148.59119999999999</fb>
    <v>14</v>
  </rv>
  <rv s="5">
    <fb>203.06</fb>
    <v>14</v>
  </rv>
  <rv s="5">
    <fb>43.365000000000002</fb>
    <v>14</v>
  </rv>
  <rv s="5">
    <fb>58.47</fb>
    <v>14</v>
  </rv>
  <rv s="5">
    <fb>5.7293000000000003</fb>
    <v>14</v>
  </rv>
  <rv s="5">
    <fb>265.3</fb>
    <v>14</v>
  </rv>
  <rv s="5">
    <fb>2767.78</fb>
    <v>14</v>
  </rv>
  <rv s="5">
    <fb>43395</fb>
    <v>13</v>
  </rv>
  <rv s="5">
    <fb>55.5685</fb>
    <v>14</v>
  </rv>
  <rv s="5">
    <fb>89.465000000000003</fb>
    <v>14</v>
  </rv>
  <rv s="5">
    <fb>45.13</fb>
    <v>14</v>
  </rv>
  <rv s="5">
    <fb>411.73</fb>
    <v>14</v>
  </rv>
  <rv s="5">
    <fb>147.7585</fb>
    <v>14</v>
  </rv>
  <rv s="5">
    <fb>204.5</fb>
    <v>14</v>
  </rv>
  <rv s="5">
    <fb>43.164999999999999</fb>
    <v>14</v>
  </rv>
  <rv s="5">
    <fb>56.81</fb>
    <v>14</v>
  </rv>
  <rv s="5">
    <fb>5.7805</fb>
    <v>14</v>
  </rv>
  <rv s="5">
    <fb>262.19</fb>
    <v>14</v>
  </rv>
  <rv s="5">
    <fb>2755.88</fb>
    <v>14</v>
  </rv>
  <rv s="5">
    <fb>43396</fb>
    <v>13</v>
  </rv>
  <rv s="5">
    <fb>55.7455</fb>
    <v>14</v>
  </rv>
  <rv s="5">
    <fb>88.435000000000002</fb>
    <v>14</v>
  </rv>
  <rv s="5">
    <fb>45.11</fb>
    <v>14</v>
  </rv>
  <rv s="5">
    <fb>411.41</fb>
    <v>14</v>
  </rv>
  <rv s="5">
    <fb>145.8124</fb>
    <v>14</v>
  </rv>
  <rv s="5">
    <fb>202.43</fb>
    <v>14</v>
  </rv>
  <rv s="5">
    <fb>55.09</fb>
    <v>14</v>
  </rv>
  <rv s="5">
    <fb>5.5265000000000004</fb>
    <v>14</v>
  </rv>
  <rv s="5">
    <fb>264.86</fb>
    <v>14</v>
  </rv>
  <rv s="5">
    <fb>2740.69</fb>
    <v>14</v>
  </rv>
  <rv s="5">
    <fb>43397</fb>
    <v>13</v>
  </rv>
  <rv s="5">
    <fb>52.856000000000002</fb>
    <v>14</v>
  </rv>
  <rv s="5">
    <fb>83.21</fb>
    <v>14</v>
  </rv>
  <rv s="5">
    <fb>416.75</fb>
    <v>14</v>
  </rv>
  <rv s="5">
    <fb>140.71960000000001</fb>
    <v>14</v>
  </rv>
  <rv s="5">
    <fb>195.69</fb>
    <v>14</v>
  </rv>
  <rv s="5">
    <fb>43.9</fb>
    <v>14</v>
  </rv>
  <rv s="5">
    <fb>4.9852999999999996</fb>
    <v>14</v>
  </rv>
  <rv s="5">
    <fb>89.46</fb>
    <v>14</v>
  </rv>
  <rv s="5">
    <fb>256.32</fb>
    <v>14</v>
  </rv>
  <rv s="5">
    <fb>2656.1</fb>
    <v>14</v>
  </rv>
  <rv s="5">
    <fb>43398</fb>
    <v>13</v>
  </rv>
  <rv s="5">
    <fb>89.108500000000006</fb>
    <v>14</v>
  </rv>
  <rv s="5">
    <fb>43.32</fb>
    <v>14</v>
  </rv>
  <rv s="5">
    <fb>411.97</fb>
    <v>14</v>
  </rv>
  <rv s="5">
    <fb>142.79159999999999</fb>
    <v>14</v>
  </rv>
  <rv s="5">
    <fb>204.2</fb>
    <v>14</v>
  </rv>
  <rv s="5">
    <fb>43.3</fb>
    <v>14</v>
  </rv>
  <rv s="5">
    <fb>53.3</fb>
    <v>14</v>
  </rv>
  <rv s="5">
    <fb>5.1959999999999997</fb>
    <v>14</v>
  </rv>
  <rv s="5">
    <fb>264.24</fb>
    <v>14</v>
  </rv>
  <rv s="5">
    <fb>2705.57</fb>
    <v>14</v>
  </rv>
  <rv s="5">
    <fb>43399</fb>
    <v>13</v>
  </rv>
  <rv s="5">
    <fb>54.1875</fb>
    <v>14</v>
  </rv>
  <rv s="5">
    <fb>82.140500000000003</fb>
    <v>14</v>
  </rv>
  <rv s="5">
    <fb>43.39</fb>
    <v>14</v>
  </rv>
  <rv s="5">
    <fb>385.22</fb>
    <v>14</v>
  </rv>
  <rv s="5">
    <fb>141.3974</fb>
    <v>14</v>
  </rv>
  <rv s="5">
    <fb>197.49</fb>
    <v>14</v>
  </rv>
  <rv s="5">
    <fb>42.472499999999997</fb>
    <v>14</v>
  </rv>
  <rv s="5">
    <fb>52.9</fb>
    <v>14</v>
  </rv>
  <rv s="5">
    <fb>4.9573</fb>
    <v>14</v>
  </rv>
  <rv s="5">
    <fb>258.18</fb>
    <v>14</v>
  </rv>
  <rv s="5">
    <fb>2658.69</fb>
    <v>14</v>
  </rv>
  <rv s="5">
    <fb>43402</fb>
    <v>13</v>
  </rv>
  <rv s="5">
    <fb>51.736499999999999</fb>
    <v>14</v>
  </rv>
  <rv s="5">
    <fb>76.944000000000003</fb>
    <v>14</v>
  </rv>
  <rv s="5">
    <fb>43.87</fb>
    <v>14</v>
  </rv>
  <rv s="5">
    <fb>379.91</fb>
    <v>14</v>
  </rv>
  <rv s="5">
    <fb>141.06</fb>
    <v>14</v>
  </rv>
  <rv s="5">
    <fb>191.04</fb>
    <v>14</v>
  </rv>
  <rv s="5">
    <fb>43.195</fb>
    <v>14</v>
  </rv>
  <rv s="5">
    <fb>51.45</fb>
    <v>14</v>
  </rv>
  <rv s="5">
    <fb>4.6405000000000003</fb>
    <v>14</v>
  </rv>
  <rv s="5">
    <fb>256.52</fb>
    <v>14</v>
  </rv>
  <rv s="5">
    <fb>2641.25</fb>
    <v>14</v>
  </rv>
  <rv s="5">
    <fb>43403</fb>
    <v>13</v>
  </rv>
  <rv s="5">
    <fb>52.475499999999997</fb>
    <v>14</v>
  </rv>
  <rv s="5">
    <fb>76.521000000000001</fb>
    <v>14</v>
  </rv>
  <rv s="5">
    <fb>44.97</fb>
    <v>14</v>
  </rv>
  <rv s="5">
    <fb>376.79</fb>
    <v>14</v>
  </rv>
  <rv s="5">
    <fb>142.96</fb>
    <v>14</v>
  </rv>
  <rv s="5">
    <fb>187.73</fb>
    <v>14</v>
  </rv>
  <rv s="5">
    <fb>43.387500000000003</fb>
    <v>14</v>
  </rv>
  <rv s="5">
    <fb>52.32</fb>
    <v>14</v>
  </rv>
  <rv s="5">
    <fb>5.0750000000000002</fb>
    <v>14</v>
  </rv>
  <rv s="5">
    <fb>89.19</fb>
    <v>14</v>
  </rv>
  <rv s="5">
    <fb>258.27999999999997</fb>
    <v>14</v>
  </rv>
  <rv s="5">
    <fb>2682.63</fb>
    <v>14</v>
  </rv>
  <rv s="5">
    <fb>43404</fb>
    <v>13</v>
  </rv>
  <rv s="5">
    <fb>54.529000000000003</fb>
    <v>14</v>
  </rv>
  <rv s="5">
    <fb>79.900499999999994</fb>
    <v>14</v>
  </rv>
  <rv s="5">
    <fb>44.8</fb>
    <v>14</v>
  </rv>
  <rv s="5">
    <fb>378.74</fb>
    <v>14</v>
  </rv>
  <rv s="5">
    <fb>144.82</fb>
    <v>14</v>
  </rv>
  <rv s="5">
    <fb>51.31</fb>
    <v>14</v>
  </rv>
  <rv s="5">
    <fb>5.2708000000000004</fb>
    <v>14</v>
  </rv>
  <rv s="5">
    <fb>88.68</fb>
    <v>14</v>
  </rv>
  <rv s="5">
    <fb>261.35000000000002</fb>
    <v>14</v>
  </rv>
  <rv s="5">
    <fb>2711.74</fb>
    <v>14</v>
  </rv>
  <rv s="5">
    <fb>43405</fb>
    <v>13</v>
  </rv>
  <rv s="5">
    <fb>54.298999999999999</fb>
    <v>14</v>
  </rv>
  <rv s="5">
    <fb>83.276499999999999</fb>
    <v>14</v>
  </rv>
  <rv s="5">
    <fb>47.62</fb>
    <v>14</v>
  </rv>
  <rv s="5">
    <fb>144.44999999999999</fb>
    <v>14</v>
  </rv>
  <rv s="5">
    <fb>199.71</fb>
    <v>14</v>
  </rv>
  <rv s="5">
    <fb>42.6175</fb>
    <v>14</v>
  </rv>
  <rv s="5">
    <fb>51.66</fb>
    <v>14</v>
  </rv>
  <rv s="5">
    <fb>5.4527999999999999</fb>
    <v>14</v>
  </rv>
  <rv s="5">
    <fb>89.59</fb>
    <v>14</v>
  </rv>
  <rv s="5">
    <fb>260.93</fb>
    <v>14</v>
  </rv>
  <rv s="5">
    <fb>2740.37</fb>
    <v>14</v>
  </rv>
  <rv s="5">
    <fb>43406</fb>
    <v>13</v>
  </rv>
  <rv s="5">
    <fb>53.5745</fb>
    <v>14</v>
  </rv>
  <rv s="5">
    <fb>47.36</fb>
    <v>14</v>
  </rv>
  <rv s="5">
    <fb>392.43</fb>
    <v>14</v>
  </rv>
  <rv s="5">
    <fb>145.47999999999999</fb>
    <v>14</v>
  </rv>
  <rv s="5">
    <fb>197.72</fb>
    <v>14</v>
  </rv>
  <rv s="5">
    <fb>42.037500000000001</fb>
    <v>14</v>
  </rv>
  <rv s="5">
    <fb>51.4</fb>
    <v>14</v>
  </rv>
  <rv s="5">
    <fb>5.3730000000000002</fb>
    <v>14</v>
  </rv>
  <rv s="5">
    <fb>89.81</fb>
    <v>14</v>
  </rv>
  <rv s="5">
    <fb>261.01</fb>
    <v>14</v>
  </rv>
  <rv s="5">
    <fb>43409</fb>
    <v>13</v>
  </rv>
  <rv s="5">
    <fb>52.786499999999997</fb>
    <v>14</v>
  </rv>
  <rv s="5">
    <fb>81.39</fb>
    <v>14</v>
  </rv>
  <rv s="5">
    <fb>47.41</fb>
    <v>14</v>
  </rv>
  <rv s="5">
    <fb>396.46</fb>
    <v>14</v>
  </rv>
  <rv s="5">
    <fb>147.18</fb>
    <v>14</v>
  </rv>
  <rv s="5">
    <fb>197.98</fb>
    <v>14</v>
  </rv>
  <rv s="5">
    <fb>42.677500000000002</fb>
    <v>14</v>
  </rv>
  <rv s="5">
    <fb>51.96</fb>
    <v>14</v>
  </rv>
  <rv s="5">
    <fb>5.2942999999999998</fb>
    <v>14</v>
  </rv>
  <rv s="5">
    <fb>2738.31</fb>
    <v>14</v>
  </rv>
  <rv s="5">
    <fb>43410</fb>
    <v>13</v>
  </rv>
  <rv s="5">
    <fb>53.478499999999997</fb>
    <v>14</v>
  </rv>
  <rv s="5">
    <fb>47.86</fb>
    <v>14</v>
  </rv>
  <rv s="5">
    <fb>396.04</fb>
    <v>14</v>
  </rv>
  <rv s="5">
    <fb>148.44999999999999</fb>
    <v>14</v>
  </rv>
  <rv s="5">
    <fb>199.15</fb>
    <v>14</v>
  </rv>
  <rv s="5">
    <fb>52.08</fb>
    <v>14</v>
  </rv>
  <rv s="5">
    <fb>5.2765000000000004</fb>
    <v>14</v>
  </rv>
  <rv s="5">
    <fb>91.51</fb>
    <v>14</v>
  </rv>
  <rv s="5">
    <fb>263.54000000000002</fb>
    <v>14</v>
  </rv>
  <rv s="5">
    <fb>2755.45</fb>
    <v>14</v>
  </rv>
  <rv s="5">
    <fb>43411</fb>
    <v>13</v>
  </rv>
  <rv s="5">
    <fb>55.411999999999999</fb>
    <v>14</v>
  </rv>
  <rv s="5">
    <fb>87.774500000000003</fb>
    <v>14</v>
  </rv>
  <rv s="5">
    <fb>48.84</fb>
    <v>14</v>
  </rv>
  <rv s="5">
    <fb>400</fb>
    <v>14</v>
  </rv>
  <rv s="5">
    <fb>150.19999999999999</fb>
    <v>14</v>
  </rv>
  <rv s="5">
    <fb>208.24</fb>
    <v>14</v>
  </rv>
  <rv s="5">
    <fb>43.384999999999998</fb>
    <v>14</v>
  </rv>
  <rv s="5">
    <fb>5.3448000000000002</fb>
    <v>14</v>
  </rv>
  <rv s="5">
    <fb>91.29</fb>
    <v>14</v>
  </rv>
  <rv s="5">
    <fb>274.63</fb>
    <v>14</v>
  </rv>
  <rv s="5">
    <fb>2813.89</fb>
    <v>14</v>
  </rv>
  <rv s="5">
    <fb>43412</fb>
    <v>13</v>
  </rv>
  <rv s="5">
    <fb>54.731499999999997</fb>
    <v>14</v>
  </rv>
  <rv s="5">
    <fb>87.745500000000007</fb>
    <v>14</v>
  </rv>
  <rv s="5">
    <fb>48.72</fb>
    <v>14</v>
  </rv>
  <rv s="5">
    <fb>389.48</fb>
    <v>14</v>
  </rv>
  <rv s="5">
    <fb>150.55000000000001</fb>
    <v>14</v>
  </rv>
  <rv s="5">
    <fb>208.86</fb>
    <v>14</v>
  </rv>
  <rv s="5">
    <fb>43.49</fb>
    <v>14</v>
  </rv>
  <rv s="5">
    <fb>51.58</fb>
    <v>14</v>
  </rv>
  <rv s="5">
    <fb>5.1497999999999999</fb>
    <v>14</v>
  </rv>
  <rv s="5">
    <fb>91.36</fb>
    <v>14</v>
  </rv>
  <rv s="5">
    <fb>276.64999999999998</fb>
    <v>14</v>
  </rv>
  <rv s="5">
    <fb>2806.83</fb>
    <v>14</v>
  </rv>
  <rv s="5">
    <fb>43413</fb>
    <v>13</v>
  </rv>
  <rv s="5">
    <fb>53.850999999999999</fb>
    <v>14</v>
  </rv>
  <rv s="5">
    <fb>85.621499999999997</fb>
    <v>14</v>
  </rv>
  <rv s="5">
    <fb>48.68</fb>
    <v>14</v>
  </rv>
  <rv s="5">
    <fb>384.94</fb>
    <v>14</v>
  </rv>
  <rv s="5">
    <fb>150.32</fb>
    <v>14</v>
  </rv>
  <rv s="5">
    <fb>205.62</fb>
    <v>14</v>
  </rv>
  <rv s="5">
    <fb>50.4</fb>
    <v>14</v>
  </rv>
  <rv s="5">
    <fb>5.1417999999999999</fb>
    <v>14</v>
  </rv>
  <rv s="5">
    <fb>92.41</fb>
    <v>14</v>
  </rv>
  <rv s="5">
    <fb>276.55</fb>
    <v>14</v>
  </rv>
  <rv s="5">
    <fb>2781.01</fb>
    <v>14</v>
  </rv>
  <rv s="5">
    <fb>43416</fb>
    <v>13</v>
  </rv>
  <rv s="5">
    <fb>52.468000000000004</fb>
    <v>14</v>
  </rv>
  <rv s="5">
    <fb>81.842500000000001</fb>
    <v>14</v>
  </rv>
  <rv s="5">
    <fb>48.29</fb>
    <v>14</v>
  </rv>
  <rv s="5">
    <fb>148.13</fb>
    <v>14</v>
  </rv>
  <rv s="5">
    <fb>199.14</fb>
    <v>14</v>
  </rv>
  <rv s="5">
    <fb>44.622500000000002</fb>
    <v>14</v>
  </rv>
  <rv s="5">
    <fb>49.45</fb>
    <v>14</v>
  </rv>
  <rv s="5">
    <fb>4.7385000000000002</fb>
    <v>14</v>
  </rv>
  <rv s="5">
    <fb>92.7</fb>
    <v>14</v>
  </rv>
  <rv s="5">
    <fb>272.38</fb>
    <v>14</v>
  </rv>
  <rv s="5">
    <fb>2726.22</fb>
    <v>14</v>
  </rv>
  <rv s="5">
    <fb>43417</fb>
    <v>13</v>
  </rv>
  <rv s="5">
    <fb>52.398499999999999</fb>
    <v>14</v>
  </rv>
  <rv s="5">
    <fb>81.558499999999995</fb>
    <v>14</v>
  </rv>
  <rv s="5">
    <fb>49.1</fb>
    <v>14</v>
  </rv>
  <rv s="5">
    <fb>383.53</fb>
    <v>14</v>
  </rv>
  <rv s="5">
    <fb>147.68</fb>
    <v>14</v>
  </rv>
  <rv s="5">
    <fb>44.664999999999999</fb>
    <v>14</v>
  </rv>
  <rv s="5">
    <fb>47.34</fb>
    <v>14</v>
  </rv>
  <rv s="5">
    <fb>4.9828000000000001</fb>
    <v>14</v>
  </rv>
  <rv s="5">
    <fb>93.47</fb>
    <v>14</v>
  </rv>
  <rv s="5">
    <fb>269.22000000000003</fb>
    <v>14</v>
  </rv>
  <rv s="5">
    <fb>2722.18</fb>
    <v>14</v>
  </rv>
  <rv s="5">
    <fb>43418</fb>
    <v>13</v>
  </rv>
  <rv s="5">
    <fb>52.728999999999999</fb>
    <v>14</v>
  </rv>
  <rv s="5">
    <fb>79.950500000000005</fb>
    <v>14</v>
  </rv>
  <rv s="5">
    <fb>49.06</fb>
    <v>14</v>
  </rv>
  <rv s="5">
    <fb>385.32</fb>
    <v>14</v>
  </rv>
  <rv s="5">
    <fb>147.53</fb>
    <v>14</v>
  </rv>
  <rv s="5">
    <fb>197.58</fb>
    <v>14</v>
  </rv>
  <rv s="5">
    <fb>44.204999999999998</fb>
    <v>14</v>
  </rv>
  <rv s="5">
    <fb>47.81</fb>
    <v>14</v>
  </rv>
  <rv s="5">
    <fb>4.9298000000000002</fb>
    <v>14</v>
  </rv>
  <rv s="5">
    <fb>93.49</fb>
    <v>14</v>
  </rv>
  <rv s="5">
    <fb>264.95999999999998</fb>
    <v>14</v>
  </rv>
  <rv s="5">
    <fb>2701.58</fb>
    <v>14</v>
  </rv>
  <rv s="5">
    <fb>43419</fb>
    <v>13</v>
  </rv>
  <rv s="5">
    <fb>53.552500000000002</fb>
    <v>14</v>
  </rv>
  <rv s="5">
    <fb>80.971999999999994</fb>
    <v>14</v>
  </rv>
  <rv s="5">
    <fb>50.38</fb>
    <v>14</v>
  </rv>
  <rv s="5">
    <fb>385.28</fb>
    <v>14</v>
  </rv>
  <rv s="5">
    <fb>147.77000000000001</fb>
    <v>14</v>
  </rv>
  <rv s="5">
    <fb>200.71</fb>
    <v>14</v>
  </rv>
  <rv s="5">
    <fb>44.795000000000002</fb>
    <v>14</v>
  </rv>
  <rv s="5">
    <fb>48.08</fb>
    <v>14</v>
  </rv>
  <rv s="5">
    <fb>5.0598000000000001</fb>
    <v>14</v>
  </rv>
  <rv s="5">
    <fb>93.83</fb>
    <v>14</v>
  </rv>
  <rv s="5">
    <fb>264.94</fb>
    <v>14</v>
  </rv>
  <rv s="5">
    <fb>2730.2</fb>
    <v>14</v>
  </rv>
  <rv s="5">
    <fb>43420</fb>
    <v>13</v>
  </rv>
  <rv s="5">
    <fb>53.413499999999999</fb>
    <v>14</v>
  </rv>
  <rv s="5">
    <fb>79.670500000000004</fb>
    <v>14</v>
  </rv>
  <rv s="5">
    <fb>50.5</fb>
    <v>14</v>
  </rv>
  <rv s="5">
    <fb>388.63</fb>
    <v>14</v>
  </rv>
  <rv s="5">
    <fb>148.55000000000001</fb>
    <v>14</v>
  </rv>
  <rv s="5">
    <fb>199.04</fb>
    <v>14</v>
  </rv>
  <rv s="5">
    <fb>45.097499999999997</fb>
    <v>14</v>
  </rv>
  <rv s="5">
    <fb>48.22</fb>
    <v>14</v>
  </rv>
  <rv s="5">
    <fb>4.1108000000000002</fb>
    <v>14</v>
  </rv>
  <rv s="5">
    <fb>93.82</fb>
    <v>14</v>
  </rv>
  <rv s="5">
    <fb>271.11</fb>
    <v>14</v>
  </rv>
  <rv s="5">
    <fb>2736.27</fb>
    <v>14</v>
  </rv>
  <rv s="5">
    <fb>43423</fb>
    <v>13</v>
  </rv>
  <rv s="5">
    <fb>51.371000000000002</fb>
    <v>14</v>
  </rv>
  <rv s="5">
    <fb>75.614500000000007</fb>
    <v>14</v>
  </rv>
  <rv s="5">
    <fb>49.51</fb>
    <v>14</v>
  </rv>
  <rv s="5">
    <fb>383.47</fb>
    <v>14</v>
  </rv>
  <rv s="5">
    <fb>147.47</fb>
    <v>14</v>
  </rv>
  <rv s="5">
    <fb>189.28</fb>
    <v>14</v>
  </rv>
  <rv s="5">
    <fb>45.502499999999998</fb>
    <v>14</v>
  </rv>
  <rv s="5">
    <fb>48.31</fb>
    <v>14</v>
  </rv>
  <rv s="5">
    <fb>3.6175000000000002</fb>
    <v>14</v>
  </rv>
  <rv s="5">
    <fb>93.29</fb>
    <v>14</v>
  </rv>
  <rv s="5">
    <fb>266.05</fb>
    <v>14</v>
  </rv>
  <rv s="5">
    <fb>2690.73</fb>
    <v>14</v>
  </rv>
  <rv s="5">
    <fb>43424</fb>
    <v>13</v>
  </rv>
  <rv s="5">
    <fb>51.522500000000001</fb>
    <v>14</v>
  </rv>
  <rv s="5">
    <fb>74.772999999999996</fb>
    <v>14</v>
  </rv>
  <rv s="5">
    <fb>49.05</fb>
    <v>14</v>
  </rv>
  <rv s="5">
    <fb>376.5</fb>
    <v>14</v>
  </rv>
  <rv s="5">
    <fb>144.05000000000001</fb>
    <v>14</v>
  </rv>
  <rv s="5">
    <fb>187.06</fb>
    <v>14</v>
  </rv>
  <rv s="5">
    <fb>44.692500000000003</fb>
    <v>14</v>
  </rv>
  <rv s="5">
    <fb>46.9</fb>
    <v>14</v>
  </rv>
  <rv s="5">
    <fb>3.7269999999999999</fb>
    <v>14</v>
  </rv>
  <rv s="5">
    <fb>261.5</fb>
    <v>14</v>
  </rv>
  <rv s="5">
    <fb>2641.89</fb>
    <v>14</v>
  </rv>
  <rv s="5">
    <fb>43425</fb>
    <v>13</v>
  </rv>
  <rv s="5">
    <fb>52.171500000000002</fb>
    <v>14</v>
  </rv>
  <rv s="5">
    <fb>75.836500000000001</fb>
    <v>14</v>
  </rv>
  <rv s="5">
    <fb>49.31</fb>
    <v>14</v>
  </rv>
  <rv s="5">
    <fb>382.89</fb>
    <v>14</v>
  </rv>
  <rv s="5">
    <fb>144.1</fb>
    <v>14</v>
  </rv>
  <rv s="5">
    <fb>187.66</fb>
    <v>14</v>
  </rv>
  <rv s="5">
    <fb>44.045000000000002</fb>
    <v>14</v>
  </rv>
  <rv s="5">
    <fb>47.64</fb>
    <v>14</v>
  </rv>
  <rv s="5">
    <fb>3.6177999999999999</fb>
    <v>14</v>
  </rv>
  <rv s="5">
    <fb>260.55</fb>
    <v>14</v>
  </rv>
  <rv s="5">
    <fb>2649.93</fb>
    <v>14</v>
  </rv>
  <rv s="5">
    <fb>43427</fb>
    <v>13</v>
  </rv>
  <rv s="5">
    <fb>51.505000000000003</fb>
    <v>14</v>
  </rv>
  <rv s="5">
    <fb>75.102999999999994</fb>
    <v>14</v>
  </rv>
  <rv s="5">
    <fb>48.87</fb>
    <v>14</v>
  </rv>
  <rv s="5">
    <fb>380.4</fb>
    <v>14</v>
  </rv>
  <rv s="5">
    <fb>143.26</fb>
    <v>14</v>
  </rv>
  <rv s="5">
    <fb>182.6</fb>
    <v>14</v>
  </rv>
  <rv s="5">
    <fb>44.332500000000003</fb>
    <v>14</v>
  </rv>
  <rv s="5">
    <fb>46.37</fb>
    <v>14</v>
  </rv>
  <rv s="5">
    <fb>3.625</fb>
    <v>14</v>
  </rv>
  <rv s="5">
    <fb>91.54</fb>
    <v>14</v>
  </rv>
  <rv s="5">
    <fb>261.62</fb>
    <v>14</v>
  </rv>
  <rv s="5">
    <fb>2632.56</fb>
    <v>14</v>
  </rv>
  <rv s="5">
    <fb>43430</fb>
    <v>13</v>
  </rv>
  <rv s="5">
    <fb>52.796999999999997</fb>
    <v>14</v>
  </rv>
  <rv s="5">
    <fb>79.066500000000005</fb>
    <v>14</v>
  </rv>
  <rv s="5">
    <fb>382.17</fb>
    <v>14</v>
  </rv>
  <rv s="5">
    <fb>143.22</fb>
    <v>14</v>
  </rv>
  <rv s="5">
    <fb>191.85</fb>
    <v>14</v>
  </rv>
  <rv s="5">
    <fb>44.2575</fb>
    <v>14</v>
  </rv>
  <rv s="5">
    <fb>46.63</fb>
    <v>14</v>
  </rv>
  <rv s="5">
    <fb>3.8262999999999998</fb>
    <v>14</v>
  </rv>
  <rv s="5">
    <fb>91.94</fb>
    <v>14</v>
  </rv>
  <rv s="5">
    <fb>266.16000000000003</fb>
    <v>14</v>
  </rv>
  <rv s="5">
    <fb>2673.45</fb>
    <v>14</v>
  </rv>
  <rv s="5">
    <fb>43431</fb>
    <v>13</v>
  </rv>
  <rv s="5">
    <fb>52.613999999999997</fb>
    <v>14</v>
  </rv>
  <rv s="5">
    <fb>79.070999999999998</fb>
    <v>14</v>
  </rv>
  <rv s="5">
    <fb>48.66</fb>
    <v>14</v>
  </rv>
  <rv s="5">
    <fb>382.11</fb>
    <v>14</v>
  </rv>
  <rv s="5">
    <fb>142.88999999999999</fb>
    <v>14</v>
  </rv>
  <rv s="5">
    <fb>192.98</fb>
    <v>14</v>
  </rv>
  <rv s="5">
    <fb>44.5</fb>
    <v>14</v>
  </rv>
  <rv s="5">
    <fb>3.8433000000000002</fb>
    <v>14</v>
  </rv>
  <rv s="5">
    <fb>271.14999999999998</fb>
    <v>14</v>
  </rv>
  <rv s="5">
    <fb>2682.17</fb>
    <v>14</v>
  </rv>
  <rv s="5">
    <fb>43432</fb>
    <v>13</v>
  </rv>
  <rv s="5">
    <fb>54.589500000000001</fb>
    <v>14</v>
  </rv>
  <rv s="5">
    <fb>83.887500000000003</fb>
    <v>14</v>
  </rv>
  <rv s="5">
    <fb>49.59</fb>
    <v>14</v>
  </rv>
  <rv s="5">
    <fb>384.06</fb>
    <v>14</v>
  </rv>
  <rv s="5">
    <fb>144.30000000000001</fb>
    <v>14</v>
  </rv>
  <rv s="5">
    <fb>202.28</fb>
    <v>14</v>
  </rv>
  <rv s="5">
    <fb>44.512500000000003</fb>
    <v>14</v>
  </rv>
  <rv s="5">
    <fb>46.41</fb>
    <v>14</v>
  </rv>
  <rv s="5">
    <fb>4.0018000000000002</fb>
    <v>14</v>
  </rv>
  <rv s="5">
    <fb>93.01</fb>
    <v>14</v>
  </rv>
  <rv s="5">
    <fb>280.95</fb>
    <v>14</v>
  </rv>
  <rv s="5">
    <fb>2743.79</fb>
    <v>14</v>
  </rv>
  <rv s="5">
    <fb>43433</fb>
    <v>13</v>
  </rv>
  <rv s="5">
    <fb>54.728999999999999</fb>
    <v>14</v>
  </rv>
  <rv s="5">
    <fb>83.6785</fb>
    <v>14</v>
  </rv>
  <rv s="5">
    <fb>49.57</fb>
    <v>14</v>
  </rv>
  <rv s="5">
    <fb>384.11</fb>
    <v>14</v>
  </rv>
  <rv s="5">
    <fb>145.74</fb>
    <v>14</v>
  </rv>
  <rv s="5">
    <fb>196.66</fb>
    <v>14</v>
  </rv>
  <rv s="5">
    <fb>44.28</fb>
    <v>14</v>
  </rv>
  <rv s="5">
    <fb>45.9</fb>
    <v>14</v>
  </rv>
  <rv s="5">
    <fb>3.9340000000000002</fb>
    <v>14</v>
  </rv>
  <rv s="5">
    <fb>92.82</fb>
    <v>14</v>
  </rv>
  <rv s="5">
    <fb>282.55</fb>
    <v>14</v>
  </rv>
  <rv s="5">
    <fb>2737.76</fb>
    <v>14</v>
  </rv>
  <rv s="5">
    <fb>43434</fb>
    <v>13</v>
  </rv>
  <rv s="5">
    <fb>55.482500000000002</fb>
    <v>14</v>
  </rv>
  <rv s="5">
    <fb>84.508499999999998</fb>
    <v>14</v>
  </rv>
  <rv s="5">
    <fb>49.11</fb>
    <v>14</v>
  </rv>
  <rv s="5">
    <fb>146.75</fb>
    <v>14</v>
  </rv>
  <rv s="5">
    <fb>201.07</fb>
    <v>14</v>
  </rv>
  <rv s="5">
    <fb>45.427500000000002</fb>
    <v>14</v>
  </rv>
  <rv s="5">
    <fb>45.1</fb>
    <v>14</v>
  </rv>
  <rv s="5">
    <fb>4.0857999999999999</fb>
    <v>14</v>
  </rv>
  <rv s="5">
    <fb>94.51</fb>
    <v>14</v>
  </rv>
  <rv s="5">
    <fb>281.36</fb>
    <v>14</v>
  </rv>
  <rv s="5">
    <fb>2760.17</fb>
    <v>14</v>
  </rv>
  <rv s="5">
    <fb>43437</fb>
    <v>13</v>
  </rv>
  <rv s="5">
    <fb>55.817999999999998</fb>
    <v>14</v>
  </rv>
  <rv s="5">
    <fb>88.617999999999995</fb>
    <v>14</v>
  </rv>
  <rv s="5">
    <fb>49.79</fb>
    <v>14</v>
  </rv>
  <rv s="5">
    <fb>391.11</fb>
    <v>14</v>
  </rv>
  <rv s="5">
    <fb>148.97999999999999</fb>
    <v>14</v>
  </rv>
  <rv s="5">
    <fb>45.622500000000002</fb>
    <v>14</v>
  </rv>
  <rv s="5">
    <fb>46.3</fb>
    <v>14</v>
  </rv>
  <rv s="5">
    <fb>4.2510000000000003</fb>
    <v>14</v>
  </rv>
  <rv s="5">
    <fb>93.32</fb>
    <v>14</v>
  </rv>
  <rv s="5">
    <fb>286.33</fb>
    <v>14</v>
  </rv>
  <rv s="5">
    <fb>2790.37</fb>
    <v>14</v>
  </rv>
  <rv s="5">
    <fb>43438</fb>
    <v>13</v>
  </rv>
  <rv s="5">
    <fb>53.1235</fb>
    <v>14</v>
  </rv>
  <rv s="5">
    <fb>83.42</fb>
    <v>14</v>
  </rv>
  <rv s="5">
    <fb>385.09</fb>
    <v>14</v>
  </rv>
  <rv s="5">
    <fb>142.68</fb>
    <v>14</v>
  </rv>
  <rv s="5">
    <fb>200.49</fb>
    <v>14</v>
  </rv>
  <rv s="5">
    <fb>45.542499999999997</fb>
    <v>14</v>
  </rv>
  <rv s="5">
    <fb>44.12</fb>
    <v>14</v>
  </rv>
  <rv s="5">
    <fb>3.9278</fb>
    <v>14</v>
  </rv>
  <rv s="5">
    <fb>93.31</fb>
    <v>14</v>
  </rv>
  <rv s="5">
    <fb>278.55</fb>
    <v>14</v>
  </rv>
  <rv s="5">
    <fb>2700.06</fb>
    <v>14</v>
  </rv>
  <rv s="5">
    <fb>43440</fb>
    <v>13</v>
  </rv>
  <rv s="5">
    <fb>53.904000000000003</fb>
    <v>14</v>
  </rv>
  <rv s="5">
    <fb>84.959500000000006</fb>
    <v>14</v>
  </rv>
  <rv s="5">
    <fb>392.72</fb>
    <v>14</v>
  </rv>
  <rv s="5">
    <fb>141.56</fb>
    <v>14</v>
  </rv>
  <rv s="5">
    <fb>202.99</fb>
    <v>14</v>
  </rv>
  <rv s="5">
    <fb>45.664999999999999</fb>
    <v>14</v>
  </rv>
  <rv s="5">
    <fb>42.32</fb>
    <v>14</v>
  </rv>
  <rv s="5">
    <fb>3.9573</fb>
    <v>14</v>
  </rv>
  <rv s="5">
    <fb>276.85000000000002</fb>
    <v>14</v>
  </rv>
  <rv s="5">
    <fb>2695.95</fb>
    <v>14</v>
  </rv>
  <rv s="5">
    <fb>43441</fb>
    <v>13</v>
  </rv>
  <rv s="5">
    <fb>52.329000000000001</fb>
    <v>14</v>
  </rv>
  <rv s="5">
    <fb>81.456500000000005</fb>
    <v>14</v>
  </rv>
  <rv s="5">
    <fb>386.47</fb>
    <v>14</v>
  </rv>
  <rv s="5">
    <fb>138.71</fb>
    <v>14</v>
  </rv>
  <rv s="5">
    <fb>196.5</fb>
    <v>14</v>
  </rv>
  <rv s="5">
    <fb>45.715000000000003</fb>
    <v>14</v>
  </rv>
  <rv s="5">
    <fb>43.04</fb>
    <v>14</v>
  </rv>
  <rv s="5">
    <fb>3.6903000000000001</fb>
    <v>14</v>
  </rv>
  <rv s="5">
    <fb>92.45</fb>
    <v>14</v>
  </rv>
  <rv s="5">
    <fb>269.18</fb>
    <v>14</v>
  </rv>
  <rv s="5">
    <fb>2633.08</fb>
    <v>14</v>
  </rv>
  <rv s="5">
    <fb>43444</fb>
    <v>13</v>
  </rv>
  <rv s="5">
    <fb>52.658999999999999</fb>
    <v>14</v>
  </rv>
  <rv s="5">
    <fb>82.051500000000004</fb>
    <v>14</v>
  </rv>
  <rv s="5">
    <fb>48.3</fb>
    <v>14</v>
  </rv>
  <rv s="5">
    <fb>387.08</fb>
    <v>14</v>
  </rv>
  <rv s="5">
    <fb>137.94999999999999</fb>
    <v>14</v>
  </rv>
  <rv s="5">
    <fb>45.652500000000003</fb>
    <v>14</v>
  </rv>
  <rv s="5">
    <fb>41.97</fb>
    <v>14</v>
  </rv>
  <rv s="5">
    <fb>3.7965</fb>
    <v>14</v>
  </rv>
  <rv s="5">
    <fb>93.03</fb>
    <v>14</v>
  </rv>
  <rv s="5">
    <fb>266.52999999999997</fb>
    <v>14</v>
  </rv>
  <rv s="5">
    <fb>2637.72</fb>
    <v>14</v>
  </rv>
  <rv s="5">
    <fb>43445</fb>
    <v>13</v>
  </rv>
  <rv s="5">
    <fb>53.082500000000003</fb>
    <v>14</v>
  </rv>
  <rv s="5">
    <fb>82.162000000000006</fb>
    <v>14</v>
  </rv>
  <rv s="5">
    <fb>47.83</fb>
    <v>14</v>
  </rv>
  <rv s="5">
    <fb>389.8</fb>
    <v>14</v>
  </rv>
  <rv s="5">
    <fb>136.81</fb>
    <v>14</v>
  </rv>
  <rv s="5">
    <fb>197.74</fb>
    <v>14</v>
  </rv>
  <rv s="5">
    <fb>45.744999999999997</fb>
    <v>14</v>
  </rv>
  <rv s="5">
    <fb>41.24</fb>
    <v>14</v>
  </rv>
  <rv s="5">
    <fb>3.7048000000000001</fb>
    <v>14</v>
  </rv>
  <rv s="5">
    <fb>93.91</fb>
    <v>14</v>
  </rv>
  <rv s="5">
    <fb>267.22000000000003</fb>
    <v>14</v>
  </rv>
  <rv s="5">
    <fb>2636.78</fb>
    <v>14</v>
  </rv>
  <rv s="5">
    <fb>43446</fb>
    <v>13</v>
  </rv>
  <rv s="5">
    <fb>53.686500000000002</fb>
    <v>14</v>
  </rv>
  <rv s="5">
    <fb>83.177000000000007</fb>
    <v>14</v>
  </rv>
  <rv s="5">
    <fb>48.19</fb>
    <v>14</v>
  </rv>
  <rv s="5">
    <fb>387.12</fb>
    <v>14</v>
  </rv>
  <rv s="5">
    <fb>138.29</fb>
    <v>14</v>
  </rv>
  <rv s="5">
    <fb>200.29</fb>
    <v>14</v>
  </rv>
  <rv s="5">
    <fb>45.327500000000001</fb>
    <v>14</v>
  </rv>
  <rv s="5">
    <fb>41.44</fb>
    <v>14</v>
  </rv>
  <rv s="5">
    <fb>3.7225000000000001</fb>
    <v>14</v>
  </rv>
  <rv s="5">
    <fb>94.03</fb>
    <v>14</v>
  </rv>
  <rv s="5">
    <fb>270.64</fb>
    <v>14</v>
  </rv>
  <rv s="5">
    <fb>2651.07</fb>
    <v>14</v>
  </rv>
  <rv s="5">
    <fb>43447</fb>
    <v>13</v>
  </rv>
  <rv s="5">
    <fb>53.677</fb>
    <v>14</v>
  </rv>
  <rv s="5">
    <fb>82.918999999999997</fb>
    <v>14</v>
  </rv>
  <rv s="5">
    <fb>48.53</fb>
    <v>14</v>
  </rv>
  <rv s="5">
    <fb>389.32</fb>
    <v>14</v>
  </rv>
  <rv s="5">
    <fb>138.82</fb>
    <v>14</v>
  </rv>
  <rv s="5">
    <fb>198.96</fb>
    <v>14</v>
  </rv>
  <rv s="5">
    <fb>45.55</fb>
    <v>14</v>
  </rv>
  <rv s="5">
    <fb>3.7223000000000002</fb>
    <v>14</v>
  </rv>
  <rv s="5">
    <fb>96.49</fb>
    <v>14</v>
  </rv>
  <rv s="5">
    <fb>272.14999999999998</fb>
    <v>14</v>
  </rv>
  <rv s="5">
    <fb>2650.54</fb>
    <v>14</v>
  </rv>
  <rv s="5">
    <fb>43448</fb>
    <v>13</v>
  </rv>
  <rv s="5">
    <fb>52.585500000000003</fb>
    <v>14</v>
  </rv>
  <rv s="5">
    <fb>79.595500000000001</fb>
    <v>14</v>
  </rv>
  <rv s="5">
    <fb>48.01</fb>
    <v>14</v>
  </rv>
  <rv s="5">
    <fb>386.9</fb>
    <v>14</v>
  </rv>
  <rv s="5">
    <fb>136.44</fb>
    <v>14</v>
  </rv>
  <rv s="5">
    <fb>195.33</fb>
    <v>14</v>
  </rv>
  <rv s="5">
    <fb>45.31</fb>
    <v>14</v>
  </rv>
  <rv s="5">
    <fb>39.1</fb>
    <v>14</v>
  </rv>
  <rv s="5">
    <fb>3.6613000000000002</fb>
    <v>14</v>
  </rv>
  <rv s="5">
    <fb>96.64</fb>
    <v>14</v>
  </rv>
  <rv s="5">
    <fb>265.02</fb>
    <v>14</v>
  </rv>
  <rv s="5">
    <fb>2599.9499999999998</fb>
    <v>14</v>
  </rv>
  <rv s="5">
    <fb>43451</fb>
    <v>13</v>
  </rv>
  <rv s="5">
    <fb>51.282499999999999</fb>
    <v>14</v>
  </rv>
  <rv s="5">
    <fb>76.045500000000004</fb>
    <v>14</v>
  </rv>
  <rv s="5">
    <fb>46.65</fb>
    <v>14</v>
  </rv>
  <rv s="5">
    <fb>369.06</fb>
    <v>14</v>
  </rv>
  <rv s="5">
    <fb>134.38</fb>
    <v>14</v>
  </rv>
  <rv s="5">
    <fb>190.45</fb>
    <v>14</v>
  </rv>
  <rv s="5">
    <fb>43.912500000000001</fb>
    <v>14</v>
  </rv>
  <rv s="5">
    <fb>39.049999999999997</fb>
    <v>14</v>
  </rv>
  <rv s="5">
    <fb>3.5895000000000001</fb>
    <v>14</v>
  </rv>
  <rv s="5">
    <fb>258.07</fb>
    <v>14</v>
  </rv>
  <rv s="5">
    <fb>2545.94</fb>
    <v>14</v>
  </rv>
  <rv s="5">
    <fb>43452</fb>
    <v>13</v>
  </rv>
  <rv s="5">
    <fb>52.170499999999997</fb>
    <v>14</v>
  </rv>
  <rv s="5">
    <fb>77.573999999999998</fb>
    <v>14</v>
  </rv>
  <rv s="5">
    <fb>46.78</fb>
    <v>14</v>
  </rv>
  <rv s="5">
    <fb>370.97</fb>
    <v>14</v>
  </rv>
  <rv s="5">
    <fb>135.18</fb>
    <v>14</v>
  </rv>
  <rv s="5">
    <fb>191.61</fb>
    <v>14</v>
  </rv>
  <rv s="5">
    <fb>44</fb>
    <v>14</v>
  </rv>
  <rv s="5">
    <fb>37.840000000000003</fb>
    <v>14</v>
  </rv>
  <rv s="5">
    <fb>3.6735000000000002</fb>
    <v>14</v>
  </rv>
  <rv s="5">
    <fb>92.49</fb>
    <v>14</v>
  </rv>
  <rv s="5">
    <fb>252.97</fb>
    <v>14</v>
  </rv>
  <rv s="5">
    <fb>2546.16</fb>
    <v>14</v>
  </rv>
  <rv s="5">
    <fb>43453</fb>
    <v>13</v>
  </rv>
  <rv s="5">
    <fb>51.773000000000003</fb>
    <v>14</v>
  </rv>
  <rv s="5">
    <fb>74.754000000000005</fb>
    <v>14</v>
  </rv>
  <rv s="5">
    <fb>45.87</fb>
    <v>14</v>
  </rv>
  <rv s="5">
    <fb>368.44</fb>
    <v>14</v>
  </rv>
  <rv s="5">
    <fb>133.26</fb>
    <v>14</v>
  </rv>
  <rv s="5">
    <fb>187.12</fb>
    <v>14</v>
  </rv>
  <rv s="5">
    <fb>43.63</fb>
    <v>14</v>
  </rv>
  <rv s="5">
    <fb>37.79</fb>
    <v>14</v>
  </rv>
  <rv s="5">
    <fb>3.4628000000000001</fb>
    <v>14</v>
  </rv>
  <rv s="5">
    <fb>91.76</fb>
    <v>14</v>
  </rv>
  <rv s="5">
    <fb>250.31</fb>
    <v>14</v>
  </rv>
  <rv s="5">
    <fb>2506.96</fb>
    <v>14</v>
  </rv>
  <rv s="5">
    <fb>43454</fb>
    <v>13</v>
  </rv>
  <rv s="5">
    <fb>51.179000000000002</fb>
    <v>14</v>
  </rv>
  <rv s="5">
    <fb>73.041499999999999</fb>
    <v>14</v>
  </rv>
  <rv s="5">
    <fb>358.21</fb>
    <v>14</v>
  </rv>
  <rv s="5">
    <fb>130.66999999999999</fb>
    <v>14</v>
  </rv>
  <rv s="5">
    <fb>182.71</fb>
    <v>14</v>
  </rv>
  <rv s="5">
    <fb>43.727499999999999</fb>
    <v>14</v>
  </rv>
  <rv s="5">
    <fb>3.3774999999999999</fb>
    <v>14</v>
  </rv>
  <rv s="5">
    <fb>242.44</fb>
    <v>14</v>
  </rv>
  <rv s="5">
    <fb>2467.42</fb>
    <v>14</v>
  </rv>
  <rv s="5">
    <fb>43455</fb>
    <v>13</v>
  </rv>
  <rv s="5">
    <fb>49.5625</fb>
    <v>14</v>
  </rv>
  <rv s="5">
    <fb>68.872500000000002</fb>
    <v>14</v>
  </rv>
  <rv s="5">
    <fb>43.62</fb>
    <v>14</v>
  </rv>
  <rv s="5">
    <fb>350.31</fb>
    <v>14</v>
  </rv>
  <rv s="5">
    <fb>129.44</fb>
    <v>14</v>
  </rv>
  <rv s="5">
    <fb>175.19</fb>
    <v>14</v>
  </rv>
  <rv s="5">
    <fb>43.527500000000003</fb>
    <v>14</v>
  </rv>
  <rv s="5">
    <fb>35.700000000000003</fb>
    <v>14</v>
  </rv>
  <rv s="5">
    <fb>3.2393000000000001</fb>
    <v>14</v>
  </rv>
  <rv s="5">
    <fb>90.97</fb>
    <v>14</v>
  </rv>
  <rv s="5">
    <fb>238.34</fb>
    <v>14</v>
  </rv>
  <rv s="5">
    <fb>2416.62</fb>
    <v>14</v>
  </rv>
  <rv s="5">
    <fb>43458</fb>
    <v>13</v>
  </rv>
  <rv s="5">
    <fb>49.233499999999999</fb>
    <v>14</v>
  </rv>
  <rv s="5">
    <fb>67.197999999999993</fb>
    <v>14</v>
  </rv>
  <rv s="5">
    <fb>339.02</fb>
    <v>14</v>
  </rv>
  <rv s="5">
    <fb>124.83</fb>
    <v>14</v>
  </rv>
  <rv s="5">
    <fb>174.65</fb>
    <v>14</v>
  </rv>
  <rv s="5">
    <fb>35.19</fb>
    <v>14</v>
  </rv>
  <rv s="5">
    <fb>3.177</fb>
    <v>14</v>
  </rv>
  <rv s="5">
    <fb>87.36</fb>
    <v>14</v>
  </rv>
  <rv s="5">
    <fb>232.94</fb>
    <v>14</v>
  </rv>
  <rv s="5">
    <fb>2351.1</fb>
    <v>14</v>
  </rv>
  <rv s="5">
    <fb>43460</fb>
    <v>13</v>
  </rv>
  <rv s="5">
    <fb>52.392499999999998</fb>
    <v>14</v>
  </rv>
  <rv s="5">
    <fb>73.545000000000002</fb>
    <v>14</v>
  </rv>
  <rv s="5">
    <fb>349.27</fb>
    <v>14</v>
  </rv>
  <rv s="5">
    <fb>129.57</fb>
    <v>14</v>
  </rv>
  <rv s="5">
    <fb>186.43</fb>
    <v>14</v>
  </rv>
  <rv s="5">
    <fb>42.585000000000001</fb>
    <v>14</v>
  </rv>
  <rv s="5">
    <fb>36.61</fb>
    <v>14</v>
  </rv>
  <rv s="5">
    <fb>3.3275000000000001</fb>
    <v>14</v>
  </rv>
  <rv s="5">
    <fb>90.09</fb>
    <v>14</v>
  </rv>
  <rv s="5">
    <fb>2467.6999999999998</fb>
    <v>14</v>
  </rv>
  <rv s="5">
    <fb>43461</fb>
    <v>13</v>
  </rv>
  <rv s="5">
    <fb>52.645000000000003</fb>
    <v>14</v>
  </rv>
  <rv s="5">
    <fb>73.081999999999994</fb>
    <v>14</v>
  </rv>
  <rv s="5">
    <fb>346.39</fb>
    <v>14</v>
  </rv>
  <rv s="5">
    <fb>131.57</fb>
    <v>14</v>
  </rv>
  <rv s="5">
    <fb>188.69</fb>
    <v>14</v>
  </rv>
  <rv s="5">
    <fb>36.33</fb>
    <v>14</v>
  </rv>
  <rv s="5">
    <fb>3.2793000000000001</fb>
    <v>14</v>
  </rv>
  <rv s="5">
    <fb>92.02</fb>
    <v>14</v>
  </rv>
  <rv s="5">
    <fb>245.97</fb>
    <v>14</v>
  </rv>
  <rv s="5">
    <fb>2488.83</fb>
    <v>14</v>
  </rv>
  <rv s="5">
    <fb>43462</fb>
    <v>13</v>
  </rv>
  <rv s="5">
    <fb>52.334000000000003</fb>
    <v>14</v>
  </rv>
  <rv s="5">
    <fb>73.900999999999996</fb>
    <v>14</v>
  </rv>
  <rv s="5">
    <fb>352.85</fb>
    <v>14</v>
  </rv>
  <rv s="5">
    <fb>130.76</fb>
    <v>14</v>
  </rv>
  <rv s="5">
    <fb>186.16</fb>
    <v>14</v>
  </rv>
  <rv s="5">
    <fb>36.6</fb>
    <v>14</v>
  </rv>
  <rv s="5">
    <fb>3.3412999999999999</fb>
    <v>14</v>
  </rv>
  <rv s="5">
    <fb>246.24</fb>
    <v>14</v>
  </rv>
  <rv s="5">
    <fb>2485.7399999999998</fb>
    <v>14</v>
  </rv>
  <rv s="5">
    <fb>43465</fb>
    <v>13</v>
  </rv>
  <rv s="5">
    <fb>52.247999999999998</fb>
    <v>14</v>
  </rv>
  <rv s="5">
    <fb>75.098500000000001</fb>
    <v>14</v>
  </rv>
  <rv s="5">
    <fb>45.98</fb>
    <v>14</v>
  </rv>
  <rv s="5">
    <fb>352.56</fb>
    <v>14</v>
  </rv>
  <rv s="5">
    <fb>132.12</fb>
    <v>14</v>
  </rv>
  <rv s="5">
    <fb>188.65</fb>
    <v>14</v>
  </rv>
  <rv s="5">
    <fb>36.08</fb>
    <v>14</v>
  </rv>
  <rv s="5">
    <fb>3.3374999999999999</fb>
    <v>14</v>
  </rv>
  <rv s="5">
    <fb>249.12</fb>
    <v>14</v>
  </rv>
  <rv s="5">
    <fb>2506.85</fb>
    <v>14</v>
  </rv>
  <rv s="5">
    <fb>43467</fb>
    <v>13</v>
  </rv>
  <rv s="5">
    <fb>52.734000000000002</fb>
    <v>14</v>
  </rv>
  <rv s="5">
    <fb>76.956500000000005</fb>
    <v>14</v>
  </rv>
  <rv s="5">
    <fb>44.67</fb>
    <v>14</v>
  </rv>
  <rv s="5">
    <fb>350</fb>
    <v>14</v>
  </rv>
  <rv s="5">
    <fb>131.83000000000001</fb>
    <v>14</v>
  </rv>
  <rv s="5">
    <fb>189.74</fb>
    <v>14</v>
  </rv>
  <rv s="5">
    <fb>42.457500000000003</fb>
    <v>14</v>
  </rv>
  <rv s="5">
    <fb>37.200000000000003</fb>
    <v>14</v>
  </rv>
  <rv s="5">
    <fb>3.4055</fb>
    <v>14</v>
  </rv>
  <rv s="5">
    <fb>91.28</fb>
    <v>14</v>
  </rv>
  <rv s="5">
    <fb>243.49</fb>
    <v>14</v>
  </rv>
  <rv s="5">
    <fb>2510.0300000000002</fb>
    <v>14</v>
  </rv>
  <rv s="5">
    <fb>43468</fb>
    <v>13</v>
  </rv>
  <rv s="5">
    <fb>51.273499999999999</fb>
    <v>14</v>
  </rv>
  <rv s="5">
    <fb>75.013999999999996</fb>
    <v>14</v>
  </rv>
  <rv s="5">
    <fb>44.26</fb>
    <v>14</v>
  </rv>
  <rv s="5">
    <fb>345.94</fb>
    <v>14</v>
  </rv>
  <rv s="5">
    <fb>130.07</fb>
    <v>14</v>
  </rv>
  <rv s="5">
    <fb>181.18</fb>
    <v>14</v>
  </rv>
  <rv s="5">
    <fb>42.352499999999999</fb>
    <v>14</v>
  </rv>
  <rv s="5">
    <fb>3.1998000000000002</fb>
    <v>14</v>
  </rv>
  <rv s="5">
    <fb>90.64</fb>
    <v>14</v>
  </rv>
  <rv s="5">
    <fb>2447.89</fb>
    <v>14</v>
  </rv>
  <rv s="5">
    <fb>43469</fb>
    <v>13</v>
  </rv>
  <rv s="5">
    <fb>53.903500000000001</fb>
    <v>14</v>
  </rv>
  <rv s="5">
    <fb>78.769499999999994</fb>
    <v>14</v>
  </rv>
  <rv s="5">
    <fb>45.59</fb>
    <v>14</v>
  </rv>
  <rv s="5">
    <fb>353.79</fb>
    <v>14</v>
  </rv>
  <rv s="5">
    <fb>134.62</fb>
    <v>14</v>
  </rv>
  <rv s="5">
    <fb>189.76</fb>
    <v>14</v>
  </rv>
  <rv s="5">
    <fb>43.1325</fb>
    <v>14</v>
  </rv>
  <rv s="5">
    <fb>39.090000000000003</fb>
    <v>14</v>
  </rv>
  <rv s="5">
    <fb>3.4047999999999998</fb>
    <v>14</v>
  </rv>
  <rv s="5">
    <fb>239.62</fb>
    <v>14</v>
  </rv>
  <rv s="5">
    <fb>2531.94</fb>
    <v>14</v>
  </rv>
  <rv s="5">
    <fb>43472</fb>
    <v>13</v>
  </rv>
  <rv s="5">
    <fb>53.795999999999999</fb>
    <v>14</v>
  </rv>
  <rv s="5">
    <fb>81.475499999999997</fb>
    <v>14</v>
  </rv>
  <rv s="5">
    <fb>46.44</fb>
    <v>14</v>
  </rv>
  <rv s="5">
    <fb>354.5</fb>
    <v>14</v>
  </rv>
  <rv s="5">
    <fb>135.37</fb>
    <v>14</v>
  </rv>
  <rv s="5">
    <fb>191.22</fb>
    <v>14</v>
  </rv>
  <rv s="5">
    <fb>43.07</fb>
    <v>14</v>
  </rv>
  <rv s="5">
    <fb>40.17</fb>
    <v>14</v>
  </rv>
  <rv s="5">
    <fb>3.585</fb>
    <v>14</v>
  </rv>
  <rv s="5">
    <fb>240.08</fb>
    <v>14</v>
  </rv>
  <rv s="5">
    <fb>2549.69</fb>
    <v>14</v>
  </rv>
  <rv s="5">
    <fb>43473</fb>
    <v>13</v>
  </rv>
  <rv s="5">
    <fb>54.268500000000003</fb>
    <v>14</v>
  </rv>
  <rv s="5">
    <fb>82.828999999999994</fb>
    <v>14</v>
  </rv>
  <rv s="5">
    <fb>46.91</fb>
    <v>14</v>
  </rv>
  <rv s="5">
    <fb>361.86</fb>
    <v>14</v>
  </rv>
  <rv s="5">
    <fb>135.09</fb>
    <v>14</v>
  </rv>
  <rv s="5">
    <fb>192.28</fb>
    <v>14</v>
  </rv>
  <rv s="5">
    <fb>3.4958</fb>
    <v>14</v>
  </rv>
  <rv s="5">
    <fb>92.46</fb>
    <v>14</v>
  </rv>
  <rv s="5">
    <fb>243.29</fb>
    <v>14</v>
  </rv>
  <rv s="5">
    <fb>2574.41</fb>
    <v>14</v>
  </rv>
  <rv s="5">
    <fb>43474</fb>
    <v>13</v>
  </rv>
  <rv s="5">
    <fb>54.082500000000003</fb>
    <v>14</v>
  </rv>
  <rv s="5">
    <fb>82.971000000000004</fb>
    <v>14</v>
  </rv>
  <rv s="5">
    <fb>47.09</fb>
    <v>14</v>
  </rv>
  <rv s="5">
    <fb>357.32</fb>
    <v>14</v>
  </rv>
  <rv s="5">
    <fb>135.72</fb>
    <v>14</v>
  </rv>
  <rv s="5">
    <fb>195.77</fb>
    <v>14</v>
  </rv>
  <rv s="5">
    <fb>43.197499999999998</fb>
    <v>14</v>
  </rv>
  <rv s="5">
    <fb>3.5644999999999998</fb>
    <v>14</v>
  </rv>
  <rv s="5">
    <fb>90.95</fb>
    <v>14</v>
  </rv>
  <rv s="5">
    <fb>243.64</fb>
    <v>14</v>
  </rv>
  <rv s="5">
    <fb>2584.96</fb>
    <v>14</v>
  </rv>
  <rv s="5">
    <fb>43475</fb>
    <v>13</v>
  </rv>
  <rv s="5">
    <fb>53.941499999999998</fb>
    <v>14</v>
  </rv>
  <rv s="5">
    <fb>82.811000000000007</fb>
    <v>14</v>
  </rv>
  <rv s="5">
    <fb>47.65</fb>
    <v>14</v>
  </rv>
  <rv s="5">
    <fb>370.68</fb>
    <v>14</v>
  </rv>
  <rv s="5">
    <fb>137.75</fb>
    <v>14</v>
  </rv>
  <rv s="5">
    <fb>196.95</fb>
    <v>14</v>
  </rv>
  <rv s="5">
    <fb>43.847499999999997</fb>
    <v>14</v>
  </rv>
  <rv s="5">
    <fb>3.6307999999999998</fb>
    <v>14</v>
  </rv>
  <rv s="5">
    <fb>91.17</fb>
    <v>14</v>
  </rv>
  <rv s="5">
    <fb>244.87</fb>
    <v>14</v>
  </rv>
  <rv s="5">
    <fb>2596.64</fb>
    <v>14</v>
  </rv>
  <rv s="5">
    <fb>43476</fb>
    <v>13</v>
  </rv>
  <rv s="5">
    <fb>53.223500000000001</fb>
    <v>14</v>
  </rv>
  <rv s="5">
    <fb>82.028000000000006</fb>
    <v>14</v>
  </rv>
  <rv s="5">
    <fb>48.12</fb>
    <v>14</v>
  </rv>
  <rv s="5">
    <fb>371.43</fb>
    <v>14</v>
  </rv>
  <rv s="5">
    <fb>137.36000000000001</fb>
    <v>14</v>
  </rv>
  <rv s="5">
    <fb>195.9</fb>
    <v>14</v>
  </rv>
  <rv s="5">
    <fb>43.927500000000002</fb>
    <v>14</v>
  </rv>
  <rv s="5">
    <fb>3.7208000000000001</fb>
    <v>14</v>
  </rv>
  <rv s="5">
    <fb>247.67</fb>
    <v>14</v>
  </rv>
  <rv s="5">
    <fb>2596.2600000000002</fb>
    <v>14</v>
  </rv>
  <rv s="5">
    <fb>43479</fb>
    <v>13</v>
  </rv>
  <rv s="5">
    <fb>52.575499999999998</fb>
    <v>14</v>
  </rv>
  <rv s="5">
    <fb>80.860500000000002</fb>
    <v>14</v>
  </rv>
  <rv s="5">
    <fb>48.47</fb>
    <v>14</v>
  </rv>
  <rv s="5">
    <fb>376.58</fb>
    <v>14</v>
  </rv>
  <rv s="5">
    <fb>137.61000000000001</fb>
    <v>14</v>
  </rv>
  <rv s="5">
    <fb>195.43</fb>
    <v>14</v>
  </rv>
  <rv s="5">
    <fb>42.807499999999997</fb>
    <v>14</v>
  </rv>
  <rv s="5">
    <fb>41.32</fb>
    <v>14</v>
  </rv>
  <rv s="5">
    <fb>3.7610000000000001</fb>
    <v>14</v>
  </rv>
  <rv s="5">
    <fb>91.15</fb>
    <v>14</v>
  </rv>
  <rv s="5">
    <fb>248.06</fb>
    <v>14</v>
  </rv>
  <rv s="5">
    <fb>2582.61</fb>
    <v>14</v>
  </rv>
  <rv s="5">
    <fb>43480</fb>
    <v>13</v>
  </rv>
  <rv s="5">
    <fb>54.325499999999998</fb>
    <v>14</v>
  </rv>
  <rv s="5">
    <fb>83.727999999999994</fb>
    <v>14</v>
  </rv>
  <rv s="5">
    <fb>49.3</fb>
    <v>14</v>
  </rv>
  <rv s="5">
    <fb>382.98</fb>
    <v>14</v>
  </rv>
  <rv s="5">
    <fb>137.77000000000001</fb>
    <v>14</v>
  </rv>
  <rv s="5">
    <fb>43.68</fb>
    <v>14</v>
  </rv>
  <rv s="5">
    <fb>3.7467999999999999</fb>
    <v>14</v>
  </rv>
  <rv s="5">
    <fb>92.01</fb>
    <v>14</v>
  </rv>
  <rv s="5">
    <fb>256.87</fb>
    <v>14</v>
  </rv>
  <rv s="5">
    <fb>2610.3000000000002</fb>
    <v>14</v>
  </rv>
  <rv s="5">
    <fb>43481</fb>
    <v>13</v>
  </rv>
  <rv s="5">
    <fb>54.475499999999997</fb>
    <v>14</v>
  </rv>
  <rv s="5">
    <fb>84.188999999999993</fb>
    <v>14</v>
  </rv>
  <rv s="5">
    <fb>48.44</fb>
    <v>14</v>
  </rv>
  <rv s="5">
    <fb>381.11</fb>
    <v>14</v>
  </rv>
  <rv s="5">
    <fb>138.02000000000001</fb>
    <v>14</v>
  </rv>
  <rv s="5">
    <fb>197.77</fb>
    <v>14</v>
  </rv>
  <rv s="5">
    <fb>43.67</fb>
    <v>14</v>
  </rv>
  <rv s="5">
    <fb>3.7210000000000001</fb>
    <v>14</v>
  </rv>
  <rv s="5">
    <fb>91.37</fb>
    <v>14</v>
  </rv>
  <rv s="5">
    <fb>261.45999999999998</fb>
    <v>14</v>
  </rv>
  <rv s="5">
    <fb>2616.1</fb>
    <v>14</v>
  </rv>
  <rv s="5">
    <fb>43482</fb>
    <v>13</v>
  </rv>
  <rv s="5">
    <fb>54.956000000000003</fb>
    <v>14</v>
  </rv>
  <rv s="5">
    <fb>84.661000000000001</fb>
    <v>14</v>
  </rv>
  <rv s="5">
    <fb>49.5</fb>
    <v>14</v>
  </rv>
  <rv s="5">
    <fb>381.83</fb>
    <v>14</v>
  </rv>
  <rv s="5">
    <fb>139.88</fb>
    <v>14</v>
  </rv>
  <rv s="5">
    <fb>43.872500000000002</fb>
    <v>14</v>
  </rv>
  <rv s="5">
    <fb>41.37</fb>
    <v>14</v>
  </rv>
  <rv s="5">
    <fb>259.77</fb>
    <v>14</v>
  </rv>
  <rv s="5">
    <fb>2635.96</fb>
    <v>14</v>
  </rv>
  <rv s="5">
    <fb>43483</fb>
    <v>13</v>
  </rv>
  <rv s="5">
    <fb>55.365000000000002</fb>
    <v>14</v>
  </rv>
  <rv s="5">
    <fb>84.81</fb>
    <v>14</v>
  </rv>
  <rv s="5">
    <fb>50.26</fb>
    <v>14</v>
  </rv>
  <rv s="5">
    <fb>374.67</fb>
    <v>14</v>
  </rv>
  <rv s="5">
    <fb>141.85</fb>
    <v>14</v>
  </rv>
  <rv s="5">
    <fb>202</fb>
    <v>14</v>
  </rv>
  <rv s="5">
    <fb>44.022500000000001</fb>
    <v>14</v>
  </rv>
  <rv s="5">
    <fb>44.73</fb>
    <v>14</v>
  </rv>
  <rv s="5">
    <fb>3.9232999999999998</fb>
    <v>14</v>
  </rv>
  <rv s="5">
    <fb>91.42</fb>
    <v>14</v>
  </rv>
  <rv s="5">
    <fb>265.5</fb>
    <v>14</v>
  </rv>
  <rv s="5">
    <fb>2670.71</fb>
    <v>14</v>
  </rv>
  <rv s="5">
    <fb>43487</fb>
    <v>13</v>
  </rv>
  <rv s="5">
    <fb>53.9315</fb>
    <v>14</v>
  </rv>
  <rv s="5">
    <fb>81.608500000000006</fb>
    <v>14</v>
  </rv>
  <rv s="5">
    <fb>50.72</fb>
    <v>14</v>
  </rv>
  <rv s="5">
    <fb>371.01</fb>
    <v>14</v>
  </rv>
  <rv s="5">
    <fb>139.82</fb>
    <v>14</v>
  </rv>
  <rv s="5">
    <fb>199.46</fb>
    <v>14</v>
  </rv>
  <rv s="5">
    <fb>44.344999999999999</fb>
    <v>14</v>
  </rv>
  <rv s="5">
    <fb>43.96</fb>
    <v>14</v>
  </rv>
  <rv s="5">
    <fb>3.7193000000000001</fb>
    <v>14</v>
  </rv>
  <rv s="5">
    <fb>90.44</fb>
    <v>14</v>
  </rv>
  <rv s="5">
    <fb>265.69</fb>
    <v>14</v>
  </rv>
  <rv s="5">
    <fb>2632.9</fb>
    <v>14</v>
  </rv>
  <rv s="5">
    <fb>43488</fb>
    <v>13</v>
  </rv>
  <rv s="5">
    <fb>54.220500000000001</fb>
    <v>14</v>
  </rv>
  <rv s="5">
    <fb>82.001000000000005</fb>
    <v>14</v>
  </rv>
  <rv s="5">
    <fb>50.78</fb>
    <v>14</v>
  </rv>
  <rv s="5">
    <fb>365.26</fb>
    <v>14</v>
  </rv>
  <rv s="5">
    <fb>140.74</fb>
    <v>14</v>
  </rv>
  <rv s="5">
    <fb>198.35</fb>
    <v>14</v>
  </rv>
  <rv s="5">
    <fb>44.844999999999999</fb>
    <v>14</v>
  </rv>
  <rv s="5">
    <fb>43.31</fb>
    <v>14</v>
  </rv>
  <rv s="5">
    <fb>3.7323</fb>
    <v>14</v>
  </rv>
  <rv s="5">
    <fb>94.84</fb>
    <v>14</v>
  </rv>
  <rv s="5">
    <fb>267.02</fb>
    <v>14</v>
  </rv>
  <rv s="5">
    <fb>2638.7</fb>
    <v>14</v>
  </rv>
  <rv s="5">
    <fb>43489</fb>
    <v>13</v>
  </rv>
  <rv s="5">
    <fb>54.2</fb>
    <v>14</v>
  </rv>
  <rv s="5">
    <fb>82.746499999999997</fb>
    <v>14</v>
  </rv>
  <rv s="5">
    <fb>50.86</fb>
    <v>14</v>
  </rv>
  <rv s="5">
    <fb>371.28</fb>
    <v>14</v>
  </rv>
  <rv s="5">
    <fb>141.18</fb>
    <v>14</v>
  </rv>
  <rv s="5">
    <fb>199.79</fb>
    <v>14</v>
  </rv>
  <rv s="5">
    <fb>45.07</fb>
    <v>14</v>
  </rv>
  <rv s="5">
    <fb>43.56</fb>
    <v>14</v>
  </rv>
  <rv s="5">
    <fb>3.9460000000000002</fb>
    <v>14</v>
  </rv>
  <rv s="5">
    <fb>94.3</fb>
    <v>14</v>
  </rv>
  <rv s="5">
    <fb>266.13</fb>
    <v>14</v>
  </rv>
  <rv s="5">
    <fb>2642.33</fb>
    <v>14</v>
  </rv>
  <rv s="5">
    <fb>43490</fb>
    <v>13</v>
  </rv>
  <rv s="5">
    <fb>55.075499999999998</fb>
    <v>14</v>
  </rv>
  <rv s="5">
    <fb>83.528499999999994</fb>
    <v>14</v>
  </rv>
  <rv s="5">
    <fb>51.75</fb>
    <v>14</v>
  </rv>
  <rv s="5">
    <fb>369.44</fb>
    <v>14</v>
  </rv>
  <rv s="5">
    <fb>141.71</fb>
    <v>14</v>
  </rv>
  <rv s="5">
    <fb>43.55</fb>
    <v>14</v>
  </rv>
  <rv s="5">
    <fb>45</fb>
    <v>14</v>
  </rv>
  <rv s="5">
    <fb>4.0038</fb>
    <v>14</v>
  </rv>
  <rv s="5">
    <fb>93.6</fb>
    <v>14</v>
  </rv>
  <rv s="5">
    <fb>268.05</fb>
    <v>14</v>
  </rv>
  <rv s="5">
    <fb>2664.76</fb>
    <v>14</v>
  </rv>
  <rv s="5">
    <fb>43493</fb>
    <v>13</v>
  </rv>
  <rv s="5">
    <fb>53.993000000000002</fb>
    <v>14</v>
  </rv>
  <rv s="5">
    <fb>81.894499999999994</fb>
    <v>14</v>
  </rv>
  <rv s="5">
    <fb>50.79</fb>
    <v>14</v>
  </rv>
  <rv s="5">
    <fb>377.11</fb>
    <v>14</v>
  </rv>
  <rv s="5">
    <fb>140.47999999999999</fb>
    <v>14</v>
  </rv>
  <rv s="5">
    <fb>200.16</fb>
    <v>14</v>
  </rv>
  <rv s="5">
    <fb>43.1175</fb>
    <v>14</v>
  </rv>
  <rv s="5">
    <fb>44.24</fb>
    <v>14</v>
  </rv>
  <rv s="5">
    <fb>3.4502999999999999</fb>
    <v>14</v>
  </rv>
  <rv s="5">
    <fb>93.52</fb>
    <v>14</v>
  </rv>
  <rv s="5">
    <fb>266.77</fb>
    <v>14</v>
  </rv>
  <rv s="5">
    <fb>2643.85</fb>
    <v>14</v>
  </rv>
  <rv s="5">
    <fb>43494</fb>
    <v>13</v>
  </rv>
  <rv s="5">
    <fb>53.503</fb>
    <v>14</v>
  </rv>
  <rv s="5">
    <fb>79.694000000000003</fb>
    <v>14</v>
  </rv>
  <rv s="5">
    <fb>51.32</fb>
    <v>14</v>
  </rv>
  <rv s="5">
    <fb>379.29</fb>
    <v>14</v>
  </rv>
  <rv s="5">
    <fb>141.74</fb>
    <v>14</v>
  </rv>
  <rv s="5">
    <fb>199.24</fb>
    <v>14</v>
  </rv>
  <rv s="5">
    <fb>43.215000000000003</fb>
    <v>14</v>
  </rv>
  <rv s="5">
    <fb>3.29</fb>
    <v>14</v>
  </rv>
  <rv s="5">
    <fb>93.54</fb>
    <v>14</v>
  </rv>
  <rv s="5">
    <fb>267.33999999999997</fb>
    <v>14</v>
  </rv>
  <rv s="5">
    <fb>2640</fb>
    <v>14</v>
  </rv>
  <rv s="5">
    <fb>43495</fb>
    <v>13</v>
  </rv>
  <rv s="5">
    <fb>54.899500000000003</fb>
    <v>14</v>
  </rv>
  <rv s="5">
    <fb>83.521500000000003</fb>
    <v>14</v>
  </rv>
  <rv s="5">
    <fb>51.18</fb>
    <v>14</v>
  </rv>
  <rv s="5">
    <fb>383.01</fb>
    <v>14</v>
  </rv>
  <rv s="5">
    <fb>143.28</fb>
    <v>14</v>
  </rv>
  <rv s="5">
    <fb>204.02</fb>
    <v>14</v>
  </rv>
  <rv s="5">
    <fb>43.397500000000001</fb>
    <v>14</v>
  </rv>
  <rv s="5">
    <fb>3.4348000000000001</fb>
    <v>14</v>
  </rv>
  <rv s="5">
    <fb>94.52</fb>
    <v>14</v>
  </rv>
  <rv s="5">
    <fb>270.37</fb>
    <v>14</v>
  </rv>
  <rv s="5">
    <fb>2681.05</fb>
    <v>14</v>
  </rv>
  <rv s="5">
    <fb>43496</fb>
    <v>13</v>
  </rv>
  <rv s="5">
    <fb>56.294499999999999</fb>
    <v>14</v>
  </rv>
  <rv s="5">
    <fb>85.936499999999995</fb>
    <v>14</v>
  </rv>
  <rv s="5">
    <fb>52.28</fb>
    <v>14</v>
  </rv>
  <rv s="5">
    <fb>143.63</fb>
    <v>14</v>
  </rv>
  <rv s="5">
    <fb>44.744999999999997</fb>
    <v>14</v>
  </rv>
  <rv s="5">
    <fb>44.21</fb>
    <v>14</v>
  </rv>
  <rv s="5">
    <fb>3.5937999999999999</fb>
    <v>14</v>
  </rv>
  <rv s="5">
    <fb>96.47</fb>
    <v>14</v>
  </rv>
  <rv s="5">
    <fb>270.2</fb>
    <v>14</v>
  </rv>
  <rv s="5">
    <fb>2704.1</fb>
    <v>14</v>
  </rv>
  <rv s="5">
    <fb>43497</fb>
    <v>13</v>
  </rv>
  <rv s="5">
    <fb>55.930999999999997</fb>
    <v>14</v>
  </rv>
  <rv s="5">
    <fb>81.311499999999995</fb>
    <v>14</v>
  </rv>
  <rv s="5">
    <fb>52.03</fb>
    <v>14</v>
  </rv>
  <rv s="5">
    <fb>396.38</fb>
    <v>14</v>
  </rv>
  <rv s="5">
    <fb>144.71</fb>
    <v>14</v>
  </rv>
  <rv s="5">
    <fb>213.77</fb>
    <v>14</v>
  </rv>
  <rv s="5">
    <fb>44.454999999999998</fb>
    <v>14</v>
  </rv>
  <rv s="5">
    <fb>44.56</fb>
    <v>14</v>
  </rv>
  <rv s="5">
    <fb>3.6183000000000001</fb>
    <v>14</v>
  </rv>
  <rv s="5">
    <fb>97.47</fb>
    <v>14</v>
  </rv>
  <rv s="5">
    <fb>268.72000000000003</fb>
    <v>14</v>
  </rv>
  <rv s="5">
    <fb>2706.53</fb>
    <v>14</v>
  </rv>
  <rv s="5">
    <fb>43500</fb>
    <v>13</v>
  </rv>
  <rv s="5">
    <fb>57.070999999999998</fb>
    <v>14</v>
  </rv>
  <rv s="5">
    <fb>81.665499999999994</fb>
    <v>14</v>
  </rv>
  <rv s="5">
    <fb>51.98</fb>
    <v>14</v>
  </rv>
  <rv s="5">
    <fb>395.29</fb>
    <v>14</v>
  </rv>
  <rv s="5">
    <fb>147.93</fb>
    <v>14</v>
  </rv>
  <rv s="5">
    <fb>214.91</fb>
    <v>14</v>
  </rv>
  <rv s="5">
    <fb>44.524999999999999</fb>
    <v>14</v>
  </rv>
  <rv s="5">
    <fb>3.7294999999999998</fb>
    <v>14</v>
  </rv>
  <rv s="5">
    <fb>98.03</fb>
    <v>14</v>
  </rv>
  <rv s="5">
    <fb>268.20999999999998</fb>
    <v>14</v>
  </rv>
  <rv s="5">
    <fb>2724.87</fb>
    <v>14</v>
  </rv>
  <rv s="5">
    <fb>43501</fb>
    <v>13</v>
  </rv>
  <rv s="5">
    <fb>57.593499999999999</fb>
    <v>14</v>
  </rv>
  <rv s="5">
    <fb>82.9405</fb>
    <v>14</v>
  </rv>
  <rv s="5">
    <fb>53</fb>
    <v>14</v>
  </rv>
  <rv s="5">
    <fb>395.79</fb>
    <v>14</v>
  </rv>
  <rv s="5">
    <fb>148.69</fb>
    <v>14</v>
  </rv>
  <rv s="5">
    <fb>215.86</fb>
    <v>14</v>
  </rv>
  <rv s="5">
    <fb>44.542499999999997</fb>
    <v>14</v>
  </rv>
  <rv s="5">
    <fb>45.14</fb>
    <v>14</v>
  </rv>
  <rv s="5">
    <fb>3.7488000000000001</fb>
    <v>14</v>
  </rv>
  <rv s="5">
    <fb>97.44</fb>
    <v>14</v>
  </rv>
  <rv s="5">
    <fb>266.31</fb>
    <v>14</v>
  </rv>
  <rv s="5">
    <fb>2737.7</fb>
    <v>14</v>
  </rv>
  <rv s="5">
    <fb>43502</fb>
    <v>13</v>
  </rv>
  <rv s="5">
    <fb>56.144500000000001</fb>
    <v>14</v>
  </rv>
  <rv s="5">
    <fb>82.013000000000005</fb>
    <v>14</v>
  </rv>
  <rv s="5">
    <fb>53.21</fb>
    <v>14</v>
  </rv>
  <rv s="5">
    <fb>390.1</fb>
    <v>14</v>
  </rv>
  <rv s="5">
    <fb>148.9</fb>
    <v>14</v>
  </rv>
  <rv s="5">
    <fb>215.3</fb>
    <v>14</v>
  </rv>
  <rv s="5">
    <fb>3.8250000000000002</fb>
    <v>14</v>
  </rv>
  <rv s="5">
    <fb>97.92</fb>
    <v>14</v>
  </rv>
  <rv s="5">
    <fb>269.5</fb>
    <v>14</v>
  </rv>
  <rv s="5">
    <fb>2731.61</fb>
    <v>14</v>
  </rv>
  <rv s="5">
    <fb>43503</fb>
    <v>13</v>
  </rv>
  <rv s="5">
    <fb>55.295499999999997</fb>
    <v>14</v>
  </rv>
  <rv s="5">
    <fb>80.718500000000006</fb>
    <v>14</v>
  </rv>
  <rv s="5">
    <fb>53.26</fb>
    <v>14</v>
  </rv>
  <rv s="5">
    <fb>389.79</fb>
    <v>14</v>
  </rv>
  <rv s="5">
    <fb>148.15</fb>
    <v>14</v>
  </rv>
  <rv s="5">
    <fb>213.97</fb>
    <v>14</v>
  </rv>
  <rv s="5">
    <fb>45.337499999999999</fb>
    <v>14</v>
  </rv>
  <rv s="5">
    <fb>43.46</fb>
    <v>14</v>
  </rv>
  <rv s="5">
    <fb>3.6855000000000002</fb>
    <v>14</v>
  </rv>
  <rv s="5">
    <fb>97.14</fb>
    <v>14</v>
  </rv>
  <rv s="5">
    <fb>2706.05</fb>
    <v>14</v>
  </rv>
  <rv s="5">
    <fb>43504</fb>
    <v>13</v>
  </rv>
  <rv s="5">
    <fb>55.119</fb>
    <v>14</v>
  </rv>
  <rv s="5">
    <fb>79.411000000000001</fb>
    <v>14</v>
  </rv>
  <rv s="5">
    <fb>53.9</fb>
    <v>14</v>
  </rv>
  <rv s="5">
    <fb>395.82</fb>
    <v>14</v>
  </rv>
  <rv s="5">
    <fb>148.61000000000001</fb>
    <v>14</v>
  </rv>
  <rv s="5">
    <fb>216.58</fb>
    <v>14</v>
  </rv>
  <rv s="5">
    <fb>45.752499999999998</fb>
    <v>14</v>
  </rv>
  <rv s="5">
    <fb>42.78</fb>
    <v>14</v>
  </rv>
  <rv s="5">
    <fb>3.7042999999999999</fb>
    <v>14</v>
  </rv>
  <rv s="5">
    <fb>97.71</fb>
    <v>14</v>
  </rv>
  <rv s="5">
    <fb>261.89999999999998</fb>
    <v>14</v>
  </rv>
  <rv s="5">
    <fb>2707.88</fb>
    <v>14</v>
  </rv>
  <rv s="5">
    <fb>43507</fb>
    <v>13</v>
  </rv>
  <rv s="5">
    <fb>55.106000000000002</fb>
    <v>14</v>
  </rv>
  <rv s="5">
    <fb>53.85</fb>
    <v>14</v>
  </rv>
  <rv s="5">
    <fb>400.07</fb>
    <v>14</v>
  </rv>
  <rv s="5">
    <fb>148.47999999999999</fb>
    <v>14</v>
  </rv>
  <rv s="5">
    <fb>217.1</fb>
    <v>14</v>
  </rv>
  <rv s="5">
    <fb>43.69</fb>
    <v>14</v>
  </rv>
  <rv s="5">
    <fb>98.27</fb>
    <v>14</v>
  </rv>
  <rv s="5">
    <fb>257.14</fb>
    <v>14</v>
  </rv>
  <rv s="5">
    <fb>2709.8</fb>
    <v>14</v>
  </rv>
  <rv s="5">
    <fb>43508</fb>
    <v>13</v>
  </rv>
  <rv s="5">
    <fb>56.378999999999998</fb>
    <v>14</v>
  </rv>
  <rv s="5">
    <fb>81.900499999999994</fb>
    <v>14</v>
  </rv>
  <rv s="5">
    <fb>54.9</fb>
    <v>14</v>
  </rv>
  <rv s="5">
    <fb>397.48</fb>
    <v>14</v>
  </rv>
  <rv s="5">
    <fb>150.36000000000001</fb>
    <v>14</v>
  </rv>
  <rv s="5">
    <fb>218.91</fb>
    <v>14</v>
  </rv>
  <rv s="5">
    <fb>45.817500000000003</fb>
    <v>14</v>
  </rv>
  <rv s="5">
    <fb>44.06</fb>
    <v>14</v>
  </rv>
  <rv s="5">
    <fb>3.7793000000000001</fb>
    <v>14</v>
  </rv>
  <rv s="5">
    <fb>99.26</fb>
    <v>14</v>
  </rv>
  <rv s="5">
    <fb>263.5</fb>
    <v>14</v>
  </rv>
  <rv s="5">
    <fb>2744.73</fb>
    <v>14</v>
  </rv>
  <rv s="5">
    <fb>43509</fb>
    <v>13</v>
  </rv>
  <rv s="5">
    <fb>56.4315</fb>
    <v>14</v>
  </rv>
  <rv s="5">
    <fb>55.2</fb>
    <v>14</v>
  </rv>
  <rv s="5">
    <fb>391.91</fb>
    <v>14</v>
  </rv>
  <rv s="5">
    <fb>151.47999999999999</fb>
    <v>14</v>
  </rv>
  <rv s="5">
    <fb>220.54</fb>
    <v>14</v>
  </rv>
  <rv s="5">
    <fb>45.712499999999999</fb>
    <v>14</v>
  </rv>
  <rv s="5">
    <fb>44.42</fb>
    <v>14</v>
  </rv>
  <rv s="5">
    <fb>3.8220000000000001</fb>
    <v>14</v>
  </rv>
  <rv s="5">
    <fb>99.24</fb>
    <v>14</v>
  </rv>
  <rv s="5">
    <fb>263.8</fb>
    <v>14</v>
  </rv>
  <rv s="5">
    <fb>2753.03</fb>
    <v>14</v>
  </rv>
  <rv s="5">
    <fb>43510</fb>
    <v>13</v>
  </rv>
  <rv s="5">
    <fb>56.46</fb>
    <v>14</v>
  </rv>
  <rv s="5">
    <fb>81.132499999999993</fb>
    <v>14</v>
  </rv>
  <rv s="5">
    <fb>54.95</fb>
    <v>14</v>
  </rv>
  <rv s="5">
    <fb>420.59</fb>
    <v>14</v>
  </rv>
  <rv s="5">
    <fb>150.52000000000001</fb>
    <v>14</v>
  </rv>
  <rv s="5">
    <fb>219.81</fb>
    <v>14</v>
  </rv>
  <rv s="5">
    <fb>3.8633000000000002</fb>
    <v>14</v>
  </rv>
  <rv s="5">
    <fb>98.46</fb>
    <v>14</v>
  </rv>
  <rv s="5">
    <fb>2745.73</fb>
    <v>14</v>
  </rv>
  <rv s="5">
    <fb>43511</fb>
    <v>13</v>
  </rv>
  <rv s="5">
    <fb>55.981499999999997</fb>
    <v>14</v>
  </rv>
  <rv s="5">
    <fb>80.397499999999994</fb>
    <v>14</v>
  </rv>
  <rv s="5">
    <fb>54.13</fb>
    <v>14</v>
  </rv>
  <rv s="5">
    <fb>421.39</fb>
    <v>14</v>
  </rv>
  <rv s="5">
    <fb>153.32</fb>
    <v>14</v>
  </rv>
  <rv s="5">
    <fb>222.11</fb>
    <v>14</v>
  </rv>
  <rv s="5">
    <fb>46.01</fb>
    <v>14</v>
  </rv>
  <rv s="5">
    <fb>44.95</fb>
    <v>14</v>
  </rv>
  <rv s="5">
    <fb>3.9335</fb>
    <v>14</v>
  </rv>
  <rv s="5">
    <fb>98.48</fb>
    <v>14</v>
  </rv>
  <rv s="5">
    <fb>271.13</fb>
    <v>14</v>
  </rv>
  <rv s="5">
    <fb>2775.6</fb>
    <v>14</v>
  </rv>
  <rv s="5">
    <fb>43515</fb>
    <v>13</v>
  </rv>
  <rv s="5">
    <fb>56.325499999999998</fb>
    <v>14</v>
  </rv>
  <rv s="5">
    <fb>81.379000000000005</fb>
    <v>14</v>
  </rv>
  <rv s="5">
    <fb>54.06</fb>
    <v>14</v>
  </rv>
  <rv s="5">
    <fb>430.59</fb>
    <v>14</v>
  </rv>
  <rv s="5">
    <fb>153.28</fb>
    <v>14</v>
  </rv>
  <rv s="5">
    <fb>220.59</fb>
    <v>14</v>
  </rv>
  <rv s="5">
    <fb>46.342500000000001</fb>
    <v>14</v>
  </rv>
  <rv s="5">
    <fb>45.54</fb>
    <v>14</v>
  </rv>
  <rv s="5">
    <fb>3.9159999999999999</fb>
    <v>14</v>
  </rv>
  <rv s="5">
    <fb>99.99</fb>
    <v>14</v>
  </rv>
  <rv s="5">
    <fb>270.41000000000003</fb>
    <v>14</v>
  </rv>
  <rv s="5">
    <fb>2779.76</fb>
    <v>14</v>
  </rv>
  <rv s="5">
    <fb>43516</fb>
    <v>13</v>
  </rv>
  <rv s="5">
    <fb>56.029499999999999</fb>
    <v>14</v>
  </rv>
  <rv s="5">
    <fb>81.105000000000004</fb>
    <v>14</v>
  </rv>
  <rv s="5">
    <fb>54.4</fb>
    <v>14</v>
  </rv>
  <rv s="5">
    <fb>431.53</fb>
    <v>14</v>
  </rv>
  <rv s="5">
    <fb>154.58000000000001</fb>
    <v>14</v>
  </rv>
  <rv s="5">
    <fb>221.11</fb>
    <v>14</v>
  </rv>
  <rv s="5">
    <fb>3.9638</fb>
    <v>14</v>
  </rv>
  <rv s="5">
    <fb>99.28</fb>
    <v>14</v>
  </rv>
  <rv s="5">
    <fb>269.51</fb>
    <v>14</v>
  </rv>
  <rv s="5">
    <fb>2784.7</fb>
    <v>14</v>
  </rv>
  <rv s="5">
    <fb>43517</fb>
    <v>13</v>
  </rv>
  <rv s="5">
    <fb>55.210500000000003</fb>
    <v>14</v>
  </rv>
  <rv s="5">
    <fb>54.48</fb>
    <v>14</v>
  </rv>
  <rv s="5">
    <fb>425.86</fb>
    <v>14</v>
  </rv>
  <rv s="5">
    <fb>152.61000000000001</fb>
    <v>14</v>
  </rv>
  <rv s="5">
    <fb>219.31</fb>
    <v>14</v>
  </rv>
  <rv s="5">
    <fb>46.64</fb>
    <v>14</v>
  </rv>
  <rv s="5">
    <fb>44.72</fb>
    <v>14</v>
  </rv>
  <rv s="5">
    <fb>3.8942999999999999</fb>
    <v>14</v>
  </rv>
  <rv s="5">
    <fb>99.78</fb>
    <v>14</v>
  </rv>
  <rv s="5">
    <fb>266.39999999999998</fb>
    <v>14</v>
  </rv>
  <rv s="5">
    <fb>2774.88</fb>
    <v>14</v>
  </rv>
  <rv s="5">
    <fb>43518</fb>
    <v>13</v>
  </rv>
  <rv s="5">
    <fb>55.828000000000003</fb>
    <v>14</v>
  </rv>
  <rv s="5">
    <fb>81.578000000000003</fb>
    <v>14</v>
  </rv>
  <rv s="5">
    <fb>55.26</fb>
    <v>14</v>
  </rv>
  <rv s="5">
    <fb>428.54</fb>
    <v>14</v>
  </rv>
  <rv s="5">
    <fb>153.19999999999999</fb>
    <v>14</v>
  </rv>
  <rv s="5">
    <fb>223.32</fb>
    <v>14</v>
  </rv>
  <rv s="5">
    <fb>47.032499999999999</fb>
    <v>14</v>
  </rv>
  <rv s="5">
    <fb>44.36</fb>
    <v>14</v>
  </rv>
  <rv s="5">
    <fb>3.9798</fb>
    <v>14</v>
  </rv>
  <rv s="5">
    <fb>100.25</fb>
    <v>14</v>
  </rv>
  <rv s="5">
    <fb>267.11</fb>
    <v>14</v>
  </rv>
  <rv s="5">
    <fb>2792.67</fb>
    <v>14</v>
  </rv>
  <rv s="5">
    <fb>43521</fb>
    <v>13</v>
  </rv>
  <rv s="5">
    <fb>55.866500000000002</fb>
    <v>14</v>
  </rv>
  <rv s="5">
    <fb>81.650000000000006</fb>
    <v>14</v>
  </rv>
  <rv s="5">
    <fb>54.88</fb>
    <v>14</v>
  </rv>
  <rv s="5">
    <fb>428.98</fb>
    <v>14</v>
  </rv>
  <rv s="5">
    <fb>154.06</fb>
    <v>14</v>
  </rv>
  <rv s="5">
    <fb>46.97</fb>
    <v>14</v>
  </rv>
  <rv s="5">
    <fb>44.79</fb>
    <v>14</v>
  </rv>
  <rv s="5">
    <fb>3.9672999999999998</fb>
    <v>14</v>
  </rv>
  <rv s="5">
    <fb>99.57</fb>
    <v>14</v>
  </rv>
  <rv s="5">
    <fb>264.60000000000002</fb>
    <v>14</v>
  </rv>
  <rv s="5">
    <fb>2796.11</fb>
    <v>14</v>
  </rv>
  <rv s="5">
    <fb>43522</fb>
    <v>13</v>
  </rv>
  <rv s="5">
    <fb>56.100499999999997</fb>
    <v>14</v>
  </rv>
  <rv s="5">
    <fb>54.67</fb>
    <v>14</v>
  </rv>
  <rv s="5">
    <fb>425.84</fb>
    <v>14</v>
  </rv>
  <rv s="5">
    <fb>153.91999999999999</fb>
    <v>14</v>
  </rv>
  <rv s="5">
    <fb>224</fb>
    <v>14</v>
  </rv>
  <rv s="5">
    <fb>47.057499999999997</fb>
    <v>14</v>
  </rv>
  <rv s="5">
    <fb>44.31</fb>
    <v>14</v>
  </rv>
  <rv s="5">
    <fb>3.9275000000000002</fb>
    <v>14</v>
  </rv>
  <rv s="5">
    <fb>99.83</fb>
    <v>14</v>
  </rv>
  <rv s="5">
    <fb>262.98</fb>
    <v>14</v>
  </rv>
  <rv s="5">
    <fb>2793.9</fb>
    <v>14</v>
  </rv>
  <rv s="5">
    <fb>43523</fb>
    <v>13</v>
  </rv>
  <rv s="5">
    <fb>82.054500000000004</fb>
    <v>14</v>
  </rv>
  <rv s="5">
    <fb>55.5</fb>
    <v>14</v>
  </rv>
  <rv s="5">
    <fb>418.15</fb>
    <v>14</v>
  </rv>
  <rv s="5">
    <fb>154.6</fb>
    <v>14</v>
  </rv>
  <rv s="5">
    <fb>224.57</fb>
    <v>14</v>
  </rv>
  <rv s="5">
    <fb>46.702500000000001</fb>
    <v>14</v>
  </rv>
  <rv s="5">
    <fb>44.35</fb>
    <v>14</v>
  </rv>
  <rv s="5">
    <fb>3.8853</fb>
    <v>14</v>
  </rv>
  <rv s="5">
    <fb>98.91</fb>
    <v>14</v>
  </rv>
  <rv s="5">
    <fb>250.08</fb>
    <v>14</v>
  </rv>
  <rv s="5">
    <fb>2792.38</fb>
    <v>14</v>
  </rv>
  <rv s="5">
    <fb>43524</fb>
    <v>13</v>
  </rv>
  <rv s="5">
    <fb>56.327500000000001</fb>
    <v>14</v>
  </rv>
  <rv s="5">
    <fb>81.991500000000002</fb>
    <v>14</v>
  </rv>
  <rv s="5">
    <fb>54.78</fb>
    <v>14</v>
  </rv>
  <rv s="5">
    <fb>423.5</fb>
    <v>14</v>
  </rv>
  <rv s="5">
    <fb>154.07</fb>
    <v>14</v>
  </rv>
  <rv s="5">
    <fb>224.77</fb>
    <v>14</v>
  </rv>
  <rv s="5">
    <fb>3.8565</fb>
    <v>14</v>
  </rv>
  <rv s="5">
    <fb>98.55</fb>
    <v>14</v>
  </rv>
  <rv s="5">
    <fb>242.22</fb>
    <v>14</v>
  </rv>
  <rv s="5">
    <fb>2784.49</fb>
    <v>14</v>
  </rv>
  <rv s="5">
    <fb>43525</fb>
    <v>13</v>
  </rv>
  <rv s="5">
    <fb>57.426000000000002</fb>
    <v>14</v>
  </rv>
  <rv s="5">
    <fb>83.586500000000001</fb>
    <v>14</v>
  </rv>
  <rv s="5">
    <fb>55.21</fb>
    <v>14</v>
  </rv>
  <rv s="5">
    <fb>432.79</fb>
    <v>14</v>
  </rv>
  <rv s="5">
    <fb>155.72</fb>
    <v>14</v>
  </rv>
  <rv s="5">
    <fb>227.25</fb>
    <v>14</v>
  </rv>
  <rv s="5">
    <fb>46.89</fb>
    <v>14</v>
  </rv>
  <rv s="5">
    <fb>45.19</fb>
    <v>14</v>
  </rv>
  <rv s="5">
    <fb>3.9113000000000002</fb>
    <v>14</v>
  </rv>
  <rv s="5">
    <fb>98.44</fb>
    <v>14</v>
  </rv>
  <rv s="5">
    <fb>246.15</fb>
    <v>14</v>
  </rv>
  <rv s="5">
    <fb>2803.69</fb>
    <v>14</v>
  </rv>
  <rv s="5">
    <fb>43528</fb>
    <v>13</v>
  </rv>
  <rv s="5">
    <fb>57.670999999999999</fb>
    <v>14</v>
  </rv>
  <rv s="5">
    <fb>84.808499999999995</fb>
    <v>14</v>
  </rv>
  <rv s="5">
    <fb>55.25</fb>
    <v>14</v>
  </rv>
  <rv s="5">
    <fb>426.98</fb>
    <v>14</v>
  </rv>
  <rv s="5">
    <fb>154.5</fb>
    <v>14</v>
  </rv>
  <rv s="5">
    <fb>226.29</fb>
    <v>14</v>
  </rv>
  <rv s="5">
    <fb>47.06</fb>
    <v>14</v>
  </rv>
  <rv s="5">
    <fb>45.24</fb>
    <v>14</v>
  </rv>
  <rv s="5">
    <fb>3.9195000000000002</fb>
    <v>14</v>
  </rv>
  <rv s="5">
    <fb>98.87</fb>
    <v>14</v>
  </rv>
  <rv s="5">
    <fb>236.02</fb>
    <v>14</v>
  </rv>
  <rv s="5">
    <fb>2792.81</fb>
    <v>14</v>
  </rv>
  <rv s="5">
    <fb>43529</fb>
    <v>13</v>
  </rv>
  <rv s="5">
    <fb>58.459499999999998</fb>
    <v>14</v>
  </rv>
  <rv s="5">
    <fb>84.621499999999997</fb>
    <v>14</v>
  </rv>
  <rv s="5">
    <fb>426.92</fb>
    <v>14</v>
  </rv>
  <rv s="5">
    <fb>154.15</fb>
    <v>14</v>
  </rv>
  <rv s="5">
    <fb>226.22</fb>
    <v>14</v>
  </rv>
  <rv s="5">
    <fb>47.08</fb>
    <v>14</v>
  </rv>
  <rv s="5">
    <fb>3.9129999999999998</fb>
    <v>14</v>
  </rv>
  <rv s="5">
    <fb>99.09</fb>
    <v>14</v>
  </rv>
  <rv s="5">
    <fb>241.43</fb>
    <v>14</v>
  </rv>
  <rv s="5">
    <fb>2789.65</fb>
    <v>14</v>
  </rv>
  <rv s="5">
    <fb>43530</fb>
    <v>13</v>
  </rv>
  <rv s="5">
    <fb>58.247</fb>
    <v>14</v>
  </rv>
  <rv s="5">
    <fb>83.447500000000005</fb>
    <v>14</v>
  </rv>
  <rv s="5">
    <fb>55.42</fb>
    <v>14</v>
  </rv>
  <rv s="5">
    <fb>424.66</fb>
    <v>14</v>
  </rv>
  <rv s="5">
    <fb>153.74</fb>
    <v>14</v>
  </rv>
  <rv s="5">
    <fb>224.47</fb>
    <v>14</v>
  </rv>
  <rv s="5">
    <fb>46.892499999999998</fb>
    <v>14</v>
  </rv>
  <rv s="5">
    <fb>43.37</fb>
    <v>14</v>
  </rv>
  <rv s="5">
    <fb>3.8012999999999999</fb>
    <v>14</v>
  </rv>
  <rv s="5">
    <fb>98.93</fb>
    <v>14</v>
  </rv>
  <rv s="5">
    <fb>239.07</fb>
    <v>14</v>
  </rv>
  <rv s="5">
    <fb>2771.45</fb>
    <v>14</v>
  </rv>
  <rv s="5">
    <fb>43531</fb>
    <v>13</v>
  </rv>
  <rv s="5">
    <fb>57.542499999999997</fb>
    <v>14</v>
  </rv>
  <rv s="5">
    <fb>81.297499999999999</fb>
    <v>14</v>
  </rv>
  <rv s="5">
    <fb>54.68</fb>
    <v>14</v>
  </rv>
  <rv s="5">
    <fb>426.75</fb>
    <v>14</v>
  </rv>
  <rv s="5">
    <fb>152.47999999999999</fb>
    <v>14</v>
  </rv>
  <rv s="5">
    <fb>222.41</fb>
    <v>14</v>
  </rv>
  <rv s="5">
    <fb>46.982500000000002</fb>
    <v>14</v>
  </rv>
  <rv s="5">
    <fb>3.7315</fb>
    <v>14</v>
  </rv>
  <rv s="5">
    <fb>236.7</fb>
    <v>14</v>
  </rv>
  <rv s="5">
    <fb>2748.93</fb>
    <v>14</v>
  </rv>
  <rv s="5">
    <fb>43532</fb>
    <v>13</v>
  </rv>
  <rv s="5">
    <fb>57.4985</fb>
    <v>14</v>
  </rv>
  <rv s="5">
    <fb>81.040000000000006</fb>
    <v>14</v>
  </rv>
  <rv s="5">
    <fb>55.01</fb>
    <v>14</v>
  </rv>
  <rv s="5">
    <fb>430.38</fb>
    <v>14</v>
  </rv>
  <rv s="5">
    <fb>151.59</fb>
    <v>14</v>
  </rv>
  <rv s="5">
    <fb>221.87</fb>
    <v>14</v>
  </rv>
  <rv s="5">
    <fb>47.174999999999997</fb>
    <v>14</v>
  </rv>
  <rv s="5">
    <fb>41.29</fb>
    <v>14</v>
  </rv>
  <rv s="5">
    <fb>3.766</fb>
    <v>14</v>
  </rv>
  <rv s="5">
    <fb>98.41</fb>
    <v>14</v>
  </rv>
  <rv s="5">
    <fb>237.29</fb>
    <v>14</v>
  </rv>
  <rv s="5">
    <fb>2743.07</fb>
    <v>14</v>
  </rv>
  <rv s="5">
    <fb>43535</fb>
    <v>13</v>
  </rv>
  <rv s="5">
    <fb>58.963000000000001</fb>
    <v>14</v>
  </rv>
  <rv s="5">
    <fb>83.531000000000006</fb>
    <v>14</v>
  </rv>
  <rv s="5">
    <fb>55.6</fb>
    <v>14</v>
  </rv>
  <rv s="5">
    <fb>153.19</fb>
    <v>14</v>
  </rv>
  <rv s="5">
    <fb>225.64</fb>
    <v>14</v>
  </rv>
  <rv s="5">
    <fb>47.375</fb>
    <v>14</v>
  </rv>
  <rv s="5">
    <fb>42.08</fb>
    <v>14</v>
  </rv>
  <rv s="5">
    <fb>4.0285000000000002</fb>
    <v>14</v>
  </rv>
  <rv s="5">
    <fb>99.58</fb>
    <v>14</v>
  </rv>
  <rv s="5">
    <fb>243.15</fb>
    <v>14</v>
  </rv>
  <rv s="5">
    <fb>2783.3</fb>
    <v>14</v>
  </rv>
  <rv s="5">
    <fb>43536</fb>
    <v>13</v>
  </rv>
  <rv s="5">
    <fb>59.862499999999997</fb>
    <v>14</v>
  </rv>
  <rv s="5">
    <fb>83.655000000000001</fb>
    <v>14</v>
  </rv>
  <rv s="5">
    <fb>56.63</fb>
    <v>14</v>
  </rv>
  <rv s="5">
    <fb>438.5</fb>
    <v>14</v>
  </rv>
  <rv s="5">
    <fb>153.5</fb>
    <v>14</v>
  </rv>
  <rv s="5">
    <fb>47.722499999999997</fb>
    <v>14</v>
  </rv>
  <rv s="5">
    <fb>42.59</fb>
    <v>14</v>
  </rv>
  <rv s="5">
    <fb>4.0629999999999997</fb>
    <v>14</v>
  </rv>
  <rv s="5">
    <fb>100.05</fb>
    <v>14</v>
  </rv>
  <rv s="5">
    <fb>245.88</fb>
    <v>14</v>
  </rv>
  <rv s="5">
    <fb>2791.52</fb>
    <v>14</v>
  </rv>
  <rv s="5">
    <fb>43537</fb>
    <v>13</v>
  </rv>
  <rv s="5">
    <fb>59.953000000000003</fb>
    <v>14</v>
  </rv>
  <rv s="5">
    <fb>84.540499999999994</fb>
    <v>14</v>
  </rv>
  <rv s="5">
    <fb>57.11</fb>
    <v>14</v>
  </rv>
  <rv s="5">
    <fb>438.87</fb>
    <v>14</v>
  </rv>
  <rv s="5">
    <fb>155.04</fb>
    <v>14</v>
  </rv>
  <rv s="5">
    <fb>228.5</fb>
    <v>14</v>
  </rv>
  <rv s="5">
    <fb>47.7425</fb>
    <v>14</v>
  </rv>
  <rv s="5">
    <fb>43.15</fb>
    <v>14</v>
  </rv>
  <rv s="5">
    <fb>4.2154999999999996</fb>
    <v>14</v>
  </rv>
  <rv s="5">
    <fb>101.18</fb>
    <v>14</v>
  </rv>
  <rv s="5">
    <fb>252.25</fb>
    <v>14</v>
  </rv>
  <rv s="5">
    <fb>2810.92</fb>
    <v>14</v>
  </rv>
  <rv s="5">
    <fb>43538</fb>
    <v>13</v>
  </rv>
  <rv s="5">
    <fb>59.6265</fb>
    <v>14</v>
  </rv>
  <rv s="5">
    <fb>84.311000000000007</fb>
    <v>14</v>
  </rv>
  <rv s="5">
    <fb>57.27</fb>
    <v>14</v>
  </rv>
  <rv s="5">
    <fb>440.48</fb>
    <v>14</v>
  </rv>
  <rv s="5">
    <fb>155.25</fb>
    <v>14</v>
  </rv>
  <rv s="5">
    <fb>229.51</fb>
    <v>14</v>
  </rv>
  <rv s="5">
    <fb>47.744999999999997</fb>
    <v>14</v>
  </rv>
  <rv s="5">
    <fb>43.09</fb>
    <v>14</v>
  </rv>
  <rv s="5">
    <fb>4.1390000000000002</fb>
    <v>14</v>
  </rv>
  <rv s="5">
    <fb>101.32</fb>
    <v>14</v>
  </rv>
  <rv s="5">
    <fb>253.27</fb>
    <v>14</v>
  </rv>
  <rv s="5">
    <fb>2808.48</fb>
    <v>14</v>
  </rv>
  <rv s="5">
    <fb>43539</fb>
    <v>13</v>
  </rv>
  <rv s="5">
    <fb>59.515000000000001</fb>
    <v>14</v>
  </rv>
  <rv s="5">
    <fb>85.617999999999995</fb>
    <v>14</v>
  </rv>
  <rv s="5">
    <fb>57.5</fb>
    <v>14</v>
  </rv>
  <rv s="5">
    <fb>441.61</fb>
    <v>14</v>
  </rv>
  <rv s="5">
    <fb>155.35</fb>
    <v>14</v>
  </rv>
  <rv s="5">
    <fb>231.17</fb>
    <v>14</v>
  </rv>
  <rv s="5">
    <fb>4.2453000000000003</fb>
    <v>14</v>
  </rv>
  <rv s="5">
    <fb>102.44</fb>
    <v>14</v>
  </rv>
  <rv s="5">
    <fb>251.4</fb>
    <v>14</v>
  </rv>
  <rv s="5">
    <fb>2822.48</fb>
    <v>14</v>
  </rv>
  <rv s="5">
    <fb>43542</fb>
    <v>13</v>
  </rv>
  <rv s="5">
    <fb>59.427500000000002</fb>
    <v>14</v>
  </rv>
  <rv s="5">
    <fb>87.107500000000002</fb>
    <v>14</v>
  </rv>
  <rv s="5">
    <fb>57.88</fb>
    <v>14</v>
  </rv>
  <rv s="5">
    <fb>444.1</fb>
    <v>14</v>
  </rv>
  <rv s="5">
    <fb>156.93</fb>
    <v>14</v>
  </rv>
  <rv s="5">
    <fb>230.39</fb>
    <v>14</v>
  </rv>
  <rv s="5">
    <fb>47.717500000000001</fb>
    <v>14</v>
  </rv>
  <rv s="5">
    <fb>4.2237999999999998</fb>
    <v>14</v>
  </rv>
  <rv s="5">
    <fb>101.51</fb>
    <v>14</v>
  </rv>
  <rv s="5">
    <fb>255</fb>
    <v>14</v>
  </rv>
  <rv s="5">
    <fb>2832.94</fb>
    <v>14</v>
  </rv>
  <rv s="5">
    <fb>43543</fb>
    <v>13</v>
  </rv>
  <rv s="5">
    <fb>60.122999999999998</fb>
    <v>14</v>
  </rv>
  <rv s="5">
    <fb>88.092500000000001</fb>
    <v>14</v>
  </rv>
  <rv s="5">
    <fb>58.06</fb>
    <v>14</v>
  </rv>
  <rv s="5">
    <fb>443.55</fb>
    <v>14</v>
  </rv>
  <rv s="5">
    <fb>157.24</fb>
    <v>14</v>
  </rv>
  <rv s="5">
    <fb>231.01</fb>
    <v>14</v>
  </rv>
  <rv s="5">
    <fb>47.125</fb>
    <v>14</v>
  </rv>
  <rv s="5">
    <fb>43.25</fb>
    <v>14</v>
  </rv>
  <rv s="5">
    <fb>4.3928000000000003</fb>
    <v>14</v>
  </rv>
  <rv s="5">
    <fb>101.9</fb>
    <v>14</v>
  </rv>
  <rv s="5">
    <fb>257.13</fb>
    <v>14</v>
  </rv>
  <rv s="5">
    <fb>2832.57</fb>
    <v>14</v>
  </rv>
  <rv s="5">
    <fb>43544</fb>
    <v>13</v>
  </rv>
  <rv s="5">
    <fb>61.3215</fb>
    <v>14</v>
  </rv>
  <rv s="5">
    <fb>89.863500000000002</fb>
    <v>14</v>
  </rv>
  <rv s="5">
    <fb>58.12</fb>
    <v>14</v>
  </rv>
  <rv s="5">
    <fb>448.08</fb>
    <v>14</v>
  </rv>
  <rv s="5">
    <fb>156.29</fb>
    <v>14</v>
  </rv>
  <rv s="5">
    <fb>229.89</fb>
    <v>14</v>
  </rv>
  <rv s="5">
    <fb>47.467500000000001</fb>
    <v>14</v>
  </rv>
  <rv s="5">
    <fb>44.29</fb>
    <v>14</v>
  </rv>
  <rv s="5">
    <fb>4.3600000000000003</fb>
    <v>14</v>
  </rv>
  <rv s="5">
    <fb>101.72</fb>
    <v>14</v>
  </rv>
  <rv s="5">
    <fb>2824.23</fb>
    <v>14</v>
  </rv>
  <rv s="5">
    <fb>43545</fb>
    <v>13</v>
  </rv>
  <rv s="5">
    <fb>61.8065</fb>
    <v>14</v>
  </rv>
  <rv s="5">
    <fb>90.962999999999994</fb>
    <v>14</v>
  </rv>
  <rv s="5">
    <fb>58.84</fb>
    <v>14</v>
  </rv>
  <rv s="5">
    <fb>458.29</fb>
    <v>14</v>
  </rv>
  <rv s="5">
    <fb>158.44999999999999</fb>
    <v>14</v>
  </rv>
  <rv s="5">
    <fb>235.87</fb>
    <v>14</v>
  </rv>
  <rv s="5">
    <fb>47.977499999999999</fb>
    <v>14</v>
  </rv>
  <rv s="5">
    <fb>4.5984999999999996</fb>
    <v>14</v>
  </rv>
  <rv s="5">
    <fb>102.49</fb>
    <v>14</v>
  </rv>
  <rv s="5">
    <fb>252.02</fb>
    <v>14</v>
  </rv>
  <rv s="5">
    <fb>2854.88</fb>
    <v>14</v>
  </rv>
  <rv s="5">
    <fb>43546</fb>
    <v>13</v>
  </rv>
  <rv s="5">
    <fb>60.3825</fb>
    <v>14</v>
  </rv>
  <rv s="5">
    <fb>88.238500000000002</fb>
    <v>14</v>
  </rv>
  <rv s="5">
    <fb>57.94</fb>
    <v>14</v>
  </rv>
  <rv s="5">
    <fb>451.5</fb>
    <v>14</v>
  </rv>
  <rv s="5">
    <fb>155.83000000000001</fb>
    <v>14</v>
  </rv>
  <rv s="5">
    <fb>230.76</fb>
    <v>14</v>
  </rv>
  <rv s="5">
    <fb>48.482500000000002</fb>
    <v>14</v>
  </rv>
  <rv s="5">
    <fb>4.4375</fb>
    <v>14</v>
  </rv>
  <rv s="5">
    <fb>101.66</fb>
    <v>14</v>
  </rv>
  <rv s="5">
    <fb>247.09</fb>
    <v>14</v>
  </rv>
  <rv s="5">
    <fb>2800.71</fb>
    <v>14</v>
  </rv>
  <rv s="5">
    <fb>43549</fb>
    <v>13</v>
  </rv>
  <rv s="5">
    <fb>59.869</fb>
    <v>14</v>
  </rv>
  <rv s="5">
    <fb>88.712999999999994</fb>
    <v>14</v>
  </rv>
  <rv s="5">
    <fb>58.11</fb>
    <v>14</v>
  </rv>
  <rv s="5">
    <fb>446.18</fb>
    <v>14</v>
  </rv>
  <rv s="5">
    <fb>155.93</fb>
    <v>14</v>
  </rv>
  <rv s="5">
    <fb>230.42</fb>
    <v>14</v>
  </rv>
  <rv s="5">
    <fb>48.402500000000003</fb>
    <v>14</v>
  </rv>
  <rv s="5">
    <fb>4.3445</fb>
    <v>14</v>
  </rv>
  <rv s="5">
    <fb>101.96</fb>
    <v>14</v>
  </rv>
  <rv s="5">
    <fb>246.86</fb>
    <v>14</v>
  </rv>
  <rv s="5">
    <fb>2798.36</fb>
    <v>14</v>
  </rv>
  <rv s="5">
    <fb>43550</fb>
    <v>13</v>
  </rv>
  <rv s="5">
    <fb>59.491999999999997</fb>
    <v>14</v>
  </rv>
  <rv s="5">
    <fb>89.188000000000002</fb>
    <v>14</v>
  </rv>
  <rv s="5">
    <fb>58.25</fb>
    <v>14</v>
  </rv>
  <rv s="5">
    <fb>447.67</fb>
    <v>14</v>
  </rv>
  <rv s="5">
    <fb>157.47999999999999</fb>
    <v>14</v>
  </rv>
  <rv s="5">
    <fb>233.29</fb>
    <v>14</v>
  </rv>
  <rv s="5">
    <fb>48.75</fb>
    <v>14</v>
  </rv>
  <rv s="5">
    <fb>43.05</fb>
    <v>14</v>
  </rv>
  <rv s="5">
    <fb>4.4218000000000002</fb>
    <v>14</v>
  </rv>
  <rv s="5">
    <fb>103.02</fb>
    <v>14</v>
  </rv>
  <rv s="5">
    <fb>243.39</fb>
    <v>14</v>
  </rv>
  <rv s="5">
    <fb>2818.46</fb>
    <v>14</v>
  </rv>
  <rv s="5">
    <fb>43551</fb>
    <v>13</v>
  </rv>
  <rv s="5">
    <fb>58.900500000000001</fb>
    <v>14</v>
  </rv>
  <rv s="5">
    <fb>88.284999999999997</fb>
    <v>14</v>
  </rv>
  <rv s="5">
    <fb>58.19</fb>
    <v>14</v>
  </rv>
  <rv s="5">
    <fb>157.11000000000001</fb>
    <v>14</v>
  </rv>
  <rv s="5">
    <fb>48.48</fb>
    <v>14</v>
  </rv>
  <rv s="5">
    <fb>4.4124999999999996</fb>
    <v>14</v>
  </rv>
  <rv s="5">
    <fb>102.9</fb>
    <v>14</v>
  </rv>
  <rv s="5">
    <fb>241.71</fb>
    <v>14</v>
  </rv>
  <rv s="5">
    <fb>2805.37</fb>
    <v>14</v>
  </rv>
  <rv s="5">
    <fb>43552</fb>
    <v>13</v>
  </rv>
  <rv s="5">
    <fb>58.613500000000002</fb>
    <v>14</v>
  </rv>
  <rv s="5">
    <fb>88.671000000000006</fb>
    <v>14</v>
  </rv>
  <rv s="5">
    <fb>449.96</fb>
    <v>14</v>
  </rv>
  <rv s="5">
    <fb>158.54</fb>
    <v>14</v>
  </rv>
  <rv s="5">
    <fb>234.86</fb>
    <v>14</v>
  </rv>
  <rv s="5">
    <fb>47.98</fb>
    <v>14</v>
  </rv>
  <rv s="5">
    <fb>4.4313000000000002</fb>
    <v>14</v>
  </rv>
  <rv s="5">
    <fb>103.55</fb>
    <v>14</v>
  </rv>
  <rv s="5">
    <fb>242.23</fb>
    <v>14</v>
  </rv>
  <rv s="5">
    <fb>2815.44</fb>
    <v>14</v>
  </rv>
  <rv s="5">
    <fb>43553</fb>
    <v>13</v>
  </rv>
  <rv s="5">
    <fb>58.844499999999996</fb>
    <v>14</v>
  </rv>
  <rv s="5">
    <fb>89.037499999999994</fb>
    <v>14</v>
  </rv>
  <rv s="5">
    <fb>57.86</fb>
    <v>14</v>
  </rv>
  <rv s="5">
    <fb>453.16</fb>
    <v>14</v>
  </rv>
  <rv s="5">
    <fb>158.91999999999999</fb>
    <v>14</v>
  </rv>
  <rv s="5">
    <fb>235.45</fb>
    <v>14</v>
  </rv>
  <rv s="5">
    <fb>48.33</fb>
    <v>14</v>
  </rv>
  <rv s="5">
    <fb>43.57</fb>
    <v>14</v>
  </rv>
  <rv s="5">
    <fb>4.4889999999999999</fb>
    <v>14</v>
  </rv>
  <rv s="5">
    <fb>104.05</fb>
    <v>14</v>
  </rv>
  <rv s="5">
    <fb>247.26</fb>
    <v>14</v>
  </rv>
  <rv s="5">
    <fb>2834.4</fb>
    <v>14</v>
  </rv>
  <rv s="5">
    <fb>43556</fb>
    <v>13</v>
  </rv>
  <rv s="5">
    <fb>59.948999999999998</fb>
    <v>14</v>
  </rv>
  <rv s="5">
    <fb>90.709500000000006</fb>
    <v>14</v>
  </rv>
  <rv s="5">
    <fb>58.4</fb>
    <v>14</v>
  </rv>
  <rv s="5">
    <fb>456.3</fb>
    <v>14</v>
  </rv>
  <rv s="5">
    <fb>161.47</fb>
    <v>14</v>
  </rv>
  <rv s="5">
    <fb>239.05</fb>
    <v>14</v>
  </rv>
  <rv s="5">
    <fb>44.76</fb>
    <v>14</v>
  </rv>
  <rv s="5">
    <fb>4.5570000000000004</fb>
    <v>14</v>
  </rv>
  <rv s="5">
    <fb>103.64</fb>
    <v>14</v>
  </rv>
  <rv s="5">
    <fb>245.54</fb>
    <v>14</v>
  </rv>
  <rv s="5">
    <fb>2867.19</fb>
    <v>14</v>
  </rv>
  <rv s="5">
    <fb>43557</fb>
    <v>13</v>
  </rv>
  <rv s="5">
    <fb>60.277000000000001</fb>
    <v>14</v>
  </rv>
  <rv s="5">
    <fb>90.698999999999998</fb>
    <v>14</v>
  </rv>
  <rv s="5">
    <fb>57.98</fb>
    <v>14</v>
  </rv>
  <rv s="5">
    <fb>460.44</fb>
    <v>14</v>
  </rv>
  <rv s="5">
    <fb>161.04</fb>
    <v>14</v>
  </rv>
  <rv s="5">
    <fb>239.26</fb>
    <v>14</v>
  </rv>
  <rv s="5">
    <fb>47.37</fb>
    <v>14</v>
  </rv>
  <rv s="5">
    <fb>44.49</fb>
    <v>14</v>
  </rv>
  <rv s="5">
    <fb>4.5750000000000002</fb>
    <v>14</v>
  </rv>
  <rv s="5">
    <fb>103.75</fb>
    <v>14</v>
  </rv>
  <rv s="5">
    <fb>244.41</fb>
    <v>14</v>
  </rv>
  <rv s="5">
    <fb>2867.24</fb>
    <v>14</v>
  </rv>
  <rv s="5">
    <fb>43558</fb>
    <v>13</v>
  </rv>
  <rv s="5">
    <fb>60.540500000000002</fb>
    <v>14</v>
  </rv>
  <rv s="5">
    <fb>91.034999999999997</fb>
    <v>14</v>
  </rv>
  <rv s="5">
    <fb>58.02</fb>
    <v>14</v>
  </rv>
  <rv s="5">
    <fb>462.01</fb>
    <v>14</v>
  </rv>
  <rv s="5">
    <fb>160.29</fb>
    <v>14</v>
  </rv>
  <rv s="5">
    <fb>238.93</fb>
    <v>14</v>
  </rv>
  <rv s="5">
    <fb>47.327500000000001</fb>
    <v>14</v>
  </rv>
  <rv s="5">
    <fb>43.59</fb>
    <v>14</v>
  </rv>
  <rv s="5">
    <fb>4.7154999999999996</fb>
    <v>14</v>
  </rv>
  <rv s="5">
    <fb>103.69</fb>
    <v>14</v>
  </rv>
  <rv s="5">
    <fb>245.84</fb>
    <v>14</v>
  </rv>
  <rv s="5">
    <fb>2873.4</fb>
    <v>14</v>
  </rv>
  <rv s="5">
    <fb>43559</fb>
    <v>13</v>
  </rv>
  <rv s="5">
    <fb>60.972499999999997</fb>
    <v>14</v>
  </rv>
  <rv s="5">
    <fb>90.942999999999998</fb>
    <v>14</v>
  </rv>
  <rv s="5">
    <fb>58</fb>
    <v>14</v>
  </rv>
  <rv s="5">
    <fb>461.44</fb>
    <v>14</v>
  </rv>
  <rv s="5">
    <fb>161.07</fb>
    <v>14</v>
  </rv>
  <rv s="5">
    <fb>236.06</fb>
    <v>14</v>
  </rv>
  <rv s="5">
    <fb>47.1</fb>
    <v>14</v>
  </rv>
  <rv s="5">
    <fb>44.1</fb>
    <v>14</v>
  </rv>
  <rv s="5">
    <fb>4.7065000000000001</fb>
    <v>14</v>
  </rv>
  <rv s="5">
    <fb>103.43</fb>
    <v>14</v>
  </rv>
  <rv s="5">
    <fb>247.39</fb>
    <v>14</v>
  </rv>
  <rv s="5">
    <fb>2879.39</fb>
    <v>14</v>
  </rv>
  <rv s="5">
    <fb>43560</fb>
    <v>13</v>
  </rv>
  <rv s="5">
    <fb>60.572499999999998</fb>
    <v>14</v>
  </rv>
  <rv s="5">
    <fb>91.864000000000004</fb>
    <v>14</v>
  </rv>
  <rv s="5">
    <fb>466.62</fb>
    <v>14</v>
  </rv>
  <rv s="5">
    <fb>161.69999999999999</fb>
    <v>14</v>
  </rv>
  <rv s="5">
    <fb>236.63</fb>
    <v>14</v>
  </rv>
  <rv s="5">
    <fb>47.52</fb>
    <v>14</v>
  </rv>
  <rv s="5">
    <fb>4.7737999999999996</fb>
    <v>14</v>
  </rv>
  <rv s="5">
    <fb>103.65</fb>
    <v>14</v>
  </rv>
  <rv s="5">
    <fb>248.78</fb>
    <v>14</v>
  </rv>
  <rv s="5">
    <fb>2892.74</fb>
    <v>14</v>
  </rv>
  <rv s="5">
    <fb>43563</fb>
    <v>13</v>
  </rv>
  <rv s="5">
    <fb>60.414000000000001</fb>
    <v>14</v>
  </rv>
  <rv s="5">
    <fb>92.492999999999995</fb>
    <v>14</v>
  </rv>
  <rv s="5">
    <fb>58.2</fb>
    <v>14</v>
  </rv>
  <rv s="5">
    <fb>463.41</fb>
    <v>14</v>
  </rv>
  <rv s="5">
    <fb>162.06</fb>
    <v>14</v>
  </rv>
  <rv s="5">
    <fb>236.27</fb>
    <v>14</v>
  </rv>
  <rv s="5">
    <fb>47.16</fb>
    <v>14</v>
  </rv>
  <rv s="5">
    <fb>46.17</fb>
    <v>14</v>
  </rv>
  <rv s="5">
    <fb>4.7946999999999997</fb>
    <v>14</v>
  </rv>
  <rv s="5">
    <fb>104.97</fb>
    <v>14</v>
  </rv>
  <rv s="5">
    <fb>248.75</fb>
    <v>14</v>
  </rv>
  <rv s="5">
    <fb>2895.77</fb>
    <v>14</v>
  </rv>
  <rv s="5">
    <fb>43564</fb>
    <v>13</v>
  </rv>
  <rv s="5">
    <fb>60.134500000000003</fb>
    <v>14</v>
  </rv>
  <rv s="5">
    <fb>91.792000000000002</fb>
    <v>14</v>
  </rv>
  <rv s="5">
    <fb>57.64</fb>
    <v>14</v>
  </rv>
  <rv s="5">
    <fb>460.11</fb>
    <v>14</v>
  </rv>
  <rv s="5">
    <fb>160.85</fb>
    <v>14</v>
  </rv>
  <rv s="5">
    <fb>235.91</fb>
    <v>14</v>
  </rv>
  <rv s="5">
    <fb>47.427500000000002</fb>
    <v>14</v>
  </rv>
  <rv s="5">
    <fb>45.58</fb>
    <v>14</v>
  </rv>
  <rv s="5">
    <fb>104.66</fb>
    <v>14</v>
  </rv>
  <rv s="5">
    <fb>248.79</fb>
    <v>14</v>
  </rv>
  <rv s="5">
    <fb>2878.2</fb>
    <v>14</v>
  </rv>
  <rv s="5">
    <fb>43565</fb>
    <v>13</v>
  </rv>
  <rv s="5">
    <fb>60.322499999999998</fb>
    <v>14</v>
  </rv>
  <rv s="5">
    <fb>92.366500000000002</fb>
    <v>14</v>
  </rv>
  <rv s="5">
    <fb>461.21</fb>
    <v>14</v>
  </rv>
  <rv s="5">
    <fb>159.97</fb>
    <v>14</v>
  </rv>
  <rv s="5">
    <fb>237.06</fb>
    <v>14</v>
  </rv>
  <rv s="5">
    <fb>47.155000000000001</fb>
    <v>14</v>
  </rv>
  <rv s="5">
    <fb>4.8025000000000002</fb>
    <v>14</v>
  </rv>
  <rv s="5">
    <fb>104.65</fb>
    <v>14</v>
  </rv>
  <rv s="5">
    <fb>246.03</fb>
    <v>14</v>
  </rv>
  <rv s="5">
    <fb>2888.21</fb>
    <v>14</v>
  </rv>
  <rv s="5">
    <fb>43566</fb>
    <v>13</v>
  </rv>
  <rv s="5">
    <fb>92.203500000000005</fb>
    <v>14</v>
  </rv>
  <rv s="5">
    <fb>58.62</fb>
    <v>14</v>
  </rv>
  <rv s="5">
    <fb>460.67</fb>
    <v>14</v>
  </rv>
  <rv s="5">
    <fb>160.9</fb>
    <v>14</v>
  </rv>
  <rv s="5">
    <fb>236.04</fb>
    <v>14</v>
  </rv>
  <rv s="5">
    <fb>47.51</fb>
    <v>14</v>
  </rv>
  <rv s="5">
    <fb>4.7885</fb>
    <v>14</v>
  </rv>
  <rv s="5">
    <fb>104.75</fb>
    <v>14</v>
  </rv>
  <rv s="5">
    <fb>235.42</fb>
    <v>14</v>
  </rv>
  <rv s="5">
    <fb>2888.32</fb>
    <v>14</v>
  </rv>
  <rv s="5">
    <fb>43567</fb>
    <v>13</v>
  </rv>
  <rv s="5">
    <fb>61.136499999999998</fb>
    <v>14</v>
  </rv>
  <rv s="5">
    <fb>92.153000000000006</fb>
    <v>14</v>
  </rv>
  <rv s="5">
    <fb>58.03</fb>
    <v>14</v>
  </rv>
  <rv s="5">
    <fb>463.38</fb>
    <v>14</v>
  </rv>
  <rv s="5">
    <fb>162.47</fb>
    <v>14</v>
  </rv>
  <rv s="5">
    <fb>238.83</fb>
    <v>14</v>
  </rv>
  <rv s="5">
    <fb>47.712499999999999</fb>
    <v>14</v>
  </rv>
  <rv s="5">
    <fb>45.65</fb>
    <v>14</v>
  </rv>
  <rv s="5">
    <fb>4.7503000000000002</fb>
    <v>14</v>
  </rv>
  <rv s="5">
    <fb>105.06</fb>
    <v>14</v>
  </rv>
  <rv s="5">
    <fb>223.22</fb>
    <v>14</v>
  </rv>
  <rv s="5">
    <fb>2907.41</fb>
    <v>14</v>
  </rv>
  <rv s="5">
    <fb>43570</fb>
    <v>13</v>
  </rv>
  <rv s="5">
    <fb>61.326500000000003</fb>
    <v>14</v>
  </rv>
  <rv s="5">
    <fb>92.243499999999997</fb>
    <v>14</v>
  </rv>
  <rv s="5">
    <fb>58.34</fb>
    <v>14</v>
  </rv>
  <rv s="5">
    <fb>460</fb>
    <v>14</v>
  </rv>
  <rv s="5">
    <fb>162</fb>
    <v>14</v>
  </rv>
  <rv s="5">
    <fb>239.15</fb>
    <v>14</v>
  </rv>
  <rv s="5">
    <fb>47.79</fb>
    <v>14</v>
  </rv>
  <rv s="5">
    <fb>46.4</fb>
    <v>14</v>
  </rv>
  <rv s="5">
    <fb>4.6174999999999997</fb>
    <v>14</v>
  </rv>
  <rv s="5">
    <fb>105.73</fb>
    <v>14</v>
  </rv>
  <rv s="5">
    <fb>230.2</fb>
    <v>14</v>
  </rv>
  <rv s="5">
    <fb>2905.58</fb>
    <v>14</v>
  </rv>
  <rv s="5">
    <fb>43571</fb>
    <v>13</v>
  </rv>
  <rv s="5">
    <fb>61.595500000000001</fb>
    <v>14</v>
  </rv>
  <rv s="5">
    <fb>93.152000000000001</fb>
    <v>14</v>
  </rv>
  <rv s="5">
    <fb>57.56</fb>
    <v>14</v>
  </rv>
  <rv s="5">
    <fb>452.66</fb>
    <v>14</v>
  </rv>
  <rv s="5">
    <fb>162.86000000000001</fb>
    <v>14</v>
  </rv>
  <rv s="5">
    <fb>240.09</fb>
    <v>14</v>
  </rv>
  <rv s="5">
    <fb>47.38</fb>
    <v>14</v>
  </rv>
  <rv s="5">
    <fb>4.7053000000000003</fb>
    <v>14</v>
  </rv>
  <rv s="5">
    <fb>106.42</fb>
    <v>14</v>
  </rv>
  <rv s="5">
    <fb>2907.06</fb>
    <v>14</v>
  </rv>
  <rv s="5">
    <fb>43572</fb>
    <v>13</v>
  </rv>
  <rv s="5">
    <fb>62.006999999999998</fb>
    <v>14</v>
  </rv>
  <rv s="5">
    <fb>93.241</fb>
    <v>14</v>
  </rv>
  <rv s="5">
    <fb>57.05</fb>
    <v>14</v>
  </rv>
  <rv s="5">
    <fb>447.52</fb>
    <v>14</v>
  </rv>
  <rv s="5">
    <fb>162.88999999999999</fb>
    <v>14</v>
  </rv>
  <rv s="5">
    <fb>241</fb>
    <v>14</v>
  </rv>
  <rv s="5">
    <fb>47.412500000000001</fb>
    <v>14</v>
  </rv>
  <rv s="5">
    <fb>4.6822999999999997</fb>
    <v>14</v>
  </rv>
  <rv s="5">
    <fb>105.85</fb>
    <v>14</v>
  </rv>
  <rv s="5">
    <fb>216.84</fb>
    <v>14</v>
  </rv>
  <rv s="5">
    <fb>2900.45</fb>
    <v>14</v>
  </rv>
  <rv s="5">
    <fb>43573</fb>
    <v>13</v>
  </rv>
  <rv s="5">
    <fb>62.073500000000003</fb>
    <v>14</v>
  </rv>
  <rv s="5">
    <fb>93.084500000000006</fb>
    <v>14</v>
  </rv>
  <rv s="5">
    <fb>58.51</fb>
    <v>14</v>
  </rv>
  <rv s="5">
    <fb>446.44</fb>
    <v>14</v>
  </rv>
  <rv s="5">
    <fb>240.89</fb>
    <v>14</v>
  </rv>
  <rv s="5">
    <fb>45.56</fb>
    <v>14</v>
  </rv>
  <rv s="5">
    <fb>4.6574999999999998</fb>
    <v>14</v>
  </rv>
  <rv s="5">
    <fb>106.05</fb>
    <v>14</v>
  </rv>
  <rv s="5">
    <fb>221.75</fb>
    <v>14</v>
  </rv>
  <rv s="5">
    <fb>2905.03</fb>
    <v>14</v>
  </rv>
  <rv s="5">
    <fb>43577</fb>
    <v>13</v>
  </rv>
  <rv s="5">
    <fb>62.688000000000002</fb>
    <v>14</v>
  </rv>
  <rv s="5">
    <fb>94.365499999999997</fb>
    <v>14</v>
  </rv>
  <rv s="5">
    <fb>58.71</fb>
    <v>14</v>
  </rv>
  <rv s="5">
    <fb>447.23</fb>
    <v>14</v>
  </rv>
  <rv s="5">
    <fb>168.24</fb>
    <v>14</v>
  </rv>
  <rv s="5">
    <fb>243.05</fb>
    <v>14</v>
  </rv>
  <rv s="5">
    <fb>47.594999999999999</fb>
    <v>14</v>
  </rv>
  <rv s="5">
    <fb>45.85</fb>
    <v>14</v>
  </rv>
  <rv s="5">
    <fb>4.7118000000000002</fb>
    <v>14</v>
  </rv>
  <rv s="5">
    <fb>106.01</fb>
    <v>14</v>
  </rv>
  <rv s="5">
    <fb>227.11</fb>
    <v>14</v>
  </rv>
  <rv s="5">
    <fb>2907.97</fb>
    <v>14</v>
  </rv>
  <rv s="5">
    <fb>43578</fb>
    <v>13</v>
  </rv>
  <rv s="5">
    <fb>63.529499999999999</fb>
    <v>14</v>
  </rv>
  <rv s="5">
    <fb>96.188500000000005</fb>
    <v>14</v>
  </rv>
  <rv s="5">
    <fb>59.5</fb>
    <v>14</v>
  </rv>
  <rv s="5">
    <fb>45.89</fb>
    <v>14</v>
  </rv>
  <rv s="5">
    <fb>4.7667999999999999</fb>
    <v>14</v>
  </rv>
  <rv s="5">
    <fb>103.16</fb>
    <v>14</v>
  </rv>
  <rv s="5">
    <fb>230.58</fb>
    <v>14</v>
  </rv>
  <rv s="5">
    <fb>2933.68</fb>
    <v>14</v>
  </rv>
  <rv s="5">
    <fb>43579</fb>
    <v>13</v>
  </rv>
  <rv s="5">
    <fb>63.002499999999998</fb>
    <v>14</v>
  </rv>
  <rv s="5">
    <fb>95.087500000000006</fb>
    <v>14</v>
  </rv>
  <rv s="5">
    <fb>58.9</fb>
    <v>14</v>
  </rv>
  <rv s="5">
    <fb>453.46</fb>
    <v>14</v>
  </rv>
  <rv s="5">
    <fb>171.29</fb>
    <v>14</v>
  </rv>
  <rv s="5">
    <fb>245.29</fb>
    <v>14</v>
  </rv>
  <rv s="5">
    <fb>47.515000000000001</fb>
    <v>14</v>
  </rv>
  <rv s="5">
    <fb>4.7793000000000001</fb>
    <v>14</v>
  </rv>
  <rv s="5">
    <fb>230.35</fb>
    <v>14</v>
  </rv>
  <rv s="5">
    <fb>2927.25</fb>
    <v>14</v>
  </rv>
  <rv s="5">
    <fb>43580</fb>
    <v>13</v>
  </rv>
  <rv s="5">
    <fb>63.366999999999997</fb>
    <v>14</v>
  </rv>
  <rv s="5">
    <fb>95.112499999999997</fb>
    <v>14</v>
  </rv>
  <rv s="5">
    <fb>58.96</fb>
    <v>14</v>
  </rv>
  <rv s="5">
    <fb>453.89</fb>
    <v>14</v>
  </rv>
  <rv s="5">
    <fb>170.42</fb>
    <v>14</v>
  </rv>
  <rv s="5">
    <fb>245.61</fb>
    <v>14</v>
  </rv>
  <rv s="5">
    <fb>4.6727999999999996</fb>
    <v>14</v>
  </rv>
  <rv s="5">
    <fb>103.28</fb>
    <v>14</v>
  </rv>
  <rv s="5">
    <fb>230.79</fb>
    <v>14</v>
  </rv>
  <rv s="5">
    <fb>2926.17</fb>
    <v>14</v>
  </rv>
  <rv s="5">
    <fb>43581</fb>
    <v>13</v>
  </rv>
  <rv s="5">
    <fb>63.871000000000002</fb>
    <v>14</v>
  </rv>
  <rv s="5">
    <fb>97.531499999999994</fb>
    <v>14</v>
  </rv>
  <rv s="5">
    <fb>453.05</fb>
    <v>14</v>
  </rv>
  <rv s="5">
    <fb>172.25</fb>
    <v>14</v>
  </rv>
  <rv s="5">
    <fb>246.68</fb>
    <v>14</v>
  </rv>
  <rv s="5">
    <fb>47.927500000000002</fb>
    <v>14</v>
  </rv>
  <rv s="5">
    <fb>4.4523000000000001</fb>
    <v>14</v>
  </rv>
  <rv s="5">
    <fb>105.86</fb>
    <v>14</v>
  </rv>
  <rv s="5">
    <fb>237</fb>
    <v>14</v>
  </rv>
  <rv s="5">
    <fb>2939.88</fb>
    <v>14</v>
  </rv>
  <rv s="5">
    <fb>43584</fb>
    <v>13</v>
  </rv>
  <rv s="5">
    <fb>96.921499999999995</fb>
    <v>14</v>
  </rv>
  <rv s="5">
    <fb>59.63</fb>
    <v>14</v>
  </rv>
  <rv s="5">
    <fb>448.81</fb>
    <v>14</v>
  </rv>
  <rv s="5">
    <fb>172.55</fb>
    <v>14</v>
  </rv>
  <rv s="5">
    <fb>247.13</fb>
    <v>14</v>
  </rv>
  <rv s="5">
    <fb>47.942500000000003</fb>
    <v>14</v>
  </rv>
  <rv s="5">
    <fb>43.43</fb>
    <v>14</v>
  </rv>
  <rv s="5">
    <fb>4.4832999999999998</fb>
    <v>14</v>
  </rv>
  <rv s="5">
    <fb>104.78</fb>
    <v>14</v>
  </rv>
  <rv s="5">
    <fb>237.45</fb>
    <v>14</v>
  </rv>
  <rv s="5">
    <fb>2943.03</fb>
    <v>14</v>
  </rv>
  <rv s="5">
    <fb>43585</fb>
    <v>13</v>
  </rv>
  <rv s="5">
    <fb>59.948</fb>
    <v>14</v>
  </rv>
  <rv s="5">
    <fb>96.325999999999993</fb>
    <v>14</v>
  </rv>
  <rv s="5">
    <fb>59.94</fb>
    <v>14</v>
  </rv>
  <rv s="5">
    <fb>454.7</fb>
    <v>14</v>
  </rv>
  <rv s="5">
    <fb>173.63</fb>
    <v>14</v>
  </rv>
  <rv s="5">
    <fb>254.24</fb>
    <v>14</v>
  </rv>
  <rv s="5">
    <fb>48.61</fb>
    <v>14</v>
  </rv>
  <rv s="5">
    <fb>4.5250000000000004</fb>
    <v>14</v>
  </rv>
  <rv s="5">
    <fb>106.48</fb>
    <v>14</v>
  </rv>
  <rv s="5">
    <fb>233.07</fb>
    <v>14</v>
  </rv>
  <rv s="5">
    <fb>2945.83</fb>
    <v>14</v>
  </rv>
  <rv s="5">
    <fb>43586</fb>
    <v>13</v>
  </rv>
  <rv s="5">
    <fb>58.665999999999997</fb>
    <v>14</v>
  </rv>
  <rv s="5">
    <fb>95.575999999999993</fb>
    <v>14</v>
  </rv>
  <rv s="5">
    <fb>58.67</fb>
    <v>14</v>
  </rv>
  <rv s="5">
    <fb>450.01</fb>
    <v>14</v>
  </rv>
  <rv s="5">
    <fb>170.94</fb>
    <v>14</v>
  </rv>
  <rv s="5">
    <fb>48.317500000000003</fb>
    <v>14</v>
  </rv>
  <rv s="5">
    <fb>4.5118</fb>
    <v>14</v>
  </rv>
  <rv s="5">
    <fb>104.93</fb>
    <v>14</v>
  </rv>
  <rv s="5">
    <fb>231.95</fb>
    <v>14</v>
  </rv>
  <rv s="5">
    <fb>2923.73</fb>
    <v>14</v>
  </rv>
  <rv s="5">
    <fb>43587</fb>
    <v>13</v>
  </rv>
  <rv s="5">
    <fb>58.325499999999998</fb>
    <v>14</v>
  </rv>
  <rv s="5">
    <fb>95.040999999999997</fb>
    <v>14</v>
  </rv>
  <rv s="5">
    <fb>60</fb>
    <v>14</v>
  </rv>
  <rv s="5">
    <fb>465.01</fb>
    <v>14</v>
  </rv>
  <rv s="5">
    <fb>171.38</fb>
    <v>14</v>
  </rv>
  <rv s="5">
    <fb>247.19</fb>
    <v>14</v>
  </rv>
  <rv s="5">
    <fb>47.93</fb>
    <v>14</v>
  </rv>
  <rv s="5">
    <fb>41.12</fb>
    <v>14</v>
  </rv>
  <rv s="5">
    <fb>4.5797999999999996</fb>
    <v>14</v>
  </rv>
  <rv s="5">
    <fb>105.56</fb>
    <v>14</v>
  </rv>
  <rv s="5">
    <fb>232.45</fb>
    <v>14</v>
  </rv>
  <rv s="5">
    <fb>2917.52</fb>
    <v>14</v>
  </rv>
  <rv s="5">
    <fb>43588</fb>
    <v>13</v>
  </rv>
  <rv s="5">
    <fb>59.477499999999999</fb>
    <v>14</v>
  </rv>
  <rv s="5">
    <fb>98.123000000000005</fb>
    <v>14</v>
  </rv>
  <rv s="5">
    <fb>61.54</fb>
    <v>14</v>
  </rv>
  <rv s="5">
    <fb>476.99</fb>
    <v>14</v>
  </rv>
  <rv s="5">
    <fb>173.54</fb>
    <v>14</v>
  </rv>
  <rv s="5">
    <fb>247.95</fb>
    <v>14</v>
  </rv>
  <rv s="5">
    <fb>48.102499999999999</fb>
    <v>14</v>
  </rv>
  <rv s="5">
    <fb>4.5751999999999997</fb>
    <v>14</v>
  </rv>
  <rv s="5">
    <fb>106.08</fb>
    <v>14</v>
  </rv>
  <rv s="5">
    <fb>2945.64</fb>
    <v>14</v>
  </rv>
  <rv s="5">
    <fb>43591</fb>
    <v>13</v>
  </rv>
  <rv s="5">
    <fb>59.673000000000002</fb>
    <v>14</v>
  </rv>
  <rv s="5">
    <fb>97.527500000000003</fb>
    <v>14</v>
  </rv>
  <rv s="5">
    <fb>61.95</fb>
    <v>14</v>
  </rv>
  <rv s="5">
    <fb>478.53</fb>
    <v>14</v>
  </rv>
  <rv s="5">
    <fb>172.61</fb>
    <v>14</v>
  </rv>
  <rv s="5">
    <fb>248.64</fb>
    <v>14</v>
  </rv>
  <rv s="5">
    <fb>47.725000000000001</fb>
    <v>14</v>
  </rv>
  <rv s="5">
    <fb>4.4962999999999997</fb>
    <v>14</v>
  </rv>
  <rv s="5">
    <fb>105.68</fb>
    <v>14</v>
  </rv>
  <rv s="5">
    <fb>240.5</fb>
    <v>14</v>
  </rv>
  <rv s="5">
    <fb>2932.47</fb>
    <v>14</v>
  </rv>
  <rv s="5">
    <fb>43592</fb>
    <v>13</v>
  </rv>
  <rv s="5">
    <fb>58.942999999999998</fb>
    <v>14</v>
  </rv>
  <rv s="5">
    <fb>96.05</fb>
    <v>14</v>
  </rv>
  <rv s="5">
    <fb>61.97</fb>
    <v>14</v>
  </rv>
  <rv s="5">
    <fb>474.93</fb>
    <v>14</v>
  </rv>
  <rv s="5">
    <fb>169.85</fb>
    <v>14</v>
  </rv>
  <rv s="5">
    <fb>245.06</fb>
    <v>14</v>
  </rv>
  <rv s="5">
    <fb>47.4375</fb>
    <v>14</v>
  </rv>
  <rv s="5">
    <fb>4.3277999999999999</fb>
    <v>14</v>
  </rv>
  <rv s="5">
    <fb>104.7</fb>
    <v>14</v>
  </rv>
  <rv s="5">
    <fb>238.05</fb>
    <v>14</v>
  </rv>
  <rv s="5">
    <fb>2884.05</fb>
    <v>14</v>
  </rv>
  <rv s="5">
    <fb>43593</fb>
    <v>13</v>
  </rv>
  <rv s="5">
    <fb>58.539000000000001</fb>
    <v>14</v>
  </rv>
  <rv s="5">
    <fb>95.888499999999993</fb>
    <v>14</v>
  </rv>
  <rv s="5">
    <fb>478.98</fb>
    <v>14</v>
  </rv>
  <rv s="5">
    <fb>170.36</fb>
    <v>14</v>
  </rv>
  <rv s="5">
    <fb>245.33</fb>
    <v>14</v>
  </rv>
  <rv s="5">
    <fb>4.3479999999999999</fb>
    <v>14</v>
  </rv>
  <rv s="5">
    <fb>105.07</fb>
    <v>14</v>
  </rv>
  <rv s="5">
    <fb>2879.42</fb>
    <v>14</v>
  </rv>
  <rv s="5">
    <fb>43594</fb>
    <v>13</v>
  </rv>
  <rv s="5">
    <fb>58.398499999999999</fb>
    <v>14</v>
  </rv>
  <rv s="5">
    <fb>94.993499999999997</fb>
    <v>14</v>
  </rv>
  <rv s="5">
    <fb>476.59</fb>
    <v>14</v>
  </rv>
  <rv s="5">
    <fb>170.39</fb>
    <v>14</v>
  </rv>
  <rv s="5">
    <fb>245.31</fb>
    <v>14</v>
  </rv>
  <rv s="5">
    <fb>47.152500000000003</fb>
    <v>14</v>
  </rv>
  <rv s="5">
    <fb>4.2548000000000004</fb>
    <v>14</v>
  </rv>
  <rv s="5">
    <fb>104.24</fb>
    <v>14</v>
  </rv>
  <rv s="5">
    <fb>237.97</fb>
    <v>14</v>
  </rv>
  <rv s="5">
    <fb>2870.72</fb>
    <v>14</v>
  </rv>
  <rv s="5">
    <fb>43595</fb>
    <v>13</v>
  </rv>
  <rv s="5">
    <fb>58.381999999999998</fb>
    <v>14</v>
  </rv>
  <rv s="5">
    <fb>94.498999999999995</fb>
    <v>14</v>
  </rv>
  <rv s="5">
    <fb>64.31</fb>
    <v>14</v>
  </rv>
  <rv s="5">
    <fb>479.82</fb>
    <v>14</v>
  </rv>
  <rv s="5">
    <fb>171.63</fb>
    <v>14</v>
  </rv>
  <rv s="5">
    <fb>247.43</fb>
    <v>14</v>
  </rv>
  <rv s="5">
    <fb>47.94</fb>
    <v>14</v>
  </rv>
  <rv s="5">
    <fb>4.2205000000000004</fb>
    <v>14</v>
  </rv>
  <rv s="5">
    <fb>240.59</fb>
    <v>14</v>
  </rv>
  <rv s="5">
    <fb>2881.4</fb>
    <v>14</v>
  </rv>
  <rv s="5">
    <fb>43598</fb>
    <v>13</v>
  </rv>
  <rv s="5">
    <fb>56.829500000000003</fb>
    <v>14</v>
  </rv>
  <rv s="5">
    <fb>91.134</fb>
    <v>14</v>
  </rv>
  <rv s="5">
    <fb>64.41</fb>
    <v>14</v>
  </rv>
  <rv s="5">
    <fb>476.24</fb>
    <v>14</v>
  </rv>
  <rv s="5">
    <fb>166.82</fb>
    <v>14</v>
  </rv>
  <rv s="5">
    <fb>241.38</fb>
    <v>14</v>
  </rv>
  <rv s="5">
    <fb>48.732500000000002</fb>
    <v>14</v>
  </rv>
  <rv s="5">
    <fb>38.159999999999997</fb>
    <v>14</v>
  </rv>
  <rv s="5">
    <fb>3.9613</fb>
    <v>14</v>
  </rv>
  <rv s="5">
    <fb>106.11</fb>
    <v>14</v>
  </rv>
  <rv s="5">
    <fb>239.55</fb>
    <v>14</v>
  </rv>
  <rv s="5">
    <fb>2811.87</fb>
    <v>14</v>
  </rv>
  <rv s="5">
    <fb>43599</fb>
    <v>13</v>
  </rv>
  <rv s="5">
    <fb>56.243000000000002</fb>
    <v>14</v>
  </rv>
  <rv s="5">
    <fb>92.006</fb>
    <v>14</v>
  </rv>
  <rv s="5">
    <fb>484</fb>
    <v>14</v>
  </rv>
  <rv s="5">
    <fb>168.16</fb>
    <v>14</v>
  </rv>
  <rv s="5">
    <fb>245.94</fb>
    <v>14</v>
  </rv>
  <rv s="5">
    <fb>48.725000000000001</fb>
    <v>14</v>
  </rv>
  <rv s="5">
    <fb>39</fb>
    <v>14</v>
  </rv>
  <rv s="5">
    <fb>4.0510000000000002</fb>
    <v>14</v>
  </rv>
  <rv s="5">
    <fb>105.6</fb>
    <v>14</v>
  </rv>
  <rv s="5">
    <fb>236.43</fb>
    <v>14</v>
  </rv>
  <rv s="5">
    <fb>2834.41</fb>
    <v>14</v>
  </rv>
  <rv s="5">
    <fb>43600</fb>
    <v>13</v>
  </rv>
  <rv s="5">
    <fb>58.54</fb>
    <v>14</v>
  </rv>
  <rv s="5">
    <fb>93.557500000000005</fb>
    <v>14</v>
  </rv>
  <rv s="5">
    <fb>62.51</fb>
    <v>14</v>
  </rv>
  <rv s="5">
    <fb>486.62</fb>
    <v>14</v>
  </rv>
  <rv s="5">
    <fb>169.38</fb>
    <v>14</v>
  </rv>
  <rv s="5">
    <fb>249.15</fb>
    <v>14</v>
  </rv>
  <rv s="5">
    <fb>48.715000000000003</fb>
    <v>14</v>
  </rv>
  <rv s="5">
    <fb>3.9895</fb>
    <v>14</v>
  </rv>
  <rv s="5">
    <fb>106.7</fb>
    <v>14</v>
  </rv>
  <rv s="5">
    <fb>236.08</fb>
    <v>14</v>
  </rv>
  <rv s="5">
    <fb>2850.96</fb>
    <v>14</v>
  </rv>
  <rv s="5">
    <fb>43601</fb>
    <v>13</v>
  </rv>
  <rv s="5">
    <fb>59.225000000000001</fb>
    <v>14</v>
  </rv>
  <rv s="5">
    <fb>95.378500000000003</fb>
    <v>14</v>
  </rv>
  <rv s="5">
    <fb>62.57</fb>
    <v>14</v>
  </rv>
  <rv s="5">
    <fb>491.76</fb>
    <v>14</v>
  </rv>
  <rv s="5">
    <fb>170.79</fb>
    <v>14</v>
  </rv>
  <rv s="5">
    <fb>253.42</fb>
    <v>14</v>
  </rv>
  <rv s="5">
    <fb>49.277500000000003</fb>
    <v>14</v>
  </rv>
  <rv s="5">
    <fb>39.86</fb>
    <v>14</v>
  </rv>
  <rv s="5">
    <fb>4.0048000000000004</fb>
    <v>14</v>
  </rv>
  <rv s="5">
    <fb>108.11</fb>
    <v>14</v>
  </rv>
  <rv s="5">
    <fb>236.79</fb>
    <v>14</v>
  </rv>
  <rv s="5">
    <fb>2876.32</fb>
    <v>14</v>
  </rv>
  <rv s="5">
    <fb>43602</fb>
    <v>13</v>
  </rv>
  <rv s="5">
    <fb>58.439</fb>
    <v>14</v>
  </rv>
  <rv s="5">
    <fb>93.45</fb>
    <v>14</v>
  </rv>
  <rv s="5">
    <fb>490.28</fb>
    <v>14</v>
  </rv>
  <rv s="5">
    <fb>169.95</fb>
    <v>14</v>
  </rv>
  <rv s="5">
    <fb>252.55</fb>
    <v>14</v>
  </rv>
  <rv s="5">
    <fb>49.744999999999997</fb>
    <v>14</v>
  </rv>
  <rv s="5">
    <fb>39.020000000000003</fb>
    <v>14</v>
  </rv>
  <rv s="5">
    <fb>3.9133</fb>
    <v>14</v>
  </rv>
  <rv s="5">
    <fb>107.45</fb>
    <v>14</v>
  </rv>
  <rv s="5">
    <fb>2859.53</fb>
    <v>14</v>
  </rv>
  <rv s="5">
    <fb>43605</fb>
    <v>13</v>
  </rv>
  <rv s="5">
    <fb>57.232999999999997</fb>
    <v>14</v>
  </rv>
  <rv s="5">
    <fb>92.948499999999996</fb>
    <v>14</v>
  </rv>
  <rv s="5">
    <fb>62.04</fb>
    <v>14</v>
  </rv>
  <rv s="5">
    <fb>480.12</fb>
    <v>14</v>
  </rv>
  <rv s="5">
    <fb>168.62</fb>
    <v>14</v>
  </rv>
  <rv s="5">
    <fb>253.49</fb>
    <v>14</v>
  </rv>
  <rv s="5">
    <fb>49.837499999999999</fb>
    <v>14</v>
  </rv>
  <rv s="5">
    <fb>107.33</fb>
    <v>14</v>
  </rv>
  <rv s="5">
    <fb>245.99</fb>
    <v>14</v>
  </rv>
  <rv s="5">
    <fb>2840.23</fb>
    <v>14</v>
  </rv>
  <rv s="5">
    <fb>43606</fb>
    <v>13</v>
  </rv>
  <rv s="5">
    <fb>57.722000000000001</fb>
    <v>14</v>
  </rv>
  <rv s="5">
    <fb>92.876000000000005</fb>
    <v>14</v>
  </rv>
  <rv s="5">
    <fb>62.4</fb>
    <v>14</v>
  </rv>
  <rv s="5">
    <fb>484.45</fb>
    <v>14</v>
  </rv>
  <rv s="5">
    <fb>169.6</fb>
    <v>14</v>
  </rv>
  <rv s="5">
    <fb>255.36</fb>
    <v>14</v>
  </rv>
  <rv s="5">
    <fb>49.725000000000001</fb>
    <v>14</v>
  </rv>
  <rv s="5">
    <fb>3.8765000000000001</fb>
    <v>14</v>
  </rv>
  <rv s="5">
    <fb>106.37</fb>
    <v>14</v>
  </rv>
  <rv s="5">
    <fb>249.94</fb>
    <v>14</v>
  </rv>
  <rv s="5">
    <fb>2864.36</fb>
    <v>14</v>
  </rv>
  <rv s="5">
    <fb>43607</fb>
    <v>13</v>
  </rv>
  <rv s="5">
    <fb>57.792499999999997</fb>
    <v>14</v>
  </rv>
  <rv s="5">
    <fb>92.983999999999995</fb>
    <v>14</v>
  </rv>
  <rv s="5">
    <fb>61.5</fb>
    <v>14</v>
  </rv>
  <rv s="5">
    <fb>493.99</fb>
    <v>14</v>
  </rv>
  <rv s="5">
    <fb>169.31</fb>
    <v>14</v>
  </rv>
  <rv s="5">
    <fb>256.89999999999998</fb>
    <v>14</v>
  </rv>
  <rv s="5">
    <fb>50.482500000000002</fb>
    <v>14</v>
  </rv>
  <rv s="5">
    <fb>38.340000000000003</fb>
    <v>14</v>
  </rv>
  <rv s="5">
    <fb>3.8050000000000002</fb>
    <v>14</v>
  </rv>
  <rv s="5">
    <fb>249.34</fb>
    <v>14</v>
  </rv>
  <rv s="5">
    <fb>2856.27</fb>
    <v>14</v>
  </rv>
  <rv s="5">
    <fb>43608</fb>
    <v>13</v>
  </rv>
  <rv s="5">
    <fb>57.267000000000003</fb>
    <v>14</v>
  </rv>
  <rv s="5">
    <fb>90.774000000000001</fb>
    <v>14</v>
  </rv>
  <rv s="5">
    <fb>61.05</fb>
    <v>14</v>
  </rv>
  <rv s="5">
    <fb>496.26</fb>
    <v>14</v>
  </rv>
  <rv s="5">
    <fb>166.44</fb>
    <v>14</v>
  </rv>
  <rv s="5">
    <fb>249.73</fb>
    <v>14</v>
  </rv>
  <rv s="5">
    <fb>50.8825</fb>
    <v>14</v>
  </rv>
  <rv s="5">
    <fb>3.6829999999999998</fb>
    <v>14</v>
  </rv>
  <rv s="5">
    <fb>106.76</fb>
    <v>14</v>
  </rv>
  <rv s="5">
    <fb>246.5</fb>
    <v>14</v>
  </rv>
  <rv s="5">
    <fb>2822.24</fb>
    <v>14</v>
  </rv>
  <rv s="5">
    <fb>43609</fb>
    <v>13</v>
  </rv>
  <rv s="5">
    <fb>56.930500000000002</fb>
    <v>14</v>
  </rv>
  <rv s="5">
    <fb>91.164000000000001</fb>
    <v>14</v>
  </rv>
  <rv s="5">
    <fb>61.35</fb>
    <v>14</v>
  </rv>
  <rv s="5">
    <fb>496.52</fb>
    <v>14</v>
  </rv>
  <rv s="5">
    <fb>166.68</fb>
    <v>14</v>
  </rv>
  <rv s="5">
    <fb>251.48</fb>
    <v>14</v>
  </rv>
  <rv s="5">
    <fb>50.842500000000001</fb>
    <v>14</v>
  </rv>
  <rv s="5">
    <fb>3.6288</fb>
    <v>14</v>
  </rv>
  <rv s="5">
    <fb>106.69</fb>
    <v>14</v>
  </rv>
  <rv s="5">
    <fb>247.63</fb>
    <v>14</v>
  </rv>
  <rv s="5">
    <fb>2826.06</fb>
    <v>14</v>
  </rv>
  <rv s="5">
    <fb>43613</fb>
    <v>13</v>
  </rv>
  <rv s="5">
    <fb>56.978000000000002</fb>
    <v>14</v>
  </rv>
  <rv s="5">
    <fb>91.8215</fb>
    <v>14</v>
  </rv>
  <rv s="5">
    <fb>61.2</fb>
    <v>14</v>
  </rv>
  <rv s="5">
    <fb>491.23</fb>
    <v>14</v>
  </rv>
  <rv s="5">
    <fb>165.26</fb>
    <v>14</v>
  </rv>
  <rv s="5">
    <fb>253.43</fb>
    <v>14</v>
  </rv>
  <rv s="5">
    <fb>50.292499999999997</fb>
    <v>14</v>
  </rv>
  <rv s="5">
    <fb>36.5</fb>
    <v>14</v>
  </rv>
  <rv s="5">
    <fb>3.5832999999999999</fb>
    <v>14</v>
  </rv>
  <rv s="5">
    <fb>104.46</fb>
    <v>14</v>
  </rv>
  <rv s="5">
    <fb>242.06</fb>
    <v>14</v>
  </rv>
  <rv s="5">
    <fb>2802.39</fb>
    <v>14</v>
  </rv>
  <rv s="5">
    <fb>43614</fb>
    <v>13</v>
  </rv>
  <rv s="5">
    <fb>55.997</fb>
    <v>14</v>
  </rv>
  <rv s="5">
    <fb>90.959500000000006</fb>
    <v>14</v>
  </rv>
  <rv s="5">
    <fb>60.5</fb>
    <v>14</v>
  </rv>
  <rv s="5">
    <fb>482.55</fb>
    <v>14</v>
  </rv>
  <rv s="5">
    <fb>164.37</fb>
    <v>14</v>
  </rv>
  <rv s="5">
    <fb>253.56</fb>
    <v>14</v>
  </rv>
  <rv s="5">
    <fb>49.68</fb>
    <v>14</v>
  </rv>
  <rv s="5">
    <fb>36.18</fb>
    <v>14</v>
  </rv>
  <rv s="5">
    <fb>3.5085000000000002</fb>
    <v>14</v>
  </rv>
  <rv s="5">
    <fb>104.19</fb>
    <v>14</v>
  </rv>
  <rv s="5">
    <fb>242.4</fb>
    <v>14</v>
  </rv>
  <rv s="5">
    <fb>43615</fb>
    <v>13</v>
  </rv>
  <rv s="5">
    <fb>56.070500000000003</fb>
    <v>14</v>
  </rv>
  <rv s="5">
    <fb>90.816000000000003</fb>
    <v>14</v>
  </rv>
  <rv s="5">
    <fb>61.04</fb>
    <v>14</v>
  </rv>
  <rv s="5">
    <fb>487.31</fb>
    <v>14</v>
  </rv>
  <rv s="5">
    <fb>165.45</fb>
    <v>14</v>
  </rv>
  <rv s="5">
    <fb>254.19</fb>
    <v>14</v>
  </rv>
  <rv s="5">
    <fb>49.734999999999999</fb>
    <v>14</v>
  </rv>
  <rv s="5">
    <fb>35.18</fb>
    <v>14</v>
  </rv>
  <rv s="5">
    <fb>3.4777999999999998</fb>
    <v>14</v>
  </rv>
  <rv s="5">
    <fb>105.33</fb>
    <v>14</v>
  </rv>
  <rv s="5">
    <fb>243.5</fb>
    <v>14</v>
  </rv>
  <rv s="5">
    <fb>2788.86</fb>
    <v>14</v>
  </rv>
  <rv s="5">
    <fb>43616</fb>
    <v>13</v>
  </rv>
  <rv s="5">
    <fb>55.325000000000003</fb>
    <v>14</v>
  </rv>
  <rv s="5">
    <fb>88.753500000000003</fb>
    <v>14</v>
  </rv>
  <rv s="5">
    <fb>61.39</fb>
    <v>14</v>
  </rv>
  <rv s="5">
    <fb>485.79</fb>
    <v>14</v>
  </rv>
  <rv s="5">
    <fb>164.31</fb>
    <v>14</v>
  </rv>
  <rv s="5">
    <fb>251.49</fb>
    <v>14</v>
  </rv>
  <rv s="5">
    <fb>49.552500000000002</fb>
    <v>14</v>
  </rv>
  <rv s="5">
    <fb>34.69</fb>
    <v>14</v>
  </rv>
  <rv s="5">
    <fb>3.3864999999999998</fb>
    <v>14</v>
  </rv>
  <rv s="5">
    <fb>102.91</fb>
    <v>14</v>
  </rv>
  <rv s="5">
    <fb>241.8</fb>
    <v>14</v>
  </rv>
  <rv s="5">
    <fb>2752.06</fb>
    <v>14</v>
  </rv>
  <rv s="5">
    <fb>43619</fb>
    <v>13</v>
  </rv>
  <rv s="5">
    <fb>51.936999999999998</fb>
    <v>14</v>
  </rv>
  <rv s="5">
    <fb>84.634500000000003</fb>
    <v>14</v>
  </rv>
  <rv s="5">
    <fb>62.05</fb>
    <v>14</v>
  </rv>
  <rv s="5">
    <fb>485.58</fb>
    <v>14</v>
  </rv>
  <rv s="5">
    <fb>166.47</fb>
    <v>14</v>
  </rv>
  <rv s="5">
    <fb>242.26</fb>
    <v>14</v>
  </rv>
  <rv s="5">
    <fb>49.895000000000003</fb>
    <v>14</v>
  </rv>
  <rv s="5">
    <fb>3.3445</fb>
    <v>14</v>
  </rv>
  <rv s="5">
    <fb>103.8</fb>
    <v>14</v>
  </rv>
  <rv s="5">
    <fb>236.56</fb>
    <v>14</v>
  </rv>
  <rv s="5">
    <fb>2744.45</fb>
    <v>14</v>
  </rv>
  <rv s="5">
    <fb>43620</fb>
    <v>13</v>
  </rv>
  <rv s="5">
    <fb>52.724499999999999</fb>
    <v>14</v>
  </rv>
  <rv s="5">
    <fb>86.477999999999994</fb>
    <v>14</v>
  </rv>
  <rv s="5">
    <fb>63.09</fb>
    <v>14</v>
  </rv>
  <rv s="5">
    <fb>168.15</fb>
    <v>14</v>
  </rv>
  <rv s="5">
    <fb>249.18</fb>
    <v>14</v>
  </rv>
  <rv s="5">
    <fb>49.844999999999999</fb>
    <v>14</v>
  </rv>
  <rv s="5">
    <fb>35.729999999999997</fb>
    <v>14</v>
  </rv>
  <rv s="5">
    <fb>3.5750000000000002</fb>
    <v>14</v>
  </rv>
  <rv s="5">
    <fb>104.68</fb>
    <v>14</v>
  </rv>
  <rv s="5">
    <fb>240.76</fb>
    <v>14</v>
  </rv>
  <rv s="5">
    <fb>2803.27</fb>
    <v>14</v>
  </rv>
  <rv s="5">
    <fb>43621</fb>
    <v>13</v>
  </rv>
  <rv s="5">
    <fb>52.231999999999999</fb>
    <v>14</v>
  </rv>
  <rv s="5">
    <fb>86.924999999999997</fb>
    <v>14</v>
  </rv>
  <rv s="5">
    <fb>64.45</fb>
    <v>14</v>
  </rv>
  <rv s="5">
    <fb>495.29</fb>
    <v>14</v>
  </rv>
  <rv s="5">
    <fb>169.41</fb>
    <v>14</v>
  </rv>
  <rv s="5">
    <fb>256.26</fb>
    <v>14</v>
  </rv>
  <rv s="5">
    <fb>51.162500000000001</fb>
    <v>14</v>
  </rv>
  <rv s="5">
    <fb>34.94</fb>
    <v>14</v>
  </rv>
  <rv s="5">
    <fb>3.532</fb>
    <v>14</v>
  </rv>
  <rv s="5">
    <fb>106.73</fb>
    <v>14</v>
  </rv>
  <rv s="5">
    <fb>242.77</fb>
    <v>14</v>
  </rv>
  <rv s="5">
    <fb>2826.15</fb>
    <v>14</v>
  </rv>
  <rv s="5">
    <fb>43622</fb>
    <v>13</v>
  </rv>
  <rv s="5">
    <fb>52.387999999999998</fb>
    <v>14</v>
  </rv>
  <rv s="5">
    <fb>87.718000000000004</fb>
    <v>14</v>
  </rv>
  <rv s="5">
    <fb>65.66</fb>
    <v>14</v>
  </rv>
  <rv s="5">
    <fb>494.66</fb>
    <v>14</v>
  </rv>
  <rv s="5">
    <fb>170.26</fb>
    <v>14</v>
  </rv>
  <rv s="5">
    <fb>257.83</fb>
    <v>14</v>
  </rv>
  <rv s="5">
    <fb>51.44</fb>
    <v>14</v>
  </rv>
  <rv s="5">
    <fb>35.049999999999997</fb>
    <v>14</v>
  </rv>
  <rv s="5">
    <fb>3.5945</fb>
    <v>14</v>
  </rv>
  <rv s="5">
    <fb>107.38</fb>
    <v>14</v>
  </rv>
  <rv s="5">
    <fb>241.82</fb>
    <v>14</v>
  </rv>
  <rv s="5">
    <fb>2843.49</fb>
    <v>14</v>
  </rv>
  <rv s="5">
    <fb>43623</fb>
    <v>13</v>
  </rv>
  <rv s="5">
    <fb>53.418500000000002</fb>
    <v>14</v>
  </rv>
  <rv s="5">
    <fb>90.201499999999996</fb>
    <v>14</v>
  </rv>
  <rv s="5">
    <fb>65.900000000000006</fb>
    <v>14</v>
  </rv>
  <rv s="5">
    <fb>499.6</fb>
    <v>14</v>
  </rv>
  <rv s="5">
    <fb>172.26</fb>
    <v>14</v>
  </rv>
  <rv s="5">
    <fb>265.8</fb>
    <v>14</v>
  </rv>
  <rv s="5">
    <fb>51.097499999999997</fb>
    <v>14</v>
  </rv>
  <rv s="5">
    <fb>35.6</fb>
    <v>14</v>
  </rv>
  <rv s="5">
    <fb>3.6375000000000002</fb>
    <v>14</v>
  </rv>
  <rv s="5">
    <fb>108.77</fb>
    <v>14</v>
  </rv>
  <rv s="5">
    <fb>246.77</fb>
    <v>14</v>
  </rv>
  <rv s="5">
    <fb>2873.34</fb>
    <v>14</v>
  </rv>
  <rv s="5">
    <fb>43626</fb>
    <v>13</v>
  </rv>
  <rv s="5">
    <fb>54.137999999999998</fb>
    <v>14</v>
  </rv>
  <rv s="5">
    <fb>93.031499999999994</fb>
    <v>14</v>
  </rv>
  <rv s="5">
    <fb>66.319999999999993</fb>
    <v>14</v>
  </rv>
  <rv s="5">
    <fb>506.02</fb>
    <v>14</v>
  </rv>
  <rv s="5">
    <fb>171.28</fb>
    <v>14</v>
  </rv>
  <rv s="5">
    <fb>266.10000000000002</fb>
    <v>14</v>
  </rv>
  <rv s="5">
    <fb>50.854999999999997</fb>
    <v>14</v>
  </rv>
  <rv s="5">
    <fb>35.47</fb>
    <v>14</v>
  </rv>
  <rv s="5">
    <fb>3.7107999999999999</fb>
    <v>14</v>
  </rv>
  <rv s="5">
    <fb>108.72</fb>
    <v>14</v>
  </rv>
  <rv s="5">
    <fb>248.14</fb>
    <v>14</v>
  </rv>
  <rv s="5">
    <fb>2886.73</fb>
    <v>14</v>
  </rv>
  <rv s="5">
    <fb>43627</fb>
    <v>13</v>
  </rv>
  <rv s="5">
    <fb>54.052</fb>
    <v>14</v>
  </rv>
  <rv s="5">
    <fb>93.185000000000002</fb>
    <v>14</v>
  </rv>
  <rv s="5">
    <fb>66.44</fb>
    <v>14</v>
  </rv>
  <rv s="5">
    <fb>504.24</fb>
    <v>14</v>
  </rv>
  <rv s="5">
    <fb>171.65</fb>
    <v>14</v>
  </rv>
  <rv s="5">
    <fb>263.66000000000003</fb>
    <v>14</v>
  </rv>
  <rv s="5">
    <fb>50.4925</fb>
    <v>14</v>
  </rv>
  <rv s="5">
    <fb>36.69</fb>
    <v>14</v>
  </rv>
  <rv s="5">
    <fb>3.7688000000000001</fb>
    <v>14</v>
  </rv>
  <rv s="5">
    <fb>245.87</fb>
    <v>14</v>
  </rv>
  <rv s="5">
    <fb>2885.72</fb>
    <v>14</v>
  </rv>
  <rv s="5">
    <fb>43628</fb>
    <v>13</v>
  </rv>
  <rv s="5">
    <fb>53.954999999999998</fb>
    <v>14</v>
  </rv>
  <rv s="5">
    <fb>92.766000000000005</fb>
    <v>14</v>
  </rv>
  <rv s="5">
    <fb>66.599999999999994</fb>
    <v>14</v>
  </rv>
  <rv s="5">
    <fb>503.67</fb>
    <v>14</v>
  </rv>
  <rv s="5">
    <fb>172.9</fb>
    <v>14</v>
  </rv>
  <rv s="5">
    <fb>263.85000000000002</fb>
    <v>14</v>
  </rv>
  <rv s="5">
    <fb>51.137500000000003</fb>
    <v>14</v>
  </rv>
  <rv s="5">
    <fb>35.58</fb>
    <v>14</v>
  </rv>
  <rv s="5">
    <fb>3.6549999999999998</fb>
    <v>14</v>
  </rv>
  <rv s="5">
    <fb>109.68</fb>
    <v>14</v>
  </rv>
  <rv s="5">
    <fb>244.5</fb>
    <v>14</v>
  </rv>
  <rv s="5">
    <fb>2879.84</fb>
    <v>14</v>
  </rv>
  <rv s="5">
    <fb>43629</fb>
    <v>13</v>
  </rv>
  <rv s="5">
    <fb>54.5505</fb>
    <v>14</v>
  </rv>
  <rv s="5">
    <fb>93.515000000000001</fb>
    <v>14</v>
  </rv>
  <rv s="5">
    <fb>64.92</fb>
    <v>14</v>
  </rv>
  <rv s="5">
    <fb>507.3</fb>
    <v>14</v>
  </rv>
  <rv s="5">
    <fb>173.19</fb>
    <v>14</v>
  </rv>
  <rv s="5">
    <fb>261.2</fb>
    <v>14</v>
  </rv>
  <rv s="5">
    <fb>51.192500000000003</fb>
    <v>14</v>
  </rv>
  <rv s="5">
    <fb>36.79</fb>
    <v>14</v>
  </rv>
  <rv s="5">
    <fb>3.7065000000000001</fb>
    <v>14</v>
  </rv>
  <rv s="5">
    <fb>110.91</fb>
    <v>14</v>
  </rv>
  <rv s="5">
    <fb>244.96</fb>
    <v>14</v>
  </rv>
  <rv s="5">
    <fb>2891.64</fb>
    <v>14</v>
  </rv>
  <rv s="5">
    <fb>43630</fb>
    <v>13</v>
  </rv>
  <rv s="5">
    <fb>54.314999999999998</fb>
    <v>14</v>
  </rv>
  <rv s="5">
    <fb>93.483500000000006</fb>
    <v>14</v>
  </rv>
  <rv s="5">
    <fb>65.41</fb>
    <v>14</v>
  </rv>
  <rv s="5">
    <fb>509.92</fb>
    <v>14</v>
  </rv>
  <rv s="5">
    <fb>172.81</fb>
    <v>14</v>
  </rv>
  <rv s="5">
    <fb>260.10000000000002</fb>
    <v>14</v>
  </rv>
  <rv s="5">
    <fb>51.74</fb>
    <v>14</v>
  </rv>
  <rv s="5">
    <fb>35.93</fb>
    <v>14</v>
  </rv>
  <rv s="5">
    <fb>3.6160000000000001</fb>
    <v>14</v>
  </rv>
  <rv s="5">
    <fb>111.2</fb>
    <v>14</v>
  </rv>
  <rv s="5">
    <fb>245.37</fb>
    <v>14</v>
  </rv>
  <rv s="5">
    <fb>2886.98</fb>
    <v>14</v>
  </rv>
  <rv s="5">
    <fb>43633</fb>
    <v>13</v>
  </rv>
  <rv s="5">
    <fb>54.694499999999998</fb>
    <v>14</v>
  </rv>
  <rv s="5">
    <fb>94.301500000000004</fb>
    <v>14</v>
  </rv>
  <rv s="5">
    <fb>65.319999999999993</fb>
    <v>14</v>
  </rv>
  <rv s="5">
    <fb>511.48</fb>
    <v>14</v>
  </rv>
  <rv s="5">
    <fb>259.2</fb>
    <v>14</v>
  </rv>
  <rv s="5">
    <fb>51.592500000000001</fb>
    <v>14</v>
  </rv>
  <rv s="5">
    <fb>3.6257999999999999</fb>
    <v>14</v>
  </rv>
  <rv s="5">
    <fb>110.99</fb>
    <v>14</v>
  </rv>
  <rv s="5">
    <fb>2889.67</fb>
    <v>14</v>
  </rv>
  <rv s="5">
    <fb>43634</fb>
    <v>13</v>
  </rv>
  <rv s="5">
    <fb>55.262</fb>
    <v>14</v>
  </rv>
  <rv s="5">
    <fb>95.0685</fb>
    <v>14</v>
  </rv>
  <rv s="5">
    <fb>66.45</fb>
    <v>14</v>
  </rv>
  <rv s="5">
    <fb>503.23</fb>
    <v>14</v>
  </rv>
  <rv s="5">
    <fb>175.75</fb>
    <v>14</v>
  </rv>
  <rv s="5">
    <fb>51.354999999999997</fb>
    <v>14</v>
  </rv>
  <rv s="5">
    <fb>109.6</fb>
    <v>14</v>
  </rv>
  <rv s="5">
    <fb>245.7</fb>
    <v>14</v>
  </rv>
  <rv s="5">
    <fb>2917.75</fb>
    <v>14</v>
  </rv>
  <rv s="5">
    <fb>43635</fb>
    <v>13</v>
  </rv>
  <rv s="5">
    <fb>55.225499999999997</fb>
    <v>14</v>
  </rv>
  <rv s="5">
    <fb>95.439499999999995</fb>
    <v>14</v>
  </rv>
  <rv s="5">
    <fb>511.17</fb>
    <v>14</v>
  </rv>
  <rv s="5">
    <fb>175.41</fb>
    <v>14</v>
  </rv>
  <rv s="5">
    <fb>259.87</fb>
    <v>14</v>
  </rv>
  <rv s="5">
    <fb>51.56</fb>
    <v>14</v>
  </rv>
  <rv s="5">
    <fb>3.8279999999999998</fb>
    <v>14</v>
  </rv>
  <rv s="5">
    <fb>110.42</fb>
    <v>14</v>
  </rv>
  <rv s="5">
    <fb>250.19</fb>
    <v>14</v>
  </rv>
  <rv s="5">
    <fb>2926.46</fb>
    <v>14</v>
  </rv>
  <rv s="5">
    <fb>43636</fb>
    <v>13</v>
  </rv>
  <rv s="5">
    <fb>55.66</fb>
    <v>14</v>
  </rv>
  <rv s="5">
    <fb>95.909499999999994</fb>
    <v>14</v>
  </rv>
  <rv s="5">
    <fb>67.25</fb>
    <v>14</v>
  </rv>
  <rv s="5">
    <fb>508.37</fb>
    <v>14</v>
  </rv>
  <rv s="5">
    <fb>176.29</fb>
    <v>14</v>
  </rv>
  <rv s="5">
    <fb>266.79000000000002</fb>
    <v>14</v>
  </rv>
  <rv s="5">
    <fb>51.594999999999999</fb>
    <v>14</v>
  </rv>
  <rv s="5">
    <fb>3.8525</fb>
    <v>14</v>
  </rv>
  <rv s="5">
    <fb>247.76</fb>
    <v>14</v>
  </rv>
  <rv s="5">
    <fb>2954.18</fb>
    <v>14</v>
  </rv>
  <rv s="5">
    <fb>43637</fb>
    <v>13</v>
  </rv>
  <rv s="5">
    <fb>56.268500000000003</fb>
    <v>14</v>
  </rv>
  <rv s="5">
    <fb>95.564999999999998</fb>
    <v>14</v>
  </rv>
  <rv s="5">
    <fb>508.09</fb>
    <v>14</v>
  </rv>
  <rv s="5">
    <fb>174.31</fb>
    <v>14</v>
  </rv>
  <rv s="5">
    <fb>264.47000000000003</fb>
    <v>14</v>
  </rv>
  <rv s="5">
    <fb>51.887500000000003</fb>
    <v>14</v>
  </rv>
  <rv s="5">
    <fb>38.880000000000003</fb>
    <v>14</v>
  </rv>
  <rv s="5">
    <fb>3.794</fb>
    <v>14</v>
  </rv>
  <rv s="5">
    <fb>252.28</fb>
    <v>14</v>
  </rv>
  <rv s="5">
    <fb>2950.46</fb>
    <v>14</v>
  </rv>
  <rv s="5">
    <fb>43640</fb>
    <v>13</v>
  </rv>
  <rv s="5">
    <fb>55.835000000000001</fb>
    <v>14</v>
  </rv>
  <rv s="5">
    <fb>95.694999999999993</fb>
    <v>14</v>
  </rv>
  <rv s="5">
    <fb>67.180000000000007</fb>
    <v>14</v>
  </rv>
  <rv s="5">
    <fb>510.04</fb>
    <v>14</v>
  </rv>
  <rv s="5">
    <fb>174.61</fb>
    <v>14</v>
  </rv>
  <rv s="5">
    <fb>52.05</fb>
    <v>14</v>
  </rv>
  <rv s="5">
    <fb>38.65</fb>
    <v>14</v>
  </rv>
  <rv s="5">
    <fb>3.8165</fb>
    <v>14</v>
  </rv>
  <rv s="5">
    <fb>112.33</fb>
    <v>14</v>
  </rv>
  <rv s="5">
    <fb>249.64</fb>
    <v>14</v>
  </rv>
  <rv s="5">
    <fb>2945.35</fb>
    <v>14</v>
  </rv>
  <rv s="5">
    <fb>43641</fb>
    <v>13</v>
  </rv>
  <rv s="5">
    <fb>54.378999999999998</fb>
    <v>14</v>
  </rv>
  <rv s="5">
    <fb>93.913499999999999</fb>
    <v>14</v>
  </rv>
  <rv s="5">
    <fb>68.06</fb>
    <v>14</v>
  </rv>
  <rv s="5">
    <fb>500.05</fb>
    <v>14</v>
  </rv>
  <rv s="5">
    <fb>173.94</fb>
    <v>14</v>
  </rv>
  <rv s="5">
    <fb>51.555</fb>
    <v>14</v>
  </rv>
  <rv s="5">
    <fb>3.7869999999999999</fb>
    <v>14</v>
  </rv>
  <rv s="5">
    <fb>111.72</fb>
    <v>14</v>
  </rv>
  <rv s="5">
    <fb>247.66</fb>
    <v>14</v>
  </rv>
  <rv s="5">
    <fb>2917.38</fb>
    <v>14</v>
  </rv>
  <rv s="5">
    <fb>43642</fb>
    <v>13</v>
  </rv>
  <rv s="5">
    <fb>54.015999999999998</fb>
    <v>14</v>
  </rv>
  <rv s="5">
    <fb>94.891499999999994</fb>
    <v>14</v>
  </rv>
  <rv s="5">
    <fb>67.75</fb>
    <v>14</v>
  </rv>
  <rv s="5">
    <fb>173.59</fb>
    <v>14</v>
  </rv>
  <rv s="5">
    <fb>261.3</fb>
    <v>14</v>
  </rv>
  <rv s="5">
    <fb>50.767499999999998</fb>
    <v>14</v>
  </rv>
  <rv s="5">
    <fb>3.9815</fb>
    <v>14</v>
  </rv>
  <rv s="5">
    <fb>109.73</fb>
    <v>14</v>
  </rv>
  <rv s="5">
    <fb>243.47</fb>
    <v>14</v>
  </rv>
  <rv s="5">
    <fb>2913.78</fb>
    <v>14</v>
  </rv>
  <rv s="5">
    <fb>43643</fb>
    <v>13</v>
  </rv>
  <rv s="5">
    <fb>53.831499999999998</fb>
    <v>14</v>
  </rv>
  <rv s="5">
    <fb>95.213999999999999</fb>
    <v>14</v>
  </rv>
  <rv s="5">
    <fb>498.19</fb>
    <v>14</v>
  </rv>
  <rv s="5">
    <fb>173.84</fb>
    <v>14</v>
  </rv>
  <rv s="5">
    <fb>261.10000000000002</fb>
    <v>14</v>
  </rv>
  <rv s="5">
    <fb>39.11</fb>
    <v>14</v>
  </rv>
  <rv s="5">
    <fb>4.0808</fb>
    <v>14</v>
  </rv>
  <rv s="5">
    <fb>109.78</fb>
    <v>14</v>
  </rv>
  <rv s="5">
    <fb>246.34</fb>
    <v>14</v>
  </rv>
  <rv s="5">
    <fb>2924.92</fb>
    <v>14</v>
  </rv>
  <rv s="5">
    <fb>43644</fb>
    <v>13</v>
  </rv>
  <rv s="5">
    <fb>54.14</fb>
    <v>14</v>
  </rv>
  <rv s="5">
    <fb>94.6815</fb>
    <v>14</v>
  </rv>
  <rv s="5">
    <fb>69.989999999999995</fb>
    <v>14</v>
  </rv>
  <rv s="5">
    <fb>504.29</fb>
    <v>14</v>
  </rv>
  <rv s="5">
    <fb>264.52999999999997</fb>
    <v>14</v>
  </rv>
  <rv s="5">
    <fb>51.215000000000003</fb>
    <v>14</v>
  </rv>
  <rv s="5">
    <fb>4.1056999999999997</fb>
    <v>14</v>
  </rv>
  <rv s="5">
    <fb>109.65</fb>
    <v>14</v>
  </rv>
  <rv s="5">
    <fb>244.01</fb>
    <v>14</v>
  </rv>
  <rv s="5">
    <fb>2941.76</fb>
    <v>14</v>
  </rv>
  <rv s="5">
    <fb>43647</fb>
    <v>13</v>
  </rv>
  <rv s="5">
    <fb>96.109499999999997</fb>
    <v>14</v>
  </rv>
  <rv s="5">
    <fb>70.260000000000005</fb>
    <v>14</v>
  </rv>
  <rv s="5">
    <fb>504.94</fb>
    <v>14</v>
  </rv>
  <rv s="5">
    <fb>176.81</fb>
    <v>14</v>
  </rv>
  <rv s="5">
    <fb>51.005000000000003</fb>
    <v>14</v>
  </rv>
  <rv s="5">
    <fb>39.32</fb>
    <v>14</v>
  </rv>
  <rv s="5">
    <fb>4.1543000000000001</fb>
    <v>14</v>
  </rv>
  <rv s="5">
    <fb>242.64</fb>
    <v>14</v>
  </rv>
  <rv s="5">
    <fb>2964.33</fb>
    <v>14</v>
  </rv>
  <rv s="5">
    <fb>43648</fb>
    <v>13</v>
  </rv>
  <rv s="5">
    <fb>55.63</fb>
    <v>14</v>
  </rv>
  <rv s="5">
    <fb>96.715500000000006</fb>
    <v>14</v>
  </rv>
  <rv s="5">
    <fb>71.56</fb>
    <v>14</v>
  </rv>
  <rv s="5">
    <fb>514.94000000000005</fb>
    <v>14</v>
  </rv>
  <rv s="5">
    <fb>176.62</fb>
    <v>14</v>
  </rv>
  <rv s="5">
    <fb>270.57</fb>
    <v>14</v>
  </rv>
  <rv s="5">
    <fb>51.914999999999999</fb>
    <v>14</v>
  </rv>
  <rv s="5">
    <fb>39.18</fb>
    <v>14</v>
  </rv>
  <rv s="5">
    <fb>4.0557999999999996</fb>
    <v>14</v>
  </rv>
  <rv s="5">
    <fb>111.48</fb>
    <v>14</v>
  </rv>
  <rv s="5">
    <fb>243.97</fb>
    <v>14</v>
  </rv>
  <rv s="5">
    <fb>2973.01</fb>
    <v>14</v>
  </rv>
  <rv s="5">
    <fb>43649</fb>
    <v>13</v>
  </rv>
  <rv s="5">
    <fb>56.149500000000003</fb>
    <v>14</v>
  </rv>
  <rv s="5">
    <fb>96.95</fb>
    <v>14</v>
  </rv>
  <rv s="5">
    <fb>72.25</fb>
    <v>14</v>
  </rv>
  <rv s="5">
    <fb>518.95000000000005</fb>
    <v>14</v>
  </rv>
  <rv s="5">
    <fb>178.4</fb>
    <v>14</v>
  </rv>
  <rv s="5">
    <fb>273.08</fb>
    <v>14</v>
  </rv>
  <rv s="5">
    <fb>52.182499999999997</fb>
    <v>14</v>
  </rv>
  <rv s="5">
    <fb>39.49</fb>
    <v>14</v>
  </rv>
  <rv s="5">
    <fb>4.0688000000000004</fb>
    <v>14</v>
  </rv>
  <rv s="5">
    <fb>114.08</fb>
    <v>14</v>
  </rv>
  <rv s="5">
    <fb>2995.82</fb>
    <v>14</v>
  </rv>
  <rv s="5">
    <fb>43651</fb>
    <v>13</v>
  </rv>
  <rv s="5">
    <fb>56.633299999999998</fb>
    <v>14</v>
  </rv>
  <rv s="5">
    <fb>97.145499999999998</fb>
    <v>14</v>
  </rv>
  <rv s="5">
    <fb>71.77</fb>
    <v>14</v>
  </rv>
  <rv s="5">
    <fb>518.17999999999995</fb>
    <v>14</v>
  </rv>
  <rv s="5">
    <fb>272.14</fb>
    <v>14</v>
  </rv>
  <rv s="5">
    <fb>52.027500000000003</fb>
    <v>14</v>
  </rv>
  <rv s="5">
    <fb>39.57</fb>
    <v>14</v>
  </rv>
  <rv s="5">
    <fb>4.0057999999999998</fb>
    <v>14</v>
  </rv>
  <rv s="5">
    <fb>113.15</fb>
    <v>14</v>
  </rv>
  <rv s="5">
    <fb>246.99</fb>
    <v>14</v>
  </rv>
  <rv s="5">
    <fb>2990.41</fb>
    <v>14</v>
  </rv>
  <rv s="5">
    <fb>43654</fb>
    <v>13</v>
  </rv>
  <rv s="5">
    <fb>55.839500000000001</fb>
    <v>14</v>
  </rv>
  <rv s="5">
    <fb>97.616</fb>
    <v>14</v>
  </rv>
  <rv s="5">
    <fb>70.599999999999994</fb>
    <v>14</v>
  </rv>
  <rv s="5">
    <fb>519.16</fb>
    <v>14</v>
  </rv>
  <rv s="5">
    <fb>175.67</fb>
    <v>14</v>
  </rv>
  <rv s="5">
    <fb>271.23</fb>
    <v>14</v>
  </rv>
  <rv s="5">
    <fb>52.282499999999999</fb>
    <v>14</v>
  </rv>
  <rv s="5">
    <fb>3.9302999999999999</fb>
    <v>14</v>
  </rv>
  <rv s="5">
    <fb>114.05</fb>
    <v>14</v>
  </rv>
  <rv s="5">
    <fb>247.84</fb>
    <v>14</v>
  </rv>
  <rv s="5">
    <fb>2975.95</fb>
    <v>14</v>
  </rv>
  <rv s="5">
    <fb>43655</fb>
    <v>13</v>
  </rv>
  <rv s="5">
    <fb>56.214500000000001</fb>
    <v>14</v>
  </rv>
  <rv s="5">
    <fb>99.415000000000006</fb>
    <v>14</v>
  </rv>
  <rv s="5">
    <fb>70.92</fb>
    <v>14</v>
  </rv>
  <rv s="5">
    <fb>521.5</fb>
    <v>14</v>
  </rv>
  <rv s="5">
    <fb>273.33999999999997</fb>
    <v>14</v>
  </rv>
  <rv s="5">
    <fb>52.04</fb>
    <v>14</v>
  </rv>
  <rv s="5">
    <fb>40.200000000000003</fb>
    <v>14</v>
  </rv>
  <rv s="5">
    <fb>3.9327999999999999</fb>
    <v>14</v>
  </rv>
  <rv s="5">
    <fb>112.91</fb>
    <v>14</v>
  </rv>
  <rv s="5">
    <fb>246</fb>
    <v>14</v>
  </rv>
  <rv s="5">
    <fb>2979.63</fb>
    <v>14</v>
  </rv>
  <rv s="5">
    <fb>43656</fb>
    <v>13</v>
  </rv>
  <rv s="5">
    <fb>57.045499999999997</fb>
    <v>14</v>
  </rv>
  <rv s="5">
    <fb>100.87050000000001</fb>
    <v>14</v>
  </rv>
  <rv s="5">
    <fb>70.430000000000007</fb>
    <v>14</v>
  </rv>
  <rv s="5">
    <fb>527.16</fb>
    <v>14</v>
  </rv>
  <rv s="5">
    <fb>174.46</fb>
    <v>14</v>
  </rv>
  <rv s="5">
    <fb>275.38</fb>
    <v>14</v>
  </rv>
  <rv s="5">
    <fb>52.37</fb>
    <v>14</v>
  </rv>
  <rv s="5">
    <fb>40.619999999999997</fb>
    <v>14</v>
  </rv>
  <rv s="5">
    <fb>4.0015000000000001</fb>
    <v>14</v>
  </rv>
  <rv s="5">
    <fb>113.75</fb>
    <v>14</v>
  </rv>
  <rv s="5">
    <fb>2993.07</fb>
    <v>14</v>
  </rv>
  <rv s="5">
    <fb>43657</fb>
    <v>13</v>
  </rv>
  <rv s="5">
    <fb>57.204000000000001</fb>
    <v>14</v>
  </rv>
  <rv s="5">
    <fb>100.0535</fb>
    <v>14</v>
  </rv>
  <rv s="5">
    <fb>71.150000000000006</fb>
    <v>14</v>
  </rv>
  <rv s="5">
    <fb>523.88</fb>
    <v>14</v>
  </rv>
  <rv s="5">
    <fb>174.54</fb>
    <v>14</v>
  </rv>
  <rv s="5">
    <fb>278.32</fb>
    <v>14</v>
  </rv>
  <rv s="5">
    <fb>52.6</fb>
    <v>14</v>
  </rv>
  <rv s="5">
    <fb>4.157</fb>
    <v>14</v>
  </rv>
  <rv s="5">
    <fb>114.38</fb>
    <v>14</v>
  </rv>
  <rv s="5">
    <fb>261.16000000000003</fb>
    <v>14</v>
  </rv>
  <rv s="5">
    <fb>2999.91</fb>
    <v>14</v>
  </rv>
  <rv s="5">
    <fb>43658</fb>
    <v>13</v>
  </rv>
  <rv s="5">
    <fb>100.55</fb>
    <v>14</v>
  </rv>
  <rv s="5">
    <fb>70</fb>
    <v>14</v>
  </rv>
  <rv s="5">
    <fb>518.01</fb>
    <v>14</v>
  </rv>
  <rv s="5">
    <fb>177.14</fb>
    <v>14</v>
  </rv>
  <rv s="5">
    <fb>279.54000000000002</fb>
    <v>14</v>
  </rv>
  <rv s="5">
    <fb>4.1902999999999997</fb>
    <v>14</v>
  </rv>
  <rv s="5">
    <fb>114.99</fb>
    <v>14</v>
  </rv>
  <rv s="5">
    <fb>265.89999999999998</fb>
    <v>14</v>
  </rv>
  <rv s="5">
    <fb>3013.77</fb>
    <v>14</v>
  </rv>
  <rv s="5">
    <fb>43661</fb>
    <v>13</v>
  </rv>
  <rv s="5">
    <fb>57.525500000000001</fb>
    <v>14</v>
  </rv>
  <rv s="5">
    <fb>101.04949999999999</fb>
    <v>14</v>
  </rv>
  <rv s="5">
    <fb>69.290000000000006</fb>
    <v>14</v>
  </rv>
  <rv s="5">
    <fb>516.99</fb>
    <v>14</v>
  </rv>
  <rv s="5">
    <fb>175.01</fb>
    <v>14</v>
  </rv>
  <rv s="5">
    <fb>279.37</fb>
    <v>14</v>
  </rv>
  <rv s="5">
    <fb>52.212499999999999</fb>
    <v>14</v>
  </rv>
  <rv s="5">
    <fb>40.47</fb>
    <v>14</v>
  </rv>
  <rv s="5">
    <fb>4.1818</fb>
    <v>14</v>
  </rv>
  <rv s="5">
    <fb>115.48</fb>
    <v>14</v>
  </rv>
  <rv s="5">
    <fb>265.95999999999998</fb>
    <v>14</v>
  </rv>
  <rv s="5">
    <fb>3014.3</fb>
    <v>14</v>
  </rv>
  <rv s="5">
    <fb>43662</fb>
    <v>13</v>
  </rv>
  <rv s="5">
    <fb>57.673000000000002</fb>
    <v>14</v>
  </rv>
  <rv s="5">
    <fb>100.495</fb>
    <v>14</v>
  </rv>
  <rv s="5">
    <fb>514.22</fb>
    <v>14</v>
  </rv>
  <rv s="5">
    <fb>174.78</fb>
    <v>14</v>
  </rv>
  <rv s="5">
    <fb>276.62</fb>
    <v>14</v>
  </rv>
  <rv s="5">
    <fb>51.97</fb>
    <v>14</v>
  </rv>
  <rv s="5">
    <fb>4.1769999999999996</fb>
    <v>14</v>
  </rv>
  <rv s="5">
    <fb>115.89</fb>
    <v>14</v>
  </rv>
  <rv s="5">
    <fb>264.66000000000003</fb>
    <v>14</v>
  </rv>
  <rv s="5">
    <fb>3004.04</fb>
    <v>14</v>
  </rv>
  <rv s="5">
    <fb>43663</fb>
    <v>13</v>
  </rv>
  <rv s="5">
    <fb>57.337000000000003</fb>
    <v>14</v>
  </rv>
  <rv s="5">
    <fb>99.601500000000001</fb>
    <v>14</v>
  </rv>
  <rv s="5">
    <fb>68.510000000000005</fb>
    <v>14</v>
  </rv>
  <rv s="5">
    <fb>512.17999999999995</fb>
    <v>14</v>
  </rv>
  <rv s="5">
    <fb>275.27999999999997</fb>
    <v>14</v>
  </rv>
  <rv s="5">
    <fb>52.477499999999999</fb>
    <v>14</v>
  </rv>
  <rv s="5">
    <fb>4.2427999999999999</fb>
    <v>14</v>
  </rv>
  <rv s="5">
    <fb>115.94</fb>
    <v>14</v>
  </rv>
  <rv s="5">
    <fb>266.64999999999998</fb>
    <v>14</v>
  </rv>
  <rv s="5">
    <fb>2984.42</fb>
    <v>14</v>
  </rv>
  <rv s="5">
    <fb>43664</fb>
    <v>13</v>
  </rv>
  <rv s="5">
    <fb>57.362000000000002</fb>
    <v>14</v>
  </rv>
  <rv s="5">
    <fb>98.894999999999996</fb>
    <v>14</v>
  </rv>
  <rv s="5">
    <fb>70.900000000000006</fb>
    <v>14</v>
  </rv>
  <rv s="5">
    <fb>512.16999999999996</fb>
    <v>14</v>
  </rv>
  <rv s="5">
    <fb>173.88</fb>
    <v>14</v>
  </rv>
  <rv s="5">
    <fb>276.77999999999997</fb>
    <v>14</v>
  </rv>
  <rv s="5">
    <fb>53.09</fb>
    <v>14</v>
  </rv>
  <rv s="5">
    <fb>38.78</fb>
    <v>14</v>
  </rv>
  <rv s="5">
    <fb>4.2545000000000002</fb>
    <v>14</v>
  </rv>
  <rv s="5">
    <fb>115.44</fb>
    <v>14</v>
  </rv>
  <rv s="5">
    <fb>260.60000000000002</fb>
    <v>14</v>
  </rv>
  <rv s="5">
    <fb>2995.11</fb>
    <v>14</v>
  </rv>
  <rv s="5">
    <fb>43665</fb>
    <v>13</v>
  </rv>
  <rv s="5">
    <fb>56.577500000000001</fb>
    <v>14</v>
  </rv>
  <rv s="5">
    <fb>98.225999999999999</fb>
    <v>14</v>
  </rv>
  <rv s="5">
    <fb>70.7</fb>
    <v>14</v>
  </rv>
  <rv s="5">
    <fb>506.61</fb>
    <v>14</v>
  </rv>
  <rv s="5">
    <fb>172.99</fb>
    <v>14</v>
  </rv>
  <rv s="5">
    <fb>275.60000000000002</fb>
    <v>14</v>
  </rv>
  <rv s="5">
    <fb>52.432499999999997</fb>
    <v>14</v>
  </rv>
  <rv s="5">
    <fb>38.71</fb>
    <v>14</v>
  </rv>
  <rv s="5">
    <fb>4.2110000000000003</fb>
    <v>14</v>
  </rv>
  <rv s="5">
    <fb>115.01</fb>
    <v>14</v>
  </rv>
  <rv s="5">
    <fb>256.64999999999998</fb>
    <v>14</v>
  </rv>
  <rv s="5">
    <fb>2976.61</fb>
    <v>14</v>
  </rv>
  <rv s="5">
    <fb>43668</fb>
    <v>13</v>
  </rv>
  <rv s="5">
    <fb>56.960500000000003</fb>
    <v>14</v>
  </rv>
  <rv s="5">
    <fb>99.281499999999994</fb>
    <v>14</v>
  </rv>
  <rv s="5">
    <fb>71.11</fb>
    <v>14</v>
  </rv>
  <rv s="5">
    <fb>506.4</fb>
    <v>14</v>
  </rv>
  <rv s="5">
    <fb>173.58</fb>
    <v>14</v>
  </rv>
  <rv s="5">
    <fb>278.61</fb>
    <v>14</v>
  </rv>
  <rv s="5">
    <fb>52.34</fb>
    <v>14</v>
  </rv>
  <rv s="5">
    <fb>4.2830000000000004</fb>
    <v>14</v>
  </rv>
  <rv s="5">
    <fb>115.3</fb>
    <v>14</v>
  </rv>
  <rv s="5">
    <fb>255.32</fb>
    <v>14</v>
  </rv>
  <rv s="5">
    <fb>2985.03</fb>
    <v>14</v>
  </rv>
  <rv s="5">
    <fb>43669</fb>
    <v>13</v>
  </rv>
  <rv s="5">
    <fb>57.402500000000003</fb>
    <v>14</v>
  </rv>
  <rv s="5">
    <fb>99.724500000000006</fb>
    <v>14</v>
  </rv>
  <rv s="5">
    <fb>507.33</fb>
    <v>14</v>
  </rv>
  <rv s="5">
    <fb>174.86</fb>
    <v>14</v>
  </rv>
  <rv s="5">
    <fb>278.97000000000003</fb>
    <v>14</v>
  </rv>
  <rv s="5">
    <fb>4.3914999999999997</fb>
    <v>14</v>
  </rv>
  <rv s="5">
    <fb>113.85</fb>
    <v>14</v>
  </rv>
  <rv s="5">
    <fb>255.01</fb>
    <v>14</v>
  </rv>
  <rv s="5">
    <fb>3005.47</fb>
    <v>14</v>
  </rv>
  <rv s="5">
    <fb>43670</fb>
    <v>13</v>
  </rv>
  <rv s="5">
    <fb>56.986499999999999</fb>
    <v>14</v>
  </rv>
  <rv s="5">
    <fb>100.04049999999999</fb>
    <v>14</v>
  </rv>
  <rv s="5">
    <fb>72.03</fb>
    <v>14</v>
  </rv>
  <rv s="5">
    <fb>508.32</fb>
    <v>14</v>
  </rv>
  <rv s="5">
    <fb>173.96</fb>
    <v>14</v>
  </rv>
  <rv s="5">
    <fb>280.25</fb>
    <v>14</v>
  </rv>
  <rv s="5">
    <fb>40.33</fb>
    <v>14</v>
  </rv>
  <rv s="5">
    <fb>4.4664999999999999</fb>
    <v>14</v>
  </rv>
  <rv s="5">
    <fb>112.6</fb>
    <v>14</v>
  </rv>
  <rv s="5">
    <fb>251.13</fb>
    <v>14</v>
  </rv>
  <rv s="5">
    <fb>3019.56</fb>
    <v>14</v>
  </rv>
  <rv s="5">
    <fb>43671</fb>
    <v>13</v>
  </rv>
  <rv s="5">
    <fb>56.796999999999997</fb>
    <v>14</v>
  </rv>
  <rv s="5">
    <fb>98.691000000000003</fb>
    <v>14</v>
  </rv>
  <rv s="5">
    <fb>71.290000000000006</fb>
    <v>14</v>
  </rv>
  <rv s="5">
    <fb>490.48</fb>
    <v>14</v>
  </rv>
  <rv s="5">
    <fb>173.77</fb>
    <v>14</v>
  </rv>
  <rv s="5">
    <fb>279.35000000000002</fb>
    <v>14</v>
  </rv>
  <rv s="5">
    <fb>51.907499999999999</fb>
    <v>14</v>
  </rv>
  <rv s="5">
    <fb>4.3345000000000002</fb>
    <v>14</v>
  </rv>
  <rv s="5">
    <fb>112.77</fb>
    <v>14</v>
  </rv>
  <rv s="5">
    <fb>248.7</fb>
    <v>14</v>
  </rv>
  <rv s="5">
    <fb>3003.67</fb>
    <v>14</v>
  </rv>
  <rv s="5">
    <fb>43672</fb>
    <v>13</v>
  </rv>
  <rv s="5">
    <fb>62.261000000000003</fb>
    <v>14</v>
  </rv>
  <rv s="5">
    <fb>97.152500000000003</fb>
    <v>14</v>
  </rv>
  <rv s="5">
    <fb>72.14</fb>
    <v>14</v>
  </rv>
  <rv s="5">
    <fb>488.81</fb>
    <v>14</v>
  </rv>
  <rv s="5">
    <fb>173.61</fb>
    <v>14</v>
  </rv>
  <rv s="5">
    <fb>282.07</fb>
    <v>14</v>
  </rv>
  <rv s="5">
    <fb>52.292499999999997</fb>
    <v>14</v>
  </rv>
  <rv s="5">
    <fb>4.3768000000000002</fb>
    <v>14</v>
  </rv>
  <rv s="5">
    <fb>114.73</fb>
    <v>14</v>
  </rv>
  <rv s="5">
    <fb>252.94</fb>
    <v>14</v>
  </rv>
  <rv s="5">
    <fb>3025.86</fb>
    <v>14</v>
  </rv>
  <rv s="5">
    <fb>43675</fb>
    <v>13</v>
  </rv>
  <rv s="5">
    <fb>62.091999999999999</fb>
    <v>14</v>
  </rv>
  <rv s="5">
    <fb>95.622500000000002</fb>
    <v>14</v>
  </rv>
  <rv s="5">
    <fb>486.58</fb>
    <v>14</v>
  </rv>
  <rv s="5">
    <fb>174.53</fb>
    <v>14</v>
  </rv>
  <rv s="5">
    <fb>281.44</fb>
    <v>14</v>
  </rv>
  <rv s="5">
    <fb>52.844999999999999</fb>
    <v>14</v>
  </rv>
  <rv s="5">
    <fb>4.3704999999999998</fb>
    <v>14</v>
  </rv>
  <rv s="5">
    <fb>116</fb>
    <v>14</v>
  </rv>
  <rv s="5">
    <fb>253.82</fb>
    <v>14</v>
  </rv>
  <rv s="5">
    <fb>3020.97</fb>
    <v>14</v>
  </rv>
  <rv s="5">
    <fb>43676</fb>
    <v>13</v>
  </rv>
  <rv s="5">
    <fb>61.4</fb>
    <v>14</v>
  </rv>
  <rv s="5">
    <fb>94.926500000000004</fb>
    <v>14</v>
  </rv>
  <rv s="5">
    <fb>72.78</fb>
    <v>14</v>
  </rv>
  <rv s="5">
    <fb>498.82</fb>
    <v>14</v>
  </rv>
  <rv s="5">
    <fb>173.91</fb>
    <v>14</v>
  </rv>
  <rv s="5">
    <fb>278.16000000000003</fb>
    <v>14</v>
  </rv>
  <rv s="5">
    <fb>52.347499999999997</fb>
    <v>14</v>
  </rv>
  <rv s="5">
    <fb>4.3861999999999997</fb>
    <v>14</v>
  </rv>
  <rv s="5">
    <fb>120.41</fb>
    <v>14</v>
  </rv>
  <rv s="5">
    <fb>254.93</fb>
    <v>14</v>
  </rv>
  <rv s="5">
    <fb>3013.18</fb>
    <v>14</v>
  </rv>
  <rv s="5">
    <fb>43677</fb>
    <v>13</v>
  </rv>
  <rv s="5">
    <fb>60.91</fb>
    <v>14</v>
  </rv>
  <rv s="5">
    <fb>93.338999999999999</fb>
    <v>14</v>
  </rv>
  <rv s="5">
    <fb>71.48</fb>
    <v>14</v>
  </rv>
  <rv s="5">
    <fb>502.1</fb>
    <v>14</v>
  </rv>
  <rv s="5">
    <fb>172.46</fb>
    <v>14</v>
  </rv>
  <rv s="5">
    <fb>272.27</fb>
    <v>14</v>
  </rv>
  <rv s="5">
    <fb>51.792499999999997</fb>
    <v>14</v>
  </rv>
  <rv s="5">
    <fb>39.97</fb>
    <v>14</v>
  </rv>
  <rv s="5">
    <fb>4.218</fb>
    <v>14</v>
  </rv>
  <rv s="5">
    <fb>118.04</fb>
    <v>14</v>
  </rv>
  <rv s="5">
    <fb>249.01</fb>
    <v>14</v>
  </rv>
  <rv s="5">
    <fb>2980.38</fb>
    <v>14</v>
  </rv>
  <rv s="5">
    <fb>43678</fb>
    <v>13</v>
  </rv>
  <rv s="5">
    <fb>60.588999999999999</fb>
    <v>14</v>
  </rv>
  <rv s="5">
    <fb>74.739999999999995</fb>
    <v>14</v>
  </rv>
  <rv s="5">
    <fb>522.75</fb>
    <v>14</v>
  </rv>
  <rv s="5">
    <fb>169.55</fb>
    <v>14</v>
  </rv>
  <rv s="5">
    <fb>274.16000000000003</fb>
    <v>14</v>
  </rv>
  <rv s="5">
    <fb>52.564999999999998</fb>
    <v>14</v>
  </rv>
  <rv s="5">
    <fb>38.51</fb>
    <v>14</v>
  </rv>
  <rv s="5">
    <fb>4.1230000000000002</fb>
    <v>14</v>
  </rv>
  <rv s="5">
    <fb>116.73</fb>
    <v>14</v>
  </rv>
  <rv s="5">
    <fb>249.25</fb>
    <v>14</v>
  </rv>
  <rv s="5">
    <fb>2953.56</fb>
    <v>14</v>
  </rv>
  <rv s="5">
    <fb>43679</fb>
    <v>13</v>
  </rv>
  <rv s="5">
    <fb>59.816000000000003</fb>
    <v>14</v>
  </rv>
  <rv s="5">
    <fb>91.162000000000006</fb>
    <v>14</v>
  </rv>
  <rv s="5">
    <fb>74.73</fb>
    <v>14</v>
  </rv>
  <rv s="5">
    <fb>524.09</fb>
    <v>14</v>
  </rv>
  <rv s="5">
    <fb>269.45</fb>
    <v>14</v>
  </rv>
  <rv s="5">
    <fb>52.852499999999999</fb>
    <v>14</v>
  </rv>
  <rv s="5">
    <fb>37.42</fb>
    <v>14</v>
  </rv>
  <rv s="5">
    <fb>4.0297999999999998</fb>
    <v>14</v>
  </rv>
  <rv s="5">
    <fb>116.44</fb>
    <v>14</v>
  </rv>
  <rv s="5">
    <fb>250.05</fb>
    <v>14</v>
  </rv>
  <rv s="5">
    <fb>2932.05</fb>
    <v>14</v>
  </rv>
  <rv s="5">
    <fb>43682</fb>
    <v>13</v>
  </rv>
  <rv s="5">
    <fb>57.737499999999997</fb>
    <v>14</v>
  </rv>
  <rv s="5">
    <fb>88.256500000000003</fb>
    <v>14</v>
  </rv>
  <rv s="5">
    <fb>73.25</fb>
    <v>14</v>
  </rv>
  <rv s="5">
    <fb>512.67999999999995</fb>
    <v>14</v>
  </rv>
  <rv s="5">
    <fb>162.01</fb>
    <v>14</v>
  </rv>
  <rv s="5">
    <fb>256.83999999999997</fb>
    <v>14</v>
  </rv>
  <rv s="5">
    <fb>52.012500000000003</fb>
    <v>14</v>
  </rv>
  <rv s="5">
    <fb>35.99</fb>
    <v>14</v>
  </rv>
  <rv s="5">
    <fb>3.7698</fb>
    <v>14</v>
  </rv>
  <rv s="5">
    <fb>113.08</fb>
    <v>14</v>
  </rv>
  <rv s="5">
    <fb>2844.74</fb>
    <v>14</v>
  </rv>
  <rv s="5">
    <fb>43683</fb>
    <v>13</v>
  </rv>
  <rv s="5">
    <fb>58.554000000000002</fb>
    <v>14</v>
  </rv>
  <rv s="5">
    <fb>89.391499999999994</fb>
    <v>14</v>
  </rv>
  <rv s="5">
    <fb>73.95</fb>
    <v>14</v>
  </rv>
  <rv s="5">
    <fb>519.86</fb>
    <v>14</v>
  </rv>
  <rv s="5">
    <fb>164.52</fb>
    <v>14</v>
  </rv>
  <rv s="5">
    <fb>264.68</fb>
    <v>14</v>
  </rv>
  <rv s="5">
    <fb>52.85</fb>
    <v>14</v>
  </rv>
  <rv s="5">
    <fb>35.46</fb>
    <v>14</v>
  </rv>
  <rv s="5">
    <fb>3.8088000000000002</fb>
    <v>14</v>
  </rv>
  <rv s="5">
    <fb>114.28</fb>
    <v>14</v>
  </rv>
  <rv s="5">
    <fb>248.28</fb>
    <v>14</v>
  </rv>
  <rv s="5">
    <fb>2881.77</fb>
    <v>14</v>
  </rv>
  <rv s="5">
    <fb>43684</fb>
    <v>13</v>
  </rv>
  <rv s="5">
    <fb>58.795499999999997</fb>
    <v>14</v>
  </rv>
  <rv s="5">
    <fb>89.67</fb>
    <v>14</v>
  </rv>
  <rv s="5">
    <fb>75.290000000000006</fb>
    <v>14</v>
  </rv>
  <rv s="5">
    <fb>533.09</fb>
    <v>14</v>
  </rv>
  <rv s="5">
    <fb>163.38999999999999</fb>
    <v>14</v>
  </rv>
  <rv s="5">
    <fb>269.31</fb>
    <v>14</v>
  </rv>
  <rv s="5">
    <fb>53.217500000000001</fb>
    <v>14</v>
  </rv>
  <rv s="5">
    <fb>3.8473000000000002</fb>
    <v>14</v>
  </rv>
  <rv s="5">
    <fb>115.52</fb>
    <v>14</v>
  </rv>
  <rv s="5">
    <fb>246.45</fb>
    <v>14</v>
  </rv>
  <rv s="5">
    <fb>2883.98</fb>
    <v>14</v>
  </rv>
  <rv s="5">
    <fb>43685</fb>
    <v>13</v>
  </rv>
  <rv s="5">
    <fb>60.3095</fb>
    <v>14</v>
  </rv>
  <rv s="5">
    <fb>91.644499999999994</fb>
    <v>14</v>
  </rv>
  <rv s="5">
    <fb>76.08</fb>
    <v>14</v>
  </rv>
  <rv s="5">
    <fb>549.24</fb>
    <v>14</v>
  </rv>
  <rv s="5">
    <fb>278.04000000000002</fb>
    <v>14</v>
  </rv>
  <rv s="5">
    <fb>53.805</fb>
    <v>14</v>
  </rv>
  <rv s="5">
    <fb>35.21</fb>
    <v>14</v>
  </rv>
  <rv s="5">
    <fb>3.9565000000000001</fb>
    <v>14</v>
  </rv>
  <rv s="5">
    <fb>117.44</fb>
    <v>14</v>
  </rv>
  <rv s="5">
    <fb>247.62</fb>
    <v>14</v>
  </rv>
  <rv s="5">
    <fb>2938.09</fb>
    <v>14</v>
  </rv>
  <rv s="5">
    <fb>43686</fb>
    <v>13</v>
  </rv>
  <rv s="5">
    <fb>59.445</fb>
    <v>14</v>
  </rv>
  <rv s="5">
    <fb>90.379000000000005</fb>
    <v>14</v>
  </rv>
  <rv s="5">
    <fb>77.459999999999994</fb>
    <v>14</v>
  </rv>
  <rv s="5">
    <fb>552.41999999999996</fb>
    <v>14</v>
  </rv>
  <rv s="5">
    <fb>166.67</fb>
    <v>14</v>
  </rv>
  <rv s="5">
    <fb>274.95</fb>
    <v>14</v>
  </rv>
  <rv s="5">
    <fb>54.12</fb>
    <v>14</v>
  </rv>
  <rv s="5">
    <fb>34.53</fb>
    <v>14</v>
  </rv>
  <rv s="5">
    <fb>3.8544999999999998</fb>
    <v>14</v>
  </rv>
  <rv s="5">
    <fb>116.78</fb>
    <v>14</v>
  </rv>
  <rv s="5">
    <fb>248.63</fb>
    <v>14</v>
  </rv>
  <rv s="5">
    <fb>2918.65</fb>
    <v>14</v>
  </rv>
  <rv s="5">
    <fb>43689</fb>
    <v>13</v>
  </rv>
  <rv s="5">
    <fb>58.725000000000001</fb>
    <v>14</v>
  </rv>
  <rv s="5">
    <fb>89.245999999999995</fb>
    <v>14</v>
  </rv>
  <rv s="5">
    <fb>76.84</fb>
    <v>14</v>
  </rv>
  <rv s="5">
    <fb>553.29999999999995</fb>
    <v>14</v>
  </rv>
  <rv s="5">
    <fb>164.69</fb>
    <v>14</v>
  </rv>
  <rv s="5">
    <fb>270</fb>
    <v>14</v>
  </rv>
  <rv s="5">
    <fb>53.862499999999997</fb>
    <v>14</v>
  </rv>
  <rv s="5">
    <fb>34.270000000000003</fb>
    <v>14</v>
  </rv>
  <rv s="5">
    <fb>3.7863000000000002</fb>
    <v>14</v>
  </rv>
  <rv s="5">
    <fb>116.03</fb>
    <v>14</v>
  </rv>
  <rv s="5">
    <fb>243.2</fb>
    <v>14</v>
  </rv>
  <rv s="5">
    <fb>2883.75</fb>
    <v>14</v>
  </rv>
  <rv s="5">
    <fb>43690</fb>
    <v>13</v>
  </rv>
  <rv s="5">
    <fb>59.836500000000001</fb>
    <v>14</v>
  </rv>
  <rv s="5">
    <fb>91.216999999999999</fb>
    <v>14</v>
  </rv>
  <rv s="5">
    <fb>79.290000000000006</fb>
    <v>14</v>
  </rv>
  <rv s="5">
    <fb>548.38</fb>
    <v>14</v>
  </rv>
  <rv s="5">
    <fb>167.98</fb>
    <v>14</v>
  </rv>
  <rv s="5">
    <fb>274.52999999999997</fb>
    <v>14</v>
  </rv>
  <rv s="5">
    <fb>53.905000000000001</fb>
    <v>14</v>
  </rv>
  <rv s="5">
    <fb>34.630000000000003</fb>
    <v>14</v>
  </rv>
  <rv s="5">
    <fb>3.9013</fb>
    <v>14</v>
  </rv>
  <rv s="5">
    <fb>117.25</fb>
    <v>14</v>
  </rv>
  <rv s="5">
    <fb>249.22</fb>
    <v>14</v>
  </rv>
  <rv s="5">
    <fb>2926.32</fb>
    <v>14</v>
  </rv>
  <rv s="5">
    <fb>43691</fb>
    <v>13</v>
  </rv>
  <rv s="5">
    <fb>58.212499999999999</fb>
    <v>14</v>
  </rv>
  <rv s="5">
    <fb>88.147999999999996</fb>
    <v>14</v>
  </rv>
  <rv s="5">
    <fb>76.849999999999994</fb>
    <v>14</v>
  </rv>
  <rv s="5">
    <fb>539.88</fb>
    <v>14</v>
  </rv>
  <rv s="5">
    <fb>164.04</fb>
    <v>14</v>
  </rv>
  <rv s="5">
    <fb>267.14999999999998</fb>
    <v>14</v>
  </rv>
  <rv s="5">
    <fb>53.74</fb>
    <v>14</v>
  </rv>
  <rv s="5">
    <fb>32.340000000000003</fb>
    <v>14</v>
  </rv>
  <rv s="5">
    <fb>3.7517999999999998</fb>
    <v>14</v>
  </rv>
  <rv s="5">
    <fb>115.79</fb>
    <v>14</v>
  </rv>
  <rv s="5">
    <fb>2840.6</fb>
    <v>14</v>
  </rv>
  <rv s="5">
    <fb>43692</fb>
    <v>13</v>
  </rv>
  <rv s="5">
    <fb>58.466000000000001</fb>
    <v>14</v>
  </rv>
  <rv s="5">
    <fb>88.805999999999997</fb>
    <v>14</v>
  </rv>
  <rv s="5">
    <fb>546.34</fb>
    <v>14</v>
  </rv>
  <rv s="5">
    <fb>162.27000000000001</fb>
    <v>14</v>
  </rv>
  <rv s="5">
    <fb>271.89</fb>
    <v>14</v>
  </rv>
  <rv s="5">
    <fb>54.287500000000001</fb>
    <v>14</v>
  </rv>
  <rv s="5">
    <fb>31.65</fb>
    <v>14</v>
  </rv>
  <rv s="5">
    <fb>117.39</fb>
    <v>14</v>
  </rv>
  <rv s="5">
    <fb>244.25</fb>
    <v>14</v>
  </rv>
  <rv s="5">
    <fb>2847.6</fb>
    <v>14</v>
  </rv>
  <rv s="5">
    <fb>43693</fb>
    <v>13</v>
  </rv>
  <rv s="5">
    <fb>58.960500000000003</fb>
    <v>14</v>
  </rv>
  <rv s="5">
    <fb>89.628500000000003</fb>
    <v>14</v>
  </rv>
  <rv s="5">
    <fb>79.63</fb>
    <v>14</v>
  </rv>
  <rv s="5">
    <fb>551.80999999999995</fb>
    <v>14</v>
  </rv>
  <rv s="5">
    <fb>165.03</fb>
    <v>14</v>
  </rv>
  <rv s="5">
    <fb>274.36</fb>
    <v>14</v>
  </rv>
  <rv s="5">
    <fb>54.3825</fb>
    <v>14</v>
  </rv>
  <rv s="5">
    <fb>32.72</fb>
    <v>14</v>
  </rv>
  <rv s="5">
    <fb>3.9889999999999999</fb>
    <v>14</v>
  </rv>
  <rv s="5">
    <fb>119.18</fb>
    <v>14</v>
  </rv>
  <rv s="5">
    <fb>245.69</fb>
    <v>14</v>
  </rv>
  <rv s="5">
    <fb>2888.68</fb>
    <v>14</v>
  </rv>
  <rv s="5">
    <fb>43696</fb>
    <v>13</v>
  </rv>
  <rv s="5">
    <fb>60.021999999999998</fb>
    <v>14</v>
  </rv>
  <rv s="5">
    <fb>90.805999999999997</fb>
    <v>14</v>
  </rv>
  <rv s="5">
    <fb>79.739999999999995</fb>
    <v>14</v>
  </rv>
  <rv s="5">
    <fb>555.73</fb>
    <v>14</v>
  </rv>
  <rv s="5">
    <fb>165.86</fb>
    <v>14</v>
  </rv>
  <rv s="5">
    <fb>278.07</fb>
    <v>14</v>
  </rv>
  <rv s="5">
    <fb>54.74</fb>
    <v>14</v>
  </rv>
  <rv s="5">
    <fb>34.1</fb>
    <v>14</v>
  </rv>
  <rv s="5">
    <fb>4.2694999999999999</fb>
    <v>14</v>
  </rv>
  <rv s="5">
    <fb>120.24</fb>
    <v>14</v>
  </rv>
  <rv s="5">
    <fb>244.71</fb>
    <v>14</v>
  </rv>
  <rv s="5">
    <fb>2923.65</fb>
    <v>14</v>
  </rv>
  <rv s="5">
    <fb>43697</fb>
    <v>13</v>
  </rv>
  <rv s="5">
    <fb>59.176499999999997</fb>
    <v>14</v>
  </rv>
  <rv s="5">
    <fb>90.069000000000003</fb>
    <v>14</v>
  </rv>
  <rv s="5">
    <fb>79.19</fb>
    <v>14</v>
  </rv>
  <rv s="5">
    <fb>547</fb>
    <v>14</v>
  </rv>
  <rv s="5">
    <fb>163.47</fb>
    <v>14</v>
  </rv>
  <rv s="5">
    <fb>277.04000000000002</fb>
    <v>14</v>
  </rv>
  <rv s="5">
    <fb>54.782499999999999</fb>
    <v>14</v>
  </rv>
  <rv s="5">
    <fb>33.9</fb>
    <v>14</v>
  </rv>
  <rv s="5">
    <fb>4.1967999999999996</fb>
    <v>14</v>
  </rv>
  <rv s="5">
    <fb>118.9</fb>
    <v>14</v>
  </rv>
  <rv s="5">
    <fb>240.16</fb>
    <v>14</v>
  </rv>
  <rv s="5">
    <fb>2900.51</fb>
    <v>14</v>
  </rv>
  <rv s="5">
    <fb>43698</fb>
    <v>13</v>
  </rv>
  <rv s="5">
    <fb>59.579000000000001</fb>
    <v>14</v>
  </rv>
  <rv s="5">
    <fb>91.177000000000007</fb>
    <v>14</v>
  </rv>
  <rv s="5">
    <fb>79.73</fb>
    <v>14</v>
  </rv>
  <rv s="5">
    <fb>552.1</fb>
    <v>14</v>
  </rv>
  <rv s="5">
    <fb>163.79</fb>
    <v>14</v>
  </rv>
  <rv s="5">
    <fb>282.01</fb>
    <v>14</v>
  </rv>
  <rv s="5">
    <fb>55.314999999999998</fb>
    <v>14</v>
  </rv>
  <rv s="5">
    <fb>33.69</fb>
    <v>14</v>
  </rv>
  <rv s="5">
    <fb>4.2808000000000002</fb>
    <v>14</v>
  </rv>
  <rv s="5">
    <fb>119.2</fb>
    <v>14</v>
  </rv>
  <rv s="5">
    <fb>240.35</fb>
    <v>14</v>
  </rv>
  <rv s="5">
    <fb>2924.43</fb>
    <v>14</v>
  </rv>
  <rv s="5">
    <fb>43699</fb>
    <v>13</v>
  </rv>
  <rv s="5">
    <fb>59.576000000000001</fb>
    <v>14</v>
  </rv>
  <rv s="5">
    <fb>90.28</fb>
    <v>14</v>
  </rv>
  <rv s="5">
    <fb>79.760000000000005</fb>
    <v>14</v>
  </rv>
  <rv s="5">
    <fb>554.41999999999996</fb>
    <v>14</v>
  </rv>
  <rv s="5">
    <fb>162.9</fb>
    <v>14</v>
  </rv>
  <rv s="5">
    <fb>280.77</fb>
    <v>14</v>
  </rv>
  <rv s="5">
    <fb>55.405000000000001</fb>
    <v>14</v>
  </rv>
  <rv s="5">
    <fb>33.71</fb>
    <v>14</v>
  </rv>
  <rv s="5">
    <fb>4.2869999999999999</fb>
    <v>14</v>
  </rv>
  <rv s="5">
    <fb>119.42</fb>
    <v>14</v>
  </rv>
  <rv s="5">
    <fb>2922.95</fb>
    <v>14</v>
  </rv>
  <rv s="5">
    <fb>43700</fb>
    <v>13</v>
  </rv>
  <rv s="5">
    <fb>57.679000000000002</fb>
    <v>14</v>
  </rv>
  <rv s="5">
    <fb>87.480999999999995</fb>
    <v>14</v>
  </rv>
  <rv s="5">
    <fb>549.41999999999996</fb>
    <v>14</v>
  </rv>
  <rv s="5">
    <fb>156.49</fb>
    <v>14</v>
  </rv>
  <rv s="5">
    <fb>55.475000000000001</fb>
    <v>14</v>
  </rv>
  <rv s="5">
    <fb>32.03</fb>
    <v>14</v>
  </rv>
  <rv s="5">
    <fb>4.0609999999999999</fb>
    <v>14</v>
  </rv>
  <rv s="5">
    <fb>117.32</fb>
    <v>14</v>
  </rv>
  <rv s="5">
    <fb>230.66</fb>
    <v>14</v>
  </rv>
  <rv s="5">
    <fb>2847.11</fb>
    <v>14</v>
  </rv>
  <rv s="5">
    <fb>43703</fb>
    <v>13</v>
  </rv>
  <rv s="5">
    <fb>58.558999999999997</fb>
    <v>14</v>
  </rv>
  <rv s="5">
    <fb>88.4435</fb>
    <v>14</v>
  </rv>
  <rv s="5">
    <fb>78.760000000000005</fb>
    <v>14</v>
  </rv>
  <rv s="5">
    <fb>558.67999999999995</fb>
    <v>14</v>
  </rv>
  <rv s="5">
    <fb>156.91</fb>
    <v>14</v>
  </rv>
  <rv s="5">
    <fb>276.43</fb>
    <v>14</v>
  </rv>
  <rv s="5">
    <fb>55.905000000000001</fb>
    <v>14</v>
  </rv>
  <rv s="5">
    <fb>31.59</fb>
    <v>14</v>
  </rv>
  <rv s="5">
    <fb>4.1361999999999997</fb>
    <v>14</v>
  </rv>
  <rv s="5">
    <fb>119.32</fb>
    <v>14</v>
  </rv>
  <rv s="5">
    <fb>231.08</fb>
    <v>14</v>
  </rv>
  <rv s="5">
    <fb>2878.38</fb>
    <v>14</v>
  </rv>
  <rv s="5">
    <fb>43704</fb>
    <v>13</v>
  </rv>
  <rv s="5">
    <fb>58.540999999999997</fb>
    <v>14</v>
  </rv>
  <rv s="5">
    <fb>88.091499999999996</fb>
    <v>14</v>
  </rv>
  <rv s="5">
    <fb>79.02</fb>
    <v>14</v>
  </rv>
  <rv s="5">
    <fb>557.52</fb>
    <v>14</v>
  </rv>
  <rv s="5">
    <fb>276.64</fb>
    <v>14</v>
  </rv>
  <rv s="5">
    <fb>56.002499999999998</fb>
    <v>14</v>
  </rv>
  <rv s="5">
    <fb>31.25</fb>
    <v>14</v>
  </rv>
  <rv s="5">
    <fb>4.0449999999999999</fb>
    <v>14</v>
  </rv>
  <rv s="5">
    <fb>120.55</fb>
    <v>14</v>
  </rv>
  <rv s="5">
    <fb>222.93</fb>
    <v>14</v>
  </rv>
  <rv s="5">
    <fb>2869.16</fb>
    <v>14</v>
  </rv>
  <rv s="5">
    <fb>43705</fb>
    <v>13</v>
  </rv>
  <rv s="5">
    <fb>58.6875</fb>
    <v>14</v>
  </rv>
  <rv s="5">
    <fb>88.212500000000006</fb>
    <v>14</v>
  </rv>
  <rv s="5">
    <fb>79.27</fb>
    <v>14</v>
  </rv>
  <rv s="5">
    <fb>553.53</fb>
    <v>14</v>
  </rv>
  <rv s="5">
    <fb>159.55000000000001</fb>
    <v>14</v>
  </rv>
  <rv s="5">
    <fb>278.24</fb>
    <v>14</v>
  </rv>
  <rv s="5">
    <fb>55.297499999999999</fb>
    <v>14</v>
  </rv>
  <rv s="5">
    <fb>31.62</fb>
    <v>14</v>
  </rv>
  <rv s="5">
    <fb>4.0305</fb>
    <v>14</v>
  </rv>
  <rv s="5">
    <fb>121.4</fb>
    <v>14</v>
  </rv>
  <rv s="5">
    <fb>227.35</fb>
    <v>14</v>
  </rv>
  <rv s="5">
    <fb>2887.94</fb>
    <v>14</v>
  </rv>
  <rv s="5">
    <fb>43706</fb>
    <v>13</v>
  </rv>
  <rv s="5">
    <fb>59.712000000000003</fb>
    <v>14</v>
  </rv>
  <rv s="5">
    <fb>89.32</fb>
    <v>14</v>
  </rv>
  <rv s="5">
    <fb>80.430000000000007</fb>
    <v>14</v>
  </rv>
  <rv s="5">
    <fb>557.72</fb>
    <v>14</v>
  </rv>
  <rv s="5">
    <fb>163.6</fb>
    <v>14</v>
  </rv>
  <rv s="5">
    <fb>281.38</fb>
    <v>14</v>
  </rv>
  <rv s="5">
    <fb>55.28</fb>
    <v>14</v>
  </rv>
  <rv s="5">
    <fb>32.26</fb>
    <v>14</v>
  </rv>
  <rv s="5">
    <fb>4.1749999999999998</fb>
    <v>14</v>
  </rv>
  <rv s="5">
    <fb>121.18</fb>
    <v>14</v>
  </rv>
  <rv s="5">
    <fb>230.62</fb>
    <v>14</v>
  </rv>
  <rv s="5">
    <fb>2924.58</fb>
    <v>14</v>
  </rv>
  <rv s="5">
    <fb>43707</fb>
    <v>13</v>
  </rv>
  <rv s="5">
    <fb>59.526499999999999</fb>
    <v>14</v>
  </rv>
  <rv s="5">
    <fb>88.814499999999995</fb>
    <v>14</v>
  </rv>
  <rv s="5">
    <fb>80.41</fb>
    <v>14</v>
  </rv>
  <rv s="5">
    <fb>556.28</fb>
    <v>14</v>
  </rv>
  <rv s="5">
    <fb>164.62</fb>
    <v>14</v>
  </rv>
  <rv s="5">
    <fb>281.37</fb>
    <v>14</v>
  </rv>
  <rv s="5">
    <fb>54.77</fb>
    <v>14</v>
  </rv>
  <rv s="5">
    <fb>32.43</fb>
    <v>14</v>
  </rv>
  <rv s="5">
    <fb>4.1878000000000002</fb>
    <v>14</v>
  </rv>
  <rv s="5">
    <fb>120.23</fb>
    <v>14</v>
  </rv>
  <rv s="5">
    <fb>234</fb>
    <v>14</v>
  </rv>
  <rv s="5">
    <fb>43711</fb>
    <v>13</v>
  </rv>
  <rv s="5">
    <fb>58.477499999999999</fb>
    <v>14</v>
  </rv>
  <rv s="5">
    <fb>89.492000000000004</fb>
    <v>14</v>
  </rv>
  <rv s="5">
    <fb>79.930000000000007</fb>
    <v>14</v>
  </rv>
  <rv s="5">
    <fb>565.91</fb>
    <v>14</v>
  </rv>
  <rv s="5">
    <fb>163.53</fb>
    <v>14</v>
  </rv>
  <rv s="5">
    <fb>280.11</fb>
    <v>14</v>
  </rv>
  <rv s="5">
    <fb>56.39</fb>
    <v>14</v>
  </rv>
  <rv s="5">
    <fb>31.72</fb>
    <v>14</v>
  </rv>
  <rv s="5">
    <fb>4.1041999999999996</fb>
    <v>14</v>
  </rv>
  <rv s="5">
    <fb>121.36</fb>
    <v>14</v>
  </rv>
  <rv s="5">
    <fb>2906.27</fb>
    <v>14</v>
  </rv>
  <rv s="5">
    <fb>43712</fb>
    <v>13</v>
  </rv>
  <rv s="5">
    <fb>59.113500000000002</fb>
    <v>14</v>
  </rv>
  <rv s="5">
    <fb>90.031000000000006</fb>
    <v>14</v>
  </rv>
  <rv s="5">
    <fb>80.78</fb>
    <v>14</v>
  </rv>
  <rv s="5">
    <fb>558.49</fb>
    <v>14</v>
  </rv>
  <rv s="5">
    <fb>167.14</fb>
    <v>14</v>
  </rv>
  <rv s="5">
    <fb>286.10000000000002</fb>
    <v>14</v>
  </rv>
  <rv s="5">
    <fb>56.03</fb>
    <v>14</v>
  </rv>
  <rv s="5">
    <fb>32.979999999999997</fb>
    <v>14</v>
  </rv>
  <rv s="5">
    <fb>4.2190000000000003</fb>
    <v>14</v>
  </rv>
  <rv s="5">
    <fb>123.21</fb>
    <v>14</v>
  </rv>
  <rv s="5">
    <fb>226.73</fb>
    <v>14</v>
  </rv>
  <rv s="5">
    <fb>2937.78</fb>
    <v>14</v>
  </rv>
  <rv s="5">
    <fb>43713</fb>
    <v>13</v>
  </rv>
  <rv s="5">
    <fb>60.609499999999997</fb>
    <v>14</v>
  </rv>
  <rv s="5">
    <fb>92.036000000000001</fb>
    <v>14</v>
  </rv>
  <rv s="5">
    <fb>551</fb>
    <v>14</v>
  </rv>
  <rv s="5">
    <fb>170.37</fb>
    <v>14</v>
  </rv>
  <rv s="5">
    <fb>292.08</fb>
    <v>14</v>
  </rv>
  <rv s="5">
    <fb>54.952500000000001</fb>
    <v>14</v>
  </rv>
  <rv s="5">
    <fb>34.06</fb>
    <v>14</v>
  </rv>
  <rv s="5">
    <fb>4.4935</fb>
    <v>14</v>
  </rv>
  <rv s="5">
    <fb>122.76</fb>
    <v>14</v>
  </rv>
  <rv s="5">
    <fb>229.59</fb>
    <v>14</v>
  </rv>
  <rv s="5">
    <fb>2976</fb>
    <v>14</v>
  </rv>
  <rv s="5">
    <fb>43714</fb>
    <v>13</v>
  </rv>
  <rv s="5">
    <fb>60.316000000000003</fb>
    <v>14</v>
  </rv>
  <rv s="5">
    <fb>91.6755</fb>
    <v>14</v>
  </rv>
  <rv s="5">
    <fb>554.09</fb>
    <v>14</v>
  </rv>
  <rv s="5">
    <fb>291.38</fb>
    <v>14</v>
  </rv>
  <rv s="5">
    <fb>55.034999999999997</fb>
    <v>14</v>
  </rv>
  <rv s="5">
    <fb>34.200000000000003</fb>
    <v>14</v>
  </rv>
  <rv s="5">
    <fb>4.4663000000000004</fb>
    <v>14</v>
  </rv>
  <rv s="5">
    <fb>122.87</fb>
    <v>14</v>
  </rv>
  <rv s="5">
    <fb>229</fb>
    <v>14</v>
  </rv>
  <rv s="5">
    <fb>2978.71</fb>
    <v>14</v>
  </rv>
  <rv s="5">
    <fb>43717</fb>
    <v>13</v>
  </rv>
  <rv s="5">
    <fb>60.263500000000001</fb>
    <v>14</v>
  </rv>
  <rv s="5">
    <fb>91.567499999999995</fb>
    <v>14</v>
  </rv>
  <rv s="5">
    <fb>75.069999999999993</fb>
    <v>14</v>
  </rv>
  <rv s="5">
    <fb>538.21</fb>
    <v>14</v>
  </rv>
  <rv s="5">
    <fb>169.66</fb>
    <v>14</v>
  </rv>
  <rv s="5">
    <fb>283.36</fb>
    <v>14</v>
  </rv>
  <rv s="5">
    <fb>54.972499999999997</fb>
    <v>14</v>
  </rv>
  <rv s="5">
    <fb>36.229999999999997</fb>
    <v>14</v>
  </rv>
  <rv s="5">
    <fb>4.5125000000000002</fb>
    <v>14</v>
  </rv>
  <rv s="5">
    <fb>122.17</fb>
    <v>14</v>
  </rv>
  <rv s="5">
    <fb>230.68</fb>
    <v>14</v>
  </rv>
  <rv s="5">
    <fb>2978.43</fb>
    <v>14</v>
  </rv>
  <rv s="5">
    <fb>43718</fb>
    <v>13</v>
  </rv>
  <rv s="5">
    <fb>60.284999999999997</fb>
    <v>14</v>
  </rv>
  <rv s="5">
    <fb>91.027500000000003</fb>
    <v>14</v>
  </rv>
  <rv s="5">
    <fb>531.44000000000005</fb>
    <v>14</v>
  </rv>
  <rv s="5">
    <fb>169.61</fb>
    <v>14</v>
  </rv>
  <rv s="5">
    <fb>272.33</fb>
    <v>14</v>
  </rv>
  <rv s="5">
    <fb>54.53</fb>
    <v>14</v>
  </rv>
  <rv s="5">
    <fb>4.5795000000000003</fb>
    <v>14</v>
  </rv>
  <rv s="5">
    <fb>119.88</fb>
    <v>14</v>
  </rv>
  <rv s="5">
    <fb>232.46</fb>
    <v>14</v>
  </rv>
  <rv s="5">
    <fb>2979.39</fb>
    <v>14</v>
  </rv>
  <rv s="5">
    <fb>43719</fb>
    <v>13</v>
  </rv>
  <rv s="5">
    <fb>61</fb>
    <v>14</v>
  </rv>
  <rv s="5">
    <fb>91.149500000000003</fb>
    <v>14</v>
  </rv>
  <rv s="5">
    <fb>71.88</fb>
    <v>14</v>
  </rv>
  <rv s="5">
    <fb>528.44000000000005</fb>
    <v>14</v>
  </rv>
  <rv s="5">
    <fb>269.95</fb>
    <v>14</v>
  </rv>
  <rv s="5">
    <fb>55.015000000000001</fb>
    <v>14</v>
  </rv>
  <rv s="5">
    <fb>37.32</fb>
    <v>14</v>
  </rv>
  <rv s="5">
    <fb>4.6082999999999998</fb>
    <v>14</v>
  </rv>
  <rv s="5">
    <fb>121.27</fb>
    <v>14</v>
  </rv>
  <rv s="5">
    <fb>234.21</fb>
    <v>14</v>
  </rv>
  <rv s="5">
    <fb>3000.93</fb>
    <v>14</v>
  </rv>
  <rv s="5">
    <fb>43720</fb>
    <v>13</v>
  </rv>
  <rv s="5">
    <fb>61.7485</fb>
    <v>14</v>
  </rv>
  <rv s="5">
    <fb>92.177499999999995</fb>
    <v>14</v>
  </rv>
  <rv s="5">
    <fb>73.36</fb>
    <v>14</v>
  </rv>
  <rv s="5">
    <fb>538.88</fb>
    <v>14</v>
  </rv>
  <rv s="5">
    <fb>168.63</fb>
    <v>14</v>
  </rv>
  <rv s="5">
    <fb>276.39999999999998</fb>
    <v>14</v>
  </rv>
  <rv s="5">
    <fb>55.185000000000002</fb>
    <v>14</v>
  </rv>
  <rv s="5">
    <fb>36.9</fb>
    <v>14</v>
  </rv>
  <rv s="5">
    <fb>4.6067999999999998</fb>
    <v>14</v>
  </rv>
  <rv s="5">
    <fb>122.77</fb>
    <v>14</v>
  </rv>
  <rv s="5">
    <fb>230.1</fb>
    <v>14</v>
  </rv>
  <rv s="5">
    <fb>3009.57</fb>
    <v>14</v>
  </rv>
  <rv s="5">
    <fb>43721</fb>
    <v>13</v>
  </rv>
  <rv s="5">
    <fb>62.0015</fb>
    <v>14</v>
  </rv>
  <rv s="5">
    <fb>91.966999999999999</fb>
    <v>14</v>
  </rv>
  <rv s="5">
    <fb>72.73</fb>
    <v>14</v>
  </rv>
  <rv s="5">
    <fb>536.79999999999995</fb>
    <v>14</v>
  </rv>
  <rv s="5">
    <fb>167.71</fb>
    <v>14</v>
  </rv>
  <rv s="5">
    <fb>276.32</fb>
    <v>14</v>
  </rv>
  <rv s="5">
    <fb>54.622500000000002</fb>
    <v>14</v>
  </rv>
  <rv s="5">
    <fb>4.5484999999999998</fb>
    <v>14</v>
  </rv>
  <rv s="5">
    <fb>122.12</fb>
    <v>14</v>
  </rv>
  <rv s="5">
    <fb>233.61</fb>
    <v>14</v>
  </rv>
  <rv s="5">
    <fb>3007.39</fb>
    <v>14</v>
  </rv>
  <rv s="5">
    <fb>43724</fb>
    <v>13</v>
  </rv>
  <rv s="5">
    <fb>61.581499999999998</fb>
    <v>14</v>
  </rv>
  <rv s="5">
    <fb>90.391999999999996</fb>
    <v>14</v>
  </rv>
  <rv s="5">
    <fb>72.2</fb>
    <v>14</v>
  </rv>
  <rv s="5">
    <fb>549.92999999999995</fb>
    <v>14</v>
  </rv>
  <rv s="5">
    <fb>166.21</fb>
    <v>14</v>
  </rv>
  <rv s="5">
    <fb>274.08</fb>
    <v>14</v>
  </rv>
  <rv s="5">
    <fb>54.577500000000001</fb>
    <v>14</v>
  </rv>
  <rv s="5">
    <fb>4.5053000000000001</fb>
    <v>14</v>
  </rv>
  <rv s="5">
    <fb>119.75</fb>
    <v>14</v>
  </rv>
  <rv s="5">
    <fb>234.43</fb>
    <v>14</v>
  </rv>
  <rv s="5">
    <fb>2997.96</fb>
    <v>14</v>
  </rv>
  <rv s="5">
    <fb>43725</fb>
    <v>13</v>
  </rv>
  <rv s="5">
    <fb>61.494</fb>
    <v>14</v>
  </rv>
  <rv s="5">
    <fb>91.127499999999998</fb>
    <v>14</v>
  </rv>
  <rv s="5">
    <fb>558.91</fb>
    <v>14</v>
  </rv>
  <rv s="5">
    <fb>166.46</fb>
    <v>14</v>
  </rv>
  <rv s="5">
    <fb>276.25</fb>
    <v>14</v>
  </rv>
  <rv s="5">
    <fb>55.555</fb>
    <v>14</v>
  </rv>
  <rv s="5">
    <fb>38.17</fb>
    <v>14</v>
  </rv>
  <rv s="5">
    <fb>4.5267999999999997</fb>
    <v>14</v>
  </rv>
  <rv s="5">
    <fb>121.16</fb>
    <v>14</v>
  </rv>
  <rv s="5">
    <fb>3005.7</fb>
    <v>14</v>
  </rv>
  <rv s="5">
    <fb>43726</fb>
    <v>13</v>
  </rv>
  <rv s="5">
    <fb>61.6325</fb>
    <v>14</v>
  </rv>
  <rv s="5">
    <fb>90.873000000000005</fb>
    <v>14</v>
  </rv>
  <rv s="5">
    <fb>74.510000000000005</fb>
    <v>14</v>
  </rv>
  <rv s="5">
    <fb>561</fb>
    <v>14</v>
  </rv>
  <rv s="5">
    <fb>167.97</fb>
    <v>14</v>
  </rv>
  <rv s="5">
    <fb>275.10000000000002</fb>
    <v>14</v>
  </rv>
  <rv s="5">
    <fb>55.975000000000001</fb>
    <v>14</v>
  </rv>
  <rv s="5">
    <fb>38.03</fb>
    <v>14</v>
  </rv>
  <rv s="5">
    <fb>4.4995000000000003</fb>
    <v>14</v>
  </rv>
  <rv s="5">
    <fb>121.41</fb>
    <v>14</v>
  </rv>
  <rv s="5">
    <fb>230.61</fb>
    <v>14</v>
  </rv>
  <rv s="5">
    <fb>3006.73</fb>
    <v>14</v>
  </rv>
  <rv s="5">
    <fb>43727</fb>
    <v>13</v>
  </rv>
  <rv s="5">
    <fb>61.9375</fb>
    <v>14</v>
  </rv>
  <rv s="5">
    <fb>91.075000000000003</fb>
    <v>14</v>
  </rv>
  <rv s="5">
    <fb>74.28</fb>
    <v>14</v>
  </rv>
  <rv s="5">
    <fb>569.03</fb>
    <v>14</v>
  </rv>
  <rv s="5">
    <fb>166.77</fb>
    <v>14</v>
  </rv>
  <rv s="5">
    <fb>275.91000000000003</fb>
    <v>14</v>
  </rv>
  <rv s="5">
    <fb>56.225000000000001</fb>
    <v>14</v>
  </rv>
  <rv s="5">
    <fb>4.4234999999999998</fb>
    <v>14</v>
  </rv>
  <rv s="5">
    <fb>121.9</fb>
    <v>14</v>
  </rv>
  <rv s="5">
    <fb>232.85</fb>
    <v>14</v>
  </rv>
  <rv s="5">
    <fb>3006.79</fb>
    <v>14</v>
  </rv>
  <rv s="5">
    <fb>43728</fb>
    <v>13</v>
  </rv>
  <rv s="5">
    <fb>61.491999999999997</fb>
    <v>14</v>
  </rv>
  <rv s="5">
    <fb>89.707999999999998</fb>
    <v>14</v>
  </rv>
  <rv s="5">
    <fb>73.84</fb>
    <v>14</v>
  </rv>
  <rv s="5">
    <fb>566.45000000000005</fb>
    <v>14</v>
  </rv>
  <rv s="5">
    <fb>168.31</fb>
    <v>14</v>
  </rv>
  <rv s="5">
    <fb>271.17</fb>
    <v>14</v>
  </rv>
  <rv s="5">
    <fb>56.43</fb>
    <v>14</v>
  </rv>
  <rv s="5">
    <fb>37.299999999999997</fb>
    <v>14</v>
  </rv>
  <rv s="5">
    <fb>4.3173000000000004</fb>
    <v>14</v>
  </rv>
  <rv s="5">
    <fb>122.24</fb>
    <v>14</v>
  </rv>
  <rv s="5">
    <fb>232.89</fb>
    <v>14</v>
  </rv>
  <rv s="5">
    <fb>2992.07</fb>
    <v>14</v>
  </rv>
  <rv s="5">
    <fb>43731</fb>
    <v>13</v>
  </rv>
  <rv s="5">
    <fb>61.734499999999997</fb>
    <v>14</v>
  </rv>
  <rv s="5">
    <fb>89.265000000000001</fb>
    <v>14</v>
  </rv>
  <rv s="5">
    <fb>74.48</fb>
    <v>14</v>
  </rv>
  <rv s="5">
    <fb>581.71</fb>
    <v>14</v>
  </rv>
  <rv s="5">
    <fb>273.14999999999998</fb>
    <v>14</v>
  </rv>
  <rv s="5">
    <fb>56.32</fb>
    <v>14</v>
  </rv>
  <rv s="5">
    <fb>4.3710000000000004</fb>
    <v>14</v>
  </rv>
  <rv s="5">
    <fb>123.22</fb>
    <v>14</v>
  </rv>
  <rv s="5">
    <fb>228.77</fb>
    <v>14</v>
  </rv>
  <rv s="5">
    <fb>2991.78</fb>
    <v>14</v>
  </rv>
  <rv s="5">
    <fb>43732</fb>
    <v>13</v>
  </rv>
  <rv s="5">
    <fb>60.916499999999999</fb>
    <v>14</v>
  </rv>
  <rv s="5">
    <fb>87.080500000000001</fb>
    <v>14</v>
  </rv>
  <rv s="5">
    <fb>74.72</fb>
    <v>14</v>
  </rv>
  <rv s="5">
    <fb>572.04</fb>
    <v>14</v>
  </rv>
  <rv s="5">
    <fb>165.76</fb>
    <v>14</v>
  </rv>
  <rv s="5">
    <fb>271.12</fb>
    <v>14</v>
  </rv>
  <rv s="5">
    <fb>57.127499999999998</fb>
    <v>14</v>
  </rv>
  <rv s="5">
    <fb>35.56</fb>
    <v>14</v>
  </rv>
  <rv s="5">
    <fb>4.3132999999999999</fb>
    <v>14</v>
  </rv>
  <rv s="5">
    <fb>123.61</fb>
    <v>14</v>
  </rv>
  <rv s="5">
    <fb>225</fb>
    <v>14</v>
  </rv>
  <rv s="5">
    <fb>2966.6</fb>
    <v>14</v>
  </rv>
  <rv s="5">
    <fb>43733</fb>
    <v>13</v>
  </rv>
  <rv s="5">
    <fb>62.296999999999997</fb>
    <v>14</v>
  </rv>
  <rv s="5">
    <fb>88.416499999999999</fb>
    <v>14</v>
  </rv>
  <rv s="5">
    <fb>73.5</fb>
    <v>14</v>
  </rv>
  <rv s="5">
    <fb>579.25</fb>
    <v>14</v>
  </rv>
  <rv s="5">
    <fb>166.93</fb>
    <v>14</v>
  </rv>
  <rv s="5">
    <fb>272.75</fb>
    <v>14</v>
  </rv>
  <rv s="5">
    <fb>57.342500000000001</fb>
    <v>14</v>
  </rv>
  <rv s="5">
    <fb>35.24</fb>
    <v>14</v>
  </rv>
  <rv s="5">
    <fb>4.4558</fb>
    <v>14</v>
  </rv>
  <rv s="5">
    <fb>123.02</fb>
    <v>14</v>
  </rv>
  <rv s="5">
    <fb>222.17</fb>
    <v>14</v>
  </rv>
  <rv s="5">
    <fb>2984.87</fb>
    <v>14</v>
  </rv>
  <rv s="5">
    <fb>43734</fb>
    <v>13</v>
  </rv>
  <rv s="5">
    <fb>62.1145</fb>
    <v>14</v>
  </rv>
  <rv s="5">
    <fb>86.992000000000004</fb>
    <v>14</v>
  </rv>
  <rv s="5">
    <fb>74.47</fb>
    <v>14</v>
  </rv>
  <rv s="5">
    <fb>583.02</fb>
    <v>14</v>
  </rv>
  <rv s="5">
    <fb>273.89</fb>
    <v>14</v>
  </rv>
  <rv s="5">
    <fb>57.93</fb>
    <v>14</v>
  </rv>
  <rv s="5">
    <fb>34.54</fb>
    <v>14</v>
  </rv>
  <rv s="5">
    <fb>4.4335000000000004</fb>
    <v>14</v>
  </rv>
  <rv s="5">
    <fb>124.31</fb>
    <v>14</v>
  </rv>
  <rv s="5">
    <fb>215.48</fb>
    <v>14</v>
  </rv>
  <rv s="5">
    <fb>2977.62</fb>
    <v>14</v>
  </rv>
  <rv s="5">
    <fb>43735</fb>
    <v>13</v>
  </rv>
  <rv s="5">
    <fb>61.297499999999999</fb>
    <v>14</v>
  </rv>
  <rv s="5">
    <fb>86.272499999999994</fb>
    <v>14</v>
  </rv>
  <rv s="5">
    <fb>72.790000000000006</fb>
    <v>14</v>
  </rv>
  <rv s="5">
    <fb>576.62</fb>
    <v>14</v>
  </rv>
  <rv s="5">
    <fb>168.04</fb>
    <v>14</v>
  </rv>
  <rv s="5">
    <fb>269.13</fb>
    <v>14</v>
  </rv>
  <rv s="5">
    <fb>57.814999999999998</fb>
    <v>14</v>
  </rv>
  <rv s="5">
    <fb>34.33</fb>
    <v>14</v>
  </rv>
  <rv s="5">
    <fb>4.2939999999999996</fb>
    <v>14</v>
  </rv>
  <rv s="5">
    <fb>124.57</fb>
    <v>14</v>
  </rv>
  <rv s="5">
    <fb>215.26</fb>
    <v>14</v>
  </rv>
  <rv s="5">
    <fb>2961.79</fb>
    <v>14</v>
  </rv>
  <rv s="5">
    <fb>43738</fb>
    <v>13</v>
  </rv>
  <rv s="5">
    <fb>61.057000000000002</fb>
    <v>14</v>
  </rv>
  <rv s="5">
    <fb>86.795500000000004</fb>
    <v>14</v>
  </rv>
  <rv s="5">
    <fb>576.79999999999995</fb>
    <v>14</v>
  </rv>
  <rv s="5">
    <fb>169.2</fb>
    <v>14</v>
  </rv>
  <rv s="5">
    <fb>271.57</fb>
    <v>14</v>
  </rv>
  <rv s="5">
    <fb>58.247500000000002</fb>
    <v>14</v>
  </rv>
  <rv s="5">
    <fb>34.17</fb>
    <v>14</v>
  </rv>
  <rv s="5">
    <fb>4.3517999999999999</fb>
    <v>14</v>
  </rv>
  <rv s="5">
    <fb>124.38</fb>
    <v>14</v>
  </rv>
  <rv s="5">
    <fb>217.32</fb>
    <v>14</v>
  </rv>
  <rv s="5">
    <fb>2976.74</fb>
    <v>14</v>
  </rv>
  <rv s="5">
    <fb>43739</fb>
    <v>13</v>
  </rv>
  <rv s="5">
    <fb>60.3</fb>
    <v>14</v>
  </rv>
  <rv s="5">
    <fb>86.782499999999999</fb>
    <v>14</v>
  </rv>
  <rv s="5">
    <fb>72.11</fb>
    <v>14</v>
  </rv>
  <rv s="5">
    <fb>569.59</fb>
    <v>14</v>
  </rv>
  <rv s="5">
    <fb>164.19</fb>
    <v>14</v>
  </rv>
  <rv s="5">
    <fb>270.94</fb>
    <v>14</v>
  </rv>
  <rv s="5">
    <fb>58.0075</fb>
    <v>14</v>
  </rv>
  <rv s="5">
    <fb>4.3499999999999996</fb>
    <v>14</v>
  </rv>
  <rv s="5">
    <fb>123.85</fb>
    <v>14</v>
  </rv>
  <rv s="5">
    <fb>217.21</fb>
    <v>14</v>
  </rv>
  <rv s="5">
    <fb>2940.25</fb>
    <v>14</v>
  </rv>
  <rv s="5">
    <fb>43740</fb>
    <v>13</v>
  </rv>
  <rv s="5">
    <fb>58.896000000000001</fb>
    <v>14</v>
  </rv>
  <rv s="5">
    <fb>85.661500000000004</fb>
    <v>14</v>
  </rv>
  <rv s="5">
    <fb>70.819999999999993</fb>
    <v>14</v>
  </rv>
  <rv s="5">
    <fb>561.52</fb>
    <v>14</v>
  </rv>
  <rv s="5">
    <fb>161.08000000000001</fb>
    <v>14</v>
  </rv>
  <rv s="5">
    <fb>264.48</fb>
    <v>14</v>
  </rv>
  <rv s="5">
    <fb>57.277500000000003</fb>
    <v>14</v>
  </rv>
  <rv s="5">
    <fb>31.76</fb>
    <v>14</v>
  </rv>
  <rv s="5">
    <fb>4.3259999999999996</fb>
    <v>14</v>
  </rv>
  <rv s="5">
    <fb>121.08</fb>
    <v>14</v>
  </rv>
  <rv s="5">
    <fb>216.75</fb>
    <v>14</v>
  </rv>
  <rv s="5">
    <fb>2887.61</fb>
    <v>14</v>
  </rv>
  <rv s="5">
    <fb>43741</fb>
    <v>13</v>
  </rv>
  <rv s="5">
    <fb>59.471499999999999</fb>
    <v>14</v>
  </rv>
  <rv s="5">
    <fb>86.221000000000004</fb>
    <v>14</v>
  </rv>
  <rv s="5">
    <fb>71.64</fb>
    <v>14</v>
  </rv>
  <rv s="5">
    <fb>575.75</fb>
    <v>14</v>
  </rv>
  <rv s="5">
    <fb>161.52000000000001</fb>
    <v>14</v>
  </rv>
  <rv s="5">
    <fb>268.29000000000002</fb>
    <v>14</v>
  </rv>
  <rv s="5">
    <fb>32.049999999999997</fb>
    <v>14</v>
  </rv>
  <rv s="5">
    <fb>4.5327999999999999</fb>
    <v>14</v>
  </rv>
  <rv s="5">
    <fb>121.74</fb>
    <v>14</v>
  </rv>
  <rv s="5">
    <fb>215.36</fb>
    <v>14</v>
  </rv>
  <rv s="5">
    <fb>2910.63</fb>
    <v>14</v>
  </rv>
  <rv s="5">
    <fb>43742</fb>
    <v>13</v>
  </rv>
  <rv s="5">
    <fb>60.548000000000002</fb>
    <v>14</v>
  </rv>
  <rv s="5">
    <fb>86.982500000000002</fb>
    <v>14</v>
  </rv>
  <rv s="5">
    <fb>581.65</fb>
    <v>14</v>
  </rv>
  <rv s="5">
    <fb>163.63</fb>
    <v>14</v>
  </rv>
  <rv s="5">
    <fb>274.06</fb>
    <v>14</v>
  </rv>
  <rv s="5">
    <fb>58.397500000000001</fb>
    <v>14</v>
  </rv>
  <rv s="5">
    <fb>31.88</fb>
    <v>14</v>
  </rv>
  <rv s="5">
    <fb>4.5492999999999997</fb>
    <v>14</v>
  </rv>
  <rv s="5">
    <fb>124</fb>
    <v>14</v>
  </rv>
  <rv s="5">
    <fb>219.8</fb>
    <v>14</v>
  </rv>
  <rv s="5">
    <fb>2952.01</fb>
    <v>14</v>
  </rv>
  <rv s="5">
    <fb>43745</fb>
    <v>13</v>
  </rv>
  <rv s="5">
    <fb>60.412500000000001</fb>
    <v>14</v>
  </rv>
  <rv s="5">
    <fb>86.632999999999996</fb>
    <v>14</v>
  </rv>
  <rv s="5">
    <fb>72.45</fb>
    <v>14</v>
  </rv>
  <rv s="5">
    <fb>577.30999999999995</fb>
    <v>14</v>
  </rv>
  <rv s="5">
    <fb>163.18</fb>
    <v>14</v>
  </rv>
  <rv s="5">
    <fb>272.19</fb>
    <v>14</v>
  </rv>
  <rv s="5">
    <fb>58.137500000000003</fb>
    <v>14</v>
  </rv>
  <rv s="5">
    <fb>31.8</fb>
    <v>14</v>
  </rv>
  <rv s="5">
    <fb>122.84</fb>
    <v>14</v>
  </rv>
  <rv s="5">
    <fb>221.24</fb>
    <v>14</v>
  </rv>
  <rv s="5">
    <fb>2938.79</fb>
    <v>14</v>
  </rv>
  <rv s="5">
    <fb>43746</fb>
    <v>13</v>
  </rv>
  <rv s="5">
    <fb>59.506500000000003</fb>
    <v>14</v>
  </rv>
  <rv s="5">
    <fb>85.275499999999994</fb>
    <v>14</v>
  </rv>
  <rv s="5">
    <fb>71.41</fb>
    <v>14</v>
  </rv>
  <rv s="5">
    <fb>569.5</fb>
    <v>14</v>
  </rv>
  <rv s="5">
    <fb>158.62</fb>
    <v>14</v>
  </rv>
  <rv s="5">
    <fb>267.07</fb>
    <v>14</v>
  </rv>
  <rv s="5">
    <fb>57.4925</fb>
    <v>14</v>
  </rv>
  <rv s="5">
    <fb>30.71</fb>
    <v>14</v>
  </rv>
  <rv s="5">
    <fb>4.4307999999999996</fb>
    <v>14</v>
  </rv>
  <rv s="5">
    <fb>120.93</fb>
    <v>14</v>
  </rv>
  <rv s="5">
    <fb>220.11</fb>
    <v>14</v>
  </rv>
  <rv s="5">
    <fb>2893.06</fb>
    <v>14</v>
  </rv>
  <rv s="5">
    <fb>43747</fb>
    <v>13</v>
  </rv>
  <rv s="5">
    <fb>60.12</fb>
    <v>14</v>
  </rv>
  <rv s="5">
    <fb>86.099500000000006</fb>
    <v>14</v>
  </rv>
  <rv s="5">
    <fb>72.27</fb>
    <v>14</v>
  </rv>
  <rv s="5">
    <fb>575</fb>
    <v>14</v>
  </rv>
  <rv s="5">
    <fb>159.84</fb>
    <v>14</v>
  </rv>
  <rv s="5">
    <fb>272.24</fb>
    <v>14</v>
  </rv>
  <rv s="5">
    <fb>30.9</fb>
    <v>14</v>
  </rv>
  <rv s="5">
    <fb>4.5178000000000003</fb>
    <v>14</v>
  </rv>
  <rv s="5">
    <fb>222.08</fb>
    <v>14</v>
  </rv>
  <rv s="5">
    <fb>2919.4</fb>
    <v>14</v>
  </rv>
  <rv s="5">
    <fb>43748</fb>
    <v>13</v>
  </rv>
  <rv s="5">
    <fb>60.473500000000001</fb>
    <v>14</v>
  </rv>
  <rv s="5">
    <fb>86.013000000000005</fb>
    <v>14</v>
  </rv>
  <rv s="5">
    <fb>572.20000000000005</fb>
    <v>14</v>
  </rv>
  <rv s="5">
    <fb>160.97</fb>
    <v>14</v>
  </rv>
  <rv s="5">
    <fb>273.83</fb>
    <v>14</v>
  </rv>
  <rv s="5">
    <fb>31.07</fb>
    <v>14</v>
  </rv>
  <rv s="5">
    <fb>4.5758000000000001</fb>
    <v>14</v>
  </rv>
  <rv s="5">
    <fb>121.94</fb>
    <v>14</v>
  </rv>
  <rv s="5">
    <fb>223.73</fb>
    <v>14</v>
  </rv>
  <rv s="5">
    <fb>2938.13</fb>
    <v>14</v>
  </rv>
  <rv s="5">
    <fb>43749</fb>
    <v>13</v>
  </rv>
  <rv s="5">
    <fb>60.785499999999999</fb>
    <v>14</v>
  </rv>
  <rv s="5">
    <fb>86.596000000000004</fb>
    <v>14</v>
  </rv>
  <rv s="5">
    <fb>72.61</fb>
    <v>14</v>
  </rv>
  <rv s="5">
    <fb>566.61</fb>
    <v>14</v>
  </rv>
  <rv s="5">
    <fb>57.384999999999998</fb>
    <v>14</v>
  </rv>
  <rv s="5">
    <fb>32.479999999999997</fb>
    <v>14</v>
  </rv>
  <rv s="5">
    <fb>4.6497999999999999</fb>
    <v>14</v>
  </rv>
  <rv s="5">
    <fb>121.09</fb>
    <v>14</v>
  </rv>
  <rv s="5">
    <fb>222.07</fb>
    <v>14</v>
  </rv>
  <rv s="5">
    <fb>2970.27</fb>
    <v>14</v>
  </rv>
  <rv s="5">
    <fb>43752</fb>
    <v>13</v>
  </rv>
  <rv s="5">
    <fb>60.888500000000001</fb>
    <v>14</v>
  </rv>
  <rv s="5">
    <fb>86.8215</fb>
    <v>14</v>
  </rv>
  <rv s="5">
    <fb>72.92</fb>
    <v>14</v>
  </rv>
  <rv s="5">
    <fb>567.5</fb>
    <v>14</v>
  </rv>
  <rv s="5">
    <fb>162.97999999999999</fb>
    <v>14</v>
  </rv>
  <rv s="5">
    <fb>276.38</fb>
    <v>14</v>
  </rv>
  <rv s="5">
    <fb>57.225000000000001</fb>
    <v>14</v>
  </rv>
  <rv s="5">
    <fb>32.57</fb>
    <v>14</v>
  </rv>
  <rv s="5">
    <fb>4.6632999999999996</fb>
    <v>14</v>
  </rv>
  <rv s="5">
    <fb>120.05</fb>
    <v>14</v>
  </rv>
  <rv s="5">
    <fb>2966.15</fb>
    <v>14</v>
  </rv>
  <rv s="5">
    <fb>43753</fb>
    <v>13</v>
  </rv>
  <rv s="5">
    <fb>62.112000000000002</fb>
    <v>14</v>
  </rv>
  <rv s="5">
    <fb>88.369</fb>
    <v>14</v>
  </rv>
  <rv s="5">
    <fb>72.16</fb>
    <v>14</v>
  </rv>
  <rv s="5">
    <fb>571.65</fb>
    <v>14</v>
  </rv>
  <rv s="5">
    <fb>163.63999999999999</fb>
    <v>14</v>
  </rv>
  <rv s="5">
    <fb>278.56</fb>
    <v>14</v>
  </rv>
  <rv s="5">
    <fb>56.884999999999998</fb>
    <v>14</v>
  </rv>
  <rv s="5">
    <fb>32.81</fb>
    <v>14</v>
  </rv>
  <rv s="5">
    <fb>4.9093</fb>
    <v>14</v>
  </rv>
  <rv s="5">
    <fb>117.2</fb>
    <v>14</v>
  </rv>
  <rv s="5">
    <fb>238.59</fb>
    <v>14</v>
  </rv>
  <rv s="5">
    <fb>2995.68</fb>
    <v>14</v>
  </rv>
  <rv s="5">
    <fb>43754</fb>
    <v>13</v>
  </rv>
  <rv s="5">
    <fb>88.871499999999997</fb>
    <v>14</v>
  </rv>
  <rv s="5">
    <fb>72.58</fb>
    <v>14</v>
  </rv>
  <rv s="5">
    <fb>567.89</fb>
    <v>14</v>
  </rv>
  <rv s="5">
    <fb>278.27</fb>
    <v>14</v>
  </rv>
  <rv s="5">
    <fb>57.477499999999999</fb>
    <v>14</v>
  </rv>
  <rv s="5">
    <fb>31.95</fb>
    <v>14</v>
  </rv>
  <rv s="5">
    <fb>4.8552999999999997</fb>
    <v>14</v>
  </rv>
  <rv s="5">
    <fb>117.53</fb>
    <v>14</v>
  </rv>
  <rv s="5">
    <fb>236.99</fb>
    <v>14</v>
  </rv>
  <rv s="5">
    <fb>2989.69</fb>
    <v>14</v>
  </rv>
  <rv s="5">
    <fb>43755</fb>
    <v>13</v>
  </rv>
  <rv s="5">
    <fb>62.64</fb>
    <v>14</v>
  </rv>
  <rv s="5">
    <fb>89.373999999999995</fb>
    <v>14</v>
  </rv>
  <rv s="5">
    <fb>73.87</fb>
    <v>14</v>
  </rv>
  <rv s="5">
    <fb>571.84</fb>
    <v>14</v>
  </rv>
  <rv s="5">
    <fb>167.52</fb>
    <v>14</v>
  </rv>
  <rv s="5">
    <fb>276.51</fb>
    <v>14</v>
  </rv>
  <rv s="5">
    <fb>57.772500000000001</fb>
    <v>14</v>
  </rv>
  <rv s="5">
    <fb>31.89</fb>
    <v>14</v>
  </rv>
  <rv s="5">
    <fb>4.8573000000000004</fb>
    <v>14</v>
  </rv>
  <rv s="5">
    <fb>116.63</fb>
    <v>14</v>
  </rv>
  <rv s="5">
    <fb>243.67</fb>
    <v>14</v>
  </rv>
  <rv s="5">
    <fb>2997.95</fb>
    <v>14</v>
  </rv>
  <rv s="5">
    <fb>43756</fb>
    <v>13</v>
  </rv>
  <rv s="5">
    <fb>62.220500000000001</fb>
    <v>14</v>
  </rv>
  <rv s="5">
    <fb>87.875500000000002</fb>
    <v>14</v>
  </rv>
  <rv s="5">
    <fb>576.41</fb>
    <v>14</v>
  </rv>
  <rv s="5">
    <fb>165.57</fb>
    <v>14</v>
  </rv>
  <rv s="5">
    <fb>32.31</fb>
    <v>14</v>
  </rv>
  <rv s="5">
    <fb>4.7622999999999998</fb>
    <v>14</v>
  </rv>
  <rv s="5">
    <fb>117.47</fb>
    <v>14</v>
  </rv>
  <rv s="5">
    <fb>2986.2</fb>
    <v>14</v>
  </rv>
  <rv s="5">
    <fb>43759</fb>
    <v>13</v>
  </rv>
  <rv s="5">
    <fb>62.213999999999999</fb>
    <v>14</v>
  </rv>
  <rv s="5">
    <fb>89.283000000000001</fb>
    <v>14</v>
  </rv>
  <rv s="5">
    <fb>72.290000000000006</fb>
    <v>14</v>
  </rv>
  <rv s="5">
    <fb>577.35</fb>
    <v>14</v>
  </rv>
  <rv s="5">
    <fb>168.94</fb>
    <v>14</v>
  </rv>
  <rv s="5">
    <fb>274.3</fb>
    <v>14</v>
  </rv>
  <rv s="5">
    <fb>33.590000000000003</fb>
    <v>14</v>
  </rv>
  <rv s="5">
    <fb>4.9002999999999997</fb>
    <v>14</v>
  </rv>
  <rv s="5">
    <fb>119.08</fb>
    <v>14</v>
  </rv>
  <rv s="5">
    <fb>243.92</fb>
    <v>14</v>
  </rv>
  <rv s="5">
    <fb>3006.72</fb>
    <v>14</v>
  </rv>
  <rv s="5">
    <fb>43760</fb>
    <v>13</v>
  </rv>
  <rv s="5">
    <fb>62.06</fb>
    <v>14</v>
  </rv>
  <rv s="5">
    <fb>88.286500000000004</fb>
    <v>14</v>
  </rv>
  <rv s="5">
    <fb>70.849999999999994</fb>
    <v>14</v>
  </rv>
  <rv s="5">
    <fb>569.92999999999995</fb>
    <v>14</v>
  </rv>
  <rv s="5">
    <fb>261.26</fb>
    <v>14</v>
  </rv>
  <rv s="5">
    <fb>59.06</fb>
    <v>14</v>
  </rv>
  <rv s="5">
    <fb>34.82</fb>
    <v>14</v>
  </rv>
  <rv s="5">
    <fb>4.8902999999999999</fb>
    <v>14</v>
  </rv>
  <rv s="5">
    <fb>122.18</fb>
    <v>14</v>
  </rv>
  <rv s="5">
    <fb>249.48</fb>
    <v>14</v>
  </rv>
  <rv s="5">
    <fb>2995.99</fb>
    <v>14</v>
  </rv>
  <rv s="5">
    <fb>43761</fb>
    <v>13</v>
  </rv>
  <rv s="5">
    <fb>62.881500000000003</fb>
    <v>14</v>
  </rv>
  <rv s="5">
    <fb>88.108500000000006</fb>
    <v>14</v>
  </rv>
  <rv s="5">
    <fb>566.62</fb>
    <v>14</v>
  </rv>
  <rv s="5">
    <fb>260.85000000000002</fb>
    <v>14</v>
  </rv>
  <rv s="5">
    <fb>59</fb>
    <v>14</v>
  </rv>
  <rv s="5">
    <fb>35.33</fb>
    <v>14</v>
  </rv>
  <rv s="5">
    <fb>4.8773</fb>
    <v>14</v>
  </rv>
  <rv s="5">
    <fb>123</fb>
    <v>14</v>
  </rv>
  <rv s="5">
    <fb>247.8</fb>
    <v>14</v>
  </rv>
  <rv s="5">
    <fb>3004.52</fb>
    <v>14</v>
  </rv>
  <rv s="5">
    <fb>43762</fb>
    <v>13</v>
  </rv>
  <rv s="5">
    <fb>62.955500000000001</fb>
    <v>14</v>
  </rv>
  <rv s="5">
    <fb>89.039000000000001</fb>
    <v>14</v>
  </rv>
  <rv s="5">
    <fb>71.8</fb>
    <v>14</v>
  </rv>
  <rv s="5">
    <fb>563.34</fb>
    <v>14</v>
  </rv>
  <rv s="5">
    <fb>171.46</fb>
    <v>14</v>
  </rv>
  <rv s="5">
    <fb>268.75</fb>
    <v>14</v>
  </rv>
  <rv s="5">
    <fb>59.387500000000003</fb>
    <v>14</v>
  </rv>
  <rv s="5">
    <fb>35.11</fb>
    <v>14</v>
  </rv>
  <rv s="5">
    <fb>4.9215</fb>
    <v>14</v>
  </rv>
  <rv s="5">
    <fb>124.79</fb>
    <v>14</v>
  </rv>
  <rv s="5">
    <fb>244.51</fb>
    <v>14</v>
  </rv>
  <rv s="5">
    <fb>3010.29</fb>
    <v>14</v>
  </rv>
  <rv s="5">
    <fb>43763</fb>
    <v>13</v>
  </rv>
  <rv s="5">
    <fb>63.215000000000003</fb>
    <v>14</v>
  </rv>
  <rv s="5">
    <fb>88.066500000000005</fb>
    <v>14</v>
  </rv>
  <rv s="5">
    <fb>71.91</fb>
    <v>14</v>
  </rv>
  <rv s="5">
    <fb>565.74</fb>
    <v>14</v>
  </rv>
  <rv s="5">
    <fb>270.19</fb>
    <v>14</v>
  </rv>
  <rv s="5">
    <fb>59.22</fb>
    <v>14</v>
  </rv>
  <rv s="5">
    <fb>35.090000000000003</fb>
    <v>14</v>
  </rv>
  <rv s="5">
    <fb>5.1135000000000002</fb>
    <v>14</v>
  </rv>
  <rv s="5">
    <fb>123.25</fb>
    <v>14</v>
  </rv>
  <rv s="5">
    <fb>244.91</fb>
    <v>14</v>
  </rv>
  <rv s="5">
    <fb>3022.55</fb>
    <v>14</v>
  </rv>
  <rv s="5">
    <fb>43766</fb>
    <v>13</v>
  </rv>
  <rv s="5">
    <fb>64.448999999999998</fb>
    <v>14</v>
  </rv>
  <rv s="5">
    <fb>88.853999999999999</fb>
    <v>14</v>
  </rv>
  <rv s="5">
    <fb>71.34</fb>
    <v>14</v>
  </rv>
  <rv s="5">
    <fb>567.13</fb>
    <v>14</v>
  </rv>
  <rv s="5">
    <fb>172.68</fb>
    <v>14</v>
  </rv>
  <rv s="5">
    <fb>275.93</fb>
    <v>14</v>
  </rv>
  <rv s="5">
    <fb>58.307499999999997</fb>
    <v>14</v>
  </rv>
  <rv s="5">
    <fb>35.020000000000003</fb>
    <v>14</v>
  </rv>
  <rv s="5">
    <fb>5.1698000000000004</fb>
    <v>14</v>
  </rv>
  <rv s="5">
    <fb>123.48</fb>
    <v>14</v>
  </rv>
  <rv s="5">
    <fb>247.05</fb>
    <v>14</v>
  </rv>
  <rv s="5">
    <fb>3039.42</fb>
    <v>14</v>
  </rv>
  <rv s="5">
    <fb>43767</fb>
    <v>13</v>
  </rv>
  <rv s="5">
    <fb>63.033000000000001</fb>
    <v>14</v>
  </rv>
  <rv s="5">
    <fb>88.135499999999993</fb>
    <v>14</v>
  </rv>
  <rv s="5">
    <fb>72.739999999999995</fb>
    <v>14</v>
  </rv>
  <rv s="5">
    <fb>567.52</fb>
    <v>14</v>
  </rv>
  <rv s="5">
    <fb>173.16</fb>
    <v>14</v>
  </rv>
  <rv s="5">
    <fb>274.29000000000002</fb>
    <v>14</v>
  </rv>
  <rv s="5">
    <fb>58.15</fb>
    <v>14</v>
  </rv>
  <rv s="5">
    <fb>34.79</fb>
    <v>14</v>
  </rv>
  <rv s="5">
    <fb>5.0730000000000004</fb>
    <v>14</v>
  </rv>
  <rv s="5">
    <fb>123.6</fb>
    <v>14</v>
  </rv>
  <rv s="5">
    <fb>252.29</fb>
    <v>14</v>
  </rv>
  <rv s="5">
    <fb>3036.89</fb>
    <v>14</v>
  </rv>
  <rv s="5">
    <fb>43768</fb>
    <v>13</v>
  </rv>
  <rv s="5">
    <fb>63.034999999999997</fb>
    <v>14</v>
  </rv>
  <rv s="5">
    <fb>88.999499999999998</fb>
    <v>14</v>
  </rv>
  <rv s="5">
    <fb>571.16</fb>
    <v>14</v>
  </rv>
  <rv s="5">
    <fb>174.6</fb>
    <v>14</v>
  </rv>
  <rv s="5">
    <fb>277.14999999999998</fb>
    <v>14</v>
  </rv>
  <rv s="5">
    <fb>58.865000000000002</fb>
    <v>14</v>
  </rv>
  <rv s="5">
    <fb>33.1</fb>
    <v>14</v>
  </rv>
  <rv s="5">
    <fb>124.94</fb>
    <v>14</v>
  </rv>
  <rv s="5">
    <fb>254.8</fb>
    <v>14</v>
  </rv>
  <rv s="5">
    <fb>3046.77</fb>
    <v>14</v>
  </rv>
  <rv s="5">
    <fb>43769</fb>
    <v>13</v>
  </rv>
  <rv s="5">
    <fb>88.832999999999998</fb>
    <v>14</v>
  </rv>
  <rv s="5">
    <fb>566.78</fb>
    <v>14</v>
  </rv>
  <rv s="5">
    <fb>172.73</fb>
    <v>14</v>
  </rv>
  <rv s="5">
    <fb>276.81</fb>
    <v>14</v>
  </rv>
  <rv s="5">
    <fb>59.585000000000001</fb>
    <v>14</v>
  </rv>
  <rv s="5">
    <fb>32.69</fb>
    <v>14</v>
  </rv>
  <rv s="5">
    <fb>5.0255000000000001</fb>
    <v>14</v>
  </rv>
  <rv s="5">
    <fb>124.51</fb>
    <v>14</v>
  </rv>
  <rv s="5">
    <fb>3037.56</fb>
    <v>14</v>
  </rv>
  <rv s="5">
    <fb>43770</fb>
    <v>13</v>
  </rv>
  <rv s="5">
    <fb>63.612499999999997</fb>
    <v>14</v>
  </rv>
  <rv s="5">
    <fb>89.572000000000003</fb>
    <v>14</v>
  </rv>
  <rv s="5">
    <fb>68.36</fb>
    <v>14</v>
  </rv>
  <rv s="5">
    <fb>562.24</fb>
    <v>14</v>
  </rv>
  <rv s="5">
    <fb>176.12</fb>
    <v>14</v>
  </rv>
  <rv s="5">
    <fb>279.05</fb>
    <v>14</v>
  </rv>
  <rv s="5">
    <fb>58.927500000000002</fb>
    <v>14</v>
  </rv>
  <rv s="5">
    <fb>34.44</fb>
    <v>14</v>
  </rv>
  <rv s="5">
    <fb>5.0648</fb>
    <v>14</v>
  </rv>
  <rv s="5">
    <fb>123.87</fb>
    <v>14</v>
  </rv>
  <rv s="5">
    <fb>252.21</fb>
    <v>14</v>
  </rv>
  <rv s="5">
    <fb>3066.91</fb>
    <v>14</v>
  </rv>
  <rv s="5">
    <fb>43773</fb>
    <v>13</v>
  </rv>
  <rv s="5">
    <fb>64.480500000000006</fb>
    <v>14</v>
  </rv>
  <rv s="5">
    <fb>90.233000000000004</fb>
    <v>14</v>
  </rv>
  <rv s="5">
    <fb>543.20000000000005</fb>
    <v>14</v>
  </rv>
  <rv s="5">
    <fb>180</fb>
    <v>14</v>
  </rv>
  <rv s="5">
    <fb>276.33</fb>
    <v>14</v>
  </rv>
  <rv s="5">
    <fb>57.4</fb>
    <v>14</v>
  </rv>
  <rv s="5">
    <fb>36.24</fb>
    <v>14</v>
  </rv>
  <rv s="5">
    <fb>5.2625000000000002</fb>
    <v>14</v>
  </rv>
  <rv s="5">
    <fb>119.07</fb>
    <v>14</v>
  </rv>
  <rv s="5">
    <fb>251.25</fb>
    <v>14</v>
  </rv>
  <rv s="5">
    <fb>3078.27</fb>
    <v>14</v>
  </rv>
  <rv s="5">
    <fb>43774</fb>
    <v>13</v>
  </rv>
  <rv s="5">
    <fb>64.572000000000003</fb>
    <v>14</v>
  </rv>
  <rv s="5">
    <fb>90.085499999999996</fb>
    <v>14</v>
  </rv>
  <rv s="5">
    <fb>64.709999999999994</fb>
    <v>14</v>
  </rv>
  <rv s="5">
    <fb>527.19000000000005</fb>
    <v>14</v>
  </rv>
  <rv s="5">
    <fb>180.68</fb>
    <v>14</v>
  </rv>
  <rv s="5">
    <fb>56.777500000000003</fb>
    <v>14</v>
  </rv>
  <rv s="5">
    <fb>5.2403000000000004</fb>
    <v>14</v>
  </rv>
  <rv s="5">
    <fb>250.3</fb>
    <v>14</v>
  </rv>
  <rv s="5">
    <fb>3074.62</fb>
    <v>14</v>
  </rv>
  <rv s="5">
    <fb>43775</fb>
    <v>13</v>
  </rv>
  <rv s="5">
    <fb>64.5505</fb>
    <v>14</v>
  </rv>
  <rv s="5">
    <fb>89.788499999999999</fb>
    <v>14</v>
  </rv>
  <rv s="5">
    <fb>531.88</fb>
    <v>14</v>
  </rv>
  <rv s="5">
    <fb>180.81</fb>
    <v>14</v>
  </rv>
  <rv s="5">
    <fb>269.86</fb>
    <v>14</v>
  </rv>
  <rv s="5">
    <fb>56.872500000000002</fb>
    <v>14</v>
  </rv>
  <rv s="5">
    <fb>5.1908000000000003</fb>
    <v>14</v>
  </rv>
  <rv s="5">
    <fb>120.32</fb>
    <v>14</v>
  </rv>
  <rv s="5">
    <fb>250.52</fb>
    <v>14</v>
  </rv>
  <rv s="5">
    <fb>3076.78</fb>
    <v>14</v>
  </rv>
  <rv s="5">
    <fb>43776</fb>
    <v>13</v>
  </rv>
  <rv s="5">
    <fb>65.346999999999994</fb>
    <v>14</v>
  </rv>
  <rv s="5">
    <fb>89.41</fb>
    <v>14</v>
  </rv>
  <rv s="5">
    <fb>65.069999999999993</fb>
    <v>14</v>
  </rv>
  <rv s="5">
    <fb>522.5</fb>
    <v>14</v>
  </rv>
  <rv s="5">
    <fb>179.66</fb>
    <v>14</v>
  </rv>
  <rv s="5">
    <fb>272.79000000000002</fb>
    <v>14</v>
  </rv>
  <rv s="5">
    <fb>55.772500000000001</fb>
    <v>14</v>
  </rv>
  <rv s="5">
    <fb>5.2084999999999999</fb>
    <v>14</v>
  </rv>
  <rv s="5">
    <fb>119.62</fb>
    <v>14</v>
  </rv>
  <rv s="5">
    <fb>256.45999999999998</fb>
    <v>14</v>
  </rv>
  <rv s="5">
    <fb>3085.18</fb>
    <v>14</v>
  </rv>
  <rv s="5">
    <fb>43777</fb>
    <v>13</v>
  </rv>
  <rv s="5">
    <fb>65.45</fb>
    <v>14</v>
  </rv>
  <rv s="5">
    <fb>89.293999999999997</fb>
    <v>14</v>
  </rv>
  <rv s="5">
    <fb>530.30999999999995</fb>
    <v>14</v>
  </rv>
  <rv s="5">
    <fb>181.21</fb>
    <v>14</v>
  </rv>
  <rv s="5">
    <fb>274.89</fb>
    <v>14</v>
  </rv>
  <rv s="5">
    <fb>55.52</fb>
    <v>14</v>
  </rv>
  <rv s="5">
    <fb>5.1944999999999997</fb>
    <v>14</v>
  </rv>
  <rv s="5">
    <fb>119.7</fb>
    <v>14</v>
  </rv>
  <rv s="5">
    <fb>256.97000000000003</fb>
    <v>14</v>
  </rv>
  <rv s="5">
    <fb>3093.08</fb>
    <v>14</v>
  </rv>
  <rv s="5">
    <fb>43780</fb>
    <v>13</v>
  </rv>
  <rv s="5">
    <fb>64.914000000000001</fb>
    <v>14</v>
  </rv>
  <rv s="5">
    <fb>88.582499999999996</fb>
    <v>14</v>
  </rv>
  <rv s="5">
    <fb>64.540000000000006</fb>
    <v>14</v>
  </rv>
  <rv s="5">
    <fb>535</fb>
    <v>14</v>
  </rv>
  <rv s="5">
    <fb>180.83</fb>
    <v>14</v>
  </rv>
  <rv s="5">
    <fb>277</fb>
    <v>14</v>
  </rv>
  <rv s="5">
    <fb>36.409999999999997</fb>
    <v>14</v>
  </rv>
  <rv s="5">
    <fb>5.2045000000000003</fb>
    <v>14</v>
  </rv>
  <rv s="5">
    <fb>119.33</fb>
    <v>14</v>
  </rv>
  <rv s="5">
    <fb>254.09</fb>
    <v>14</v>
  </rv>
  <rv s="5">
    <fb>3087.01</fb>
    <v>14</v>
  </rv>
  <rv s="5">
    <fb>43781</fb>
    <v>13</v>
  </rv>
  <rv s="5">
    <fb>64.860500000000002</fb>
    <v>14</v>
  </rv>
  <rv s="5">
    <fb>88.9</fb>
    <v>14</v>
  </rv>
  <rv s="5">
    <fb>64.37</fb>
    <v>14</v>
  </rv>
  <rv s="5">
    <fb>531.24</fb>
    <v>14</v>
  </rv>
  <rv s="5">
    <fb>182.01</fb>
    <v>14</v>
  </rv>
  <rv s="5">
    <fb>277.14</fb>
    <v>14</v>
  </rv>
  <rv s="5">
    <fb>55.805</fb>
    <v>14</v>
  </rv>
  <rv s="5">
    <fb>36.21</fb>
    <v>14</v>
  </rv>
  <rv s="5">
    <fb>119.27</fb>
    <v>14</v>
  </rv>
  <rv s="5">
    <fb>255.25</fb>
    <v>14</v>
  </rv>
  <rv s="5">
    <fb>3091.84</fb>
    <v>14</v>
  </rv>
  <rv s="5">
    <fb>43782</fb>
    <v>13</v>
  </rv>
  <rv s="5">
    <fb>64.808999999999997</fb>
    <v>14</v>
  </rv>
  <rv s="5">
    <fb>87.655500000000004</fb>
    <v>14</v>
  </rv>
  <rv s="5">
    <fb>540.73</fb>
    <v>14</v>
  </rv>
  <rv s="5">
    <fb>181.95</fb>
    <v>14</v>
  </rv>
  <rv s="5">
    <fb>56.977499999999999</fb>
    <v>14</v>
  </rv>
  <rv s="5">
    <fb>35.03</fb>
    <v>14</v>
  </rv>
  <rv s="5">
    <fb>5.2142999999999997</fb>
    <v>14</v>
  </rv>
  <rv s="5">
    <fb>120.65</fb>
    <v>14</v>
  </rv>
  <rv s="5">
    <fb>253.57</fb>
    <v>14</v>
  </rv>
  <rv s="5">
    <fb>3094.04</fb>
    <v>14</v>
  </rv>
  <rv s="5">
    <fb>43783</fb>
    <v>13</v>
  </rv>
  <rv s="5">
    <fb>65.457499999999996</fb>
    <v>14</v>
  </rv>
  <rv s="5">
    <fb>544.71</fb>
    <v>14</v>
  </rv>
  <rv s="5">
    <fb>179.65</fb>
    <v>14</v>
  </rv>
  <rv s="5">
    <fb>279.63</fb>
    <v>14</v>
  </rv>
  <rv s="5">
    <fb>57.467500000000001</fb>
    <v>14</v>
  </rv>
  <rv s="5">
    <fb>34.71</fb>
    <v>14</v>
  </rv>
  <rv s="5">
    <fb>5.2447999999999997</fb>
    <v>14</v>
  </rv>
  <rv s="5">
    <fb>120.5</fb>
    <v>14</v>
  </rv>
  <rv s="5">
    <fb>255.83</fb>
    <v>14</v>
  </rv>
  <rv s="5">
    <fb>3096.63</fb>
    <v>14</v>
  </rv>
  <rv s="5">
    <fb>43784</fb>
    <v>13</v>
  </rv>
  <rv s="5">
    <fb>66.677000000000007</fb>
    <v>14</v>
  </rv>
  <rv s="5">
    <fb>86.974500000000006</fb>
    <v>14</v>
  </rv>
  <rv s="5">
    <fb>65.599999999999994</fb>
    <v>14</v>
  </rv>
  <rv s="5">
    <fb>550.41</fb>
    <v>14</v>
  </rv>
  <rv s="5">
    <fb>181.75</fb>
    <v>14</v>
  </rv>
  <rv s="5">
    <fb>280.77999999999997</fb>
    <v>14</v>
  </rv>
  <rv s="5">
    <fb>57.854999999999997</fb>
    <v>14</v>
  </rv>
  <rv s="5">
    <fb>5.1048</fb>
    <v>14</v>
  </rv>
  <rv s="5">
    <fb>120.54</fb>
    <v>14</v>
  </rv>
  <rv s="5">
    <fb>269.39999999999998</fb>
    <v>14</v>
  </rv>
  <rv s="5">
    <fb>3120.46</fb>
    <v>14</v>
  </rv>
  <rv s="5">
    <fb>43787</fb>
    <v>13</v>
  </rv>
  <rv s="5">
    <fb>65.992000000000004</fb>
    <v>14</v>
  </rv>
  <rv s="5">
    <fb>87.626499999999993</fb>
    <v>14</v>
  </rv>
  <rv s="5">
    <fb>67.59</fb>
    <v>14</v>
  </rv>
  <rv s="5">
    <fb>558.21</fb>
    <v>14</v>
  </rv>
  <rv s="5">
    <fb>179.8</fb>
    <v>14</v>
  </rv>
  <rv s="5">
    <fb>280.86</fb>
    <v>14</v>
  </rv>
  <rv s="5">
    <fb>58.04</fb>
    <v>14</v>
  </rv>
  <rv s="5">
    <fb>5.3070000000000004</fb>
    <v>14</v>
  </rv>
  <rv s="5">
    <fb>121.89</fb>
    <v>14</v>
  </rv>
  <rv s="5">
    <fb>272.93</fb>
    <v>14</v>
  </rv>
  <rv s="5">
    <fb>3122.03</fb>
    <v>14</v>
  </rv>
  <rv s="5">
    <fb>43788</fb>
    <v>13</v>
  </rv>
  <rv s="5">
    <fb>65.629499999999993</fb>
    <v>14</v>
  </rv>
  <rv s="5">
    <fb>87.639499999999998</fb>
    <v>14</v>
  </rv>
  <rv s="5">
    <fb>564.96</fb>
    <v>14</v>
  </rv>
  <rv s="5">
    <fb>285.31</fb>
    <v>14</v>
  </rv>
  <rv s="5">
    <fb>58.164999999999999</fb>
    <v>14</v>
  </rv>
  <rv s="5">
    <fb>34.31</fb>
    <v>14</v>
  </rv>
  <rv s="5">
    <fb>5.1997999999999998</fb>
    <v>14</v>
  </rv>
  <rv s="5">
    <fb>274.23</fb>
    <v>14</v>
  </rv>
  <rv s="5">
    <fb>3120.18</fb>
    <v>14</v>
  </rv>
  <rv s="5">
    <fb>43789</fb>
    <v>13</v>
  </rv>
  <rv s="5">
    <fb>65.093000000000004</fb>
    <v>14</v>
  </rv>
  <rv s="5">
    <fb>87.276499999999999</fb>
    <v>14</v>
  </rv>
  <rv s="5">
    <fb>568.76</fb>
    <v>14</v>
  </rv>
  <rv s="5">
    <fb>177.22</fb>
    <v>14</v>
  </rv>
  <rv s="5">
    <fb>285.38</fb>
    <v>14</v>
  </rv>
  <rv s="5">
    <fb>58.805</fb>
    <v>14</v>
  </rv>
  <rv s="5">
    <fb>5.2794999999999996</fb>
    <v>14</v>
  </rv>
  <rv s="5">
    <fb>122.29</fb>
    <v>14</v>
  </rv>
  <rv s="5">
    <fb>275.56</fb>
    <v>14</v>
  </rv>
  <rv s="5">
    <fb>3108.46</fb>
    <v>14</v>
  </rv>
  <rv s="5">
    <fb>43790</fb>
    <v>13</v>
  </rv>
  <rv s="5">
    <fb>65.007000000000005</fb>
    <v>14</v>
  </rv>
  <rv s="5">
    <fb>86.735500000000002</fb>
    <v>14</v>
  </rv>
  <rv s="5">
    <fb>560.16999999999996</fb>
    <v>14</v>
  </rv>
  <rv s="5">
    <fb>176.53</fb>
    <v>14</v>
  </rv>
  <rv s="5">
    <fb>284.45</fb>
    <v>14</v>
  </rv>
  <rv s="5">
    <fb>58.784999999999997</fb>
    <v>14</v>
  </rv>
  <rv s="5">
    <fb>36.619999999999997</fb>
    <v>14</v>
  </rv>
  <rv s="5">
    <fb>5.2545000000000002</fb>
    <v>14</v>
  </rv>
  <rv s="5">
    <fb>120.34</fb>
    <v>14</v>
  </rv>
  <rv s="5">
    <fb>3103.54</fb>
    <v>14</v>
  </rv>
  <rv s="5">
    <fb>43791</fb>
    <v>13</v>
  </rv>
  <rv s="5">
    <fb>64.683499999999995</fb>
    <v>14</v>
  </rv>
  <rv s="5">
    <fb>87.286000000000001</fb>
    <v>14</v>
  </rv>
  <rv s="5">
    <fb>65.73</fb>
    <v>14</v>
  </rv>
  <rv s="5">
    <fb>557.58000000000004</fb>
    <v>14</v>
  </rv>
  <rv s="5">
    <fb>176.79</fb>
    <v>14</v>
  </rv>
  <rv s="5">
    <fb>282.57</fb>
    <v>14</v>
  </rv>
  <rv s="5">
    <fb>58.344999999999999</fb>
    <v>14</v>
  </rv>
  <rv s="5">
    <fb>5.2723000000000004</fb>
    <v>14</v>
  </rv>
  <rv s="5">
    <fb>120.29</fb>
    <v>14</v>
  </rv>
  <rv s="5">
    <fb>276.83999999999997</fb>
    <v>14</v>
  </rv>
  <rv s="5">
    <fb>3110.29</fb>
    <v>14</v>
  </rv>
  <rv s="5">
    <fb>43794</fb>
    <v>13</v>
  </rv>
  <rv s="5">
    <fb>65.281999999999996</fb>
    <v>14</v>
  </rv>
  <rv s="5">
    <fb>88.691999999999993</fb>
    <v>14</v>
  </rv>
  <rv s="5">
    <fb>553.85</fb>
    <v>14</v>
  </rv>
  <rv s="5">
    <fb>176.51</fb>
    <v>14</v>
  </rv>
  <rv s="5">
    <fb>287.61</fb>
    <v>14</v>
  </rv>
  <rv s="5">
    <fb>58.14</fb>
    <v>14</v>
  </rv>
  <rv s="5">
    <fb>37.08</fb>
    <v>14</v>
  </rv>
  <rv s="5">
    <fb>5.5303000000000004</fb>
    <v>14</v>
  </rv>
  <rv s="5">
    <fb>120.51</fb>
    <v>14</v>
  </rv>
  <rv s="5">
    <fb>282.67</fb>
    <v>14</v>
  </rv>
  <rv s="5">
    <fb>3133.64</fb>
    <v>14</v>
  </rv>
  <rv s="5">
    <fb>43795</fb>
    <v>13</v>
  </rv>
  <rv s="5">
    <fb>65.650000000000006</fb>
    <v>14</v>
  </rv>
  <rv s="5">
    <fb>89.846999999999994</fb>
    <v>14</v>
  </rv>
  <rv s="5">
    <fb>66.7</fb>
    <v>14</v>
  </rv>
  <rv s="5">
    <fb>554.67999999999995</fb>
    <v>14</v>
  </rv>
  <rv s="5">
    <fb>178.52</fb>
    <v>14</v>
  </rv>
  <rv s="5">
    <fb>289.38</fb>
    <v>14</v>
  </rv>
  <rv s="5">
    <fb>58.73</fb>
    <v>14</v>
  </rv>
  <rv s="5">
    <fb>36.39</fb>
    <v>14</v>
  </rv>
  <rv s="5">
    <fb>5.4249999999999998</fb>
    <v>14</v>
  </rv>
  <rv s="5">
    <fb>122.26</fb>
    <v>14</v>
  </rv>
  <rv s="5">
    <fb>281.39999999999998</fb>
    <v>14</v>
  </rv>
  <rv s="5">
    <fb>3140.52</fb>
    <v>14</v>
  </rv>
  <rv s="5">
    <fb>43796</fb>
    <v>13</v>
  </rv>
  <rv s="5">
    <fb>65.606499999999997</fb>
    <v>14</v>
  </rv>
  <rv s="5">
    <fb>90.9255</fb>
    <v>14</v>
  </rv>
  <rv s="5">
    <fb>565.19000000000005</fb>
    <v>14</v>
  </rv>
  <rv s="5">
    <fb>179.42</fb>
    <v>14</v>
  </rv>
  <rv s="5">
    <fb>291.7</fb>
    <v>14</v>
  </rv>
  <rv s="5">
    <fb>58.267499999999998</fb>
    <v>14</v>
  </rv>
  <rv s="5">
    <fb>36.770000000000003</fb>
    <v>14</v>
  </rv>
  <rv s="5">
    <fb>5.4560000000000004</fb>
    <v>14</v>
  </rv>
  <rv s="5">
    <fb>121.76</fb>
    <v>14</v>
  </rv>
  <rv s="5">
    <fb>280.67</fb>
    <v>14</v>
  </rv>
  <rv s="5">
    <fb>3153.63</fb>
    <v>14</v>
  </rv>
  <rv s="5">
    <fb>43798</fb>
    <v>13</v>
  </rv>
  <rv s="5">
    <fb>65.204499999999996</fb>
    <v>14</v>
  </rv>
  <rv s="5">
    <fb>90.04</fb>
    <v>14</v>
  </rv>
  <rv s="5">
    <fb>66.06</fb>
    <v>14</v>
  </rv>
  <rv s="5">
    <fb>566.85</fb>
    <v>14</v>
  </rv>
  <rv s="5">
    <fb>178.55</fb>
    <v>14</v>
  </rv>
  <rv s="5">
    <fb>292.23</fb>
    <v>14</v>
  </rv>
  <rv s="5">
    <fb>58.454999999999998</fb>
    <v>14</v>
  </rv>
  <rv s="5">
    <fb>5.4184999999999999</fb>
    <v>14</v>
  </rv>
  <rv s="5">
    <fb>122.06</fb>
    <v>14</v>
  </rv>
  <rv s="5">
    <fb>279.87</fb>
    <v>14</v>
  </rv>
  <rv s="5">
    <fb>3140.98</fb>
    <v>14</v>
  </rv>
  <rv s="5">
    <fb>43801</fb>
    <v>13</v>
  </rv>
  <rv s="5">
    <fb>64.442999999999998</fb>
    <v>14</v>
  </rv>
  <rv s="5">
    <fb>89.08</fb>
    <v>14</v>
  </rv>
  <rv s="5">
    <fb>549.74</fb>
    <v>14</v>
  </rv>
  <rv s="5">
    <fb>174.32</fb>
    <v>14</v>
  </rv>
  <rv s="5">
    <fb>286.47000000000003</fb>
    <v>14</v>
  </rv>
  <rv s="5">
    <fb>57.8125</fb>
    <v>14</v>
  </rv>
  <rv s="5">
    <fb>36.36</fb>
    <v>14</v>
  </rv>
  <rv s="5">
    <fb>5.2313000000000001</fb>
    <v>14</v>
  </rv>
  <rv s="5">
    <fb>122.72</fb>
    <v>14</v>
  </rv>
  <rv s="5">
    <fb>279.66000000000003</fb>
    <v>14</v>
  </rv>
  <rv s="5">
    <fb>3113.87</fb>
    <v>14</v>
  </rv>
  <rv s="5">
    <fb>43802</fb>
    <v>13</v>
  </rv>
  <rv s="5">
    <fb>64.736999999999995</fb>
    <v>14</v>
  </rv>
  <rv s="5">
    <fb>88.498000000000005</fb>
    <v>14</v>
  </rv>
  <rv s="5">
    <fb>552.6</fb>
    <v>14</v>
  </rv>
  <rv s="5">
    <fb>287.08999999999997</fb>
    <v>14</v>
  </rv>
  <rv s="5">
    <fb>58.057499999999997</fb>
    <v>14</v>
  </rv>
  <rv s="5">
    <fb>34.99</fb>
    <v>14</v>
  </rv>
  <rv s="5">
    <fb>5.1914999999999996</fb>
    <v>14</v>
  </rv>
  <rv s="5">
    <fb>122.95</fb>
    <v>14</v>
  </rv>
  <rv s="5">
    <fb>276.89999999999998</fb>
    <v>14</v>
  </rv>
  <rv s="5">
    <fb>3093.2</fb>
    <v>14</v>
  </rv>
  <rv s="5">
    <fb>43803</fb>
    <v>13</v>
  </rv>
  <rv s="5">
    <fb>65.947000000000003</fb>
    <v>14</v>
  </rv>
  <rv s="5">
    <fb>88.034499999999994</fb>
    <v>14</v>
  </rv>
  <rv s="5">
    <fb>65.75</fb>
    <v>14</v>
  </rv>
  <rv s="5">
    <fb>562.92999999999995</fb>
    <v>14</v>
  </rv>
  <rv s="5">
    <fb>173.21</fb>
    <v>14</v>
  </rv>
  <rv s="5">
    <fb>286.83999999999997</fb>
    <v>14</v>
  </rv>
  <rv s="5">
    <fb>58.564999999999998</fb>
    <v>14</v>
  </rv>
  <rv s="5">
    <fb>36.19</fb>
    <v>14</v>
  </rv>
  <rv s="5">
    <fb>5.2355</fb>
    <v>14</v>
  </rv>
  <rv s="5">
    <fb>124.53</fb>
    <v>14</v>
  </rv>
  <rv s="5">
    <fb>279.32</fb>
    <v>14</v>
  </rv>
  <rv s="5">
    <fb>3112.76</fb>
    <v>14</v>
  </rv>
  <rv s="5">
    <fb>43804</fb>
    <v>13</v>
  </rv>
  <rv s="5">
    <fb>66.347999999999999</fb>
    <v>14</v>
  </rv>
  <rv s="5">
    <fb>87.024000000000001</fb>
    <v>14</v>
  </rv>
  <rv s="5">
    <fb>66.14</fb>
    <v>14</v>
  </rv>
  <rv s="5">
    <fb>560.05999999999995</fb>
    <v>14</v>
  </rv>
  <rv s="5">
    <fb>174.01</fb>
    <v>14</v>
  </rv>
  <rv s="5">
    <fb>289.85000000000002</fb>
    <v>14</v>
  </rv>
  <rv s="5">
    <fb>58.64</fb>
    <v>14</v>
  </rv>
  <rv s="5">
    <fb>35.85</fb>
    <v>14</v>
  </rv>
  <rv s="5">
    <fb>5.2184999999999997</fb>
    <v>14</v>
  </rv>
  <rv s="5">
    <fb>124.62</fb>
    <v>14</v>
  </rv>
  <rv s="5">
    <fb>282</fb>
    <v>14</v>
  </rv>
  <rv s="5">
    <fb>3117.43</fb>
    <v>14</v>
  </rv>
  <rv s="5">
    <fb>43805</fb>
    <v>13</v>
  </rv>
  <rv s="5">
    <fb>66.969499999999996</fb>
    <v>14</v>
  </rv>
  <rv s="5">
    <fb>559.19000000000005</fb>
    <v>14</v>
  </rv>
  <rv s="5">
    <fb>175.46</fb>
    <v>14</v>
  </rv>
  <rv s="5">
    <fb>290.39999999999998</fb>
    <v>14</v>
  </rv>
  <rv s="5">
    <fb>58.597499999999997</fb>
    <v>14</v>
  </rv>
  <rv s="5">
    <fb>36.89</fb>
    <v>14</v>
  </rv>
  <rv s="5">
    <fb>5.3042999999999996</fb>
    <v>14</v>
  </rv>
  <rv s="5">
    <fb>124.19</fb>
    <v>14</v>
  </rv>
  <rv s="5">
    <fb>280.19</fb>
    <v>14</v>
  </rv>
  <rv s="5">
    <fb>3145.91</fb>
    <v>14</v>
  </rv>
  <rv s="5">
    <fb>43808</fb>
    <v>13</v>
  </rv>
  <rv s="5">
    <fb>67.149500000000003</fb>
    <v>14</v>
  </rv>
  <rv s="5">
    <fb>87.475499999999997</fb>
    <v>14</v>
  </rv>
  <rv s="5">
    <fb>64.13</fb>
    <v>14</v>
  </rv>
  <rv s="5">
    <fb>560.72</fb>
    <v>14</v>
  </rv>
  <rv s="5">
    <fb>174.49</fb>
    <v>14</v>
  </rv>
  <rv s="5">
    <fb>289.06</fb>
    <v>14</v>
  </rv>
  <rv s="5">
    <fb>58.567500000000003</fb>
    <v>14</v>
  </rv>
  <rv s="5">
    <fb>277.54000000000002</fb>
    <v>14</v>
  </rv>
  <rv s="5">
    <fb>3135.96</fb>
    <v>14</v>
  </rv>
  <rv s="5">
    <fb>43809</fb>
    <v>13</v>
  </rv>
  <rv s="5">
    <fb>67.144499999999994</fb>
    <v>14</v>
  </rv>
  <rv s="5">
    <fb>86.960499999999996</fb>
    <v>14</v>
  </rv>
  <rv s="5">
    <fb>63.91</fb>
    <v>14</v>
  </rv>
  <rv s="5">
    <fb>557.73</fb>
    <v>14</v>
  </rv>
  <rv s="5">
    <fb>288.61</fb>
    <v>14</v>
  </rv>
  <rv s="5">
    <fb>58.612499999999997</fb>
    <v>14</v>
  </rv>
  <rv s="5">
    <fb>37.340000000000003</fb>
    <v>14</v>
  </rv>
  <rv s="5">
    <fb>5.3494999999999999</fb>
    <v>14</v>
  </rv>
  <rv s="5">
    <fb>124.27</fb>
    <v>14</v>
  </rv>
  <rv s="5">
    <fb>279.52</fb>
    <v>14</v>
  </rv>
  <rv s="5">
    <fb>3132.52</fb>
    <v>14</v>
  </rv>
  <rv s="5">
    <fb>43810</fb>
    <v>13</v>
  </rv>
  <rv s="5">
    <fb>67.212500000000006</fb>
    <v>14</v>
  </rv>
  <rv s="5">
    <fb>87.436000000000007</fb>
    <v>14</v>
  </rv>
  <rv s="5">
    <fb>63.87</fb>
    <v>14</v>
  </rv>
  <rv s="5">
    <fb>559.14</fb>
    <v>14</v>
  </rv>
  <rv s="5">
    <fb>176.01</fb>
    <v>14</v>
  </rv>
  <rv s="5">
    <fb>290.05</fb>
    <v>14</v>
  </rv>
  <rv s="5">
    <fb>58.945</fb>
    <v>14</v>
  </rv>
  <rv s="5">
    <fb>5.4335000000000004</fb>
    <v>14</v>
  </rv>
  <rv s="5">
    <fb>124.66</fb>
    <v>14</v>
  </rv>
  <rv s="5">
    <fb>280.5</fb>
    <v>14</v>
  </rv>
  <rv s="5">
    <fb>3141.63</fb>
    <v>14</v>
  </rv>
  <rv s="5">
    <fb>43811</fb>
    <v>13</v>
  </rv>
  <rv s="5">
    <fb>67.424499999999995</fb>
    <v>14</v>
  </rv>
  <rv s="5">
    <fb>88.016499999999994</fb>
    <v>14</v>
  </rv>
  <rv s="5">
    <fb>63.41</fb>
    <v>14</v>
  </rv>
  <rv s="5">
    <fb>547.79999999999995</fb>
    <v>14</v>
  </rv>
  <rv s="5">
    <fb>177.39</fb>
    <v>14</v>
  </rv>
  <rv s="5">
    <fb>292.20999999999998</fb>
    <v>14</v>
  </rv>
  <rv s="5">
    <fb>58.475000000000001</fb>
    <v>14</v>
  </rv>
  <rv s="5">
    <fb>39.07</fb>
    <v>14</v>
  </rv>
  <rv s="5">
    <fb>5.6017999999999999</fb>
    <v>14</v>
  </rv>
  <rv s="5">
    <fb>283.61</fb>
    <v>14</v>
  </rv>
  <rv s="5">
    <fb>3168.57</fb>
    <v>14</v>
  </rv>
  <rv s="5">
    <fb>43812</fb>
    <v>13</v>
  </rv>
  <rv s="5">
    <fb>67.343500000000006</fb>
    <v>14</v>
  </rv>
  <rv s="5">
    <fb>88.046999999999997</fb>
    <v>14</v>
  </rv>
  <rv s="5">
    <fb>63.34</fb>
    <v>14</v>
  </rv>
  <rv s="5">
    <fb>551.84</fb>
    <v>14</v>
  </rv>
  <rv s="5">
    <fb>176.98</fb>
    <v>14</v>
  </rv>
  <rv s="5">
    <fb>296.08999999999997</fb>
    <v>14</v>
  </rv>
  <rv s="5">
    <fb>59.237499999999997</fb>
    <v>14</v>
  </rv>
  <rv s="5">
    <fb>5.5998000000000001</fb>
    <v>14</v>
  </rv>
  <rv s="5">
    <fb>285.48</fb>
    <v>14</v>
  </rv>
  <rv s="5">
    <fb>3168.8</fb>
    <v>14</v>
  </rv>
  <rv s="5">
    <fb>43815</fb>
    <v>13</v>
  </rv>
  <rv s="5">
    <fb>68.034999999999997</fb>
    <v>14</v>
  </rv>
  <rv s="5">
    <fb>88.460499999999996</fb>
    <v>14</v>
  </rv>
  <rv s="5">
    <fb>63.97</fb>
    <v>14</v>
  </rv>
  <rv s="5">
    <fb>562.79999999999995</fb>
    <v>14</v>
  </rv>
  <rv s="5">
    <fb>176.4</fb>
    <v>14</v>
  </rv>
  <rv s="5">
    <fb>296.95999999999998</fb>
    <v>14</v>
  </rv>
  <rv s="5">
    <fb>59.8675</fb>
    <v>14</v>
  </rv>
  <rv s="5">
    <fb>5.6288</fb>
    <v>14</v>
  </rv>
  <rv s="5">
    <fb>125.56</fb>
    <v>14</v>
  </rv>
  <rv s="5">
    <fb>292.02999999999997</fb>
    <v>14</v>
  </rv>
  <rv s="5">
    <fb>3191.45</fb>
    <v>14</v>
  </rv>
  <rv s="5">
    <fb>43816</fb>
    <v>13</v>
  </rv>
  <rv s="5">
    <fb>67.744500000000002</fb>
    <v>14</v>
  </rv>
  <rv s="5">
    <fb>89.533000000000001</fb>
    <v>14</v>
  </rv>
  <rv s="5">
    <fb>64.19</fb>
    <v>14</v>
  </rv>
  <rv s="5">
    <fb>176.7</fb>
    <v>14</v>
  </rv>
  <rv s="5">
    <fb>296</fb>
    <v>14</v>
  </rv>
  <rv s="5">
    <fb>39.46</fb>
    <v>14</v>
  </rv>
  <rv s="5">
    <fb>5.7073</fb>
    <v>14</v>
  </rv>
  <rv s="5">
    <fb>125.31</fb>
    <v>14</v>
  </rv>
  <rv s="5">
    <fb>290.47000000000003</fb>
    <v>14</v>
  </rv>
  <rv s="5">
    <fb>3192.52</fb>
    <v>14</v>
  </rv>
  <rv s="5">
    <fb>43817</fb>
    <v>13</v>
  </rv>
  <rv s="5">
    <fb>67.595500000000001</fb>
    <v>14</v>
  </rv>
  <rv s="5">
    <fb>89.201499999999996</fb>
    <v>14</v>
  </rv>
  <rv s="5">
    <fb>565.45000000000005</fb>
    <v>14</v>
  </rv>
  <rv s="5">
    <fb>174.64</fb>
    <v>14</v>
  </rv>
  <rv s="5">
    <fb>294.74</fb>
    <v>14</v>
  </rv>
  <rv s="5">
    <fb>60.072499999999998</fb>
    <v>14</v>
  </rv>
  <rv s="5">
    <fb>5.7378</fb>
    <v>14</v>
  </rv>
  <rv s="5">
    <fb>292.89999999999998</fb>
    <v>14</v>
  </rv>
  <rv s="5">
    <fb>3191.14</fb>
    <v>14</v>
  </rv>
  <rv s="5">
    <fb>43818</fb>
    <v>13</v>
  </rv>
  <rv s="5">
    <fb>67.822000000000003</fb>
    <v>14</v>
  </rv>
  <rv s="5">
    <fb>89.614000000000004</fb>
    <v>14</v>
  </rv>
  <rv s="5">
    <fb>63.72</fb>
    <v>14</v>
  </rv>
  <rv s="5">
    <fb>575.91999999999996</fb>
    <v>14</v>
  </rv>
  <rv s="5">
    <fb>176.5</fb>
    <v>14</v>
  </rv>
  <rv s="5">
    <fb>297.52999999999997</fb>
    <v>14</v>
  </rv>
  <rv s="5">
    <fb>60.162500000000001</fb>
    <v>14</v>
  </rv>
  <rv s="5">
    <fb>39.61</fb>
    <v>14</v>
  </rv>
  <rv s="5">
    <fb>5.8864999999999998</fb>
    <v>14</v>
  </rv>
  <rv s="5">
    <fb>124.92</fb>
    <v>14</v>
  </rv>
  <rv s="5">
    <fb>294.62</fb>
    <v>14</v>
  </rv>
  <rv s="5">
    <fb>3205.37</fb>
    <v>14</v>
  </rv>
  <rv s="5">
    <fb>43819</fb>
    <v>13</v>
  </rv>
  <rv s="5">
    <fb>67.561000000000007</fb>
    <v>14</v>
  </rv>
  <rv s="5">
    <fb>89.325000000000003</fb>
    <v>14</v>
  </rv>
  <rv s="5">
    <fb>65.180000000000007</fb>
    <v>14</v>
  </rv>
  <rv s="5">
    <fb>577.71</fb>
    <v>14</v>
  </rv>
  <rv s="5">
    <fb>176.41</fb>
    <v>14</v>
  </rv>
  <rv s="5">
    <fb>298.57</fb>
    <v>14</v>
  </rv>
  <rv s="5">
    <fb>60.677500000000002</fb>
    <v>14</v>
  </rv>
  <rv s="5">
    <fb>39.43</fb>
    <v>14</v>
  </rv>
  <rv s="5">
    <fb>5.9843000000000002</fb>
    <v>14</v>
  </rv>
  <rv s="5">
    <fb>125.36</fb>
    <v>14</v>
  </rv>
  <rv s="5">
    <fb>292.58999999999997</fb>
    <v>14</v>
  </rv>
  <rv s="5">
    <fb>3221.22</fb>
    <v>14</v>
  </rv>
  <rv s="5">
    <fb>43822</fb>
    <v>13</v>
  </rv>
  <rv s="5">
    <fb>67.531499999999994</fb>
    <v>14</v>
  </rv>
  <rv s="5">
    <fb>89.65</fb>
    <v>14</v>
  </rv>
  <rv s="5">
    <fb>571.64</fb>
    <v>14</v>
  </rv>
  <rv s="5">
    <fb>176.43</fb>
    <v>14</v>
  </rv>
  <rv s="5">
    <fb>297.27</fb>
    <v>14</v>
  </rv>
  <rv s="5">
    <fb>59.695</fb>
    <v>14</v>
  </rv>
  <rv s="5">
    <fb>5.9705000000000004</fb>
    <v>14</v>
  </rv>
  <rv s="5">
    <fb>124.9</fb>
    <v>14</v>
  </rv>
  <rv s="5">
    <fb>295.08999999999997</fb>
    <v>14</v>
  </rv>
  <rv s="5">
    <fb>3224.01</fb>
    <v>14</v>
  </rv>
  <rv s="5">
    <fb>43823</fb>
    <v>13</v>
  </rv>
  <rv s="5">
    <fb>67.221500000000006</fb>
    <v>14</v>
  </rv>
  <rv s="5">
    <fb>89.460499999999996</fb>
    <v>14</v>
  </rv>
  <rv s="5">
    <fb>65.23</fb>
    <v>14</v>
  </rv>
  <rv s="5">
    <fb>573.24</fb>
    <v>14</v>
  </rv>
  <rv s="5">
    <fb>176.31</fb>
    <v>14</v>
  </rv>
  <rv s="5">
    <fb>297.48</fb>
    <v>14</v>
  </rv>
  <rv s="5">
    <fb>60.127499999999998</fb>
    <v>14</v>
  </rv>
  <rv s="5">
    <fb>5.9654999999999996</fb>
    <v>14</v>
  </rv>
  <rv s="5">
    <fb>125.22</fb>
    <v>14</v>
  </rv>
  <rv s="5">
    <fb>294.54000000000002</fb>
    <v>14</v>
  </rv>
  <rv s="5">
    <fb>3223.38</fb>
    <v>14</v>
  </rv>
  <rv s="5">
    <fb>43825</fb>
    <v>13</v>
  </rv>
  <rv s="5">
    <fb>68.123500000000007</fb>
    <v>14</v>
  </rv>
  <rv s="5">
    <fb>93.438500000000005</fb>
    <v>14</v>
  </rv>
  <rv s="5">
    <fb>64.91</fb>
    <v>14</v>
  </rv>
  <rv s="5">
    <fb>579.51</fb>
    <v>14</v>
  </rv>
  <rv s="5">
    <fb>176.88</fb>
    <v>14</v>
  </rv>
  <rv s="5">
    <fb>299.2</fb>
    <v>14</v>
  </rv>
  <rv s="5">
    <fb>60.49</fb>
    <v>14</v>
  </rv>
  <rv s="5">
    <fb>5.9798</fb>
    <v>14</v>
  </rv>
  <rv s="5">
    <fb>295.64999999999998</fb>
    <v>14</v>
  </rv>
  <rv s="5">
    <fb>3239.91</fb>
    <v>14</v>
  </rv>
  <rv s="5">
    <fb>43826</fb>
    <v>13</v>
  </rv>
  <rv s="5">
    <fb>67.731999999999999</fb>
    <v>14</v>
  </rv>
  <rv s="5">
    <fb>64.69</fb>
    <v>14</v>
  </rv>
  <rv s="5">
    <fb>582.5</fb>
    <v>14</v>
  </rv>
  <rv s="5">
    <fb>176.48</fb>
    <v>14</v>
  </rv>
  <rv s="5">
    <fb>300.74</fb>
    <v>14</v>
  </rv>
  <rv s="5">
    <fb>60.627499999999998</fb>
    <v>14</v>
  </rv>
  <rv s="5">
    <fb>5.9218000000000002</fb>
    <v>14</v>
  </rv>
  <rv s="5">
    <fb>126.09</fb>
    <v>14</v>
  </rv>
  <rv s="5">
    <fb>295.97000000000003</fb>
    <v>14</v>
  </rv>
  <rv s="5">
    <fb>3240.02</fb>
    <v>14</v>
  </rv>
  <rv s="5">
    <fb>43829</fb>
    <v>13</v>
  </rv>
  <rv s="5">
    <fb>66.985500000000002</fb>
    <v>14</v>
  </rv>
  <rv s="5">
    <fb>92.344499999999996</fb>
    <v>14</v>
  </rv>
  <rv s="5">
    <fb>64.44</fb>
    <v>14</v>
  </rv>
  <rv s="5">
    <fb>580.24</fb>
    <v>14</v>
  </rv>
  <rv s="5">
    <fb>176.42</fb>
    <v>14</v>
  </rv>
  <rv s="5">
    <fb>297.72000000000003</fb>
    <v>14</v>
  </rv>
  <rv s="5">
    <fb>40.4</fb>
    <v>14</v>
  </rv>
  <rv s="5">
    <fb>5.8079999999999998</fb>
    <v>14</v>
  </rv>
  <rv s="5">
    <fb>124.47</fb>
    <v>14</v>
  </rv>
  <rv s="5">
    <fb>293.85000000000002</fb>
    <v>14</v>
  </rv>
  <rv s="5">
    <fb>3221.29</fb>
    <v>14</v>
  </rv>
  <rv s="5">
    <fb>43830</fb>
    <v>13</v>
  </rv>
  <rv s="5">
    <fb>92.391999999999996</fb>
    <v>14</v>
  </rv>
  <rv s="5">
    <fb>64.67</fb>
    <v>14</v>
  </rv>
  <rv s="5">
    <fb>583.70000000000005</fb>
    <v>14</v>
  </rv>
  <rv s="5">
    <fb>177</fb>
    <v>14</v>
  </rv>
  <rv s="5">
    <fb>298.58999999999997</fb>
    <v>14</v>
  </rv>
  <rv s="5">
    <fb>60.54</fb>
    <v>14</v>
  </rv>
  <rv s="5">
    <fb>5.8825000000000003</fb>
    <v>14</v>
  </rv>
  <rv s="5">
    <fb>293.98</fb>
    <v>14</v>
  </rv>
  <rv s="5">
    <fb>3230.78</fb>
    <v>14</v>
  </rv>
  <rv s="5">
    <fb>43832</fb>
    <v>13</v>
  </rv>
  <rv s="5">
    <fb>68.433999999999997</fb>
    <v>14</v>
  </rv>
  <rv s="5">
    <fb>94.900499999999994</fb>
    <v>14</v>
  </rv>
  <rv s="5">
    <fb>579.35</fb>
    <v>14</v>
  </rv>
  <rv s="5">
    <fb>180.79</fb>
    <v>14</v>
  </rv>
  <rv s="5">
    <fb>303.39</fb>
    <v>14</v>
  </rv>
  <rv s="5">
    <fb>59.655000000000001</fb>
    <v>14</v>
  </rv>
  <rv s="5">
    <fb>5.9977999999999998</fb>
    <v>14</v>
  </rv>
  <rv s="5">
    <fb>123.41</fb>
    <v>14</v>
  </rv>
  <rv s="5">
    <fb>292.5</fb>
    <v>14</v>
  </rv>
  <rv s="5">
    <fb>3257.85</fb>
    <v>14</v>
  </rv>
  <rv s="5">
    <fb>43833</fb>
    <v>13</v>
  </rv>
  <rv s="5">
    <fb>68.075999999999993</fb>
    <v>14</v>
  </rv>
  <rv s="5">
    <fb>93.748500000000007</fb>
    <v>14</v>
  </rv>
  <rv s="5">
    <fb>64.77</fb>
    <v>14</v>
  </rv>
  <rv s="5">
    <fb>585.12</fb>
    <v>14</v>
  </rv>
  <rv s="5">
    <fb>178.86</fb>
    <v>14</v>
  </rv>
  <rv s="5">
    <fb>300.43</fb>
    <v>14</v>
  </rv>
  <rv s="5">
    <fb>60.08</fb>
    <v>14</v>
  </rv>
  <rv s="5">
    <fb>5.9017999999999997</fb>
    <v>14</v>
  </rv>
  <rv s="5">
    <fb>122.58</fb>
    <v>14</v>
  </rv>
  <rv s="5">
    <fb>289.54000000000002</fb>
    <v>14</v>
  </rv>
  <rv s="5">
    <fb>3234.85</fb>
    <v>14</v>
  </rv>
  <rv s="5">
    <fb>43836</fb>
    <v>13</v>
  </rv>
  <rv s="5">
    <fb>69.890500000000003</fb>
    <v>14</v>
  </rv>
  <rv s="5">
    <fb>95.144000000000005</fb>
    <v>14</v>
  </rv>
  <rv s="5">
    <fb>64.17</fb>
    <v>14</v>
  </rv>
  <rv s="5">
    <fb>584.48</fb>
    <v>14</v>
  </rv>
  <rv s="5">
    <fb>177.51</fb>
    <v>14</v>
  </rv>
  <rv s="5">
    <fb>301.23</fb>
    <v>14</v>
  </rv>
  <rv s="5">
    <fb>60.38</fb>
    <v>14</v>
  </rv>
  <rv s="5">
    <fb>5.9264999999999999</fb>
    <v>14</v>
  </rv>
  <rv s="5">
    <fb>122.75</fb>
    <v>14</v>
  </rv>
  <rv s="5">
    <fb>291.55</fb>
    <v>14</v>
  </rv>
  <rv s="5">
    <fb>3246.28</fb>
    <v>14</v>
  </rv>
  <rv s="5">
    <fb>43837</fb>
    <v>13</v>
  </rv>
  <rv s="5">
    <fb>69.755499999999998</fb>
    <v>14</v>
  </rv>
  <rv s="5">
    <fb>95.343000000000004</fb>
    <v>14</v>
  </rv>
  <rv s="5">
    <fb>63.92</fb>
    <v>14</v>
  </rv>
  <rv s="5">
    <fb>581.88</fb>
    <v>14</v>
  </rv>
  <rv s="5">
    <fb>177.61</fb>
    <v>14</v>
  </rv>
  <rv s="5">
    <fb>300.20999999999998</fb>
    <v>14</v>
  </rv>
  <rv s="5">
    <fb>60.327500000000001</fb>
    <v>14</v>
  </rv>
  <rv s="5">
    <fb>5.9983000000000004</fb>
    <v>14</v>
  </rv>
  <rv s="5">
    <fb>121.99</fb>
    <v>14</v>
  </rv>
  <rv s="5">
    <fb>289.79000000000002</fb>
    <v>14</v>
  </rv>
  <rv s="5">
    <fb>3237.18</fb>
    <v>14</v>
  </rv>
  <rv s="5">
    <fb>43838</fb>
    <v>13</v>
  </rv>
  <rv s="5">
    <fb>70.251999999999995</fb>
    <v>14</v>
  </rv>
  <rv s="5">
    <fb>94.598500000000001</fb>
    <v>14</v>
  </rv>
  <rv s="5">
    <fb>64.47</fb>
    <v>14</v>
  </rv>
  <rv s="5">
    <fb>583.79999999999995</fb>
    <v>14</v>
  </rv>
  <rv s="5">
    <fb>177.76</fb>
    <v>14</v>
  </rv>
  <rv s="5">
    <fb>305.10000000000002</fb>
    <v>14</v>
  </rv>
  <rv s="5">
    <fb>39.409999999999997</fb>
    <v>14</v>
  </rv>
  <rv s="5">
    <fb>6.0095000000000001</fb>
    <v>14</v>
  </rv>
  <rv s="5">
    <fb>122.51</fb>
    <v>14</v>
  </rv>
  <rv s="5">
    <fb>295.89999999999998</fb>
    <v>14</v>
  </rv>
  <rv s="5">
    <fb>3253.05</fb>
    <v>14</v>
  </rv>
  <rv s="5">
    <fb>43839</fb>
    <v>13</v>
  </rv>
  <rv s="5">
    <fb>70.989500000000007</fb>
    <v>14</v>
  </rv>
  <rv s="5">
    <fb>95.052499999999995</fb>
    <v>14</v>
  </rv>
  <rv s="5">
    <fb>66.72</fb>
    <v>14</v>
  </rv>
  <rv s="5">
    <fb>588.99</fb>
    <v>14</v>
  </rv>
  <rv s="5">
    <fb>179.07</fb>
    <v>14</v>
  </rv>
  <rv s="5">
    <fb>309.10000000000002</fb>
    <v>14</v>
  </rv>
  <rv s="5">
    <fb>60.772500000000001</fb>
    <v>14</v>
  </rv>
  <rv s="5">
    <fb>6.0754999999999999</fb>
    <v>14</v>
  </rv>
  <rv s="5">
    <fb>294.22000000000003</fb>
    <v>14</v>
  </rv>
  <rv s="5">
    <fb>3274.7</fb>
    <v>14</v>
  </rv>
  <rv s="5">
    <fb>43840</fb>
    <v>13</v>
  </rv>
  <rv s="5">
    <fb>71.447999999999993</fb>
    <v>14</v>
  </rv>
  <rv s="5">
    <fb>94.158000000000001</fb>
    <v>14</v>
  </rv>
  <rv s="5">
    <fb>66.27</fb>
    <v>14</v>
  </rv>
  <rv s="5">
    <fb>594</fb>
    <v>14</v>
  </rv>
  <rv s="5">
    <fb>178.68</fb>
    <v>14</v>
  </rv>
  <rv s="5">
    <fb>311.17</fb>
    <v>14</v>
  </rv>
  <rv s="5">
    <fb>60.887500000000003</fb>
    <v>14</v>
  </rv>
  <rv s="5">
    <fb>39.83</fb>
    <v>14</v>
  </rv>
  <rv s="5">
    <fb>6.1079999999999997</fb>
    <v>14</v>
  </rv>
  <rv s="5">
    <fb>123.97</fb>
    <v>14</v>
  </rv>
  <rv s="5">
    <fb>295.13</fb>
    <v>14</v>
  </rv>
  <rv s="5">
    <fb>3265.35</fb>
    <v>14</v>
  </rv>
  <rv s="5">
    <fb>43843</fb>
    <v>13</v>
  </rv>
  <rv s="5">
    <fb>72.001499999999993</fb>
    <v>14</v>
  </rv>
  <rv s="5">
    <fb>94.564999999999998</fb>
    <v>14</v>
  </rv>
  <rv s="5">
    <fb>67.5</fb>
    <v>14</v>
  </rv>
  <rv s="5">
    <fb>594.96</fb>
    <v>14</v>
  </rv>
  <rv s="5">
    <fb>181.27</fb>
    <v>14</v>
  </rv>
  <rv s="5">
    <fb>315.20999999999998</fb>
    <v>14</v>
  </rv>
  <rv s="5">
    <fb>39.229999999999997</fb>
    <v>14</v>
  </rv>
  <rv s="5">
    <fb>6.2995000000000001</fb>
    <v>14</v>
  </rv>
  <rv s="5">
    <fb>124.88</fb>
    <v>14</v>
  </rv>
  <rv s="5">
    <fb>285.85000000000002</fb>
    <v>14</v>
  </rv>
  <rv s="5">
    <fb>3288.13</fb>
    <v>14</v>
  </rv>
  <rv s="5">
    <fb>43844</fb>
    <v>13</v>
  </rv>
  <rv s="5">
    <fb>71.529499999999999</fb>
    <v>14</v>
  </rv>
  <rv s="5">
    <fb>93.471999999999994</fb>
    <v>14</v>
  </rv>
  <rv s="5">
    <fb>586.5</fb>
    <v>14</v>
  </rv>
  <rv s="5">
    <fb>180.45</fb>
    <v>14</v>
  </rv>
  <rv s="5">
    <fb>310.64</fb>
    <v>14</v>
  </rv>
  <rv s="5">
    <fb>61.932499999999997</fb>
    <v>14</v>
  </rv>
  <rv s="5">
    <fb>39.53</fb>
    <v>14</v>
  </rv>
  <rv s="5">
    <fb>6.1820000000000004</fb>
    <v>14</v>
  </rv>
  <rv s="5">
    <fb>124.69</fb>
    <v>14</v>
  </rv>
  <rv s="5">
    <fb>288.24</fb>
    <v>14</v>
  </rv>
  <rv s="5">
    <fb>3283.15</fb>
    <v>14</v>
  </rv>
  <rv s="5">
    <fb>43845</fb>
    <v>13</v>
  </rv>
  <rv s="5">
    <fb>93.100999999999999</fb>
    <v>14</v>
  </rv>
  <rv s="5">
    <fb>68.209999999999994</fb>
    <v>14</v>
  </rv>
  <rv s="5">
    <fb>586.24</fb>
    <v>14</v>
  </rv>
  <rv s="5">
    <fb>180.73</fb>
    <v>14</v>
  </rv>
  <rv s="5">
    <fb>314.25</fb>
    <v>14</v>
  </rv>
  <rv s="5">
    <fb>62.895000000000003</fb>
    <v>14</v>
  </rv>
  <rv s="5">
    <fb>38.33</fb>
    <v>14</v>
  </rv>
  <rv s="5">
    <fb>6.1393000000000004</fb>
    <v>14</v>
  </rv>
  <rv s="5">
    <fb>125.96</fb>
    <v>14</v>
  </rv>
  <rv s="5">
    <fb>296.41000000000003</fb>
    <v>14</v>
  </rv>
  <rv s="5">
    <fb>3289.29</fb>
    <v>14</v>
  </rv>
  <rv s="5">
    <fb>43846</fb>
    <v>13</v>
  </rv>
  <rv s="5">
    <fb>72.507999999999996</fb>
    <v>14</v>
  </rv>
  <rv s="5">
    <fb>93.897000000000006</fb>
    <v>14</v>
  </rv>
  <rv s="5">
    <fb>69.180000000000007</fb>
    <v>14</v>
  </rv>
  <rv s="5">
    <fb>595.12</fb>
    <v>14</v>
  </rv>
  <rv s="5">
    <fb>182.26</fb>
    <v>14</v>
  </rv>
  <rv s="5">
    <fb>320.3</fb>
    <v>14</v>
  </rv>
  <rv s="5">
    <fb>63.067500000000003</fb>
    <v>14</v>
  </rv>
  <rv s="5">
    <fb>6.2233000000000001</fb>
    <v>14</v>
  </rv>
  <rv s="5">
    <fb>126.07</fb>
    <v>14</v>
  </rv>
  <rv s="5">
    <fb>3316.81</fb>
    <v>14</v>
  </rv>
  <rv s="5">
    <fb>43847</fb>
    <v>13</v>
  </rv>
  <rv s="5">
    <fb>73.975999999999999</fb>
    <v>14</v>
  </rv>
  <rv s="5">
    <fb>93.236000000000004</fb>
    <v>14</v>
  </rv>
  <rv s="5">
    <fb>69.239999999999995</fb>
    <v>14</v>
  </rv>
  <rv s="5">
    <fb>588</fb>
    <v>14</v>
  </rv>
  <rv s="5">
    <fb>183.23</fb>
    <v>14</v>
  </rv>
  <rv s="5">
    <fb>323.66000000000003</fb>
    <v>14</v>
  </rv>
  <rv s="5">
    <fb>126.41</fb>
    <v>14</v>
  </rv>
  <rv s="5">
    <fb>298.47000000000003</fb>
    <v>14</v>
  </rv>
  <rv s="5">
    <fb>3329.62</fb>
    <v>14</v>
  </rv>
  <rv s="5">
    <fb>43851</fb>
    <v>13</v>
  </rv>
  <rv s="5">
    <fb>74.112499999999997</fb>
    <v>14</v>
  </rv>
  <rv s="5">
    <fb>94.6</fb>
    <v>14</v>
  </rv>
  <rv s="5">
    <fb>69.260000000000005</fb>
    <v>14</v>
  </rv>
  <rv s="5">
    <fb>590</fb>
    <v>14</v>
  </rv>
  <rv s="5">
    <fb>180.93</fb>
    <v>14</v>
  </rv>
  <rv s="5">
    <fb>321.93</fb>
    <v>14</v>
  </rv>
  <rv s="5">
    <fb>64.222499999999997</fb>
    <v>14</v>
  </rv>
  <rv s="5">
    <fb>6.1985000000000001</fb>
    <v>14</v>
  </rv>
  <rv s="5">
    <fb>300.52999999999997</fb>
    <v>14</v>
  </rv>
  <rv s="5">
    <fb>3320.79</fb>
    <v>14</v>
  </rv>
  <rv s="5">
    <fb>43852</fb>
    <v>13</v>
  </rv>
  <rv s="5">
    <fb>74.208500000000001</fb>
    <v>14</v>
  </rv>
  <rv s="5">
    <fb>94.373000000000005</fb>
    <v>14</v>
  </rv>
  <rv s="5">
    <fb>71.849999999999994</fb>
    <v>14</v>
  </rv>
  <rv s="5">
    <fb>591.66999999999996</fb>
    <v>14</v>
  </rv>
  <rv s="5">
    <fb>180.05</fb>
    <v>14</v>
  </rv>
  <rv s="5">
    <fb>324.31</fb>
    <v>14</v>
  </rv>
  <rv s="5">
    <fb>64.974999999999994</fb>
    <v>14</v>
  </rv>
  <rv s="5">
    <fb>36.68</fb>
    <v>14</v>
  </rv>
  <rv s="5">
    <fb>6.2512999999999996</fb>
    <v>14</v>
  </rv>
  <rv s="5">
    <fb>126.31</fb>
    <v>14</v>
  </rv>
  <rv s="5">
    <fb>300.58999999999997</fb>
    <v>14</v>
  </rv>
  <rv s="5">
    <fb>3321.75</fb>
    <v>14</v>
  </rv>
  <rv s="5">
    <fb>43853</fb>
    <v>13</v>
  </rv>
  <rv s="5">
    <fb>74.234499999999997</fb>
    <v>14</v>
  </rv>
  <rv s="5">
    <fb>94.228999999999999</fb>
    <v>14</v>
  </rv>
  <rv s="5">
    <fb>71.87</fb>
    <v>14</v>
  </rv>
  <rv s="5">
    <fb>596.01</fb>
    <v>14</v>
  </rv>
  <rv s="5">
    <fb>324.98</fb>
    <v>14</v>
  </rv>
  <rv s="5">
    <fb>65.02</fb>
    <v>14</v>
  </rv>
  <rv s="5">
    <fb>36.43</fb>
    <v>14</v>
  </rv>
  <rv s="5">
    <fb>6.3215000000000003</fb>
    <v>14</v>
  </rv>
  <rv s="5">
    <fb>124.99</fb>
    <v>14</v>
  </rv>
  <rv s="5">
    <fb>299.45999999999998</fb>
    <v>14</v>
  </rv>
  <rv s="5">
    <fb>3325.54</fb>
    <v>14</v>
  </rv>
  <rv s="5">
    <fb>43854</fb>
    <v>13</v>
  </rv>
  <rv s="5">
    <fb>73.308499999999995</fb>
    <v>14</v>
  </rv>
  <rv s="5">
    <fb>93.081999999999994</fb>
    <v>14</v>
  </rv>
  <rv s="5">
    <fb>71.930000000000007</fb>
    <v>14</v>
  </rv>
  <rv s="5">
    <fb>591.96</fb>
    <v>14</v>
  </rv>
  <rv s="5">
    <fb>177.13</fb>
    <v>14</v>
  </rv>
  <rv s="5">
    <fb>323.67</fb>
    <v>14</v>
  </rv>
  <rv s="5">
    <fb>35.770000000000003</fb>
    <v>14</v>
  </rv>
  <rv s="5">
    <fb>125.14</fb>
    <v>14</v>
  </rv>
  <rv s="5">
    <fb>292.81</fb>
    <v>14</v>
  </rv>
  <rv s="5">
    <fb>3295.47</fb>
    <v>14</v>
  </rv>
  <rv s="5">
    <fb>43857</fb>
    <v>13</v>
  </rv>
  <rv s="5">
    <fb>71.586500000000001</fb>
    <v>14</v>
  </rv>
  <rv s="5">
    <fb>91.417000000000002</fb>
    <v>14</v>
  </rv>
  <rv s="5">
    <fb>593.95000000000005</fb>
    <v>14</v>
  </rv>
  <rv s="5">
    <fb>315.77</fb>
    <v>14</v>
  </rv>
  <rv s="5">
    <fb>66.685000000000002</fb>
    <v>14</v>
  </rv>
  <rv s="5">
    <fb>33.96</fb>
    <v>14</v>
  </rv>
  <rv s="5">
    <fb>6.0049999999999999</fb>
    <v>14</v>
  </rv>
  <rv s="5">
    <fb>125.69</fb>
    <v>14</v>
  </rv>
  <rv s="5">
    <fb>284.08999999999997</fb>
    <v>14</v>
  </rv>
  <rv s="5">
    <fb>3243.63</fb>
    <v>14</v>
  </rv>
  <rv s="5">
    <fb>43858</fb>
    <v>13</v>
  </rv>
  <rv s="5">
    <fb>72.525000000000006</fb>
    <v>14</v>
  </rv>
  <rv s="5">
    <fb>92.662499999999994</fb>
    <v>14</v>
  </rv>
  <rv s="5">
    <fb>602.57000000000005</fb>
    <v>14</v>
  </rv>
  <rv s="5">
    <fb>320.27</fb>
    <v>14</v>
  </rv>
  <rv s="5">
    <fb>66.452500000000001</fb>
    <v>14</v>
  </rv>
  <rv s="5">
    <fb>6.1993</fb>
    <v>14</v>
  </rv>
  <rv s="5">
    <fb>126.03</fb>
    <v>14</v>
  </rv>
  <rv s="5">
    <fb>285.87</fb>
    <v>14</v>
  </rv>
  <rv s="5">
    <fb>3276.24</fb>
    <v>14</v>
  </rv>
  <rv s="5">
    <fb>43859</fb>
    <v>13</v>
  </rv>
  <rv s="5">
    <fb>72.834999999999994</fb>
    <v>14</v>
  </rv>
  <rv s="5">
    <fb>92.9</fb>
    <v>14</v>
  </rv>
  <rv s="5">
    <fb>602.67999999999995</fb>
    <v>14</v>
  </rv>
  <rv s="5">
    <fb>320.32</fb>
    <v>14</v>
  </rv>
  <rv s="5">
    <fb>33.729999999999997</fb>
    <v>14</v>
  </rv>
  <rv s="5">
    <fb>6.1384999999999996</fb>
    <v>14</v>
  </rv>
  <rv s="5">
    <fb>125.06</fb>
    <v>14</v>
  </rv>
  <rv s="5">
    <fb>282.89999999999998</fb>
    <v>14</v>
  </rv>
  <rv s="5">
    <fb>3273.4</fb>
    <v>14</v>
  </rv>
  <rv s="5">
    <fb>43860</fb>
    <v>13</v>
  </rv>
  <rv s="5">
    <fb>72.712500000000006</fb>
    <v>14</v>
  </rv>
  <rv s="5">
    <fb>93.534000000000006</fb>
    <v>14</v>
  </rv>
  <rv s="5">
    <fb>603</fb>
    <v>14</v>
  </rv>
  <rv s="5">
    <fb>324.45999999999998</fb>
    <v>14</v>
  </rv>
  <rv s="5">
    <fb>67.482500000000002</fb>
    <v>14</v>
  </rv>
  <rv s="5">
    <fb>34.04</fb>
    <v>14</v>
  </rv>
  <rv s="5">
    <fb>6.1452999999999998</fb>
    <v>14</v>
  </rv>
  <rv s="5">
    <fb>125.95</fb>
    <v>14</v>
  </rv>
  <rv s="5">
    <fb>280.98</fb>
    <v>14</v>
  </rv>
  <rv s="5">
    <fb>3283.66</fb>
    <v>14</v>
  </rv>
  <rv s="5">
    <fb>43861</fb>
    <v>13</v>
  </rv>
  <rv s="5">
    <fb>71.638999999999996</fb>
    <v>14</v>
  </rv>
  <rv s="5">
    <fb>100.43600000000001</fb>
    <v>14</v>
  </rv>
  <rv s="5">
    <fb>72.180000000000007</fb>
    <v>14</v>
  </rv>
  <rv s="5">
    <fb>589.73</fb>
    <v>14</v>
  </rv>
  <rv s="5">
    <fb>173.22</fb>
    <v>14</v>
  </rv>
  <rv s="5">
    <fb>315.94</fb>
    <v>14</v>
  </rv>
  <rv s="5">
    <fb>67.05</fb>
    <v>14</v>
  </rv>
  <rv s="5">
    <fb>33.51</fb>
    <v>14</v>
  </rv>
  <rv s="5">
    <fb>5.9108000000000001</fb>
    <v>14</v>
  </rv>
  <rv s="5">
    <fb>272.45</fb>
    <v>14</v>
  </rv>
  <rv s="5">
    <fb>3225.52</fb>
    <v>14</v>
  </rv>
  <rv s="5">
    <fb>43864</fb>
    <v>13</v>
  </rv>
  <rv s="5">
    <fb>74.13</fb>
    <v>14</v>
  </rv>
  <rv s="5">
    <fb>100.21</fb>
    <v>14</v>
  </rv>
  <rv s="5">
    <fb>74.150000000000006</fb>
    <v>14</v>
  </rv>
  <rv s="5">
    <fb>603.6</fb>
    <v>14</v>
  </rv>
  <rv s="5">
    <fb>171.32</fb>
    <v>14</v>
  </rv>
  <rv s="5">
    <fb>324.52</fb>
    <v>14</v>
  </rv>
  <rv s="5">
    <fb>66.702500000000001</fb>
    <v>14</v>
  </rv>
  <rv s="5">
    <fb>33.46</fb>
    <v>14</v>
  </rv>
  <rv s="5">
    <fb>6.0083000000000002</fb>
    <v>14</v>
  </rv>
  <rv s="5">
    <fb>125.11</fb>
    <v>14</v>
  </rv>
  <rv s="5">
    <fb>274.02</fb>
    <v>14</v>
  </rv>
  <rv s="5">
    <fb>3248.92</fb>
    <v>14</v>
  </rv>
  <rv s="5">
    <fb>43865</fb>
    <v>13</v>
  </rv>
  <rv s="5">
    <fb>72.270499999999998</fb>
    <v>14</v>
  </rv>
  <rv s="5">
    <fb>102.48350000000001</fb>
    <v>14</v>
  </rv>
  <rv s="5">
    <fb>75.010000000000005</fb>
    <v>14</v>
  </rv>
  <rv s="5">
    <fb>607.85</fb>
    <v>14</v>
  </rv>
  <rv s="5">
    <fb>175.21</fb>
    <v>14</v>
  </rv>
  <rv s="5">
    <fb>329.12</fb>
    <v>14</v>
  </rv>
  <rv s="5">
    <fb>66.135000000000005</fb>
    <v>14</v>
  </rv>
  <rv s="5">
    <fb>34.07</fb>
    <v>14</v>
  </rv>
  <rv s="5">
    <fb>6.1783000000000001</fb>
    <v>14</v>
  </rv>
  <rv s="5">
    <fb>125.66</fb>
    <v>14</v>
  </rv>
  <rv s="5">
    <fb>280.83999999999997</fb>
    <v>14</v>
  </rv>
  <rv s="5">
    <fb>3297.59</fb>
    <v>14</v>
  </rv>
  <rv s="5">
    <fb>43866</fb>
    <v>13</v>
  </rv>
  <rv s="5">
    <fb>72.302499999999995</fb>
    <v>14</v>
  </rv>
  <rv s="5">
    <fb>101.9935</fb>
    <v>14</v>
  </rv>
  <rv s="5">
    <fb>76.63</fb>
    <v>14</v>
  </rv>
  <rv s="5">
    <fb>601.26</fb>
    <v>14</v>
  </rv>
  <rv s="5">
    <fb>176.9</fb>
    <v>14</v>
  </rv>
  <rv s="5">
    <fb>328.32</fb>
    <v>14</v>
  </rv>
  <rv s="5">
    <fb>66.677499999999995</fb>
    <v>14</v>
  </rv>
  <rv s="5">
    <fb>35.07</fb>
    <v>14</v>
  </rv>
  <rv s="5">
    <fb>6.2690000000000001</fb>
    <v>14</v>
  </rv>
  <rv s="5">
    <fb>126.81</fb>
    <v>14</v>
  </rv>
  <rv s="5">
    <fb>295.73</fb>
    <v>14</v>
  </rv>
  <rv s="5">
    <fb>3334.69</fb>
    <v>14</v>
  </rv>
  <rv s="5">
    <fb>43867</fb>
    <v>13</v>
  </rv>
  <rv s="5">
    <fb>73.798500000000004</fb>
    <v>14</v>
  </rv>
  <rv s="5">
    <fb>102.5115</fb>
    <v>14</v>
  </rv>
  <rv s="5">
    <fb>603.73</fb>
    <v>14</v>
  </rv>
  <rv s="5">
    <fb>176.35</fb>
    <v>14</v>
  </rv>
  <rv s="5">
    <fb>329.3</fb>
    <v>14</v>
  </rv>
  <rv s="5">
    <fb>67.082499999999996</fb>
    <v>14</v>
  </rv>
  <rv s="5">
    <fb>34.51</fb>
    <v>14</v>
  </rv>
  <rv s="5">
    <fb>6.3560999999999996</fb>
    <v>14</v>
  </rv>
  <rv s="5">
    <fb>127.14</fb>
    <v>14</v>
  </rv>
  <rv s="5">
    <fb>292.45999999999998</fb>
    <v>14</v>
  </rv>
  <rv s="5">
    <fb>3345.78</fb>
    <v>14</v>
  </rv>
  <rv s="5">
    <fb>43868</fb>
    <v>13</v>
  </rv>
  <rv s="5">
    <fb>73.955500000000001</fb>
    <v>14</v>
  </rv>
  <rv s="5">
    <fb>103.964</fb>
    <v>14</v>
  </rv>
  <rv s="5">
    <fb>76.92</fb>
    <v>14</v>
  </rv>
  <rv s="5">
    <fb>606</fb>
    <v>14</v>
  </rv>
  <rv s="5">
    <fb>175.28</fb>
    <v>14</v>
  </rv>
  <rv s="5">
    <fb>327</fb>
    <v>14</v>
  </rv>
  <rv s="5">
    <fb>67.385000000000005</fb>
    <v>14</v>
  </rv>
  <rv s="5">
    <fb>34.42</fb>
    <v>14</v>
  </rv>
  <rv s="5">
    <fb>6.2897999999999996</fb>
    <v>14</v>
  </rv>
  <rv s="5">
    <fb>126.08</fb>
    <v>14</v>
  </rv>
  <rv s="5">
    <fb>289.22000000000003</fb>
    <v>14</v>
  </rv>
  <rv s="5">
    <fb>3327.71</fb>
    <v>14</v>
  </rv>
  <rv s="5">
    <fb>43871</fb>
    <v>13</v>
  </rv>
  <rv s="5">
    <fb>75.433000000000007</fb>
    <v>14</v>
  </rv>
  <rv s="5">
    <fb>106.6955</fb>
    <v>14</v>
  </rv>
  <rv s="5">
    <fb>76.72</fb>
    <v>14</v>
  </rv>
  <rv s="5">
    <fb>612.03</fb>
    <v>14</v>
  </rv>
  <rv s="5">
    <fb>176.95</fb>
    <v>14</v>
  </rv>
  <rv s="5">
    <fb>330.28</fb>
    <v>14</v>
  </rv>
  <rv s="5">
    <fb>67.935000000000002</fb>
    <v>14</v>
  </rv>
  <rv s="5">
    <fb>34.35</fb>
    <v>14</v>
  </rv>
  <rv s="5">
    <fb>6.5743</fb>
    <v>14</v>
  </rv>
  <rv s="5">
    <fb>126.17</fb>
    <v>14</v>
  </rv>
  <rv s="5">
    <fb>287.02999999999997</fb>
    <v>14</v>
  </rv>
  <rv s="5">
    <fb>3352.09</fb>
    <v>14</v>
  </rv>
  <rv s="5">
    <fb>43872</fb>
    <v>13</v>
  </rv>
  <rv s="5">
    <fb>75.503</fb>
    <v>14</v>
  </rv>
  <rv s="5">
    <fb>107.54</fb>
    <v>14</v>
  </rv>
  <rv s="5">
    <fb>77.64</fb>
    <v>14</v>
  </rv>
  <rv s="5">
    <fb>613.57000000000005</fb>
    <v>14</v>
  </rv>
  <rv s="5">
    <fb>179.15</fb>
    <v>14</v>
  </rv>
  <rv s="5">
    <fb>330.92</fb>
    <v>14</v>
  </rv>
  <rv s="5">
    <fb>68.037499999999994</fb>
    <v>14</v>
  </rv>
  <rv s="5">
    <fb>34.29</fb>
    <v>14</v>
  </rv>
  <rv s="5">
    <fb>6.6973000000000003</fb>
    <v>14</v>
  </rv>
  <rv s="5">
    <fb>124.16</fb>
    <v>14</v>
  </rv>
  <rv s="5">
    <fb>290.79000000000002</fb>
    <v>14</v>
  </rv>
  <rv s="5">
    <fb>3357.75</fb>
    <v>14</v>
  </rv>
  <rv s="5">
    <fb>43873</fb>
    <v>13</v>
  </rv>
  <rv s="5">
    <fb>75.9315</fb>
    <v>14</v>
  </rv>
  <rv s="5">
    <fb>108</fb>
    <v>14</v>
  </rv>
  <rv s="5">
    <fb>76.53</fb>
    <v>14</v>
  </rv>
  <rv s="5">
    <fb>623.14</fb>
    <v>14</v>
  </rv>
  <rv s="5">
    <fb>334.16</fb>
    <v>14</v>
  </rv>
  <rv s="5">
    <fb>67.564999999999998</fb>
    <v>14</v>
  </rv>
  <rv s="5">
    <fb>6.8135000000000003</fb>
    <v>14</v>
  </rv>
  <rv s="5">
    <fb>123.45</fb>
    <v>14</v>
  </rv>
  <rv s="5">
    <fb>303.48</fb>
    <v>14</v>
  </rv>
  <rv s="5">
    <fb>3379.45</fb>
    <v>14</v>
  </rv>
  <rv s="5">
    <fb>43874</fb>
    <v>13</v>
  </rv>
  <rv s="5">
    <fb>75.669499999999999</fb>
    <v>14</v>
  </rv>
  <rv s="5">
    <fb>107.4935</fb>
    <v>14</v>
  </rv>
  <rv s="5">
    <fb>635.75</fb>
    <v>14</v>
  </rv>
  <rv s="5">
    <fb>335.84</fb>
    <v>14</v>
  </rv>
  <rv s="5">
    <fb>68.867500000000007</fb>
    <v>14</v>
  </rv>
  <rv s="5">
    <fb>34.67</fb>
    <v>14</v>
  </rv>
  <rv s="5">
    <fb>6.7694999999999999</fb>
    <v>14</v>
  </rv>
  <rv s="5">
    <fb>124.96</fb>
    <v>14</v>
  </rv>
  <rv s="5">
    <fb>302.2</fb>
    <v>14</v>
  </rv>
  <rv s="5">
    <fb>3373.94</fb>
    <v>14</v>
  </rv>
  <rv s="5">
    <fb>43875</fb>
    <v>13</v>
  </rv>
  <rv s="5">
    <fb>75.936499999999995</fb>
    <v>14</v>
  </rv>
  <rv s="5">
    <fb>106.7435</fb>
    <v>14</v>
  </rv>
  <rv s="5">
    <fb>77.22</fb>
    <v>14</v>
  </rv>
  <rv s="5">
    <fb>648.65</fb>
    <v>14</v>
  </rv>
  <rv s="5">
    <fb>340.95</fb>
    <v>14</v>
  </rv>
  <rv s="5">
    <fb>69.63</fb>
    <v>14</v>
  </rv>
  <rv s="5">
    <fb>7.2447999999999997</fb>
    <v>14</v>
  </rv>
  <rv s="5">
    <fb>126.14</fb>
    <v>14</v>
  </rv>
  <rv s="5">
    <fb>298.77999999999997</fb>
    <v>14</v>
  </rv>
  <rv s="5">
    <fb>3380.16</fb>
    <v>14</v>
  </rv>
  <rv s="5">
    <fb>43879</fb>
    <v>13</v>
  </rv>
  <rv s="5">
    <fb>75.971999999999994</fb>
    <v>14</v>
  </rv>
  <rv s="5">
    <fb>107.7835</fb>
    <v>14</v>
  </rv>
  <rv s="5">
    <fb>78.040000000000006</fb>
    <v>14</v>
  </rv>
  <rv s="5">
    <fb>643.58500000000004</fb>
    <v>14</v>
  </rv>
  <rv s="5">
    <fb>341.24</fb>
    <v>14</v>
  </rv>
  <rv s="5">
    <fb>70.510000000000005</fb>
    <v>14</v>
  </rv>
  <rv s="5">
    <fb>33.65</fb>
    <v>14</v>
  </rv>
  <rv s="5">
    <fb>7.4142999999999999</fb>
    <v>14</v>
  </rv>
  <rv s="5">
    <fb>302.14</fb>
    <v>14</v>
  </rv>
  <rv s="5">
    <fb>3370.29</fb>
    <v>14</v>
  </rv>
  <rv s="5">
    <fb>43880</fb>
    <v>13</v>
  </rv>
  <rv s="5">
    <fb>76.243499999999997</fb>
    <v>14</v>
  </rv>
  <rv s="5">
    <fb>108.511</fb>
    <v>14</v>
  </rv>
  <rv s="5">
    <fb>77.010000000000005</fb>
    <v>14</v>
  </rv>
  <rv s="5">
    <fb>643.72</fb>
    <v>14</v>
  </rv>
  <rv s="5">
    <fb>180.86</fb>
    <v>14</v>
  </rv>
  <rv s="5">
    <fb>344.56</fb>
    <v>14</v>
  </rv>
  <rv s="5">
    <fb>68.667500000000004</fb>
    <v>14</v>
  </rv>
  <rv s="5">
    <fb>7.8674999999999997</fb>
    <v>14</v>
  </rv>
  <rv s="5">
    <fb>125.44</fb>
    <v>14</v>
  </rv>
  <rv s="5">
    <fb>305.31</fb>
    <v>14</v>
  </rv>
  <rv s="5">
    <fb>3386.15</fb>
    <v>14</v>
  </rv>
  <rv s="5">
    <fb>43881</fb>
    <v>13</v>
  </rv>
  <rv s="5">
    <fb>75.849500000000006</fb>
    <v>14</v>
  </rv>
  <rv s="5">
    <fb>107.655</fb>
    <v>14</v>
  </rv>
  <rv s="5">
    <fb>76.599999999999994</fb>
    <v>14</v>
  </rv>
  <rv s="5">
    <fb>648.39</fb>
    <v>14</v>
  </rv>
  <rv s="5">
    <fb>180.7</fb>
    <v>14</v>
  </rv>
  <rv s="5">
    <fb>344.45</fb>
    <v>14</v>
  </rv>
  <rv s="5">
    <fb>69.257499999999993</fb>
    <v>14</v>
  </rv>
  <rv s="5">
    <fb>33.83</fb>
    <v>14</v>
  </rv>
  <rv s="5">
    <fb>7.7175000000000002</fb>
    <v>14</v>
  </rv>
  <rv s="5">
    <fb>126.58</fb>
    <v>14</v>
  </rv>
  <rv s="5">
    <fb>302.13</fb>
    <v>14</v>
  </rv>
  <rv s="5">
    <fb>3373.23</fb>
    <v>14</v>
  </rv>
  <rv s="5">
    <fb>43882</fb>
    <v>13</v>
  </rv>
  <rv s="5">
    <fb>74.173000000000002</fb>
    <v>14</v>
  </rv>
  <rv s="5">
    <fb>104.7985</fb>
    <v>14</v>
  </rv>
  <rv s="5">
    <fb>76.86</fb>
    <v>14</v>
  </rv>
  <rv s="5">
    <fb>655.99</fb>
    <v>14</v>
  </rv>
  <rv s="5">
    <fb>179.88</fb>
    <v>14</v>
  </rv>
  <rv s="5">
    <fb>339.7</fb>
    <v>14</v>
  </rv>
  <rv s="5">
    <fb>69.397499999999994</fb>
    <v>14</v>
  </rv>
  <rv s="5">
    <fb>7.3517999999999999</fb>
    <v>14</v>
  </rv>
  <rv s="5">
    <fb>126.7</fb>
    <v>14</v>
  </rv>
  <rv s="5">
    <fb>301.43</fb>
    <v>14</v>
  </rv>
  <rv s="5">
    <fb>3337.75</fb>
    <v>14</v>
  </rv>
  <rv s="5">
    <fb>43885</fb>
    <v>13</v>
  </rv>
  <rv s="5">
    <fb>70.992999999999995</fb>
    <v>14</v>
  </rv>
  <rv s="5">
    <fb>100.4645</fb>
    <v>14</v>
  </rv>
  <rv s="5">
    <fb>644.9</fb>
    <v>14</v>
  </rv>
  <rv s="5">
    <fb>175.27</fb>
    <v>14</v>
  </rv>
  <rv s="5">
    <fb>324.67</fb>
    <v>14</v>
  </rv>
  <rv s="5">
    <fb>68.484999999999999</fb>
    <v>14</v>
  </rv>
  <rv s="5">
    <fb>6.8319999999999999</fb>
    <v>14</v>
  </rv>
  <rv s="5">
    <fb>277.79000000000002</fb>
    <v>14</v>
  </rv>
  <rv s="5">
    <fb>3225.89</fb>
    <v>14</v>
  </rv>
  <rv s="5">
    <fb>43886</fb>
    <v>13</v>
  </rv>
  <rv s="5">
    <fb>69.316000000000003</fb>
    <v>14</v>
  </rv>
  <rv s="5">
    <fb>98.637</fb>
    <v>14</v>
  </rv>
  <rv s="5">
    <fb>74.53</fb>
    <v>14</v>
  </rv>
  <rv s="5">
    <fb>631.98</fb>
    <v>14</v>
  </rv>
  <rv s="5">
    <fb>167.8</fb>
    <v>14</v>
  </rv>
  <rv s="5">
    <fb>302.89</fb>
    <v>14</v>
  </rv>
  <rv s="5">
    <fb>67.582499999999996</fb>
    <v>14</v>
  </rv>
  <rv s="5">
    <fb>29.34</fb>
    <v>14</v>
  </rv>
  <rv s="5">
    <fb>6.5513000000000003</fb>
    <v>14</v>
  </rv>
  <rv s="5">
    <fb>121.43</fb>
    <v>14</v>
  </rv>
  <rv s="5">
    <fb>263.39</fb>
    <v>14</v>
  </rv>
  <rv s="5">
    <fb>3128.21</fb>
    <v>14</v>
  </rv>
  <rv s="5">
    <fb>43887</fb>
    <v>13</v>
  </rv>
  <rv s="5">
    <fb>69.523499999999999</fb>
    <v>14</v>
  </rv>
  <rv s="5">
    <fb>98.979500000000002</fb>
    <v>14</v>
  </rv>
  <rv s="5">
    <fb>75.67</fb>
    <v>14</v>
  </rv>
  <rv s="5">
    <fb>629.84</fb>
    <v>14</v>
  </rv>
  <rv s="5">
    <fb>298.04000000000002</fb>
    <v>14</v>
  </rv>
  <rv s="5">
    <fb>67.367500000000007</fb>
    <v>14</v>
  </rv>
  <rv s="5">
    <fb>28.38</fb>
    <v>14</v>
  </rv>
  <rv s="5">
    <fb>6.6913</fb>
    <v>14</v>
  </rv>
  <rv s="5">
    <fb>120.16</fb>
    <v>14</v>
  </rv>
  <rv s="5">
    <fb>263</fb>
    <v>14</v>
  </rv>
  <rv s="5">
    <fb>3116.39</fb>
    <v>14</v>
  </rv>
  <rv s="5">
    <fb>43888</fb>
    <v>13</v>
  </rv>
  <rv s="5">
    <fb>65.747500000000002</fb>
    <v>14</v>
  </rv>
  <rv s="5">
    <fb>94.215000000000003</fb>
    <v>14</v>
  </rv>
  <rv s="5">
    <fb>72.010000000000005</fb>
    <v>14</v>
  </rv>
  <rv s="5">
    <fb>597.49</fb>
    <v>14</v>
  </rv>
  <rv s="5">
    <fb>285.82</fb>
    <v>14</v>
  </rv>
  <rv s="5">
    <fb>63.962499999999999</fb>
    <v>14</v>
  </rv>
  <rv s="5">
    <fb>26.84</fb>
    <v>14</v>
  </rv>
  <rv s="5">
    <fb>6.3150000000000004</fb>
    <v>14</v>
  </rv>
  <rv s="5">
    <fb>113.5</fb>
    <v>14</v>
  </rv>
  <rv s="5">
    <fb>253.92</fb>
    <v>14</v>
  </rv>
  <rv s="5">
    <fb>2978.76</fb>
    <v>14</v>
  </rv>
  <rv s="5">
    <fb>43889</fb>
    <v>13</v>
  </rv>
  <rv s="5">
    <fb>66.962500000000006</fb>
    <v>14</v>
  </rv>
  <rv s="5">
    <fb>94.1875</fb>
    <v>14</v>
  </rv>
  <rv s="5">
    <fb>70.459999999999994</fb>
    <v>14</v>
  </rv>
  <rv s="5">
    <fb>572.79999999999995</fb>
    <v>14</v>
  </rv>
  <rv s="5">
    <fb>162.16999999999999</fb>
    <v>14</v>
  </rv>
  <rv s="5">
    <fb>290.25</fb>
    <v>14</v>
  </rv>
  <rv s="5">
    <fb>27.09</fb>
    <v>14</v>
  </rv>
  <rv s="5">
    <fb>6.7518000000000002</fb>
    <v>14</v>
  </rv>
  <rv s="5">
    <fb>113.23</fb>
    <v>14</v>
  </rv>
  <rv s="5">
    <fb>254.96</fb>
    <v>14</v>
  </rv>
  <rv s="5">
    <fb>2954.22</fb>
    <v>14</v>
  </rv>
  <rv s="5">
    <fb>43892</fb>
    <v>13</v>
  </rv>
  <rv s="5">
    <fb>97.697500000000005</fb>
    <v>14</v>
  </rv>
  <rv s="5">
    <fb>75.17</fb>
    <v>14</v>
  </rv>
  <rv s="5">
    <fb>618.88</fb>
    <v>14</v>
  </rv>
  <rv s="5">
    <fb>164.24</fb>
    <v>14</v>
  </rv>
  <rv s="5">
    <fb>306.74</fb>
    <v>14</v>
  </rv>
  <rv s="5">
    <fb>67.087500000000006</fb>
    <v>14</v>
  </rv>
  <rv s="5">
    <fb>27.79</fb>
    <v>14</v>
  </rv>
  <rv s="5">
    <fb>119.56</fb>
    <v>14</v>
  </rv>
  <rv s="5">
    <fb>273.11</fb>
    <v>14</v>
  </rv>
  <rv s="5">
    <fb>3090.23</fb>
    <v>14</v>
  </rv>
  <rv s="5">
    <fb>43893</fb>
    <v>13</v>
  </rv>
  <rv s="5">
    <fb>66.885999999999996</fb>
    <v>14</v>
  </rv>
  <rv s="5">
    <fb>95.4495</fb>
    <v>14</v>
  </rv>
  <rv s="5">
    <fb>76.150000000000006</fb>
    <v>14</v>
  </rv>
  <rv s="5">
    <fb>615.16</fb>
    <v>14</v>
  </rv>
  <rv s="5">
    <fb>292</fb>
    <v>14</v>
  </rv>
  <rv s="5">
    <fb>66.287499999999994</fb>
    <v>14</v>
  </rv>
  <rv s="5">
    <fb>26.81</fb>
    <v>14</v>
  </rv>
  <rv s="5">
    <fb>6.6473000000000004</fb>
    <v>14</v>
  </rv>
  <rv s="5">
    <fb>118.17</fb>
    <v>14</v>
  </rv>
  <rv s="5">
    <fb>261.39999999999998</fb>
    <v>14</v>
  </rv>
  <rv s="5">
    <fb>3003.37</fb>
    <v>14</v>
  </rv>
  <rv s="5">
    <fb>43894</fb>
    <v>13</v>
  </rv>
  <rv s="5">
    <fb>98.791499999999999</fb>
    <v>14</v>
  </rv>
  <rv s="5">
    <fb>78.56</fb>
    <v>14</v>
  </rv>
  <rv s="5">
    <fb>645.49</fb>
    <v>14</v>
  </rv>
  <rv s="5">
    <fb>171.19</fb>
    <v>14</v>
  </rv>
  <rv s="5">
    <fb>302.36</fb>
    <v>14</v>
  </rv>
  <rv s="5">
    <fb>70.555000000000007</fb>
    <v>14</v>
  </rv>
  <rv s="5">
    <fb>27.08</fb>
    <v>14</v>
  </rv>
  <rv s="5">
    <fb>7.1128</fb>
    <v>14</v>
  </rv>
  <rv s="5">
    <fb>124.5</fb>
    <v>14</v>
  </rv>
  <rv s="5">
    <fb>289.42</fb>
    <v>14</v>
  </rv>
  <rv s="5">
    <fb>3130.12</fb>
    <v>14</v>
  </rv>
  <rv s="5">
    <fb>43895</fb>
    <v>13</v>
  </rv>
  <rv s="5">
    <fb>65.738</fb>
    <v>14</v>
  </rv>
  <rv s="5">
    <fb>96.201499999999996</fb>
    <v>14</v>
  </rv>
  <rv s="5">
    <fb>77.03</fb>
    <v>14</v>
  </rv>
  <rv s="5">
    <fb>616.66999999999996</fb>
    <v>14</v>
  </rv>
  <rv s="5">
    <fb>164.92</fb>
    <v>14</v>
  </rv>
  <rv s="5">
    <fb>290.73</fb>
    <v>14</v>
  </rv>
  <rv s="5">
    <fb>69.040000000000006</fb>
    <v>14</v>
  </rv>
  <rv s="5">
    <fb>25.83</fb>
    <v>14</v>
  </rv>
  <rv s="5">
    <fb>6.8323</fb>
    <v>14</v>
  </rv>
  <rv s="5">
    <fb>282.95999999999998</fb>
    <v>14</v>
  </rv>
  <rv s="5">
    <fb>3023.94</fb>
    <v>14</v>
  </rv>
  <rv s="5">
    <fb>43896</fb>
    <v>13</v>
  </rv>
  <rv s="5">
    <fb>64.787000000000006</fb>
    <v>14</v>
  </rv>
  <rv s="5">
    <fb>95.054500000000004</fb>
    <v>14</v>
  </rv>
  <rv s="5">
    <fb>76.05</fb>
    <v>14</v>
  </rv>
  <rv s="5">
    <fb>608.66999999999996</fb>
    <v>14</v>
  </rv>
  <rv s="5">
    <fb>164.03</fb>
    <v>14</v>
  </rv>
  <rv s="5">
    <fb>287.01</fb>
    <v>14</v>
  </rv>
  <rv s="5">
    <fb>67.954999999999998</fb>
    <v>14</v>
  </rv>
  <rv s="5">
    <fb>23.85</fb>
    <v>14</v>
  </rv>
  <rv s="5">
    <fb>6.6509999999999998</fb>
    <v>14</v>
  </rv>
  <rv s="5">
    <fb>121.66</fb>
    <v>14</v>
  </rv>
  <rv s="5">
    <fb>283.87</fb>
    <v>14</v>
  </rv>
  <rv s="5">
    <fb>2972.37</fb>
    <v>14</v>
  </rv>
  <rv s="5">
    <fb>43899</fb>
    <v>13</v>
  </rv>
  <rv s="5">
    <fb>60.789499999999997</fb>
    <v>14</v>
  </rv>
  <rv s="5">
    <fb>90.030500000000004</fb>
    <v>14</v>
  </rv>
  <rv s="5">
    <fb>72.510000000000005</fb>
    <v>14</v>
  </rv>
  <rv s="5">
    <fb>574.05999999999995</fb>
    <v>14</v>
  </rv>
  <rv s="5">
    <fb>152.86000000000001</fb>
    <v>14</v>
  </rv>
  <rv s="5">
    <fb>262.01</fb>
    <v>14</v>
  </rv>
  <rv s="5">
    <fb>17.309999999999999</fb>
    <v>14</v>
  </rv>
  <rv s="5">
    <fb>6.1360000000000001</fb>
    <v>14</v>
  </rv>
  <rv s="5">
    <fb>116.06</fb>
    <v>14</v>
  </rv>
  <rv s="5">
    <fb>273.44</fb>
    <v>14</v>
  </rv>
  <rv s="5">
    <fb>2746.56</fb>
    <v>14</v>
  </rv>
  <rv s="5">
    <fb>43900</fb>
    <v>13</v>
  </rv>
  <rv s="5">
    <fb>63.758499999999998</fb>
    <v>14</v>
  </rv>
  <rv s="5">
    <fb>94.590999999999994</fb>
    <v>14</v>
  </rv>
  <rv s="5">
    <fb>72.959999999999994</fb>
    <v>14</v>
  </rv>
  <rv s="5">
    <fb>610.28</fb>
    <v>14</v>
  </rv>
  <rv s="5">
    <fb>161.69</fb>
    <v>14</v>
  </rv>
  <rv s="5">
    <fb>280.57</fb>
    <v>14</v>
  </rv>
  <rv s="5">
    <fb>63.932499999999997</fb>
    <v>14</v>
  </rv>
  <rv s="5">
    <fb>18.190000000000001</fb>
    <v>14</v>
  </rv>
  <rv s="5">
    <fb>6.5270000000000001</fb>
    <v>14</v>
  </rv>
  <rv s="5">
    <fb>280</fb>
    <v>14</v>
  </rv>
  <rv s="5">
    <fb>2882.23</fb>
    <v>14</v>
  </rv>
  <rv s="5">
    <fb>43901</fb>
    <v>13</v>
  </rv>
  <rv s="5">
    <fb>60.545000000000002</fb>
    <v>14</v>
  </rv>
  <rv s="5">
    <fb>91.043000000000006</fb>
    <v>14</v>
  </rv>
  <rv s="5">
    <fb>598.79999999999995</fb>
    <v>14</v>
  </rv>
  <rv s="5">
    <fb>153.38999999999999</fb>
    <v>14</v>
  </rv>
  <rv s="5">
    <fb>269.76</fb>
    <v>14</v>
  </rv>
  <rv s="5">
    <fb>60.314999999999998</fb>
    <v>14</v>
  </rv>
  <rv s="5">
    <fb>17.38</fb>
    <v>14</v>
  </rv>
  <rv s="5">
    <fb>111.59</fb>
    <v>14</v>
  </rv>
  <rv s="5">
    <fb>277.77999999999997</fb>
    <v>14</v>
  </rv>
  <rv s="5">
    <fb>2741.38</fb>
    <v>14</v>
  </rv>
  <rv s="5">
    <fb>43902</fb>
    <v>13</v>
  </rv>
  <rv s="5">
    <fb>55.577500000000001</fb>
    <v>14</v>
  </rv>
  <rv s="5">
    <fb>83.830500000000001</fb>
    <v>14</v>
  </rv>
  <rv s="5">
    <fb>63.18</fb>
    <v>14</v>
  </rv>
  <rv s="5">
    <fb>565.13</fb>
    <v>14</v>
  </rv>
  <rv s="5">
    <fb>134.85</fb>
    <v>14</v>
  </rv>
  <rv s="5">
    <fb>241.5</fb>
    <v>14</v>
  </rv>
  <rv s="5">
    <fb>52.222499999999997</fb>
    <v>14</v>
  </rv>
  <rv s="5">
    <fb>14.42</fb>
    <v>14</v>
  </rv>
  <rv s="5">
    <fb>5.4077999999999999</fb>
    <v>14</v>
  </rv>
  <rv s="5">
    <fb>101.84</fb>
    <v>14</v>
  </rv>
  <rv s="5">
    <fb>250.41</fb>
    <v>14</v>
  </rv>
  <rv s="5">
    <fb>2480.64</fb>
    <v>14</v>
  </rv>
  <rv s="5">
    <fb>43903</fb>
    <v>13</v>
  </rv>
  <rv s="5">
    <fb>60.713500000000003</fb>
    <v>14</v>
  </rv>
  <rv s="5">
    <fb>63.84</fb>
    <v>14</v>
  </rv>
  <rv s="5">
    <fb>621.09</fb>
    <v>14</v>
  </rv>
  <rv s="5">
    <fb>149.41</fb>
    <v>14</v>
  </rv>
  <rv s="5">
    <fb>270.01</fb>
    <v>14</v>
  </rv>
  <rv s="5">
    <fb>55.39</fb>
    <v>14</v>
  </rv>
  <rv s="5">
    <fb>16.16</fb>
    <v>14</v>
  </rv>
  <rv s="5">
    <fb>6.0209999999999999</fb>
    <v>14</v>
  </rv>
  <rv s="5">
    <fb>114.07</fb>
    <v>14</v>
  </rv>
  <rv s="5">
    <fb>272.04000000000002</fb>
    <v>14</v>
  </rv>
  <rv s="5">
    <fb>2711.02</fb>
    <v>14</v>
  </rv>
  <rv s="5">
    <fb>43906</fb>
    <v>13</v>
  </rv>
  <rv s="5">
    <fb>53.65</fb>
    <v>14</v>
  </rv>
  <rv s="5">
    <fb>84.457499999999996</fb>
    <v>14</v>
  </rv>
  <rv s="5">
    <fb>542.42999999999995</fb>
    <v>14</v>
  </rv>
  <rv s="5">
    <fb>135.27000000000001</fb>
    <v>14</v>
  </rv>
  <rv s="5">
    <fb>235.65</fb>
    <v>14</v>
  </rv>
  <rv s="5">
    <fb>50.342500000000001</fb>
    <v>14</v>
  </rv>
  <rv s="5">
    <fb>14.41</fb>
    <v>14</v>
  </rv>
  <rv s="5">
    <fb>4.91</fb>
    <v>14</v>
  </rv>
  <rv s="5">
    <fb>108.5</fb>
    <v>14</v>
  </rv>
  <rv s="5">
    <fb>225.04</fb>
    <v>14</v>
  </rv>
  <rv s="5">
    <fb>2386.13</fb>
    <v>14</v>
  </rv>
  <rv s="5">
    <fb>43907</fb>
    <v>13</v>
  </rv>
  <rv s="5">
    <fb>55.902999999999999</fb>
    <v>14</v>
  </rv>
  <rv s="5">
    <fb>64.63</fb>
    <v>14</v>
  </rv>
  <rv s="5">
    <fb>575.17999999999995</fb>
    <v>14</v>
  </rv>
  <rv s="5">
    <fb>131.80000000000001</fb>
    <v>14</v>
  </rv>
  <rv s="5">
    <fb>237.88</fb>
    <v>14</v>
  </rv>
  <rv s="5">
    <fb>55.44</fb>
    <v>14</v>
  </rv>
  <rv s="5">
    <fb>14</fb>
    <v>14</v>
  </rv>
  <rv s="5">
    <fb>5.4318</fb>
    <v>14</v>
  </rv>
  <rv s="5">
    <fb>118.24</fb>
    <v>14</v>
  </rv>
  <rv s="5">
    <fb>244.22</fb>
    <v>14</v>
  </rv>
  <rv s="5">
    <fb>2529.19</fb>
    <v>14</v>
  </rv>
  <rv s="5">
    <fb>43908</fb>
    <v>13</v>
  </rv>
  <rv s="5">
    <fb>54.5595</fb>
    <v>14</v>
  </rv>
  <rv s="5">
    <fb>91.5</fb>
    <v>14</v>
  </rv>
  <rv s="5">
    <fb>572.14</fb>
    <v>14</v>
  </rv>
  <rv s="5">
    <fb>119.61</fb>
    <v>14</v>
  </rv>
  <rv s="5">
    <fb>227.93</fb>
    <v>14</v>
  </rv>
  <rv s="5">
    <fb>52.66</fb>
    <v>14</v>
  </rv>
  <rv s="5">
    <fb>12.05</fb>
    <v>14</v>
  </rv>
  <rv s="5">
    <fb>5.0705</fb>
    <v>14</v>
  </rv>
  <rv s="5">
    <fb>117.45</fb>
    <v>14</v>
  </rv>
  <rv s="5">
    <fb>217.06</fb>
    <v>14</v>
  </rv>
  <rv s="5">
    <fb>2398.1</fb>
    <v>14</v>
  </rv>
  <rv s="5">
    <fb>43909</fb>
    <v>13</v>
  </rv>
  <rv s="5">
    <fb>55.583500000000001</fb>
    <v>14</v>
  </rv>
  <rv s="5">
    <fb>94.046499999999995</fb>
    <v>14</v>
  </rv>
  <rv s="5">
    <fb>60.11</fb>
    <v>14</v>
  </rv>
  <rv s="5">
    <fb>550</fb>
    <v>14</v>
  </rv>
  <rv s="5">
    <fb>118.96</fb>
    <v>14</v>
  </rv>
  <rv s="5">
    <fb>227.15</fb>
    <v>14</v>
  </rv>
  <rv s="5">
    <fb>51.774999999999999</fb>
    <v>14</v>
  </rv>
  <rv s="5">
    <fb>13.87</fb>
    <v>14</v>
  </rv>
  <rv s="5">
    <fb>5.3243</fb>
    <v>14</v>
  </rv>
  <rv s="5">
    <fb>110.83</fb>
    <v>14</v>
  </rv>
  <rv s="5">
    <fb>2409.39</fb>
    <v>14</v>
  </rv>
  <rv s="5">
    <fb>43910</fb>
    <v>13</v>
  </rv>
  <rv s="5">
    <fb>53.410499999999999</fb>
    <v>14</v>
  </rv>
  <rv s="5">
    <fb>92.304500000000004</fb>
    <v>14</v>
  </rv>
  <rv s="5">
    <fb>54.89</fb>
    <v>14</v>
  </rv>
  <rv s="5">
    <fb>506.52</fb>
    <v>14</v>
  </rv>
  <rv s="5">
    <fb>112.5</fb>
    <v>14</v>
  </rv>
  <rv s="5">
    <fb>211.42</fb>
    <v>14</v>
  </rv>
  <rv s="5">
    <fb>47.9375</fb>
    <v>14</v>
  </rv>
  <rv s="5">
    <fb>14.28</fb>
    <v>14</v>
  </rv>
  <rv s="5">
    <fb>5.1437999999999997</fb>
    <v>14</v>
  </rv>
  <rv s="5">
    <fb>102.43</fb>
    <v>14</v>
  </rv>
  <rv s="5">
    <fb>206.59</fb>
    <v>14</v>
  </rv>
  <rv s="5">
    <fb>2304.92</fb>
    <v>14</v>
  </rv>
  <rv s="5">
    <fb>43913</fb>
    <v>13</v>
  </rv>
  <rv s="5">
    <fb>52.706499999999998</fb>
    <v>14</v>
  </rv>
  <rv s="5">
    <fb>95.141499999999994</fb>
    <v>14</v>
  </rv>
  <rv s="5">
    <fb>51.94</fb>
    <v>14</v>
  </rv>
  <rv s="5">
    <fb>489.14</fb>
    <v>14</v>
  </rv>
  <rv s="5">
    <fb>103.86</fb>
    <v>14</v>
  </rv>
  <rv s="5">
    <fb>203.3</fb>
    <v>14</v>
  </rv>
  <rv s="5">
    <fb>45.414999999999999</fb>
    <v>14</v>
  </rv>
  <rv s="5">
    <fb>12.83</fb>
    <v>14</v>
  </rv>
  <rv s="5">
    <fb>5.3173000000000004</fb>
    <v>14</v>
  </rv>
  <rv s="5">
    <fb>97.7</fb>
    <v>14</v>
  </rv>
  <rv s="5">
    <fb>194.86</fb>
    <v>14</v>
  </rv>
  <rv s="5">
    <fb>2237.4</fb>
    <v>14</v>
  </rv>
  <rv s="5">
    <fb>43914</fb>
    <v>13</v>
  </rv>
  <rv s="5">
    <fb>56.500500000000002</fb>
    <v>14</v>
  </rv>
  <rv s="5">
    <fb>97.004999999999995</fb>
    <v>14</v>
  </rv>
  <rv s="5">
    <fb>58.22</fb>
    <v>14</v>
  </rv>
  <rv s="5">
    <fb>545.89</fb>
    <v>14</v>
  </rv>
  <rv s="5">
    <fb>119.51</fb>
    <v>14</v>
  </rv>
  <rv s="5">
    <fb>237.07</fb>
    <v>14</v>
  </rv>
  <rv s="5">
    <fb>51.6325</fb>
    <v>14</v>
  </rv>
  <rv s="5">
    <fb>14.65</fb>
    <v>14</v>
  </rv>
  <rv s="5">
    <fb>6.2294999999999998</fb>
    <v>14</v>
  </rv>
  <rv s="5">
    <fb>103.27</fb>
    <v>14</v>
  </rv>
  <rv s="5">
    <fb>2447.33</fb>
    <v>14</v>
  </rv>
  <rv s="5">
    <fb>43915</fb>
    <v>13</v>
  </rv>
  <rv s="5">
    <fb>55.081000000000003</fb>
    <v>14</v>
  </rv>
  <rv s="5">
    <fb>94.292000000000002</fb>
    <v>14</v>
  </rv>
  <rv s="5">
    <fb>56.02</fb>
    <v>14</v>
  </rv>
  <rv s="5">
    <fb>553.91999999999996</fb>
    <v>14</v>
  </rv>
  <rv s="5">
    <fb>129.65</fb>
    <v>14</v>
  </rv>
  <rv s="5">
    <fb>256.48</fb>
    <v>14</v>
  </rv>
  <rv s="5">
    <fb>52.567500000000003</fb>
    <v>14</v>
  </rv>
  <rv s="5">
    <fb>14.6</fb>
    <v>14</v>
  </rv>
  <rv s="5">
    <fb>6.1405000000000003</fb>
    <v>14</v>
  </rv>
  <rv s="5">
    <fb>100.92</fb>
    <v>14</v>
  </rv>
  <rv s="5">
    <fb>234.49</fb>
    <v>14</v>
  </rv>
  <rv s="5">
    <fb>2475.56</fb>
    <v>14</v>
  </rv>
  <rv s="5">
    <fb>43916</fb>
    <v>13</v>
  </rv>
  <rv s="5">
    <fb>58.146000000000001</fb>
    <v>14</v>
  </rv>
  <rv s="5">
    <fb>97.774500000000003</fb>
    <v>14</v>
  </rv>
  <rv s="5">
    <fb>62.56</fb>
    <v>14</v>
  </rv>
  <rv s="5">
    <fb>587.58000000000004</fb>
    <v>14</v>
  </rv>
  <rv s="5">
    <fb>137.4</fb>
    <v>14</v>
  </rv>
  <rv s="5">
    <fb>263.18</fb>
    <v>14</v>
  </rv>
  <rv s="5">
    <fb>57.774999999999999</fb>
    <v>14</v>
  </rv>
  <rv s="5">
    <fb>15.52</fb>
    <v>14</v>
  </rv>
  <rv s="5">
    <fb>6.431</fb>
    <v>14</v>
  </rv>
  <rv s="5">
    <fb>255.39</fb>
    <v>14</v>
  </rv>
  <rv s="5">
    <fb>2630.07</fb>
    <v>14</v>
  </rv>
  <rv s="5">
    <fb>43917</fb>
    <v>13</v>
  </rv>
  <rv s="5">
    <fb>55.512999999999998</fb>
    <v>14</v>
  </rv>
  <rv s="5">
    <fb>95.004999999999995</fb>
    <v>14</v>
  </rv>
  <rv s="5">
    <fb>64.38</fb>
    <v>14</v>
  </rv>
  <rv s="5">
    <fb>594.27</fb>
    <v>14</v>
  </rv>
  <rv s="5">
    <fb>131.27000000000001</fb>
    <v>14</v>
  </rv>
  <rv s="5">
    <fb>247.65</fb>
    <v>14</v>
  </rv>
  <rv s="5">
    <fb>57.987499999999997</fb>
    <v>14</v>
  </rv>
  <rv s="5">
    <fb>13.76</fb>
    <v>14</v>
  </rv>
  <rv s="5">
    <fb>6.3182999999999998</fb>
    <v>14</v>
  </rv>
  <rv s="5">
    <fb>110.17</fb>
    <v>14</v>
  </rv>
  <rv s="5">
    <fb>242.45</fb>
    <v>14</v>
  </rv>
  <rv s="5">
    <fb>2541.4699999999998</fb>
    <v>14</v>
  </rv>
  <rv s="5">
    <fb>43920</fb>
    <v>13</v>
  </rv>
  <rv s="5">
    <fb>57.3155</fb>
    <v>14</v>
  </rv>
  <rv s="5">
    <fb>98.197500000000005</fb>
    <v>14</v>
  </rv>
  <rv s="5">
    <fb>65.989999999999995</fb>
    <v>14</v>
  </rv>
  <rv s="5">
    <fb>644.87</fb>
    <v>14</v>
  </rv>
  <rv s="5">
    <fb>131.75</fb>
    <v>14</v>
  </rv>
  <rv s="5">
    <fb>253.25</fb>
    <v>14</v>
  </rv>
  <rv s="5">
    <fb>61.502499999999998</fb>
    <v>14</v>
  </rv>
  <rv s="5">
    <fb>13.28</fb>
    <v>14</v>
  </rv>
  <rv s="5">
    <fb>6.6398000000000001</fb>
    <v>14</v>
  </rv>
  <rv s="5">
    <fb>115</fb>
    <v>14</v>
  </rv>
  <rv s="5">
    <fb>251.28</fb>
    <v>14</v>
  </rv>
  <rv s="5">
    <fb>2626.65</fb>
    <v>14</v>
  </rv>
  <rv s="5">
    <fb>43921</fb>
    <v>13</v>
  </rv>
  <rv s="5">
    <fb>58.097499999999997</fb>
    <v>14</v>
  </rv>
  <rv s="5">
    <fb>97.486000000000004</fb>
    <v>14</v>
  </rv>
  <rv s="5">
    <fb>64.66</fb>
    <v>14</v>
  </rv>
  <rv s="5">
    <fb>624.57000000000005</fb>
    <v>14</v>
  </rv>
  <rv s="5">
    <fb>133.79</fb>
    <v>14</v>
  </rv>
  <rv s="5">
    <fb>241.56</fb>
    <v>14</v>
  </rv>
  <rv s="5">
    <fb>60.155000000000001</fb>
    <v>14</v>
  </rv>
  <rv s="5">
    <fb>13.49</fb>
    <v>14</v>
  </rv>
  <rv s="5">
    <fb>6.59</fb>
    <v>14</v>
  </rv>
  <rv s="5">
    <fb>110</fb>
    <v>14</v>
  </rv>
  <rv s="5">
    <fb>249.38</fb>
    <v>14</v>
  </rv>
  <rv s="5">
    <fb>2584.59</fb>
    <v>14</v>
  </rv>
  <rv s="5">
    <fb>43922</fb>
    <v>13</v>
  </rv>
  <rv s="5">
    <fb>55.104999999999997</fb>
    <v>14</v>
  </rv>
  <rv s="5">
    <fb>95.385000000000005</fb>
    <v>14</v>
  </rv>
  <rv s="5">
    <fb>595.46</fb>
    <v>14</v>
  </rv>
  <rv s="5">
    <fb>129.71</fb>
    <v>14</v>
  </rv>
  <rv s="5">
    <fb>228.61</fb>
    <v>14</v>
  </rv>
  <rv s="5">
    <fb>54.557499999999997</fb>
    <v>14</v>
  </rv>
  <rv s="5">
    <fb>12.59</fb>
    <v>14</v>
  </rv>
  <rv s="5">
    <fb>6.0768000000000004</fb>
    <v>14</v>
  </rv>
  <rv s="5">
    <fb>109.33</fb>
    <v>14</v>
  </rv>
  <rv s="5">
    <fb>237.32</fb>
    <v>14</v>
  </rv>
  <rv s="5">
    <fb>2470.5</fb>
    <v>14</v>
  </rv>
  <rv s="5">
    <fb>43923</fb>
    <v>13</v>
  </rv>
  <rv s="5">
    <fb>55.851500000000001</fb>
    <v>14</v>
  </rv>
  <rv s="5">
    <fb>95.941500000000005</fb>
    <v>14</v>
  </rv>
  <rv s="5">
    <fb>626.15</fb>
    <v>14</v>
  </rv>
  <rv s="5">
    <fb>132.81</fb>
    <v>14</v>
  </rv>
  <rv s="5">
    <fb>238.88</fb>
    <v>14</v>
  </rv>
  <rv s="5">
    <fb>56.612499999999997</fb>
    <v>14</v>
  </rv>
  <rv s="5">
    <fb>13.88</fb>
    <v>14</v>
  </rv>
  <rv s="5">
    <fb>6.3868</fb>
    <v>14</v>
  </rv>
  <rv s="5">
    <fb>114.4</fb>
    <v>14</v>
  </rv>
  <rv s="5">
    <fb>240.44</fb>
    <v>14</v>
  </rv>
  <rv s="5">
    <fb>2526.9</fb>
    <v>14</v>
  </rv>
  <rv s="5">
    <fb>43924</fb>
    <v>13</v>
  </rv>
  <rv s="5">
    <fb>54.634999999999998</fb>
    <v>14</v>
  </rv>
  <rv s="5">
    <fb>95.329499999999996</fb>
    <v>14</v>
  </rv>
  <rv s="5">
    <fb>62.17</fb>
    <v>14</v>
  </rv>
  <rv s="5">
    <fb>624.69000000000005</fb>
    <v>14</v>
  </rv>
  <rv s="5">
    <fb>127.45</fb>
    <v>14</v>
  </rv>
  <rv s="5">
    <fb>55.41</fb>
    <v>14</v>
  </rv>
  <rv s="5">
    <fb>14.29</fb>
    <v>14</v>
  </rv>
  <rv s="5">
    <fb>6.0978000000000003</fb>
    <v>14</v>
  </rv>
  <rv s="5">
    <fb>115.08</fb>
    <v>14</v>
  </rv>
  <rv s="5">
    <fb>229.49</fb>
    <v>14</v>
  </rv>
  <rv s="5">
    <fb>2488.65</fb>
    <v>14</v>
  </rv>
  <rv s="5">
    <fb>43927</fb>
    <v>13</v>
  </rv>
  <rv s="5">
    <fb>59.159500000000001</fb>
    <v>14</v>
  </rv>
  <rv s="5">
    <fb>99.879499999999993</fb>
    <v>14</v>
  </rv>
  <rv s="5">
    <fb>65.62</fb>
    <v>14</v>
  </rv>
  <rv s="5">
    <fb>652.22</fb>
    <v>14</v>
  </rv>
  <rv s="5">
    <fb>134</fb>
    <v>14</v>
  </rv>
  <rv s="5">
    <fb>265.94</fb>
    <v>14</v>
  </rv>
  <rv s="5">
    <fb>58.627499999999998</fb>
    <v>14</v>
  </rv>
  <rv s="5">
    <fb>15.67</fb>
    <v>14</v>
  </rv>
  <rv s="5">
    <fb>6.71</fb>
    <v>14</v>
  </rv>
  <rv s="5">
    <fb>117.81</fb>
    <v>14</v>
  </rv>
  <rv s="5">
    <fb>248.34</fb>
    <v>14</v>
  </rv>
  <rv s="5">
    <fb>2663.68</fb>
    <v>14</v>
  </rv>
  <rv s="5">
    <fb>43928</fb>
    <v>13</v>
  </rv>
  <rv s="5">
    <fb>59.128</fb>
    <v>14</v>
  </rv>
  <rv s="5">
    <fb>100.58</fb>
    <v>14</v>
  </rv>
  <rv s="5">
    <fb>65.86</fb>
    <v>14</v>
  </rv>
  <rv s="5">
    <fb>623.62</fb>
    <v>14</v>
  </rv>
  <rv s="5">
    <fb>135.24</fb>
    <v>14</v>
  </rv>
  <rv s="5">
    <fb>259.08</fb>
    <v>14</v>
  </rv>
  <rv s="5">
    <fb>57.122500000000002</fb>
    <v>14</v>
  </rv>
  <rv s="5">
    <fb>16.47</fb>
    <v>14</v>
  </rv>
  <rv s="5">
    <fb>6.4757999999999996</fb>
    <v>14</v>
  </rv>
  <rv s="5">
    <fb>248.04</fb>
    <v>14</v>
  </rv>
  <rv s="5">
    <fb>2659.41</fb>
    <v>14</v>
  </rv>
  <rv s="5">
    <fb>43929</fb>
    <v>13</v>
  </rv>
  <rv s="5">
    <fb>60.35</fb>
    <v>14</v>
  </rv>
  <rv s="5">
    <fb>102.15</fb>
    <v>14</v>
  </rv>
  <rv s="5">
    <fb>664.26</fb>
    <v>14</v>
  </rv>
  <rv s="5">
    <fb>139.25</fb>
    <v>14</v>
  </rv>
  <rv s="5">
    <fb>270.95</fb>
    <v>14</v>
  </rv>
  <rv s="5">
    <fb>58.375</fb>
    <v>14</v>
  </rv>
  <rv s="5">
    <fb>17.28</fb>
    <v>14</v>
  </rv>
  <rv s="5">
    <fb>6.6738</fb>
    <v>14</v>
  </rv>
  <rv s="5">
    <fb>115.1</fb>
    <v>14</v>
  </rv>
  <rv s="5">
    <fb>267.83</fb>
    <v>14</v>
  </rv>
  <rv s="5">
    <fb>2749.98</fb>
    <v>14</v>
  </rv>
  <rv s="5">
    <fb>43930</fb>
    <v>13</v>
  </rv>
  <rv s="5">
    <fb>60.328499999999998</fb>
    <v>14</v>
  </rv>
  <rv s="5">
    <fb>102.13800000000001</fb>
    <v>14</v>
  </rv>
  <rv s="5">
    <fb>69.94</fb>
    <v>14</v>
  </rv>
  <rv s="5">
    <fb>686.94</fb>
    <v>14</v>
  </rv>
  <rv s="5">
    <fb>61.32</fb>
    <v>14</v>
  </rv>
  <rv s="5">
    <fb>6.5738000000000003</fb>
    <v>14</v>
  </rv>
  <rv s="5">
    <fb>114.66</fb>
    <v>14</v>
  </rv>
  <rv s="5">
    <fb>264.13</fb>
    <v>14</v>
  </rv>
  <rv s="5">
    <fb>2789.82</fb>
    <v>14</v>
  </rv>
  <rv s="5">
    <fb>43934</fb>
    <v>13</v>
  </rv>
  <rv s="5">
    <fb>60.520499999999998</fb>
    <v>14</v>
  </rv>
  <rv s="5">
    <fb>108.4435</fb>
    <v>14</v>
  </rv>
  <rv s="5">
    <fb>67.319999999999993</fb>
    <v>14</v>
  </rv>
  <rv s="5">
    <fb>657.19</fb>
    <v>14</v>
  </rv>
  <rv s="5">
    <fb>137.94</fb>
    <v>14</v>
  </rv>
  <rv s="5">
    <fb>263.33999999999997</fb>
    <v>14</v>
  </rv>
  <rv s="5">
    <fb>59.052500000000002</fb>
    <v>14</v>
  </rv>
  <rv s="5">
    <fb>15.95</fb>
    <v>14</v>
  </rv>
  <rv s="5">
    <fb>6.7462999999999997</fb>
    <v>14</v>
  </rv>
  <rv s="5">
    <fb>115.95</fb>
    <v>14</v>
  </rv>
  <rv s="5">
    <fb>2761.63</fb>
    <v>14</v>
  </rv>
  <rv s="5">
    <fb>43935</fb>
    <v>13</v>
  </rv>
  <rv s="5">
    <fb>63.261499999999998</fb>
    <v>14</v>
  </rv>
  <rv s="5">
    <fb>114.166</fb>
    <v>14</v>
  </rv>
  <rv s="5">
    <fb>67.959999999999994</fb>
    <v>14</v>
  </rv>
  <rv s="5">
    <fb>688.89</fb>
    <v>14</v>
  </rv>
  <rv s="5">
    <fb>140.59</fb>
    <v>14</v>
  </rv>
  <rv s="5">
    <fb>270.72000000000003</fb>
    <v>14</v>
  </rv>
  <rv s="5">
    <fb>60.594999999999999</fb>
    <v>14</v>
  </rv>
  <rv s="5">
    <fb>15.54</fb>
    <v>14</v>
  </rv>
  <rv s="5">
    <fb>7.0987999999999998</fb>
    <v>14</v>
  </rv>
  <rv s="5">
    <fb>120.96</fb>
    <v>14</v>
  </rv>
  <rv s="5">
    <fb>270.5</fb>
    <v>14</v>
  </rv>
  <rv s="5">
    <fb>2846.06</fb>
    <v>14</v>
  </rv>
  <rv s="5">
    <fb>43936</fb>
    <v>13</v>
  </rv>
  <rv s="5">
    <fb>62.865000000000002</fb>
    <v>14</v>
  </rv>
  <rv s="5">
    <fb>115.384</fb>
    <v>14</v>
  </rv>
  <rv s="5">
    <fb>67.64</fb>
    <v>14</v>
  </rv>
  <rv s="5">
    <fb>675.53</fb>
    <v>14</v>
  </rv>
  <rv s="5">
    <fb>134.84</fb>
    <v>14</v>
  </rv>
  <rv s="5">
    <fb>14.73</fb>
    <v>14</v>
  </rv>
  <rv s="5">
    <fb>7.0209999999999999</fb>
    <v>14</v>
  </rv>
  <rv s="5">
    <fb>121.22</fb>
    <v>14</v>
  </rv>
  <rv s="5">
    <fb>281.68</fb>
    <v>14</v>
  </rv>
  <rv s="5">
    <fb>2783.36</fb>
    <v>14</v>
  </rv>
  <rv s="5">
    <fb>43937</fb>
    <v>13</v>
  </rv>
  <rv s="5">
    <fb>62.871499999999997</fb>
    <v>14</v>
  </rv>
  <rv s="5">
    <fb>120.40949999999999</fb>
    <v>14</v>
  </rv>
  <rv s="5">
    <fb>67.8</fb>
    <v>14</v>
  </rv>
  <rv s="5">
    <fb>682.74</fb>
    <v>14</v>
  </rv>
  <rv s="5">
    <fb>132.33000000000001</fb>
    <v>14</v>
  </rv>
  <rv s="5">
    <fb>246.76</fb>
    <v>14</v>
  </rv>
  <rv s="5">
    <fb>59.37</fb>
    <v>14</v>
  </rv>
  <rv s="5">
    <fb>14.05</fb>
    <v>14</v>
  </rv>
  <rv s="5">
    <fb>7.3674999999999997</fb>
    <v>14</v>
  </rv>
  <rv s="5">
    <fb>121.5</fb>
    <v>14</v>
  </rv>
  <rv s="5">
    <fb>298.43</fb>
    <v>14</v>
  </rv>
  <rv s="5">
    <fb>2799.55</fb>
    <v>14</v>
  </rv>
  <rv s="5">
    <fb>43938</fb>
    <v>13</v>
  </rv>
  <rv s="5">
    <fb>118.75</fb>
    <v>14</v>
  </rv>
  <rv s="5">
    <fb>70.2</fb>
    <v>14</v>
  </rv>
  <rv s="5">
    <fb>694.95</fb>
    <v>14</v>
  </rv>
  <rv s="5">
    <fb>138.32</fb>
    <v>14</v>
  </rv>
  <rv s="5">
    <fb>259.97000000000003</fb>
    <v>14</v>
  </rv>
  <rv s="5">
    <fb>61.564999999999998</fb>
    <v>14</v>
  </rv>
  <rv s="5">
    <fb>15.28</fb>
    <v>14</v>
  </rv>
  <rv s="5">
    <fb>7.3079999999999998</fb>
    <v>14</v>
  </rv>
  <rv s="5">
    <fb>290.56</fb>
    <v>14</v>
  </rv>
  <rv s="5">
    <fb>2874.56</fb>
    <v>14</v>
  </rv>
  <rv s="5">
    <fb>43941</fb>
    <v>13</v>
  </rv>
  <rv s="5">
    <fb>63.057499999999997</fb>
    <v>14</v>
  </rv>
  <rv s="5">
    <fb>119.68049999999999</fb>
    <v>14</v>
  </rv>
  <rv s="5">
    <fb>68.540000000000006</fb>
    <v>14</v>
  </rv>
  <rv s="5">
    <fb>670.75</fb>
    <v>14</v>
  </rv>
  <rv s="5">
    <fb>135.69999999999999</fb>
    <v>14</v>
  </rv>
  <rv s="5">
    <fb>251.73</fb>
    <v>14</v>
  </rv>
  <rv s="5">
    <fb>59.402500000000003</fb>
    <v>14</v>
  </rv>
  <rv s="5">
    <fb>15.21</fb>
    <v>14</v>
  </rv>
  <rv s="5">
    <fb>7.1763000000000003</fb>
    <v>14</v>
  </rv>
  <rv s="5">
    <fb>120.6</fb>
    <v>14</v>
  </rv>
  <rv s="5">
    <fb>282.14</fb>
    <v>14</v>
  </rv>
  <rv s="5">
    <fb>2823.16</fb>
    <v>14</v>
  </rv>
  <rv s="5">
    <fb>43942</fb>
    <v>13</v>
  </rv>
  <rv s="5">
    <fb>60.607999999999997</fb>
    <v>14</v>
  </rv>
  <rv s="5">
    <fb>116.40600000000001</fb>
    <v>14</v>
  </rv>
  <rv s="5">
    <fb>65.540000000000006</fb>
    <v>14</v>
  </rv>
  <rv s="5">
    <fb>672.2</fb>
    <v>14</v>
  </rv>
  <rv s="5">
    <fb>132</fb>
    <v>14</v>
  </rv>
  <rv s="5">
    <fb>245.35</fb>
    <v>14</v>
  </rv>
  <rv s="5">
    <fb>58.854999999999997</fb>
    <v>14</v>
  </rv>
  <rv s="5">
    <fb>14.69</fb>
    <v>14</v>
  </rv>
  <rv s="5">
    <fb>6.7378</fb>
    <v>14</v>
  </rv>
  <rv s="5">
    <fb>119.68</fb>
    <v>14</v>
  </rv>
  <rv s="5">
    <fb>274.19</fb>
    <v>14</v>
  </rv>
  <rv s="5">
    <fb>2736.56</fb>
    <v>14</v>
  </rv>
  <rv s="5">
    <fb>43943</fb>
    <v>13</v>
  </rv>
  <rv s="5">
    <fb>62.920499999999997</fb>
    <v>14</v>
  </rv>
  <rv s="5">
    <fb>118.17449999999999</fb>
    <v>14</v>
  </rv>
  <rv s="5">
    <fb>66.62</fb>
    <v>14</v>
  </rv>
  <rv s="5">
    <fb>684.79</fb>
    <v>14</v>
  </rv>
  <rv s="5">
    <fb>133.03</fb>
    <v>14</v>
  </rv>
  <rv s="5">
    <fb>256.91000000000003</fb>
    <v>14</v>
  </rv>
  <rv s="5">
    <fb>61.792499999999997</fb>
    <v>14</v>
  </rv>
  <rv s="5">
    <fb>15.34</fb>
    <v>14</v>
  </rv>
  <rv s="5">
    <fb>7.1538000000000004</fb>
    <v>14</v>
  </rv>
  <rv s="5">
    <fb>119.4</fb>
    <v>14</v>
  </rv>
  <rv s="5">
    <fb>277.02</fb>
    <v>14</v>
  </rv>
  <rv s="5">
    <fb>2799.31</fb>
    <v>14</v>
  </rv>
  <rv s="5">
    <fb>43944</fb>
    <v>13</v>
  </rv>
  <rv s="5">
    <fb>63.558500000000002</fb>
    <v>14</v>
  </rv>
  <rv s="5">
    <fb>119.9725</fb>
    <v>14</v>
  </rv>
  <rv s="5">
    <fb>64.900000000000006</fb>
    <v>14</v>
  </rv>
  <rv s="5">
    <fb>685.49</fb>
    <v>14</v>
  </rv>
  <rv s="5">
    <fb>134.68</fb>
    <v>14</v>
  </rv>
  <rv s="5">
    <fb>255.86</fb>
    <v>14</v>
  </rv>
  <rv s="5">
    <fb>16.52</fb>
    <v>14</v>
  </rv>
  <rv s="5">
    <fb>7.1002999999999998</fb>
    <v>14</v>
  </rv>
  <rv s="5">
    <fb>285.33</fb>
    <v>14</v>
  </rv>
  <rv s="5">
    <fb>2797.8</fb>
    <v>14</v>
  </rv>
  <rv s="5">
    <fb>43945</fb>
    <v>13</v>
  </rv>
  <rv s="5">
    <fb>120.511</fb>
    <v>14</v>
  </rv>
  <rv s="5">
    <fb>65.27</fb>
    <v>14</v>
  </rv>
  <rv s="5">
    <fb>685.1</fb>
    <v>14</v>
  </rv>
  <rv s="5">
    <fb>135.52000000000001</fb>
    <v>14</v>
  </rv>
  <rv s="5">
    <fb>258.76</fb>
    <v>14</v>
  </rv>
  <rv s="5">
    <fb>59.924999999999997</fb>
    <v>14</v>
  </rv>
  <rv s="5">
    <fb>16.11</fb>
    <v>14</v>
  </rv>
  <rv s="5">
    <fb>7.2397999999999998</fb>
    <v>14</v>
  </rv>
  <rv s="5">
    <fb>118.78</fb>
    <v>14</v>
  </rv>
  <rv s="5">
    <fb>291.29000000000002</fb>
    <v>14</v>
  </rv>
  <rv s="5">
    <fb>2836.74</fb>
    <v>14</v>
  </rv>
  <rv s="5">
    <fb>43948</fb>
    <v>13</v>
  </rv>
  <rv s="5">
    <fb>63.542999999999999</fb>
    <v>14</v>
  </rv>
  <rv s="5">
    <fb>118.8</fb>
    <v>14</v>
  </rv>
  <rv s="5">
    <fb>67.569999999999993</fb>
    <v>14</v>
  </rv>
  <rv s="5">
    <fb>702</fb>
    <v>14</v>
  </rv>
  <rv s="5">
    <fb>265.12</fb>
    <v>14</v>
  </rv>
  <rv s="5">
    <fb>60.9</fb>
    <v>14</v>
  </rv>
  <rv s="5">
    <fb>16.05</fb>
    <v>14</v>
  </rv>
  <rv s="5">
    <fb>7.4269999999999996</fb>
    <v>14</v>
  </rv>
  <rv s="5">
    <fb>2878.48</fb>
    <v>14</v>
  </rv>
  <rv s="5">
    <fb>43949</fb>
    <v>13</v>
  </rv>
  <rv s="5">
    <fb>61.6295</fb>
    <v>14</v>
  </rv>
  <rv s="5">
    <fb>115.70399999999999</fb>
    <v>14</v>
  </rv>
  <rv s="5">
    <fb>683.76</fb>
    <v>14</v>
  </rv>
  <rv s="5">
    <fb>142.76</fb>
    <v>14</v>
  </rv>
  <rv s="5">
    <fb>59.825000000000003</fb>
    <v>14</v>
  </rv>
  <rv s="5">
    <fb>16.149999999999999</fb>
    <v>14</v>
  </rv>
  <rv s="5">
    <fb>7.2839999999999998</fb>
    <v>14</v>
  </rv>
  <rv s="5">
    <fb>116.89</fb>
    <v>14</v>
  </rv>
  <rv s="5">
    <fb>288.36</fb>
    <v>14</v>
  </rv>
  <rv s="5">
    <fb>2863.39</fb>
    <v>14</v>
  </rv>
  <rv s="5">
    <fb>43950</fb>
    <v>13</v>
  </rv>
  <rv s="5">
    <fb>67.108999999999995</fb>
    <v>14</v>
  </rv>
  <rv s="5">
    <fb>118.63549999999999</fb>
    <v>14</v>
  </rv>
  <rv s="5">
    <fb>679.32</fb>
    <v>14</v>
  </rv>
  <rv s="5">
    <fb>146.16</fb>
    <v>14</v>
  </rv>
  <rv s="5">
    <fb>283.69</fb>
    <v>14</v>
  </rv>
  <rv s="5">
    <fb>58.782499999999999</fb>
    <v>14</v>
  </rv>
  <rv s="5">
    <fb>18.2</fb>
    <v>14</v>
  </rv>
  <rv s="5">
    <fb>7.4615</fb>
    <v>14</v>
  </rv>
  <rv s="5">
    <fb>117.08</fb>
    <v>14</v>
  </rv>
  <rv s="5">
    <fb>287.64999999999998</fb>
    <v>14</v>
  </rv>
  <rv s="5">
    <fb>2939.51</fb>
    <v>14</v>
  </rv>
  <rv s="5">
    <fb>43951</fb>
    <v>13</v>
  </rv>
  <rv s="5">
    <fb>67.334999999999994</fb>
    <v>14</v>
  </rv>
  <rv s="5">
    <fb>123.7</fb>
    <v>14</v>
  </rv>
  <rv s="5">
    <fb>65.59</fb>
    <v>14</v>
  </rv>
  <rv s="5">
    <fb>675.2</fb>
    <v>14</v>
  </rv>
  <rv s="5">
    <fb>141.9</fb>
    <v>14</v>
  </rv>
  <rv s="5">
    <fb>274.97000000000003</fb>
    <v>14</v>
  </rv>
  <rv s="5">
    <fb>57.78</fb>
    <v>14</v>
  </rv>
  <rv s="5">
    <fb>16.82</fb>
    <v>14</v>
  </rv>
  <rv s="5">
    <fb>7.3070000000000004</fb>
    <v>14</v>
  </rv>
  <rv s="5">
    <fb>117.87</fb>
    <v>14</v>
  </rv>
  <rv s="5">
    <fb>292.47000000000003</fb>
    <v>14</v>
  </rv>
  <rv s="5">
    <fb>2912.43</fb>
    <v>14</v>
  </rv>
  <rv s="5">
    <fb>43952</fb>
    <v>13</v>
  </rv>
  <rv s="5">
    <fb>65.866</fb>
    <v>14</v>
  </rv>
  <rv s="5">
    <fb>114.30200000000001</fb>
    <v>14</v>
  </rv>
  <rv s="5">
    <fb>670.85</fb>
    <v>14</v>
  </rv>
  <rv s="5">
    <fb>137.25</fb>
    <v>14</v>
  </rv>
  <rv s="5">
    <fb>268.74</fb>
    <v>14</v>
  </rv>
  <rv s="5">
    <fb>56.762500000000003</fb>
    <v>14</v>
  </rv>
  <rv s="5">
    <fb>15.75</fb>
    <v>14</v>
  </rv>
  <rv s="5">
    <fb>7.0694999999999997</fb>
    <v>14</v>
  </rv>
  <rv s="5">
    <fb>116.82</fb>
    <v>14</v>
  </rv>
  <rv s="5">
    <fb>284.51</fb>
    <v>14</v>
  </rv>
  <rv s="5">
    <fb>2830.71</fb>
    <v>14</v>
  </rv>
  <rv s="5">
    <fb>43955</fb>
    <v>13</v>
  </rv>
  <rv s="5">
    <fb>66.144999999999996</fb>
    <v>14</v>
  </rv>
  <rv s="5">
    <fb>115.79949999999999</fb>
    <v>14</v>
  </rv>
  <rv s="5">
    <fb>66.150000000000006</fb>
    <v>14</v>
  </rv>
  <rv s="5">
    <fb>675.97</fb>
    <v>14</v>
  </rv>
  <rv s="5">
    <fb>135.19999999999999</fb>
    <v>14</v>
  </rv>
  <rv s="5">
    <fb>269.26</fb>
    <v>14</v>
  </rv>
  <rv s="5">
    <fb>57.522500000000001</fb>
    <v>14</v>
  </rv>
  <rv s="5">
    <fb>16.23</fb>
    <v>14</v>
  </rv>
  <rv s="5">
    <fb>7.2820999999999998</fb>
    <v>14</v>
  </rv>
  <rv s="5">
    <fb>115.77</fb>
    <v>14</v>
  </rv>
  <rv s="5">
    <fb>287.54000000000002</fb>
    <v>14</v>
  </rv>
  <rv s="5">
    <fb>2842.74</fb>
    <v>14</v>
  </rv>
  <rv s="5">
    <fb>43956</fb>
    <v>13</v>
  </rv>
  <rv s="5">
    <fb>67.450999999999993</fb>
    <v>14</v>
  </rv>
  <rv s="5">
    <fb>66.260000000000005</fb>
    <v>14</v>
  </rv>
  <rv s="5">
    <fb>686.39</fb>
    <v>14</v>
  </rv>
  <rv s="5">
    <fb>134.87</fb>
    <v>14</v>
  </rv>
  <rv s="5">
    <fb>273.98</fb>
    <v>14</v>
  </rv>
  <rv s="5">
    <fb>57.524999999999999</fb>
    <v>14</v>
  </rv>
  <rv s="5">
    <fb>16.25</fb>
    <v>14</v>
  </rv>
  <rv s="5">
    <fb>7.3434999999999997</fb>
    <v>14</v>
  </rv>
  <rv s="5">
    <fb>116.01</fb>
    <v>14</v>
  </rv>
  <rv s="5">
    <fb>293.04000000000002</fb>
    <v>14</v>
  </rv>
  <rv s="5">
    <fb>2868.44</fb>
    <v>14</v>
  </rv>
  <rv s="5">
    <fb>43957</fb>
    <v>13</v>
  </rv>
  <rv s="5">
    <fb>67.271500000000003</fb>
    <v>14</v>
  </rv>
  <rv s="5">
    <fb>117.563</fb>
    <v>14</v>
  </rv>
  <rv s="5">
    <fb>684.19</fb>
    <v>14</v>
  </rv>
  <rv s="5">
    <fb>133.04</fb>
    <v>14</v>
  </rv>
  <rv s="5">
    <fb>272.44</fb>
    <v>14</v>
  </rv>
  <rv s="5">
    <fb>55.664999999999999</fb>
    <v>14</v>
  </rv>
  <rv s="5">
    <fb>15.82</fb>
    <v>14</v>
  </rv>
  <rv s="5">
    <fb>7.4447999999999999</fb>
    <v>14</v>
  </rv>
  <rv s="5">
    <fb>113.1</fb>
    <v>14</v>
  </rv>
  <rv s="5">
    <fb>288.77</fb>
    <v>14</v>
  </rv>
  <rv s="5">
    <fb>2848.42</fb>
    <v>14</v>
  </rv>
  <rv s="5">
    <fb>43958</fb>
    <v>13</v>
  </rv>
  <rv s="5">
    <fb>68.463999999999999</fb>
    <v>14</v>
  </rv>
  <rv s="5">
    <fb>118.3805</fb>
    <v>14</v>
  </rv>
  <rv s="5">
    <fb>675.34</fb>
    <v>14</v>
  </rv>
  <rv s="5">
    <fb>132.79</fb>
    <v>14</v>
  </rv>
  <rv s="5">
    <fb>278.47000000000003</fb>
    <v>14</v>
  </rv>
  <rv s="5">
    <fb>56.12</fb>
    <v>14</v>
  </rv>
  <rv s="5">
    <fb>16.73</fb>
    <v>14</v>
  </rv>
  <rv s="5">
    <fb>7.6218000000000004</fb>
    <v>14</v>
  </rv>
  <rv s="5">
    <fb>112.17</fb>
    <v>14</v>
  </rv>
  <rv s="5">
    <fb>285</fb>
    <v>14</v>
  </rv>
  <rv s="5">
    <fb>2881.19</fb>
    <v>14</v>
  </rv>
  <rv s="5">
    <fb>43959</fb>
    <v>13</v>
  </rv>
  <rv s="5">
    <fb>69.216999999999999</fb>
    <v>14</v>
  </rv>
  <rv s="5">
    <fb>118.98050000000001</fb>
    <v>14</v>
  </rv>
  <rv s="5">
    <fb>678.16</fb>
    <v>14</v>
  </rv>
  <rv s="5">
    <fb>136.91</fb>
    <v>14</v>
  </rv>
  <rv s="5">
    <fb>282.44</fb>
    <v>14</v>
  </rv>
  <rv s="5">
    <fb>57.432499999999997</fb>
    <v>14</v>
  </rv>
  <rv s="5">
    <fb>18.05</fb>
    <v>14</v>
  </rv>
  <rv s="5">
    <fb>7.8125</fb>
    <v>14</v>
  </rv>
  <rv s="5">
    <fb>287</fb>
    <v>14</v>
  </rv>
  <rv s="5">
    <fb>2929.8</fb>
    <v>14</v>
  </rv>
  <rv s="5">
    <fb>43962</fb>
    <v>13</v>
  </rv>
  <rv s="5">
    <fb>70.179500000000004</fb>
    <v>14</v>
  </rv>
  <rv s="5">
    <fb>120.45</fb>
    <v>14</v>
  </rv>
  <rv s="5">
    <fb>678</fb>
    <v>14</v>
  </rv>
  <rv s="5">
    <fb>134.28</fb>
    <v>14</v>
  </rv>
  <rv s="5">
    <fb>281.23</fb>
    <v>14</v>
  </rv>
  <rv s="5">
    <fb>56.844999999999999</fb>
    <v>14</v>
  </rv>
  <rv s="5">
    <fb>17.36</fb>
    <v>14</v>
  </rv>
  <rv s="5">
    <fb>8.0655000000000001</fb>
    <v>14</v>
  </rv>
  <rv s="5">
    <fb>115.31</fb>
    <v>14</v>
  </rv>
  <rv s="5">
    <fb>288.69</fb>
    <v>14</v>
  </rv>
  <rv s="5">
    <fb>2930.32</fb>
    <v>14</v>
  </rv>
  <rv s="5">
    <fb>43963</fb>
    <v>13</v>
  </rv>
  <rv s="5">
    <fb>68.759</fb>
    <v>14</v>
  </rv>
  <rv s="5">
    <fb>117.8475</fb>
    <v>14</v>
  </rv>
  <rv s="5">
    <fb>663.65</fb>
    <v>14</v>
  </rv>
  <rv s="5">
    <fb>127.59</fb>
    <v>14</v>
  </rv>
  <rv s="5">
    <fb>272.11</fb>
    <v>14</v>
  </rv>
  <rv s="5">
    <fb>56.982500000000002</fb>
    <v>14</v>
  </rv>
  <rv s="5">
    <fb>17.079999999999998</fb>
    <v>14</v>
  </rv>
  <rv s="5">
    <fb>7.8025000000000002</fb>
    <v>14</v>
  </rv>
  <rv s="5">
    <fb>114.55</fb>
    <v>14</v>
  </rv>
  <rv s="5">
    <fb>287.7</fb>
    <v>14</v>
  </rv>
  <rv s="5">
    <fb>2870.12</fb>
    <v>14</v>
  </rv>
  <rv s="5">
    <fb>43964</fb>
    <v>13</v>
  </rv>
  <rv s="5">
    <fb>67.416499999999999</fb>
    <v>14</v>
  </rv>
  <rv s="5">
    <fb>118.396</fb>
    <v>14</v>
  </rv>
  <rv s="5">
    <fb>678.8</fb>
    <v>14</v>
  </rv>
  <rv s="5">
    <fb>122.97</fb>
    <v>14</v>
  </rv>
  <rv s="5">
    <fb>269.16000000000003</fb>
    <v>14</v>
  </rv>
  <rv s="5">
    <fb>57.53</fb>
    <v>14</v>
  </rv>
  <rv s="5">
    <fb>15.85</fb>
    <v>14</v>
  </rv>
  <rv s="5">
    <fb>7.78</fb>
    <v>14</v>
  </rv>
  <rv s="5">
    <fb>113.92</fb>
    <v>14</v>
  </rv>
  <rv s="5">
    <fb>278</fb>
    <v>14</v>
  </rv>
  <rv s="5">
    <fb>2820</fb>
    <v>14</v>
  </rv>
  <rv s="5">
    <fb>43965</fb>
    <v>13</v>
  </rv>
  <rv s="5">
    <fb>67.843000000000004</fb>
    <v>14</v>
  </rv>
  <rv s="5">
    <fb>119.4425</fb>
    <v>14</v>
  </rv>
  <rv s="5">
    <fb>659.26</fb>
    <v>14</v>
  </rv>
  <rv s="5">
    <fb>127.05</fb>
    <v>14</v>
  </rv>
  <rv s="5">
    <fb>277.31</fb>
    <v>14</v>
  </rv>
  <rv s="5">
    <fb>16.100000000000001</fb>
    <v>14</v>
  </rv>
  <rv s="5">
    <fb>8.0305</fb>
    <v>14</v>
  </rv>
  <rv s="5">
    <fb>113.81</fb>
    <v>14</v>
  </rv>
  <rv s="5">
    <fb>290.61</fb>
    <v>14</v>
  </rv>
  <rv s="5">
    <fb>2852.5</fb>
    <v>14</v>
  </rv>
  <rv s="5">
    <fb>43966</fb>
    <v>13</v>
  </rv>
  <rv s="5">
    <fb>68.653000000000006</fb>
    <v>14</v>
  </rv>
  <rv s="5">
    <fb>120.489</fb>
    <v>14</v>
  </rv>
  <rv s="5">
    <fb>62.23</fb>
    <v>14</v>
  </rv>
  <rv s="5">
    <fb>658.66</fb>
    <v>14</v>
  </rv>
  <rv s="5">
    <fb>125.41</fb>
    <v>14</v>
  </rv>
  <rv s="5">
    <fb>278.94</fb>
    <v>14</v>
  </rv>
  <rv s="5">
    <fb>56.962499999999999</fb>
    <v>14</v>
  </rv>
  <rv s="5">
    <fb>8.4908000000000001</fb>
    <v>14</v>
  </rv>
  <rv s="5">
    <fb>114.61</fb>
    <v>14</v>
  </rv>
  <rv s="5">
    <fb>290.95999999999998</fb>
    <v>14</v>
  </rv>
  <rv s="5">
    <fb>2863.7</fb>
    <v>14</v>
  </rv>
  <rv s="5">
    <fb>43969</fb>
    <v>13</v>
  </rv>
  <rv s="5">
    <fb>69.259</fb>
    <v>14</v>
  </rv>
  <rv s="5">
    <fb>121.313</fb>
    <v>14</v>
  </rv>
  <rv s="5">
    <fb>64.349999999999994</fb>
    <v>14</v>
  </rv>
  <rv s="5">
    <fb>662.38</fb>
    <v>14</v>
  </rv>
  <rv s="5">
    <fb>136.04</fb>
    <v>14</v>
  </rv>
  <rv s="5">
    <fb>289.89999999999998</fb>
    <v>14</v>
  </rv>
  <rv s="5">
    <fb>58.862499999999997</fb>
    <v>14</v>
  </rv>
  <rv s="5">
    <fb>17.95</fb>
    <v>14</v>
  </rv>
  <rv s="5">
    <fb>8.7502999999999993</fb>
    <v>14</v>
  </rv>
  <rv s="5">
    <fb>116.21</fb>
    <v>14</v>
  </rv>
  <rv s="5">
    <fb>293.36</fb>
    <v>14</v>
  </rv>
  <rv s="5">
    <fb>2953.91</fb>
    <v>14</v>
  </rv>
  <rv s="5">
    <fb>43970</fb>
    <v>13</v>
  </rv>
  <rv s="5">
    <fb>68.72</fb>
    <v>14</v>
  </rv>
  <rv s="5">
    <fb>122.4665</fb>
    <v>14</v>
  </rv>
  <rv s="5">
    <fb>650.13</fb>
    <v>14</v>
  </rv>
  <rv s="5">
    <fb>131.94999999999999</fb>
    <v>14</v>
  </rv>
  <rv s="5">
    <fb>57.625</fb>
    <v>14</v>
  </rv>
  <rv s="5">
    <fb>17.11</fb>
    <v>14</v>
  </rv>
  <rv s="5">
    <fb>8.8055000000000003</fb>
    <v>14</v>
  </rv>
  <rv s="5">
    <fb>112.44</fb>
    <v>14</v>
  </rv>
  <rv s="5">
    <fb>289.05</fb>
    <v>14</v>
  </rv>
  <rv s="5">
    <fb>2922.94</fb>
    <v>14</v>
  </rv>
  <rv s="5">
    <fb>43971</fb>
    <v>13</v>
  </rv>
  <rv s="5">
    <fb>70.457999999999998</fb>
    <v>14</v>
  </rv>
  <rv s="5">
    <fb>124.89700000000001</fb>
    <v>14</v>
  </rv>
  <rv s="5">
    <fb>655.48</fb>
    <v>14</v>
  </rv>
  <rv s="5">
    <fb>136.03</fb>
    <v>14</v>
  </rv>
  <rv s="5">
    <fb>298.8</fb>
    <v>14</v>
  </rv>
  <rv s="5">
    <fb>58.197499999999998</fb>
    <v>14</v>
  </rv>
  <rv s="5">
    <fb>18.21</fb>
    <v>14</v>
  </rv>
  <rv s="5">
    <fb>8.9700000000000006</fb>
    <v>14</v>
  </rv>
  <rv s="5">
    <fb>113.28</fb>
    <v>14</v>
  </rv>
  <rv s="5">
    <fb>287.99</fb>
    <v>14</v>
  </rv>
  <rv s="5">
    <fb>2971.61</fb>
    <v>14</v>
  </rv>
  <rv s="5">
    <fb>43972</fb>
    <v>13</v>
  </rv>
  <rv s="5">
    <fb>70.337500000000006</fb>
    <v>14</v>
  </rv>
  <rv s="5">
    <fb>122.337</fb>
    <v>14</v>
  </rv>
  <rv s="5">
    <fb>64.040000000000006</fb>
    <v>14</v>
  </rv>
  <rv s="5">
    <fb>644.4</fb>
    <v>14</v>
  </rv>
  <rv s="5">
    <fb>137.69</fb>
    <v>14</v>
  </rv>
  <rv s="5">
    <fb>294.26</fb>
    <v>14</v>
  </rv>
  <rv s="5">
    <fb>17.79</fb>
    <v>14</v>
  </rv>
  <rv s="5">
    <fb>8.7752999999999997</fb>
    <v>14</v>
  </rv>
  <rv s="5">
    <fb>111.62</fb>
    <v>14</v>
  </rv>
  <rv s="5">
    <fb>286.91000000000003</fb>
    <v>14</v>
  </rv>
  <rv s="5">
    <fb>2948.51</fb>
    <v>14</v>
  </rv>
  <rv s="5">
    <fb>43973</fb>
    <v>13</v>
  </rv>
  <rv s="5">
    <fb>70.662000000000006</fb>
    <v>14</v>
  </rv>
  <rv s="5">
    <fb>121.84399999999999</fb>
    <v>14</v>
  </rv>
  <rv s="5">
    <fb>64.510000000000005</fb>
    <v>14</v>
  </rv>
  <rv s="5">
    <fb>670.02</fb>
    <v>14</v>
  </rv>
  <rv s="5">
    <fb>139.18</fb>
    <v>14</v>
  </rv>
  <rv s="5">
    <fb>294.91000000000003</fb>
    <v>14</v>
  </rv>
  <rv s="5">
    <fb>58.462499999999999</fb>
    <v>14</v>
  </rv>
  <rv s="5">
    <fb>17.579999999999998</fb>
    <v>14</v>
  </rv>
  <rv s="5">
    <fb>9.0263000000000009</fb>
    <v>14</v>
  </rv>
  <rv s="5">
    <fb>289.94</fb>
    <v>14</v>
  </rv>
  <rv s="5">
    <fb>2955.45</fb>
    <v>14</v>
  </rv>
  <rv s="5">
    <fb>43977</fb>
    <v>13</v>
  </rv>
  <rv s="5">
    <fb>71.0685</fb>
    <v>14</v>
  </rv>
  <rv s="5">
    <fb>121.093</fb>
    <v>14</v>
  </rv>
  <rv s="5">
    <fb>66.540000000000006</fb>
    <v>14</v>
  </rv>
  <rv s="5">
    <fb>658.01</fb>
    <v>14</v>
  </rv>
  <rv s="5">
    <fb>144.94</fb>
    <v>14</v>
  </rv>
  <rv s="5">
    <fb>303.33</fb>
    <v>14</v>
  </rv>
  <rv s="5">
    <fb>58.577500000000001</fb>
    <v>14</v>
  </rv>
  <rv s="5">
    <fb>18.399999999999999</fb>
    <v>14</v>
  </rv>
  <rv s="5">
    <fb>8.7178000000000004</fb>
    <v>14</v>
  </rv>
  <rv s="5">
    <fb>112.03</fb>
    <v>14</v>
  </rv>
  <rv s="5">
    <fb>294.89</fb>
    <v>14</v>
  </rv>
  <rv s="5">
    <fb>2991.77</fb>
    <v>14</v>
  </rv>
  <rv s="5">
    <fb>43978</fb>
    <v>13</v>
  </rv>
  <rv s="5">
    <fb>71.013999999999996</fb>
    <v>14</v>
  </rv>
  <rv s="5">
    <fb>120.51949999999999</fb>
    <v>14</v>
  </rv>
  <rv s="5">
    <fb>675.54</fb>
    <v>14</v>
  </rv>
  <rv s="5">
    <fb>148.59</fb>
    <v>14</v>
  </rv>
  <rv s="5">
    <fb>299.77</fb>
    <v>14</v>
  </rv>
  <rv s="5">
    <fb>60.282499999999999</fb>
    <v>14</v>
  </rv>
  <rv s="5">
    <fb>19.05</fb>
    <v>14</v>
  </rv>
  <rv s="5">
    <fb>8.5252999999999997</fb>
    <v>14</v>
  </rv>
  <rv s="5">
    <fb>113.89</fb>
    <v>14</v>
  </rv>
  <rv s="5">
    <fb>303.77</fb>
    <v>14</v>
  </rv>
  <rv s="5">
    <fb>3036.13</fb>
    <v>14</v>
  </rv>
  <rv s="5">
    <fb>43979</fb>
    <v>13</v>
  </rv>
  <rv s="5">
    <fb>70.912000000000006</fb>
    <v>14</v>
  </rv>
  <rv s="5">
    <fb>120.05500000000001</fb>
    <v>14</v>
  </rv>
  <rv s="5">
    <fb>70.55</fb>
    <v>14</v>
  </rv>
  <rv s="5">
    <fb>693.35</fb>
    <v>14</v>
  </rv>
  <rv s="5">
    <fb>147.56</fb>
    <v>14</v>
  </rv>
  <rv s="5">
    <fb>302.3</fb>
    <v>14</v>
  </rv>
  <rv s="5">
    <fb>62.84</fb>
    <v>14</v>
  </rv>
  <rv s="5">
    <fb>18.79</fb>
    <v>14</v>
  </rv>
  <rv s="5">
    <fb>8.4870000000000001</fb>
    <v>14</v>
  </rv>
  <rv s="5">
    <fb>303.97000000000003</fb>
    <v>14</v>
  </rv>
  <rv s="5">
    <fb>3029.73</fb>
    <v>14</v>
  </rv>
  <rv s="5">
    <fb>43980</fb>
    <v>13</v>
  </rv>
  <rv s="5">
    <fb>71.676000000000002</fb>
    <v>14</v>
  </rv>
  <rv s="5">
    <fb>122.1185</fb>
    <v>14</v>
  </rv>
  <rv s="5">
    <fb>71.260000000000005</fb>
    <v>14</v>
  </rv>
  <rv s="5">
    <fb>697.63</fb>
    <v>14</v>
  </rv>
  <rv s="5">
    <fb>145.85</fb>
    <v>14</v>
  </rv>
  <rv s="5">
    <fb>300.89</fb>
    <v>14</v>
  </rv>
  <rv s="5">
    <fb>63.89</fb>
    <v>14</v>
  </rv>
  <rv s="5">
    <fb>18.47</fb>
    <v>14</v>
  </rv>
  <rv s="5">
    <fb>8.8755000000000006</fb>
    <v>14</v>
  </rv>
  <rv s="5">
    <fb>115.92</fb>
    <v>14</v>
  </rv>
  <rv s="5">
    <fb>304.85000000000002</fb>
    <v>14</v>
  </rv>
  <rv s="5">
    <fb>3044.31</fb>
    <v>14</v>
  </rv>
  <rv s="5">
    <fb>43983</fb>
    <v>13</v>
  </rv>
  <rv s="5">
    <fb>71.743499999999997</fb>
    <v>14</v>
  </rv>
  <rv s="5">
    <fb>123.55200000000001</fb>
    <v>14</v>
  </rv>
  <rv s="5">
    <fb>71.17</fb>
    <v>14</v>
  </rv>
  <rv s="5">
    <fb>710.17</fb>
    <v>14</v>
  </rv>
  <rv s="5">
    <fb>146.18</fb>
    <v>14</v>
  </rv>
  <rv s="5">
    <fb>301.39999999999998</fb>
    <v>14</v>
  </rv>
  <rv s="5">
    <fb>63.912500000000001</fb>
    <v>14</v>
  </rv>
  <rv s="5">
    <fb>18.43</fb>
    <v>14</v>
  </rv>
  <rv s="5">
    <fb>8.8063000000000002</fb>
    <v>14</v>
  </rv>
  <rv s="5">
    <fb>305.93</fb>
    <v>14</v>
  </rv>
  <rv s="5">
    <fb>3055.73</fb>
    <v>14</v>
  </rv>
  <rv s="5">
    <fb>43984</fb>
    <v>13</v>
  </rv>
  <rv s="5">
    <fb>72.115499999999997</fb>
    <v>14</v>
  </rv>
  <rv s="5">
    <fb>123.62050000000001</fb>
    <v>14</v>
  </rv>
  <rv s="5">
    <fb>696.69</fb>
    <v>14</v>
  </rv>
  <rv s="5">
    <fb>303.58999999999997</fb>
    <v>14</v>
  </rv>
  <rv s="5">
    <fb>64.150000000000006</fb>
    <v>14</v>
  </rv>
  <rv s="5">
    <fb>18.86</fb>
    <v>14</v>
  </rv>
  <rv s="5">
    <fb>8.8253000000000004</fb>
    <v>14</v>
  </rv>
  <rv s="5">
    <fb>118.06</fb>
    <v>14</v>
  </rv>
  <rv s="5">
    <fb>306.31</fb>
    <v>14</v>
  </rv>
  <rv s="5">
    <fb>3080.82</fb>
    <v>14</v>
  </rv>
  <rv s="5">
    <fb>43985</fb>
    <v>13</v>
  </rv>
  <rv s="5">
    <fb>71.962500000000006</fb>
    <v>14</v>
  </rv>
  <rv s="5">
    <fb>123.92</fb>
    <v>14</v>
  </rv>
  <rv s="5">
    <fb>688.99</fb>
    <v>14</v>
  </rv>
  <rv s="5">
    <fb>153.35</fb>
    <v>14</v>
  </rv>
  <rv s="5">
    <fb>307.07</fb>
    <v>14</v>
  </rv>
  <rv s="5">
    <fb>64.894999999999996</fb>
    <v>14</v>
  </rv>
  <rv s="5">
    <fb>19.61</fb>
    <v>14</v>
  </rv>
  <rv s="5">
    <fb>8.7695000000000007</fb>
    <v>14</v>
  </rv>
  <rv s="5">
    <fb>118.53</fb>
    <v>14</v>
  </rv>
  <rv s="5">
    <fb>305.35000000000002</fb>
    <v>14</v>
  </rv>
  <rv s="5">
    <fb>3122.87</fb>
    <v>14</v>
  </rv>
  <rv s="5">
    <fb>43986</fb>
    <v>13</v>
  </rv>
  <rv s="5">
    <fb>70.715000000000003</fb>
    <v>14</v>
  </rv>
  <rv s="5">
    <fb>123.03</fb>
    <v>14</v>
  </rv>
  <rv s="5">
    <fb>75.400000000000006</fb>
    <v>14</v>
  </rv>
  <rv s="5">
    <fb>665.18</fb>
    <v>14</v>
  </rv>
  <rv s="5">
    <fb>155.91</fb>
    <v>14</v>
  </rv>
  <rv s="5">
    <fb>301.37</fb>
    <v>14</v>
  </rv>
  <rv s="5">
    <fb>62.972499999999997</fb>
    <v>14</v>
  </rv>
  <rv s="5">
    <fb>20.329999999999998</fb>
    <v>14</v>
  </rv>
  <rv s="5">
    <fb>8.7665000000000006</fb>
    <v>14</v>
  </rv>
  <rv s="5">
    <fb>116.05</fb>
    <v>14</v>
  </rv>
  <rv s="5">
    <fb>298.08</fb>
    <v>14</v>
  </rv>
  <rv s="5">
    <fb>3112.35</fb>
    <v>14</v>
  </rv>
  <rv s="5">
    <fb>43987</fb>
    <v>13</v>
  </rv>
  <rv s="5">
    <fb>72.001000000000005</fb>
    <v>14</v>
  </rv>
  <rv s="5">
    <fb>124.15</fb>
    <v>14</v>
  </rv>
  <rv s="5">
    <fb>73.930000000000007</fb>
    <v>14</v>
  </rv>
  <rv s="5">
    <fb>673.5</fb>
    <v>14</v>
  </rv>
  <rv s="5">
    <fb>161.37</fb>
    <v>14</v>
  </rv>
  <rv s="5">
    <fb>311.88</fb>
    <v>14</v>
  </rv>
  <rv s="5">
    <fb>63.594999999999999</fb>
    <v>14</v>
  </rv>
  <rv s="5">
    <fb>21.99</fb>
    <v>14</v>
  </rv>
  <rv s="5">
    <fb>8.92</fb>
    <v>14</v>
  </rv>
  <rv s="5">
    <fb>118.33</fb>
    <v>14</v>
  </rv>
  <rv s="5">
    <fb>311.85000000000002</fb>
    <v>14</v>
  </rv>
  <rv s="5">
    <fb>3193.93</fb>
    <v>14</v>
  </rv>
  <rv s="5">
    <fb>43990</fb>
    <v>13</v>
  </rv>
  <rv s="5">
    <fb>72.402000000000001</fb>
    <v>14</v>
  </rv>
  <rv s="5">
    <fb>126.203</fb>
    <v>14</v>
  </rv>
  <rv s="5">
    <fb>74.08</fb>
    <v>14</v>
  </rv>
  <rv s="5">
    <fb>676.24</fb>
    <v>14</v>
  </rv>
  <rv s="5">
    <fb>162.91999999999999</fb>
    <v>14</v>
  </rv>
  <rv s="5">
    <fb>310.41000000000003</fb>
    <v>14</v>
  </rv>
  <rv s="5">
    <fb>65.12</fb>
    <v>14</v>
  </rv>
  <rv s="5">
    <fb>23.65</fb>
    <v>14</v>
  </rv>
  <rv s="5">
    <fb>8.8049999999999997</fb>
    <v>14</v>
  </rv>
  <rv s="5">
    <fb>119.05</fb>
    <v>14</v>
  </rv>
  <rv s="5">
    <fb>309.48</fb>
    <v>14</v>
  </rv>
  <rv s="5">
    <fb>3232.39</fb>
    <v>14</v>
  </rv>
  <rv s="5">
    <fb>43991</fb>
    <v>13</v>
  </rv>
  <rv s="5">
    <fb>72.603999999999999</fb>
    <v>14</v>
  </rv>
  <rv s="5">
    <fb>130.04300000000001</fb>
    <v>14</v>
  </rv>
  <rv s="5">
    <fb>72.44</fb>
    <v>14</v>
  </rv>
  <rv s="5">
    <fb>691.22</fb>
    <v>14</v>
  </rv>
  <rv s="5">
    <fb>158.1</fb>
    <v>14</v>
  </rv>
  <rv s="5">
    <fb>311.49</fb>
    <v>14</v>
  </rv>
  <rv s="5">
    <fb>64.667500000000004</fb>
    <v>14</v>
  </rv>
  <rv s="5">
    <fb>22.51</fb>
    <v>14</v>
  </rv>
  <rv s="5">
    <fb>9.0459999999999994</fb>
    <v>14</v>
  </rv>
  <rv s="5">
    <fb>118.34</fb>
    <v>14</v>
  </rv>
  <rv s="5">
    <fb>309.20999999999998</fb>
    <v>14</v>
  </rv>
  <rv s="5">
    <fb>3207.18</fb>
    <v>14</v>
  </rv>
  <rv s="5">
    <fb>43992</fb>
    <v>13</v>
  </rv>
  <rv s="5">
    <fb>73.234999999999999</fb>
    <v>14</v>
  </rv>
  <rv s="5">
    <fb>132.3725</fb>
    <v>14</v>
  </rv>
  <rv s="5">
    <fb>72.819999999999993</fb>
    <v>14</v>
  </rv>
  <rv s="5">
    <fb>695.53</fb>
    <v>14</v>
  </rv>
  <rv s="5">
    <fb>154.12</fb>
    <v>14</v>
  </rv>
  <rv s="5">
    <fb>313.14999999999998</fb>
    <v>14</v>
  </rv>
  <rv s="5">
    <fb>64.197500000000005</fb>
    <v>14</v>
  </rv>
  <rv s="5">
    <fb>20.96</fb>
    <v>14</v>
  </rv>
  <rv s="5">
    <fb>9.3667999999999996</fb>
    <v>14</v>
  </rv>
  <rv s="5">
    <fb>119.23</fb>
    <v>14</v>
  </rv>
  <rv s="5">
    <fb>305.75</fb>
    <v>14</v>
  </rv>
  <rv s="5">
    <fb>3190.14</fb>
    <v>14</v>
  </rv>
  <rv s="5">
    <fb>43993</fb>
    <v>13</v>
  </rv>
  <rv s="5">
    <fb>70.094999999999999</fb>
    <v>14</v>
  </rv>
  <rv s="5">
    <fb>127.898</fb>
    <v>14</v>
  </rv>
  <rv s="5">
    <fb>67.16</fb>
    <v>14</v>
  </rv>
  <rv s="5">
    <fb>660.7</fb>
    <v>14</v>
  </rv>
  <rv s="5">
    <fb>143.44</fb>
    <v>14</v>
  </rv>
  <rv s="5">
    <fb>291.25</fb>
    <v>14</v>
  </rv>
  <rv s="5">
    <fb>62.082500000000003</fb>
    <v>14</v>
  </rv>
  <rv s="5">
    <fb>18.510000000000002</fb>
    <v>14</v>
  </rv>
  <rv s="5">
    <fb>8.7963000000000005</fb>
    <v>14</v>
  </rv>
  <rv s="5">
    <fb>116.26</fb>
    <v>14</v>
  </rv>
  <rv s="5">
    <fb>283.73</fb>
    <v>14</v>
  </rv>
  <rv s="5">
    <fb>3002.1</fb>
    <v>14</v>
  </rv>
  <rv s="5">
    <fb>43994</fb>
    <v>13</v>
  </rv>
  <rv s="5">
    <fb>70.646000000000001</fb>
    <v>14</v>
  </rv>
  <rv s="5">
    <fb>127.251</fb>
    <v>14</v>
  </rv>
  <rv s="5">
    <fb>676.64</fb>
    <v>14</v>
  </rv>
  <rv s="5">
    <fb>144.51</fb>
    <v>14</v>
  </rv>
  <rv s="5">
    <fb>297.79000000000002</fb>
    <v>14</v>
  </rv>
  <rv s="5">
    <fb>61.727499999999999</fb>
    <v>14</v>
  </rv>
  <rv s="5">
    <fb>19</fb>
    <v>14</v>
  </rv>
  <rv s="5">
    <fb>8.9324999999999992</fb>
    <v>14</v>
  </rv>
  <rv s="5">
    <fb>115.62</fb>
    <v>14</v>
  </rv>
  <rv s="5">
    <fb>285.14999999999998</fb>
    <v>14</v>
  </rv>
  <rv s="5">
    <fb>3041.31</fb>
    <v>14</v>
  </rv>
  <rv s="5">
    <fb>43997</fb>
    <v>13</v>
  </rv>
  <rv s="5">
    <fb>71.037000000000006</fb>
    <v>14</v>
  </rv>
  <rv s="5">
    <fb>128.63399999999999</fb>
    <v>14</v>
  </rv>
  <rv s="5">
    <fb>68.2</fb>
    <v>14</v>
  </rv>
  <rv s="5">
    <fb>694.53</fb>
    <v>14</v>
  </rv>
  <rv s="5">
    <fb>146.63</fb>
    <v>14</v>
  </rv>
  <rv s="5">
    <fb>297.17</fb>
    <v>14</v>
  </rv>
  <rv s="5">
    <fb>62.142499999999998</fb>
    <v>14</v>
  </rv>
  <rv s="5">
    <fb>19.32</fb>
    <v>14</v>
  </rv>
  <rv s="5">
    <fb>9.1738</fb>
    <v>14</v>
  </rv>
  <rv s="5">
    <fb>116.69</fb>
    <v>14</v>
  </rv>
  <rv s="5">
    <fb>286.27999999999997</fb>
    <v>14</v>
  </rv>
  <rv s="5">
    <fb>3066.59</fb>
    <v>14</v>
  </rv>
  <rv s="5">
    <fb>43998</fb>
    <v>13</v>
  </rv>
  <rv s="5">
    <fb>72.323499999999996</fb>
    <v>14</v>
  </rv>
  <rv s="5">
    <fb>130.76349999999999</fb>
    <v>14</v>
  </rv>
  <rv s="5">
    <fb>70.180000000000007</fb>
    <v>14</v>
  </rv>
  <rv s="5">
    <fb>697.2</fb>
    <v>14</v>
  </rv>
  <rv s="5">
    <fb>149.11000000000001</fb>
    <v>14</v>
  </rv>
  <rv s="5">
    <fb>304.48</fb>
    <v>14</v>
  </rv>
  <rv s="5">
    <fb>62.042499999999997</fb>
    <v>14</v>
  </rv>
  <rv s="5">
    <fb>19.55</fb>
    <v>14</v>
  </rv>
  <rv s="5">
    <fb>9.0685000000000002</fb>
    <v>14</v>
  </rv>
  <rv s="5">
    <fb>118.13</fb>
    <v>14</v>
  </rv>
  <rv s="5">
    <fb>293</fb>
    <v>14</v>
  </rv>
  <rv s="5">
    <fb>3124.74</fb>
    <v>14</v>
  </rv>
  <rv s="5">
    <fb>43999</fb>
    <v>13</v>
  </rv>
  <rv s="5">
    <fb>72.626999999999995</fb>
    <v>14</v>
  </rv>
  <rv s="5">
    <fb>132.04900000000001</fb>
    <v>14</v>
  </rv>
  <rv s="5">
    <fb>698</fb>
    <v>14</v>
  </rv>
  <rv s="5">
    <fb>148.34</fb>
    <v>14</v>
  </rv>
  <rv s="5">
    <fb>303.76</fb>
    <v>14</v>
  </rv>
  <rv s="5">
    <fb>62.25</fb>
    <v>14</v>
  </rv>
  <rv s="5">
    <fb>19.829999999999998</fb>
    <v>14</v>
  </rv>
  <rv s="5">
    <fb>9.2360000000000007</fb>
    <v>14</v>
  </rv>
  <rv s="5">
    <fb>117.93</fb>
    <v>14</v>
  </rv>
  <rv s="5">
    <fb>292.60000000000002</fb>
    <v>14</v>
  </rv>
  <rv s="5">
    <fb>3113.49</fb>
    <v>14</v>
  </rv>
  <rv s="5">
    <fb>44000</fb>
    <v>13</v>
  </rv>
  <rv s="5">
    <fb>71.706000000000003</fb>
    <v>14</v>
  </rv>
  <rv s="5">
    <fb>132.69900000000001</fb>
    <v>14</v>
  </rv>
  <rv s="5">
    <fb>70.47</fb>
    <v>14</v>
  </rv>
  <rv s="5">
    <fb>696.51</fb>
    <v>14</v>
  </rv>
  <rv s="5">
    <fb>148.22999999999999</fb>
    <v>14</v>
  </rv>
  <rv s="5">
    <fb>62.232500000000002</fb>
    <v>14</v>
  </rv>
  <rv s="5">
    <fb>20.18</fb>
    <v>14</v>
  </rv>
  <rv s="5">
    <fb>9.218</fb>
    <v>14</v>
  </rv>
  <rv s="5">
    <fb>119.28</fb>
    <v>14</v>
  </rv>
  <rv s="5">
    <fb>291.48</fb>
    <v>14</v>
  </rv>
  <rv s="5">
    <fb>3115.34</fb>
    <v>14</v>
  </rv>
  <rv s="5">
    <fb>44001</fb>
    <v>13</v>
  </rv>
  <rv s="5">
    <fb>71.231999999999999</fb>
    <v>14</v>
  </rv>
  <rv s="5">
    <fb>133.75049999999999</fb>
    <v>14</v>
  </rv>
  <rv s="5">
    <fb>70.680000000000007</fb>
    <v>14</v>
  </rv>
  <rv s="5">
    <fb>711.43</fb>
    <v>14</v>
  </rv>
  <rv s="5">
    <fb>145.37</fb>
    <v>14</v>
  </rv>
  <rv s="5">
    <fb>296.5</fb>
    <v>14</v>
  </rv>
  <rv s="5">
    <fb>60.552500000000002</fb>
    <v>14</v>
  </rv>
  <rv s="5">
    <fb>19.71</fb>
    <v>14</v>
  </rv>
  <rv s="5">
    <fb>9.2613000000000003</fb>
    <v>14</v>
  </rv>
  <rv s="5">
    <fb>118.92</fb>
    <v>14</v>
  </rv>
  <rv s="5">
    <fb>291.24</fb>
    <v>14</v>
  </rv>
  <rv s="5">
    <fb>3097.74</fb>
    <v>14</v>
  </rv>
  <rv s="5">
    <fb>44004</fb>
    <v>13</v>
  </rv>
  <rv s="5">
    <fb>72.533000000000001</fb>
    <v>14</v>
  </rv>
  <rv s="5">
    <fb>135.691</fb>
    <v>14</v>
  </rv>
  <rv s="5">
    <fb>697.14</fb>
    <v>14</v>
  </rv>
  <rv s="5">
    <fb>304.44</fb>
    <v>14</v>
  </rv>
  <rv s="5">
    <fb>61.76</fb>
    <v>14</v>
  </rv>
  <rv s="5">
    <fb>19.82</fb>
    <v>14</v>
  </rv>
  <rv s="5">
    <fb>9.5267999999999997</fb>
    <v>14</v>
  </rv>
  <rv s="5">
    <fb>117.75</fb>
    <v>14</v>
  </rv>
  <rv s="5">
    <fb>292.67</fb>
    <v>14</v>
  </rv>
  <rv s="5">
    <fb>3117.86</fb>
    <v>14</v>
  </rv>
  <rv s="5">
    <fb>44005</fb>
    <v>13</v>
  </rv>
  <rv s="5">
    <fb>73.198999999999998</fb>
    <v>14</v>
  </rv>
  <rv s="5">
    <fb>138.22049999999999</fb>
    <v>14</v>
  </rv>
  <rv s="5">
    <fb>70.569999999999993</fb>
    <v>14</v>
  </rv>
  <rv s="5">
    <fb>694.69</fb>
    <v>14</v>
  </rv>
  <rv s="5">
    <fb>144.86000000000001</fb>
    <v>14</v>
  </rv>
  <rv s="5">
    <fb>306.88</fb>
    <v>14</v>
  </rv>
  <rv s="5">
    <fb>60.802500000000002</fb>
    <v>14</v>
  </rv>
  <rv s="5">
    <fb>19.57</fb>
    <v>14</v>
  </rv>
  <rv s="5">
    <fb>9.4499999999999993</fb>
    <v>14</v>
  </rv>
  <rv s="5">
    <fb>117.73</fb>
    <v>14</v>
  </rv>
  <rv s="5">
    <fb>297.60000000000002</fb>
    <v>14</v>
  </rv>
  <rv s="5">
    <fb>3131.29</fb>
    <v>14</v>
  </rv>
  <rv s="5">
    <fb>44006</fb>
    <v>13</v>
  </rv>
  <rv s="5">
    <fb>71.635000000000005</fb>
    <v>14</v>
  </rv>
  <rv s="5">
    <fb>136.72</fb>
    <v>14</v>
  </rv>
  <rv s="5">
    <fb>68.98</fb>
    <v>14</v>
  </rv>
  <rv s="5">
    <fb>689.63</fb>
    <v>14</v>
  </rv>
  <rv s="5">
    <fb>138.35</fb>
    <v>14</v>
  </rv>
  <rv s="5">
    <fb>294.01</fb>
    <v>14</v>
  </rv>
  <rv s="5">
    <fb>60.417499999999997</fb>
    <v>14</v>
  </rv>
  <rv s="5">
    <fb>17.86</fb>
    <v>14</v>
  </rv>
  <rv s="5">
    <fb>9.2355</fb>
    <v>14</v>
  </rv>
  <rv s="5">
    <fb>116.42</fb>
    <v>14</v>
  </rv>
  <rv s="5">
    <fb>289.18</fb>
    <v>14</v>
  </rv>
  <rv s="5">
    <fb>3050.33</fb>
    <v>14</v>
  </rv>
  <rv s="5">
    <fb>44007</fb>
    <v>13</v>
  </rv>
  <rv s="5">
    <fb>72.055000000000007</fb>
    <v>14</v>
  </rv>
  <rv s="5">
    <fb>137.72900000000001</fb>
    <v>14</v>
  </rv>
  <rv s="5">
    <fb>69.2</fb>
    <v>14</v>
  </rv>
  <rv s="5">
    <fb>696.84</fb>
    <v>14</v>
  </rv>
  <rv s="5">
    <fb>142.46</fb>
    <v>14</v>
  </rv>
  <rv s="5">
    <fb>298.01</fb>
    <v>14</v>
  </rv>
  <rv s="5">
    <fb>59.79</fb>
    <v>14</v>
  </rv>
  <rv s="5">
    <fb>18.420000000000002</fb>
    <v>14</v>
  </rv>
  <rv s="5">
    <fb>9.49</fb>
    <v>14</v>
  </rv>
  <rv s="5">
    <fb>117.89</fb>
    <v>14</v>
  </rv>
  <rv s="5">
    <fb>296.22000000000003</fb>
    <v>14</v>
  </rv>
  <rv s="5">
    <fb>3083.76</fb>
    <v>14</v>
  </rv>
  <rv s="5">
    <fb>44008</fb>
    <v>13</v>
  </rv>
  <rv s="5">
    <fb>134.64349999999999</fb>
    <v>14</v>
  </rv>
  <rv s="5">
    <fb>67.34</fb>
    <v>14</v>
  </rv>
  <rv s="5">
    <fb>686.54</fb>
    <v>14</v>
  </rv>
  <rv s="5">
    <fb>138.21</fb>
    <v>14</v>
  </rv>
  <rv s="5">
    <fb>289.33999999999997</fb>
    <v>14</v>
  </rv>
  <rv s="5">
    <fb>59.055</fb>
    <v>14</v>
  </rv>
  <rv s="5">
    <fb>17.440000000000001</fb>
    <v>14</v>
  </rv>
  <rv s="5">
    <fb>9.1549999999999994</fb>
    <v>14</v>
  </rv>
  <rv s="5">
    <fb>115.23</fb>
    <v>14</v>
  </rv>
  <rv s="5">
    <fb>286.88</fb>
    <v>14</v>
  </rv>
  <rv s="5">
    <fb>3009.05</fb>
    <v>14</v>
  </rv>
  <rv s="5">
    <fb>44011</fb>
    <v>13</v>
  </rv>
  <rv s="5">
    <fb>69.858500000000006</fb>
    <v>14</v>
  </rv>
  <rv s="5">
    <fb>134.01900000000001</fb>
    <v>14</v>
  </rv>
  <rv s="5">
    <fb>68.39</fb>
    <v>14</v>
  </rv>
  <rv s="5">
    <fb>688.92</fb>
    <v>14</v>
  </rv>
  <rv s="5">
    <fb>143.24</fb>
    <v>14</v>
  </rv>
  <rv s="5">
    <fb>292.93</fb>
    <v>14</v>
  </rv>
  <rv s="5">
    <fb>59.56</fb>
    <v>14</v>
  </rv>
  <rv s="5">
    <fb>18.010000000000002</fb>
    <v>14</v>
  </rv>
  <rv s="5">
    <fb>9.1999999999999993</fb>
    <v>14</v>
  </rv>
  <rv s="5">
    <fb>117.66</fb>
    <v>14</v>
  </rv>
  <rv s="5">
    <fb>289.76</fb>
    <v>14</v>
  </rv>
  <rv s="5">
    <fb>3053.24</fb>
    <v>14</v>
  </rv>
  <rv s="5">
    <fb>44012</fb>
    <v>13</v>
  </rv>
  <rv s="5">
    <fb>70.902500000000003</fb>
    <v>14</v>
  </rv>
  <rv s="5">
    <fb>137.941</fb>
    <v>14</v>
  </rv>
  <rv s="5">
    <fb>702.3</fb>
    <v>14</v>
  </rv>
  <rv s="5">
    <fb>144.59</fb>
    <v>14</v>
  </rv>
  <rv s="5">
    <fb>295.7</fb>
    <v>14</v>
  </rv>
  <rv s="5">
    <fb>60.042499999999997</fb>
    <v>14</v>
  </rv>
  <rv s="5">
    <fb>18.39</fb>
    <v>14</v>
  </rv>
  <rv s="5">
    <fb>9.4977999999999998</fb>
    <v>14</v>
  </rv>
  <rv s="5">
    <fb>119.57</fb>
    <v>14</v>
  </rv>
  <rv s="5">
    <fb>294.95</fb>
    <v>14</v>
  </rv>
  <rv s="5">
    <fb>3100.29</fb>
    <v>14</v>
  </rv>
  <rv s="5">
    <fb>44013</fb>
    <v>13</v>
  </rv>
  <rv s="5">
    <fb>72.099999999999994</fb>
    <v>14</v>
  </rv>
  <rv s="5">
    <fb>143.935</fb>
    <v>14</v>
  </rv>
  <rv s="5">
    <fb>728.17</fb>
    <v>14</v>
  </rv>
  <rv s="5">
    <fb>144.11000000000001</fb>
    <v>14</v>
  </rv>
  <rv s="5">
    <fb>301.17</fb>
    <v>14</v>
  </rv>
  <rv s="5">
    <fb>17.72</fb>
    <v>14</v>
  </rv>
  <rv s="5">
    <fb>9.5299999999999994</fb>
    <v>14</v>
  </rv>
  <rv s="5">
    <fb>119.98</fb>
    <v>14</v>
  </rv>
  <rv s="5">
    <fb>297.73</fb>
    <v>14</v>
  </rv>
  <rv s="5">
    <fb>3115.86</fb>
    <v>14</v>
  </rv>
  <rv s="5">
    <fb>44014</fb>
    <v>13</v>
  </rv>
  <rv s="5">
    <fb>73.496499999999997</fb>
    <v>14</v>
  </rv>
  <rv s="5">
    <fb>144.51499999999999</fb>
    <v>14</v>
  </rv>
  <rv s="5">
    <fb>71.81</fb>
    <v>14</v>
  </rv>
  <rv s="5">
    <fb>718.41</fb>
    <v>14</v>
  </rv>
  <rv s="5">
    <fb>145.02000000000001</fb>
    <v>14</v>
  </rv>
  <rv s="5">
    <fb>302.42</fb>
    <v>14</v>
  </rv>
  <rv s="5">
    <fb>17.98</fb>
    <v>14</v>
  </rv>
  <rv s="5">
    <fb>9.6122999999999994</fb>
    <v>14</v>
  </rv>
  <rv s="5">
    <fb>120.88</fb>
    <v>14</v>
  </rv>
  <rv s="5">
    <fb>298.26</fb>
    <v>14</v>
  </rv>
  <rv s="5">
    <fb>3130.01</fb>
    <v>14</v>
  </rv>
  <rv s="5">
    <fb>44018</fb>
    <v>13</v>
  </rv>
  <rv s="5">
    <fb>74.982500000000002</fb>
    <v>14</v>
  </rv>
  <rv s="5">
    <fb>152.852</fb>
    <v>14</v>
  </rv>
  <rv s="5">
    <fb>722.67</fb>
    <v>14</v>
  </rv>
  <rv s="5">
    <fb>147.22</fb>
    <v>14</v>
  </rv>
  <rv s="5">
    <fb>305.57</fb>
    <v>14</v>
  </rv>
  <rv s="5">
    <fb>61.74</fb>
    <v>14</v>
  </rv>
  <rv s="5">
    <fb>18.75</fb>
    <v>14</v>
  </rv>
  <rv s="5">
    <fb>9.8392999999999997</fb>
    <v>14</v>
  </rv>
  <rv s="5">
    <fb>302.81</fb>
    <v>14</v>
  </rv>
  <rv s="5">
    <fb>3179.72</fb>
    <v>14</v>
  </rv>
  <rv s="5">
    <fb>44019</fb>
    <v>13</v>
  </rv>
  <rv s="5">
    <fb>74.495999999999995</fb>
    <v>14</v>
  </rv>
  <rv s="5">
    <fb>150.006</fb>
    <v>14</v>
  </rv>
  <rv s="5">
    <fb>72.680000000000007</fb>
    <v>14</v>
  </rv>
  <rv s="5">
    <fb>721.07</fb>
    <v>14</v>
  </rv>
  <rv s="5">
    <fb>144.97</fb>
    <v>14</v>
  </rv>
  <rv s="5">
    <fb>299.91000000000003</fb>
    <v>14</v>
  </rv>
  <rv s="5">
    <fb>61.68</fb>
    <v>14</v>
  </rv>
  <rv s="5">
    <fb>18.18</fb>
    <v>14</v>
  </rv>
  <rv s="5">
    <fb>9.8718000000000004</fb>
    <v>14</v>
  </rv>
  <rv s="5">
    <fb>122.22</fb>
    <v>14</v>
  </rv>
  <rv s="5">
    <fb>296.64999999999998</fb>
    <v>14</v>
  </rv>
  <rv s="5">
    <fb>3145.32</fb>
    <v>14</v>
  </rv>
  <rv s="5">
    <fb>44020</fb>
    <v>13</v>
  </rv>
  <rv s="5">
    <fb>75.180000000000007</fb>
    <v>14</v>
  </rv>
  <rv s="5">
    <fb>154.05549999999999</fb>
    <v>14</v>
  </rv>
  <rv s="5">
    <fb>720.35</fb>
    <v>14</v>
  </rv>
  <rv s="5">
    <fb>145.59</fb>
    <v>14</v>
  </rv>
  <rv s="5">
    <fb>300.14999999999998</fb>
    <v>14</v>
  </rv>
  <rv s="5">
    <fb>63.317500000000003</fb>
    <v>14</v>
  </rv>
  <rv s="5">
    <fb>18.07</fb>
    <v>14</v>
  </rv>
  <rv s="5">
    <fb>10.215999999999999</fb>
    <v>14</v>
  </rv>
  <rv s="5">
    <fb>122.89</fb>
    <v>14</v>
  </rv>
  <rv s="5">
    <fb>298.36</fb>
    <v>14</v>
  </rv>
  <rv s="5">
    <fb>3169.94</fb>
    <v>14</v>
  </rv>
  <rv s="5">
    <fb>44021</fb>
    <v>13</v>
  </rv>
  <rv s="5">
    <fb>75.933000000000007</fb>
    <v>14</v>
  </rv>
  <rv s="5">
    <fb>159.13149999999999</fb>
    <v>14</v>
  </rv>
  <rv s="5">
    <fb>728.69</fb>
    <v>14</v>
  </rv>
  <rv s="5">
    <fb>141.37</fb>
    <v>14</v>
  </rv>
  <rv s="5">
    <fb>294.58999999999997</fb>
    <v>14</v>
  </rv>
  <rv s="5">
    <fb>62.997500000000002</fb>
    <v>14</v>
  </rv>
  <rv s="5">
    <fb>17.13</fb>
    <v>14</v>
  </rv>
  <rv s="5">
    <fb>10.509</fb>
    <v>14</v>
  </rv>
  <rv s="5">
    <fb>122.48</fb>
    <v>14</v>
  </rv>
  <rv s="5">
    <fb>291.16000000000003</fb>
    <v>14</v>
  </rv>
  <rv s="5">
    <fb>3152.05</fb>
    <v>14</v>
  </rv>
  <rv s="5">
    <fb>44022</fb>
    <v>13</v>
  </rv>
  <rv s="5">
    <fb>76.950500000000005</fb>
    <v>14</v>
  </rv>
  <rv s="5">
    <fb>160</fb>
    <v>14</v>
  </rv>
  <rv s="5">
    <fb>72.400000000000006</fb>
    <v>14</v>
  </rv>
  <rv s="5">
    <fb>716.59</fb>
    <v>14</v>
  </rv>
  <rv s="5">
    <fb>142.44999999999999</fb>
    <v>14</v>
  </rv>
  <rv s="5">
    <fb>295.68</fb>
    <v>14</v>
  </rv>
  <rv s="5">
    <fb>10.4793</fb>
    <v>14</v>
  </rv>
  <rv s="5">
    <fb>123.89</fb>
    <v>14</v>
  </rv>
  <rv s="5">
    <fb>291.23</fb>
    <v>14</v>
  </rv>
  <rv s="5">
    <fb>3185.04</fb>
    <v>14</v>
  </rv>
  <rv s="5">
    <fb>44025</fb>
    <v>13</v>
  </rv>
  <rv s="5">
    <fb>75.611500000000007</fb>
    <v>14</v>
  </rv>
  <rv s="5">
    <fb>155.19999999999999</fb>
    <v>14</v>
  </rv>
  <rv s="5">
    <fb>71.63</fb>
    <v>14</v>
  </rv>
  <rv s="5">
    <fb>701.12</fb>
    <v>14</v>
  </rv>
  <rv s="5">
    <fb>143.49</fb>
    <v>14</v>
  </rv>
  <rv s="5">
    <fb>290.18</fb>
    <v>14</v>
  </rv>
  <rv s="5">
    <fb>64.06</fb>
    <v>14</v>
  </rv>
  <rv s="5">
    <fb>10.052300000000001</fb>
    <v>14</v>
  </rv>
  <rv s="5">
    <fb>124.05</fb>
    <v>14</v>
  </rv>
  <rv s="5">
    <fb>299.70999999999998</fb>
    <v>14</v>
  </rv>
  <rv s="5">
    <fb>3155.22</fb>
    <v>14</v>
  </rv>
  <rv s="5">
    <fb>44026</fb>
    <v>13</v>
  </rv>
  <rv s="5">
    <fb>76.043000000000006</fb>
    <v>14</v>
  </rv>
  <rv s="5">
    <fb>154.19999999999999</fb>
    <v>14</v>
  </rv>
  <rv s="5">
    <fb>73.61</fb>
    <v>14</v>
  </rv>
  <rv s="5">
    <fb>716.91</fb>
    <v>14</v>
  </rv>
  <rv s="5">
    <fb>148.1</fb>
    <v>14</v>
  </rv>
  <rv s="5">
    <fb>298.95</fb>
    <v>14</v>
  </rv>
  <rv s="5">
    <fb>65.637500000000003</fb>
    <v>14</v>
  </rv>
  <rv s="5">
    <fb>10.377000000000001</fb>
    <v>14</v>
  </rv>
  <rv s="5">
    <fb>125.09</fb>
    <v>14</v>
  </rv>
  <rv s="5">
    <fb>308.52</fb>
    <v>14</v>
  </rv>
  <rv s="5">
    <fb>3197.52</fb>
    <v>14</v>
  </rv>
  <rv s="5">
    <fb>44027</fb>
    <v>13</v>
  </rv>
  <rv s="5">
    <fb>75.843999999999994</fb>
    <v>14</v>
  </rv>
  <rv s="5">
    <fb>150.4435</fb>
    <v>14</v>
  </rv>
  <rv s="5">
    <fb>713.88</fb>
    <v>14</v>
  </rv>
  <rv s="5">
    <fb>305.72000000000003</fb>
    <v>14</v>
  </rv>
  <rv s="5">
    <fb>18.899999999999999</fb>
    <v>14</v>
  </rv>
  <rv s="5">
    <fb>10.2273</fb>
    <v>14</v>
  </rv>
  <rv s="5">
    <fb>304.07</fb>
    <v>14</v>
  </rv>
  <rv s="5">
    <fb>3226.56</fb>
    <v>14</v>
  </rv>
  <rv s="5">
    <fb>44028</fb>
    <v>13</v>
  </rv>
  <rv s="5">
    <fb>75.745999999999995</fb>
    <v>14</v>
  </rv>
  <rv s="5">
    <fb>149.995</fb>
    <v>14</v>
  </rv>
  <rv s="5">
    <fb>714.09</fb>
    <v>14</v>
  </rv>
  <rv s="5">
    <fb>153.08000000000001</fb>
    <v>14</v>
  </rv>
  <rv s="5">
    <fb>299.35000000000002</fb>
    <v>14</v>
  </rv>
  <rv s="5">
    <fb>67.094999999999999</fb>
    <v>14</v>
  </rv>
  <rv s="5">
    <fb>18.82</fb>
    <v>14</v>
  </rv>
  <rv s="5">
    <fb>10.1348</fb>
    <v>14</v>
  </rv>
  <rv s="5">
    <fb>307.14999999999998</fb>
    <v>14</v>
  </rv>
  <rv s="5">
    <fb>3215.57</fb>
    <v>14</v>
  </rv>
  <rv s="5">
    <fb>44029</fb>
    <v>13</v>
  </rv>
  <rv s="5">
    <fb>75.842500000000001</fb>
    <v>14</v>
  </rv>
  <rv s="5">
    <fb>148.0985</fb>
    <v>14</v>
  </rv>
  <rv s="5">
    <fb>70.290000000000006</fb>
    <v>14</v>
  </rv>
  <rv s="5">
    <fb>724.23</fb>
    <v>14</v>
  </rv>
  <rv s="5">
    <fb>155</fb>
    <v>14</v>
  </rv>
  <rv s="5">
    <fb>304.06</fb>
    <v>14</v>
  </rv>
  <rv s="5">
    <fb>68.844999999999999</fb>
    <v>14</v>
  </rv>
  <rv s="5">
    <fb>18.62</fb>
    <v>14</v>
  </rv>
  <rv s="5">
    <fb>10.201499999999999</fb>
    <v>14</v>
  </rv>
  <rv s="5">
    <fb>125.63</fb>
    <v>14</v>
  </rv>
  <rv s="5">
    <fb>306.52999999999997</fb>
    <v>14</v>
  </rv>
  <rv s="5">
    <fb>3224.73</fb>
    <v>14</v>
  </rv>
  <rv s="5">
    <fb>44032</fb>
    <v>13</v>
  </rv>
  <rv s="5">
    <fb>78.191999999999993</fb>
    <v>14</v>
  </rv>
  <rv s="5">
    <fb>159.84200000000001</fb>
    <v>14</v>
  </rv>
  <rv s="5">
    <fb>72.760000000000005</fb>
    <v>14</v>
  </rv>
  <rv s="5">
    <fb>731.84</fb>
    <v>14</v>
  </rv>
  <rv s="5">
    <fb>311.95999999999998</fb>
    <v>14</v>
  </rv>
  <rv s="5">
    <fb>68.582499999999996</fb>
    <v>14</v>
  </rv>
  <rv s="5">
    <fb>18.440000000000001</fb>
    <v>14</v>
  </rv>
  <rv s="5">
    <fb>10.5108</fb>
    <v>14</v>
  </rv>
  <rv s="5">
    <fb>303.45999999999998</fb>
    <v>14</v>
  </rv>
  <rv s="5">
    <fb>3251.84</fb>
    <v>14</v>
  </rv>
  <rv s="5">
    <fb>44033</fb>
    <v>13</v>
  </rv>
  <rv s="5">
    <fb>77.796000000000006</fb>
    <v>14</v>
  </rv>
  <rv s="5">
    <fb>156.9145</fb>
    <v>14</v>
  </rv>
  <rv s="5">
    <fb>725.98</fb>
    <v>14</v>
  </rv>
  <rv s="5">
    <fb>154.76</fb>
    <v>14</v>
  </rv>
  <rv s="5">
    <fb>307.60000000000002</fb>
    <v>14</v>
  </rv>
  <rv s="5">
    <fb>69.082499999999996</fb>
    <v>14</v>
  </rv>
  <rv s="5">
    <fb>19.559999999999999</fb>
    <v>14</v>
  </rv>
  <rv s="5">
    <fb>10.3285</fb>
    <v>14</v>
  </rv>
  <rv s="5">
    <fb>125.07</fb>
    <v>14</v>
  </rv>
  <rv s="5">
    <fb>305.11</fb>
    <v>14</v>
  </rv>
  <rv s="5">
    <fb>3257.3</fb>
    <v>14</v>
  </rv>
  <rv s="5">
    <fb>44034</fb>
    <v>13</v>
  </rv>
  <rv s="5">
    <fb>78.242500000000007</fb>
    <v>14</v>
  </rv>
  <rv s="5">
    <fb>154.99549999999999</fb>
    <v>14</v>
  </rv>
  <rv s="5">
    <fb>73.180000000000007</fb>
    <v>14</v>
  </rv>
  <rv s="5">
    <fb>735.52</fb>
    <v>14</v>
  </rv>
  <rv s="5">
    <fb>154.61000000000001</fb>
    <v>14</v>
  </rv>
  <rv s="5">
    <fb>313.37</fb>
    <v>14</v>
  </rv>
  <rv s="5">
    <fb>70.105000000000004</fb>
    <v>14</v>
  </rv>
  <rv s="5">
    <fb>19.170000000000002</fb>
    <v>14</v>
  </rv>
  <rv s="5">
    <fb>10.438800000000001</fb>
    <v>14</v>
  </rv>
  <rv s="5">
    <fb>306.70999999999998</fb>
    <v>14</v>
  </rv>
  <rv s="5">
    <fb>3276.02</fb>
    <v>14</v>
  </rv>
  <rv s="5">
    <fb>44035</fb>
    <v>13</v>
  </rv>
  <rv s="5">
    <fb>75.837500000000006</fb>
    <v>14</v>
  </rv>
  <rv s="5">
    <fb>149.32749999999999</fb>
    <v>14</v>
  </rv>
  <rv s="5">
    <fb>72.989999999999995</fb>
    <v>14</v>
  </rv>
  <rv s="5">
    <fb>736.69</fb>
    <v>14</v>
  </rv>
  <rv s="5">
    <fb>153.72999999999999</fb>
    <v>14</v>
  </rv>
  <rv s="5">
    <fb>309.89999999999998</fb>
    <v>14</v>
  </rv>
  <rv s="5">
    <fb>70.242500000000007</fb>
    <v>14</v>
  </rv>
  <rv s="5">
    <fb>19.3</fb>
    <v>14</v>
  </rv>
  <rv s="5">
    <fb>10.129799999999999</fb>
    <v>14</v>
  </rv>
  <rv s="5">
    <fb>126.16</fb>
    <v>14</v>
  </rv>
  <rv s="5">
    <fb>302.97000000000003</fb>
    <v>14</v>
  </rv>
  <rv s="5">
    <fb>3235.66</fb>
    <v>14</v>
  </rv>
  <rv s="5">
    <fb>44036</fb>
    <v>13</v>
  </rv>
  <rv s="5">
    <fb>75.410499999999999</fb>
    <v>14</v>
  </rv>
  <rv s="5">
    <fb>150.44550000000001</fb>
    <v>14</v>
  </rv>
  <rv s="5">
    <fb>73.16</fb>
    <v>14</v>
  </rv>
  <rv s="5">
    <fb>737.39</fb>
    <v>14</v>
  </rv>
  <rv s="5">
    <fb>149.43</fb>
    <v>14</v>
  </rv>
  <rv s="5">
    <fb>306.92</fb>
    <v>14</v>
  </rv>
  <rv s="5">
    <fb>70.0625</fb>
    <v>14</v>
  </rv>
  <rv s="5">
    <fb>19.48</fb>
    <v>14</v>
  </rv>
  <rv s="5">
    <fb>10.1945</fb>
    <v>14</v>
  </rv>
  <rv s="5">
    <fb>300.79000000000002</fb>
    <v>14</v>
  </rv>
  <rv s="5">
    <fb>3215.63</fb>
    <v>14</v>
  </rv>
  <rv s="5">
    <fb>44039</fb>
    <v>13</v>
  </rv>
  <rv s="5">
    <fb>76.471500000000006</fb>
    <v>14</v>
  </rv>
  <rv s="5">
    <fb>152.76050000000001</fb>
    <v>14</v>
  </rv>
  <rv s="5">
    <fb>74.569999999999993</fb>
    <v>14</v>
  </rv>
  <rv s="5">
    <fb>754</fb>
    <v>14</v>
  </rv>
  <rv s="5">
    <fb>150.76</fb>
    <v>14</v>
  </rv>
  <rv s="5">
    <fb>308.86</fb>
    <v>14</v>
  </rv>
  <rv s="5">
    <fb>69.407499999999999</fb>
    <v>14</v>
  </rv>
  <rv s="5">
    <fb>19.68</fb>
    <v>14</v>
  </rv>
  <rv s="5">
    <fb>10.4215</fb>
    <v>14</v>
  </rv>
  <rv s="5">
    <fb>126.32</fb>
    <v>14</v>
  </rv>
  <rv s="5">
    <fb>298.60000000000002</fb>
    <v>14</v>
  </rv>
  <rv s="5">
    <fb>3239.41</fb>
    <v>14</v>
  </rv>
  <rv s="5">
    <fb>44040</fb>
    <v>13</v>
  </rv>
  <rv s="5">
    <fb>75.182500000000005</fb>
    <v>14</v>
  </rv>
  <rv s="5">
    <fb>150.01650000000001</fb>
    <v>14</v>
  </rv>
  <rv s="5">
    <fb>752.53</fb>
    <v>14</v>
  </rv>
  <rv s="5">
    <fb>152.01</fb>
    <v>14</v>
  </rv>
  <rv s="5">
    <fb>306.33</fb>
    <v>14</v>
  </rv>
  <rv s="5">
    <fb>70.010000000000005</fb>
    <v>14</v>
  </rv>
  <rv s="5">
    <fb>19.149999999999999</fb>
    <v>14</v>
  </rv>
  <rv s="5">
    <fb>10.2155</fb>
    <v>14</v>
  </rv>
  <rv s="5">
    <fb>127.88</fb>
    <v>14</v>
  </rv>
  <rv s="5">
    <fb>299.93</fb>
    <v>14</v>
  </rv>
  <rv s="5">
    <fb>3218.44</fb>
    <v>14</v>
  </rv>
  <rv s="5">
    <fb>44041</fb>
    <v>13</v>
  </rv>
  <rv s="5">
    <fb>76.1755</fb>
    <v>14</v>
  </rv>
  <rv s="5">
    <fb>151.6765</fb>
    <v>14</v>
  </rv>
  <rv s="5">
    <fb>770</fb>
    <v>14</v>
  </rv>
  <rv s="5">
    <fb>309.3</fb>
    <v>14</v>
  </rv>
  <rv s="5">
    <fb>70.36</fb>
    <v>14</v>
  </rv>
  <rv s="5">
    <fb>19.43</fb>
    <v>14</v>
  </rv>
  <rv s="5">
    <fb>10.4655</fb>
    <v>14</v>
  </rv>
  <rv s="5">
    <fb>128.31</fb>
    <v>14</v>
  </rv>
  <rv s="5">
    <fb>306.68</fb>
    <v>14</v>
  </rv>
  <rv s="5">
    <fb>3258.44</fb>
    <v>14</v>
  </rv>
  <rv s="5">
    <fb>44042</fb>
    <v>13</v>
  </rv>
  <rv s="5">
    <fb>76.918499999999995</fb>
    <v>14</v>
  </rv>
  <rv s="5">
    <fb>152.59399999999999</fb>
    <v>14</v>
  </rv>
  <rv s="5">
    <fb>777.95</fb>
    <v>14</v>
  </rv>
  <rv s="5">
    <fb>149.16</fb>
    <v>14</v>
  </rv>
  <rv s="5">
    <fb>309</fb>
    <v>14</v>
  </rv>
  <rv s="5">
    <fb>70.584999999999994</fb>
    <v>14</v>
  </rv>
  <rv s="5">
    <fb>10.614000000000001</fb>
    <v>14</v>
  </rv>
  <rv s="5">
    <fb>131.41999999999999</fb>
    <v>14</v>
  </rv>
  <rv s="5">
    <fb>305.23</fb>
    <v>14</v>
  </rv>
  <rv s="5">
    <fb>3246.22</fb>
    <v>14</v>
  </rv>
  <rv s="5">
    <fb>44043</fb>
    <v>13</v>
  </rv>
  <rv s="5">
    <fb>74.397499999999994</fb>
    <v>14</v>
  </rv>
  <rv s="5">
    <fb>158.23400000000001</fb>
    <v>14</v>
  </rv>
  <rv s="5">
    <fb>73.63</fb>
    <v>14</v>
  </rv>
  <rv s="5">
    <fb>785.48</fb>
    <v>14</v>
  </rv>
  <rv s="5">
    <fb>149.37</fb>
    <v>14</v>
  </rv>
  <rv s="5">
    <fb>308.52999999999997</fb>
    <v>14</v>
  </rv>
  <rv s="5">
    <fb>70.174999999999997</fb>
    <v>14</v>
  </rv>
  <rv s="5">
    <fb>18.14</fb>
    <v>14</v>
  </rv>
  <rv s="5">
    <fb>10.614800000000001</fb>
    <v>14</v>
  </rv>
  <rv s="5">
    <fb>131.12</fb>
    <v>14</v>
  </rv>
  <rv s="5">
    <fb>302.77999999999997</fb>
    <v>14</v>
  </rv>
  <rv s="5">
    <fb>3271.12</fb>
    <v>14</v>
  </rv>
  <rv s="5">
    <fb>44046</fb>
    <v>13</v>
  </rv>
  <rv s="5">
    <fb>74.138000000000005</fb>
    <v>14</v>
  </rv>
  <rv s="5">
    <fb>155.59450000000001</fb>
    <v>14</v>
  </rv>
  <rv s="5">
    <fb>779.12</fb>
    <v>14</v>
  </rv>
  <rv s="5">
    <fb>148.53</fb>
    <v>14</v>
  </rv>
  <rv s="5">
    <fb>312.58999999999997</fb>
    <v>14</v>
  </rv>
  <rv s="5">
    <fb>18.72</fb>
    <v>14</v>
  </rv>
  <rv s="5">
    <fb>11.010300000000001</fb>
    <v>14</v>
  </rv>
  <rv s="5">
    <fb>131.29</fb>
    <v>14</v>
  </rv>
  <rv s="5">
    <fb>303.61</fb>
    <v>14</v>
  </rv>
  <rv s="5">
    <fb>3294.61</fb>
    <v>14</v>
  </rv>
  <rv s="5">
    <fb>44047</fb>
    <v>13</v>
  </rv>
  <rv s="5">
    <fb>73.665000000000006</fb>
    <v>14</v>
  </rv>
  <rv s="5">
    <fb>156.94149999999999</fb>
    <v>14</v>
  </rv>
  <rv s="5">
    <fb>75.13</fb>
    <v>14</v>
  </rv>
  <rv s="5">
    <fb>793.43</fb>
    <v>14</v>
  </rv>
  <rv s="5">
    <fb>147.33000000000001</fb>
    <v>14</v>
  </rv>
  <rv s="5">
    <fb>314.39</fb>
    <v>14</v>
  </rv>
  <rv s="5">
    <fb>71.262500000000003</fb>
    <v>14</v>
  </rv>
  <rv s="5">
    <fb>19.23</fb>
    <v>14</v>
  </rv>
  <rv s="5">
    <fb>11.2278</fb>
    <v>14</v>
  </rv>
  <rv s="5">
    <fb>304.5</fb>
    <v>14</v>
  </rv>
  <rv s="5">
    <fb>3306.51</fb>
    <v>14</v>
  </rv>
  <rv s="5">
    <fb>44048</fb>
    <v>13</v>
  </rv>
  <rv s="5">
    <fb>73.954499999999996</fb>
    <v>14</v>
  </rv>
  <rv s="5">
    <fb>160.25149999999999</fb>
    <v>14</v>
  </rv>
  <rv s="5">
    <fb>75.040000000000006</fb>
    <v>14</v>
  </rv>
  <rv s="5">
    <fb>794.04</fb>
    <v>14</v>
  </rv>
  <rv s="5">
    <fb>150.82</fb>
    <v>14</v>
  </rv>
  <rv s="5">
    <fb>328</fb>
    <v>14</v>
  </rv>
  <rv s="5">
    <fb>70.944999999999993</fb>
    <v>14</v>
  </rv>
  <rv s="5">
    <fb>19.5</fb>
    <v>14</v>
  </rv>
  <rv s="5">
    <fb>11.286799999999999</fb>
    <v>14</v>
  </rv>
  <rv s="5">
    <fb>133.44</fb>
    <v>14</v>
  </rv>
  <rv s="5">
    <fb>312.47000000000003</fb>
    <v>14</v>
  </rv>
  <rv s="5">
    <fb>3327.77</fb>
    <v>14</v>
  </rv>
  <rv s="5">
    <fb>44049</fb>
    <v>13</v>
  </rv>
  <rv s="5">
    <fb>75.247500000000002</fb>
    <v>14</v>
  </rv>
  <rv s="5">
    <fb>161.25</fb>
    <v>14</v>
  </rv>
  <rv s="5">
    <fb>74.44</fb>
    <v>14</v>
  </rv>
  <rv s="5">
    <fb>792.06</fb>
    <v>14</v>
  </rv>
  <rv s="5">
    <fb>152.58000000000001</fb>
    <v>14</v>
  </rv>
  <rv s="5">
    <fb>330.14</fb>
    <v>14</v>
  </rv>
  <rv s="5">
    <fb>70.702500000000001</fb>
    <v>14</v>
  </rv>
  <rv s="5">
    <fb>11.3355</fb>
    <v>14</v>
  </rv>
  <rv s="5">
    <fb>132.71</fb>
    <v>14</v>
  </rv>
  <rv s="5">
    <fb>314.06</fb>
    <v>14</v>
  </rv>
  <rv s="5">
    <fb>3349.16</fb>
    <v>14</v>
  </rv>
  <rv s="5">
    <fb>44050</fb>
    <v>13</v>
  </rv>
  <rv s="5">
    <fb>74.918499999999995</fb>
    <v>14</v>
  </rv>
  <rv s="5">
    <fb>158.37299999999999</fb>
    <v>14</v>
  </rv>
  <rv s="5">
    <fb>75.53</fb>
    <v>14</v>
  </rv>
  <rv s="5">
    <fb>791.7</fb>
    <v>14</v>
  </rv>
  <rv s="5">
    <fb>155.11000000000001</fb>
    <v>14</v>
  </rv>
  <rv s="5">
    <fb>328.02</fb>
    <v>14</v>
  </rv>
  <rv s="5">
    <fb>71.944999999999993</fb>
    <v>14</v>
  </rv>
  <rv s="5">
    <fb>19.63</fb>
    <v>14</v>
  </rv>
  <rv s="5">
    <fb>11.1995</fb>
    <v>14</v>
  </rv>
  <rv s="5">
    <fb>133.55000000000001</fb>
    <v>14</v>
  </rv>
  <rv s="5">
    <fb>317.02999999999997</fb>
    <v>14</v>
  </rv>
  <rv s="5">
    <fb>3351.28</fb>
    <v>14</v>
  </rv>
  <rv s="5">
    <fb>44053</fb>
    <v>13</v>
  </rv>
  <rv s="5">
    <fb>74.840999999999994</fb>
    <v>14</v>
  </rv>
  <rv s="5">
    <fb>157.40799999999999</fb>
    <v>14</v>
  </rv>
  <rv s="5">
    <fb>75.33</fb>
    <v>14</v>
  </rv>
  <rv s="5">
    <fb>782.74</fb>
    <v>14</v>
  </rv>
  <rv s="5">
    <fb>159.43</fb>
    <v>14</v>
  </rv>
  <rv s="5">
    <fb>322.88</fb>
    <v>14</v>
  </rv>
  <rv s="5">
    <fb>70.91</fb>
    <v>14</v>
  </rv>
  <rv s="5">
    <fb>20.22</fb>
    <v>14</v>
  </rv>
  <rv s="5">
    <fb>11.164999999999999</fb>
    <v>14</v>
  </rv>
  <rv s="5">
    <fb>134.1</fb>
    <v>14</v>
  </rv>
  <rv s="5">
    <fb>319.10000000000002</fb>
    <v>14</v>
  </rv>
  <rv s="5">
    <fb>3360.47</fb>
    <v>14</v>
  </rv>
  <rv s="5">
    <fb>44054</fb>
    <v>13</v>
  </rv>
  <rv s="5">
    <fb>74.027000000000001</fb>
    <v>14</v>
  </rv>
  <rv s="5">
    <fb>154.0335</fb>
    <v>14</v>
  </rv>
  <rv s="5">
    <fb>758.17</fb>
    <v>14</v>
  </rv>
  <rv s="5">
    <fb>160.28</fb>
    <v>14</v>
  </rv>
  <rv s="5">
    <fb>328.54</fb>
    <v>14</v>
  </rv>
  <rv s="5">
    <fb>69.447500000000005</fb>
    <v>14</v>
  </rv>
  <rv s="5">
    <fb>20.3</fb>
    <v>14</v>
  </rv>
  <rv s="5">
    <fb>10.85</fb>
    <v>14</v>
  </rv>
  <rv s="5">
    <fb>133.22999999999999</fb>
    <v>14</v>
  </rv>
  <rv s="5">
    <fb>315.55</fb>
    <v>14</v>
  </rv>
  <rv s="5">
    <fb>3333.69</fb>
    <v>14</v>
  </rv>
  <rv s="5">
    <fb>44055</fb>
    <v>13</v>
  </rv>
  <rv s="5">
    <fb>75.361999999999995</fb>
    <v>14</v>
  </rv>
  <rv s="5">
    <fb>158.11199999999999</fb>
    <v>14</v>
  </rv>
  <rv s="5">
    <fb>74.38</fb>
    <v>14</v>
  </rv>
  <rv s="5">
    <fb>772.99</fb>
    <v>14</v>
  </rv>
  <rv s="5">
    <fb>160.07</fb>
    <v>14</v>
  </rv>
  <rv s="5">
    <fb>327.63</fb>
    <v>14</v>
  </rv>
  <rv s="5">
    <fb>71.147499999999994</fb>
    <v>14</v>
  </rv>
  <rv s="5">
    <fb>20.36</fb>
    <v>14</v>
  </rv>
  <rv s="5">
    <fb>11.440300000000001</fb>
    <v>14</v>
  </rv>
  <rv s="5">
    <fb>135.46</fb>
    <v>14</v>
  </rv>
  <rv s="5">
    <fb>322.27</fb>
    <v>14</v>
  </rv>
  <rv s="5">
    <fb>3380.35</fb>
    <v>14</v>
  </rv>
  <rv s="5">
    <fb>44056</fb>
    <v>13</v>
  </rv>
  <rv s="5">
    <fb>75.832499999999996</fb>
    <v>14</v>
  </rv>
  <rv s="5">
    <fb>158.05099999999999</fb>
    <v>14</v>
  </rv>
  <rv s="5">
    <fb>75.23</fb>
    <v>14</v>
  </rv>
  <rv s="5">
    <fb>770.12</fb>
    <v>14</v>
  </rv>
  <rv s="5">
    <fb>158.97999999999999</fb>
    <v>14</v>
  </rv>
  <rv s="5">
    <fb>326.19</fb>
    <v>14</v>
  </rv>
  <rv s="5">
    <fb>71.099999999999994</fb>
    <v>14</v>
  </rv>
  <rv s="5">
    <fb>19.87</fb>
    <v>14</v>
  </rv>
  <rv s="5">
    <fb>11.443</fb>
    <v>14</v>
  </rv>
  <rv s="5">
    <fb>135.78</fb>
    <v>14</v>
  </rv>
  <rv s="5">
    <fb>321.52</fb>
    <v>14</v>
  </rv>
  <rv s="5">
    <fb>3373.43</fb>
    <v>14</v>
  </rv>
  <rv s="5">
    <fb>44057</fb>
    <v>13</v>
  </rv>
  <rv s="5">
    <fb>75.231499999999997</fb>
    <v>14</v>
  </rv>
  <rv s="5">
    <fb>157.40100000000001</fb>
    <v>14</v>
  </rv>
  <rv s="5">
    <fb>75.5</fb>
    <v>14</v>
  </rv>
  <rv s="5">
    <fb>762.01</fb>
    <v>14</v>
  </rv>
  <rv s="5">
    <fb>326.8</fb>
    <v>14</v>
  </rv>
  <rv s="5">
    <fb>70.125</fb>
    <v>14</v>
  </rv>
  <rv s="5">
    <fb>20.07</fb>
    <v>14</v>
  </rv>
  <rv s="5">
    <fb>11.564</fb>
    <v>14</v>
  </rv>
  <rv s="5">
    <fb>135.1</fb>
    <v>14</v>
  </rv>
  <rv s="5">
    <fb>323.7</fb>
    <v>14</v>
  </rv>
  <rv s="5">
    <fb>3372.85</fb>
    <v>14</v>
  </rv>
  <rv s="5">
    <fb>44060</fb>
    <v>13</v>
  </rv>
  <rv s="5">
    <fb>75.811999999999998</fb>
    <v>14</v>
  </rv>
  <rv s="5">
    <fb>159.12049999999999</fb>
    <v>14</v>
  </rv>
  <rv s="5">
    <fb>76.209999999999994</fb>
    <v>14</v>
  </rv>
  <rv s="5">
    <fb>772.08</fb>
    <v>14</v>
  </rv>
  <rv s="5">
    <fb>158.76</fb>
    <v>14</v>
  </rv>
  <rv s="5">
    <fb>330.23</fb>
    <v>14</v>
  </rv>
  <rv s="5">
    <fb>70.747500000000002</fb>
    <v>14</v>
  </rv>
  <rv s="5">
    <fb>20.010000000000002</fb>
    <v>14</v>
  </rv>
  <rv s="5">
    <fb>12.337</fb>
    <v>14</v>
  </rv>
  <rv s="5">
    <fb>135.5</fb>
    <v>14</v>
  </rv>
  <rv s="5">
    <fb>320.51</fb>
    <v>14</v>
  </rv>
  <rv s="5">
    <fb>3381.99</fb>
    <v>14</v>
  </rv>
  <rv s="5">
    <fb>44061</fb>
    <v>13</v>
  </rv>
  <rv s="5">
    <fb>77.789000000000001</fb>
    <v>14</v>
  </rv>
  <rv s="5">
    <fb>165.62450000000001</fb>
    <v>14</v>
  </rv>
  <rv s="5">
    <fb>76.36</fb>
    <v>14</v>
  </rv>
  <rv s="5">
    <fb>786.85</fb>
    <v>14</v>
  </rv>
  <rv s="5">
    <fb>157.38</fb>
    <v>14</v>
  </rv>
  <rv s="5">
    <fb>331</fb>
    <v>14</v>
  </rv>
  <rv s="5">
    <fb>70.762500000000003</fb>
    <v>14</v>
  </rv>
  <rv s="5">
    <fb>19.77</fb>
    <v>14</v>
  </rv>
  <rv s="5">
    <fb>12.2608</fb>
    <v>14</v>
  </rv>
  <rv s="5">
    <fb>136.51</fb>
    <v>14</v>
  </rv>
  <rv s="5">
    <fb>316.81</fb>
    <v>14</v>
  </rv>
  <rv s="5">
    <fb>3389.78</fb>
    <v>14</v>
  </rv>
  <rv s="5">
    <fb>44062</fb>
    <v>13</v>
  </rv>
  <rv s="5">
    <fb>77.230500000000006</fb>
    <v>14</v>
  </rv>
  <rv s="5">
    <fb>163.024</fb>
    <v>14</v>
  </rv>
  <rv s="5">
    <fb>75.88</fb>
    <v>14</v>
  </rv>
  <rv s="5">
    <fb>778.71</fb>
    <v>14</v>
  </rv>
  <rv s="5">
    <fb>156.85</fb>
    <v>14</v>
  </rv>
  <rv s="5">
    <fb>332.4</fb>
    <v>14</v>
  </rv>
  <rv s="5">
    <fb>19.72</fb>
    <v>14</v>
  </rv>
  <rv s="5">
    <fb>12.138500000000001</fb>
    <v>14</v>
  </rv>
  <rv s="5">
    <fb>135.77000000000001</fb>
    <v>14</v>
  </rv>
  <rv s="5">
    <fb>315.39999999999998</fb>
    <v>14</v>
  </rv>
  <rv s="5">
    <fb>3374.85</fb>
    <v>14</v>
  </rv>
  <rv s="5">
    <fb>44063</fb>
    <v>13</v>
  </rv>
  <rv s="5">
    <fb>78.8125</fb>
    <v>14</v>
  </rv>
  <rv s="5">
    <fb>164.86850000000001</fb>
    <v>14</v>
  </rv>
  <rv s="5">
    <fb>784.91</fb>
    <v>14</v>
  </rv>
  <rv s="5">
    <fb>156.16999999999999</fb>
    <v>14</v>
  </rv>
  <rv s="5">
    <fb>337.32</fb>
    <v>14</v>
  </rv>
  <rv s="5">
    <fb>70.527500000000003</fb>
    <v>14</v>
  </rv>
  <rv s="5">
    <fb>18.77</fb>
    <v>14</v>
  </rv>
  <rv s="5">
    <fb>12.141</fb>
    <v>14</v>
  </rv>
  <rv s="5">
    <fb>136.85</fb>
    <v>14</v>
  </rv>
  <rv s="5">
    <fb>313.33</fb>
    <v>14</v>
  </rv>
  <rv s="5">
    <fb>3385.51</fb>
    <v>14</v>
  </rv>
  <rv s="5">
    <fb>44064</fb>
    <v>13</v>
  </rv>
  <rv s="5">
    <fb>78.778499999999994</fb>
    <v>14</v>
  </rv>
  <rv s="5">
    <fb>164.23599999999999</fb>
    <v>14</v>
  </rv>
  <rv s="5">
    <fb>76.62</fb>
    <v>14</v>
  </rv>
  <rv s="5">
    <fb>782.17</fb>
    <v>14</v>
  </rv>
  <rv s="5">
    <fb>157.5</fb>
    <v>14</v>
  </rv>
  <rv s="5">
    <fb>337.1</fb>
    <v>14</v>
  </rv>
  <rv s="5">
    <fb>70.602500000000006</fb>
    <v>14</v>
  </rv>
  <rv s="5">
    <fb>18.579999999999998</fb>
    <v>14</v>
  </rv>
  <rv s="5">
    <fb>12.6835</fb>
    <v>14</v>
  </rv>
  <rv s="5">
    <fb>137.44</fb>
    <v>14</v>
  </rv>
  <rv s="5">
    <fb>314.14</fb>
    <v>14</v>
  </rv>
  <rv s="5">
    <fb>3397.16</fb>
    <v>14</v>
  </rv>
  <rv s="5">
    <fb>44067</fb>
    <v>13</v>
  </rv>
  <rv s="5">
    <fb>79.257499999999993</fb>
    <v>14</v>
  </rv>
  <rv s="5">
    <fb>165.37299999999999</fb>
    <v>14</v>
  </rv>
  <rv s="5">
    <fb>772.47</fb>
    <v>14</v>
  </rv>
  <rv s="5">
    <fb>159.37</fb>
    <v>14</v>
  </rv>
  <rv s="5">
    <fb>343.64</fb>
    <v>14</v>
  </rv>
  <rv s="5">
    <fb>70.657499999999999</fb>
    <v>14</v>
  </rv>
  <rv s="5">
    <fb>12.7203</fb>
    <v>14</v>
  </rv>
  <rv s="5">
    <fb>138.51</fb>
    <v>14</v>
  </rv>
  <rv s="5">
    <fb>308.83999999999997</fb>
    <v>14</v>
  </rv>
  <rv s="5">
    <fb>3431.28</fb>
    <v>14</v>
  </rv>
  <rv s="5">
    <fb>44068</fb>
    <v>13</v>
  </rv>
  <rv s="5">
    <fb>80.292500000000004</fb>
    <v>14</v>
  </rv>
  <rv s="5">
    <fb>167.3245</fb>
    <v>14</v>
  </rv>
  <rv s="5">
    <fb>77.47</fb>
    <v>14</v>
  </rv>
  <rv s="5">
    <fb>779.71</fb>
    <v>14</v>
  </rv>
  <rv s="5">
    <fb>164.53</fb>
    <v>14</v>
  </rv>
  <rv s="5">
    <fb>347.66</fb>
    <v>14</v>
  </rv>
  <rv s="5">
    <fb>70.327500000000001</fb>
    <v>14</v>
  </rv>
  <rv s="5">
    <fb>19.260000000000002</fb>
    <v>14</v>
  </rv>
  <rv s="5">
    <fb>12.75</fb>
    <v>14</v>
  </rv>
  <rv s="5">
    <fb>139.06</fb>
    <v>14</v>
  </rv>
  <rv s="5">
    <fb>312.22000000000003</fb>
    <v>14</v>
  </rv>
  <rv s="5">
    <fb>3443.62</fb>
    <v>14</v>
  </rv>
  <rv s="5">
    <fb>44069</fb>
    <v>13</v>
  </rv>
  <rv s="5">
    <fb>82.206500000000005</fb>
    <v>14</v>
  </rv>
  <rv s="5">
    <fb>172.0925</fb>
    <v>14</v>
  </rv>
  <rv s="5">
    <fb>782</fb>
    <v>14</v>
  </rv>
  <rv s="5">
    <fb>165.31</fb>
    <v>14</v>
  </rv>
  <rv s="5">
    <fb>351.02</fb>
    <v>14</v>
  </rv>
  <rv s="5">
    <fb>18.670000000000002</fb>
    <v>14</v>
  </rv>
  <rv s="5">
    <fb>12.773</fb>
    <v>14</v>
  </rv>
  <rv s="5">
    <fb>138.38999999999999</fb>
    <v>14</v>
  </rv>
  <rv s="5">
    <fb>308.82</fb>
    <v>14</v>
  </rv>
  <rv s="5">
    <fb>3478.73</fb>
    <v>14</v>
  </rv>
  <rv s="5">
    <fb>44070</fb>
    <v>13</v>
  </rv>
  <rv s="5">
    <fb>81.426000000000002</fb>
    <v>14</v>
  </rv>
  <rv s="5">
    <fb>170</fb>
    <v>14</v>
  </rv>
  <rv s="5">
    <fb>79.34</fb>
    <v>14</v>
  </rv>
  <rv s="5">
    <fb>789.65</fb>
    <v>14</v>
  </rv>
  <rv s="5">
    <fb>165.99</fb>
    <v>14</v>
  </rv>
  <rv s="5">
    <fb>356</fb>
    <v>14</v>
  </rv>
  <rv s="5">
    <fb>69.72</fb>
    <v>14</v>
  </rv>
  <rv s="5">
    <fb>18.7</fb>
    <v>14</v>
  </rv>
  <rv s="5">
    <fb>12.628299999999999</fb>
    <v>14</v>
  </rv>
  <rv s="5">
    <fb>311.67</fb>
    <v>14</v>
  </rv>
  <rv s="5">
    <fb>3484.55</fb>
    <v>14</v>
  </rv>
  <rv s="5">
    <fb>44071</fb>
    <v>13</v>
  </rv>
  <rv s="5">
    <fb>81.971500000000006</fb>
    <v>14</v>
  </rv>
  <rv s="5">
    <fb>170.09</fb>
    <v>14</v>
  </rv>
  <rv s="5">
    <fb>80.27</fb>
    <v>14</v>
  </rv>
  <rv s="5">
    <fb>787.02</fb>
    <v>14</v>
  </rv>
  <rv s="5">
    <fb>168.38</fb>
    <v>14</v>
  </rv>
  <rv s="5">
    <fb>366.12</fb>
    <v>14</v>
  </rv>
  <rv s="5">
    <fb>69.887500000000003</fb>
    <v>14</v>
  </rv>
  <rv s="5">
    <fb>19.420000000000002</fb>
    <v>14</v>
  </rv>
  <rv s="5">
    <fb>13.1478</fb>
    <v>14</v>
  </rv>
  <rv s="5">
    <fb>138.77000000000001</fb>
    <v>14</v>
  </rv>
  <rv s="5">
    <fb>314.37</fb>
    <v>14</v>
  </rv>
  <rv s="5">
    <fb>3508.01</fb>
    <v>14</v>
  </rv>
  <rv s="5">
    <fb>44074</fb>
    <v>13</v>
  </rv>
  <rv s="5">
    <fb>81.476500000000001</fb>
    <v>14</v>
  </rv>
  <rv s="5">
    <fb>172.548</fb>
    <v>14</v>
  </rv>
  <rv s="5">
    <fb>80.37</fb>
    <v>14</v>
  </rv>
  <rv s="5">
    <fb>789.78</fb>
    <v>14</v>
  </rv>
  <rv s="5">
    <fb>165.55</fb>
    <v>14</v>
  </rv>
  <rv s="5">
    <fb>358.19</fb>
    <v>14</v>
  </rv>
  <rv s="5">
    <fb>69.792500000000004</fb>
    <v>14</v>
  </rv>
  <rv s="5">
    <fb>19.010000000000002</fb>
    <v>14</v>
  </rv>
  <rv s="5">
    <fb>13.374499999999999</fb>
    <v>14</v>
  </rv>
  <rv s="5">
    <fb>138.33000000000001</fb>
    <v>14</v>
  </rv>
  <rv s="5">
    <fb>312.55</fb>
    <v>14</v>
  </rv>
  <rv s="5">
    <fb>3500.31</fb>
    <v>14</v>
  </rv>
  <rv s="5">
    <fb>44075</fb>
    <v>13</v>
  </rv>
  <rv s="5">
    <fb>82.754000000000005</fb>
    <v>14</v>
  </rv>
  <rv s="5">
    <fb>174.95599999999999</fb>
    <v>14</v>
  </rv>
  <rv s="5">
    <fb>81.97</fb>
    <v>14</v>
  </rv>
  <rv s="5">
    <fb>789.8</fb>
    <v>14</v>
  </rv>
  <rv s="5">
    <fb>356.9</fb>
    <v>14</v>
  </rv>
  <rv s="5">
    <fb>69.282499999999999</fb>
    <v>14</v>
  </rv>
  <rv s="5">
    <fb>18.63</fb>
    <v>14</v>
  </rv>
  <rv s="5">
    <fb>13.821</fb>
    <v>14</v>
  </rv>
  <rv s="5">
    <fb>138.18</fb>
    <v>14</v>
  </rv>
  <rv s="5">
    <fb>312.83</fb>
    <v>14</v>
  </rv>
  <rv s="5">
    <fb>3526.65</fb>
    <v>14</v>
  </rv>
  <rv s="5">
    <fb>44076</fb>
    <v>13</v>
  </rv>
  <rv s="5">
    <fb>85.869500000000002</fb>
    <v>14</v>
  </rv>
  <rv s="5">
    <fb>176.57249999999999</fb>
    <v>14</v>
  </rv>
  <rv s="5">
    <fb>84.59</fb>
    <v>14</v>
  </rv>
  <rv s="5">
    <fb>799.61</fb>
    <v>14</v>
  </rv>
  <rv s="5">
    <fb>360.7</fb>
    <v>14</v>
  </rv>
  <rv s="5">
    <fb>72.064999999999998</fb>
    <v>14</v>
  </rv>
  <rv s="5">
    <fb>14.346500000000001</fb>
    <v>14</v>
  </rv>
  <rv s="5">
    <fb>140.51</fb>
    <v>14</v>
  </rv>
  <rv s="5">
    <fb>320.24</fb>
    <v>14</v>
  </rv>
  <rv s="5">
    <fb>3580.84</fb>
    <v>14</v>
  </rv>
  <rv s="5">
    <fb>44077</fb>
    <v>13</v>
  </rv>
  <rv s="5">
    <fb>168.4</fb>
    <v>14</v>
  </rv>
  <rv s="5">
    <fb>762.45</fb>
    <v>14</v>
  </rv>
  <rv s="5">
    <fb>166.3</fb>
    <v>14</v>
  </rv>
  <rv s="5">
    <fb>343.84</fb>
    <v>14</v>
  </rv>
  <rv s="5">
    <fb>70.147499999999994</fb>
    <v>14</v>
  </rv>
  <rv s="5">
    <fb>19.12</fb>
    <v>14</v>
  </rv>
  <rv s="5">
    <fb>13.015499999999999</fb>
    <v>14</v>
  </rv>
  <rv s="5">
    <fb>138.26</fb>
    <v>14</v>
  </rv>
  <rv s="5">
    <fb>316.23</fb>
    <v>14</v>
  </rv>
  <rv s="5">
    <fb>3455.06</fb>
    <v>14</v>
  </rv>
  <rv s="5">
    <fb>44078</fb>
    <v>13</v>
  </rv>
  <rv s="5">
    <fb>79.060500000000005</fb>
    <v>14</v>
  </rv>
  <rv s="5">
    <fb>164.73099999999999</fb>
    <v>14</v>
  </rv>
  <rv s="5">
    <fb>82.47</fb>
    <v>14</v>
  </rv>
  <rv s="5">
    <fb>752.18</fb>
    <v>14</v>
  </rv>
  <rv s="5">
    <fb>166.69</fb>
    <v>14</v>
  </rv>
  <rv s="5">
    <fb>335.01</fb>
    <v>14</v>
  </rv>
  <rv s="5">
    <fb>69.33</fb>
    <v>14</v>
  </rv>
  <rv s="5">
    <fb>19.309999999999999</fb>
    <v>14</v>
  </rv>
  <rv s="5">
    <fb>12.6225</fb>
    <v>14</v>
  </rv>
  <rv s="5">
    <fb>137.96</fb>
    <v>14</v>
  </rv>
  <rv s="5">
    <fb>312</fb>
    <v>14</v>
  </rv>
  <rv s="5">
    <fb>3426.96</fb>
    <v>14</v>
  </rv>
  <rv s="5">
    <fb>44082</fb>
    <v>13</v>
  </rv>
  <rv s="5">
    <fb>76.180000000000007</fb>
    <v>14</v>
  </rv>
  <rv s="5">
    <fb>157.49199999999999</fb>
    <v>14</v>
  </rv>
  <rv s="5">
    <fb>80.55</fb>
    <v>14</v>
  </rv>
  <rv s="5">
    <fb>741.05</fb>
    <v>14</v>
  </rv>
  <rv s="5">
    <fb>164.27</fb>
    <v>14</v>
  </rv>
  <rv s="5">
    <fb>329.88</fb>
    <v>14</v>
  </rv>
  <rv s="5">
    <fb>69.477500000000006</fb>
    <v>14</v>
  </rv>
  <rv s="5">
    <fb>18.38</fb>
    <v>14</v>
  </rv>
  <rv s="5">
    <fb>11.913</fb>
    <v>14</v>
  </rv>
  <rv s="5">
    <fb>135.94</fb>
    <v>14</v>
  </rv>
  <rv s="5">
    <fb>307.25</fb>
    <v>14</v>
  </rv>
  <rv s="5">
    <fb>3331.84</fb>
    <v>14</v>
  </rv>
  <rv s="5">
    <fb>44083</fb>
    <v>13</v>
  </rv>
  <rv s="5">
    <fb>77.361500000000007</fb>
    <v>14</v>
  </rv>
  <rv s="5">
    <fb>163.43049999999999</fb>
    <v>14</v>
  </rv>
  <rv s="5">
    <fb>81.62</fb>
    <v>14</v>
  </rv>
  <rv s="5">
    <fb>753.42</fb>
    <v>14</v>
  </rv>
  <rv s="5">
    <fb>165.75</fb>
    <v>14</v>
  </rv>
  <rv s="5">
    <fb>339.64</fb>
    <v>14</v>
  </rv>
  <rv s="5">
    <fb>70.592500000000001</fb>
    <v>14</v>
  </rv>
  <rv s="5">
    <fb>18.61</fb>
    <v>14</v>
  </rv>
  <rv s="5">
    <fb>12.715</fb>
    <v>14</v>
  </rv>
  <rv s="5">
    <fb>138.15</fb>
    <v>14</v>
  </rv>
  <rv s="5">
    <fb>312.02</fb>
    <v>14</v>
  </rv>
  <rv s="5">
    <fb>3398.96</fb>
    <v>14</v>
  </rv>
  <rv s="5">
    <fb>44084</fb>
    <v>13</v>
  </rv>
  <rv s="5">
    <fb>76.302499999999995</fb>
    <v>14</v>
  </rv>
  <rv s="5">
    <fb>158.75550000000001</fb>
    <v>14</v>
  </rv>
  <rv s="5">
    <fb>81</fb>
    <v>14</v>
  </rv>
  <rv s="5">
    <fb>742.87</fb>
    <v>14</v>
  </rv>
  <rv s="5">
    <fb>332.88</fb>
    <v>14</v>
  </rv>
  <rv s="5">
    <fb>69.227500000000006</fb>
    <v>14</v>
  </rv>
  <rv s="5">
    <fb>17.71</fb>
    <v>14</v>
  </rv>
  <rv s="5">
    <fb>12.3118</fb>
    <v>14</v>
  </rv>
  <rv s="5">
    <fb>136.69999999999999</fb>
    <v>14</v>
  </rv>
  <rv s="5">
    <fb>304.60000000000002</fb>
    <v>14</v>
  </rv>
  <rv s="5">
    <fb>3339.19</fb>
    <v>14</v>
  </rv>
  <rv s="5">
    <fb>44085</fb>
    <v>13</v>
  </rv>
  <rv s="5">
    <fb>75.787999999999997</fb>
    <v>14</v>
  </rv>
  <rv s="5">
    <fb>155.81100000000001</fb>
    <v>14</v>
  </rv>
  <rv s="5">
    <fb>81.680000000000007</fb>
    <v>14</v>
  </rv>
  <rv s="5">
    <fb>747.79</fb>
    <v>14</v>
  </rv>
  <rv s="5">
    <fb>166.45</fb>
    <v>14</v>
  </rv>
  <rv s="5">
    <fb>330.15</fb>
    <v>14</v>
  </rv>
  <rv s="5">
    <fb>69.537499999999994</fb>
    <v>14</v>
  </rv>
  <rv s="5">
    <fb>17.87</fb>
    <v>14</v>
  </rv>
  <rv s="5">
    <fb>12.1645</fb>
    <v>14</v>
  </rv>
  <rv s="5">
    <fb>138.13999999999999</fb>
    <v>14</v>
  </rv>
  <rv s="5">
    <fb>301.48</fb>
    <v>14</v>
  </rv>
  <rv s="5">
    <fb>3340.97</fb>
    <v>14</v>
  </rv>
  <rv s="5">
    <fb>44088</fb>
    <v>13</v>
  </rv>
  <rv s="5">
    <fb>75.441500000000005</fb>
    <v>14</v>
  </rv>
  <rv s="5">
    <fb>155.14850000000001</fb>
    <v>14</v>
  </rv>
  <rv s="5">
    <fb>83.28</fb>
    <v>14</v>
  </rv>
  <rv s="5">
    <fb>756.04</fb>
    <v>14</v>
  </rv>
  <rv s="5">
    <fb>168.47</fb>
    <v>14</v>
  </rv>
  <rv s="5">
    <fb>338.6</fb>
    <v>14</v>
  </rv>
  <rv s="5">
    <fb>70.48</fb>
    <v>14</v>
  </rv>
  <rv s="5">
    <fb>18.03</fb>
    <v>14</v>
  </rv>
  <rv s="5">
    <fb>12.872299999999999</fb>
    <v>14</v>
  </rv>
  <rv s="5">
    <fb>138.63</fb>
    <v>14</v>
  </rv>
  <rv s="5">
    <fb>308.57</fb>
    <v>14</v>
  </rv>
  <rv s="5">
    <fb>3383.54</fb>
    <v>14</v>
  </rv>
  <rv s="5">
    <fb>44089</fb>
    <v>13</v>
  </rv>
  <rv s="5">
    <fb>76.756</fb>
    <v>14</v>
  </rv>
  <rv s="5">
    <fb>157.8065</fb>
    <v>14</v>
  </rv>
  <rv s="5">
    <fb>84.43</fb>
    <v>14</v>
  </rv>
  <rv s="5">
    <fb>768.45</fb>
    <v>14</v>
  </rv>
  <rv s="5">
    <fb>339.14</fb>
    <v>14</v>
  </rv>
  <rv s="5">
    <fb>73.924999999999997</fb>
    <v>14</v>
  </rv>
  <rv s="5">
    <fb>12.991</fb>
    <v>14</v>
  </rv>
  <rv s="5">
    <fb>307.23</fb>
    <v>14</v>
  </rv>
  <rv s="5">
    <fb>3401.2</fb>
    <v>14</v>
  </rv>
  <rv s="5">
    <fb>44090</fb>
    <v>13</v>
  </rv>
  <rv s="5">
    <fb>75.604500000000002</fb>
    <v>14</v>
  </rv>
  <rv s="5">
    <fb>153.905</fb>
    <v>14</v>
  </rv>
  <rv s="5">
    <fb>84.67</fb>
    <v>14</v>
  </rv>
  <rv s="5">
    <fb>767.34</fb>
    <v>14</v>
  </rv>
  <rv s="5">
    <fb>341.85</fb>
    <v>14</v>
  </rv>
  <rv s="5">
    <fb>70.087500000000006</fb>
    <v>14</v>
  </rv>
  <rv s="5">
    <fb>19.18</fb>
    <v>14</v>
  </rv>
  <rv s="5">
    <fb>12.5145</fb>
    <v>14</v>
  </rv>
  <rv s="5">
    <fb>137.69999999999999</fb>
    <v>14</v>
  </rv>
  <rv s="5">
    <fb>306.52</fb>
    <v>14</v>
  </rv>
  <rv s="5">
    <fb>3385.49</fb>
    <v>14</v>
  </rv>
  <rv s="5">
    <fb>44091</fb>
    <v>13</v>
  </rv>
  <rv s="5">
    <fb>74.352000000000004</fb>
    <v>14</v>
  </rv>
  <rv s="5">
    <fb>150.4365</fb>
    <v>14</v>
  </rv>
  <rv s="5">
    <fb>84.1</fb>
    <v>14</v>
  </rv>
  <rv s="5">
    <fb>755.65</fb>
    <v>14</v>
  </rv>
  <rv s="5">
    <fb>339.43</fb>
    <v>14</v>
  </rv>
  <rv s="5">
    <fb>69.88</fb>
    <v>14</v>
  </rv>
  <rv s="5">
    <fb>19.079999999999998</fb>
    <v>14</v>
  </rv>
  <rv s="5">
    <fb>12.4635</fb>
    <v>14</v>
  </rv>
  <rv s="5">
    <fb>137.52000000000001</fb>
    <v>14</v>
  </rv>
  <rv s="5">
    <fb>304.98</fb>
    <v>14</v>
  </rv>
  <rv s="5">
    <fb>3357.01</fb>
    <v>14</v>
  </rv>
  <rv s="5">
    <fb>44092</fb>
    <v>13</v>
  </rv>
  <rv s="5">
    <fb>72.554500000000004</fb>
    <v>14</v>
  </rv>
  <rv s="5">
    <fb>147.74549999999999</fb>
    <v>14</v>
  </rv>
  <rv s="5">
    <fb>82.89</fb>
    <v>14</v>
  </rv>
  <rv s="5">
    <fb>752.07</fb>
    <v>14</v>
  </rv>
  <rv s="5">
    <fb>335.26</fb>
    <v>14</v>
  </rv>
  <rv s="5">
    <fb>18.73</fb>
    <v>14</v>
  </rv>
  <rv s="5">
    <fb>12.189299999999999</fb>
    <v>14</v>
  </rv>
  <rv s="5">
    <fb>137.37</fb>
    <v>14</v>
  </rv>
  <rv s="5">
    <fb>308.02</fb>
    <v>14</v>
  </rv>
  <rv s="5">
    <fb>3319.47</fb>
    <v>14</v>
  </rv>
  <rv s="5">
    <fb>44095</fb>
    <v>13</v>
  </rv>
  <rv s="5">
    <fb>71.507000000000005</fb>
    <v>14</v>
  </rv>
  <rv s="5">
    <fb>148.02350000000001</fb>
    <v>14</v>
  </rv>
  <rv s="5">
    <fb>81.03</fb>
    <v>14</v>
  </rv>
  <rv s="5">
    <fb>745.55</fb>
    <v>14</v>
  </rv>
  <rv s="5">
    <fb>327.85</fb>
    <v>14</v>
  </rv>
  <rv s="5">
    <fb>69.05</fb>
    <v>14</v>
  </rv>
  <rv s="5">
    <fb>17.27</fb>
    <v>14</v>
  </rv>
  <rv s="5">
    <fb>12.517300000000001</fb>
    <v>14</v>
  </rv>
  <rv s="5">
    <fb>136.71</fb>
    <v>14</v>
  </rv>
  <rv s="5">
    <fb>299.19</fb>
    <v>14</v>
  </rv>
  <rv s="5">
    <fb>3281.06</fb>
    <v>14</v>
  </rv>
  <rv s="5">
    <fb>44096</fb>
    <v>13</v>
  </rv>
  <rv s="5">
    <fb>72.991</fb>
    <v>14</v>
  </rv>
  <rv s="5">
    <fb>156.4495</fb>
    <v>14</v>
  </rv>
  <rv s="5">
    <fb>81.58</fb>
    <v>14</v>
  </rv>
  <rv s="5">
    <fb>750</fb>
    <v>14</v>
  </rv>
  <rv s="5">
    <fb>162.68</fb>
    <v>14</v>
  </rv>
  <rv s="5">
    <fb>335.31</fb>
    <v>14</v>
  </rv>
  <rv s="5">
    <fb>69.515000000000001</fb>
    <v>14</v>
  </rv>
  <rv s="5">
    <fb>17.329999999999998</fb>
    <v>14</v>
  </rv>
  <rv s="5">
    <fb>12.6378</fb>
    <v>14</v>
  </rv>
  <rv s="5">
    <fb>3315.57</fb>
    <v>14</v>
  </rv>
  <rv s="5">
    <fb>44097</fb>
    <v>13</v>
  </rv>
  <rv s="5">
    <fb>70.469499999999996</fb>
    <v>14</v>
  </rv>
  <rv s="5">
    <fb>149.99299999999999</fb>
    <v>14</v>
  </rv>
  <rv s="5">
    <fb>79.849999999999994</fb>
    <v>14</v>
  </rv>
  <rv s="5">
    <fb>730.67</fb>
    <v>14</v>
  </rv>
  <rv s="5">
    <fb>158.79</fb>
    <v>14</v>
  </rv>
  <rv s="5">
    <fb>324.52999999999997</fb>
    <v>14</v>
  </rv>
  <rv s="5">
    <fb>68.327500000000001</fb>
    <v>14</v>
  </rv>
  <rv s="5">
    <fb>16.61</fb>
    <v>14</v>
  </rv>
  <rv s="5">
    <fb>12.123799999999999</fb>
    <v>14</v>
  </rv>
  <rv s="5">
    <fb>136.31</fb>
    <v>14</v>
  </rv>
  <rv s="5">
    <fb>292.14</fb>
    <v>14</v>
  </rv>
  <rv s="5">
    <fb>3236.92</fb>
    <v>14</v>
  </rv>
  <rv s="5">
    <fb>44098</fb>
    <v>13</v>
  </rv>
  <rv s="5">
    <fb>71.143000000000001</fb>
    <v>14</v>
  </rv>
  <rv s="5">
    <fb>150.98949999999999</fb>
    <v>14</v>
  </rv>
  <rv s="5">
    <fb>80.099999999999994</fb>
    <v>14</v>
  </rv>
  <rv s="5">
    <fb>733.73</fb>
    <v>14</v>
  </rv>
  <rv s="5">
    <fb>328.21</fb>
    <v>14</v>
  </rv>
  <rv s="5">
    <fb>69.385000000000005</fb>
    <v>14</v>
  </rv>
  <rv s="5">
    <fb>16.62</fb>
    <v>14</v>
  </rv>
  <rv s="5">
    <fb>12.348000000000001</fb>
    <v>14</v>
  </rv>
  <rv s="5">
    <fb>136.91999999999999</fb>
    <v>14</v>
  </rv>
  <rv s="5">
    <fb>292.66000000000003</fb>
    <v>14</v>
  </rv>
  <rv s="5">
    <fb>3246.59</fb>
    <v>14</v>
  </rv>
  <rv s="5">
    <fb>44099</fb>
    <v>13</v>
  </rv>
  <rv s="5">
    <fb>71.953000000000003</fb>
    <v>14</v>
  </rv>
  <rv s="5">
    <fb>154.75649999999999</fb>
    <v>14</v>
  </rv>
  <rv s="5">
    <fb>81.47</fb>
    <v>14</v>
  </rv>
  <rv s="5">
    <fb>751.32</fb>
    <v>14</v>
  </rv>
  <rv s="5">
    <fb>161.49</fb>
    <v>14</v>
  </rv>
  <rv s="5">
    <fb>331.78</fb>
    <v>14</v>
  </rv>
  <rv s="5">
    <fb>70.454999999999998</fb>
    <v>14</v>
  </rv>
  <rv s="5">
    <fb>15.92</fb>
    <v>14</v>
  </rv>
  <rv s="5">
    <fb>12.873799999999999</fb>
    <v>14</v>
  </rv>
  <rv s="5">
    <fb>137.62</fb>
    <v>14</v>
  </rv>
  <rv s="5">
    <fb>302.5</fb>
    <v>14</v>
  </rv>
  <rv s="5">
    <fb>3298.46</fb>
    <v>14</v>
  </rv>
  <rv s="5">
    <fb>44102</fb>
    <v>13</v>
  </rv>
  <rv s="5">
    <fb>72.933000000000007</fb>
    <v>14</v>
  </rv>
  <rv s="5">
    <fb>158.70249999999999</fb>
    <v>14</v>
  </rv>
  <rv s="5">
    <fb>82.24</fb>
    <v>14</v>
  </rv>
  <rv s="5">
    <fb>764.81</fb>
    <v>14</v>
  </rv>
  <rv s="5">
    <fb>164.64</fb>
    <v>14</v>
  </rv>
  <rv s="5">
    <fb>338.39</fb>
    <v>14</v>
  </rv>
  <rv s="5">
    <fb>71.034999999999997</fb>
    <v>14</v>
  </rv>
  <rv s="5">
    <fb>16.45</fb>
    <v>14</v>
  </rv>
  <rv s="5">
    <fb>13.035</fb>
    <v>14</v>
  </rv>
  <rv s="5">
    <fb>138.01</fb>
    <v>14</v>
  </rv>
  <rv s="5">
    <fb>303.23</fb>
    <v>14</v>
  </rv>
  <rv s="5">
    <fb>3351.6</fb>
    <v>14</v>
  </rv>
  <rv s="5">
    <fb>44103</fb>
    <v>13</v>
  </rv>
  <rv s="5">
    <fb>73.301000000000002</fb>
    <v>14</v>
  </rv>
  <rv s="5">
    <fb>157.244</fb>
    <v>14</v>
  </rv>
  <rv s="5">
    <fb>82.36</fb>
    <v>14</v>
  </rv>
  <rv s="5">
    <fb>763.46</fb>
    <v>14</v>
  </rv>
  <rv s="5">
    <fb>164.51</fb>
    <v>14</v>
  </rv>
  <rv s="5">
    <fb>336.23</fb>
    <v>14</v>
  </rv>
  <rv s="5">
    <fb>70.78</fb>
    <v>14</v>
  </rv>
  <rv s="5">
    <fb>15.6</fb>
    <v>14</v>
  </rv>
  <rv s="5">
    <fb>13.2258</fb>
    <v>14</v>
  </rv>
  <rv s="5">
    <fb>137.26</fb>
    <v>14</v>
  </rv>
  <rv s="5">
    <fb>304.14999999999998</fb>
    <v>14</v>
  </rv>
  <rv s="5">
    <fb>3335.47</fb>
    <v>14</v>
  </rv>
  <rv s="5">
    <fb>44104</fb>
    <v>13</v>
  </rv>
  <rv s="5">
    <fb>157.4365</fb>
    <v>14</v>
  </rv>
  <rv s="5">
    <fb>760.13</fb>
    <v>14</v>
  </rv>
  <rv s="5">
    <fb>164.61</fb>
    <v>14</v>
  </rv>
  <rv s="5">
    <fb>338.17</fb>
    <v>14</v>
  </rv>
  <rv s="5">
    <fb>15.56</fb>
    <v>14</v>
  </rv>
  <rv s="5">
    <fb>13.5305</fb>
    <v>14</v>
  </rv>
  <rv s="5">
    <fb>138.99</fb>
    <v>14</v>
  </rv>
  <rv s="5">
    <fb>311.77</fb>
    <v>14</v>
  </rv>
  <rv s="5">
    <fb>3363</fb>
    <v>14</v>
  </rv>
  <rv s="5">
    <fb>44105</fb>
    <v>13</v>
  </rv>
  <rv s="5">
    <fb>74.394999999999996</fb>
    <v>14</v>
  </rv>
  <rv s="5">
    <fb>161.06299999999999</fb>
    <v>14</v>
  </rv>
  <rv s="5">
    <fb>768.35</fb>
    <v>14</v>
  </rv>
  <rv s="5">
    <fb>163.68</fb>
    <v>14</v>
  </rv>
  <rv s="5">
    <fb>343.37</fb>
    <v>14</v>
  </rv>
  <rv s="5">
    <fb>70.69</fb>
    <v>14</v>
  </rv>
  <rv s="5">
    <fb>15.01</fb>
    <v>14</v>
  </rv>
  <rv s="5">
    <fb>13.6145</fb>
    <v>14</v>
  </rv>
  <rv s="5">
    <fb>139.24</fb>
    <v>14</v>
  </rv>
  <rv s="5">
    <fb>313.07</fb>
    <v>14</v>
  </rv>
  <rv s="5">
    <fb>3380.8</fb>
    <v>14</v>
  </rv>
  <rv s="5">
    <fb>44106</fb>
    <v>13</v>
  </rv>
  <rv s="5">
    <fb>156.25</fb>
    <v>14</v>
  </rv>
  <rv s="5">
    <fb>82.67</fb>
    <v>14</v>
  </rv>
  <rv s="5">
    <fb>778</fb>
    <v>14</v>
  </rv>
  <rv s="5">
    <fb>165.61</fb>
    <v>14</v>
  </rv>
  <rv s="5">
    <fb>338.83</fb>
    <v>14</v>
  </rv>
  <rv s="5">
    <fb>70.292500000000004</fb>
    <v>14</v>
  </rv>
  <rv s="5">
    <fb>15.57</fb>
    <v>14</v>
  </rv>
  <rv s="5">
    <fb>13.0623</fb>
    <v>14</v>
  </rv>
  <rv s="5">
    <fb>138.12</fb>
    <v>14</v>
  </rv>
  <rv s="5">
    <fb>311.98</fb>
    <v>14</v>
  </rv>
  <rv s="5">
    <fb>3348.44</fb>
    <v>14</v>
  </rv>
  <rv s="5">
    <fb>44109</fb>
    <v>13</v>
  </rv>
  <rv s="5">
    <fb>74.141499999999994</fb>
    <v>14</v>
  </rv>
  <rv s="5">
    <fb>159.96</fb>
    <v>14</v>
  </rv>
  <rv s="5">
    <fb>85.37</fb>
    <v>14</v>
  </rv>
  <rv s="5">
    <fb>788.26</fb>
    <v>14</v>
  </rv>
  <rv s="5">
    <fb>168.72</fb>
    <v>14</v>
  </rv>
  <rv s="5">
    <fb>343.25</fb>
    <v>14</v>
  </rv>
  <rv s="5">
    <fb>71.977500000000006</fb>
    <v>14</v>
  </rv>
  <rv s="5">
    <fb>16.07</fb>
    <v>14</v>
  </rv>
  <rv s="5">
    <fb>13.6425</fb>
    <v>14</v>
  </rv>
  <rv s="5">
    <fb>139.38999999999999</fb>
    <v>14</v>
  </rv>
  <rv s="5">
    <fb>318.14999999999998</fb>
    <v>14</v>
  </rv>
  <rv s="5">
    <fb>3408.63</fb>
    <v>14</v>
  </rv>
  <rv s="5">
    <fb>44110</fb>
    <v>13</v>
  </rv>
  <rv s="5">
    <fb>72.551000000000002</fb>
    <v>14</v>
  </rv>
  <rv s="5">
    <fb>154.99799999999999</fb>
    <v>14</v>
  </rv>
  <rv s="5">
    <fb>84.31</fb>
    <v>14</v>
  </rv>
  <rv s="5">
    <fb>790.83</fb>
    <v>14</v>
  </rv>
  <rv s="5">
    <fb>166.89</fb>
    <v>14</v>
  </rv>
  <rv s="5">
    <fb>337.43</fb>
    <v>14</v>
  </rv>
  <rv s="5">
    <fb>72.569999999999993</fb>
    <v>14</v>
  </rv>
  <rv s="5">
    <fb>13.736499999999999</fb>
    <v>14</v>
  </rv>
  <rv s="5">
    <fb>139.61000000000001</fb>
    <v>14</v>
  </rv>
  <rv s="5">
    <fb>314.45</fb>
    <v>14</v>
  </rv>
  <rv s="5">
    <fb>3360.95</fb>
    <v>14</v>
  </rv>
  <rv s="5">
    <fb>44111</fb>
    <v>13</v>
  </rv>
  <rv s="5">
    <fb>72.956999999999994</fb>
    <v>14</v>
  </rv>
  <rv s="5">
    <fb>159.78450000000001</fb>
    <v>14</v>
  </rv>
  <rv s="5">
    <fb>803.26</fb>
    <v>14</v>
  </rv>
  <rv s="5">
    <fb>171.55</fb>
    <v>14</v>
  </rv>
  <rv s="5">
    <fb>343.9</fb>
    <v>14</v>
  </rv>
  <rv s="5">
    <fb>13.964</fb>
    <v>14</v>
  </rv>
  <rv s="5">
    <fb>140.69999999999999</fb>
    <v>14</v>
  </rv>
  <rv s="5">
    <fb>323.17</fb>
    <v>14</v>
  </rv>
  <rv s="5">
    <fb>3419.45</fb>
    <v>14</v>
  </rv>
  <rv s="5">
    <fb>44112</fb>
    <v>13</v>
  </rv>
  <rv s="5">
    <fb>74.171499999999995</fb>
    <v>14</v>
  </rv>
  <rv s="5">
    <fb>159.5275</fb>
    <v>14</v>
  </rv>
  <rv s="5">
    <fb>824.4</fb>
    <v>14</v>
  </rv>
  <rv s="5">
    <fb>173.78</fb>
    <v>14</v>
  </rv>
  <rv s="5">
    <fb>345.15</fb>
    <v>14</v>
  </rv>
  <rv s="5">
    <fb>75.260000000000005</fb>
    <v>14</v>
  </rv>
  <rv s="5">
    <fb>16.43</fb>
    <v>14</v>
  </rv>
  <rv s="5">
    <fb>13.838800000000001</fb>
    <v>14</v>
  </rv>
  <rv s="5">
    <fb>141.65</fb>
    <v>14</v>
  </rv>
  <rv s="5">
    <fb>322.41000000000003</fb>
    <v>14</v>
  </rv>
  <rv s="5">
    <fb>3446.83</fb>
    <v>14</v>
  </rv>
  <rv s="5">
    <fb>44113</fb>
    <v>13</v>
  </rv>
  <rv s="5">
    <fb>75.522499999999994</fb>
    <v>14</v>
  </rv>
  <rv s="5">
    <fb>164.33250000000001</fb>
    <v>14</v>
  </rv>
  <rv s="5">
    <fb>90.26</fb>
    <v>14</v>
  </rv>
  <rv s="5">
    <fb>829.35</fb>
    <v>14</v>
  </rv>
  <rv s="5">
    <fb>352.39</fb>
    <v>14</v>
  </rv>
  <rv s="5">
    <fb>75.727500000000006</fb>
    <v>14</v>
  </rv>
  <rv s="5">
    <fb>13.7628</fb>
    <v>14</v>
  </rv>
  <rv s="5">
    <fb>142.91999999999999</fb>
    <v>14</v>
  </rv>
  <rv s="5">
    <fb>327.84</fb>
    <v>14</v>
  </rv>
  <rv s="5">
    <fb>3477.13</fb>
    <v>14</v>
  </rv>
  <rv s="5">
    <fb>44116</fb>
    <v>13</v>
  </rv>
  <rv s="5">
    <fb>78.229500000000002</fb>
    <v>14</v>
  </rv>
  <rv s="5">
    <fb>172.1465</fb>
    <v>14</v>
  </rv>
  <rv s="5">
    <fb>835</fb>
    <v>14</v>
  </rv>
  <rv s="5">
    <fb>175.36</fb>
    <v>14</v>
  </rv>
  <rv s="5">
    <fb>352.04</fb>
    <v>14</v>
  </rv>
  <rv s="5">
    <fb>76.417500000000004</fb>
    <v>14</v>
  </rv>
  <rv s="5">
    <fb>16.12</fb>
    <v>14</v>
  </rv>
  <rv s="5">
    <fb>14.226000000000001</fb>
    <v>14</v>
  </rv>
  <rv s="5">
    <fb>144.49</fb>
    <v>14</v>
  </rv>
  <rv s="5">
    <fb>329.97</fb>
    <v>14</v>
  </rv>
  <rv s="5">
    <fb>3534.22</fb>
    <v>14</v>
  </rv>
  <rv s="5">
    <fb>44117</fb>
    <v>13</v>
  </rv>
  <rv s="5">
    <fb>78.353499999999997</fb>
    <v>14</v>
  </rv>
  <rv s="5">
    <fb>172.1815</fb>
    <v>14</v>
  </rv>
  <rv s="5">
    <fb>826.11</fb>
    <v>14</v>
  </rv>
  <rv s="5">
    <fb>345.84</fb>
    <v>14</v>
  </rv>
  <rv s="5">
    <fb>75.367500000000007</fb>
    <v>14</v>
  </rv>
  <rv s="5">
    <fb>15.73</fb>
    <v>14</v>
  </rv>
  <rv s="5">
    <fb>14.2483</fb>
    <v>14</v>
  </rv>
  <rv s="5">
    <fb>144.21</fb>
    <v>14</v>
  </rv>
  <rv s="5">
    <fb>331.42</fb>
    <v>14</v>
  </rv>
  <rv s="5">
    <fb>3511.93</fb>
    <v>14</v>
  </rv>
  <rv s="5">
    <fb>44118</fb>
    <v>13</v>
  </rv>
  <rv s="5">
    <fb>78.171999999999997</fb>
    <v>14</v>
  </rv>
  <rv s="5">
    <fb>168.18549999999999</fb>
    <v>14</v>
  </rv>
  <rv s="5">
    <fb>90.06</fb>
    <v>14</v>
  </rv>
  <rv s="5">
    <fb>817.4</fb>
    <v>14</v>
  </rv>
  <rv s="5">
    <fb>173.47</fb>
    <v>14</v>
  </rv>
  <rv s="5">
    <fb>342.7</fb>
    <v>14</v>
  </rv>
  <rv s="5">
    <fb>75.16</fb>
    <v>14</v>
  </rv>
  <rv s="5">
    <fb>14.0953</fb>
    <v>14</v>
  </rv>
  <rv s="5">
    <fb>144.04</fb>
    <v>14</v>
  </rv>
  <rv s="5">
    <fb>321.85000000000002</fb>
    <v>14</v>
  </rv>
  <rv s="5">
    <fb>3488.67</fb>
    <v>14</v>
  </rv>
  <rv s="5">
    <fb>44119</fb>
    <v>13</v>
  </rv>
  <rv s="5">
    <fb>77.773499999999999</fb>
    <v>14</v>
  </rv>
  <rv s="5">
    <fb>166.9325</fb>
    <v>14</v>
  </rv>
  <rv s="5">
    <fb>90.81</fb>
    <v>14</v>
  </rv>
  <rv s="5">
    <fb>814.83</fb>
    <v>14</v>
  </rv>
  <rv s="5">
    <fb>338.57</fb>
    <v>14</v>
  </rv>
  <rv s="5">
    <fb>74.614999999999995</fb>
    <v>14</v>
  </rv>
  <rv s="5">
    <fb>16.420000000000002</fb>
    <v>14</v>
  </rv>
  <rv s="5">
    <fb>13.97</fb>
    <v>14</v>
  </rv>
  <rv s="5">
    <fb>143.83000000000001</fb>
    <v>14</v>
  </rv>
  <rv s="5">
    <fb>324.57</fb>
    <v>14</v>
  </rv>
  <rv s="5">
    <fb>3483.34</fb>
    <v>14</v>
  </rv>
  <rv s="5">
    <fb>44120</fb>
    <v>13</v>
  </rv>
  <rv s="5">
    <fb>78.385000000000005</fb>
    <v>14</v>
  </rv>
  <rv s="5">
    <fb>163.63550000000001</fb>
    <v>14</v>
  </rv>
  <rv s="5">
    <fb>817.69</fb>
    <v>14</v>
  </rv>
  <rv s="5">
    <fb>339.4</fb>
    <v>14</v>
  </rv>
  <rv s="5">
    <fb>76.400000000000006</fb>
    <v>14</v>
  </rv>
  <rv s="5">
    <fb>14.97</fb>
    <v>14</v>
  </rv>
  <rv s="5">
    <fb>13.811500000000001</fb>
    <v>14</v>
  </rv>
  <rv s="5">
    <fb>144.38999999999999</fb>
    <v>14</v>
  </rv>
  <rv s="5">
    <fb>329.9</fb>
    <v>14</v>
  </rv>
  <rv s="5">
    <fb>3483.81</fb>
    <v>14</v>
  </rv>
  <rv s="5">
    <fb>44123</fb>
    <v>13</v>
  </rv>
  <rv s="5">
    <fb>76.497500000000002</fb>
    <v>14</v>
  </rv>
  <rv s="5">
    <fb>160.3605</fb>
    <v>14</v>
  </rv>
  <rv s="5">
    <fb>810</fb>
    <v>14</v>
  </rv>
  <rv s="5">
    <fb>171.59</fb>
    <v>14</v>
  </rv>
  <rv s="5">
    <fb>331.67</fb>
    <v>14</v>
  </rv>
  <rv s="5">
    <fb>74.887500000000003</fb>
    <v>14</v>
  </rv>
  <rv s="5">
    <fb>13.4978</fb>
    <v>14</v>
  </rv>
  <rv s="5">
    <fb>141.91</fb>
    <v>14</v>
  </rv>
  <rv s="5">
    <fb>324.22000000000003</fb>
    <v>14</v>
  </rv>
  <rv s="5">
    <fb>3426.92</fb>
    <v>14</v>
  </rv>
  <rv s="5">
    <fb>44124</fb>
    <v>13</v>
  </rv>
  <rv s="5">
    <fb>77.554000000000002</fb>
    <v>14</v>
  </rv>
  <rv s="5">
    <fb>160.85050000000001</fb>
    <v>14</v>
  </rv>
  <rv s="5">
    <fb>91.39</fb>
    <v>14</v>
  </rv>
  <rv s="5">
    <fb>804.94</fb>
    <v>14</v>
  </rv>
  <rv s="5">
    <fb>173.26</fb>
    <v>14</v>
  </rv>
  <rv s="5">
    <fb>331.72</fb>
    <v>14</v>
  </rv>
  <rv s="5">
    <fb>15.49</fb>
    <v>14</v>
  </rv>
  <rv s="5">
    <fb>13.6455</fb>
    <v>14</v>
  </rv>
  <rv s="5">
    <fb>142.47999999999999</fb>
    <v>14</v>
  </rv>
  <rv s="5">
    <fb>323.41000000000003</fb>
    <v>14</v>
  </rv>
  <rv s="5">
    <fb>3443.12</fb>
    <v>14</v>
  </rv>
  <rv s="5">
    <fb>44125</fb>
    <v>13</v>
  </rv>
  <rv s="5">
    <fb>79.299499999999995</fb>
    <v>14</v>
  </rv>
  <rv s="5">
    <fb>159.24700000000001</fb>
    <v>14</v>
  </rv>
  <rv s="5">
    <fb>92.78</fb>
    <v>14</v>
  </rv>
  <rv s="5">
    <fb>803.16</fb>
    <v>14</v>
  </rv>
  <rv s="5">
    <fb>172.87</fb>
    <v>14</v>
  </rv>
  <rv s="5">
    <fb>333.42</fb>
    <v>14</v>
  </rv>
  <rv s="5">
    <fb>74.42</fb>
    <v>14</v>
  </rv>
  <rv s="5">
    <fb>13.524800000000001</fb>
    <v>14</v>
  </rv>
  <rv s="5">
    <fb>143.25</fb>
    <v>14</v>
  </rv>
  <rv s="5">
    <fb>322.79000000000002</fb>
    <v>14</v>
  </rv>
  <rv s="5">
    <fb>3435.56</fb>
    <v>14</v>
  </rv>
  <rv s="5">
    <fb>44126</fb>
    <v>13</v>
  </rv>
  <rv s="5">
    <fb>80.332999999999998</fb>
    <v>14</v>
  </rv>
  <rv s="5">
    <fb>158.82</fb>
    <v>14</v>
  </rv>
  <rv s="5">
    <fb>777.55</fb>
    <v>14</v>
  </rv>
  <rv s="5">
    <fb>176.85</fb>
    <v>14</v>
  </rv>
  <rv s="5">
    <fb>333.6</fb>
    <v>14</v>
  </rv>
  <rv s="5">
    <fb>75.567499999999995</fb>
    <v>14</v>
  </rv>
  <rv s="5">
    <fb>15.3</fb>
    <v>14</v>
  </rv>
  <rv s="5">
    <fb>13.361000000000001</fb>
    <v>14</v>
  </rv>
  <rv s="5">
    <fb>141.44999999999999</fb>
    <v>14</v>
  </rv>
  <rv s="5">
    <fb>325.73</fb>
    <v>14</v>
  </rv>
  <rv s="5">
    <fb>3453.49</fb>
    <v>14</v>
  </rv>
  <rv s="5">
    <fb>44127</fb>
    <v>13</v>
  </rv>
  <rv s="5">
    <fb>81.649000000000001</fb>
    <v>14</v>
  </rv>
  <rv s="5">
    <fb>160.22</fb>
    <v>14</v>
  </rv>
  <rv s="5">
    <fb>777.03</fb>
    <v>14</v>
  </rv>
  <rv s="5">
    <fb>175.54</fb>
    <v>14</v>
  </rv>
  <rv s="5">
    <fb>329.61</fb>
    <v>14</v>
  </rv>
  <rv s="5">
    <fb>75.767499999999998</fb>
    <v>14</v>
  </rv>
  <rv s="5">
    <fb>15.4</fb>
    <v>14</v>
  </rv>
  <rv s="5">
    <fb>13.590299999999999</fb>
    <v>14</v>
  </rv>
  <rv s="5">
    <fb>142.38</fb>
    <v>14</v>
  </rv>
  <rv s="5">
    <fb>330.6</fb>
    <v>14</v>
  </rv>
  <rv s="5">
    <fb>3465.39</fb>
    <v>14</v>
  </rv>
  <rv s="5">
    <fb>44130</fb>
    <v>13</v>
  </rv>
  <rv s="5">
    <fb>79.214500000000001</fb>
    <v>14</v>
  </rv>
  <rv s="5">
    <fb>160.352</fb>
    <v>14</v>
  </rv>
  <rv s="5">
    <fb>91.56</fb>
    <v>14</v>
  </rv>
  <rv s="5">
    <fb>770.48</fb>
    <v>14</v>
  </rv>
  <rv s="5">
    <fb>170.17</fb>
    <v>14</v>
  </rv>
  <rv s="5">
    <fb>318.06</fb>
    <v>14</v>
  </rv>
  <rv s="5">
    <fb>75.662499999999994</fb>
    <v>14</v>
  </rv>
  <rv s="5">
    <fb>15.17</fb>
    <v>14</v>
  </rv>
  <rv s="5">
    <fb>13.141299999999999</fb>
    <v>14</v>
  </rv>
  <rv s="5">
    <fb>141.30000000000001</fb>
    <v>14</v>
  </rv>
  <rv s="5">
    <fb>323.06</fb>
    <v>14</v>
  </rv>
  <rv s="5">
    <fb>3400.97</fb>
    <v>14</v>
  </rv>
  <rv s="5">
    <fb>44131</fb>
    <v>13</v>
  </rv>
  <rv s="5">
    <fb>79.944000000000003</fb>
    <v>14</v>
  </rv>
  <rv s="5">
    <fb>164.31649999999999</fb>
    <v>14</v>
  </rv>
  <rv s="5">
    <fb>773.31</fb>
    <v>14</v>
  </rv>
  <rv s="5">
    <fb>166.75</fb>
    <v>14</v>
  </rv>
  <rv s="5">
    <fb>317.11</fb>
    <v>14</v>
  </rv>
  <rv s="5">
    <fb>75.78</fb>
    <v>14</v>
  </rv>
  <rv s="5">
    <fb>15.09</fb>
    <v>14</v>
  </rv>
  <rv s="5">
    <fb>13.396800000000001</fb>
    <v>14</v>
  </rv>
  <rv s="5">
    <fb>142.36000000000001</fb>
    <v>14</v>
  </rv>
  <rv s="5">
    <fb>3390.68</fb>
    <v>14</v>
  </rv>
  <rv s="5">
    <fb>44132</fb>
    <v>13</v>
  </rv>
  <rv s="5">
    <fb>75.540000000000006</fb>
    <v>14</v>
  </rv>
  <rv s="5">
    <fb>158.13900000000001</fb>
    <v>14</v>
  </rv>
  <rv s="5">
    <fb>88.73</fb>
    <v>14</v>
  </rv>
  <rv s="5">
    <fb>756.07</fb>
    <v>14</v>
  </rv>
  <rv s="5">
    <fb>161.16</fb>
    <v>14</v>
  </rv>
  <rv s="5">
    <fb>74.459999999999994</fb>
    <v>14</v>
  </rv>
  <rv s="5">
    <fb>14.18</fb>
    <v>14</v>
  </rv>
  <rv s="5">
    <fb>12.627000000000001</fb>
    <v>14</v>
  </rv>
  <rv s="5">
    <fb>137.66</fb>
    <v>14</v>
  </rv>
  <rv s="5">
    <fb>308</fb>
    <v>14</v>
  </rv>
  <rv s="5">
    <fb>3271.03</fb>
    <v>14</v>
  </rv>
  <rv s="5">
    <fb>44133</fb>
    <v>13</v>
  </rv>
  <rv s="5">
    <fb>77.843999999999994</fb>
    <v>14</v>
  </rv>
  <rv s="5">
    <fb>160.5505</fb>
    <v>14</v>
  </rv>
  <rv s="5">
    <fb>89.22</fb>
    <v>14</v>
  </rv>
  <rv s="5">
    <fb>740.68</fb>
    <v>14</v>
  </rv>
  <rv s="5">
    <fb>293.18</fb>
    <v>14</v>
  </rv>
  <rv s="5">
    <fb>74.010000000000005</fb>
    <v>14</v>
  </rv>
  <rv s="5">
    <fb>14.45</fb>
    <v>14</v>
  </rv>
  <rv s="5">
    <fb>13.023999999999999</fb>
    <v>14</v>
  </rv>
  <rv s="5">
    <fb>137.57</fb>
    <v>14</v>
  </rv>
  <rv s="5">
    <fb>303.68</fb>
    <v>14</v>
  </rv>
  <rv s="5">
    <fb>3310.11</fb>
    <v>14</v>
  </rv>
  <rv s="5">
    <fb>44134</fb>
    <v>13</v>
  </rv>
  <rv s="5">
    <fb>80.805499999999995</fb>
    <v>14</v>
  </rv>
  <rv s="5">
    <fb>151.8075</fb>
    <v>14</v>
  </rv>
  <rv s="5">
    <fb>731.24</fb>
    <v>14</v>
  </rv>
  <rv s="5">
    <fb>164.95</fb>
    <v>14</v>
  </rv>
  <rv s="5">
    <fb>288.64</fb>
    <v>14</v>
  </rv>
  <rv s="5">
    <fb>73.209999999999994</fb>
    <v>14</v>
  </rv>
  <rv s="5">
    <fb>14.94</fb>
    <v>14</v>
  </rv>
  <rv s="5">
    <fb>12.534000000000001</fb>
    <v>14</v>
  </rv>
  <rv s="5">
    <fb>137.1</fb>
    <v>14</v>
  </rv>
  <rv s="5">
    <fb>305.14</fb>
    <v>14</v>
  </rv>
  <rv s="5">
    <fb>3269.96</fb>
    <v>14</v>
  </rv>
  <rv s="5">
    <fb>44137</fb>
    <v>13</v>
  </rv>
  <rv s="5">
    <fb>81.215999999999994</fb>
    <v>14</v>
  </rv>
  <rv s="5">
    <fb>150.22399999999999</fb>
    <v>14</v>
  </rv>
  <rv s="5">
    <fb>738.32</fb>
    <v>14</v>
  </rv>
  <rv s="5">
    <fb>289.97000000000003</fb>
    <v>14</v>
  </rv>
  <rv s="5">
    <fb>15.58</fb>
    <v>14</v>
  </rv>
  <rv s="5">
    <fb>12.5808</fb>
    <v>14</v>
  </rv>
  <rv s="5">
    <fb>138.5</fb>
    <v>14</v>
  </rv>
  <rv s="5">
    <fb>312.10000000000002</fb>
    <v>14</v>
  </rv>
  <rv s="5">
    <fb>3310.24</fb>
    <v>14</v>
  </rv>
  <rv s="5">
    <fb>44138</fb>
    <v>13</v>
  </rv>
  <rv s="5">
    <fb>82.283000000000001</fb>
    <v>14</v>
  </rv>
  <rv s="5">
    <fb>152.4205</fb>
    <v>14</v>
  </rv>
  <rv s="5">
    <fb>93.75</fb>
    <v>14</v>
  </rv>
  <rv s="5">
    <fb>752.28</fb>
    <v>14</v>
  </rv>
  <rv s="5">
    <fb>295.39</fb>
    <v>14</v>
  </rv>
  <rv s="5">
    <fb>76.02</fb>
    <v>14</v>
  </rv>
  <rv s="5">
    <fb>15.76</fb>
    <v>14</v>
  </rv>
  <rv s="5">
    <fb>13.019500000000001</fb>
    <v>14</v>
  </rv>
  <rv s="5">
    <fb>141.22</fb>
    <v>14</v>
  </rv>
  <rv s="5">
    <fb>321.35000000000002</fb>
    <v>14</v>
  </rv>
  <rv s="5">
    <fb>3369.16</fb>
    <v>14</v>
  </rv>
  <rv s="5">
    <fb>44139</fb>
    <v>13</v>
  </rv>
  <rv s="5">
    <fb>87.292500000000004</fb>
    <v>14</v>
  </rv>
  <rv s="5">
    <fb>162.05799999999999</fb>
    <v>14</v>
  </rv>
  <rv s="5">
    <fb>94.11</fb>
    <v>14</v>
  </rv>
  <rv s="5">
    <fb>777.29</fb>
    <v>14</v>
  </rv>
  <rv s="5">
    <fb>178.91</fb>
    <v>14</v>
  </rv>
  <rv s="5">
    <fb>307.2</fb>
    <v>14</v>
  </rv>
  <rv s="5">
    <fb>73.319999999999993</fb>
    <v>14</v>
  </rv>
  <rv s="5">
    <fb>15.97</fb>
    <v>14</v>
  </rv>
  <rv s="5">
    <fb>13.7943</fb>
    <v>14</v>
  </rv>
  <rv s="5">
    <fb>140.63999999999999</fb>
    <v>14</v>
  </rv>
  <rv s="5">
    <fb>354.56</fb>
    <v>14</v>
  </rv>
  <rv s="5">
    <fb>3443.44</fb>
    <v>14</v>
  </rv>
  <rv s="5">
    <fb>44140</fb>
    <v>13</v>
  </rv>
  <rv s="5">
    <fb>88.125</fb>
    <v>14</v>
  </rv>
  <rv s="5">
    <fb>166.1</fb>
    <v>14</v>
  </rv>
  <rv s="5">
    <fb>97.16</fb>
    <v>14</v>
  </rv>
  <rv s="5">
    <fb>781.05</fb>
    <v>14</v>
  </rv>
  <rv s="5">
    <fb>183.28</fb>
    <v>14</v>
  </rv>
  <rv s="5">
    <fb>316.52999999999997</fb>
    <v>14</v>
  </rv>
  <rv s="5">
    <fb>74.75</fb>
    <v>14</v>
  </rv>
  <rv s="5">
    <fb>14.16</fb>
    <v>14</v>
  </rv>
  <rv s="5">
    <fb>354.4</fb>
    <v>14</v>
  </rv>
  <rv s="5">
    <fb>3510.45</fb>
    <v>14</v>
  </rv>
  <rv s="5">
    <fb>44141</fb>
    <v>13</v>
  </rv>
  <rv s="5">
    <fb>87.986500000000007</fb>
    <v>14</v>
  </rv>
  <rv s="5">
    <fb>165.5685</fb>
    <v>14</v>
  </rv>
  <rv s="5">
    <fb>97.46</fb>
    <v>14</v>
  </rv>
  <rv s="5">
    <fb>794.39</fb>
    <v>14</v>
  </rv>
  <rv s="5">
    <fb>184.27</fb>
    <v>14</v>
  </rv>
  <rv s="5">
    <fb>313.64</fb>
    <v>14</v>
  </rv>
  <rv s="5">
    <fb>75.72</fb>
    <v>14</v>
  </rv>
  <rv s="5">
    <fb>15.22</fb>
    <v>14</v>
  </rv>
  <rv s="5">
    <fb>14.561999999999999</fb>
    <v>14</v>
  </rv>
  <rv s="5">
    <fb>143.22999999999999</fb>
    <v>14</v>
  </rv>
  <rv s="5">
    <fb>347.46</fb>
    <v>14</v>
  </rv>
  <rv s="5">
    <fb>3509.44</fb>
    <v>14</v>
  </rv>
  <rv s="5">
    <fb>44144</fb>
    <v>13</v>
  </rv>
  <rv s="5">
    <fb>88.070999999999998</fb>
    <v>14</v>
  </rv>
  <rv s="5">
    <fb>157.18700000000001</fb>
    <v>14</v>
  </rv>
  <rv s="5">
    <fb>92.98</fb>
    <v>14</v>
  </rv>
  <rv s="5">
    <fb>743.21</fb>
    <v>14</v>
  </rv>
  <rv s="5">
    <fb>196.99</fb>
    <v>14</v>
  </rv>
  <rv s="5">
    <fb>18.25</fb>
    <v>14</v>
  </rv>
  <rv s="5">
    <fb>13.630800000000001</fb>
    <v>14</v>
  </rv>
  <rv s="5">
    <fb>137.99</fb>
    <v>14</v>
  </rv>
  <rv s="5">
    <fb>3550.5</fb>
    <v>14</v>
  </rv>
  <rv s="5">
    <fb>44145</fb>
    <v>13</v>
  </rv>
  <rv s="5">
    <fb>86.885999999999996</fb>
    <v>14</v>
  </rv>
  <rv s="5">
    <fb>151.751</fb>
    <v>14</v>
  </rv>
  <rv s="5">
    <fb>94.98</fb>
    <v>14</v>
  </rv>
  <rv s="5">
    <fb>726.77</fb>
    <v>14</v>
  </rv>
  <rv s="5">
    <fb>201.98</fb>
    <v>14</v>
  </rv>
  <rv s="5">
    <fb>334.78</fb>
    <v>14</v>
  </rv>
  <rv s="5">
    <fb>18.309999999999999</fb>
    <v>14</v>
  </rv>
  <rv s="5">
    <fb>12.77</fb>
    <v>14</v>
  </rv>
  <rv s="5">
    <fb>140.26</fb>
    <v>14</v>
  </rv>
  <rv s="5">
    <fb>353.69</fb>
    <v>14</v>
  </rv>
  <rv s="5">
    <fb>3545.53</fb>
    <v>14</v>
  </rv>
  <rv s="5">
    <fb>44146</fb>
    <v>13</v>
  </rv>
  <rv s="5">
    <fb>87.361500000000007</fb>
    <v>14</v>
  </rv>
  <rv s="5">
    <fb>156.86949999999999</fb>
    <v>14</v>
  </rv>
  <rv s="5">
    <fb>95.81</fb>
    <v>14</v>
  </rv>
  <rv s="5">
    <fb>760.85</fb>
    <v>14</v>
  </rv>
  <rv s="5">
    <fb>199.29</fb>
    <v>14</v>
  </rv>
  <rv s="5">
    <fb>332.39</fb>
    <v>14</v>
  </rv>
  <rv s="5">
    <fb>77.540000000000006</fb>
    <v>14</v>
  </rv>
  <rv s="5">
    <fb>13.417999999999999</fb>
    <v>14</v>
  </rv>
  <rv s="5">
    <fb>142.07</fb>
    <v>14</v>
  </rv>
  <rv s="5">
    <fb>351.7</fb>
    <v>14</v>
  </rv>
  <rv s="5">
    <fb>3572.66</fb>
    <v>14</v>
  </rv>
  <rv s="5">
    <fb>44147</fb>
    <v>13</v>
  </rv>
  <rv s="5">
    <fb>87.141000000000005</fb>
    <v>14</v>
  </rv>
  <rv s="5">
    <fb>155.51400000000001</fb>
    <v>14</v>
  </rv>
  <rv s="5">
    <fb>94.2</fb>
    <v>14</v>
  </rv>
  <rv s="5">
    <fb>760.31</fb>
    <v>14</v>
  </rv>
  <rv s="5">
    <fb>197.24</fb>
    <v>14</v>
  </rv>
  <rv s="5">
    <fb>328.29</fb>
    <v>14</v>
  </rv>
  <rv s="5">
    <fb>76.67</fb>
    <v>14</v>
  </rv>
  <rv s="5">
    <fb>17.3</fb>
    <v>14</v>
  </rv>
  <rv s="5">
    <fb>13.456799999999999</fb>
    <v>14</v>
  </rv>
  <rv s="5">
    <fb>142.15</fb>
    <v>14</v>
  </rv>
  <rv s="5">
    <fb>354.41</fb>
    <v>14</v>
  </rv>
  <rv s="5">
    <fb>3537.01</fb>
    <v>14</v>
  </rv>
  <rv s="5">
    <fb>44148</fb>
    <v>13</v>
  </rv>
  <rv s="5">
    <fb>88.613</fb>
    <v>14</v>
  </rv>
  <rv s="5">
    <fb>156.44049999999999</fb>
    <v>14</v>
  </rv>
  <rv s="5">
    <fb>94.65</fb>
    <v>14</v>
  </rv>
  <rv s="5">
    <fb>760.81</fb>
    <v>14</v>
  </rv>
  <rv s="5">
    <fb>335.03</fb>
    <v>14</v>
  </rv>
  <rv s="5">
    <fb>77.19</fb>
    <v>14</v>
  </rv>
  <rv s="5">
    <fb>18</fb>
    <v>14</v>
  </rv>
  <rv s="5">
    <fb>13.297000000000001</fb>
    <v>14</v>
  </rv>
  <rv s="5">
    <fb>144.28</fb>
    <v>14</v>
  </rv>
  <rv s="5">
    <fb>355.67</fb>
    <v>14</v>
  </rv>
  <rv s="5">
    <fb>3585.15</fb>
    <v>14</v>
  </rv>
  <rv s="5">
    <fb>44151</fb>
    <v>13</v>
  </rv>
  <rv s="5">
    <fb>88.701499999999996</fb>
    <v>14</v>
  </rv>
  <rv s="5">
    <fb>156.553</fb>
    <v>14</v>
  </rv>
  <rv s="5">
    <fb>96.76</fb>
    <v>14</v>
  </rv>
  <rv s="5">
    <fb>755.09</fb>
    <v>14</v>
  </rv>
  <rv s="5">
    <fb>208.59</fb>
    <v>14</v>
  </rv>
  <rv s="5">
    <fb>335.45</fb>
    <v>14</v>
  </rv>
  <rv s="5">
    <fb>77.75</fb>
    <v>14</v>
  </rv>
  <rv s="5">
    <fb>20.04</fb>
    <v>14</v>
  </rv>
  <rv s="5">
    <fb>13.5153</fb>
    <v>14</v>
  </rv>
  <rv s="5">
    <fb>142.43</fb>
    <v>14</v>
  </rv>
  <rv s="5">
    <fb>356.82</fb>
    <v>14</v>
  </rv>
  <rv s="5">
    <fb>3626.91</fb>
    <v>14</v>
  </rv>
  <rv s="5">
    <fb>44152</fb>
    <v>13</v>
  </rv>
  <rv s="5">
    <fb>88.082999999999998</fb>
    <v>14</v>
  </rv>
  <rv s="5">
    <fb>156.78299999999999</fb>
    <v>14</v>
  </rv>
  <rv s="5">
    <fb>751.18</fb>
    <v>14</v>
  </rv>
  <rv s="5">
    <fb>205.33</fb>
    <v>14</v>
  </rv>
  <rv s="5">
    <fb>336.5</fb>
    <v>14</v>
  </rv>
  <rv s="5">
    <fb>76.61</fb>
    <v>14</v>
  </rv>
  <rv s="5">
    <fb>20.09</fb>
    <v>14</v>
  </rv>
  <rv s="5">
    <fb>13.4223</fb>
    <v>14</v>
  </rv>
  <rv s="5">
    <fb>141.88</fb>
    <v>14</v>
  </rv>
  <rv s="5">
    <fb>352.1</fb>
    <v>14</v>
  </rv>
  <rv s="5">
    <fb>3609.53</fb>
    <v>14</v>
  </rv>
  <rv s="5">
    <fb>44153</fb>
    <v>13</v>
  </rv>
  <rv s="5">
    <fb>87.031999999999996</fb>
    <v>14</v>
  </rv>
  <rv s="5">
    <fb>155.273</fb>
    <v>14</v>
  </rv>
  <rv s="5">
    <fb>96.56</fb>
    <v>14</v>
  </rv>
  <rv s="5">
    <fb>734.32</fb>
    <v>14</v>
  </rv>
  <rv s="5">
    <fb>201.11</fb>
    <v>14</v>
  </rv>
  <rv s="5">
    <fb>335.94</fb>
    <v>14</v>
  </rv>
  <rv s="5">
    <fb>75.790000000000006</fb>
    <v>14</v>
  </rv>
  <rv s="5">
    <fb>19.97</fb>
    <v>14</v>
  </rv>
  <rv s="5">
    <fb>13.428800000000001</fb>
    <v>14</v>
  </rv>
  <rv s="5">
    <fb>139.69999999999999</fb>
    <v>14</v>
  </rv>
  <rv s="5">
    <fb>344.51</fb>
    <v>14</v>
  </rv>
  <rv s="5">
    <fb>3567.79</fb>
    <v>14</v>
  </rv>
  <rv s="5">
    <fb>44154</fb>
    <v>13</v>
  </rv>
  <rv s="5">
    <fb>87.9285</fb>
    <v>14</v>
  </rv>
  <rv s="5">
    <fb>155.851</fb>
    <v>14</v>
  </rv>
  <rv s="5">
    <fb>97.91</fb>
    <v>14</v>
  </rv>
  <rv s="5">
    <fb>730.59</fb>
    <v>14</v>
  </rv>
  <rv s="5">
    <fb>202.72</fb>
    <v>14</v>
  </rv>
  <rv s="5">
    <fb>333.88</fb>
    <v>14</v>
  </rv>
  <rv s="5">
    <fb>20.46</fb>
    <v>14</v>
  </rv>
  <rv s="5">
    <fb>13.440300000000001</fb>
    <v>14</v>
  </rv>
  <rv s="5">
    <fb>139.53</fb>
    <v>14</v>
  </rv>
  <rv s="5">
    <fb>337</fb>
    <v>14</v>
  </rv>
  <rv s="5">
    <fb>3581.87</fb>
    <v>14</v>
  </rv>
  <rv s="5">
    <fb>44155</fb>
    <v>13</v>
  </rv>
  <rv s="5">
    <fb>86.819000000000003</fb>
    <v>14</v>
  </rv>
  <rv s="5">
    <fb>154.97</fb>
    <v>14</v>
  </rv>
  <rv s="5">
    <fb>97.25</fb>
    <v>14</v>
  </rv>
  <rv s="5">
    <fb>728.12</fb>
    <v>14</v>
  </rv>
  <rv s="5">
    <fb>323</fb>
    <v>14</v>
  </rv>
  <rv s="5">
    <fb>75.55</fb>
    <v>14</v>
  </rv>
  <rv s="5">
    <fb>20.21</fb>
    <v>14</v>
  </rv>
  <rv s="5">
    <fb>13.0878</fb>
    <v>14</v>
  </rv>
  <rv s="5">
    <fb>139.30000000000001</fb>
    <v>14</v>
  </rv>
  <rv s="5">
    <fb>334.7</fb>
    <v>14</v>
  </rv>
  <rv s="5">
    <fb>3557.54</fb>
    <v>14</v>
  </rv>
  <rv s="5">
    <fb>44158</fb>
    <v>13</v>
  </rv>
  <rv s="5">
    <fb>86.378</fb>
    <v>14</v>
  </rv>
  <rv s="5">
    <fb>154.9195</fb>
    <v>14</v>
  </rv>
  <rv s="5">
    <fb>95.44</fb>
    <v>14</v>
  </rv>
  <rv s="5">
    <fb>711.46</fb>
    <v>14</v>
  </rv>
  <rv s="5">
    <fb>204.58</fb>
    <v>14</v>
  </rv>
  <rv s="5">
    <fb>332.04</fb>
    <v>14</v>
  </rv>
  <rv s="5">
    <fb>21.61</fb>
    <v>14</v>
  </rv>
  <rv s="5">
    <fb>13.14</fb>
    <v>14</v>
  </rv>
  <rv s="5">
    <fb>138.76</fb>
    <v>14</v>
  </rv>
  <rv s="5">
    <fb>335.06</fb>
    <v>14</v>
  </rv>
  <rv s="5">
    <fb>3577.59</fb>
    <v>14</v>
  </rv>
  <rv s="5">
    <fb>44159</fb>
    <v>13</v>
  </rv>
  <rv s="5">
    <fb>88.194999999999993</fb>
    <v>14</v>
  </rv>
  <rv s="5">
    <fb>155.90299999999999</fb>
    <v>14</v>
  </rv>
  <rv s="5">
    <fb>96.11</fb>
    <v>14</v>
  </rv>
  <rv s="5">
    <fb>692.38</fb>
    <v>14</v>
  </rv>
  <rv s="5">
    <fb>207.89</fb>
    <v>14</v>
  </rv>
  <rv s="5">
    <fb>342.39</fb>
    <v>14</v>
  </rv>
  <rv s="5">
    <fb>74.98</fb>
    <v>14</v>
  </rv>
  <rv s="5">
    <fb>22.23</fb>
    <v>14</v>
  </rv>
  <rv s="5">
    <fb>12.957700000000001</fb>
    <v>14</v>
  </rv>
  <rv s="5">
    <fb>138.31</fb>
    <v>14</v>
  </rv>
  <rv s="5">
    <fb>336.01</fb>
    <v>14</v>
  </rv>
  <rv s="5">
    <fb>3635.41</fb>
    <v>14</v>
  </rv>
  <rv s="5">
    <fb>44160</fb>
    <v>13</v>
  </rv>
  <rv s="5">
    <fb>88.206500000000005</fb>
    <v>14</v>
  </rv>
  <rv s="5">
    <fb>159.2535</fb>
    <v>14</v>
  </rv>
  <rv s="5">
    <fb>96.3</fb>
    <v>14</v>
  </rv>
  <rv s="5">
    <fb>693.54</fb>
    <v>14</v>
  </rv>
  <rv s="5">
    <fb>207.68</fb>
    <v>14</v>
  </rv>
  <rv s="5">
    <fb>341.32</fb>
    <v>14</v>
  </rv>
  <rv s="5">
    <fb>75.97</fb>
    <v>14</v>
  </rv>
  <rv s="5">
    <fb>22.1</fb>
    <v>14</v>
  </rv>
  <rv s="5">
    <fb>13.2348</fb>
    <v>14</v>
  </rv>
  <rv s="5">
    <fb>138.68</fb>
    <v>14</v>
  </rv>
  <rv s="5">
    <fb>333.19</fb>
    <v>14</v>
  </rv>
  <rv s="5">
    <fb>3629.65</fb>
    <v>14</v>
  </rv>
  <rv s="5">
    <fb>44162</fb>
    <v>13</v>
  </rv>
  <rv s="5">
    <fb>89.350999999999999</fb>
    <v>14</v>
  </rv>
  <rv s="5">
    <fb>159.767</fb>
    <v>14</v>
  </rv>
  <rv s="5">
    <fb>96.36</fb>
    <v>14</v>
  </rv>
  <rv s="5">
    <fb>700.52</fb>
    <v>14</v>
  </rv>
  <rv s="5">
    <fb>209.41</fb>
    <v>14</v>
  </rv>
  <rv s="5">
    <fb>339.07</fb>
    <v>14</v>
  </rv>
  <rv s="5">
    <fb>21.88</fb>
    <v>14</v>
  </rv>
  <rv s="5">
    <fb>13.2613</fb>
    <v>14</v>
  </rv>
  <rv s="5">
    <fb>138.61000000000001</fb>
    <v>14</v>
  </rv>
  <rv s="5">
    <fb>337.94</fb>
    <v>14</v>
  </rv>
  <rv s="5">
    <fb>3638.35</fb>
    <v>14</v>
  </rv>
  <rv s="5">
    <fb>44165</fb>
    <v>13</v>
  </rv>
  <rv s="5">
    <fb>87.72</fb>
    <v>14</v>
  </rv>
  <rv s="5">
    <fb>158.40199999999999</fb>
    <v>14</v>
  </rv>
  <rv s="5">
    <fb>96.01</fb>
    <v>14</v>
  </rv>
  <rv s="5">
    <fb>697.79</fb>
    <v>14</v>
  </rv>
  <rv s="5">
    <fb>203.92</fb>
    <v>14</v>
  </rv>
  <rv s="5">
    <fb>336.51</fb>
    <v>14</v>
  </rv>
  <rv s="5">
    <fb>73.59</fb>
    <v>14</v>
  </rv>
  <rv s="5">
    <fb>20.79</fb>
    <v>14</v>
  </rv>
  <rv s="5">
    <fb>13.4015</fb>
    <v>14</v>
  </rv>
  <rv s="5">
    <fb>138.87</fb>
    <v>14</v>
  </rv>
  <rv s="5">
    <fb>336.34</fb>
    <v>14</v>
  </rv>
  <rv s="5">
    <fb>3621.63</fb>
    <v>14</v>
  </rv>
  <rv s="5">
    <fb>44166</fb>
    <v>13</v>
  </rv>
  <rv s="5">
    <fb>89.768000000000001</fb>
    <v>14</v>
  </rv>
  <rv s="5">
    <fb>161.00399999999999</fb>
    <v>14</v>
  </rv>
  <rv s="5">
    <fb>96.82</fb>
    <v>14</v>
  </rv>
  <rv s="5">
    <fb>712.58</fb>
    <v>14</v>
  </rv>
  <rv s="5">
    <fb>206.2</fb>
    <v>14</v>
  </rv>
  <rv s="5">
    <fb>338.88</fb>
    <v>14</v>
  </rv>
  <rv s="5">
    <fb>21.07</fb>
    <v>14</v>
  </rv>
  <rv s="5">
    <fb>13.39</fb>
    <v>14</v>
  </rv>
  <rv s="5">
    <fb>139.37</fb>
    <v>14</v>
  </rv>
  <rv s="5">
    <fb>341.19</fb>
    <v>14</v>
  </rv>
  <rv s="5">
    <fb>3662.45</fb>
    <v>14</v>
  </rv>
  <rv s="5">
    <fb>44167</fb>
    <v>13</v>
  </rv>
  <rv s="5">
    <fb>91.248500000000007</fb>
    <v>14</v>
  </rv>
  <rv s="5">
    <fb>160.1765</fb>
    <v>14</v>
  </rv>
  <rv s="5">
    <fb>94</fb>
    <v>14</v>
  </rv>
  <rv s="5">
    <fb>690.62</fb>
    <v>14</v>
  </rv>
  <rv s="5">
    <fb>208</fb>
    <v>14</v>
  </rv>
  <rv s="5">
    <fb>340.22</fb>
    <v>14</v>
  </rv>
  <rv s="5">
    <fb>21.64</fb>
    <v>14</v>
  </rv>
  <rv s="5">
    <fb>13.544499999999999</fb>
    <v>14</v>
  </rv>
  <rv s="5">
    <fb>138.36000000000001</fb>
    <v>14</v>
  </rv>
  <rv s="5">
    <fb>347.56</fb>
    <v>14</v>
  </rv>
  <rv s="5">
    <fb>3669.01</fb>
    <v>14</v>
  </rv>
  <rv s="5">
    <fb>44168</fb>
    <v>13</v>
  </rv>
  <rv s="5">
    <fb>91.091999999999999</fb>
    <v>14</v>
  </rv>
  <rv s="5">
    <fb>159.3365</fb>
    <v>14</v>
  </rv>
  <rv s="5">
    <fb>692.65</fb>
    <v>14</v>
  </rv>
  <rv s="5">
    <fb>208.22</fb>
    <v>14</v>
  </rv>
  <rv s="5">
    <fb>335.14</fb>
    <v>14</v>
  </rv>
  <rv s="5">
    <fb>73.349999999999994</fb>
    <v>14</v>
  </rv>
  <rv s="5">
    <fb>22.07</fb>
    <v>14</v>
  </rv>
  <rv s="5">
    <fb>13.396000000000001</fb>
    <v>14</v>
  </rv>
  <rv s="5">
    <fb>137.34</fb>
    <v>14</v>
  </rv>
  <rv s="5">
    <fb>348.68</fb>
    <v>14</v>
  </rv>
  <rv s="5">
    <fb>3666.72</fb>
    <v>14</v>
  </rv>
  <rv s="5">
    <fb>44169</fb>
    <v>13</v>
  </rv>
  <rv s="5">
    <fb>91.188000000000002</fb>
    <v>14</v>
  </rv>
  <rv s="5">
    <fb>158.12899999999999</fb>
    <v>14</v>
  </rv>
  <rv s="5">
    <fb>94.16</fb>
    <v>14</v>
  </rv>
  <rv s="5">
    <fb>708.33</fb>
    <v>14</v>
  </rv>
  <rv s="5">
    <fb>212.68</fb>
    <v>14</v>
  </rv>
  <rv s="5">
    <fb>344.35</fb>
    <v>14</v>
  </rv>
  <rv s="5">
    <fb>72.52</fb>
    <v>14</v>
  </rv>
  <rv s="5">
    <fb>23.45</fb>
    <v>14</v>
  </rv>
  <rv s="5">
    <fb>13.558299999999999</fb>
    <v>14</v>
  </rv>
  <rv s="5">
    <fb>137.47</fb>
    <v>14</v>
  </rv>
  <rv s="5">
    <fb>349.89</fb>
    <v>14</v>
  </rv>
  <rv s="5">
    <fb>3699.12</fb>
    <v>14</v>
  </rv>
  <rv s="5">
    <fb>44172</fb>
    <v>13</v>
  </rv>
  <rv s="5">
    <fb>90.851500000000001</fb>
    <v>14</v>
  </rv>
  <rv s="5">
    <fb>157.9</fb>
    <v>14</v>
  </rv>
  <rv s="5">
    <fb>95.5</fb>
    <v>14</v>
  </rv>
  <rv s="5">
    <fb>697.55</fb>
    <v>14</v>
  </rv>
  <rv s="5">
    <fb>340.96</fb>
    <v>14</v>
  </rv>
  <rv s="5">
    <fb>73.27</fb>
    <v>14</v>
  </rv>
  <rv s="5">
    <fb>22.83</fb>
    <v>14</v>
  </rv>
  <rv s="5">
    <fb>13.6068</fb>
    <v>14</v>
  </rv>
  <rv s="5">
    <fb>137.68</fb>
    <v>14</v>
  </rv>
  <rv s="5">
    <fb>347.86</fb>
    <v>14</v>
  </rv>
  <rv s="5">
    <fb>3691.96</fb>
    <v>14</v>
  </rv>
  <rv s="5">
    <fb>44173</fb>
    <v>13</v>
  </rv>
  <rv s="5">
    <fb>90.566500000000005</fb>
    <v>14</v>
  </rv>
  <rv s="5">
    <fb>158.86449999999999</fb>
    <v>14</v>
  </rv>
  <rv s="5">
    <fb>95.89</fb>
    <v>14</v>
  </rv>
  <rv s="5">
    <fb>695.28</fb>
    <v>14</v>
  </rv>
  <rv s="5">
    <fb>212.07</fb>
    <v>14</v>
  </rv>
  <rv s="5">
    <fb>340.79</fb>
    <v>14</v>
  </rv>
  <rv s="5">
    <fb>73.680000000000007</fb>
    <v>14</v>
  </rv>
  <rv s="5">
    <fb>23.23</fb>
    <v>14</v>
  </rv>
  <rv s="5">
    <fb>13.35</fb>
    <v>14</v>
  </rv>
  <rv s="5">
    <fb>138.05000000000001</fb>
    <v>14</v>
  </rv>
  <rv s="5">
    <fb>3702.25</fb>
    <v>14</v>
  </rv>
  <rv s="5">
    <fb>44174</fb>
    <v>13</v>
  </rv>
  <rv s="5">
    <fb>88.893000000000001</fb>
    <v>14</v>
  </rv>
  <rv s="5">
    <fb>155.21</fb>
    <v>14</v>
  </rv>
  <rv s="5">
    <fb>93.36</fb>
    <v>14</v>
  </rv>
  <rv s="5">
    <fb>678.4</fb>
    <v>14</v>
  </rv>
  <rv s="5">
    <fb>212.24</fb>
    <v>14</v>
  </rv>
  <rv s="5">
    <fb>336.85</fb>
    <v>14</v>
  </rv>
  <rv s="5">
    <fb>73.67</fb>
    <v>14</v>
  </rv>
  <rv s="5">
    <fb>23.37</fb>
    <v>14</v>
  </rv>
  <rv s="5">
    <fb>12.9308</fb>
    <v>14</v>
  </rv>
  <rv s="5">
    <fb>136.41</fb>
    <v>14</v>
  </rv>
  <rv s="5">
    <fb>344.41</fb>
    <v>14</v>
  </rv>
  <rv s="5">
    <fb>3672.82</fb>
    <v>14</v>
  </rv>
  <rv s="5">
    <fb>44175</fb>
    <v>13</v>
  </rv>
  <rv s="5">
    <fb>88.382499999999993</fb>
    <v>14</v>
  </rv>
  <rv s="5">
    <fb>155.0745</fb>
    <v>14</v>
  </rv>
  <rv s="5">
    <fb>93.26</fb>
    <v>14</v>
  </rv>
  <rv s="5">
    <fb>686.99</fb>
    <v>14</v>
  </rv>
  <rv s="5">
    <fb>211.97</fb>
    <v>14</v>
  </rv>
  <rv s="5">
    <fb>331.52</fb>
    <v>14</v>
  </rv>
  <rv s="5">
    <fb>23.38</fb>
    <v>14</v>
  </rv>
  <rv s="5">
    <fb>12.972300000000001</fb>
    <v>14</v>
  </rv>
  <rv s="5">
    <fb>135.51</fb>
    <v>14</v>
  </rv>
  <rv s="5">
    <fb>339.65</fb>
    <v>14</v>
  </rv>
  <rv s="5">
    <fb>3668.1</fb>
    <v>14</v>
  </rv>
  <rv s="5">
    <fb>44176</fb>
    <v>13</v>
  </rv>
  <rv s="5">
    <fb>155.821</fb>
    <v>14</v>
  </rv>
  <rv s="5">
    <fb>92.58</fb>
    <v>14</v>
  </rv>
  <rv s="5">
    <fb>688.86</fb>
    <v>14</v>
  </rv>
  <rv s="5">
    <fb>214.63</fb>
    <v>14</v>
  </rv>
  <rv s="5">
    <fb>327.42</fb>
    <v>14</v>
  </rv>
  <rv s="5">
    <fb>22.94</fb>
    <v>14</v>
  </rv>
  <rv s="5">
    <fb>13.013299999999999</fb>
    <v>14</v>
  </rv>
  <rv s="5">
    <fb>337.07</fb>
    <v>14</v>
  </rv>
  <rv s="5">
    <fb>3663.46</fb>
    <v>14</v>
  </rv>
  <rv s="5">
    <fb>44179</fb>
    <v>13</v>
  </rv>
  <rv s="5">
    <fb>87.613</fb>
    <v>14</v>
  </rv>
  <rv s="5">
    <fb>157.8485</fb>
    <v>14</v>
  </rv>
  <rv s="5">
    <fb>90.3</fb>
    <v>14</v>
  </rv>
  <rv s="5">
    <fb>690.03</fb>
    <v>14</v>
  </rv>
  <rv s="5">
    <fb>211.85</fb>
    <v>14</v>
  </rv>
  <rv s="5">
    <fb>331.15</fb>
    <v>14</v>
  </rv>
  <rv s="5">
    <fb>73.55</fb>
    <v>14</v>
  </rv>
  <rv s="5">
    <fb>22.18</fb>
    <v>14</v>
  </rv>
  <rv s="5">
    <fb>13.3088</fb>
    <v>14</v>
  </rv>
  <rv s="5">
    <fb>135.85</fb>
    <v>14</v>
  </rv>
  <rv s="5">
    <fb>336.13</fb>
    <v>14</v>
  </rv>
  <rv s="5">
    <fb>3647.49</fb>
    <v>14</v>
  </rv>
  <rv s="5">
    <fb>44180</fb>
    <v>13</v>
  </rv>
  <rv s="5">
    <fb>88.054000000000002</fb>
    <v>14</v>
  </rv>
  <rv s="5">
    <fb>158.256</fb>
    <v>14</v>
  </rv>
  <rv s="5">
    <fb>92.04</fb>
    <v>14</v>
  </rv>
  <rv s="5">
    <fb>695.64</fb>
    <v>14</v>
  </rv>
  <rv s="5">
    <fb>214.17</fb>
    <v>14</v>
  </rv>
  <rv s="5">
    <fb>333.65</fb>
    <v>14</v>
  </rv>
  <rv s="5">
    <fb>74.91</fb>
    <v>14</v>
  </rv>
  <rv s="5">
    <fb>22.97</fb>
    <v>14</v>
  </rv>
  <rv s="5">
    <fb>13.3605</fb>
    <v>14</v>
  </rv>
  <rv s="5">
    <fb>136.65</fb>
    <v>14</v>
  </rv>
  <rv s="5">
    <fb>339.67</fb>
    <v>14</v>
  </rv>
  <rv s="5">
    <fb>3694.62</fb>
    <v>14</v>
  </rv>
  <rv s="5">
    <fb>44181</fb>
    <v>13</v>
  </rv>
  <rv s="5">
    <fb>87.859499999999997</fb>
    <v>14</v>
  </rv>
  <rv s="5">
    <fb>162.048</fb>
    <v>14</v>
  </rv>
  <rv s="5">
    <fb>90.43</fb>
    <v>14</v>
  </rv>
  <rv s="5">
    <fb>690.19</fb>
    <v>14</v>
  </rv>
  <rv s="5">
    <fb>210.31</fb>
    <v>14</v>
  </rv>
  <rv s="5">
    <fb>332.1</fb>
    <v>14</v>
  </rv>
  <rv s="5">
    <fb>22.84</fb>
    <v>14</v>
  </rv>
  <rv s="5">
    <fb>13.2425</fb>
    <v>14</v>
  </rv>
  <rv s="5">
    <fb>137.27000000000001</fb>
    <v>14</v>
  </rv>
  <rv s="5">
    <fb>339.34</fb>
    <v>14</v>
  </rv>
  <rv s="5">
    <fb>3701.17</fb>
    <v>14</v>
  </rv>
  <rv s="5">
    <fb>44182</fb>
    <v>13</v>
  </rv>
  <rv s="5">
    <fb>87.025499999999994</fb>
    <v>14</v>
  </rv>
  <rv s="5">
    <fb>161.804</fb>
    <v>14</v>
  </rv>
  <rv s="5">
    <fb>91.98</fb>
    <v>14</v>
  </rv>
  <rv s="5">
    <fb>712.74</fb>
    <v>14</v>
  </rv>
  <rv s="5">
    <fb>211.94</fb>
    <v>14</v>
  </rv>
  <rv s="5">
    <fb>336.9</fb>
    <v>14</v>
  </rv>
  <rv s="5">
    <fb>75.06</fb>
    <v>14</v>
  </rv>
  <rv s="5">
    <fb>22.93</fb>
    <v>14</v>
  </rv>
  <rv s="5">
    <fb>13.3413</fb>
    <v>14</v>
  </rv>
  <rv s="5">
    <fb>138.25</fb>
    <v>14</v>
  </rv>
  <rv s="5">
    <fb>341.67</fb>
    <v>14</v>
  </rv>
  <rv s="5">
    <fb>3722.48</fb>
    <v>14</v>
  </rv>
  <rv s="5">
    <fb>44183</fb>
    <v>13</v>
  </rv>
  <rv s="5">
    <fb>86.311000000000007</fb>
    <v>14</v>
  </rv>
  <rv s="5">
    <fb>160.08250000000001</fb>
    <v>14</v>
  </rv>
  <rv s="5">
    <fb>92.19</fb>
    <v>14</v>
  </rv>
  <rv s="5">
    <fb>709.73</fb>
    <v>14</v>
  </rv>
  <rv s="5">
    <fb>210.04</fb>
    <v>14</v>
  </rv>
  <rv s="5">
    <fb>340.33</fb>
    <v>14</v>
  </rv>
  <rv s="5">
    <fb>22.31</fb>
    <v>14</v>
  </rv>
  <rv s="5">
    <fb>13.272</fb>
    <v>14</v>
  </rv>
  <rv s="5">
    <fb>139.04</fb>
    <v>14</v>
  </rv>
  <rv s="5">
    <fb>338.38</fb>
    <v>14</v>
  </rv>
  <rv s="5">
    <fb>3709.41</fb>
    <v>14</v>
  </rv>
  <rv s="5">
    <fb>44186</fb>
    <v>13</v>
  </rv>
  <rv s="5">
    <fb>86.727999999999994</fb>
    <v>14</v>
  </rv>
  <rv s="5">
    <fb>160.309</fb>
    <v>14</v>
  </rv>
  <rv s="5">
    <fb>92.73</fb>
    <v>14</v>
  </rv>
  <rv s="5">
    <fb>704.4</fb>
    <v>14</v>
  </rv>
  <rv s="5">
    <fb>210.66</fb>
    <v>14</v>
  </rv>
  <rv s="5">
    <fb>334.37</fb>
    <v>14</v>
  </rv>
  <rv s="5">
    <fb>74.400000000000006</fb>
    <v>14</v>
  </rv>
  <rv s="5">
    <fb>21.78</fb>
    <v>14</v>
  </rv>
  <rv s="5">
    <fb>13.3323</fb>
    <v>14</v>
  </rv>
  <rv s="5">
    <fb>336.08</fb>
    <v>14</v>
  </rv>
  <rv s="5">
    <fb>3694.92</fb>
    <v>14</v>
  </rv>
  <rv s="5">
    <fb>44187</fb>
    <v>13</v>
  </rv>
  <rv s="5">
    <fb>86.010999999999996</fb>
    <v>14</v>
  </rv>
  <rv s="5">
    <fb>160.32599999999999</fb>
    <v>14</v>
  </rv>
  <rv s="5">
    <fb>713.44</fb>
    <v>14</v>
  </rv>
  <rv s="5">
    <fb>207.94</fb>
    <v>14</v>
  </rv>
  <rv s="5">
    <fb>332.24</fb>
    <v>14</v>
  </rv>
  <rv s="5">
    <fb>74.709999999999994</fb>
    <v>14</v>
  </rv>
  <rv s="5">
    <fb>21.36</fb>
    <v>14</v>
  </rv>
  <rv s="5">
    <fb>13.2783</fb>
    <v>14</v>
  </rv>
  <rv s="5">
    <fb>136.55000000000001</fb>
    <v>14</v>
  </rv>
  <rv s="5">
    <fb>3687.26</fb>
    <v>14</v>
  </rv>
  <rv s="5">
    <fb>44188</fb>
    <v>13</v>
  </rv>
  <rv s="5">
    <fb>86.411500000000004</fb>
    <v>14</v>
  </rv>
  <rv s="5">
    <fb>159.26349999999999</fb>
    <v>14</v>
  </rv>
  <rv s="5">
    <fb>91.61</fb>
    <v>14</v>
  </rv>
  <rv s="5">
    <fb>703.08</fb>
    <v>14</v>
  </rv>
  <rv s="5">
    <fb>209.99</fb>
    <v>14</v>
  </rv>
  <rv s="5">
    <fb>329.23</fb>
    <v>14</v>
  </rv>
  <rv s="5">
    <fb>74.33</fb>
    <v>14</v>
  </rv>
  <rv s="5">
    <fb>21.92</fb>
    <v>14</v>
  </rv>
  <rv s="5">
    <fb>13.0093</fb>
    <v>14</v>
  </rv>
  <rv s="5">
    <fb>136.34</fb>
    <v>14</v>
  </rv>
  <rv s="5">
    <fb>337.59</fb>
    <v>14</v>
  </rv>
  <rv s="5">
    <fb>3690.01</fb>
    <v>14</v>
  </rv>
  <rv s="5">
    <fb>44189</fb>
    <v>13</v>
  </rv>
  <rv s="5">
    <fb>86.707999999999998</fb>
    <v>14</v>
  </rv>
  <rv s="5">
    <fb>158.6345</fb>
    <v>14</v>
  </rv>
  <rv s="5">
    <fb>92.34</fb>
    <v>14</v>
  </rv>
  <rv s="5">
    <fb>705.94</fb>
    <v>14</v>
  </rv>
  <rv s="5">
    <fb>336</fb>
    <v>14</v>
  </rv>
  <rv s="5">
    <fb>12.9938</fb>
    <v>14</v>
  </rv>
  <rv s="5">
    <fb>137.72</fb>
    <v>14</v>
  </rv>
  <rv s="5">
    <fb>3703.06</fb>
    <v>14</v>
  </rv>
  <rv s="5">
    <fb>44193</fb>
    <v>13</v>
  </rv>
  <rv s="5">
    <fb>88.697999999999993</fb>
    <v>14</v>
  </rv>
  <rv s="5">
    <fb>164.19800000000001</fb>
    <v>14</v>
  </rv>
  <rv s="5">
    <fb>709.88</fb>
    <v>14</v>
  </rv>
  <rv s="5">
    <fb>209.94</fb>
    <v>14</v>
  </rv>
  <rv s="5">
    <fb>344.47</fb>
    <v>14</v>
  </rv>
  <rv s="5">
    <fb>75.489999999999995</fb>
    <v>14</v>
  </rv>
  <rv s="5">
    <fb>21.57</fb>
    <v>14</v>
  </rv>
  <rv s="5">
    <fb>12.9</fb>
    <v>14</v>
  </rv>
  <rv s="5">
    <fb>345.95</fb>
    <v>14</v>
  </rv>
  <rv s="5">
    <fb>3735.36</fb>
    <v>14</v>
  </rv>
  <rv s="5">
    <fb>44194</fb>
    <v>13</v>
  </rv>
  <rv s="5">
    <fb>87.888000000000005</fb>
    <v>14</v>
  </rv>
  <rv s="5">
    <fb>708.78</fb>
    <v>14</v>
  </rv>
  <rv s="5">
    <fb>209.13</fb>
    <v>14</v>
  </rv>
  <rv s="5">
    <fb>346.66</fb>
    <v>14</v>
  </rv>
  <rv s="5">
    <fb>21.38</fb>
    <v>14</v>
  </rv>
  <rv s="5">
    <fb>12.943300000000001</fb>
    <v>14</v>
  </rv>
  <rv s="5">
    <fb>138.41999999999999</fb>
    <v>14</v>
  </rv>
  <rv s="5">
    <fb>347.35</fb>
    <v>14</v>
  </rv>
  <rv s="5">
    <fb>3727.04</fb>
    <v>14</v>
  </rv>
  <rv s="5">
    <fb>44195</fb>
    <v>13</v>
  </rv>
  <rv s="5">
    <fb>86.8125</fb>
    <v>14</v>
  </rv>
  <rv s="5">
    <fb>164.29249999999999</fb>
    <v>14</v>
  </rv>
  <rv s="5">
    <fb>700.4</fb>
    <v>14</v>
  </rv>
  <rv s="5">
    <fb>210.95</fb>
    <v>14</v>
  </rv>
  <rv s="5">
    <fb>355.55</fb>
    <v>14</v>
  </rv>
  <rv s="5">
    <fb>13.145799999999999</fb>
    <v>14</v>
  </rv>
  <rv s="5">
    <fb>344.99</fb>
    <v>14</v>
  </rv>
  <rv s="5">
    <fb>3732.04</fb>
    <v>14</v>
  </rv>
  <rv s="5">
    <fb>44196</fb>
    <v>13</v>
  </rv>
  <rv s="5">
    <fb>87.632000000000005</fb>
    <v>14</v>
  </rv>
  <rv s="5">
    <fb>162.84649999999999</fb>
    <v>14</v>
  </rv>
  <rv s="5">
    <fb>93.18</fb>
    <v>14</v>
  </rv>
  <rv s="5">
    <fb>714.18</fb>
    <v>14</v>
  </rv>
  <rv s="5">
    <fb>356.94</fb>
    <v>14</v>
  </rv>
  <rv s="5">
    <fb>77.150000000000006</fb>
    <v>14</v>
  </rv>
  <rv s="5">
    <fb>21.83</fb>
    <v>14</v>
  </rv>
  <rv s="5">
    <fb>13.055</fb>
    <v>14</v>
  </rv>
  <rv s="5">
    <fb>139.13999999999999</fb>
    <v>14</v>
  </rv>
  <rv s="5">
    <fb>350.68</fb>
    <v>14</v>
  </rv>
  <rv s="5">
    <fb>3756.07</fb>
    <v>14</v>
  </rv>
  <rv s="5">
    <fb>44200</fb>
    <v>13</v>
  </rv>
  <rv s="5">
    <fb>86.3065</fb>
    <v>14</v>
  </rv>
  <rv s="5">
    <fb>159.33150000000001</fb>
    <v>14</v>
  </rv>
  <rv s="5">
    <fb>89.76</fb>
    <v>14</v>
  </rv>
  <rv s="5">
    <fb>692.56</fb>
    <v>14</v>
  </rv>
  <rv s="5">
    <fb>207.95</fb>
    <v>14</v>
  </rv>
  <rv s="5">
    <fb>351.49</fb>
    <v>14</v>
  </rv>
  <rv s="5">
    <fb>74.22</fb>
    <v>14</v>
  </rv>
  <rv s="5">
    <fb>21.95</fb>
    <v>14</v>
  </rv>
  <rv s="5">
    <fb>13.1135</fb>
    <v>14</v>
  </rv>
  <rv s="5">
    <fb>137.82</fb>
    <v>14</v>
  </rv>
  <rv s="5">
    <fb>349.5</fb>
    <v>14</v>
  </rv>
  <rv s="5">
    <fb>3700.65</fb>
    <v>14</v>
  </rv>
  <rv s="5">
    <fb>44201</fb>
    <v>13</v>
  </rv>
  <rv s="5">
    <fb>87.002499999999998</fb>
    <v>14</v>
  </rv>
  <rv s="5">
    <fb>160.9255</fb>
    <v>14</v>
  </rv>
  <rv s="5">
    <fb>90.62</fb>
    <v>14</v>
  </rv>
  <rv s="5">
    <fb>691.54</fb>
    <v>14</v>
  </rv>
  <rv s="5">
    <fb>208.46</fb>
    <v>14</v>
  </rv>
  <rv s="5">
    <fb>347.42</fb>
    <v>14</v>
  </rv>
  <rv s="5">
    <fb>74.77</fb>
    <v>14</v>
  </rv>
  <rv s="5">
    <fb>23.13</fb>
    <v>14</v>
  </rv>
  <rv s="5">
    <fb>13.4048</fb>
    <v>14</v>
  </rv>
  <rv s="5">
    <fb>138.69999999999999</fb>
    <v>14</v>
  </rv>
  <rv s="5">
    <fb>344.8</fb>
    <v>14</v>
  </rv>
  <rv s="5">
    <fb>3726.86</fb>
    <v>14</v>
  </rv>
  <rv s="5">
    <fb>44202</fb>
    <v>13</v>
  </rv>
  <rv s="5">
    <fb>86.144000000000005</fb>
    <v>14</v>
  </rv>
  <rv s="5">
    <fb>156.91900000000001</fb>
    <v>14</v>
  </rv>
  <rv s="5">
    <fb>668.96</fb>
    <v>14</v>
  </rv>
  <rv s="5">
    <fb>212.26</fb>
    <v>14</v>
  </rv>
  <rv s="5">
    <fb>347.55</fb>
    <v>14</v>
  </rv>
  <rv s="5">
    <fb>24.41</fb>
    <v>14</v>
  </rv>
  <rv s="5">
    <fb>12.6145</fb>
    <v>14</v>
  </rv>
  <rv s="5">
    <fb>140.16</fb>
    <v>14</v>
  </rv>
  <rv s="5">
    <fb>359.27</fb>
    <v>14</v>
  </rv>
  <rv s="5">
    <fb>3748.14</fb>
    <v>14</v>
  </rv>
  <rv s="5">
    <fb>44203</fb>
    <v>13</v>
  </rv>
  <rv s="5">
    <fb>88.716999999999999</fb>
    <v>14</v>
  </rv>
  <rv s="5">
    <fb>158.108</fb>
    <v>14</v>
  </rv>
  <rv s="5">
    <fb>678.97</fb>
    <v>14</v>
  </rv>
  <rv s="5">
    <fb>212.61</fb>
    <v>14</v>
  </rv>
  <rv s="5">
    <fb>349.86</fb>
    <v>14</v>
  </rv>
  <rv s="5">
    <fb>24.88</fb>
    <v>14</v>
  </rv>
  <rv s="5">
    <fb>13.343999999999999</fb>
    <v>14</v>
  </rv>
  <rv s="5">
    <fb>138.85</fb>
    <v>14</v>
  </rv>
  <rv s="5">
    <fb>365.03</fb>
    <v>14</v>
  </rv>
  <rv s="5">
    <fb>3803.79</fb>
    <v>14</v>
  </rv>
  <rv s="5">
    <fb>44204</fb>
    <v>13</v>
  </rv>
  <rv s="5">
    <fb>89.891499999999994</fb>
    <v>14</v>
  </rv>
  <rv s="5">
    <fb>159.13499999999999</fb>
    <v>14</v>
  </rv>
  <rv s="5">
    <fb>692.46</fb>
    <v>14</v>
  </rv>
  <rv s="5">
    <fb>210.03</fb>
    <v>14</v>
  </rv>
  <rv s="5">
    <fb>353.85</fb>
    <v>14</v>
  </rv>
  <rv s="5">
    <fb>24.84</fb>
    <v>14</v>
  </rv>
  <rv s="5">
    <fb>13.2768</fb>
    <v>14</v>
  </rv>
  <rv s="5">
    <fb>138.79</fb>
    <v>14</v>
  </rv>
  <rv s="5">
    <fb>363.39</fb>
    <v>14</v>
  </rv>
  <rv s="5">
    <fb>3824.68</fb>
    <v>14</v>
  </rv>
  <rv s="5">
    <fb>44207</fb>
    <v>13</v>
  </rv>
  <rv s="5">
    <fb>87.814499999999995</fb>
    <v>14</v>
  </rv>
  <rv s="5">
    <fb>155.7105</fb>
    <v>14</v>
  </rv>
  <rv s="5">
    <fb>90.56</fb>
    <v>14</v>
  </rv>
  <rv s="5">
    <fb>682.39</fb>
    <v>14</v>
  </rv>
  <rv s="5">
    <fb>348.2</fb>
    <v>14</v>
  </rv>
  <rv s="5">
    <fb>79.69</fb>
    <v>14</v>
  </rv>
  <rv s="5">
    <fb>24.99</fb>
    <v>14</v>
  </rv>
  <rv s="5">
    <fb>13.621499999999999</fb>
    <v>14</v>
  </rv>
  <rv s="5">
    <fb>137.85</fb>
    <v>14</v>
  </rv>
  <rv s="5">
    <fb>360.75</fb>
    <v>14</v>
  </rv>
  <rv s="5">
    <fb>3799.61</fb>
    <v>14</v>
  </rv>
  <rv s="5">
    <fb>44208</fb>
    <v>13</v>
  </rv>
  <rv s="5">
    <fb>86.871499999999997</fb>
    <v>14</v>
  </rv>
  <rv s="5">
    <fb>156.04150000000001</fb>
    <v>14</v>
  </rv>
  <rv s="5">
    <fb>90.24</fb>
    <v>14</v>
  </rv>
  <rv s="5">
    <fb>676.53</fb>
    <v>14</v>
  </rv>
  <rv s="5">
    <fb>208.88</fb>
    <v>14</v>
  </rv>
  <rv s="5">
    <fb>342.92</fb>
    <v>14</v>
  </rv>
  <rv s="5">
    <fb>79.75</fb>
    <v>14</v>
  </rv>
  <rv s="5">
    <fb>26.14</fb>
    <v>14</v>
  </rv>
  <rv s="5">
    <fb>13.4848</fb>
    <v>14</v>
  </rv>
  <rv s="5">
    <fb>137.05000000000001</fb>
    <v>14</v>
  </rv>
  <rv s="5">
    <fb>357.37</fb>
    <v>14</v>
  </rv>
  <rv s="5">
    <fb>3801.19</fb>
    <v>14</v>
  </rv>
  <rv s="5">
    <fb>44209</fb>
    <v>13</v>
  </rv>
  <rv s="5">
    <fb>87.362499999999997</fb>
    <v>14</v>
  </rv>
  <rv s="5">
    <fb>158.2945</fb>
    <v>14</v>
  </rv>
  <rv s="5">
    <fb>690.12</fb>
    <v>14</v>
  </rv>
  <rv s="5">
    <fb>207.02</fb>
    <v>14</v>
  </rv>
  <rv s="5">
    <fb>346.33</fb>
    <v>14</v>
  </rv>
  <rv s="5">
    <fb>25.46</fb>
    <v>14</v>
  </rv>
  <rv s="5">
    <fb>13.5318</fb>
    <v>14</v>
  </rv>
  <rv s="5">
    <fb>355.04</fb>
    <v>14</v>
  </rv>
  <rv s="5">
    <fb>3809.84</fb>
    <v>14</v>
  </rv>
  <rv s="5">
    <fb>44210</fb>
    <v>13</v>
  </rv>
  <rv s="5">
    <fb>86.546000000000006</fb>
    <v>14</v>
  </rv>
  <rv s="5">
    <fb>156.37350000000001</fb>
    <v>14</v>
  </rv>
  <rv s="5">
    <fb>89.93</fb>
    <v>14</v>
  </rv>
  <rv s="5">
    <fb>689.67</fb>
    <v>14</v>
  </rv>
  <rv s="5">
    <fb>208.61</fb>
    <v>14</v>
  </rv>
  <rv s="5">
    <fb>326.93</fb>
    <v>14</v>
  </rv>
  <rv s="5">
    <fb>82.53</fb>
    <v>14</v>
  </rv>
  <rv s="5">
    <fb>25.96</fb>
    <v>14</v>
  </rv>
  <rv s="5">
    <fb>13.2003</fb>
    <v>14</v>
  </rv>
  <rv s="5">
    <fb>135.80000000000001</fb>
    <v>14</v>
  </rv>
  <rv s="5">
    <fb>350.53</fb>
    <v>14</v>
  </rv>
  <rv s="5">
    <fb>3795.54</fb>
    <v>14</v>
  </rv>
  <rv s="5">
    <fb>44211</fb>
    <v>13</v>
  </rv>
  <rv s="5">
    <fb>86.381</fb>
    <v>14</v>
  </rv>
  <rv s="5">
    <fb>155.21250000000001</fb>
    <v>14</v>
  </rv>
  <rv s="5">
    <fb>90.42</fb>
    <v>14</v>
  </rv>
  <rv s="5">
    <fb>707.76</fb>
    <v>14</v>
  </rv>
  <rv s="5">
    <fb>205.97</fb>
    <v>14</v>
  </rv>
  <rv s="5">
    <fb>323.26</fb>
    <v>14</v>
  </rv>
  <rv s="5">
    <fb>82.04</fb>
    <v>14</v>
  </rv>
  <rv s="5">
    <fb>24.91</fb>
    <v>14</v>
  </rv>
  <rv s="5">
    <fb>12.859500000000001</fb>
    <v>14</v>
  </rv>
  <rv s="5">
    <fb>134.78</fb>
    <v>14</v>
  </rv>
  <rv s="5">
    <fb>351.3</fb>
    <v>14</v>
  </rv>
  <rv s="5">
    <fb>3768.25</fb>
    <v>14</v>
  </rv>
  <rv s="5">
    <fb>44215</fb>
    <v>13</v>
  </rv>
  <rv s="5">
    <fb>89.223500000000001</fb>
    <v>14</v>
  </rv>
  <rv s="5">
    <fb>156.03800000000001</fb>
    <v>14</v>
  </rv>
  <rv s="5">
    <fb>716.32</fb>
    <v>14</v>
  </rv>
  <rv s="5">
    <fb>206.76</fb>
    <v>14</v>
  </rv>
  <rv s="5">
    <fb>325.94</fb>
    <v>14</v>
  </rv>
  <rv s="5">
    <fb>82.81</fb>
    <v>14</v>
  </rv>
  <rv s="5">
    <fb>25.42</fb>
    <v>14</v>
  </rv>
  <rv s="5">
    <fb>13.0253</fb>
    <v>14</v>
  </rv>
  <rv s="5">
    <fb>133.6</fb>
    <v>14</v>
  </rv>
  <rv s="5">
    <fb>352.19</fb>
    <v>14</v>
  </rv>
  <rv s="5">
    <fb>3798.91</fb>
    <v>14</v>
  </rv>
  <rv s="5">
    <fb>44216</fb>
    <v>13</v>
  </rv>
  <rv s="5">
    <fb>94.003500000000003</fb>
    <v>14</v>
  </rv>
  <rv s="5">
    <fb>163.16900000000001</fb>
    <v>14</v>
  </rv>
  <rv s="5">
    <fb>92.26</fb>
    <v>14</v>
  </rv>
  <rv s="5">
    <fb>727.74</fb>
    <v>14</v>
  </rv>
  <rv s="5">
    <fb>208.08</fb>
    <v>14</v>
  </rv>
  <rv s="5">
    <fb>334.91</fb>
    <v>14</v>
  </rv>
  <rv s="5">
    <fb>84.05</fb>
    <v>14</v>
  </rv>
  <rv s="5">
    <fb>25.35</fb>
    <v>14</v>
  </rv>
  <rv s="5">
    <fb>13.3658</fb>
    <v>14</v>
  </rv>
  <rv s="5">
    <fb>131.93</fb>
    <v>14</v>
  </rv>
  <rv s="5">
    <fb>350.84</fb>
    <v>14</v>
  </rv>
  <rv s="5">
    <fb>3851.85</fb>
    <v>14</v>
  </rv>
  <rv s="5">
    <fb>44217</fb>
    <v>13</v>
  </rv>
  <rv s="5">
    <fb>94.207499999999996</fb>
    <v>14</v>
  </rv>
  <rv s="5">
    <fb>165.34950000000001</fb>
    <v>14</v>
  </rv>
  <rv s="5">
    <fb>91.3</fb>
    <v>14</v>
  </rv>
  <rv s="5">
    <fb>719.9</fb>
    <v>14</v>
  </rv>
  <rv s="5">
    <fb>334.44</fb>
    <v>14</v>
  </rv>
  <rv s="5">
    <fb>24.19</fb>
    <v>14</v>
  </rv>
  <rv s="5">
    <fb>13.8675</fb>
    <v>14</v>
  </rv>
  <rv s="5">
    <fb>131.01</fb>
    <v>14</v>
  </rv>
  <rv s="5">
    <fb>355</fb>
    <v>14</v>
  </rv>
  <rv s="5">
    <fb>3853.07</fb>
    <v>14</v>
  </rv>
  <rv s="5">
    <fb>44218</fb>
    <v>13</v>
  </rv>
  <rv s="5">
    <fb>94.628</fb>
    <v>14</v>
  </rv>
  <rv s="5">
    <fb>164.61150000000001</fb>
    <v>14</v>
  </rv>
  <rv s="5">
    <fb>90.74</fb>
    <v>14</v>
  </rv>
  <rv s="5">
    <fb>721.16</fb>
    <v>14</v>
  </rv>
  <rv s="5">
    <fb>202.25</fb>
    <v>14</v>
  </rv>
  <rv s="5">
    <fb>328.99</fb>
    <v>14</v>
  </rv>
  <rv s="5">
    <fb>84.21</fb>
    <v>14</v>
  </rv>
  <rv s="5">
    <fb>13.7125</fb>
    <v>14</v>
  </rv>
  <rv s="5">
    <fb>130</fb>
    <v>14</v>
  </rv>
  <rv s="5">
    <fb>3841.47</fb>
    <v>14</v>
  </rv>
  <rv s="5">
    <fb>44221</fb>
    <v>13</v>
  </rv>
  <rv s="5">
    <fb>94.713999999999999</fb>
    <v>14</v>
  </rv>
  <rv s="5">
    <fb>164.7</fb>
    <v>14</v>
  </rv>
  <rv s="5">
    <fb>723.16</fb>
    <v>14</v>
  </rv>
  <rv s="5">
    <fb>201.87</fb>
    <v>14</v>
  </rv>
  <rv s="5">
    <fb>329.19</fb>
    <v>14</v>
  </rv>
  <rv s="5">
    <fb>86.87</fb>
    <v>14</v>
  </rv>
  <rv s="5">
    <fb>23.74</fb>
    <v>14</v>
  </rv>
  <rv s="5">
    <fb>13.6533</fb>
    <v>14</v>
  </rv>
  <rv s="5">
    <fb>132.24</fb>
    <v>14</v>
  </rv>
  <rv s="5">
    <fb>347.81</fb>
    <v>14</v>
  </rv>
  <rv s="5">
    <fb>3855.36</fb>
    <v>14</v>
  </rv>
  <rv s="5">
    <fb>44222</fb>
    <v>13</v>
  </rv>
  <rv s="5">
    <fb>95.397499999999994</fb>
    <v>14</v>
  </rv>
  <rv s="5">
    <fb>166.3065</fb>
    <v>14</v>
  </rv>
  <rv s="5">
    <fb>735.24</fb>
    <v>14</v>
  </rv>
  <rv s="5">
    <fb>201.06</fb>
    <v>14</v>
  </rv>
  <rv s="5">
    <fb>327.7</fb>
    <v>14</v>
  </rv>
  <rv s="5">
    <fb>85.23</fb>
    <v>14</v>
  </rv>
  <rv s="5">
    <fb>22.74</fb>
    <v>14</v>
  </rv>
  <rv s="5">
    <fb>13.4353</fb>
    <v>14</v>
  </rv>
  <rv s="5">
    <fb>133.09</fb>
    <v>14</v>
  </rv>
  <rv s="5">
    <fb>343.11</fb>
    <v>14</v>
  </rv>
  <rv s="5">
    <fb>3849.62</fb>
    <v>14</v>
  </rv>
  <rv s="5">
    <fb>44223</fb>
    <v>13</v>
  </rv>
  <rv s="5">
    <fb>90.947000000000003</fb>
    <v>14</v>
  </rv>
  <rv s="5">
    <fb>161.62899999999999</fb>
    <v>14</v>
  </rv>
  <rv s="5">
    <fb>731.7</fb>
    <v>14</v>
  </rv>
  <rv s="5">
    <fb>199.38</fb>
    <v>14</v>
  </rv>
  <rv s="5">
    <fb>315.49</fb>
    <v>14</v>
  </rv>
  <rv s="5">
    <fb>80.19</fb>
    <v>14</v>
  </rv>
  <rv s="5">
    <fb>21.81</fb>
    <v>14</v>
  </rv>
  <rv s="5">
    <fb>12.9178</fb>
    <v>14</v>
  </rv>
  <rv s="5">
    <fb>128.38</fb>
    <v>14</v>
  </rv>
  <rv s="5">
    <fb>332.99</fb>
    <v>14</v>
  </rv>
  <rv s="5">
    <fb>3750.77</fb>
    <v>14</v>
  </rv>
  <rv s="5">
    <fb>44224</fb>
    <v>13</v>
  </rv>
  <rv s="5">
    <fb>92.66</fb>
    <v>14</v>
  </rv>
  <rv s="5">
    <fb>161.881</fb>
    <v>14</v>
  </rv>
  <rv s="5">
    <fb>88.26</fb>
    <v>14</v>
  </rv>
  <rv s="5">
    <fb>738.23</fb>
    <v>14</v>
  </rv>
  <rv s="5">
    <fb>202.84</fb>
    <v>14</v>
  </rv>
  <rv s="5">
    <fb>324.27999999999997</fb>
    <v>14</v>
  </rv>
  <rv s="5">
    <fb>22.64</fb>
    <v>14</v>
  </rv>
  <rv s="5">
    <fb>13.051</fb>
    <v>14</v>
  </rv>
  <rv s="5">
    <fb>130.36000000000001</fb>
    <v>14</v>
  </rv>
  <rv s="5">
    <fb>338.15</fb>
    <v>14</v>
  </rv>
  <rv s="5">
    <fb>3787.38</fb>
    <v>14</v>
  </rv>
  <rv s="5">
    <fb>44225</fb>
    <v>13</v>
  </rv>
  <rv s="5">
    <fb>91.367999999999995</fb>
    <v>14</v>
  </rv>
  <rv s="5">
    <fb>88.02</fb>
    <v>14</v>
  </rv>
  <rv s="5">
    <fb>739.96</fb>
    <v>14</v>
  </rv>
  <rv s="5">
    <fb>316.29000000000002</fb>
    <v>14</v>
  </rv>
  <rv s="5">
    <fb>80.87</fb>
    <v>14</v>
  </rv>
  <rv s="5">
    <fb>22.21</fb>
    <v>14</v>
  </rv>
  <rv s="5">
    <fb>12.989800000000001</fb>
    <v>14</v>
  </rv>
  <rv s="5">
    <fb>128.21</fb>
    <v>14</v>
  </rv>
  <rv s="5">
    <fb>333.58</fb>
    <v>14</v>
  </rv>
  <rv s="5">
    <fb>3714.24</fb>
    <v>14</v>
  </rv>
  <rv s="5">
    <fb>44228</fb>
    <v>13</v>
  </rv>
  <rv s="5">
    <fb>94.653499999999994</fb>
    <v>14</v>
  </rv>
  <rv s="5">
    <fb>167.14400000000001</fb>
    <v>14</v>
  </rv>
  <rv s="5">
    <fb>756.72</fb>
    <v>14</v>
  </rv>
  <rv s="5">
    <fb>195.56</fb>
    <v>14</v>
  </rv>
  <rv s="5">
    <fb>321.56</fb>
    <v>14</v>
  </rv>
  <rv s="5">
    <fb>81.7</fb>
    <v>14</v>
  </rv>
  <rv s="5">
    <fb>22.16</fb>
    <v>14</v>
  </rv>
  <rv s="5">
    <fb>13.237</fb>
    <v>14</v>
  </rv>
  <rv s="5">
    <fb>128.97</fb>
    <v>14</v>
  </rv>
  <rv s="5">
    <fb>334</fb>
    <v>14</v>
  </rv>
  <rv s="5">
    <fb>3773.86</fb>
    <v>14</v>
  </rv>
  <rv s="5">
    <fb>44229</fb>
    <v>13</v>
  </rv>
  <rv s="5">
    <fb>95.956000000000003</fb>
    <v>14</v>
  </rv>
  <rv s="5">
    <fb>90.51</fb>
    <v>14</v>
  </rv>
  <rv s="5">
    <fb>768.57</fb>
    <v>14</v>
  </rv>
  <rv s="5">
    <fb>200.12</fb>
    <v>14</v>
  </rv>
  <rv s="5">
    <fb>82.93</fb>
    <v>14</v>
  </rv>
  <rv s="5">
    <fb>13.556800000000001</fb>
    <v>14</v>
  </rv>
  <rv s="5">
    <fb>128.79</fb>
    <v>14</v>
  </rv>
  <rv s="5">
    <fb>338.72</fb>
    <v>14</v>
  </rv>
  <rv s="5">
    <fb>3826.31</fb>
    <v>14</v>
  </rv>
  <rv s="5">
    <fb>44230</fb>
    <v>13</v>
  </rv>
  <rv s="5">
    <fb>102.944</fb>
    <v>14</v>
  </rv>
  <rv s="5">
    <fb>165.62649999999999</fb>
    <v>14</v>
  </rv>
  <rv s="5">
    <fb>90.96</fb>
    <v>14</v>
  </rv>
  <rv s="5">
    <fb>754.89</fb>
    <v>14</v>
  </rv>
  <rv s="5">
    <fb>332.82</fb>
    <v>14</v>
  </rv>
  <rv s="5">
    <fb>83.05</fb>
    <v>14</v>
  </rv>
  <rv s="5">
    <fb>24.18</fb>
    <v>14</v>
  </rv>
  <rv s="5">
    <fb>128.94999999999999</fb>
    <v>14</v>
  </rv>
  <rv s="5">
    <fb>337.89</fb>
    <v>14</v>
  </rv>
  <rv s="5">
    <fb>3830.17</fb>
    <v>14</v>
  </rv>
  <rv s="5">
    <fb>44231</fb>
    <v>13</v>
  </rv>
  <rv s="5">
    <fb>102.6815</fb>
    <v>14</v>
  </rv>
  <rv s="5">
    <fb>166.55</fb>
    <v>14</v>
  </rv>
  <rv s="5">
    <fb>746.91</fb>
    <v>14</v>
  </rv>
  <rv s="5">
    <fb>200.59</fb>
    <v>14</v>
  </rv>
  <rv s="5">
    <fb>340.83</fb>
    <v>14</v>
  </rv>
  <rv s="5">
    <fb>83</fb>
    <v>14</v>
  </rv>
  <rv s="5">
    <fb>24.81</fb>
    <v>14</v>
  </rv>
  <rv s="5">
    <fb>13.664300000000001</fb>
    <v>14</v>
  </rv>
  <rv s="5">
    <fb>129.03</fb>
    <v>14</v>
  </rv>
  <rv s="5">
    <fb>329.32</fb>
    <v>14</v>
  </rv>
  <rv s="5">
    <fb>3871.74</fb>
    <v>14</v>
  </rv>
  <rv s="5">
    <fb>44232</fb>
    <v>13</v>
  </rv>
  <rv s="5">
    <fb>104.4415</fb>
    <v>14</v>
  </rv>
  <rv s="5">
    <fb>167.60749999999999</fb>
    <v>14</v>
  </rv>
  <rv s="5">
    <fb>89.39</fb>
    <v>14</v>
  </rv>
  <rv s="5">
    <fb>754.29</fb>
    <v>14</v>
  </rv>
  <rv s="5">
    <fb>202.92</fb>
    <v>14</v>
  </rv>
  <rv s="5">
    <fb>338.75</fb>
    <v>14</v>
  </rv>
  <rv s="5">
    <fb>83.6</fb>
    <v>14</v>
  </rv>
  <rv s="5">
    <fb>25.01</fb>
    <v>14</v>
  </rv>
  <rv s="5">
    <fb>13.590999999999999</fb>
    <v>14</v>
  </rv>
  <rv s="5">
    <fb>324.51</fb>
    <v>14</v>
  </rv>
  <rv s="5">
    <fb>3886.83</fb>
    <v>14</v>
  </rv>
  <rv s="5">
    <fb>44235</fb>
    <v>13</v>
  </rv>
  <rv s="5">
    <fb>104.226</fb>
    <v>14</v>
  </rv>
  <rv s="5">
    <fb>166.14699999999999</fb>
    <v>14</v>
  </rv>
  <rv s="5">
    <fb>89.72</fb>
    <v>14</v>
  </rv>
  <rv s="5">
    <fb>747.41</fb>
    <v>14</v>
  </rv>
  <rv s="5">
    <fb>203.86</fb>
    <v>14</v>
  </rv>
  <rv s="5">
    <fb>337.03</fb>
    <v>14</v>
  </rv>
  <rv s="5">
    <fb>83.4</fb>
    <v>14</v>
  </rv>
  <rv s="5">
    <fb>25.99</fb>
    <v>14</v>
  </rv>
  <rv s="5">
    <fb>14.438800000000001</fb>
    <v>14</v>
  </rv>
  <rv s="5">
    <fb>129.16999999999999</fb>
    <v>14</v>
  </rv>
  <rv s="5">
    <fb>324.33999999999997</fb>
    <v>14</v>
  </rv>
  <rv s="5">
    <fb>3915.59</fb>
    <v>14</v>
  </rv>
  <rv s="5">
    <fb>44236</fb>
    <v>13</v>
  </rv>
  <rv s="5">
    <fb>103.76949999999999</fb>
    <v>14</v>
  </rv>
  <rv s="5">
    <fb>165.25</fb>
    <v>14</v>
  </rv>
  <rv s="5">
    <fb>88.79</fb>
    <v>14</v>
  </rv>
  <rv s="5">
    <fb>750.47</fb>
    <v>14</v>
  </rv>
  <rv s="5">
    <fb>202.02</fb>
    <v>14</v>
  </rv>
  <rv s="5">
    <fb>333.44</fb>
    <v>14</v>
  </rv>
  <rv s="5">
    <fb>83.83</fb>
    <v>14</v>
  </rv>
  <rv s="5">
    <fb>26</fb>
    <v>14</v>
  </rv>
  <rv s="5">
    <fb>14.263299999999999</fb>
    <v>14</v>
  </rv>
  <rv s="5">
    <fb>128.66999999999999</fb>
    <v>14</v>
  </rv>
  <rv s="5">
    <fb>329.63</fb>
    <v>14</v>
  </rv>
  <rv s="5">
    <fb>3911.23</fb>
    <v>14</v>
  </rv>
  <rv s="5">
    <fb>44237</fb>
    <v>13</v>
  </rv>
  <rv s="5">
    <fb>104.324</fb>
    <v>14</v>
  </rv>
  <rv s="5">
    <fb>164.32900000000001</fb>
    <v>14</v>
  </rv>
  <rv s="5">
    <fb>751</fb>
    <v>14</v>
  </rv>
  <rv s="5">
    <fb>202.16</fb>
    <v>14</v>
  </rv>
  <rv s="5">
    <fb>334.21</fb>
    <v>14</v>
  </rv>
  <rv s="5">
    <fb>83.91</fb>
    <v>14</v>
  </rv>
  <rv s="5">
    <fb>26.62</fb>
    <v>14</v>
  </rv>
  <rv s="5">
    <fb>14.7643</fb>
    <v>14</v>
  </rv>
  <rv s="5">
    <fb>128.22</fb>
    <v>14</v>
  </rv>
  <rv s="5">
    <fb>333.4</fb>
    <v>14</v>
  </rv>
  <rv s="5">
    <fb>3909.88</fb>
    <v>14</v>
  </rv>
  <rv s="5">
    <fb>44238</fb>
    <v>13</v>
  </rv>
  <rv s="5">
    <fb>104.4375</fb>
    <v>14</v>
  </rv>
  <rv s="5">
    <fb>163.10650000000001</fb>
    <v>14</v>
  </rv>
  <rv s="5">
    <fb>88.53</fb>
    <v>14</v>
  </rv>
  <rv s="5">
    <fb>717.7</fb>
    <v>14</v>
  </rv>
  <rv s="5">
    <fb>202.18</fb>
    <v>14</v>
  </rv>
  <rv s="5">
    <fb>342.87</fb>
    <v>14</v>
  </rv>
  <rv s="5">
    <fb>83.95</fb>
    <v>14</v>
  </rv>
  <rv s="5">
    <fb>26.37</fb>
    <v>14</v>
  </rv>
  <rv s="5">
    <fb>15.2508</fb>
    <v>14</v>
  </rv>
  <rv s="5">
    <fb>128.33000000000001</fb>
    <v>14</v>
  </rv>
  <rv s="5">
    <fb>333.07</fb>
    <v>14</v>
  </rv>
  <rv s="5">
    <fb>3916.38</fb>
    <v>14</v>
  </rv>
  <rv s="5">
    <fb>44239</fb>
    <v>13</v>
  </rv>
  <rv s="5">
    <fb>104.75149999999999</fb>
    <v>14</v>
  </rv>
  <rv s="5">
    <fb>163.88550000000001</fb>
    <v>14</v>
  </rv>
  <rv s="5">
    <fb>709.81</fb>
    <v>14</v>
  </rv>
  <rv s="5">
    <fb>203.57</fb>
    <v>14</v>
  </rv>
  <rv s="5">
    <fb>341</fb>
    <v>14</v>
  </rv>
  <rv s="5">
    <fb>83.13</fb>
    <v>14</v>
  </rv>
  <rv s="5">
    <fb>26.77</fb>
    <v>14</v>
  </rv>
  <rv s="5">
    <fb>14.9613</fb>
    <v>14</v>
  </rv>
  <rv s="5">
    <fb>127.62</fb>
    <v>14</v>
  </rv>
  <rv s="5">
    <fb>328.24</fb>
    <v>14</v>
  </rv>
  <rv s="5">
    <fb>3934.83</fb>
    <v>14</v>
  </rv>
  <rv s="5">
    <fb>44243</fb>
    <v>13</v>
  </rv>
  <rv s="5">
    <fb>105.535</fb>
    <v>14</v>
  </rv>
  <rv s="5">
    <fb>163.44749999999999</fb>
    <v>14</v>
  </rv>
  <rv s="5">
    <fb>688.09</fb>
    <v>14</v>
  </rv>
  <rv s="5">
    <fb>203.44</fb>
    <v>14</v>
  </rv>
  <rv s="5">
    <fb>341.21</fb>
    <v>14</v>
  </rv>
  <rv s="5">
    <fb>81.19</fb>
    <v>14</v>
  </rv>
  <rv s="5">
    <fb>15.330299999999999</fb>
    <v>14</v>
  </rv>
  <rv s="5">
    <fb>127.92</fb>
    <v>14</v>
  </rv>
  <rv s="5">
    <fb>324.62</fb>
    <v>14</v>
  </rv>
  <rv s="5">
    <fb>3932.59</fb>
    <v>14</v>
  </rv>
  <rv s="5">
    <fb>44244</fb>
    <v>13</v>
  </rv>
  <rv s="5">
    <fb>105.931</fb>
    <v>14</v>
  </rv>
  <rv s="5">
    <fb>165.43199999999999</fb>
    <v>14</v>
  </rv>
  <rv s="5">
    <fb>694.43</fb>
    <v>14</v>
  </rv>
  <rv s="5">
    <fb>201.9</fb>
    <v>14</v>
  </rv>
  <rv s="5">
    <fb>337.33</fb>
    <v>14</v>
  </rv>
  <rv s="5">
    <fb>26.87</fb>
    <v>14</v>
  </rv>
  <rv s="5">
    <fb>14.906000000000001</fb>
    <v>14</v>
  </rv>
  <rv s="5">
    <fb>128.46</fb>
    <v>14</v>
  </rv>
  <rv s="5">
    <fb>326.86</fb>
    <v>14</v>
  </rv>
  <rv s="5">
    <fb>3931.33</fb>
    <v>14</v>
  </rv>
  <rv s="5">
    <fb>44245</fb>
    <v>13</v>
  </rv>
  <rv s="5">
    <fb>105.29049999999999</fb>
    <v>14</v>
  </rv>
  <rv s="5">
    <fb>166.41149999999999</fb>
    <v>14</v>
  </rv>
  <rv s="5">
    <fb>685.56</fb>
    <v>14</v>
  </rv>
  <rv s="5">
    <fb>203.52</fb>
    <v>14</v>
  </rv>
  <rv s="5">
    <fb>338.46</fb>
    <v>14</v>
  </rv>
  <rv s="5">
    <fb>80.73</fb>
    <v>14</v>
  </rv>
  <rv s="5">
    <fb>25.58</fb>
    <v>14</v>
  </rv>
  <rv s="5">
    <fb>14.829000000000001</fb>
    <v>14</v>
  </rv>
  <rv s="5">
    <fb>129.53</fb>
    <v>14</v>
  </rv>
  <rv s="5">
    <fb>328.41</fb>
    <v>14</v>
  </rv>
  <rv s="5">
    <fb>3913.97</fb>
    <v>14</v>
  </rv>
  <rv s="5">
    <fb>44246</fb>
    <v>13</v>
  </rv>
  <rv s="5">
    <fb>104.4405</fb>
    <v>14</v>
  </rv>
  <rv s="5">
    <fb>162.495</fb>
    <v>14</v>
  </rv>
  <rv s="5">
    <fb>90.48</fb>
    <v>14</v>
  </rv>
  <rv s="5">
    <fb>680.22</fb>
    <v>14</v>
  </rv>
  <rv s="5">
    <fb>203.56</fb>
    <v>14</v>
  </rv>
  <rv s="5">
    <fb>333.17</fb>
    <v>14</v>
  </rv>
  <rv s="5">
    <fb>26.12</fb>
    <v>14</v>
  </rv>
  <rv s="5">
    <fb>14.926500000000001</fb>
    <v>14</v>
  </rv>
  <rv s="5">
    <fb>127.12</fb>
    <v>14</v>
  </rv>
  <rv s="5">
    <fb>324.58</fb>
    <v>14</v>
  </rv>
  <rv s="5">
    <fb>3906.71</fb>
    <v>14</v>
  </rv>
  <rv s="5">
    <fb>44249</fb>
    <v>13</v>
  </rv>
  <rv s="5">
    <fb>102.71299999999999</fb>
    <v>14</v>
  </rv>
  <rv s="5">
    <fb>159.03700000000001</fb>
    <v>14</v>
  </rv>
  <rv s="5">
    <fb>88.07</fb>
    <v>14</v>
  </rv>
  <rv s="5">
    <fb>667.34</fb>
    <v>14</v>
  </rv>
  <rv s="5">
    <fb>340.66</fb>
    <v>14</v>
  </rv>
  <rv s="5">
    <fb>75.099999999999994</fb>
    <v>14</v>
  </rv>
  <rv s="5">
    <fb>27.54</fb>
    <v>14</v>
  </rv>
  <rv s="5">
    <fb>14.3558</fb>
    <v>14</v>
  </rv>
  <rv s="5">
    <fb>327.64</fb>
    <v>14</v>
  </rv>
  <rv s="5">
    <fb>3876.5</fb>
    <v>14</v>
  </rv>
  <rv s="5">
    <fb>44250</fb>
    <v>13</v>
  </rv>
  <rv s="5">
    <fb>103.006</fb>
    <v>14</v>
  </rv>
  <rv s="5">
    <fb>159.72499999999999</fb>
    <v>14</v>
  </rv>
  <rv s="5">
    <fb>658.82</fb>
    <v>14</v>
  </rv>
  <rv s="5">
    <fb>205.04</fb>
    <v>14</v>
  </rv>
  <rv s="5">
    <fb>350.42</fb>
    <v>14</v>
  </rv>
  <rv s="5">
    <fb>27.74</fb>
    <v>14</v>
  </rv>
  <rv s="5">
    <fb>14.141999999999999</fb>
    <v>14</v>
  </rv>
  <rv s="5">
    <fb>127.52</fb>
    <v>14</v>
  </rv>
  <rv s="5">
    <fb>329.51</fb>
    <v>14</v>
  </rv>
  <rv s="5">
    <fb>3881.37</fb>
    <v>14</v>
  </rv>
  <rv s="5">
    <fb>44251</fb>
    <v>13</v>
  </rv>
  <rv s="5">
    <fb>104.1905</fb>
    <v>14</v>
  </rv>
  <rv s="5">
    <fb>157.97649999999999</fb>
    <v>14</v>
  </rv>
  <rv s="5">
    <fb>639</fb>
    <v>14</v>
  </rv>
  <rv s="5">
    <fb>211.03</fb>
    <v>14</v>
  </rv>
  <rv s="5">
    <fb>367.32</fb>
    <v>14</v>
  </rv>
  <rv s="5">
    <fb>73.760000000000005</fb>
    <v>14</v>
  </rv>
  <rv s="5">
    <fb>29.41</fb>
    <v>14</v>
  </rv>
  <rv s="5">
    <fb>14.499000000000001</fb>
    <v>14</v>
  </rv>
  <rv s="5">
    <fb>127.66</fb>
    <v>14</v>
  </rv>
  <rv s="5">
    <fb>332.21</fb>
    <v>14</v>
  </rv>
  <rv s="5">
    <fb>3925.43</fb>
    <v>14</v>
  </rv>
  <rv s="5">
    <fb>44252</fb>
    <v>13</v>
  </rv>
  <rv s="5">
    <fb>100.7975</fb>
    <v>14</v>
  </rv>
  <rv s="5">
    <fb>152.858</fb>
    <v>14</v>
  </rv>
  <rv s="5">
    <fb>638.37</fb>
    <v>14</v>
  </rv>
  <rv s="5">
    <fb>204.79</fb>
    <v>14</v>
  </rv>
  <rv s="5">
    <fb>354.57</fb>
    <v>14</v>
  </rv>
  <rv s="5">
    <fb>28.51</fb>
    <v>14</v>
  </rv>
  <rv s="5">
    <fb>13.307499999999999</fb>
    <v>14</v>
  </rv>
  <rv s="5">
    <fb>328.87</fb>
    <v>14</v>
  </rv>
  <rv s="5">
    <fb>3829.34</fb>
    <v>14</v>
  </rv>
  <rv s="5">
    <fb>44253</fb>
    <v>13</v>
  </rv>
  <rv s="5">
    <fb>101.0955</fb>
    <v>14</v>
  </rv>
  <rv s="5">
    <fb>154.6465</fb>
    <v>14</v>
  </rv>
  <rv s="5">
    <fb>85.39</fb>
    <v>14</v>
  </rv>
  <rv s="5">
    <fb>648.34</fb>
    <v>14</v>
  </rv>
  <rv s="5">
    <fb>202.35</fb>
    <v>14</v>
  </rv>
  <rv s="5">
    <fb>73.48</fb>
    <v>14</v>
  </rv>
  <rv s="5">
    <fb>27.91</fb>
    <v>14</v>
  </rv>
  <rv s="5">
    <fb>13.714499999999999</fb>
    <v>14</v>
  </rv>
  <rv s="5">
    <fb>123.53</fb>
    <v>14</v>
  </rv>
  <rv s="5">
    <fb>332.22</fb>
    <v>14</v>
  </rv>
  <rv s="5">
    <fb>3811.15</fb>
    <v>14</v>
  </rv>
  <rv s="5">
    <fb>44256</fb>
    <v>13</v>
  </rv>
  <rv s="5">
    <fb>103.483</fb>
    <v>14</v>
  </rv>
  <rv s="5">
    <fb>157.30699999999999</fb>
    <v>14</v>
  </rv>
  <rv s="5">
    <fb>648.26</fb>
    <v>14</v>
  </rv>
  <rv s="5">
    <fb>206.22</fb>
    <v>14</v>
  </rv>
  <rv s="5">
    <fb>362.9</fb>
    <v>14</v>
  </rv>
  <rv s="5">
    <fb>28.72</fb>
    <v>14</v>
  </rv>
  <rv s="5">
    <fb>13.841799999999999</fb>
    <v>14</v>
  </rv>
  <rv s="5">
    <fb>124.29</fb>
    <v>14</v>
  </rv>
  <rv s="5">
    <fb>334.65</fb>
    <v>14</v>
  </rv>
  <rv s="5">
    <fb>3901.82</fb>
    <v>14</v>
  </rv>
  <rv s="5">
    <fb>44257</fb>
    <v>13</v>
  </rv>
  <rv s="5">
    <fb>103.224</fb>
    <v>14</v>
  </rv>
  <rv s="5">
    <fb>154.72649999999999</fb>
    <v>14</v>
  </rv>
  <rv s="5">
    <fb>86.35</fb>
    <v>14</v>
  </rv>
  <rv s="5">
    <fb>640.04999999999995</fb>
    <v>14</v>
  </rv>
  <rv s="5">
    <fb>206.58</fb>
    <v>14</v>
  </rv>
  <rv s="5">
    <fb>362.82</fb>
    <v>14</v>
  </rv>
  <rv s="5">
    <fb>28.14</fb>
    <v>14</v>
  </rv>
  <rv s="5">
    <fb>13.4063</fb>
    <v>14</v>
  </rv>
  <rv s="5">
    <fb>123.9</fb>
    <v>14</v>
  </rv>
  <rv s="5">
    <fb>334.64</fb>
    <v>14</v>
  </rv>
  <rv s="5">
    <fb>3870.29</fb>
    <v>14</v>
  </rv>
  <rv s="5">
    <fb>44258</fb>
    <v>13</v>
  </rv>
  <rv s="5">
    <fb>100.5705</fb>
    <v>14</v>
  </rv>
  <rv s="5">
    <fb>150.25</fb>
    <v>14</v>
  </rv>
  <rv s="5">
    <fb>611.34</fb>
    <v>14</v>
  </rv>
  <rv s="5">
    <fb>360.25</fb>
    <v>14</v>
  </rv>
  <rv s="5">
    <fb>28.37</fb>
    <v>14</v>
  </rv>
  <rv s="5">
    <fb>12.8048</fb>
    <v>14</v>
  </rv>
  <rv s="5">
    <fb>123.16</fb>
    <v>14</v>
  </rv>
  <rv s="5">
    <fb>332.87</fb>
    <v>14</v>
  </rv>
  <rv s="5">
    <fb>3819.72</fb>
    <v>14</v>
  </rv>
  <rv s="5">
    <fb>44259</fb>
    <v>13</v>
  </rv>
  <rv s="5">
    <fb>101.6965</fb>
    <v>14</v>
  </rv>
  <rv s="5">
    <fb>148.8785</fb>
    <v>14</v>
  </rv>
  <rv s="5">
    <fb>83.5</fb>
    <v>14</v>
  </rv>
  <rv s="5">
    <fb>603.57000000000005</fb>
    <v>14</v>
  </rv>
  <rv s="5">
    <fb>28.58</fb>
    <v>14</v>
  </rv>
  <rv s="5">
    <fb>12.3703</fb>
    <v>14</v>
  </rv>
  <rv s="5">
    <fb>122.15</fb>
    <v>14</v>
  </rv>
  <rv s="5">
    <fb>333.81</fb>
    <v>14</v>
  </rv>
  <rv s="5">
    <fb>3768.47</fb>
    <v>14</v>
  </rv>
  <rv s="5">
    <fb>44260</fb>
    <v>13</v>
  </rv>
  <rv s="5">
    <fb>104.8535</fb>
    <v>14</v>
  </rv>
  <rv s="5">
    <fb>150.023</fb>
    <v>14</v>
  </rv>
  <rv s="5">
    <fb>82.21</fb>
    <v>14</v>
  </rv>
  <rv s="5">
    <fb>610.55999999999995</fb>
    <v>14</v>
  </rv>
  <rv s="5">
    <fb>360.88</fb>
    <v>14</v>
  </rv>
  <rv s="5">
    <fb>29.07</fb>
    <v>14</v>
  </rv>
  <rv s="5">
    <fb>12.461499999999999</fb>
    <v>14</v>
  </rv>
  <rv s="5">
    <fb>125.98</fb>
    <v>14</v>
  </rv>
  <rv s="5">
    <fb>347.1</fb>
    <v>14</v>
  </rv>
  <rv s="5">
    <fb>3841.94</fb>
    <v>14</v>
  </rv>
  <rv s="5">
    <fb>44263</fb>
    <v>13</v>
  </rv>
  <rv s="5">
    <fb>100.375</fb>
    <v>14</v>
  </rv>
  <rv s="5">
    <fb>147.5975</fb>
    <v>14</v>
  </rv>
  <rv s="5">
    <fb>82.59</fb>
    <v>14</v>
  </rv>
  <rv s="5">
    <fb>594.91999999999996</fb>
    <v>14</v>
  </rv>
  <rv s="5">
    <fb>207.7</fb>
    <v>14</v>
  </rv>
  <rv s="5">
    <fb>371.33</fb>
    <v>14</v>
  </rv>
  <rv s="5">
    <fb>70.86</fb>
    <v>14</v>
  </rv>
  <rv s="5">
    <fb>29.71</fb>
    <v>14</v>
  </rv>
  <rv s="5">
    <fb>11.593299999999999</fb>
    <v>14</v>
  </rv>
  <rv s="5">
    <fb>127.31</fb>
    <v>14</v>
  </rv>
  <rv s="5">
    <fb>350.17</fb>
    <v>14</v>
  </rv>
  <rv s="5">
    <fb>3821.35</fb>
    <v>14</v>
  </rv>
  <rv s="5">
    <fb>44264</fb>
    <v>13</v>
  </rv>
  <rv s="5">
    <fb>102.018</fb>
    <v>14</v>
  </rv>
  <rv s="5">
    <fb>153.14250000000001</fb>
    <v>14</v>
  </rv>
  <rv s="5">
    <fb>622.71</fb>
    <v>14</v>
  </rv>
  <rv s="5">
    <fb>207.61</fb>
    <v>14</v>
  </rv>
  <rv s="5">
    <fb>376.52</fb>
    <v>14</v>
  </rv>
  <rv s="5">
    <fb>74.02</fb>
    <v>14</v>
  </rv>
  <rv s="5">
    <fb>29.35</fb>
    <v>14</v>
  </rv>
  <rv s="5">
    <fb>12.520300000000001</fb>
    <v>14</v>
  </rv>
  <rv s="5">
    <fb>126.18</fb>
    <v>14</v>
  </rv>
  <rv s="5">
    <fb>351.98</fb>
    <v>14</v>
  </rv>
  <rv s="5">
    <fb>3875.44</fb>
    <v>14</v>
  </rv>
  <rv s="5">
    <fb>44265</fb>
    <v>13</v>
  </rv>
  <rv s="5">
    <fb>101.8095</fb>
    <v>14</v>
  </rv>
  <rv s="5">
    <fb>152.88200000000001</fb>
    <v>14</v>
  </rv>
  <rv s="5">
    <fb>85.22</fb>
    <v>14</v>
  </rv>
  <rv s="5">
    <fb>638.70000000000005</fb>
    <v>14</v>
  </rv>
  <rv s="5">
    <fb>212.91</fb>
    <v>14</v>
  </rv>
  <rv s="5">
    <fb>381.7</fb>
    <v>14</v>
  </rv>
  <rv s="5">
    <fb>29.95</fb>
    <v>14</v>
  </rv>
  <rv s="5">
    <fb>12.468299999999999</fb>
    <v>14</v>
  </rv>
  <rv s="5">
    <fb>127.34</fb>
    <v>14</v>
  </rv>
  <rv s="5">
    <fb>349.6</fb>
    <v>14</v>
  </rv>
  <rv s="5">
    <fb>3898.81</fb>
    <v>14</v>
  </rv>
  <rv s="5">
    <fb>44266</fb>
    <v>13</v>
  </rv>
  <rv s="5">
    <fb>105.027</fb>
    <v>14</v>
  </rv>
  <rv s="5">
    <fb>155.67949999999999</fb>
    <v>14</v>
  </rv>
  <rv s="5">
    <fb>83.53</fb>
    <v>14</v>
  </rv>
  <rv s="5">
    <fb>654.59</fb>
    <v>14</v>
  </rv>
  <rv s="5">
    <fb>212.5</fb>
    <v>14</v>
  </rv>
  <rv s="5">
    <fb>384.38</fb>
    <v>14</v>
  </rv>
  <rv s="5">
    <fb>74.86</fb>
    <v>14</v>
  </rv>
  <rv s="5">
    <fb>29.4</fb>
    <v>14</v>
  </rv>
  <rv s="5">
    <fb>12.993499999999999</fb>
    <v>14</v>
  </rv>
  <rv s="5">
    <fb>126.91</fb>
    <v>14</v>
  </rv>
  <rv s="5">
    <fb>353.1</fb>
    <v>14</v>
  </rv>
  <rv s="5">
    <fb>3939.34</fb>
    <v>14</v>
  </rv>
  <rv s="5">
    <fb>44267</fb>
    <v>13</v>
  </rv>
  <rv s="5">
    <fb>102.5</fb>
    <v>14</v>
  </rv>
  <rv s="5">
    <fb>154.47450000000001</fb>
    <v>14</v>
  </rv>
  <rv s="5">
    <fb>84.64</fb>
    <v>14</v>
  </rv>
  <rv s="5">
    <fb>668</fb>
    <v>14</v>
  </rv>
  <rv s="5">
    <fb>214.38</fb>
    <v>14</v>
  </rv>
  <rv s="5">
    <fb>382.71</fb>
    <v>14</v>
  </rv>
  <rv s="5">
    <fb>29.01</fb>
    <v>14</v>
  </rv>
  <rv s="5">
    <fb>12.856</fb>
    <v>14</v>
  </rv>
  <rv s="5">
    <fb>128.13999999999999</fb>
    <v>14</v>
  </rv>
  <rv s="5">
    <fb>356.02</fb>
    <v>14</v>
  </rv>
  <rv s="5">
    <fb>3943.34</fb>
    <v>14</v>
  </rv>
  <rv s="5">
    <fb>44270</fb>
    <v>13</v>
  </rv>
  <rv s="5">
    <fb>102.72199999999999</fb>
    <v>14</v>
  </rv>
  <rv s="5">
    <fb>154.084</fb>
    <v>14</v>
  </rv>
  <rv s="5">
    <fb>85.4</fb>
    <v>14</v>
  </rv>
  <rv s="5">
    <fb>669.55</fb>
    <v>14</v>
  </rv>
  <rv s="5">
    <fb>216.2</fb>
    <v>14</v>
  </rv>
  <rv s="5">
    <fb>381.76</fb>
    <v>14</v>
  </rv>
  <rv s="5">
    <fb>75.52</fb>
    <v>14</v>
  </rv>
  <rv s="5">
    <fb>29.12</fb>
    <v>14</v>
  </rv>
  <rv s="5">
    <fb>13.1913</fb>
    <v>14</v>
  </rv>
  <rv s="5">
    <fb>128.56</fb>
    <v>14</v>
  </rv>
  <rv s="5">
    <fb>353.88</fb>
    <v>14</v>
  </rv>
  <rv s="5">
    <fb>3968.94</fb>
    <v>14</v>
  </rv>
  <rv s="5">
    <fb>44271</fb>
    <v>13</v>
  </rv>
  <rv s="5">
    <fb>104.19450000000001</fb>
    <v>14</v>
  </rv>
  <rv s="5">
    <fb>154.59299999999999</fb>
    <v>14</v>
  </rv>
  <rv s="5">
    <fb>671.33</fb>
    <v>14</v>
  </rv>
  <rv s="5">
    <fb>211.81</fb>
    <v>14</v>
  </rv>
  <rv s="5">
    <fb>382.38</fb>
    <v>14</v>
  </rv>
  <rv s="5">
    <fb>75.38</fb>
    <v>14</v>
  </rv>
  <rv s="5">
    <fb>28.06</fb>
    <v>14</v>
  </rv>
  <rv s="5">
    <fb>13.2913</fb>
    <v>14</v>
  </rv>
  <rv s="5">
    <fb>128.94</fb>
    <v>14</v>
  </rv>
  <rv s="5">
    <fb>354.6</fb>
    <v>14</v>
  </rv>
  <rv s="5">
    <fb>3962.71</fb>
    <v>14</v>
  </rv>
  <rv s="5">
    <fb>44272</fb>
    <v>13</v>
  </rv>
  <rv s="5">
    <fb>104.111</fb>
    <v>14</v>
  </rv>
  <rv s="5">
    <fb>156.78649999999999</fb>
    <v>14</v>
  </rv>
  <rv s="5">
    <fb>83.52</fb>
    <v>14</v>
  </rv>
  <rv s="5">
    <fb>656.45</fb>
    <v>14</v>
  </rv>
  <rv s="5">
    <fb>213.03</fb>
    <v>14</v>
  </rv>
  <rv s="5">
    <fb>378.68</fb>
    <v>14</v>
  </rv>
  <rv s="5">
    <fb>28.31</fb>
    <v>14</v>
  </rv>
  <rv s="5">
    <fb>128.41999999999999</fb>
    <v>14</v>
  </rv>
  <rv s="5">
    <fb>352.18</fb>
    <v>14</v>
  </rv>
  <rv s="5">
    <fb>3974.12</fb>
    <v>14</v>
  </rv>
  <rv s="5">
    <fb>44273</fb>
    <v>13</v>
  </rv>
  <rv s="5">
    <fb>101.06699999999999</fb>
    <v>14</v>
  </rv>
  <rv s="5">
    <fb>151.39949999999999</fb>
    <v>14</v>
  </rv>
  <rv s="5">
    <fb>82.63</fb>
    <v>14</v>
  </rv>
  <rv s="5">
    <fb>646.83000000000004</fb>
    <v>14</v>
  </rv>
  <rv s="5">
    <fb>215.02</fb>
    <v>14</v>
  </rv>
  <rv s="5">
    <fb>367</fb>
    <v>14</v>
  </rv>
  <rv s="5">
    <fb>71.13</fb>
    <v>14</v>
  </rv>
  <rv s="5">
    <fb>27.25</fb>
    <v>14</v>
  </rv>
  <rv s="5">
    <fb>12.7225</fb>
    <v>14</v>
  </rv>
  <rv s="5">
    <fb>128.69999999999999</fb>
    <v>14</v>
  </rv>
  <rv s="5">
    <fb>362.05</fb>
    <v>14</v>
  </rv>
  <rv s="5">
    <fb>3915.46</fb>
    <v>14</v>
  </rv>
  <rv s="5">
    <fb>44274</fb>
    <v>13</v>
  </rv>
  <rv s="5">
    <fb>101.348</fb>
    <v>14</v>
  </rv>
  <rv s="5">
    <fb>153.74799999999999</fb>
    <v>14</v>
  </rv>
  <rv s="5">
    <fb>81.25</fb>
    <v>14</v>
  </rv>
  <rv s="5">
    <fb>653.05999999999995</fb>
    <v>14</v>
  </rv>
  <rv s="5">
    <fb>356.51</fb>
    <v>14</v>
  </rv>
  <rv s="5">
    <fb>70.84</fb>
    <v>14</v>
  </rv>
  <rv s="5">
    <fb>27.05</fb>
    <v>14</v>
  </rv>
  <rv s="5">
    <fb>12.845800000000001</fb>
    <v>14</v>
  </rv>
  <rv s="5">
    <fb>128.01</fb>
    <v>14</v>
  </rv>
  <rv s="5">
    <fb>365.58</fb>
    <v>14</v>
  </rv>
  <rv s="5">
    <fb>3913.1</fb>
    <v>14</v>
  </rv>
  <rv s="5">
    <fb>44277</fb>
    <v>13</v>
  </rv>
  <rv s="5">
    <fb>101.53449999999999</fb>
    <v>14</v>
  </rv>
  <rv s="5">
    <fb>155.54349999999999</fb>
    <v>14</v>
  </rv>
  <rv s="5">
    <fb>84.32</fb>
    <v>14</v>
  </rv>
  <rv s="5">
    <fb>666.69</fb>
    <v>14</v>
  </rv>
  <rv s="5">
    <fb>212.13</fb>
    <v>14</v>
  </rv>
  <rv s="5">
    <fb>358.4</fb>
    <v>14</v>
  </rv>
  <rv s="5">
    <fb>71.69</fb>
    <v>14</v>
  </rv>
  <rv s="5">
    <fb>27.65</fb>
    <v>14</v>
  </rv>
  <rv s="5">
    <fb>13.186299999999999</fb>
    <v>14</v>
  </rv>
  <rv s="5">
    <fb>130.18</fb>
    <v>14</v>
  </rv>
  <rv s="5">
    <fb>366.86</fb>
    <v>14</v>
  </rv>
  <rv s="5">
    <fb>3940.59</fb>
    <v>14</v>
  </rv>
  <rv s="5">
    <fb>44278</fb>
    <v>13</v>
  </rv>
  <rv s="5">
    <fb>102.0665</fb>
    <v>14</v>
  </rv>
  <rv s="5">
    <fb>156.875</fb>
    <v>14</v>
  </rv>
  <rv s="5">
    <fb>675.77</fb>
    <v>14</v>
  </rv>
  <rv s="5">
    <fb>355.27</fb>
    <v>14</v>
  </rv>
  <rv s="5">
    <fb>26.67</fb>
    <v>14</v>
  </rv>
  <rv s="5">
    <fb>13.0708</fb>
    <v>14</v>
  </rv>
  <rv s="5">
    <fb>132.6</fb>
    <v>14</v>
  </rv>
  <rv s="5">
    <fb>368.5</fb>
    <v>14</v>
  </rv>
  <rv s="5">
    <fb>3910.52</fb>
    <v>14</v>
  </rv>
  <rv s="5">
    <fb>44279</fb>
    <v>13</v>
  </rv>
  <rv s="5">
    <fb>101.62649999999999</fb>
    <v>14</v>
  </rv>
  <rv s="5">
    <fb>154.3535</fb>
    <v>14</v>
  </rv>
  <rv s="5">
    <fb>85.35</fb>
    <v>14</v>
  </rv>
  <rv s="5">
    <fb>662.34</fb>
    <v>14</v>
  </rv>
  <rv s="5">
    <fb>212.22</fb>
    <v>14</v>
  </rv>
  <rv s="5">
    <fb>359.65</fb>
    <v>14</v>
  </rv>
  <rv s="5">
    <fb>72.83</fb>
    <v>14</v>
  </rv>
  <rv s="5">
    <fb>27.42</fb>
    <v>14</v>
  </rv>
  <rv s="5">
    <fb>12.643000000000001</fb>
    <v>14</v>
  </rv>
  <rv s="5">
    <fb>132.56</fb>
    <v>14</v>
  </rv>
  <rv s="5">
    <fb>370.6</fb>
    <v>14</v>
  </rv>
  <rv s="5">
    <fb>3889.14</fb>
    <v>14</v>
  </rv>
  <rv s="5">
    <fb>44280</fb>
    <v>13</v>
  </rv>
  <rv s="5">
    <fb>101.623</fb>
    <v>14</v>
  </rv>
  <rv s="5">
    <fb>152.31299999999999</fb>
    <v>14</v>
  </rv>
  <rv s="5">
    <fb>668.12</fb>
    <v>14</v>
  </rv>
  <rv s="5">
    <fb>213.88</fb>
    <v>14</v>
  </rv>
  <rv s="5">
    <fb>358.36</fb>
    <v>14</v>
  </rv>
  <rv s="5">
    <fb>27.4</fb>
    <v>14</v>
  </rv>
  <rv s="5">
    <fb>12.535299999999999</fb>
    <v>14</v>
  </rv>
  <rv s="5">
    <fb>133.47999999999999</fb>
    <v>14</v>
  </rv>
  <rv s="5">
    <fb>371.09</fb>
    <v>14</v>
  </rv>
  <rv s="5">
    <fb>3909.52</fb>
    <v>14</v>
  </rv>
  <rv s="5">
    <fb>44281</fb>
    <v>13</v>
  </rv>
  <rv s="5">
    <fb>101.23650000000001</fb>
    <v>14</v>
  </rv>
  <rv s="5">
    <fb>152.60149999999999</fb>
    <v>14</v>
  </rv>
  <rv s="5">
    <fb>84.09</fb>
    <v>14</v>
  </rv>
  <rv s="5">
    <fb>683.63</fb>
    <v>14</v>
  </rv>
  <rv s="5">
    <fb>218.53</fb>
    <v>14</v>
  </rv>
  <rv s="5">
    <fb>366.14</fb>
    <v>14</v>
  </rv>
  <rv s="5">
    <fb>12.8393</fb>
    <v>14</v>
  </rv>
  <rv s="5">
    <fb>135.44999999999999</fb>
    <v>14</v>
  </rv>
  <rv s="5">
    <fb>376.48</fb>
    <v>14</v>
  </rv>
  <rv s="5">
    <fb>3974.54</fb>
    <v>14</v>
  </rv>
  <rv s="5">
    <fb>44284</fb>
    <v>13</v>
  </rv>
  <rv s="5">
    <fb>102.2895</fb>
    <v>14</v>
  </rv>
  <rv s="5">
    <fb>153.78649999999999</fb>
    <v>14</v>
  </rv>
  <rv s="5">
    <fb>85.1</fb>
    <v>14</v>
  </rv>
  <rv s="5">
    <fb>687.84</fb>
    <v>14</v>
  </rv>
  <rv s="5">
    <fb>218.88</fb>
    <v>14</v>
  </rv>
  <rv s="5">
    <fb>362.91</fb>
    <v>14</v>
  </rv>
  <rv s="5">
    <fb>27.7</fb>
    <v>14</v>
  </rv>
  <rv s="5">
    <fb>12.9483</fb>
    <v>14</v>
  </rv>
  <rv s="5">
    <fb>379.06</fb>
    <v>14</v>
  </rv>
  <rv s="5">
    <fb>3971.09</fb>
    <v>14</v>
  </rv>
  <rv s="5">
    <fb>44285</fb>
    <v>13</v>
  </rv>
  <rv s="5">
    <fb>102.3235</fb>
    <v>14</v>
  </rv>
  <rv s="5">
    <fb>152.7645</fb>
    <v>14</v>
  </rv>
  <rv s="5">
    <fb>84.53</fb>
    <v>14</v>
  </rv>
  <rv s="5">
    <fb>674.84</fb>
    <v>14</v>
  </rv>
  <rv s="5">
    <fb>218.09</fb>
    <v>14</v>
  </rv>
  <rv s="5">
    <fb>358.2</fb>
    <v>14</v>
  </rv>
  <rv s="5">
    <fb>27.22</fb>
    <v>14</v>
  </rv>
  <rv s="5">
    <fb>12.8718</fb>
    <v>14</v>
  </rv>
  <rv s="5">
    <fb>373.56</fb>
    <v>14</v>
  </rv>
  <rv s="5">
    <fb>3958.55</fb>
    <v>14</v>
  </rv>
  <rv s="5">
    <fb>44286</fb>
    <v>13</v>
  </rv>
  <rv s="5">
    <fb>103.126</fb>
    <v>14</v>
  </rv>
  <rv s="5">
    <fb>154.70400000000001</fb>
    <v>14</v>
  </rv>
  <rv s="5">
    <fb>84.74</fb>
    <v>14</v>
  </rv>
  <rv s="5">
    <fb>679.59</fb>
    <v>14</v>
  </rv>
  <rv s="5">
    <fb>217.07</fb>
    <v>14</v>
  </rv>
  <rv s="5">
    <fb>356.05</fb>
    <v>14</v>
  </rv>
  <rv s="5">
    <fb>75.61</fb>
    <v>14</v>
  </rv>
  <rv s="5">
    <fb>27.19</fb>
    <v>14</v>
  </rv>
  <rv s="5">
    <fb>13.3483</fb>
    <v>14</v>
  </rv>
  <rv s="5">
    <fb>135.43</fb>
    <v>14</v>
  </rv>
  <rv s="5">
    <fb>372.07</fb>
    <v>14</v>
  </rv>
  <rv s="5">
    <fb>3972.89</fb>
    <v>14</v>
  </rv>
  <rv s="5">
    <fb>44287</fb>
    <v>13</v>
  </rv>
  <rv s="5">
    <fb>106.489</fb>
    <v>14</v>
  </rv>
  <rv s="5">
    <fb>158.05000000000001</fb>
    <v>14</v>
  </rv>
  <rv s="5">
    <fb>216.8</fb>
    <v>14</v>
  </rv>
  <rv s="5">
    <fb>363.3</fb>
    <v>14</v>
  </rv>
  <rv s="5">
    <fb>75.77</fb>
    <v>14</v>
  </rv>
  <rv s="5">
    <fb>28.1</fb>
    <v>14</v>
  </rv>
  <rv s="5">
    <fb>13.8118</fb>
    <v>14</v>
  </rv>
  <rv s="5">
    <fb>367.07</fb>
    <v>14</v>
  </rv>
  <rv s="5">
    <fb>4019.87</fb>
    <v>14</v>
  </rv>
  <rv s="5">
    <fb>44291</fb>
    <v>13</v>
  </rv>
  <rv s="5">
    <fb>110.94799999999999</fb>
    <v>14</v>
  </rv>
  <rv s="5">
    <fb>161.3365</fb>
    <v>14</v>
  </rv>
  <rv s="5">
    <fb>690.24</fb>
    <v>14</v>
  </rv>
  <rv s="5">
    <fb>219.27</fb>
    <v>14</v>
  </rv>
  <rv s="5">
    <fb>368.32</fb>
    <v>14</v>
  </rv>
  <rv s="5">
    <fb>76.78</fb>
    <v>14</v>
  </rv>
  <rv s="5">
    <fb>27.55</fb>
    <v>14</v>
  </rv>
  <rv s="5">
    <fb>13.987500000000001</fb>
    <v>14</v>
  </rv>
  <rv s="5">
    <fb>136.44999999999999</fb>
    <v>14</v>
  </rv>
  <rv s="5">
    <fb>370.18</fb>
    <v>14</v>
  </rv>
  <rv s="5">
    <fb>4077.91</fb>
    <v>14</v>
  </rv>
  <rv s="5">
    <fb>44292</fb>
    <v>13</v>
  </rv>
  <rv s="5">
    <fb>110.46299999999999</fb>
    <v>14</v>
  </rv>
  <rv s="5">
    <fb>161.191</fb>
    <v>14</v>
  </rv>
  <rv s="5">
    <fb>87.99</fb>
    <v>14</v>
  </rv>
  <rv s="5">
    <fb>688.71</fb>
    <v>14</v>
  </rv>
  <rv s="5">
    <fb>219.19</fb>
    <v>14</v>
  </rv>
  <rv s="5">
    <fb>369.57</fb>
    <v>14</v>
  </rv>
  <rv s="5">
    <fb>77.56</fb>
    <v>14</v>
  </rv>
  <rv s="5">
    <fb>27.44</fb>
    <v>14</v>
  </rv>
  <rv s="5">
    <fb>13.861499999999999</fb>
    <v>14</v>
  </rv>
  <rv s="5">
    <fb>136.5</fb>
    <v>14</v>
  </rv>
  <rv s="5">
    <fb>364.37</fb>
    <v>14</v>
  </rv>
  <rv s="5">
    <fb>4073.94</fb>
    <v>14</v>
  </rv>
  <rv s="5">
    <fb>44293</fb>
    <v>13</v>
  </rv>
  <rv s="5">
    <fb>111.9515</fb>
    <v>14</v>
  </rv>
  <rv s="5">
    <fb>163.96950000000001</fb>
    <v>14</v>
  </rv>
  <rv s="5">
    <fb>86.53</fb>
    <v>14</v>
  </rv>
  <rv s="5">
    <fb>684.45</fb>
    <v>14</v>
  </rv>
  <rv s="5">
    <fb>371.08</fb>
    <v>14</v>
  </rv>
  <rv s="5">
    <fb>77.41</fb>
    <v>14</v>
  </rv>
  <rv s="5">
    <fb>27.35</fb>
    <v>14</v>
  </rv>
  <rv s="5">
    <fb>14.1435</fb>
    <v>14</v>
  </rv>
  <rv s="5">
    <fb>136.74</fb>
    <v>14</v>
  </rv>
  <rv s="5">
    <fb>365.64</fb>
    <v>14</v>
  </rv>
  <rv s="5">
    <fb>4079.95</fb>
    <v>14</v>
  </rv>
  <rv s="5">
    <fb>44294</fb>
    <v>13</v>
  </rv>
  <rv s="5">
    <fb>112.5215</fb>
    <v>14</v>
  </rv>
  <rv s="5">
    <fb>164.965</fb>
    <v>14</v>
  </rv>
  <rv s="5">
    <fb>87.63</fb>
    <v>14</v>
  </rv>
  <rv s="5">
    <fb>687.69</fb>
    <v>14</v>
  </rv>
  <rv s="5">
    <fb>219.86</fb>
    <v>14</v>
  </rv>
  <rv s="5">
    <fb>377.74</fb>
    <v>14</v>
  </rv>
  <rv s="5">
    <fb>77.760000000000005</fb>
    <v>14</v>
  </rv>
  <rv s="5">
    <fb>27.06</fb>
    <v>14</v>
  </rv>
  <rv s="5">
    <fb>14.317</fb>
    <v>14</v>
  </rv>
  <rv s="5">
    <fb>364.89</fb>
    <v>14</v>
  </rv>
  <rv s="5">
    <fb>4097.17</fb>
    <v>14</v>
  </rv>
  <rv s="5">
    <fb>44295</fb>
    <v>13</v>
  </rv>
  <rv s="5">
    <fb>113.5335</fb>
    <v>14</v>
  </rv>
  <rv s="5">
    <fb>168.61</fb>
    <v>14</v>
  </rv>
  <rv s="5">
    <fb>687.46</fb>
    <v>14</v>
  </rv>
  <rv s="5">
    <fb>226.98</fb>
    <v>14</v>
  </rv>
  <rv s="5">
    <fb>380.08</fb>
    <v>14</v>
  </rv>
  <rv s="5">
    <fb>77.94</fb>
    <v>14</v>
  </rv>
  <rv s="5">
    <fb>26.76</fb>
    <v>14</v>
  </rv>
  <rv s="5">
    <fb>14.4</fb>
    <v>14</v>
  </rv>
  <rv s="5">
    <fb>136.37</fb>
    <v>14</v>
  </rv>
  <rv s="5">
    <fb>376.3</fb>
    <v>14</v>
  </rv>
  <rv s="5">
    <fb>4128.8</fb>
    <v>14</v>
  </rv>
  <rv s="5">
    <fb>44298</fb>
    <v>13</v>
  </rv>
  <rv s="5">
    <fb>112.23099999999999</fb>
    <v>14</v>
  </rv>
  <rv s="5">
    <fb>168.96950000000001</fb>
    <v>14</v>
  </rv>
  <rv s="5">
    <fb>90.7</fb>
    <v>14</v>
  </rv>
  <rv s="5">
    <fb>691.43</fb>
    <v>14</v>
  </rv>
  <rv s="5">
    <fb>228.6</fb>
    <v>14</v>
  </rv>
  <rv s="5">
    <fb>379.84</fb>
    <v>14</v>
  </rv>
  <rv s="5">
    <fb>26.54</fb>
    <v>14</v>
  </rv>
  <rv s="5">
    <fb>15.209</fb>
    <v>14</v>
  </rv>
  <rv s="5">
    <fb>376.28</fb>
    <v>14</v>
  </rv>
  <rv s="5">
    <fb>4127.99</fb>
    <v>14</v>
  </rv>
  <rv s="5">
    <fb>44299</fb>
    <v>13</v>
  </rv>
  <rv s="5">
    <fb>112.72150000000001</fb>
    <v>14</v>
  </rv>
  <rv s="5">
    <fb>705.77</fb>
    <v>14</v>
  </rv>
  <rv s="5">
    <fb>378.13</fb>
    <v>14</v>
  </rv>
  <rv s="5">
    <fb>79.040000000000006</fb>
    <v>14</v>
  </rv>
  <rv s="5">
    <fb>26.04</fb>
    <v>14</v>
  </rv>
  <rv s="5">
    <fb>15.679500000000001</fb>
    <v>14</v>
  </rv>
  <rv s="5">
    <fb>135.11000000000001</fb>
    <v>14</v>
  </rv>
  <rv s="5">
    <fb>374.5</fb>
    <v>14</v>
  </rv>
  <rv s="5">
    <fb>4141.59</fb>
    <v>14</v>
  </rv>
  <rv s="5">
    <fb>44300</fb>
    <v>13</v>
  </rv>
  <rv s="5">
    <fb>112.0955</fb>
    <v>14</v>
  </rv>
  <rv s="5">
    <fb>166.65</fb>
    <v>14</v>
  </rv>
  <rv s="5">
    <fb>89.47</fb>
    <v>14</v>
  </rv>
  <rv s="5">
    <fb>694.31</fb>
    <v>14</v>
  </rv>
  <rv s="5">
    <fb>229.38</fb>
    <v>14</v>
  </rv>
  <rv s="5">
    <fb>378.32</fb>
    <v>14</v>
  </rv>
  <rv s="5">
    <fb>79.13</fb>
    <v>14</v>
  </rv>
  <rv s="5">
    <fb>27.31</fb>
    <v>14</v>
  </rv>
  <rv s="5">
    <fb>15.276999999999999</fb>
    <v>14</v>
  </rv>
  <rv s="5">
    <fb>135.6</fb>
    <v>14</v>
  </rv>
  <rv s="5">
    <fb>375.63</fb>
    <v>14</v>
  </rv>
  <rv s="5">
    <fb>4124.66</fb>
    <v>14</v>
  </rv>
  <rv s="5">
    <fb>44301</fb>
    <v>13</v>
  </rv>
  <rv s="5">
    <fb>114.2625</fb>
    <v>14</v>
  </rv>
  <rv s="5">
    <fb>168.9545</fb>
    <v>14</v>
  </rv>
  <rv s="5">
    <fb>90.55</fb>
    <v>14</v>
  </rv>
  <rv s="5">
    <fb>718.85</fb>
    <v>14</v>
  </rv>
  <rv s="5">
    <fb>229.84</fb>
    <v>14</v>
  </rv>
  <rv s="5">
    <fb>386.49</fb>
    <v>14</v>
  </rv>
  <rv s="5">
    <fb>80.180000000000007</fb>
    <v>14</v>
  </rv>
  <rv s="5">
    <fb>26.66</fb>
    <v>14</v>
  </rv>
  <rv s="5">
    <fb>16.1373</fb>
    <v>14</v>
  </rv>
  <rv s="5">
    <fb>137.24</fb>
    <v>14</v>
  </rv>
  <rv s="5">
    <fb>390.01</fb>
    <v>14</v>
  </rv>
  <rv s="5">
    <fb>4170.42</fb>
    <v>14</v>
  </rv>
  <rv s="5">
    <fb>44302</fb>
    <v>13</v>
  </rv>
  <rv s="5">
    <fb>114.1375</fb>
    <v>14</v>
  </rv>
  <rv s="5">
    <fb>169.97200000000001</fb>
    <v>14</v>
  </rv>
  <rv s="5">
    <fb>91.01</fb>
    <v>14</v>
  </rv>
  <rv s="5">
    <fb>708.14</fb>
    <v>14</v>
  </rv>
  <rv s="5">
    <fb>232.11</fb>
    <v>14</v>
  </rv>
  <rv s="5">
    <fb>386.17</fb>
    <v>14</v>
  </rv>
  <rv s="5">
    <fb>80.94</fb>
    <v>14</v>
  </rv>
  <rv s="5">
    <fb>26.29</fb>
    <v>14</v>
  </rv>
  <rv s="5">
    <fb>15.9125</fb>
    <v>14</v>
  </rv>
  <rv s="5">
    <fb>391.01</fb>
    <v>14</v>
  </rv>
  <rv s="5">
    <fb>4185.47</fb>
    <v>14</v>
  </rv>
  <rv s="5">
    <fb>44305</fb>
    <v>13</v>
  </rv>
  <rv s="5">
    <fb>114.488</fb>
    <v>14</v>
  </rv>
  <rv s="5">
    <fb>168.60050000000001</fb>
    <v>14</v>
  </rv>
  <rv s="5">
    <fb>90.9</fb>
    <v>14</v>
  </rv>
  <rv s="5">
    <fb>717.29</fb>
    <v>14</v>
  </rv>
  <rv s="5">
    <fb>230.97</fb>
    <v>14</v>
  </rv>
  <rv s="5">
    <fb>382.16</fb>
    <v>14</v>
  </rv>
  <rv s="5">
    <fb>26.53</fb>
    <v>14</v>
  </rv>
  <rv s="5">
    <fb>15.361800000000001</fb>
    <v>14</v>
  </rv>
  <rv s="5">
    <fb>136.61000000000001</fb>
    <v>14</v>
  </rv>
  <rv s="5">
    <fb>389.84</fb>
    <v>14</v>
  </rv>
  <rv s="5">
    <fb>4163.26</fb>
    <v>14</v>
  </rv>
  <rv s="5">
    <fb>44306</fb>
    <v>13</v>
  </rv>
  <rv s="5">
    <fb>113.95050000000001</fb>
    <v>14</v>
  </rv>
  <rv s="5">
    <fb>166.7345</fb>
    <v>14</v>
  </rv>
  <rv s="5">
    <fb>92.29</fb>
    <v>14</v>
  </rv>
  <rv s="5">
    <fb>726.22</fb>
    <v>14</v>
  </rv>
  <rv s="5">
    <fb>227.33</fb>
    <v>14</v>
  </rv>
  <rv s="5">
    <fb>376.63</fb>
    <v>14</v>
  </rv>
  <rv s="5">
    <fb>80.53</fb>
    <v>14</v>
  </rv>
  <rv s="5">
    <fb>25.25</fb>
    <v>14</v>
  </rv>
  <rv s="5">
    <fb>15.1713</fb>
    <v>14</v>
  </rv>
  <rv s="5">
    <fb>396.53</fb>
    <v>14</v>
  </rv>
  <rv s="5">
    <fb>4134.9399999999996</fb>
    <v>14</v>
  </rv>
  <rv s="5">
    <fb>44307</fb>
    <v>13</v>
  </rv>
  <rv s="5">
    <fb>113.9175</fb>
    <v>14</v>
  </rv>
  <rv s="5">
    <fb>168.101</fb>
    <v>14</v>
  </rv>
  <rv s="5">
    <fb>726.13</fb>
    <v>14</v>
  </rv>
  <rv s="5">
    <fb>230.5</fb>
    <v>14</v>
  </rv>
  <rv s="5">
    <fb>383.1</fb>
    <v>14</v>
  </rv>
  <rv s="5">
    <fb>25.73</fb>
    <v>14</v>
  </rv>
  <rv s="5">
    <fb>15.3605</fb>
    <v>14</v>
  </rv>
  <rv s="5">
    <fb>398.81</fb>
    <v>14</v>
  </rv>
  <rv s="5">
    <fb>4173.42</fb>
    <v>14</v>
  </rv>
  <rv s="5">
    <fb>44308</fb>
    <v>13</v>
  </rv>
  <rv s="5">
    <fb>112.626</fb>
    <v>14</v>
  </rv>
  <rv s="5">
    <fb>165.452</fb>
    <v>14</v>
  </rv>
  <rv s="5">
    <fb>92.69</fb>
    <v>14</v>
  </rv>
  <rv s="5">
    <fb>717.97</fb>
    <v>14</v>
  </rv>
  <rv s="5">
    <fb>229.26</fb>
    <v>14</v>
  </rv>
  <rv s="5">
    <fb>383.36</fb>
    <v>14</v>
  </rv>
  <rv s="5">
    <fb>78.319999999999993</fb>
    <v>14</v>
  </rv>
  <rv s="5">
    <fb>14.850300000000001</fb>
    <v>14</v>
  </rv>
  <rv s="5">
    <fb>134.63</fb>
    <v>14</v>
  </rv>
  <rv s="5">
    <fb>396.54</fb>
    <v>14</v>
  </rv>
  <rv s="5">
    <fb>4134.9799999999996</fb>
    <v>14</v>
  </rv>
  <rv s="5">
    <fb>44309</fb>
    <v>13</v>
  </rv>
  <rv s="5">
    <fb>114.9965</fb>
    <v>14</v>
  </rv>
  <rv s="5">
    <fb>167.04400000000001</fb>
    <v>14</v>
  </rv>
  <rv s="5">
    <fb>93.98</fb>
    <v>14</v>
  </rv>
  <rv s="5">
    <fb>718.11</fb>
    <v>14</v>
  </rv>
  <rv s="5">
    <fb>224.5</fb>
    <v>14</v>
  </rv>
  <rv s="5">
    <fb>387.06</fb>
    <v>14</v>
  </rv>
  <rv s="5">
    <fb>25.71</fb>
    <v>14</v>
  </rv>
  <rv s="5">
    <fb>15.2653</fb>
    <v>14</v>
  </rv>
  <rv s="5">
    <fb>133.94</fb>
    <v>14</v>
  </rv>
  <rv s="5">
    <fb>400.31</fb>
    <v>14</v>
  </rv>
  <rv s="5">
    <fb>4180.17</fb>
    <v>14</v>
  </rv>
  <rv s="5">
    <fb>44312</fb>
    <v>13</v>
  </rv>
  <rv s="5">
    <fb>115.4965</fb>
    <v>14</v>
  </rv>
  <rv s="5">
    <fb>170.45</fb>
    <v>14</v>
  </rv>
  <rv s="5">
    <fb>716.97</fb>
    <v>14</v>
  </rv>
  <rv s="5">
    <fb>221.52</fb>
    <v>14</v>
  </rv>
  <rv s="5">
    <fb>15.478</fb>
    <v>14</v>
  </rv>
  <rv s="5">
    <fb>131.26</fb>
    <v>14</v>
  </rv>
  <rv s="5">
    <fb>395.86</fb>
    <v>14</v>
  </rv>
  <rv s="5">
    <fb>4187.62</fb>
    <v>14</v>
  </rv>
  <rv s="5">
    <fb>44313</fb>
    <v>13</v>
  </rv>
  <rv s="5">
    <fb>114.54900000000001</fb>
    <v>14</v>
  </rv>
  <rv s="5">
    <fb>170.8715</fb>
    <v>14</v>
  </rv>
  <rv s="5">
    <fb>389.07</fb>
    <v>14</v>
  </rv>
  <rv s="5">
    <fb>77.28</fb>
    <v>14</v>
  </rv>
  <rv s="5">
    <fb>26.18</fb>
    <v>14</v>
  </rv>
  <rv s="5">
    <fb>15.3818</fb>
    <v>14</v>
  </rv>
  <rv s="5">
    <fb>131.18</fb>
    <v>14</v>
  </rv>
  <rv s="5">
    <fb>394.5</fb>
    <v>14</v>
  </rv>
  <rv s="5">
    <fb>4186.72</fb>
    <v>14</v>
  </rv>
  <rv s="5">
    <fb>44314</fb>
    <v>13</v>
  </rv>
  <rv s="5">
    <fb>117.952</fb>
    <v>14</v>
  </rv>
  <rv s="5">
    <fb>172.92500000000001</fb>
    <v>14</v>
  </rv>
  <rv s="5">
    <fb>91.35</fb>
    <v>14</v>
  </rv>
  <rv s="5">
    <fb>707.38</fb>
    <v>14</v>
  </rv>
  <rv s="5">
    <fb>222.87</fb>
    <v>14</v>
  </rv>
  <rv s="5">
    <fb>395.65</fb>
    <v>14</v>
  </rv>
  <rv s="5">
    <fb>77.09</fb>
    <v>14</v>
  </rv>
  <rv s="5">
    <fb>27.36</fb>
    <v>14</v>
  </rv>
  <rv s="5">
    <fb>15.2768</fb>
    <v>14</v>
  </rv>
  <rv s="5">
    <fb>131.4</fb>
    <v>14</v>
  </rv>
  <rv s="5">
    <fb>394.59</fb>
    <v>14</v>
  </rv>
  <rv s="5">
    <fb>4183.18</fb>
    <v>14</v>
  </rv>
  <rv s="5">
    <fb>44315</fb>
    <v>13</v>
  </rv>
  <rv s="5">
    <fb>119.63800000000001</fb>
    <v>14</v>
  </rv>
  <rv s="5">
    <fb>173.56549999999999</fb>
    <v>14</v>
  </rv>
  <rv s="5">
    <fb>93.38</fb>
    <v>14</v>
  </rv>
  <rv s="5">
    <fb>706.08</fb>
    <v>14</v>
  </rv>
  <rv s="5">
    <fb>223.9</fb>
    <v>14</v>
  </rv>
  <rv s="5">
    <fb>388.95</fb>
    <v>14</v>
  </rv>
  <rv s="5">
    <fb>27.82</fb>
    <v>14</v>
  </rv>
  <rv s="5">
    <fb>15.3248</fb>
    <v>14</v>
  </rv>
  <rv s="5">
    <fb>132.51</fb>
    <v>14</v>
  </rv>
  <rv s="5">
    <fb>401.55</fb>
    <v>14</v>
  </rv>
  <rv s="5">
    <fb>4211.47</fb>
    <v>14</v>
  </rv>
  <rv s="5">
    <fb>44316</fb>
    <v>13</v>
  </rv>
  <rv s="5">
    <fb>117.675</fb>
    <v>14</v>
  </rv>
  <rv s="5">
    <fb>173.37100000000001</fb>
    <v>14</v>
  </rv>
  <rv s="5">
    <fb>93.64</fb>
    <v>14</v>
  </rv>
  <rv s="5">
    <fb>720.76</fb>
    <v>14</v>
  </rv>
  <rv s="5">
    <fb>223.04</fb>
    <v>14</v>
  </rv>
  <rv s="5">
    <fb>382.06</fb>
    <v>14</v>
  </rv>
  <rv s="5">
    <fb>77.510000000000005</fb>
    <v>14</v>
  </rv>
  <rv s="5">
    <fb>15.009499999999999</fb>
    <v>14</v>
  </rv>
  <rv s="5">
    <fb>133.41999999999999</fb>
    <v>14</v>
  </rv>
  <rv s="5">
    <fb>398.8</fb>
    <v>14</v>
  </rv>
  <rv s="5">
    <fb>4181.17</fb>
    <v>14</v>
  </rv>
  <rv s="5">
    <fb>44319</fb>
    <v>13</v>
  </rv>
  <rv s="5">
    <fb>117.154</fb>
    <v>14</v>
  </rv>
  <rv s="5">
    <fb>169.3245</fb>
    <v>14</v>
  </rv>
  <rv s="5">
    <fb>711.05</fb>
    <v>14</v>
  </rv>
  <rv s="5">
    <fb>223.2</fb>
    <v>14</v>
  </rv>
  <rv s="5">
    <fb>379.4</fb>
    <v>14</v>
  </rv>
  <rv s="5">
    <fb>76.7</fb>
    <v>14</v>
  </rv>
  <rv s="5">
    <fb>28.22</fb>
    <v>14</v>
  </rv>
  <rv s="5">
    <fb>14.8368</fb>
    <v>14</v>
  </rv>
  <rv s="5">
    <fb>135</fb>
    <v>14</v>
  </rv>
  <rv s="5">
    <fb>405.9</fb>
    <v>14</v>
  </rv>
  <rv s="5">
    <fb>4192.66</fb>
    <v>14</v>
  </rv>
  <rv s="5">
    <fb>44320</fb>
    <v>13</v>
  </rv>
  <rv s="5">
    <fb>115.3415</fb>
    <v>14</v>
  </rv>
  <rv s="5">
    <fb>165.59350000000001</fb>
    <v>14</v>
  </rv>
  <rv s="5">
    <fb>93.65</fb>
    <v>14</v>
  </rv>
  <rv s="5">
    <fb>693</fb>
    <v>14</v>
  </rv>
  <rv s="5">
    <fb>375.91</fb>
    <v>14</v>
  </rv>
  <rv s="5">
    <fb>75.69</fb>
    <v>14</v>
  </rv>
  <rv s="5">
    <fb>28.39</fb>
    <v>14</v>
  </rv>
  <rv s="5">
    <fb>14.3513</fb>
    <v>14</v>
  </rv>
  <rv s="5">
    <fb>134.54</fb>
    <v>14</v>
  </rv>
  <rv s="5">
    <fb>411.34</fb>
    <v>14</v>
  </rv>
  <rv s="5">
    <fb>4164.66</fb>
    <v>14</v>
  </rv>
  <rv s="5">
    <fb>44321</fb>
    <v>13</v>
  </rv>
  <rv s="5">
    <fb>115.7385</fb>
    <v>14</v>
  </rv>
  <rv s="5">
    <fb>163.52699999999999</fb>
    <v>14</v>
  </rv>
  <rv s="5">
    <fb>92.87</fb>
    <v>14</v>
  </rv>
  <rv s="5">
    <fb>699.08</fb>
    <v>14</v>
  </rv>
  <rv s="5">
    <fb>226.19</fb>
    <v>14</v>
  </rv>
  <rv s="5">
    <fb>369.14</fb>
    <v>14</v>
  </rv>
  <rv s="5">
    <fb>73.78</fb>
    <v>14</v>
  </rv>
  <rv s="5">
    <fb>30.34</fb>
    <v>14</v>
  </rv>
  <rv s="5">
    <fb>14.458500000000001</fb>
    <v>14</v>
  </rv>
  <rv s="5">
    <fb>133.46</fb>
    <v>14</v>
  </rv>
  <rv s="5">
    <fb>412.5</fb>
    <v>14</v>
  </rv>
  <rv s="5">
    <fb>4167.59</fb>
    <v>14</v>
  </rv>
  <rv s="5">
    <fb>44322</fb>
    <v>13</v>
  </rv>
  <rv s="5">
    <fb>116.86750000000001</fb>
    <v>14</v>
  </rv>
  <rv s="5">
    <fb>165.3185</fb>
    <v>14</v>
  </rv>
  <rv s="5">
    <fb>713.45</fb>
    <v>14</v>
  </rv>
  <rv s="5">
    <fb>228.66</fb>
    <v>14</v>
  </rv>
  <rv s="5">
    <fb>375.48</fb>
    <v>14</v>
  </rv>
  <rv s="5">
    <fb>30.73</fb>
    <v>14</v>
  </rv>
  <rv s="5">
    <fb>14.523</fb>
    <v>14</v>
  </rv>
  <rv s="5">
    <fb>135.13999999999999</fb>
    <v>14</v>
  </rv>
  <rv s="5">
    <fb>414.97</fb>
    <v>14</v>
  </rv>
  <rv s="5">
    <fb>4201.62</fb>
    <v>14</v>
  </rv>
  <rv s="5">
    <fb>44323</fb>
    <v>13</v>
  </rv>
  <rv s="5">
    <fb>117.59650000000001</fb>
    <v>14</v>
  </rv>
  <rv s="5">
    <fb>164.5805</fb>
    <v>14</v>
  </rv>
  <rv s="5">
    <fb>720</fb>
    <v>14</v>
  </rv>
  <rv s="5">
    <fb>375.4</fb>
    <v>14</v>
  </rv>
  <rv s="5">
    <fb>14.8123</fb>
    <v>14</v>
  </rv>
  <rv s="5">
    <fb>135.15</fb>
    <v>14</v>
  </rv>
  <rv s="5">
    <fb>417.65</fb>
    <v>14</v>
  </rv>
  <rv s="5">
    <fb>4232.6000000000004</fb>
    <v>14</v>
  </rv>
  <rv s="5">
    <fb>44326</fb>
    <v>13</v>
  </rv>
  <rv s="5">
    <fb>114.58750000000001</fb>
    <v>14</v>
  </rv>
  <rv s="5">
    <fb>159.52449999999999</fb>
    <v>14</v>
  </rv>
  <rv s="5">
    <fb>89.87</fb>
    <v>14</v>
  </rv>
  <rv s="5">
    <fb>718.04</fb>
    <v>14</v>
  </rv>
  <rv s="5">
    <fb>230.94</fb>
    <v>14</v>
  </rv>
  <rv s="5">
    <fb>366.34</fb>
    <v>14</v>
  </rv>
  <rv s="5">
    <fb>31.63</fb>
    <v>14</v>
  </rv>
  <rv s="5">
    <fb>14.2658</fb>
    <v>14</v>
  </rv>
  <rv s="5">
    <fb>137.66999999999999</fb>
    <v>14</v>
  </rv>
  <rv s="5">
    <fb>420.89</fb>
    <v>14</v>
  </rv>
  <rv s="5">
    <fb>4188.43</fb>
    <v>14</v>
  </rv>
  <rv s="5">
    <fb>44327</fb>
    <v>13</v>
  </rv>
  <rv s="5">
    <fb>113.503</fb>
    <v>14</v>
  </rv>
  <rv s="5">
    <fb>161.19550000000001</fb>
    <v>14</v>
  </rv>
  <rv s="5">
    <fb>705.36</fb>
    <v>14</v>
  </rv>
  <rv s="5">
    <fb>229.16</fb>
    <v>14</v>
  </rv>
  <rv s="5">
    <fb>367.61</fb>
    <v>14</v>
  </rv>
  <rv s="5">
    <fb>74.069999999999993</fb>
    <v>14</v>
  </rv>
  <rv s="5">
    <fb>31.26</fb>
    <v>14</v>
  </rv>
  <rv s="5">
    <fb>14.3063</fb>
    <v>14</v>
  </rv>
  <rv s="5">
    <fb>136.99</fb>
    <v>14</v>
  </rv>
  <rv s="5">
    <fb>411.7</fb>
    <v>14</v>
  </rv>
  <rv s="5">
    <fb>4152.1000000000004</fb>
    <v>14</v>
  </rv>
  <rv s="5">
    <fb>44328</fb>
    <v>13</v>
  </rv>
  <rv s="5">
    <fb>110.0125</fb>
    <v>14</v>
  </rv>
  <rv s="5">
    <fb>157.59700000000001</fb>
    <v>14</v>
  </rv>
  <rv s="5">
    <fb>87.83</fb>
    <v>14</v>
  </rv>
  <rv s="5">
    <fb>715.43</fb>
    <v>14</v>
  </rv>
  <rv s="5">
    <fb>220.04</fb>
    <v>14</v>
  </rv>
  <rv s="5">
    <fb>356.62</fb>
    <v>14</v>
  </rv>
  <rv s="5">
    <fb>71.540000000000006</fb>
    <v>14</v>
  </rv>
  <rv s="5">
    <fb>32.1</fb>
    <v>14</v>
  </rv>
  <rv s="5">
    <fb>13.7585</fb>
    <v>14</v>
  </rv>
  <rv s="5">
    <fb>135.54</fb>
    <v>14</v>
  </rv>
  <rv s="5">
    <fb>405.37</fb>
    <v>14</v>
  </rv>
  <rv s="5">
    <fb>4063.04</fb>
    <v>14</v>
  </rv>
  <rv s="5">
    <fb>44329</fb>
    <v>13</v>
  </rv>
  <rv s="5">
    <fb>111.452</fb>
    <v>14</v>
  </rv>
  <rv s="5">
    <fb>158.0735</fb>
    <v>14</v>
  </rv>
  <rv s="5">
    <fb>88.46</fb>
    <v>14</v>
  </rv>
  <rv s="5">
    <fb>722.02</fb>
    <v>14</v>
  </rv>
  <rv s="5">
    <fb>223.68</fb>
    <v>14</v>
  </rv>
  <rv s="5">
    <fb>360.02</fb>
    <v>14</v>
  </rv>
  <rv s="5">
    <fb>72.63</fb>
    <v>14</v>
  </rv>
  <rv s="5">
    <fb>13.6653</fb>
    <v>14</v>
  </rv>
  <rv s="5">
    <fb>408.56</fb>
    <v>14</v>
  </rv>
  <rv s="5">
    <fb>4112.5</fb>
    <v>14</v>
  </rv>
  <rv s="5">
    <fb>44330</fb>
    <v>13</v>
  </rv>
  <rv s="5">
    <fb>113.919</fb>
    <v>14</v>
  </rv>
  <rv s="5">
    <fb>161.14500000000001</fb>
    <v>14</v>
  </rv>
  <rv s="5">
    <fb>89.1</fb>
    <v>14</v>
  </rv>
  <rv s="5">
    <fb>715.03</fb>
    <v>14</v>
  </rv>
  <rv s="5">
    <fb>227.36</fb>
    <v>14</v>
  </rv>
  <rv s="5">
    <fb>363.91</fb>
    <v>14</v>
  </rv>
  <rv s="5">
    <fb>73.12</fb>
    <v>14</v>
  </rv>
  <rv s="5">
    <fb>14.243</fb>
    <v>14</v>
  </rv>
  <rv s="5">
    <fb>409.8</fb>
    <v>14</v>
  </rv>
  <rv s="5">
    <fb>4173.8500000000004</fb>
    <v>14</v>
  </rv>
  <rv s="5">
    <fb>44333</fb>
    <v>13</v>
  </rv>
  <rv s="5">
    <fb>114.446</fb>
    <v>14</v>
  </rv>
  <rv s="5">
    <fb>163.51949999999999</fb>
    <v>14</v>
  </rv>
  <rv s="5">
    <fb>88.63</fb>
    <v>14</v>
  </rv>
  <rv s="5">
    <fb>715.33</fb>
    <v>14</v>
  </rv>
  <rv s="5">
    <fb>226.47</fb>
    <v>14</v>
  </rv>
  <rv s="5">
    <fb>71.900000000000006</fb>
    <v>14</v>
  </rv>
  <rv s="5">
    <fb>34.049999999999997</fb>
    <v>14</v>
  </rv>
  <rv s="5">
    <fb>14.1655</fb>
    <v>14</v>
  </rv>
  <rv s="5">
    <fb>137.72999999999999</fb>
    <v>14</v>
  </rv>
  <rv s="5">
    <fb>408.63</fb>
    <v>14</v>
  </rv>
  <rv s="5">
    <fb>4163.29</fb>
    <v>14</v>
  </rv>
  <rv s="5">
    <fb>44334</fb>
    <v>13</v>
  </rv>
  <rv s="5">
    <fb>113.12350000000001</fb>
    <v>14</v>
  </rv>
  <rv s="5">
    <fb>161.614</fb>
    <v>14</v>
  </rv>
  <rv s="5">
    <fb>87.05</fb>
    <v>14</v>
  </rv>
  <rv s="5">
    <fb>715.36</fb>
    <v>14</v>
  </rv>
  <rv s="5">
    <fb>222.32</fb>
    <v>14</v>
  </rv>
  <rv s="5">
    <fb>363.07</fb>
    <v>14</v>
  </rv>
  <rv s="5">
    <fb>33.07</fb>
    <v>14</v>
  </rv>
  <rv s="5">
    <fb>14.0158</fb>
    <v>14</v>
  </rv>
  <rv s="5">
    <fb>136.32</fb>
    <v>14</v>
  </rv>
  <rv s="5">
    <fb>410.38</fb>
    <v>14</v>
  </rv>
  <rv s="5">
    <fb>4127.83</fb>
    <v>14</v>
  </rv>
  <rv s="5">
    <fb>44335</fb>
    <v>13</v>
  </rv>
  <rv s="5">
    <fb>113.575</fb>
    <v>14</v>
  </rv>
  <rv s="5">
    <fb>161.59</fb>
    <v>14</v>
  </rv>
  <rv s="5">
    <fb>221.32</fb>
    <v>14</v>
  </rv>
  <rv s="5">
    <fb>360.98</fb>
    <v>14</v>
  </rv>
  <rv s="5">
    <fb>72.66</fb>
    <v>14</v>
  </rv>
  <rv s="5">
    <fb>32</fb>
    <v>14</v>
  </rv>
  <rv s="5">
    <fb>14.065799999999999</fb>
    <v>14</v>
  </rv>
  <rv s="5">
    <fb>136.6</fb>
    <v>14</v>
  </rv>
  <rv s="5">
    <fb>409.5</fb>
    <v>14</v>
  </rv>
  <rv s="5">
    <fb>4115.68</fb>
    <v>14</v>
  </rv>
  <rv s="5">
    <fb>44336</fb>
    <v>13</v>
  </rv>
  <rv s="5">
    <fb>115.3475</fb>
    <v>14</v>
  </rv>
  <rv s="5">
    <fb>162.38399999999999</fb>
    <v>14</v>
  </rv>
  <rv s="5">
    <fb>87.28</fb>
    <v>14</v>
  </rv>
  <rv s="5">
    <fb>725.22</fb>
    <v>14</v>
  </rv>
  <rv s="5">
    <fb>222.13</fb>
    <v>14</v>
  </rv>
  <rv s="5">
    <fb>367.7</fb>
    <v>14</v>
  </rv>
  <rv s="5">
    <fb>31.77</fb>
    <v>14</v>
  </rv>
  <rv s="5">
    <fb>14.612500000000001</fb>
    <v>14</v>
  </rv>
  <rv s="5">
    <fb>138</fb>
    <v>14</v>
  </rv>
  <rv s="5">
    <fb>408.64</fb>
    <v>14</v>
  </rv>
  <rv s="5">
    <fb>4159.12</fb>
    <v>14</v>
  </rv>
  <rv s="5">
    <fb>44337</fb>
    <v>13</v>
  </rv>
  <rv s="5">
    <fb>114.70650000000001</fb>
    <v>14</v>
  </rv>
  <rv s="5">
    <fb>160.154</fb>
    <v>14</v>
  </rv>
  <rv s="5">
    <fb>86.78</fb>
    <v>14</v>
  </rv>
  <rv s="5">
    <fb>723.3</fb>
    <v>14</v>
  </rv>
  <rv s="5">
    <fb>367.6</fb>
    <v>14</v>
  </rv>
  <rv s="5">
    <fb>14.9918</fb>
    <v>14</v>
  </rv>
  <rv s="5">
    <fb>411.63</fb>
    <v>14</v>
  </rv>
  <rv s="5">
    <fb>4155.8599999999997</fb>
    <v>14</v>
  </rv>
  <rv s="5">
    <fb>44340</fb>
    <v>13</v>
  </rv>
  <rv s="5">
    <fb>118.05200000000001</fb>
    <v>14</v>
  </rv>
  <rv s="5">
    <fb>162.24950000000001</fb>
    <v>14</v>
  </rv>
  <rv s="5">
    <fb>87.11</fb>
    <v>14</v>
  </rv>
  <rv s="5">
    <fb>735.26</fb>
    <v>14</v>
  </rv>
  <rv s="5">
    <fb>372.38</fb>
    <v>14</v>
  </rv>
  <rv s="5">
    <fb>31.7</fb>
    <v>14</v>
  </rv>
  <rv s="5">
    <fb>15.612</fb>
    <v>14</v>
  </rv>
  <rv s="5">
    <fb>410.95</fb>
    <v>14</v>
  </rv>
  <rv s="5">
    <fb>4197.05</fb>
    <v>14</v>
  </rv>
  <rv s="5">
    <fb>44341</fb>
    <v>13</v>
  </rv>
  <rv s="5">
    <fb>118.1435</fb>
    <v>14</v>
  </rv>
  <rv s="5">
    <fb>162.95249999999999</fb>
    <v>14</v>
  </rv>
  <rv s="5">
    <fb>735.39</fb>
    <v>14</v>
  </rv>
  <rv s="5">
    <fb>224.04</fb>
    <v>14</v>
  </rv>
  <rv s="5">
    <fb>367.22</fb>
    <v>14</v>
  </rv>
  <rv s="5">
    <fb>31.24</fb>
    <v>14</v>
  </rv>
  <rv s="5">
    <fb>15.6478</fb>
    <v>14</v>
  </rv>
  <rv s="5">
    <fb>138.43</fb>
    <v>14</v>
  </rv>
  <rv s="5">
    <fb>413.05</fb>
    <v>14</v>
  </rv>
  <rv s="5">
    <fb>4188.13</fb>
    <v>14</v>
  </rv>
  <rv s="5">
    <fb>44342</fb>
    <v>13</v>
  </rv>
  <rv s="5">
    <fb>119.0155</fb>
    <v>14</v>
  </rv>
  <rv s="5">
    <fb>163.25800000000001</fb>
    <v>14</v>
  </rv>
  <rv s="5">
    <fb>735.09</fb>
    <v>14</v>
  </rv>
  <rv s="5">
    <fb>224.27</fb>
    <v>14</v>
  </rv>
  <rv s="5">
    <fb>362.65</fb>
    <v>14</v>
  </rv>
  <rv s="5">
    <fb>73.47</fb>
    <v>14</v>
  </rv>
  <rv s="5">
    <fb>31.55</fb>
    <v>14</v>
  </rv>
  <rv s="5">
    <fb>15.7</fb>
    <v>14</v>
  </rv>
  <rv s="5">
    <fb>413.21</fb>
    <v>14</v>
  </rv>
  <rv s="5">
    <fb>4195.99</fb>
    <v>14</v>
  </rv>
  <rv s="5">
    <fb>44343</fb>
    <v>13</v>
  </rv>
  <rv s="5">
    <fb>118.134</fb>
    <v>14</v>
  </rv>
  <rv s="5">
    <fb>161.50550000000001</fb>
    <v>14</v>
  </rv>
  <rv s="5">
    <fb>736.72</fb>
    <v>14</v>
  </rv>
  <rv s="5">
    <fb>231.27</fb>
    <v>14</v>
  </rv>
  <rv s="5">
    <fb>362</fb>
    <v>14</v>
  </rv>
  <rv s="5">
    <fb>31.34</fb>
    <v>14</v>
  </rv>
  <rv s="5">
    <fb>15.488</fb>
    <v>14</v>
  </rv>
  <rv s="5">
    <fb>134.97999999999999</fb>
    <v>14</v>
  </rv>
  <rv s="5">
    <fb>412.7</fb>
    <v>14</v>
  </rv>
  <rv s="5">
    <fb>4200.88</fb>
    <v>14</v>
  </rv>
  <rv s="5">
    <fb>44344</fb>
    <v>13</v>
  </rv>
  <rv s="5">
    <fb>117.8425</fb>
    <v>14</v>
  </rv>
  <rv s="5">
    <fb>161.15350000000001</fb>
    <v>14</v>
  </rv>
  <rv s="5">
    <fb>739.42</fb>
    <v>14</v>
  </rv>
  <rv s="5">
    <fb>230.91</fb>
    <v>14</v>
  </rv>
  <rv s="5">
    <fb>360.58</fb>
    <v>14</v>
  </rv>
  <rv s="5">
    <fb>73.22</fb>
    <v>14</v>
  </rv>
  <rv s="5">
    <fb>31.33</fb>
    <v>14</v>
  </rv>
  <rv s="5">
    <fb>16.244499999999999</fb>
    <v>14</v>
  </rv>
  <rv s="5">
    <fb>411.92</fb>
    <v>14</v>
  </rv>
  <rv s="5">
    <fb>4204.1099999999997</fb>
    <v>14</v>
  </rv>
  <rv s="5">
    <fb>44348</fb>
    <v>13</v>
  </rv>
  <rv s="5">
    <fb>119.059</fb>
    <v>14</v>
  </rv>
  <rv s="5">
    <fb>160.9325</fb>
    <v>14</v>
  </rv>
  <rv s="5">
    <fb>82.22</fb>
    <v>14</v>
  </rv>
  <rv s="5">
    <fb>758.13</fb>
    <v>14</v>
  </rv>
  <rv s="5">
    <fb>232.95</fb>
    <v>14</v>
  </rv>
  <rv s="5">
    <fb>359.79</fb>
    <v>14</v>
  </rv>
  <rv s="5">
    <fb>72.12</fb>
    <v>14</v>
  </rv>
  <rv s="5">
    <fb>32.93</fb>
    <v>14</v>
  </rv>
  <rv s="5">
    <fb>16.264500000000002</fb>
    <v>14</v>
  </rv>
  <rv s="5">
    <fb>132.88</fb>
    <v>14</v>
  </rv>
  <rv s="5">
    <fb>406.72</fb>
    <v>14</v>
  </rv>
  <rv s="5">
    <fb>4202.04</fb>
    <v>14</v>
  </rv>
  <rv s="5">
    <fb>44349</fb>
    <v>13</v>
  </rv>
  <rv s="5">
    <fb>118.5295</fb>
    <v>14</v>
  </rv>
  <rv s="5">
    <fb>161.6995</fb>
    <v>14</v>
  </rv>
  <rv s="5">
    <fb>81.81</fb>
    <v>14</v>
  </rv>
  <rv s="5">
    <fb>777.04</fb>
    <v>14</v>
  </rv>
  <rv s="5">
    <fb>230.74</fb>
    <v>14</v>
  </rv>
  <rv s="5">
    <fb>366.85</fb>
    <v>14</v>
  </rv>
  <rv s="5">
    <fb>72.709999999999994</fb>
    <v>14</v>
  </rv>
  <rv s="5">
    <fb>16.778300000000002</fb>
    <v>14</v>
  </rv>
  <rv s="5">
    <fb>405.85</fb>
    <v>14</v>
  </rv>
  <rv s="5">
    <fb>4208.12</fb>
    <v>14</v>
  </rv>
  <rv s="5">
    <fb>44350</fb>
    <v>13</v>
  </rv>
  <rv s="5">
    <fb>117.379</fb>
    <v>14</v>
  </rv>
  <rv s="5">
    <fb>159.35050000000001</fb>
    <v>14</v>
  </rv>
  <rv s="5">
    <fb>83.37</fb>
    <v>14</v>
  </rv>
  <rv s="5">
    <fb>785.39</fb>
    <v>14</v>
  </rv>
  <rv s="5">
    <fb>229.2</fb>
    <v>14</v>
  </rv>
  <rv s="5">
    <fb>361.82</fb>
    <v>14</v>
  </rv>
  <rv s="5">
    <fb>36.520000000000003</fb>
    <v>14</v>
  </rv>
  <rv s="5">
    <fb>16.969799999999999</fb>
    <v>14</v>
  </rv>
  <rv s="5">
    <fb>407.96</fb>
    <v>14</v>
  </rv>
  <rv s="5">
    <fb>4192.8500000000004</fb>
    <v>14</v>
  </rv>
  <rv s="5">
    <fb>44351</fb>
    <v>13</v>
  </rv>
  <rv s="5">
    <fb>119.6785</fb>
    <v>14</v>
  </rv>
  <rv s="5">
    <fb>160.31100000000001</fb>
    <v>14</v>
  </rv>
  <rv s="5">
    <fb>82.54</fb>
    <v>14</v>
  </rv>
  <rv s="5">
    <fb>795.06</fb>
    <v>14</v>
  </rv>
  <rv s="5">
    <fb>230.05</fb>
    <v>14</v>
  </rv>
  <rv s="5">
    <fb>366.02</fb>
    <v>14</v>
  </rv>
  <rv s="5">
    <fb>36.42</fb>
    <v>14</v>
  </rv>
  <rv s="5">
    <fb>17.578299999999999</fb>
    <v>14</v>
  </rv>
  <rv s="5">
    <fb>135.94999999999999</fb>
    <v>14</v>
  </rv>
  <rv s="5">
    <fb>405.64</fb>
    <v>14</v>
  </rv>
  <rv s="5">
    <fb>4229.8900000000003</fb>
    <v>14</v>
  </rv>
  <rv s="5">
    <fb>44354</fb>
    <v>13</v>
  </rv>
  <rv s="5">
    <fb>120.11499999999999</fb>
    <v>14</v>
  </rv>
  <rv s="5">
    <fb>159.90049999999999</fb>
    <v>14</v>
  </rv>
  <rv s="5">
    <fb>81.36</fb>
    <v>14</v>
  </rv>
  <rv s="5">
    <fb>816.66</fb>
    <v>14</v>
  </rv>
  <rv s="5">
    <fb>228.19</fb>
    <v>14</v>
  </rv>
  <rv s="5">
    <fb>364.08</fb>
    <v>14</v>
  </rv>
  <rv s="5">
    <fb>72.47</fb>
    <v>14</v>
  </rv>
  <rv s="5">
    <fb>35.83</fb>
    <v>14</v>
  </rv>
  <rv s="5">
    <fb>17.619</fb>
    <v>14</v>
  </rv>
  <rv s="5">
    <fb>136.41999999999999</fb>
    <v>14</v>
  </rv>
  <rv s="5">
    <fb>400.25</fb>
    <v>14</v>
  </rv>
  <rv s="5">
    <fb>4226.5200000000004</fb>
    <v>14</v>
  </rv>
  <rv s="5">
    <fb>44355</fb>
    <v>13</v>
  </rv>
  <rv s="5">
    <fb>119.922</fb>
    <v>14</v>
  </rv>
  <rv s="5">
    <fb>163.2055</fb>
    <v>14</v>
  </rv>
  <rv s="5">
    <fb>80.59</fb>
    <v>14</v>
  </rv>
  <rv s="5">
    <fb>810.01</fb>
    <v>14</v>
  </rv>
  <rv s="5">
    <fb>229.81</fb>
    <v>14</v>
  </rv>
  <rv s="5">
    <fb>35.9</fb>
    <v>14</v>
  </rv>
  <rv s="5">
    <fb>17.457000000000001</fb>
    <v>14</v>
  </rv>
  <rv s="5">
    <fb>4227.26</fb>
    <v>14</v>
  </rv>
  <rv s="5">
    <fb>44356</fb>
    <v>13</v>
  </rv>
  <rv s="5">
    <fb>120.39700000000001</fb>
    <v>14</v>
  </rv>
  <rv s="5">
    <fb>164.0575</fb>
    <v>14</v>
  </rv>
  <rv s="5">
    <fb>80.900000000000006</fb>
    <v>14</v>
  </rv>
  <rv s="5">
    <fb>822.99</fb>
    <v>14</v>
  </rv>
  <rv s="5">
    <fb>227.81</fb>
    <v>14</v>
  </rv>
  <rv s="5">
    <fb>363.33</fb>
    <v>14</v>
  </rv>
  <rv s="5">
    <fb>17.3583</fb>
    <v>14</v>
  </rv>
  <rv s="5">
    <fb>134.79</fb>
    <v>14</v>
  </rv>
  <rv s="5">
    <fb>401.1</fb>
    <v>14</v>
  </rv>
  <rv s="5">
    <fb>4219.55</fb>
    <v>14</v>
  </rv>
  <rv s="5">
    <fb>44357</fb>
    <v>13</v>
  </rv>
  <rv s="5">
    <fb>121.7565</fb>
    <v>14</v>
  </rv>
  <rv s="5">
    <fb>167.48249999999999</fb>
    <v>14</v>
  </rv>
  <rv s="5">
    <fb>80.459999999999994</fb>
    <v>14</v>
  </rv>
  <rv s="5">
    <fb>816.04</fb>
    <v>14</v>
  </rv>
  <rv s="5">
    <fb>226.25</fb>
    <v>14</v>
  </rv>
  <rv s="5">
    <fb>364.3</fb>
    <v>14</v>
  </rv>
  <rv s="5">
    <fb>73.510000000000005</fb>
    <v>14</v>
  </rv>
  <rv s="5">
    <fb>17.425000000000001</fb>
    <v>14</v>
  </rv>
  <rv s="5">
    <fb>135.79</fb>
    <v>14</v>
  </rv>
  <rv s="5">
    <fb>401.49</fb>
    <v>14</v>
  </rv>
  <rv s="5">
    <fb>4239.18</fb>
    <v>14</v>
  </rv>
  <rv s="5">
    <fb>44358</fb>
    <v>13</v>
  </rv>
  <rv s="5">
    <fb>167.3415</fb>
    <v>14</v>
  </rv>
  <rv s="5">
    <fb>81.53</fb>
    <v>14</v>
  </rv>
  <rv s="5">
    <fb>823.99</fb>
    <v>14</v>
  </rv>
  <rv s="5">
    <fb>365.5</fb>
    <v>14</v>
  </rv>
  <rv s="5">
    <fb>73.489999999999995</fb>
    <v>14</v>
  </rv>
  <rv s="5">
    <fb>34.89</fb>
    <v>14</v>
  </rv>
  <rv s="5">
    <fb>17.825299999999999</fb>
    <v>14</v>
  </rv>
  <rv s="5">
    <fb>134.86000000000001</fb>
    <v>14</v>
  </rv>
  <rv s="5">
    <fb>397.89</fb>
    <v>14</v>
  </rv>
  <rv s="5">
    <fb>4247.4399999999996</fb>
    <v>14</v>
  </rv>
  <rv s="5">
    <fb>44361</fb>
    <v>13</v>
  </rv>
  <rv s="5">
    <fb>122.4455</fb>
    <v>14</v>
  </rv>
  <rv s="5">
    <fb>169.1935</fb>
    <v>14</v>
  </rv>
  <rv s="5">
    <fb>809</fb>
    <v>14</v>
  </rv>
  <rv s="5">
    <fb>223.17</fb>
    <v>14</v>
  </rv>
  <rv s="5">
    <fb>366.52</fb>
    <v>14</v>
  </rv>
  <rv s="5">
    <fb>73.31</fb>
    <v>14</v>
  </rv>
  <rv s="5">
    <fb>18.018799999999999</fb>
    <v>14</v>
  </rv>
  <rv s="5">
    <fb>134.91</fb>
    <v>14</v>
  </rv>
  <rv s="5">
    <fb>399.16</fb>
    <v>14</v>
  </rv>
  <rv s="5">
    <fb>4255.1499999999996</fb>
    <v>14</v>
  </rv>
  <rv s="5">
    <fb>44362</fb>
    <v>13</v>
  </rv>
  <rv s="5">
    <fb>121.4195</fb>
    <v>14</v>
  </rv>
  <rv s="5">
    <fb>169.15649999999999</fb>
    <v>14</v>
  </rv>
  <rv s="5">
    <fb>81.41</fb>
    <v>14</v>
  </rv>
  <rv s="5">
    <fb>809.97</fb>
    <v>14</v>
  </rv>
  <rv s="5">
    <fb>222.5</fb>
    <v>14</v>
  </rv>
  <rv s="5">
    <fb>368.12</fb>
    <v>14</v>
  </rv>
  <rv s="5">
    <fb>73.430000000000007</fb>
    <v>14</v>
  </rv>
  <rv s="5">
    <fb>34.19</fb>
    <v>14</v>
  </rv>
  <rv s="5">
    <fb>17.788499999999999</fb>
    <v>14</v>
  </rv>
  <rv s="5">
    <fb>134.65</fb>
    <v>14</v>
  </rv>
  <rv s="5">
    <fb>400.28</fb>
    <v>14</v>
  </rv>
  <rv s="5">
    <fb>4246.59</fb>
    <v>14</v>
  </rv>
  <rv s="5">
    <fb>44363</fb>
    <v>13</v>
  </rv>
  <rv s="5">
    <fb>120.77249999999999</fb>
    <v>14</v>
  </rv>
  <rv s="5">
    <fb>170.76249999999999</fb>
    <v>14</v>
  </rv>
  <rv s="5">
    <fb>80.489999999999995</fb>
    <v>14</v>
  </rv>
  <rv s="5">
    <fb>815.46</fb>
    <v>14</v>
  </rv>
  <rv s="5">
    <fb>218.99</fb>
    <v>14</v>
  </rv>
  <rv s="5">
    <fb>363.82</fb>
    <v>14</v>
  </rv>
  <rv s="5">
    <fb>73.3</fb>
    <v>14</v>
  </rv>
  <rv s="5">
    <fb>17.810300000000002</fb>
    <v>14</v>
  </rv>
  <rv s="5">
    <fb>132.78</fb>
    <v>14</v>
  </rv>
  <rv s="5">
    <fb>397.25</fb>
    <v>14</v>
  </rv>
  <rv s="5">
    <fb>4223.7</fb>
    <v>14</v>
  </rv>
  <rv s="5">
    <fb>44364</fb>
    <v>13</v>
  </rv>
  <rv s="5">
    <fb>121.7435</fb>
    <v>14</v>
  </rv>
  <rv s="5">
    <fb>174.46199999999999</fb>
    <v>14</v>
  </rv>
  <rv s="5">
    <fb>79.94</fb>
    <v>14</v>
  </rv>
  <rv s="5">
    <fb>822.77</fb>
    <v>14</v>
  </rv>
  <rv s="5">
    <fb>216.29</fb>
    <v>14</v>
  </rv>
  <rv s="5">
    <fb>367.29</fb>
    <v>14</v>
  </rv>
  <rv s="5">
    <fb>74.58</fb>
    <v>14</v>
  </rv>
  <rv s="5">
    <fb>32.47</fb>
    <v>14</v>
  </rv>
  <rv s="5">
    <fb>18.657299999999999</fb>
    <v>14</v>
  </rv>
  <rv s="5">
    <fb>133.99</fb>
    <v>14</v>
  </rv>
  <rv s="5">
    <fb>397.35</fb>
    <v>14</v>
  </rv>
  <rv s="5">
    <fb>4221.8599999999997</fb>
    <v>14</v>
  </rv>
  <rv s="5">
    <fb>44365</fb>
    <v>13</v>
  </rv>
  <rv s="5">
    <fb>120.111</fb>
    <v>14</v>
  </rv>
  <rv s="5">
    <fb>174.345</fb>
    <v>14</v>
  </rv>
  <rv s="5">
    <fb>822.5</fb>
    <v>14</v>
  </rv>
  <rv s="5">
    <fb>367.42</fb>
    <v>14</v>
  </rv>
  <rv s="5">
    <fb>31.29</fb>
    <v>14</v>
  </rv>
  <rv s="5">
    <fb>18.6387</fb>
    <v>14</v>
  </rv>
  <rv s="5">
    <fb>132.03</fb>
    <v>14</v>
  </rv>
  <rv s="5">
    <fb>389.37</fb>
    <v>14</v>
  </rv>
  <rv s="5">
    <fb>4166.45</fb>
    <v>14</v>
  </rv>
  <rv s="5">
    <fb>44368</fb>
    <v>13</v>
  </rv>
  <rv s="5">
    <fb>121.8125</fb>
    <v>14</v>
  </rv>
  <rv s="5">
    <fb>172.69800000000001</fb>
    <v>14</v>
  </rv>
  <rv s="5">
    <fb>79.959999999999994</fb>
    <v>14</v>
  </rv>
  <rv s="5">
    <fb>822.57</fb>
    <v>14</v>
  </rv>
  <rv s="5">
    <fb>216</fb>
    <v>14</v>
  </rv>
  <rv s="5">
    <fb>373.09</fb>
    <v>14</v>
  </rv>
  <rv s="5">
    <fb>33.119999999999997</fb>
    <v>14</v>
  </rv>
  <rv s="5">
    <fb>18.427299999999999</fb>
    <v>14</v>
  </rv>
  <rv s="5">
    <fb>398.07</fb>
    <v>14</v>
  </rv>
  <rv s="5">
    <fb>4224.79</fb>
    <v>14</v>
  </rv>
  <rv s="5">
    <fb>44369</fb>
    <v>13</v>
  </rv>
  <rv s="5">
    <fb>122.3305</fb>
    <v>14</v>
  </rv>
  <rv s="5">
    <fb>175.27199999999999</fb>
    <v>14</v>
  </rv>
  <rv s="5">
    <fb>803.56</fb>
    <v>14</v>
  </rv>
  <rv s="5">
    <fb>215.49</fb>
    <v>14</v>
  </rv>
  <rv s="5">
    <fb>378.04</fb>
    <v>14</v>
  </rv>
  <rv s="5">
    <fb>33.020000000000003</fb>
    <v>14</v>
  </rv>
  <rv s="5">
    <fb>18.886800000000001</fb>
    <v>14</v>
  </rv>
  <rv s="5">
    <fb>133.12</fb>
    <v>14</v>
  </rv>
  <rv s="5">
    <fb>398.69</fb>
    <v>14</v>
  </rv>
  <rv s="5">
    <fb>4246.4399999999996</fb>
    <v>14</v>
  </rv>
  <rv s="5">
    <fb>44370</fb>
    <v>13</v>
  </rv>
  <rv s="5">
    <fb>122.127</fb>
    <v>14</v>
  </rv>
  <rv s="5">
    <fb>175.191</fb>
    <v>14</v>
  </rv>
  <rv s="5">
    <fb>81.489999999999995</fb>
    <v>14</v>
  </rv>
  <rv s="5">
    <fb>779.32</fb>
    <v>14</v>
  </rv>
  <rv s="5">
    <fb>214.66</fb>
    <v>14</v>
  </rv>
  <rv s="5">
    <fb>375.14</fb>
    <v>14</v>
  </rv>
  <rv s="5">
    <fb>32.880000000000003</fb>
    <v>14</v>
  </rv>
  <rv s="5">
    <fb>19.057300000000001</fb>
    <v>14</v>
  </rv>
  <rv s="5">
    <fb>132.93</fb>
    <v>14</v>
  </rv>
  <rv s="5">
    <fb>395.56</fb>
    <v>14</v>
  </rv>
  <rv s="5">
    <fb>4241.84</fb>
    <v>14</v>
  </rv>
  <rv s="5">
    <fb>44371</fb>
    <v>13</v>
  </rv>
  <rv s="5">
    <fb>172.45400000000001</fb>
    <v>14</v>
  </rv>
  <rv s="5">
    <fb>82.03</fb>
    <v>14</v>
  </rv>
  <rv s="5">
    <fb>783.4</fb>
    <v>14</v>
  </rv>
  <rv s="5">
    <fb>217.69</fb>
    <v>14</v>
  </rv>
  <rv s="5">
    <fb>374.75</fb>
    <v>14</v>
  </rv>
  <rv s="5">
    <fb>72.88</fb>
    <v>14</v>
  </rv>
  <rv s="5">
    <fb>19.205500000000001</fb>
    <v>14</v>
  </rv>
  <rv s="5">
    <fb>133.02000000000001</fb>
    <v>14</v>
  </rv>
  <rv s="5">
    <fb>398.87</fb>
    <v>14</v>
  </rv>
  <rv s="5">
    <fb>4266.49</fb>
    <v>14</v>
  </rv>
  <rv s="5">
    <fb>44372</fb>
    <v>13</v>
  </rv>
  <rv s="5">
    <fb>122.5085</fb>
    <v>14</v>
  </rv>
  <rv s="5">
    <fb>170.07300000000001</fb>
    <v>14</v>
  </rv>
  <rv s="5">
    <fb>798.52</fb>
    <v>14</v>
  </rv>
  <rv s="5">
    <fb>218.74</fb>
    <v>14</v>
  </rv>
  <rv s="5">
    <fb>379.61</fb>
    <v>14</v>
  </rv>
  <rv s="5">
    <fb>73.86</fb>
    <v>14</v>
  </rv>
  <rv s="5">
    <fb>33.35</fb>
    <v>14</v>
  </rv>
  <rv s="5">
    <fb>19.030999999999999</fb>
    <v>14</v>
  </rv>
  <rv s="5">
    <fb>134.91999999999999</fb>
    <v>14</v>
  </rv>
  <rv s="5">
    <fb>404.95</fb>
    <v>14</v>
  </rv>
  <rv s="5">
    <fb>4280.7</fb>
    <v>14</v>
  </rv>
  <rv s="5">
    <fb>44375</fb>
    <v>13</v>
  </rv>
  <rv s="5">
    <fb>122.536</fb>
    <v>14</v>
  </rv>
  <rv s="5">
    <fb>172.19450000000001</fb>
    <v>14</v>
  </rv>
  <rv s="5">
    <fb>81.87</fb>
    <v>14</v>
  </rv>
  <rv s="5">
    <fb>802.33</fb>
    <v>14</v>
  </rv>
  <rv s="5">
    <fb>216.79</fb>
    <v>14</v>
  </rv>
  <rv s="5">
    <fb>367.68</fb>
    <v>14</v>
  </rv>
  <rv s="5">
    <fb>75.150000000000006</fb>
    <v>14</v>
  </rv>
  <rv s="5">
    <fb>32.020000000000003</fb>
    <v>14</v>
  </rv>
  <rv s="5">
    <fb>19.984999999999999</fb>
    <v>14</v>
  </rv>
  <rv s="5">
    <fb>135.32</fb>
    <v>14</v>
  </rv>
  <rv s="5">
    <fb>401.46</fb>
    <v>14</v>
  </rv>
  <rv s="5">
    <fb>4290.6099999999997</fb>
    <v>14</v>
  </rv>
  <rv s="5">
    <fb>44376</fb>
    <v>13</v>
  </rv>
  <rv s="5">
    <fb>122.27249999999999</fb>
    <v>14</v>
  </rv>
  <rv s="5">
    <fb>172.40700000000001</fb>
    <v>14</v>
  </rv>
  <rv s="5">
    <fb>802.6</fb>
    <v>14</v>
  </rv>
  <rv s="5">
    <fb>215.95</fb>
    <v>14</v>
  </rv>
  <rv s="5">
    <fb>368</fb>
    <v>14</v>
  </rv>
  <rv s="5">
    <fb>20.026800000000001</fb>
    <v>14</v>
  </rv>
  <rv s="5">
    <fb>134.4</fb>
    <v>14</v>
  </rv>
  <rv s="5">
    <fb>398.1</fb>
    <v>14</v>
  </rv>
  <rv s="5">
    <fb>4291.8</fb>
    <v>14</v>
  </rv>
  <rv s="5">
    <fb>44377</fb>
    <v>13</v>
  </rv>
  <rv s="5">
    <fb>122.0895</fb>
    <v>14</v>
  </rv>
  <rv s="5">
    <fb>172.00800000000001</fb>
    <v>14</v>
  </rv>
  <rv s="5">
    <fb>81.02</fb>
    <v>14</v>
  </rv>
  <rv s="5">
    <fb>797.64</fb>
    <v>14</v>
  </rv>
  <rv s="5">
    <fb>219.35</fb>
    <v>14</v>
  </rv>
  <rv s="5">
    <fb>365.09</fb>
    <v>14</v>
  </rv>
  <rv s="5">
    <fb>32.01</fb>
    <v>14</v>
  </rv>
  <rv s="5">
    <fb>20.002500000000001</fb>
    <v>14</v>
  </rv>
  <rv s="5">
    <fb>134.93</fb>
    <v>14</v>
  </rv>
  <rv s="5">
    <fb>400.44</fb>
    <v>14</v>
  </rv>
  <rv s="5">
    <fb>4297.5</fb>
    <v>14</v>
  </rv>
  <rv s="5">
    <fb>44378</fb>
    <v>13</v>
  </rv>
  <rv s="5">
    <fb>122.44450000000001</fb>
    <v>14</v>
  </rv>
  <rv s="5">
    <fb>171.64850000000001</fb>
    <v>14</v>
  </rv>
  <rv s="5">
    <fb>82.39</fb>
    <v>14</v>
  </rv>
  <rv s="5">
    <fb>800.5</fb>
    <v>14</v>
  </rv>
  <rv s="5">
    <fb>220.62</fb>
    <v>14</v>
  </rv>
  <rv s="5">
    <fb>370.71</fb>
    <v>14</v>
  </rv>
  <rv s="5">
    <fb>74.19</fb>
    <v>14</v>
  </rv>
  <rv s="5">
    <fb>20.212</fb>
    <v>14</v>
  </rv>
  <rv s="5">
    <fb>404.89</fb>
    <v>14</v>
  </rv>
  <rv s="5">
    <fb>4319.9399999999996</fb>
    <v>14</v>
  </rv>
  <rv s="5">
    <fb>44379</fb>
    <v>13</v>
  </rv>
  <rv s="5">
    <fb>125.25749999999999</fb>
    <v>14</v>
  </rv>
  <rv s="5">
    <fb>175.54900000000001</fb>
    <v>14</v>
  </rv>
  <rv s="5">
    <fb>81.83</fb>
    <v>14</v>
  </rv>
  <rv s="5">
    <fb>819.11</fb>
    <v>14</v>
  </rv>
  <rv s="5">
    <fb>375.03</fb>
    <v>14</v>
  </rv>
  <rv s="5">
    <fb>32.79</fb>
    <v>14</v>
  </rv>
  <rv s="5">
    <fb>20.486999999999998</fb>
    <v>14</v>
  </rv>
  <rv s="5">
    <fb>135.9</fb>
    <v>14</v>
  </rv>
  <rv s="5">
    <fb>409.36</fb>
    <v>14</v>
  </rv>
  <rv s="5">
    <fb>4352.34</fb>
    <v>14</v>
  </rv>
  <rv s="5">
    <fb>44383</fb>
    <v>13</v>
  </rv>
  <rv s="5">
    <fb>126.19</fb>
    <v>14</v>
  </rv>
  <rv s="5">
    <fb>183.78700000000001</fb>
    <v>14</v>
  </rv>
  <rv s="5">
    <fb>82.07</fb>
    <v>14</v>
  </rv>
  <rv s="5">
    <fb>827.81</fb>
    <v>14</v>
  </rv>
  <rv s="5">
    <fb>218.56</fb>
    <v>14</v>
  </rv>
  <rv s="5">
    <fb>376.12</fb>
    <v>14</v>
  </rv>
  <rv s="5">
    <fb>31.17</fb>
    <v>14</v>
  </rv>
  <rv s="5">
    <fb>20.698499999999999</fb>
    <v>14</v>
  </rv>
  <rv s="5">
    <fb>135.97999999999999</fb>
    <v>14</v>
  </rv>
  <rv s="5">
    <fb>410.26</fb>
    <v>14</v>
  </rv>
  <rv s="5">
    <fb>4343.54</fb>
    <v>14</v>
  </rv>
  <rv s="5">
    <fb>44384</fb>
    <v>13</v>
  </rv>
  <rv s="5">
    <fb>126.474</fb>
    <v>14</v>
  </rv>
  <rv s="5">
    <fb>184.82900000000001</fb>
    <v>14</v>
  </rv>
  <rv s="5">
    <fb>82.82</fb>
    <v>14</v>
  </rv>
  <rv s="5">
    <fb>828.19</fb>
    <v>14</v>
  </rv>
  <rv s="5">
    <fb>220.74</fb>
    <v>14</v>
  </rv>
  <rv s="5">
    <fb>373.92</fb>
    <v>14</v>
  </rv>
  <rv s="5">
    <fb>30.68</fb>
    <v>14</v>
  </rv>
  <rv s="5">
    <fb>20.3718</fb>
    <v>14</v>
  </rv>
  <rv s="5">
    <fb>137</fb>
    <v>14</v>
  </rv>
  <rv s="5">
    <fb>411.66</fb>
    <v>14</v>
  </rv>
  <rv s="5">
    <fb>4358.13</fb>
    <v>14</v>
  </rv>
  <rv s="5">
    <fb>44385</fb>
    <v>13</v>
  </rv>
  <rv s="5">
    <fb>125.044</fb>
    <v>14</v>
  </rv>
  <rv s="5">
    <fb>186.57050000000001</fb>
    <v>14</v>
  </rv>
  <rv s="5">
    <fb>85.29</fb>
    <v>14</v>
  </rv>
  <rv s="5">
    <fb>820.32</fb>
    <v>14</v>
  </rv>
  <rv s="5">
    <fb>219.32</fb>
    <v>14</v>
  </rv>
  <rv s="5">
    <fb>370.19</fb>
    <v>14</v>
  </rv>
  <rv s="5">
    <fb>30.53</fb>
    <v>14</v>
  </rv>
  <rv s="5">
    <fb>19.902799999999999</fb>
    <v>14</v>
  </rv>
  <rv s="5">
    <fb>136.97999999999999</fb>
    <v>14</v>
  </rv>
  <rv s="5">
    <fb>409.95</fb>
    <v>14</v>
  </rv>
  <rv s="5">
    <fb>4320.82</fb>
    <v>14</v>
  </rv>
  <rv s="5">
    <fb>44386</fb>
    <v>13</v>
  </rv>
  <rv s="5">
    <fb>125.5185</fb>
    <v>14</v>
  </rv>
  <rv s="5">
    <fb>185.96700000000001</fb>
    <v>14</v>
  </rv>
  <rv s="5">
    <fb>84.79</fb>
    <v>14</v>
  </rv>
  <rv s="5">
    <fb>829.55</fb>
    <v>14</v>
  </rv>
  <rv s="5">
    <fb>224.34</fb>
    <v>14</v>
  </rv>
  <rv s="5">
    <fb>372.94</fb>
    <v>14</v>
  </rv>
  <rv s="5">
    <fb>74.989999999999995</fb>
    <v>14</v>
  </rv>
  <rv s="5">
    <fb>31.19</fb>
    <v>14</v>
  </rv>
  <rv s="5">
    <fb>20.0503</fb>
    <v>14</v>
  </rv>
  <rv s="5">
    <fb>137.03</fb>
    <v>14</v>
  </rv>
  <rv s="5">
    <fb>412.11</fb>
    <v>14</v>
  </rv>
  <rv s="5">
    <fb>4369.55</fb>
    <v>14</v>
  </rv>
  <rv s="5">
    <fb>44389</fb>
    <v>13</v>
  </rv>
  <rv s="5">
    <fb>126.9755</fb>
    <v>14</v>
  </rv>
  <rv s="5">
    <fb>185.92750000000001</fb>
    <v>14</v>
  </rv>
  <rv s="5">
    <fb>84.76</fb>
    <v>14</v>
  </rv>
  <rv s="5">
    <fb>823.04</fb>
    <v>14</v>
  </rv>
  <rv s="5">
    <fb>225.02</fb>
    <v>14</v>
  </rv>
  <rv s="5">
    <fb>375.56</fb>
    <v>14</v>
  </rv>
  <rv s="5">
    <fb>75.09</fb>
    <v>14</v>
  </rv>
  <rv s="5">
    <fb>31.22</fb>
    <v>14</v>
  </rv>
  <rv s="5">
    <fb>20.512499999999999</fb>
    <v>14</v>
  </rv>
  <rv s="5">
    <fb>137.13999999999999</fb>
    <v>14</v>
  </rv>
  <rv s="5">
    <fb>416.04</fb>
    <v>14</v>
  </rv>
  <rv s="5">
    <fb>4384.63</fb>
    <v>14</v>
  </rv>
  <rv s="5">
    <fb>44390</fb>
    <v>13</v>
  </rv>
  <rv s="5">
    <fb>127.3415</fb>
    <v>14</v>
  </rv>
  <rv s="5">
    <fb>183.86799999999999</fb>
    <v>14</v>
  </rv>
  <rv s="5">
    <fb>831.84</fb>
    <v>14</v>
  </rv>
  <rv s="5">
    <fb>224.08</fb>
    <v>14</v>
  </rv>
  <rv s="5">
    <fb>383.71</fb>
    <v>14</v>
  </rv>
  <rv s="5">
    <fb>30.61</fb>
    <v>14</v>
  </rv>
  <rv s="5">
    <fb>20.25</fb>
    <v>14</v>
  </rv>
  <rv s="5">
    <fb>136.97</fb>
    <v>14</v>
  </rv>
  <rv s="5">
    <fb>418.54</fb>
    <v>14</v>
  </rv>
  <rv s="5">
    <fb>4369.21</fb>
    <v>14</v>
  </rv>
  <rv s="5">
    <fb>44391</fb>
    <v>13</v>
  </rv>
  <rv s="5">
    <fb>128.23699999999999</fb>
    <v>14</v>
  </rv>
  <rv s="5">
    <fb>184.084</fb>
    <v>14</v>
  </rv>
  <rv s="5">
    <fb>834.04</fb>
    <v>14</v>
  </rv>
  <rv s="5">
    <fb>227.77</fb>
    <v>14</v>
  </rv>
  <rv s="5">
    <fb>390.8</fb>
    <v>14</v>
  </rv>
  <rv s="5">
    <fb>75.7</fb>
    <v>14</v>
  </rv>
  <rv s="5">
    <fb>29.55</fb>
    <v>14</v>
  </rv>
  <rv s="5">
    <fb>19.8415</fb>
    <v>14</v>
  </rv>
  <rv s="5">
    <fb>137.97999999999999</fb>
    <v>14</v>
  </rv>
  <rv s="5">
    <fb>414.74</fb>
    <v>14</v>
  </rv>
  <rv s="5">
    <fb>4374.3</fb>
    <v>14</v>
  </rv>
  <rv s="5">
    <fb>44392</fb>
    <v>13</v>
  </rv>
  <rv s="5">
    <fb>127.005</fb>
    <v>14</v>
  </rv>
  <rv s="5">
    <fb>181.56</fb>
    <v>14</v>
  </rv>
  <rv s="5">
    <fb>84.94</fb>
    <v>14</v>
  </rv>
  <rv s="5">
    <fb>831.47</fb>
    <v>14</v>
  </rv>
  <rv s="5">
    <fb>232.81</fb>
    <v>14</v>
  </rv>
  <rv s="5">
    <fb>390.23</fb>
    <v>14</v>
  </rv>
  <rv s="5">
    <fb>76.819999999999993</fb>
    <v>14</v>
  </rv>
  <rv s="5">
    <fb>28.73</fb>
    <v>14</v>
  </rv>
  <rv s="5">
    <fb>18.9663</fb>
    <v>14</v>
  </rv>
  <rv s="5">
    <fb>139.16</fb>
    <v>14</v>
  </rv>
  <rv s="5">
    <fb>420.05</fb>
    <v>14</v>
  </rv>
  <rv s="5">
    <fb>4360.03</fb>
    <v>14</v>
  </rv>
  <rv s="5">
    <fb>44393</fb>
    <v>13</v>
  </rv>
  <rv s="5">
    <fb>126.97</fb>
    <v>14</v>
  </rv>
  <rv s="5">
    <fb>178.6815</fb>
    <v>14</v>
  </rv>
  <rv s="5">
    <fb>85.75</fb>
    <v>14</v>
  </rv>
  <rv s="5">
    <fb>834.3</fb>
    <v>14</v>
  </rv>
  <rv s="5">
    <fb>230.33</fb>
    <v>14</v>
  </rv>
  <rv s="5">
    <fb>77.92</fb>
    <v>14</v>
  </rv>
  <rv s="5">
    <fb>27.87</fb>
    <v>14</v>
  </rv>
  <rv s="5">
    <fb>18.161000000000001</fb>
    <v>14</v>
  </rv>
  <rv s="5">
    <fb>419.7</fb>
    <v>14</v>
  </rv>
  <rv s="5">
    <fb>4327.16</fb>
    <v>14</v>
  </rv>
  <rv s="5">
    <fb>44396</fb>
    <v>13</v>
  </rv>
  <rv s="5">
    <fb>124.578</fb>
    <v>14</v>
  </rv>
  <rv s="5">
    <fb>177.4795</fb>
    <v>14</v>
  </rv>
  <rv s="5">
    <fb>832.65</fb>
    <v>14</v>
  </rv>
  <rv s="5">
    <fb>220.66</fb>
    <v>14</v>
  </rv>
  <rv s="5">
    <fb>365.45</fb>
    <v>14</v>
  </rv>
  <rv s="5">
    <fb>76.989999999999995</fb>
    <v>14</v>
  </rv>
  <rv s="5">
    <fb>26.65</fb>
    <v>14</v>
  </rv>
  <rv s="5">
    <fb>18.779800000000002</fb>
    <v>14</v>
  </rv>
  <rv s="5">
    <fb>140.44</fb>
    <v>14</v>
  </rv>
  <rv s="5">
    <fb>409.06</fb>
    <v>14</v>
  </rv>
  <rv s="5">
    <fb>4258.49</fb>
    <v>14</v>
  </rv>
  <rv s="5">
    <fb>44397</fb>
    <v>13</v>
  </rv>
  <rv s="5">
    <fb>126.20950000000001</fb>
    <v>14</v>
  </rv>
  <rv s="5">
    <fb>178.65950000000001</fb>
    <v>14</v>
  </rv>
  <rv s="5">
    <fb>84.42</fb>
    <v>14</v>
  </rv>
  <rv s="5">
    <fb>819.76</fb>
    <v>14</v>
  </rv>
  <rv s="5">
    <fb>229.66</fb>
    <v>14</v>
  </rv>
  <rv s="5">
    <fb>374.39</fb>
    <v>14</v>
  </rv>
  <rv s="5">
    <fb>27.24</fb>
    <v>14</v>
  </rv>
  <rv s="5">
    <fb>18.611999999999998</fb>
    <v>14</v>
  </rv>
  <rv s="5">
    <fb>139.69</fb>
    <v>14</v>
  </rv>
  <rv s="5">
    <fb>412.97</fb>
    <v>14</v>
  </rv>
  <rv s="5">
    <fb>4323.0600000000004</fb>
    <v>14</v>
  </rv>
  <rv s="5">
    <fb>44398</fb>
    <v>13</v>
  </rv>
  <rv s="5">
    <fb>127.54900000000001</fb>
    <v>14</v>
  </rv>
  <rv s="5">
    <fb>179.26</fb>
    <v>14</v>
  </rv>
  <rv s="5">
    <fb>820.82</fb>
    <v>14</v>
  </rv>
  <rv s="5">
    <fb>231.85</fb>
    <v>14</v>
  </rv>
  <rv s="5">
    <fb>380.06</fb>
    <v>14</v>
  </rv>
  <rv s="5">
    <fb>28.43</fb>
    <v>14</v>
  </rv>
  <rv s="5">
    <fb>19.41</fb>
    <v>14</v>
  </rv>
  <rv s="5">
    <fb>139.19999999999999</fb>
    <v>14</v>
  </rv>
  <rv s="5">
    <fb>414.64</fb>
    <v>14</v>
  </rv>
  <rv s="5">
    <fb>4358.6899999999996</fb>
    <v>14</v>
  </rv>
  <rv s="5">
    <fb>44399</fb>
    <v>13</v>
  </rv>
  <rv s="5">
    <fb>128.42150000000001</fb>
    <v>14</v>
  </rv>
  <rv s="5">
    <fb>181.9015</fb>
    <v>14</v>
  </rv>
  <rv s="5">
    <fb>81.73</fb>
    <v>14</v>
  </rv>
  <rv s="5">
    <fb>833.48</fb>
    <v>14</v>
  </rv>
  <rv s="5">
    <fb>232.74</fb>
    <v>14</v>
  </rv>
  <rv s="5">
    <fb>76.12</fb>
    <v>14</v>
  </rv>
  <rv s="5">
    <fb>27.98</fb>
    <v>14</v>
  </rv>
  <rv s="5">
    <fb>19.594000000000001</fb>
    <v>14</v>
  </rv>
  <rv s="5">
    <fb>137.80000000000001</fb>
    <v>14</v>
  </rv>
  <rv s="5">
    <fb>415.77</fb>
    <v>14</v>
  </rv>
  <rv s="5">
    <fb>4367.4799999999996</fb>
    <v>14</v>
  </rv>
  <rv s="5">
    <fb>44400</fb>
    <v>13</v>
  </rv>
  <rv s="5">
    <fb>133.01499999999999</fb>
    <v>14</v>
  </rv>
  <rv s="5">
    <fb>182.83199999999999</fb>
    <v>14</v>
  </rv>
  <rv s="5">
    <fb>80</fb>
    <v>14</v>
  </rv>
  <rv s="5">
    <fb>829.51</fb>
    <v>14</v>
  </rv>
  <rv s="5">
    <fb>229.32</fb>
    <v>14</v>
  </rv>
  <rv s="5">
    <fb>393.26</fb>
    <v>14</v>
  </rv>
  <rv s="5">
    <fb>77.2</fb>
    <v>14</v>
  </rv>
  <rv s="5">
    <fb>28.41</fb>
    <v>14</v>
  </rv>
  <rv s="5">
    <fb>19.558</fb>
    <v>14</v>
  </rv>
  <rv s="5">
    <fb>139.79</fb>
    <v>14</v>
  </rv>
  <rv s="5">
    <fb>4411.79</fb>
    <v>14</v>
  </rv>
  <rv s="5">
    <fb>44403</fb>
    <v>13</v>
  </rv>
  <rv s="5">
    <fb>134.035</fb>
    <v>14</v>
  </rv>
  <rv s="5">
    <fb>184.99100000000001</fb>
    <v>14</v>
  </rv>
  <rv s="5">
    <fb>81.17</fb>
    <v>14</v>
  </rv>
  <rv s="5">
    <fb>841.83</fb>
    <v>14</v>
  </rv>
  <rv s="5">
    <fb>229.25</fb>
    <v>14</v>
  </rv>
  <rv s="5">
    <fb>392.8</fb>
    <v>14</v>
  </rv>
  <rv s="5">
    <fb>76.91</fb>
    <v>14</v>
  </rv>
  <rv s="5">
    <fb>29.46</fb>
    <v>14</v>
  </rv>
  <rv s="5">
    <fb>19.294</fb>
    <v>14</v>
  </rv>
  <rv s="5">
    <fb>140.28</fb>
    <v>14</v>
  </rv>
  <rv s="5">
    <fb>413.54</fb>
    <v>14</v>
  </rv>
  <rv s="5">
    <fb>4422.3</fb>
    <v>14</v>
  </rv>
  <rv s="5">
    <fb>44404</fb>
    <v>13</v>
  </rv>
  <rv s="5">
    <fb>131.9</fb>
    <v>14</v>
  </rv>
  <rv s="5">
    <fb>181.31950000000001</fb>
    <v>14</v>
  </rv>
  <rv s="5">
    <fb>836.31</fb>
    <v>14</v>
  </rv>
  <rv s="5">
    <fb>230.36</fb>
    <v>14</v>
  </rv>
  <rv s="5">
    <fb>390.27</fb>
    <v>14</v>
  </rv>
  <rv s="5">
    <fb>29.18</fb>
    <v>14</v>
  </rv>
  <rv s="5">
    <fb>19.207999999999998</fb>
    <v>14</v>
  </rv>
  <rv s="5">
    <fb>140.85</fb>
    <v>14</v>
  </rv>
  <rv s="5">
    <fb>415.1</fb>
    <v>14</v>
  </rv>
  <rv s="5">
    <fb>4401.46</fb>
    <v>14</v>
  </rv>
  <rv s="5">
    <fb>44405</fb>
    <v>13</v>
  </rv>
  <rv s="5">
    <fb>136.09399999999999</fb>
    <v>14</v>
  </rv>
  <rv s="5">
    <fb>181.51599999999999</fb>
    <v>14</v>
  </rv>
  <rv s="5">
    <fb>786.38</fb>
    <v>14</v>
  </rv>
  <rv s="5">
    <fb>230.49</fb>
    <v>14</v>
  </rv>
  <rv s="5">
    <fb>383.44</fb>
    <v>14</v>
  </rv>
  <rv s="5">
    <fb>77.849999999999994</fb>
    <v>14</v>
  </rv>
  <rv s="5">
    <fb>29.32</fb>
    <v>14</v>
  </rv>
  <rv s="5">
    <fb>19.503</fb>
    <v>14</v>
  </rv>
  <rv s="5">
    <fb>409.17</fb>
    <v>14</v>
  </rv>
  <rv s="5">
    <fb>4400.6400000000003</fb>
    <v>14</v>
  </rv>
  <rv s="5">
    <fb>44406</fb>
    <v>13</v>
  </rv>
  <rv s="5">
    <fb>135.7775</fb>
    <v>14</v>
  </rv>
  <rv s="5">
    <fb>179.99600000000001</fb>
    <v>14</v>
  </rv>
  <rv s="5">
    <fb>820.41</fb>
    <v>14</v>
  </rv>
  <rv s="5">
    <fb>232.88</fb>
    <v>14</v>
  </rv>
  <rv s="5">
    <fb>388.81</fb>
    <v>14</v>
  </rv>
  <rv s="5">
    <fb>29.64</fb>
    <v>14</v>
  </rv>
  <rv s="5">
    <fb>19.661999999999999</fb>
    <v>14</v>
  </rv>
  <rv s="5">
    <fb>139.47999999999999</fb>
    <v>14</v>
  </rv>
  <rv s="5">
    <fb>412.08</fb>
    <v>14</v>
  </rv>
  <rv s="5">
    <fb>4419.1499999999996</fb>
    <v>14</v>
  </rv>
  <rv s="5">
    <fb>44407</fb>
    <v>13</v>
  </rv>
  <rv s="5">
    <fb>134.72649999999999</fb>
    <v>14</v>
  </rv>
  <rv s="5">
    <fb>166.37950000000001</fb>
    <v>14</v>
  </rv>
  <rv s="5">
    <fb>818.99</fb>
    <v>14</v>
  </rv>
  <rv s="5">
    <fb>233.79</fb>
    <v>14</v>
  </rv>
  <rv s="5">
    <fb>385.94</fb>
    <v>14</v>
  </rv>
  <rv s="5">
    <fb>28.83</fb>
    <v>14</v>
  </rv>
  <rv s="5">
    <fb>19.498999999999999</fb>
    <v>14</v>
  </rv>
  <rv s="5">
    <fb>142.22999999999999</fb>
    <v>14</v>
  </rv>
  <rv s="5">
    <fb>412.22</fb>
    <v>14</v>
  </rv>
  <rv s="5">
    <fb>4395.26</fb>
    <v>14</v>
  </rv>
  <rv s="5">
    <fb>44410</fb>
    <v>13</v>
  </rv>
  <rv s="5">
    <fb>134.8545</fb>
    <v>14</v>
  </rv>
  <rv s="5">
    <fb>166.57400000000001</fb>
    <v>14</v>
  </rv>
  <rv s="5">
    <fb>820.31</fb>
    <v>14</v>
  </rv>
  <rv s="5">
    <fb>232.42</fb>
    <v>14</v>
  </rv>
  <rv s="5">
    <fb>375.26</fb>
    <v>14</v>
  </rv>
  <rv s="5">
    <fb>78.81</fb>
    <v>14</v>
  </rv>
  <rv s="5">
    <fb>28.5</fb>
    <v>14</v>
  </rv>
  <rv s="5">
    <fb>19.75</fb>
    <v>14</v>
  </rv>
  <rv s="5">
    <fb>415.57</fb>
    <v>14</v>
  </rv>
  <rv s="5">
    <fb>4387.16</fb>
    <v>14</v>
  </rv>
  <rv s="5">
    <fb>44411</fb>
    <v>13</v>
  </rv>
  <rv s="5">
    <fb>135.63</fb>
    <v>14</v>
  </rv>
  <rv s="5">
    <fb>168.31200000000001</fb>
    <v>14</v>
  </rv>
  <rv s="5">
    <fb>80.44</fb>
    <v>14</v>
  </rv>
  <rv s="5">
    <fb>828.34</fb>
    <v>14</v>
  </rv>
  <rv s="5">
    <fb>232.65</fb>
    <v>14</v>
  </rv>
  <rv s="5">
    <fb>79.42</fb>
    <v>14</v>
  </rv>
  <rv s="5">
    <fb>28.9</fb>
    <v>14</v>
  </rv>
  <rv s="5">
    <fb>19.815000000000001</fb>
    <v>14</v>
  </rv>
  <rv s="5">
    <fb>143.94999999999999</fb>
    <v>14</v>
  </rv>
  <rv s="5">
    <fb>421.9</fb>
    <v>14</v>
  </rv>
  <rv s="5">
    <fb>4423.1499999999996</fb>
    <v>14</v>
  </rv>
  <rv s="5">
    <fb>44412</fb>
    <v>13</v>
  </rv>
  <rv s="5">
    <fb>135.12549999999999</fb>
    <v>14</v>
  </rv>
  <rv s="5">
    <fb>167.73599999999999</fb>
    <v>14</v>
  </rv>
  <rv s="5">
    <fb>79.03</fb>
    <v>14</v>
  </rv>
  <rv s="5">
    <fb>830.62</fb>
    <v>14</v>
  </rv>
  <rv s="5">
    <fb>368.01</fb>
    <v>14</v>
  </rv>
  <rv s="5">
    <fb>79.87</fb>
    <v>14</v>
  </rv>
  <rv s="5">
    <fb>27.63</fb>
    <v>14</v>
  </rv>
  <rv s="5">
    <fb>20.274000000000001</fb>
    <v>14</v>
  </rv>
  <rv s="5">
    <fb>421.54</fb>
    <v>14</v>
  </rv>
  <rv s="5">
    <fb>4402.66</fb>
    <v>14</v>
  </rv>
  <rv s="5">
    <fb>44413</fb>
    <v>13</v>
  </rv>
  <rv s="5">
    <fb>136.25149999999999</fb>
    <v>14</v>
  </rv>
  <rv s="5">
    <fb>168.79949999999999</fb>
    <v>14</v>
  </rv>
  <rv s="5">
    <fb>820.15</fb>
    <v>14</v>
  </rv>
  <rv s="5">
    <fb>229.88</fb>
    <v>14</v>
  </rv>
  <rv s="5">
    <fb>371.94</fb>
    <v>14</v>
  </rv>
  <rv s="5">
    <fb>27.92</fb>
    <v>14</v>
  </rv>
  <rv s="5">
    <fb>20.637</fb>
    <v>14</v>
  </rv>
  <rv s="5">
    <fb>142.5</fb>
    <v>14</v>
  </rv>
  <rv s="5">
    <fb>411.19</fb>
    <v>14</v>
  </rv>
  <rv s="5">
    <fb>4429.1000000000004</fb>
    <v>14</v>
  </rv>
  <rv s="5">
    <fb>44414</fb>
    <v>13</v>
  </rv>
  <rv s="5">
    <fb>135.73849999999999</fb>
    <v>14</v>
  </rv>
  <rv s="5">
    <fb>167.24700000000001</fb>
    <v>14</v>
  </rv>
  <rv s="5">
    <fb>85.24</fb>
    <v>14</v>
  </rv>
  <rv s="5">
    <fb>814.99</fb>
    <v>14</v>
  </rv>
  <rv s="5">
    <fb>229.68</fb>
    <v>14</v>
  </rv>
  <rv s="5">
    <fb>374.53</fb>
    <v>14</v>
  </rv>
  <rv s="5">
    <fb>80.61</fb>
    <v>14</v>
  </rv>
  <rv s="5">
    <fb>28.42</fb>
    <v>14</v>
  </rv>
  <rv s="5">
    <fb>20.366</fb>
    <v>14</v>
  </rv>
  <rv s="5">
    <fb>141.41</fb>
    <v>14</v>
  </rv>
  <rv s="5">
    <fb>415.12</fb>
    <v>14</v>
  </rv>
  <rv s="5">
    <fb>4436.5200000000004</fb>
    <v>14</v>
  </rv>
  <rv s="5">
    <fb>44417</fb>
    <v>13</v>
  </rv>
  <rv s="5">
    <fb>136.91300000000001</fb>
    <v>14</v>
  </rv>
  <rv s="5">
    <fb>167.09350000000001</fb>
    <v>14</v>
  </rv>
  <rv s="5">
    <fb>87.35</fb>
    <v>14</v>
  </rv>
  <rv s="5">
    <fb>797.97</fb>
    <v>14</v>
  </rv>
  <rv s="5">
    <fb>228.23</fb>
    <v>14</v>
  </rv>
  <rv s="5">
    <fb>80.56</fb>
    <v>14</v>
  </rv>
  <rv s="5">
    <fb>27.99</fb>
    <v>14</v>
  </rv>
  <rv s="5">
    <fb>20.295000000000002</fb>
    <v>14</v>
  </rv>
  <rv s="5">
    <fb>142.18</fb>
    <v>14</v>
  </rv>
  <rv s="5">
    <fb>410.87</fb>
    <v>14</v>
  </rv>
  <rv s="5">
    <fb>4432.3500000000004</fb>
    <v>14</v>
  </rv>
  <rv s="5">
    <fb>44418</fb>
    <v>13</v>
  </rv>
  <rv s="5">
    <fb>136.80699999999999</fb>
    <v>14</v>
  </rv>
  <rv s="5">
    <fb>166.03399999999999</fb>
    <v>14</v>
  </rv>
  <rv s="5">
    <fb>88.83</fb>
    <v>14</v>
  </rv>
  <rv s="5">
    <fb>806.88</fb>
    <v>14</v>
  </rv>
  <rv s="5">
    <fb>367.84</fb>
    <v>14</v>
  </rv>
  <rv s="5">
    <fb>19.936</fb>
    <v>14</v>
  </rv>
  <rv s="5">
    <fb>142.27000000000001</fb>
    <v>14</v>
  </rv>
  <rv s="5">
    <fb>411.78</fb>
    <v>14</v>
  </rv>
  <rv s="5">
    <fb>4436.75</fb>
    <v>14</v>
  </rv>
  <rv s="5">
    <fb>44419</fb>
    <v>13</v>
  </rv>
  <rv s="5">
    <fb>136.279</fb>
    <v>14</v>
  </rv>
  <rv s="5">
    <fb>164.60550000000001</fb>
    <v>14</v>
  </rv>
  <rv s="5">
    <fb>89.54</fb>
    <v>14</v>
  </rv>
  <rv s="5">
    <fb>811.72</fb>
    <v>14</v>
  </rv>
  <rv s="5">
    <fb>234.18</fb>
    <v>14</v>
  </rv>
  <rv s="5">
    <fb>364.24</fb>
    <v>14</v>
  </rv>
  <rv s="5">
    <fb>82.37</fb>
    <v>14</v>
  </rv>
  <rv s="5">
    <fb>28.98</fb>
    <v>14</v>
  </rv>
  <rv s="5">
    <fb>19.699000000000002</fb>
    <v>14</v>
  </rv>
  <rv s="5">
    <fb>142.62</fb>
    <v>14</v>
  </rv>
  <rv s="5">
    <fb>407.74</fb>
    <v>14</v>
  </rv>
  <rv s="5">
    <fb>4447.7</fb>
    <v>14</v>
  </rv>
  <rv s="5">
    <fb>44420</fb>
    <v>13</v>
  </rv>
  <rv s="5">
    <fb>137.19399999999999</fb>
    <v>14</v>
  </rv>
  <rv s="5">
    <fb>165.17500000000001</fb>
    <v>14</v>
  </rv>
  <rv s="5">
    <fb>89.45</fb>
    <v>14</v>
  </rv>
  <rv s="5">
    <fb>814.09</fb>
    <v>14</v>
  </rv>
  <rv s="5">
    <fb>231.94</fb>
    <v>14</v>
  </rv>
  <rv s="5">
    <fb>361.98</fb>
    <v>14</v>
  </rv>
  <rv s="5">
    <fb>28.55</fb>
    <v>14</v>
  </rv>
  <rv s="5">
    <fb>19.905000000000001</fb>
    <v>14</v>
  </rv>
  <rv s="5">
    <fb>142.94999999999999</fb>
    <v>14</v>
  </rv>
  <rv s="5">
    <fb>405.96</fb>
    <v>14</v>
  </rv>
  <rv s="5">
    <fb>4460.83</fb>
    <v>14</v>
  </rv>
  <rv s="5">
    <fb>44421</fb>
    <v>13</v>
  </rv>
  <rv s="5">
    <fb>137.72749999999999</fb>
    <v>14</v>
  </rv>
  <rv s="5">
    <fb>164.6985</fb>
    <v>14</v>
  </rv>
  <rv s="5">
    <fb>822.94</fb>
    <v>14</v>
  </rv>
  <rv s="5">
    <fb>231.76</fb>
    <v>14</v>
  </rv>
  <rv s="5">
    <fb>362.75</fb>
    <v>14</v>
  </rv>
  <rv s="5">
    <fb>28.35</fb>
    <v>14</v>
  </rv>
  <rv s="5">
    <fb>20.187999999999999</fb>
    <v>14</v>
  </rv>
  <rv s="5">
    <fb>143.63999999999999</fb>
    <v>14</v>
  </rv>
  <rv s="5">
    <fb>409.67</fb>
    <v>14</v>
  </rv>
  <rv s="5">
    <fb>4468</fb>
    <v>14</v>
  </rv>
  <rv s="5">
    <fb>44424</fb>
    <v>13</v>
  </rv>
  <rv s="5">
    <fb>138.30950000000001</fb>
    <v>14</v>
  </rv>
  <rv s="5">
    <fb>164.9495</fb>
    <v>14</v>
  </rv>
  <rv s="5">
    <fb>89.07</fb>
    <v>14</v>
  </rv>
  <rv s="5">
    <fb>233.74</fb>
    <v>14</v>
  </rv>
  <rv s="5">
    <fb>363.56</fb>
    <v>14</v>
  </rv>
  <rv s="5">
    <fb>27.78</fb>
    <v>14</v>
  </rv>
  <rv s="5">
    <fb>19.95</fb>
    <v>14</v>
  </rv>
  <rv s="5">
    <fb>144.63999999999999</fb>
    <v>14</v>
  </rv>
  <rv s="5">
    <fb>417.21</fb>
    <v>14</v>
  </rv>
  <rv s="5">
    <fb>4479.71</fb>
    <v>14</v>
  </rv>
  <rv s="5">
    <fb>44425</fb>
    <v>13</v>
  </rv>
  <rv s="5">
    <fb>136.66149999999999</fb>
    <v>14</v>
  </rv>
  <rv s="5">
    <fb>162.09800000000001</fb>
    <v>14</v>
  </rv>
  <rv s="5">
    <fb>814.27</fb>
    <v>14</v>
  </rv>
  <rv s="5">
    <fb>231.45</fb>
    <v>14</v>
  </rv>
  <rv s="5">
    <fb>363.23</fb>
    <v>14</v>
  </rv>
  <rv s="5">
    <fb>83.96</fb>
    <v>14</v>
  </rv>
  <rv s="5">
    <fb>19.457999999999998</fb>
    <v>14</v>
  </rv>
  <rv s="5">
    <fb>144.88</fb>
    <v>14</v>
  </rv>
  <rv s="5">
    <fb>421.78</fb>
    <v>14</v>
  </rv>
  <rv s="5">
    <fb>4448.08</fb>
    <v>14</v>
  </rv>
  <rv s="5">
    <fb>44426</fb>
    <v>13</v>
  </rv>
  <rv s="5">
    <fb>135.44900000000001</fb>
    <v>14</v>
  </rv>
  <rv s="5">
    <fb>160.06100000000001</fb>
    <v>14</v>
  </rv>
  <rv s="5">
    <fb>90.71</fb>
    <v>14</v>
  </rv>
  <rv s="5">
    <fb>833.96</fb>
    <v>14</v>
  </rv>
  <rv s="5">
    <fb>228.42</fb>
    <v>14</v>
  </rv>
  <rv s="5">
    <fb>360.95</fb>
    <v>14</v>
  </rv>
  <rv s="5">
    <fb>19.04</fb>
    <v>14</v>
  </rv>
  <rv s="5">
    <fb>143.30000000000001</fb>
    <v>14</v>
  </rv>
  <rv s="5">
    <fb>4400.2700000000004</fb>
    <v>14</v>
  </rv>
  <rv s="5">
    <fb>44427</fb>
    <v>13</v>
  </rv>
  <rv s="5">
    <fb>135.68</fb>
    <v>14</v>
  </rv>
  <rv s="5">
    <fb>159.38749999999999</fb>
    <v>14</v>
  </rv>
  <rv s="5">
    <fb>92.5</fb>
    <v>14</v>
  </rv>
  <rv s="5">
    <fb>835.63</fb>
    <v>14</v>
  </rv>
  <rv s="5">
    <fb>227.73</fb>
    <v>14</v>
  </rv>
  <rv s="5">
    <fb>357.31</fb>
    <v>14</v>
  </rv>
  <rv s="5">
    <fb>84.55</fb>
    <v>14</v>
  </rv>
  <rv s="5">
    <fb>26.44</fb>
    <v>14</v>
  </rv>
  <rv s="5">
    <fb>19.797999999999998</fb>
    <v>14</v>
  </rv>
  <rv s="5">
    <fb>144.99</fb>
    <v>14</v>
  </rv>
  <rv s="5">
    <fb>427.89</fb>
    <v>14</v>
  </rv>
  <rv s="5">
    <fb>4405.8</fb>
    <v>14</v>
  </rv>
  <rv s="5">
    <fb>44428</fb>
    <v>13</v>
  </rv>
  <rv s="5">
    <fb>137.42949999999999</fb>
    <v>14</v>
  </rv>
  <rv s="5">
    <fb>159.9975</fb>
    <v>14</v>
  </rv>
  <rv s="5">
    <fb>94.63</fb>
    <v>14</v>
  </rv>
  <rv s="5">
    <fb>835.57</fb>
    <v>14</v>
  </rv>
  <rv s="5">
    <fb>227.7</fb>
    <v>14</v>
  </rv>
  <rv s="5">
    <fb>354.99</fb>
    <v>14</v>
  </rv>
  <rv s="5">
    <fb>86.28</fb>
    <v>14</v>
  </rv>
  <rv s="5">
    <fb>26.46</fb>
    <v>14</v>
  </rv>
  <rv s="5">
    <fb>20.815999999999999</fb>
    <v>14</v>
  </rv>
  <rv s="5">
    <fb>145.09</fb>
    <v>14</v>
  </rv>
  <rv s="5">
    <fb>429.71</fb>
    <v>14</v>
  </rv>
  <rv s="5">
    <fb>4441.67</fb>
    <v>14</v>
  </rv>
  <rv s="5">
    <fb>44431</fb>
    <v>13</v>
  </rv>
  <rv s="5">
    <fb>140.04150000000001</fb>
    <v>14</v>
  </rv>
  <rv s="5">
    <fb>163.29349999999999</fb>
    <v>14</v>
  </rv>
  <rv s="5">
    <fb>94.85</fb>
    <v>14</v>
  </rv>
  <rv s="5">
    <fb>820.24</fb>
    <v>14</v>
  </rv>
  <rv s="5">
    <fb>229.11</fb>
    <v>14</v>
  </rv>
  <rv s="5">
    <fb>361.01</fb>
    <v>14</v>
  </rv>
  <rv s="5">
    <fb>27.49</fb>
    <v>14</v>
  </rv>
  <rv s="5">
    <fb>21.957999999999998</fb>
    <v>14</v>
  </rv>
  <rv s="5">
    <fb>144.35</fb>
    <v>14</v>
  </rv>
  <rv s="5">
    <fb>425.36</fb>
    <v>14</v>
  </rv>
  <rv s="5">
    <fb>4479.53</fb>
    <v>14</v>
  </rv>
  <rv s="5">
    <fb>44432</fb>
    <v>13</v>
  </rv>
  <rv s="5">
    <fb>165.28899999999999</fb>
    <v>14</v>
  </rv>
  <rv s="5">
    <fb>807.53</fb>
    <v>14</v>
  </rv>
  <rv s="5">
    <fb>230.44</fb>
    <v>14</v>
  </rv>
  <rv s="5">
    <fb>361.78</fb>
    <v>14</v>
  </rv>
  <rv s="5">
    <fb>84.14</fb>
    <v>14</v>
  </rv>
  <rv s="5">
    <fb>21.792999999999999</fb>
    <v>14</v>
  </rv>
  <rv s="5">
    <fb>143.18</fb>
    <v>14</v>
  </rv>
  <rv s="5">
    <fb>423.41</fb>
    <v>14</v>
  </rv>
  <rv s="5">
    <fb>4486.2299999999996</fb>
    <v>14</v>
  </rv>
  <rv s="5">
    <fb>44433</fb>
    <v>13</v>
  </rv>
  <rv s="5">
    <fb>142.07900000000001</fb>
    <v>14</v>
  </rv>
  <rv s="5">
    <fb>164.959</fb>
    <v>14</v>
  </rv>
  <rv s="5">
    <fb>94.66</fb>
    <v>14</v>
  </rv>
  <rv s="5">
    <fb>824.99</fb>
    <v>14</v>
  </rv>
  <rv s="5">
    <fb>359.1</fb>
    <v>14</v>
  </rv>
  <rv s="5">
    <fb>28.45</fb>
    <v>14</v>
  </rv>
  <rv s="5">
    <fb>22.213000000000001</fb>
    <v>14</v>
  </rv>
  <rv s="5">
    <fb>142.66999999999999</fb>
    <v>14</v>
  </rv>
  <rv s="5">
    <fb>419.74</fb>
    <v>14</v>
  </rv>
  <rv s="5">
    <fb>4496.1899999999996</fb>
    <v>14</v>
  </rv>
  <rv s="5">
    <fb>44434</fb>
    <v>13</v>
  </rv>
  <rv s="5">
    <fb>141.44049999999999</fb>
    <v>14</v>
  </rv>
  <rv s="5">
    <fb>165.8</fb>
    <v>14</v>
  </rv>
  <rv s="5">
    <fb>94.31</fb>
    <v>14</v>
  </rv>
  <rv s="5">
    <fb>824.81</fb>
    <v>14</v>
  </rv>
  <rv s="5">
    <fb>230.88</fb>
    <v>14</v>
  </rv>
  <rv s="5">
    <fb>352.86</fb>
    <v>14</v>
  </rv>
  <rv s="5">
    <fb>83.81</fb>
    <v>14</v>
  </rv>
  <rv s="5">
    <fb>28.13</fb>
    <v>14</v>
  </rv>
  <rv s="5">
    <fb>22.068000000000001</fb>
    <v>14</v>
  </rv>
  <rv s="5">
    <fb>416.85</fb>
    <v>14</v>
  </rv>
  <rv s="5">
    <fb>4470</fb>
    <v>14</v>
  </rv>
  <rv s="5">
    <fb>44435</fb>
    <v>13</v>
  </rv>
  <rv s="5">
    <fb>144.00399999999999</fb>
    <v>14</v>
  </rv>
  <rv s="5">
    <fb>167.48150000000001</fb>
    <v>14</v>
  </rv>
  <rv s="5">
    <fb>94.37</fb>
    <v>14</v>
  </rv>
  <rv s="5">
    <fb>840.03</fb>
    <v>14</v>
  </rv>
  <rv s="5">
    <fb>231.14</fb>
    <v>14</v>
  </rv>
  <rv s="5">
    <fb>355.73</fb>
    <v>14</v>
  </rv>
  <rv s="5">
    <fb>29.08</fb>
    <v>14</v>
  </rv>
  <rv s="5">
    <fb>22.635999999999999</fb>
    <v>14</v>
  </rv>
  <rv s="5">
    <fb>142.31</fb>
    <v>14</v>
  </rv>
  <rv s="5">
    <fb>418.76</fb>
    <v>14</v>
  </rv>
  <rv s="5">
    <fb>4509.37</fb>
    <v>14</v>
  </rv>
  <rv s="5">
    <fb>44438</fb>
    <v>13</v>
  </rv>
  <rv s="5">
    <fb>144.59049999999999</fb>
    <v>14</v>
  </rv>
  <rv s="5">
    <fb>171.07849999999999</fb>
    <v>14</v>
  </rv>
  <rv s="5">
    <fb>95.69</fb>
    <v>14</v>
  </rv>
  <rv s="5">
    <fb>843.45</fb>
    <v>14</v>
  </rv>
  <rv s="5">
    <fb>231.87</fb>
    <v>14</v>
  </rv>
  <rv s="5">
    <fb>353.05</fb>
    <v>14</v>
  </rv>
  <rv s="5">
    <fb>28.28</fb>
    <v>14</v>
  </rv>
  <rv s="5">
    <fb>22.687999999999999</fb>
    <v>14</v>
  </rv>
  <rv s="5">
    <fb>142.93</fb>
    <v>14</v>
  </rv>
  <rv s="5">
    <fb>418.3</fb>
    <v>14</v>
  </rv>
  <rv s="5">
    <fb>4528.79</fb>
    <v>14</v>
  </rv>
  <rv s="5">
    <fb>44439</fb>
    <v>13</v>
  </rv>
  <rv s="5">
    <fb>144.69749999999999</fb>
    <v>14</v>
  </rv>
  <rv s="5">
    <fb>173.5395</fb>
    <v>14</v>
  </rv>
  <rv s="5">
    <fb>95.96</fb>
    <v>14</v>
  </rv>
  <rv s="5">
    <fb>868.84</fb>
    <v>14</v>
  </rv>
  <rv s="5">
    <fb>231.91</fb>
    <v>14</v>
  </rv>
  <rv s="5">
    <fb>346.23</fb>
    <v>14</v>
  </rv>
  <rv s="5">
    <fb>83.99</fb>
    <v>14</v>
  </rv>
  <rv s="5">
    <fb>28.04</fb>
    <v>14</v>
  </rv>
  <rv s="5">
    <fb>22.385000000000002</fb>
    <v>14</v>
  </rv>
  <rv s="5">
    <fb>142.38999999999999</fb>
    <v>14</v>
  </rv>
  <rv s="5">
    <fb>416.27</fb>
    <v>14</v>
  </rv>
  <rv s="5">
    <fb>4522.68</fb>
    <v>14</v>
  </rv>
  <rv s="5">
    <fb>44440</fb>
    <v>13</v>
  </rv>
  <rv s="5">
    <fb>145.21549999999999</fb>
    <v>14</v>
  </rv>
  <rv s="5">
    <fb>173.95</fb>
    <v>14</v>
  </rv>
  <rv s="5">
    <fb>96.66</fb>
    <v>14</v>
  </rv>
  <rv s="5">
    <fb>874.43</fb>
    <v>14</v>
  </rv>
  <rv s="5">
    <fb>229.8</fb>
    <v>14</v>
  </rv>
  <rv s="5">
    <fb>349.57</fb>
    <v>14</v>
  </rv>
  <rv s="5">
    <fb>85.34</fb>
    <v>14</v>
  </rv>
  <rv s="5">
    <fb>22.440999999999999</fb>
    <v>14</v>
  </rv>
  <rv s="5">
    <fb>143.84</fb>
    <v>14</v>
  </rv>
  <rv s="5">
    <fb>417.35</fb>
    <v>14</v>
  </rv>
  <rv s="5">
    <fb>4524.09</fb>
    <v>14</v>
  </rv>
  <rv s="5">
    <fb>44441</fb>
    <v>13</v>
  </rv>
  <rv s="5">
    <fb>143.28700000000001</fb>
    <v>14</v>
  </rv>
  <rv s="5">
    <fb>173.15600000000001</fb>
    <v>14</v>
  </rv>
  <rv s="5">
    <fb>97.79</fb>
    <v>14</v>
  </rv>
  <rv s="5">
    <fb>882.83</fb>
    <v>14</v>
  </rv>
  <rv s="5">
    <fb>341.28</fb>
    <v>14</v>
  </rv>
  <rv s="5">
    <fb>28.61</fb>
    <v>14</v>
  </rv>
  <rv s="5">
    <fb>22.396000000000001</fb>
    <v>14</v>
  </rv>
  <rv s="5">
    <fb>423.71</fb>
    <v>14</v>
  </rv>
  <rv s="5">
    <fb>4536.95</fb>
    <v>14</v>
  </rv>
  <rv s="5">
    <fb>44442</fb>
    <v>13</v>
  </rv>
  <rv s="5">
    <fb>143.73949999999999</fb>
    <v>14</v>
  </rv>
  <rv s="5">
    <fb>173.9025</fb>
    <v>14</v>
  </rv>
  <rv s="5">
    <fb>97.38</fb>
    <v>14</v>
  </rv>
  <rv s="5">
    <fb>881.76</fb>
    <v>14</v>
  </rv>
  <rv s="5">
    <fb>228.36</fb>
    <v>14</v>
  </rv>
  <rv s="5">
    <fb>340.23</fb>
    <v>14</v>
  </rv>
  <rv s="5">
    <fb>85.69</fb>
    <v>14</v>
  </rv>
  <rv s="5">
    <fb>28.09</fb>
    <v>14</v>
  </rv>
  <rv s="5">
    <fb>22.843</fb>
    <v>14</v>
  </rv>
  <rv s="5">
    <fb>4535.43</fb>
    <v>14</v>
  </rv>
  <rv s="5">
    <fb>44446</fb>
    <v>13</v>
  </rv>
  <rv s="5">
    <fb>144.28049999999999</fb>
    <v>14</v>
  </rv>
  <rv s="5">
    <fb>175.46449999999999</fb>
    <v>14</v>
  </rv>
  <rv s="5">
    <fb>96.93</fb>
    <v>14</v>
  </rv>
  <rv s="5">
    <fb>882.31</fb>
    <v>14</v>
  </rv>
  <rv s="5">
    <fb>344.71</fb>
    <v>14</v>
  </rv>
  <rv s="5">
    <fb>27.83</fb>
    <v>14</v>
  </rv>
  <rv s="5">
    <fb>22.661999999999999</fb>
    <v>14</v>
  </rv>
  <rv s="5">
    <fb>143.51</fb>
    <v>14</v>
  </rv>
  <rv s="5">
    <fb>421.24</fb>
    <v>14</v>
  </rv>
  <rv s="5">
    <fb>4520.03</fb>
    <v>14</v>
  </rv>
  <rv s="5">
    <fb>44447</fb>
    <v>13</v>
  </rv>
  <rv s="5">
    <fb>143.691</fb>
    <v>14</v>
  </rv>
  <rv s="5">
    <fb>176.27500000000001</fb>
    <v>14</v>
  </rv>
  <rv s="5">
    <fb>96.68</fb>
    <v>14</v>
  </rv>
  <rv s="5">
    <fb>854.56</fb>
    <v>14</v>
  </rv>
  <rv s="5">
    <fb>224.4</fb>
    <v>14</v>
  </rv>
  <rv s="5">
    <fb>351.04</fb>
    <v>14</v>
  </rv>
  <rv s="5">
    <fb>86.44</fb>
    <v>14</v>
  </rv>
  <rv s="5">
    <fb>22.338999999999999</fb>
    <v>14</v>
  </rv>
  <rv s="5">
    <fb>144.6</fb>
    <v>14</v>
  </rv>
  <rv s="5">
    <fb>415.39</fb>
    <v>14</v>
  </rv>
  <rv s="5">
    <fb>4514.07</fb>
    <v>14</v>
  </rv>
  <rv s="5">
    <fb>44448</fb>
    <v>13</v>
  </rv>
  <rv s="5">
    <fb>143.541</fb>
    <v>14</v>
  </rv>
  <rv s="5">
    <fb>174.208</fb>
    <v>14</v>
  </rv>
  <rv s="5">
    <fb>95.46</fb>
    <v>14</v>
  </rv>
  <rv s="5">
    <fb>844</fb>
    <v>14</v>
  </rv>
  <rv s="5">
    <fb>351.41</fb>
    <v>14</v>
  </rv>
  <rv s="5">
    <fb>85.84</fb>
    <v>14</v>
  </rv>
  <rv s="5">
    <fb>22.177</fb>
    <v>14</v>
  </rv>
  <rv s="5">
    <fb>143.99</fb>
    <v>14</v>
  </rv>
  <rv s="5">
    <fb>414.55</fb>
    <v>14</v>
  </rv>
  <rv s="5">
    <fb>4493.28</fb>
    <v>14</v>
  </rv>
  <rv s="5">
    <fb>44449</fb>
    <v>13</v>
  </rv>
  <rv s="5">
    <fb>140.876</fb>
    <v>14</v>
  </rv>
  <rv s="5">
    <fb>173.45750000000001</fb>
    <v>14</v>
  </rv>
  <rv s="5">
    <fb>94.83</fb>
    <v>14</v>
  </rv>
  <rv s="5">
    <fb>839.54</fb>
    <v>14</v>
  </rv>
  <rv s="5">
    <fb>347.39</fb>
    <v>14</v>
  </rv>
  <rv s="5">
    <fb>26.78</fb>
    <v>14</v>
  </rv>
  <rv s="5">
    <fb>22.478000000000002</fb>
    <v>14</v>
  </rv>
  <rv s="5">
    <fb>144.13</fb>
    <v>14</v>
  </rv>
  <rv s="5">
    <fb>403.91</fb>
    <v>14</v>
  </rv>
  <rv s="5">
    <fb>4458.58</fb>
    <v>14</v>
  </rv>
  <rv s="5">
    <fb>44452</fb>
    <v>13</v>
  </rv>
  <rv s="5">
    <fb>142.33250000000001</fb>
    <v>14</v>
  </rv>
  <rv s="5">
    <fb>172.85849999999999</fb>
    <v>14</v>
  </rv>
  <rv s="5">
    <fb>94.06</fb>
    <v>14</v>
  </rv>
  <rv s="5">
    <fb>834.89</fb>
    <v>14</v>
  </rv>
  <rv s="5">
    <fb>223.6</fb>
    <v>14</v>
  </rv>
  <rv s="5">
    <fb>347.82</fb>
    <v>14</v>
  </rv>
  <rv s="5">
    <fb>28.11</fb>
    <v>14</v>
  </rv>
  <rv s="5">
    <fb>22.152000000000001</fb>
    <v>14</v>
  </rv>
  <rv s="5">
    <fb>145.68</fb>
    <v>14</v>
  </rv>
  <rv s="5">
    <fb>414.52</fb>
    <v>14</v>
  </rv>
  <rv s="5">
    <fb>4468.7299999999996</fb>
    <v>14</v>
  </rv>
  <rv s="5">
    <fb>44453</fb>
    <v>13</v>
  </rv>
  <rv s="5">
    <fb>142.5445</fb>
    <v>14</v>
  </rv>
  <rv s="5">
    <fb>172.5</fb>
    <v>14</v>
  </rv>
  <rv s="5">
    <fb>843.44</fb>
    <v>14</v>
  </rv>
  <rv s="5">
    <fb>220.19</fb>
    <v>14</v>
  </rv>
  <rv s="5">
    <fb>345.8</fb>
    <v>14</v>
  </rv>
  <rv s="5">
    <fb>27.67</fb>
    <v>14</v>
  </rv>
  <rv s="5">
    <fb>22.242000000000001</fb>
    <v>14</v>
  </rv>
  <rv s="5">
    <fb>145.43</fb>
    <v>14</v>
  </rv>
  <rv s="5">
    <fb>412.54</fb>
    <v>14</v>
  </rv>
  <rv s="5">
    <fb>4443.05</fb>
    <v>14</v>
  </rv>
  <rv s="5">
    <fb>44454</fb>
    <v>13</v>
  </rv>
  <rv s="5">
    <fb>144.42949999999999</fb>
    <v>14</v>
  </rv>
  <rv s="5">
    <fb>173.7895</fb>
    <v>14</v>
  </rv>
  <rv s="5">
    <fb>93.21</fb>
    <v>14</v>
  </rv>
  <rv s="5">
    <fb>853.25</fb>
    <v>14</v>
  </rv>
  <rv s="5">
    <fb>344.75</fb>
    <v>14</v>
  </rv>
  <rv s="5">
    <fb>84.61</fb>
    <v>14</v>
  </rv>
  <rv s="5">
    <fb>29.24</fb>
    <v>14</v>
  </rv>
  <rv s="5">
    <fb>22.341000000000001</fb>
    <v>14</v>
  </rv>
  <rv s="5">
    <fb>145.12</fb>
    <v>14</v>
  </rv>
  <rv s="5">
    <fb>417.52</fb>
    <v>14</v>
  </rv>
  <rv s="5">
    <fb>4480.7</fb>
    <v>14</v>
  </rv>
  <rv s="5">
    <fb>44455</fb>
    <v>13</v>
  </rv>
  <rv s="5">
    <fb>143.61000000000001</fb>
    <v>14</v>
  </rv>
  <rv s="5">
    <fb>174.41200000000001</fb>
    <v>14</v>
  </rv>
  <rv s="5">
    <fb>92.75</fb>
    <v>14</v>
  </rv>
  <rv s="5">
    <fb>872.58</fb>
    <v>14</v>
  </rv>
  <rv s="5">
    <fb>219.65</fb>
    <v>14</v>
  </rv>
  <rv s="5">
    <fb>346.31</fb>
    <v>14</v>
  </rv>
  <rv s="5">
    <fb>28.86</fb>
    <v>14</v>
  </rv>
  <rv s="5">
    <fb>416.84</fb>
    <v>14</v>
  </rv>
  <rv s="5">
    <fb>4473.75</fb>
    <v>14</v>
  </rv>
  <rv s="5">
    <fb>44456</fb>
    <v>13</v>
  </rv>
  <rv s="5">
    <fb>140.80000000000001</fb>
    <v>14</v>
  </rv>
  <rv s="5">
    <fb>173.126</fb>
    <v>14</v>
  </rv>
  <rv s="5">
    <fb>92.36</fb>
    <v>14</v>
  </rv>
  <rv s="5">
    <fb>850.23</fb>
    <v>14</v>
  </rv>
  <rv s="5">
    <fb>218.49</fb>
    <v>14</v>
  </rv>
  <rv s="5">
    <fb>343.04</fb>
    <v>14</v>
  </rv>
  <rv s="5">
    <fb>81.64</fb>
    <v>14</v>
  </rv>
  <rv s="5">
    <fb>21.9</fb>
    <v>14</v>
  </rv>
  <rv s="5">
    <fb>144.34</fb>
    <v>14</v>
  </rv>
  <rv s="5">
    <fb>420.16</fb>
    <v>14</v>
  </rv>
  <rv s="5">
    <fb>4432.99</fb>
    <v>14</v>
  </rv>
  <rv s="5">
    <fb>44459</fb>
    <v>13</v>
  </rv>
  <rv s="5">
    <fb>138.71950000000001</fb>
    <v>14</v>
  </rv>
  <rv s="5">
    <fb>167.78649999999999</fb>
    <v>14</v>
  </rv>
  <rv s="5">
    <fb>848.2</fb>
    <v>14</v>
  </rv>
  <rv s="5">
    <fb>215.73</fb>
    <v>14</v>
  </rv>
  <rv s="5">
    <fb>339.69</fb>
    <v>14</v>
  </rv>
  <rv s="5">
    <fb>21.113</fb>
    <v>14</v>
  </rv>
  <rv s="5">
    <fb>4357.7299999999996</fb>
    <v>14</v>
  </rv>
  <rv s="5">
    <fb>44460</fb>
    <v>13</v>
  </rv>
  <rv s="5">
    <fb>139.03299999999999</fb>
    <v>14</v>
  </rv>
  <rv s="5">
    <fb>167.1815</fb>
    <v>14</v>
  </rv>
  <rv s="5">
    <fb>860.12</fb>
    <v>14</v>
  </rv>
  <rv s="5">
    <fb>214.9</fb>
    <v>14</v>
  </rv>
  <rv s="5">
    <fb>337.38</fb>
    <v>14</v>
  </rv>
  <rv s="5">
    <fb>26.93</fb>
    <v>14</v>
  </rv>
  <rv s="5">
    <fb>21.245999999999999</fb>
    <v>14</v>
  </rv>
  <rv s="5">
    <fb>143.11000000000001</fb>
    <v>14</v>
  </rv>
  <rv s="5">
    <fb>412.34</fb>
    <v>14</v>
  </rv>
  <rv s="5">
    <fb>4354.1899999999996</fb>
    <v>14</v>
  </rv>
  <rv s="5">
    <fb>44461</fb>
    <v>13</v>
  </rv>
  <rv s="5">
    <fb>140.2835</fb>
    <v>14</v>
  </rv>
  <rv s="5">
    <fb>169.0025</fb>
    <v>14</v>
  </rv>
  <rv s="5">
    <fb>92.95</fb>
    <v>14</v>
  </rv>
  <rv s="5">
    <fb>848.01</fb>
    <v>14</v>
  </rv>
  <rv s="5">
    <fb>217.02</fb>
    <v>14</v>
  </rv>
  <rv s="5">
    <fb>343.41</fb>
    <v>14</v>
  </rv>
  <rv s="5">
    <fb>81.900000000000006</fb>
    <v>14</v>
  </rv>
  <rv s="5">
    <fb>27.15</fb>
    <v>14</v>
  </rv>
  <rv s="5">
    <fb>21.940999999999999</fb>
    <v>14</v>
  </rv>
  <rv s="5">
    <fb>143.6</fb>
    <v>14</v>
  </rv>
  <rv s="5">
    <fb>408.7</fb>
    <v>14</v>
  </rv>
  <rv s="5">
    <fb>4395.6400000000003</fb>
    <v>14</v>
  </rv>
  <rv s="5">
    <fb>44462</fb>
    <v>13</v>
  </rv>
  <rv s="5">
    <fb>141.21600000000001</fb>
    <v>14</v>
  </rv>
  <rv s="5">
    <fb>170.8</fb>
    <v>14</v>
  </rv>
  <rv s="5">
    <fb>93.25</fb>
    <v>14</v>
  </rv>
  <rv s="5">
    <fb>834.68</fb>
    <v>14</v>
  </rv>
  <rv s="5">
    <fb>219.7</fb>
    <v>14</v>
  </rv>
  <rv s="5">
    <fb>354.07</fb>
    <v>14</v>
  </rv>
  <rv s="5">
    <fb>81.27</fb>
    <v>14</v>
  </rv>
  <rv s="5">
    <fb>28.88</fb>
    <v>14</v>
  </rv>
  <rv s="5">
    <fb>22.481999999999999</fb>
    <v>14</v>
  </rv>
  <rv s="5">
    <fb>144.19</fb>
    <v>14</v>
  </rv>
  <rv s="5">
    <fb>408.03</fb>
    <v>14</v>
  </rv>
  <rv s="5">
    <fb>4448.9799999999996</fb>
    <v>14</v>
  </rv>
  <rv s="5">
    <fb>44463</fb>
    <v>13</v>
  </rv>
  <rv s="5">
    <fb>142.215</fb>
    <v>14</v>
  </rv>
  <rv s="5">
    <fb>171.27600000000001</fb>
    <v>14</v>
  </rv>
  <rv s="5">
    <fb>92.3</fb>
    <v>14</v>
  </rv>
  <rv s="5">
    <fb>358.16</fb>
    <v>14</v>
  </rv>
  <rv s="5">
    <fb>22.081</fb>
    <v>14</v>
  </rv>
  <rv s="5">
    <fb>143.55000000000001</fb>
    <v>14</v>
  </rv>
  <rv s="5">
    <fb>407.08</fb>
    <v>14</v>
  </rv>
  <rv s="5">
    <fb>4455.4799999999996</fb>
    <v>14</v>
  </rv>
  <rv s="5">
    <fb>44466</fb>
    <v>13</v>
  </rv>
  <rv s="5">
    <fb>141.072</fb>
    <v>14</v>
  </rv>
  <rv s="5">
    <fb>170.29</fb>
    <v>14</v>
  </rv>
  <rv s="5">
    <fb>798.94</fb>
    <v>14</v>
  </rv>
  <rv s="5">
    <fb>217.9</fb>
    <v>14</v>
  </rv>
  <rv s="5">
    <fb>356.77</fb>
    <v>14</v>
  </rv>
  <rv s="5">
    <fb>30.19</fb>
    <v>14</v>
  </rv>
  <rv s="5">
    <fb>21.66</fb>
    <v>14</v>
  </rv>
  <rv s="5">
    <fb>141.66</fb>
    <v>14</v>
  </rv>
  <rv s="5">
    <fb>405.27</fb>
    <v>14</v>
  </rv>
  <rv s="5">
    <fb>4443.1099999999997</fb>
    <v>14</v>
  </rv>
  <rv s="5">
    <fb>44467</fb>
    <v>13</v>
  </rv>
  <rv s="5">
    <fb>135.83000000000001</fb>
    <v>14</v>
  </rv>
  <rv s="5">
    <fb>165.798</fb>
    <v>14</v>
  </rv>
  <rv s="5">
    <fb>89.71</fb>
    <v>14</v>
  </rv>
  <rv s="5">
    <fb>801.58</fb>
    <v>14</v>
  </rv>
  <rv s="5">
    <fb>214.97</fb>
    <v>14</v>
  </rv>
  <rv s="5">
    <fb>351.18</fb>
    <v>14</v>
  </rv>
  <rv s="5">
    <fb>77.27</fb>
    <v>14</v>
  </rv>
  <rv s="5">
    <fb>30.91</fb>
    <v>14</v>
  </rv>
  <rv s="5">
    <fb>20.699000000000002</fb>
    <v>14</v>
  </rv>
  <rv s="5">
    <fb>398.62</fb>
    <v>14</v>
  </rv>
  <rv s="5">
    <fb>4352.63</fb>
    <v>14</v>
  </rv>
  <rv s="5">
    <fb>44468</fb>
    <v>13</v>
  </rv>
  <rv s="5">
    <fb>134.3535</fb>
    <v>14</v>
  </rv>
  <rv s="5">
    <fb>165.05600000000001</fb>
    <v>14</v>
  </rv>
  <rv s="5">
    <fb>89.74</fb>
    <v>14</v>
  </rv>
  <rv s="5">
    <fb>790.13</fb>
    <v>14</v>
  </rv>
  <rv s="5">
    <fb>214.92</fb>
    <v>14</v>
  </rv>
  <rv s="5">
    <fb>353.19</fb>
    <v>14</v>
  </rv>
  <rv s="5">
    <fb>78.349999999999994</fb>
    <v>14</v>
  </rv>
  <rv s="5">
    <fb>30.33</fb>
    <v>14</v>
  </rv>
  <rv s="5">
    <fb>20.516999999999999</fb>
    <v>14</v>
  </rv>
  <rv s="5">
    <fb>142.02000000000001</fb>
    <v>14</v>
  </rv>
  <rv s="5">
    <fb>400.41</fb>
    <v>14</v>
  </rv>
  <rv s="5">
    <fb>4359.46</fb>
    <v>14</v>
  </rv>
  <rv s="5">
    <fb>44469</fb>
    <v>13</v>
  </rv>
  <rv s="5">
    <fb>133.67599999999999</fb>
    <v>14</v>
  </rv>
  <rv s="5">
    <fb>164.25200000000001</fb>
    <v>14</v>
  </rv>
  <rv s="5">
    <fb>789.32</fb>
    <v>14</v>
  </rv>
  <rv s="5">
    <fb>212.28</fb>
    <v>14</v>
  </rv>
  <rv s="5">
    <fb>347.68</fb>
    <v>14</v>
  </rv>
  <rv s="5">
    <fb>20.716000000000001</fb>
    <v>14</v>
  </rv>
  <rv s="5">
    <fb>139.80000000000001</fb>
    <v>14</v>
  </rv>
  <rv s="5">
    <fb>390.74</fb>
    <v>14</v>
  </rv>
  <rv s="5">
    <fb>4307.54</fb>
    <v>14</v>
  </rv>
  <rv s="5">
    <fb>44470</fb>
    <v>13</v>
  </rv>
  <rv s="5">
    <fb>136.54300000000001</fb>
    <v>14</v>
  </rv>
  <rv s="5">
    <fb>164.16300000000001</fb>
    <v>14</v>
  </rv>
  <rv s="5">
    <fb>785.61</fb>
    <v>14</v>
  </rv>
  <rv s="5">
    <fb>215.65</fb>
    <v>14</v>
  </rv>
  <rv s="5">
    <fb>360.18</fb>
    <v>14</v>
  </rv>
  <rv s="5">
    <fb>30.36</fb>
    <v>14</v>
  </rv>
  <rv s="5">
    <fb>20.742000000000001</fb>
    <v>14</v>
  </rv>
  <rv s="5">
    <fb>139.58000000000001</fb>
    <v>14</v>
  </rv>
  <rv s="5">
    <fb>4357.04</fb>
    <v>14</v>
  </rv>
  <rv s="5">
    <fb>44473</fb>
    <v>13</v>
  </rv>
  <rv s="5">
    <fb>133.65950000000001</fb>
    <v>14</v>
  </rv>
  <rv s="5">
    <fb>159.489</fb>
    <v>14</v>
  </rv>
  <rv s="5">
    <fb>89.82</fb>
    <v>14</v>
  </rv>
  <rv s="5">
    <fb>760.07</fb>
    <v>14</v>
  </rv>
  <rv s="5">
    <fb>214.21</fb>
    <v>14</v>
  </rv>
  <rv s="5">
    <fb>344.2</fb>
    <v>14</v>
  </rv>
  <rv s="5">
    <fb>79.36</fb>
    <v>14</v>
  </rv>
  <rv s="5">
    <fb>30.88</fb>
    <v>14</v>
  </rv>
  <rv s="5">
    <fb>19.731999999999999</fb>
    <v>14</v>
  </rv>
  <rv s="5">
    <fb>387.01</fb>
    <v>14</v>
  </rv>
  <rv s="5">
    <fb>4300.46</fb>
    <v>14</v>
  </rv>
  <rv s="5">
    <fb>44474</fb>
    <v>13</v>
  </rv>
  <rv s="5">
    <fb>136.023</fb>
    <v>14</v>
  </rv>
  <rv s="5">
    <fb>161.05000000000001</fb>
    <v>14</v>
  </rv>
  <rv s="5">
    <fb>91.49</fb>
    <v>14</v>
  </rv>
  <rv s="5">
    <fb>762.32</fb>
    <v>14</v>
  </rv>
  <rv s="5">
    <fb>215.72</fb>
    <v>14</v>
  </rv>
  <rv s="5">
    <fb>343.21</fb>
    <v>14</v>
  </rv>
  <rv s="5">
    <fb>79.48</fb>
    <v>14</v>
  </rv>
  <rv s="5">
    <fb>30.59</fb>
    <v>14</v>
  </rv>
  <rv s="5">
    <fb>20.451000000000001</fb>
    <v>14</v>
  </rv>
  <rv s="5">
    <fb>139.33000000000001</fb>
    <v>14</v>
  </rv>
  <rv s="5">
    <fb>393.43</fb>
    <v>14</v>
  </rv>
  <rv s="5">
    <fb>4345.72</fb>
    <v>14</v>
  </rv>
  <rv s="5">
    <fb>44475</fb>
    <v>13</v>
  </rv>
  <rv s="5">
    <fb>137.565</fb>
    <v>14</v>
  </rv>
  <rv s="5">
    <fb>163.10050000000001</fb>
    <v>14</v>
  </rv>
  <rv s="5">
    <fb>766.49</fb>
    <v>14</v>
  </rv>
  <rv s="5">
    <fb>216.86</fb>
    <v>14</v>
  </rv>
  <rv s="5">
    <fb>348.69</fb>
    <v>14</v>
  </rv>
  <rv s="5">
    <fb>81.180000000000007</fb>
    <v>14</v>
  </rv>
  <rv s="5">
    <fb>29.94</fb>
    <v>14</v>
  </rv>
  <rv s="5">
    <fb>20.7</fb>
    <v>14</v>
  </rv>
  <rv s="5">
    <fb>141.19</fb>
    <v>14</v>
  </rv>
  <rv s="5">
    <fb>394.25</fb>
    <v>14</v>
  </rv>
  <rv s="5">
    <fb>4363.55</fb>
    <v>14</v>
  </rv>
  <rv s="5">
    <fb>44476</fb>
    <v>13</v>
  </rv>
  <rv s="5">
    <fb>139.22499999999999</fb>
    <v>14</v>
  </rv>
  <rv s="5">
    <fb>165.1215</fb>
    <v>14</v>
  </rv>
  <rv s="5">
    <fb>91.91</fb>
    <v>14</v>
  </rv>
  <rv s="5">
    <fb>750.96</fb>
    <v>14</v>
  </rv>
  <rv s="5">
    <fb>218.37</fb>
    <v>14</v>
  </rv>
  <rv s="5">
    <fb>353.91</fb>
    <v>14</v>
  </rv>
  <rv s="5">
    <fb>80.92</fb>
    <v>14</v>
  </rv>
  <rv s="5">
    <fb>31.02</fb>
    <v>14</v>
  </rv>
  <rv s="5">
    <fb>21.074999999999999</fb>
    <v>14</v>
  </rv>
  <rv s="5">
    <fb>142.32</fb>
    <v>14</v>
  </rv>
  <rv s="5">
    <fb>404.7</fb>
    <v>14</v>
  </rv>
  <rv s="5">
    <fb>4399.76</fb>
    <v>14</v>
  </rv>
  <rv s="5">
    <fb>44477</fb>
    <v>13</v>
  </rv>
  <rv s="5">
    <fb>139.78550000000001</fb>
    <v>14</v>
  </rv>
  <rv s="5">
    <fb>164.43100000000001</fb>
    <v>14</v>
  </rv>
  <rv s="5">
    <fb>750.01</fb>
    <v>14</v>
  </rv>
  <rv s="5">
    <fb>217.7</fb>
    <v>14</v>
  </rv>
  <rv s="5">
    <fb>354.96</fb>
    <v>14</v>
  </rv>
  <rv s="5">
    <fb>80.209999999999994</fb>
    <v>14</v>
  </rv>
  <rv s="5">
    <fb>31.66</fb>
    <v>14</v>
  </rv>
  <rv s="5">
    <fb>20.831</fb>
    <v>14</v>
  </rv>
  <rv s="5">
    <fb>141.72999999999999</fb>
    <v>14</v>
  </rv>
  <rv s="5">
    <fb>408.46</fb>
    <v>14</v>
  </rv>
  <rv s="5">
    <fb>4391.34</fb>
    <v>14</v>
  </rv>
  <rv s="5">
    <fb>44480</fb>
    <v>13</v>
  </rv>
  <rv s="5">
    <fb>138.91399999999999</fb>
    <v>14</v>
  </rv>
  <rv s="5">
    <fb>162.315</fb>
    <v>14</v>
  </rv>
  <rv s="5">
    <fb>90.94</fb>
    <v>14</v>
  </rv>
  <rv s="5">
    <fb>759.43</fb>
    <v>14</v>
  </rv>
  <rv s="5">
    <fb>215.29</fb>
    <v>14</v>
  </rv>
  <rv s="5">
    <fb>347.15</fb>
    <v>14</v>
  </rv>
  <rv s="5">
    <fb>77.83</fb>
    <v>14</v>
  </rv>
  <rv s="5">
    <fb>32.46</fb>
    <v>14</v>
  </rv>
  <rv s="5">
    <fb>20.695</fb>
    <v>14</v>
  </rv>
  <rv s="5">
    <fb>404.99</fb>
    <v>14</v>
  </rv>
  <rv s="5">
    <fb>4361.1899999999996</fb>
    <v>14</v>
  </rv>
  <rv s="5">
    <fb>44481</fb>
    <v>13</v>
  </rv>
  <rv s="5">
    <fb>136.44900000000001</fb>
    <v>14</v>
  </rv>
  <rv s="5">
    <fb>162.3665</fb>
    <v>14</v>
  </rv>
  <rv s="5">
    <fb>90.46</fb>
    <v>14</v>
  </rv>
  <rv s="5">
    <fb>763.45</fb>
    <v>14</v>
  </rv>
  <rv s="5">
    <fb>214.33</fb>
    <v>14</v>
  </rv>
  <rv s="5">
    <fb>345.34</fb>
    <v>14</v>
  </rv>
  <rv s="5">
    <fb>20.670999999999999</fb>
    <v>14</v>
  </rv>
  <rv s="5">
    <fb>142.11000000000001</fb>
    <v>14</v>
  </rv>
  <rv s="5">
    <fb>403.24</fb>
    <v>14</v>
  </rv>
  <rv s="5">
    <fb>4350.6499999999996</fb>
    <v>14</v>
  </rv>
  <rv s="5">
    <fb>44482</fb>
    <v>13</v>
  </rv>
  <rv s="5">
    <fb>137.58199999999999</fb>
    <v>14</v>
  </rv>
  <rv s="5">
    <fb>164.214</fb>
    <v>14</v>
  </rv>
  <rv s="5">
    <fb>90.78</fb>
    <v>14</v>
  </rv>
  <rv s="5">
    <fb>769.65</fb>
    <v>14</v>
  </rv>
  <rv s="5">
    <fb>215.58</fb>
    <v>14</v>
  </rv>
  <rv s="5">
    <fb>342.35</fb>
    <v>14</v>
  </rv>
  <rv s="5">
    <fb>32.76</fb>
    <v>14</v>
  </rv>
  <rv s="5">
    <fb>20.939</fb>
    <v>14</v>
  </rv>
  <rv s="5">
    <fb>142.44</fb>
    <v>14</v>
  </rv>
  <rv s="5">
    <fb>403.55</fb>
    <v>14</v>
  </rv>
  <rv s="5">
    <fb>4363.8</fb>
    <v>14</v>
  </rv>
  <rv s="5">
    <fb>44483</fb>
    <v>13</v>
  </rv>
  <rv s="5">
    <fb>141.15100000000001</fb>
    <v>14</v>
  </rv>
  <rv s="5">
    <fb>164.99299999999999</fb>
    <v>14</v>
  </rv>
  <rv s="5">
    <fb>781.39</fb>
    <v>14</v>
  </rv>
  <rv s="5">
    <fb>218.59</fb>
    <v>14</v>
  </rv>
  <rv s="5">
    <fb>344.58</fb>
    <v>14</v>
  </rv>
  <rv s="5">
    <fb>81.459999999999994</fb>
    <v>14</v>
  </rv>
  <rv s="5">
    <fb>33.520000000000003</fb>
    <v>14</v>
  </rv>
  <rv s="5">
    <fb>21.745999999999999</fb>
    <v>14</v>
  </rv>
  <rv s="5">
    <fb>420.36</fb>
    <v>14</v>
  </rv>
  <rv s="5">
    <fb>4438.26</fb>
    <v>14</v>
  </rv>
  <rv s="5">
    <fb>44484</fb>
    <v>13</v>
  </rv>
  <rv s="5">
    <fb>141.36799999999999</fb>
    <v>14</v>
  </rv>
  <rv s="5">
    <fb>170.45099999999999</fb>
    <v>14</v>
  </rv>
  <rv s="5">
    <fb>767.77</fb>
    <v>14</v>
  </rv>
  <rv s="5">
    <fb>220.72</fb>
    <v>14</v>
  </rv>
  <rv s="5">
    <fb>81.67</fb>
    <v>14</v>
  </rv>
  <rv s="5">
    <fb>34</fb>
    <v>14</v>
  </rv>
  <rv s="5">
    <fb>21.861999999999998</fb>
    <v>14</v>
  </rv>
  <rv s="5">
    <fb>144.41999999999999</fb>
    <v>14</v>
  </rv>
  <rv s="5">
    <fb>428.07</fb>
    <v>14</v>
  </rv>
  <rv s="5">
    <fb>4471.37</fb>
    <v>14</v>
  </rv>
  <rv s="5">
    <fb>44487</fb>
    <v>13</v>
  </rv>
  <rv s="5">
    <fb>142.77799999999999</fb>
    <v>14</v>
  </rv>
  <rv s="5">
    <fb>172.33699999999999</fb>
    <v>14</v>
  </rv>
  <rv s="5">
    <fb>90.11</fb>
    <v>14</v>
  </rv>
  <rv s="5">
    <fb>779.67</fb>
    <v>14</v>
  </rv>
  <rv s="5">
    <fb>220.63</fb>
    <v>14</v>
  </rv>
  <rv s="5">
    <fb>358.44</fb>
    <v>14</v>
  </rv>
  <rv s="5">
    <fb>80.989999999999995</fb>
    <v>14</v>
  </rv>
  <rv s="5">
    <fb>34.159999999999997</fb>
    <v>14</v>
  </rv>
  <rv s="5">
    <fb>22.222000000000001</fb>
    <v>14</v>
  </rv>
  <rv s="5">
    <fb>142.34</fb>
    <v>14</v>
  </rv>
  <rv s="5">
    <fb>424.62</fb>
    <v>14</v>
  </rv>
  <rv s="5">
    <fb>4486.46</fb>
    <v>14</v>
  </rv>
  <rv s="5">
    <fb>44488</fb>
    <v>13</v>
  </rv>
  <rv s="5">
    <fb>143.23699999999999</fb>
    <v>14</v>
  </rv>
  <rv s="5">
    <fb>172.20750000000001</fb>
    <v>14</v>
  </rv>
  <rv s="5">
    <fb>793.84</fb>
    <v>14</v>
  </rv>
  <rv s="5">
    <fb>221.78</fb>
    <v>14</v>
  </rv>
  <rv s="5">
    <fb>362.1</fb>
    <v>14</v>
  </rv>
  <rv s="5">
    <fb>22.29</fb>
    <v>14</v>
  </rv>
  <rv s="5">
    <fb>140.66</fb>
    <v>14</v>
  </rv>
  <rv s="5">
    <fb>424.38</fb>
    <v>14</v>
  </rv>
  <rv s="5">
    <fb>4519.63</fb>
    <v>14</v>
  </rv>
  <rv s="5">
    <fb>44489</fb>
    <v>13</v>
  </rv>
  <rv s="5">
    <fb>141.76900000000001</fb>
    <v>14</v>
  </rv>
  <rv s="5">
    <fb>170.75299999999999</fb>
    <v>14</v>
  </rv>
  <rv s="5">
    <fb>810.16</fb>
    <v>14</v>
  </rv>
  <rv s="5">
    <fb>223.64</fb>
    <v>14</v>
  </rv>
  <rv s="5">
    <fb>83.92</fb>
    <v>14</v>
  </rv>
  <rv s="5">
    <fb>22.103000000000002</fb>
    <v>14</v>
  </rv>
  <rv s="5">
    <fb>141.21</fb>
    <v>14</v>
  </rv>
  <rv s="5">
    <fb>435.09</fb>
    <v>14</v>
  </rv>
  <rv s="5">
    <fb>4536.1899999999996</fb>
    <v>14</v>
  </rv>
  <rv s="5">
    <fb>44490</fb>
    <v>13</v>
  </rv>
  <rv s="5">
    <fb>141.886</fb>
    <v>14</v>
  </rv>
  <rv s="5">
    <fb>171.75049999999999</fb>
    <v>14</v>
  </rv>
  <rv s="5">
    <fb>821.02</fb>
    <v>14</v>
  </rv>
  <rv s="5">
    <fb>224.52</fb>
    <v>14</v>
  </rv>
  <rv s="5">
    <fb>356.21</fb>
    <v>14</v>
  </rv>
  <rv s="5">
    <fb>34.299999999999997</fb>
    <v>14</v>
  </rv>
  <rv s="5">
    <fb>22.692</fb>
    <v>14</v>
  </rv>
  <rv s="5">
    <fb>4549.78</fb>
    <v>14</v>
  </rv>
  <rv s="5">
    <fb>44491</fb>
    <v>13</v>
  </rv>
  <rv s="5">
    <fb>137.56649999999999</fb>
    <v>14</v>
  </rv>
  <rv s="5">
    <fb>166.7775</fb>
    <v>14</v>
  </rv>
  <rv s="5">
    <fb>92.21</fb>
    <v>14</v>
  </rv>
  <rv s="5">
    <fb>822.78</fb>
    <v>14</v>
  </rv>
  <rv s="5">
    <fb>217.4</fb>
    <v>14</v>
  </rv>
  <rv s="5">
    <fb>358.67</fb>
    <v>14</v>
  </rv>
  <rv s="5">
    <fb>33.909999999999997</fb>
    <v>14</v>
  </rv>
  <rv s="5">
    <fb>22.725999999999999</fb>
    <v>14</v>
  </rv>
  <rv s="5">
    <fb>140.83000000000001</fb>
    <v>14</v>
  </rv>
  <rv s="5">
    <fb>449.16</fb>
    <v>14</v>
  </rv>
  <rv s="5">
    <fb>4544.8999999999996</fb>
    <v>14</v>
  </rv>
  <rv s="5">
    <fb>44494</fb>
    <v>13</v>
  </rv>
  <rv s="5">
    <fb>137.447</fb>
    <v>14</v>
  </rv>
  <rv s="5">
    <fb>166.01849999999999</fb>
    <v>14</v>
  </rv>
  <rv s="5">
    <fb>831.85</fb>
    <v>14</v>
  </rv>
  <rv s="5">
    <fb>217.54</fb>
    <v>14</v>
  </rv>
  <rv s="5">
    <fb>360.86</fb>
    <v>14</v>
  </rv>
  <rv s="5">
    <fb>84.29</fb>
    <v>14</v>
  </rv>
  <rv s="5">
    <fb>34.36</fb>
    <v>14</v>
  </rv>
  <rv s="5">
    <fb>23.166</fb>
    <v>14</v>
  </rv>
  <rv s="5">
    <fb>4566.4799999999996</fb>
    <v>14</v>
  </rv>
  <rv s="5">
    <fb>44495</fb>
    <v>13</v>
  </rv>
  <rv s="5">
    <fb>139.30850000000001</fb>
    <v>14</v>
  </rv>
  <rv s="5">
    <fb>168.80350000000001</fb>
    <v>14</v>
  </rv>
  <rv s="5">
    <fb>824.82</fb>
    <v>14</v>
  </rv>
  <rv s="5">
    <fb>218.32</fb>
    <v>14</v>
  </rv>
  <rv s="5">
    <fb>85.47</fb>
    <v>14</v>
  </rv>
  <rv s="5">
    <fb>34.26</fb>
    <v>14</v>
  </rv>
  <rv s="5">
    <fb>24.716999999999999</fb>
    <v>14</v>
  </rv>
  <rv s="5">
    <fb>142.85</fb>
    <v>14</v>
  </rv>
  <rv s="5">
    <fb>454.64</fb>
    <v>14</v>
  </rv>
  <rv s="5">
    <fb>4574.79</fb>
    <v>14</v>
  </rv>
  <rv s="5">
    <fb>44496</fb>
    <v>13</v>
  </rv>
  <rv s="5">
    <fb>146.2175</fb>
    <v>14</v>
  </rv>
  <rv s="5">
    <fb>169.62450000000001</fb>
    <v>14</v>
  </rv>
  <rv s="5">
    <fb>91.45</fb>
    <v>14</v>
  </rv>
  <rv s="5">
    <fb>847.3</fb>
    <v>14</v>
  </rv>
  <rv s="5">
    <fb>335.72</fb>
    <v>14</v>
  </rv>
  <rv s="5">
    <fb>85.01</fb>
    <v>14</v>
  </rv>
  <rv s="5">
    <fb>32.54</fb>
    <v>14</v>
  </rv>
  <rv s="5">
    <fb>24.451000000000001</fb>
    <v>14</v>
  </rv>
  <rv s="5">
    <fb>141.83000000000001</fb>
    <v>14</v>
  </rv>
  <rv s="5">
    <fb>453.48</fb>
    <v>14</v>
  </rv>
  <rv s="5">
    <fb>4551.68</fb>
    <v>14</v>
  </rv>
  <rv s="5">
    <fb>44497</fb>
    <v>13</v>
  </rv>
  <rv s="5">
    <fb>145.84899999999999</fb>
    <v>14</v>
  </rv>
  <rv s="5">
    <fb>172.32849999999999</fb>
    <v>14</v>
  </rv>
  <rv s="5">
    <fb>91.81</fb>
    <v>14</v>
  </rv>
  <rv s="5">
    <fb>837.07</fb>
    <v>14</v>
  </rv>
  <rv s="5">
    <fb>218.48</fb>
    <v>14</v>
  </rv>
  <rv s="5">
    <fb>333.03</fb>
    <v>14</v>
  </rv>
  <rv s="5">
    <fb>86.42</fb>
    <v>14</v>
  </rv>
  <rv s="5">
    <fb>33.299999999999997</fb>
    <v>14</v>
  </rv>
  <rv s="5">
    <fb>24.940999999999999</fb>
    <v>14</v>
  </rv>
  <rv s="5">
    <fb>455.44</fb>
    <v>14</v>
  </rv>
  <rv s="5">
    <fb>4596.42</fb>
    <v>14</v>
  </rv>
  <rv s="5">
    <fb>44498</fb>
    <v>13</v>
  </rv>
  <rv s="5">
    <fb>148.04599999999999</fb>
    <v>14</v>
  </rv>
  <rv s="5">
    <fb>168.6215</fb>
    <v>14</v>
  </rv>
  <rv s="5">
    <fb>91.48</fb>
    <v>14</v>
  </rv>
  <rv s="5">
    <fb>830.46</fb>
    <v>14</v>
  </rv>
  <rv s="5">
    <fb>218.62</fb>
    <v>14</v>
  </rv>
  <rv s="5">
    <fb>335.52</fb>
    <v>14</v>
  </rv>
  <rv s="5">
    <fb>25.567</fb>
    <v>14</v>
  </rv>
  <rv s="5">
    <fb>142.99</fb>
    <v>14</v>
  </rv>
  <rv s="5">
    <fb>460.47</fb>
    <v>14</v>
  </rv>
  <rv s="5">
    <fb>4605.38</fb>
    <v>14</v>
  </rv>
  <rv s="5">
    <fb>44501</fb>
    <v>13</v>
  </rv>
  <rv s="5">
    <fb>143.49700000000001</fb>
    <v>14</v>
  </rv>
  <rv s="5">
    <fb>165.90549999999999</fb>
    <v>14</v>
  </rv>
  <rv s="5">
    <fb>836.91</fb>
    <v>14</v>
  </rv>
  <rv s="5">
    <fb>219.76</fb>
    <v>14</v>
  </rv>
  <rv s="5">
    <fb>334.05</fb>
    <v>14</v>
  </rv>
  <rv s="5">
    <fb>85.59</fb>
    <v>14</v>
  </rv>
  <rv s="5">
    <fb>25.827000000000002</fb>
    <v>14</v>
  </rv>
  <rv s="5">
    <fb>142.63999999999999</fb>
    <v>14</v>
  </rv>
  <rv s="5">
    <fb>454.11</fb>
    <v>14</v>
  </rv>
  <rv s="5">
    <fb>4613.67</fb>
    <v>14</v>
  </rv>
  <rv s="5">
    <fb>44502</fb>
    <v>13</v>
  </rv>
  <rv s="5">
    <fb>145.4325</fb>
    <v>14</v>
  </rv>
  <rv s="5">
    <fb>165.63749999999999</fb>
    <v>14</v>
  </rv>
  <rv s="5">
    <fb>93.23</fb>
    <v>14</v>
  </rv>
  <rv s="5">
    <fb>837.88</fb>
    <v>14</v>
  </rv>
  <rv s="5">
    <fb>221.19</fb>
    <v>14</v>
  </rv>
  <rv s="5">
    <fb>328.48</fb>
    <v>14</v>
  </rv>
  <rv s="5">
    <fb>85.42</fb>
    <v>14</v>
  </rv>
  <rv s="5">
    <fb>26.401</fb>
    <v>14</v>
  </rv>
  <rv s="5">
    <fb>144.06</fb>
    <v>14</v>
  </rv>
  <rv s="5">
    <fb>452.04</fb>
    <v>14</v>
  </rv>
  <rv s="5">
    <fb>4630.6499999999996</fb>
    <v>14</v>
  </rv>
  <rv s="5">
    <fb>44503</fb>
    <v>13</v>
  </rv>
  <rv s="5">
    <fb>146.59800000000001</fb>
    <v>14</v>
  </rv>
  <rv s="5">
    <fb>94.12</fb>
    <v>14</v>
  </rv>
  <rv s="5">
    <fb>803.59</fb>
    <v>14</v>
  </rv>
  <rv s="5">
    <fb>222.8</fb>
    <v>14</v>
  </rv>
  <rv s="5">
    <fb>329.43</fb>
    <v>14</v>
  </rv>
  <rv s="5">
    <fb>26.597999999999999</fb>
    <v>14</v>
  </rv>
  <rv s="5">
    <fb>145.05000000000001</fb>
    <v>14</v>
  </rv>
  <rv s="5">
    <fb>457.33</fb>
    <v>14</v>
  </rv>
  <rv s="5">
    <fb>4660.57</fb>
    <v>14</v>
  </rv>
  <rv s="5">
    <fb>44504</fb>
    <v>13</v>
  </rv>
  <rv s="5">
    <fb>148.26750000000001</fb>
    <v>14</v>
  </rv>
  <rv s="5">
    <fb>173.85</fb>
    <v>14</v>
  </rv>
  <rv s="5">
    <fb>781.92</fb>
    <v>14</v>
  </rv>
  <rv s="5">
    <fb>335.43</fb>
    <v>14</v>
  </rv>
  <rv s="5">
    <fb>33.15</fb>
    <v>14</v>
  </rv>
  <rv s="5">
    <fb>29.800999999999998</fb>
    <v>14</v>
  </rv>
  <rv s="5">
    <fb>145.32</fb>
    <v>14</v>
  </rv>
  <rv s="5">
    <fb>456.76</fb>
    <v>14</v>
  </rv>
  <rv s="5">
    <fb>4680.0600000000004</fb>
    <v>14</v>
  </rv>
  <rv s="5">
    <fb>44505</fb>
    <v>13</v>
  </rv>
  <rv s="5">
    <fb>148.852</fb>
    <v>14</v>
  </rv>
  <rv s="5">
    <fb>175.9495</fb>
    <v>14</v>
  </rv>
  <rv s="5">
    <fb>786.9</fb>
    <v>14</v>
  </rv>
  <rv s="5">
    <fb>226.06</fb>
    <v>14</v>
  </rv>
  <rv s="5">
    <fb>348.79</fb>
    <v>14</v>
  </rv>
  <rv s="5">
    <fb>85.53</fb>
    <v>14</v>
  </rv>
  <rv s="5">
    <fb>29.751999999999999</fb>
    <v>14</v>
  </rv>
  <rv s="5">
    <fb>146.04</fb>
    <v>14</v>
  </rv>
  <rv s="5">
    <fb>455.81</fb>
    <v>14</v>
  </rv>
  <rv s="5">
    <fb>4697.53</fb>
    <v>14</v>
  </rv>
  <rv s="5">
    <fb>44508</fb>
    <v>13</v>
  </rv>
  <rv s="5">
    <fb>149.03100000000001</fb>
    <v>14</v>
  </rv>
  <rv s="5">
    <fb>174.44900000000001</fb>
    <v>14</v>
  </rv>
  <rv s="5">
    <fb>91.02</fb>
    <v>14</v>
  </rv>
  <rv s="5">
    <fb>797.79</fb>
    <v>14</v>
  </rv>
  <rv s="5">
    <fb>225.73</fb>
    <v>14</v>
  </rv>
  <rv s="5">
    <fb>349.67</fb>
    <v>14</v>
  </rv>
  <rv s="5">
    <fb>30.803999999999998</fb>
    <v>14</v>
  </rv>
  <rv s="5">
    <fb>144.94999999999999</fb>
    <v>14</v>
  </rv>
  <rv s="5">
    <fb>462.62</fb>
    <v>14</v>
  </rv>
  <rv s="5">
    <fb>4701.7</fb>
    <v>14</v>
  </rv>
  <rv s="5">
    <fb>44509</fb>
    <v>13</v>
  </rv>
  <rv s="5">
    <fb>148.91849999999999</fb>
    <v>14</v>
  </rv>
  <rv s="5">
    <fb>178.8115</fb>
    <v>14</v>
  </rv>
  <rv s="5">
    <fb>781.41</fb>
    <v>14</v>
  </rv>
  <rv s="5">
    <fb>227.75</fb>
    <v>14</v>
  </rv>
  <rv s="5">
    <fb>344.65</fb>
    <v>14</v>
  </rv>
  <rv s="5">
    <fb>34.14</fb>
    <v>14</v>
  </rv>
  <rv s="5">
    <fb>30.657</fb>
    <v>14</v>
  </rv>
  <rv s="5">
    <fb>145.38999999999999</fb>
    <v>14</v>
  </rv>
  <rv s="5">
    <fb>464.35</fb>
    <v>14</v>
  </rv>
  <rv s="5">
    <fb>4685.25</fb>
    <v>14</v>
  </rv>
  <rv s="5">
    <fb>44510</fb>
    <v>13</v>
  </rv>
  <rv s="5">
    <fb>145.89349999999999</fb>
    <v>14</v>
  </rv>
  <rv s="5">
    <fb>174.10249999999999</fb>
    <v>14</v>
  </rv>
  <rv s="5">
    <fb>774.67</fb>
    <v>14</v>
  </rv>
  <rv s="5">
    <fb>225.41</fb>
    <v>14</v>
  </rv>
  <rv s="5">
    <fb>357.94</fb>
    <v>14</v>
  </rv>
  <rv s="5">
    <fb>85.2</fb>
    <v>14</v>
  </rv>
  <rv s="5">
    <fb>32.729999999999997</fb>
    <v>14</v>
  </rv>
  <rv s="5">
    <fb>29.459</fb>
    <v>14</v>
  </rv>
  <rv s="5">
    <fb>146.82</fb>
    <v>14</v>
  </rv>
  <rv s="5">
    <fb>459.9</fb>
    <v>14</v>
  </rv>
  <rv s="5">
    <fb>4646.71</fb>
    <v>14</v>
  </rv>
  <rv s="5">
    <fb>44511</fb>
    <v>13</v>
  </rv>
  <rv s="5">
    <fb>145.76650000000001</fb>
    <v>14</v>
  </rv>
  <rv s="5">
    <fb>173.625</fb>
    <v>14</v>
  </rv>
  <rv s="5">
    <fb>775.39</fb>
    <v>14</v>
  </rv>
  <rv s="5">
    <fb>221.01</fb>
    <v>14</v>
  </rv>
  <rv s="5">
    <fb>354.34</fb>
    <v>14</v>
  </rv>
  <rv s="5">
    <fb>32.78</fb>
    <v>14</v>
  </rv>
  <rv s="5">
    <fb>30.39</fb>
    <v>14</v>
  </rv>
  <rv s="5">
    <fb>146.4</fb>
    <v>14</v>
  </rv>
  <rv s="5">
    <fb>457.39</fb>
    <v>14</v>
  </rv>
  <rv s="5">
    <fb>4649.2700000000004</fb>
    <v>14</v>
  </rv>
  <rv s="5">
    <fb>44512</fb>
    <v>13</v>
  </rv>
  <rv s="5">
    <fb>148.678</fb>
    <v>14</v>
  </rv>
  <rv s="5">
    <fb>176.25749999999999</fb>
    <v>14</v>
  </rv>
  <rv s="5">
    <fb>93.57</fb>
    <v>14</v>
  </rv>
  <rv s="5">
    <fb>797.84</fb>
    <v>14</v>
  </rv>
  <rv s="5">
    <fb>222.39</fb>
    <v>14</v>
  </rv>
  <rv s="5">
    <fb>363.5</fb>
    <v>14</v>
  </rv>
  <rv s="5">
    <fb>86.31</fb>
    <v>14</v>
  </rv>
  <rv s="5">
    <fb>146.56</fb>
    <v>14</v>
  </rv>
  <rv s="5">
    <fb>458.99</fb>
    <v>14</v>
  </rv>
  <rv s="5">
    <fb>4682.8500000000004</fb>
    <v>14</v>
  </rv>
  <rv s="5">
    <fb>44515</fb>
    <v>13</v>
  </rv>
  <rv s="5">
    <fb>148.452</fb>
    <v>14</v>
  </rv>
  <rv s="5">
    <fb>177.28399999999999</fb>
    <v>14</v>
  </rv>
  <rv s="5">
    <fb>95.88</fb>
    <v>14</v>
  </rv>
  <rv s="5">
    <fb>795.1</fb>
    <v>14</v>
  </rv>
  <rv s="5">
    <fb>222.47</fb>
    <v>14</v>
  </rv>
  <rv s="5">
    <fb>361.36</fb>
    <v>14</v>
  </rv>
  <rv s="5">
    <fb>87.34</fb>
    <v>14</v>
  </rv>
  <rv s="5">
    <fb>30.024999999999999</fb>
    <v>14</v>
  </rv>
  <rv s="5">
    <fb>147.4</fb>
    <v>14</v>
  </rv>
  <rv s="5">
    <fb>450.8</fb>
    <v>14</v>
  </rv>
  <rv s="5">
    <fb>4682.8</fb>
    <v>14</v>
  </rv>
  <rv s="5">
    <fb>44516</fb>
    <v>13</v>
  </rv>
  <rv s="5">
    <fb>147.876</fb>
    <v>14</v>
  </rv>
  <rv s="5">
    <fb>177.035</fb>
    <v>14</v>
  </rv>
  <rv s="5">
    <fb>96.88</fb>
    <v>14</v>
  </rv>
  <rv s="5">
    <fb>798</fb>
    <v>14</v>
  </rv>
  <rv s="5">
    <fb>221.37</fb>
    <v>14</v>
  </rv>
  <rv s="5">
    <fb>369.56</fb>
    <v>14</v>
  </rv>
  <rv s="5">
    <fb>32.89</fb>
    <v>14</v>
  </rv>
  <rv s="5">
    <fb>30.202999999999999</fb>
    <v>14</v>
  </rv>
  <rv s="5">
    <fb>147.19</fb>
    <v>14</v>
  </rv>
  <rv s="5">
    <fb>449.62</fb>
    <v>14</v>
  </rv>
  <rv s="5">
    <fb>4700.8999999999996</fb>
    <v>14</v>
  </rv>
  <rv s="5">
    <fb>44517</fb>
    <v>13</v>
  </rv>
  <rv s="5">
    <fb>148.047</fb>
    <v>14</v>
  </rv>
  <rv s="5">
    <fb>177.45</fb>
    <v>14</v>
  </rv>
  <rv s="5">
    <fb>95.06</fb>
    <v>14</v>
  </rv>
  <rv s="5">
    <fb>792.84</fb>
    <v>14</v>
  </rv>
  <rv s="5">
    <fb>220.49</fb>
    <v>14</v>
  </rv>
  <rv s="5">
    <fb>359.17</fb>
    <v>14</v>
  </rv>
  <rv s="5">
    <fb>32.06</fb>
    <v>14</v>
  </rv>
  <rv s="5">
    <fb>29.260999999999999</fb>
    <v>14</v>
  </rv>
  <rv s="5">
    <fb>147.1</fb>
    <v>14</v>
  </rv>
  <rv s="5">
    <fb>448.95</fb>
    <v>14</v>
  </rv>
  <rv s="5">
    <fb>4688.67</fb>
    <v>14</v>
  </rv>
  <rv s="5">
    <fb>44518</fb>
    <v>13</v>
  </rv>
  <rv s="5">
    <fb>149.83850000000001</fb>
    <v>14</v>
  </rv>
  <rv s="5">
    <fb>184.803</fb>
    <v>14</v>
  </rv>
  <rv s="5">
    <fb>94.22</fb>
    <v>14</v>
  </rv>
  <rv s="5">
    <fb>788.53</fb>
    <v>14</v>
  </rv>
  <rv s="5">
    <fb>220.7</fb>
    <v>14</v>
  </rv>
  <rv s="5">
    <fb>348.22</fb>
    <v>14</v>
  </rv>
  <rv s="5">
    <fb>31.86</fb>
    <v>14</v>
  </rv>
  <rv s="5">
    <fb>31.675000000000001</fb>
    <v>14</v>
  </rv>
  <rv s="5">
    <fb>147.12</fb>
    <v>14</v>
  </rv>
  <rv s="5">
    <fb>449.47</fb>
    <v>14</v>
  </rv>
  <rv s="5">
    <fb>4704.54</fb>
    <v>14</v>
  </rv>
  <rv s="5">
    <fb>44519</fb>
    <v>13</v>
  </rv>
  <rv s="5">
    <fb>148.9265</fb>
    <v>14</v>
  </rv>
  <rv s="5">
    <fb>183.82849999999999</fb>
    <v>14</v>
  </rv>
  <rv s="5">
    <fb>95.7</fb>
    <v>14</v>
  </rv>
  <rv s="5">
    <fb>777.21</fb>
    <v>14</v>
  </rv>
  <rv s="5">
    <fb>339.72</fb>
    <v>14</v>
  </rv>
  <rv s="5">
    <fb>30.05</fb>
    <v>14</v>
  </rv>
  <rv s="5">
    <fb>440</fb>
    <v>14</v>
  </rv>
  <rv s="5">
    <fb>4697.96</fb>
    <v>14</v>
  </rv>
  <rv s="5">
    <fb>44522</fb>
    <v>13</v>
  </rv>
  <rv s="5">
    <fb>146.30199999999999</fb>
    <v>14</v>
  </rv>
  <rv s="5">
    <fb>178.6285</fb>
    <v>14</v>
  </rv>
  <rv s="5">
    <fb>94.96</fb>
    <v>14</v>
  </rv>
  <rv s="5">
    <fb>779.36</fb>
    <v>14</v>
  </rv>
  <rv s="5">
    <fb>218.14</fb>
    <v>14</v>
  </rv>
  <rv s="5">
    <fb>321.3</fb>
    <v>14</v>
  </rv>
  <rv s="5">
    <fb>31.956</fb>
    <v>14</v>
  </rv>
  <rv s="5">
    <fb>147.80000000000001</fb>
    <v>14</v>
  </rv>
  <rv s="5">
    <fb>437.54</fb>
    <v>14</v>
  </rv>
  <rv s="5">
    <fb>4682.9399999999996</fb>
    <v>14</v>
  </rv>
  <rv s="5">
    <fb>44523</fb>
    <v>13</v>
  </rv>
  <rv s="5">
    <fb>145.78200000000001</fb>
    <v>14</v>
  </rv>
  <rv s="5">
    <fb>179.00200000000001</fb>
    <v>14</v>
  </rv>
  <rv s="5">
    <fb>797.59</fb>
    <v>14</v>
  </rv>
  <rv s="5">
    <fb>329</fb>
    <v>14</v>
  </rv>
  <rv s="5">
    <fb>87.31</fb>
    <v>14</v>
  </rv>
  <rv s="5">
    <fb>31.18</fb>
    <v>14</v>
  </rv>
  <rv s="5">
    <fb>31.745999999999999</fb>
    <v>14</v>
  </rv>
  <rv s="5">
    <fb>149.44</fb>
    <v>14</v>
  </rv>
  <rv s="5">
    <fb>447.13</fb>
    <v>14</v>
  </rv>
  <rv s="5">
    <fb>4690.7</fb>
    <v>14</v>
  </rv>
  <rv s="5">
    <fb>44524</fb>
    <v>13</v>
  </rv>
  <rv s="5">
    <fb>146.12</fb>
    <v>14</v>
  </rv>
  <rv s="5">
    <fb>179.0205</fb>
    <v>14</v>
  </rv>
  <rv s="5">
    <fb>93.62</fb>
    <v>14</v>
  </rv>
  <rv s="5">
    <fb>212.21</fb>
    <v>14</v>
  </rv>
  <rv s="5">
    <fb>340</fb>
    <v>14</v>
  </rv>
  <rv s="5">
    <fb>87.21</fb>
    <v>14</v>
  </rv>
  <rv s="5">
    <fb>31.41</fb>
    <v>14</v>
  </rv>
  <rv s="5">
    <fb>32.673999999999999</fb>
    <v>14</v>
  </rv>
  <rv s="5">
    <fb>148.66</fb>
    <v>14</v>
  </rv>
  <rv s="5">
    <fb>450.16</fb>
    <v>14</v>
  </rv>
  <rv s="5">
    <fb>4701.46</fb>
    <v>14</v>
  </rv>
  <rv s="5">
    <fb>44526</fb>
    <v>13</v>
  </rv>
  <rv s="5">
    <fb>142.18299999999999</fb>
    <v>14</v>
  </rv>
  <rv s="5">
    <fb>175.22800000000001</fb>
    <v>14</v>
  </rv>
  <rv s="5">
    <fb>94.7</fb>
    <v>14</v>
  </rv>
  <rv s="5">
    <fb>820</fb>
    <v>14</v>
  </rv>
  <rv s="5">
    <fb>208.21</fb>
    <v>14</v>
  </rv>
  <rv s="5">
    <fb>324.17</fb>
    <v>14</v>
  </rv>
  <rv s="5">
    <fb>86.09</fb>
    <v>14</v>
  </rv>
  <rv s="5">
    <fb>29.7</fb>
    <v>14</v>
  </rv>
  <rv s="5">
    <fb>31.503</fb>
    <v>14</v>
  </rv>
  <rv s="5">
    <fb>4594.62</fb>
    <v>14</v>
  </rv>
  <rv s="5">
    <fb>44529</fb>
    <v>13</v>
  </rv>
  <rv s="5">
    <fb>145.53049999999999</fb>
    <v>14</v>
  </rv>
  <rv s="5">
    <fb>178.07849999999999</fb>
    <v>14</v>
  </rv>
  <rv s="5">
    <fb>812.2</fb>
    <v>14</v>
  </rv>
  <rv s="5">
    <fb>207.66</fb>
    <v>14</v>
  </rv>
  <rv s="5">
    <fb>323.01</fb>
    <v>14</v>
  </rv>
  <rv s="5">
    <fb>88.66</fb>
    <v>14</v>
  </rv>
  <rv s="5">
    <fb>29.65</fb>
    <v>14</v>
  </rv>
  <rv s="5">
    <fb>33.375999999999998</fb>
    <v>14</v>
  </rv>
  <rv s="5">
    <fb>452</fb>
    <v>14</v>
  </rv>
  <rv s="5">
    <fb>4655.2700000000004</fb>
    <v>14</v>
  </rv>
  <rv s="5">
    <fb>44530</fb>
    <v>13</v>
  </rv>
  <rv s="5">
    <fb>141.89750000000001</fb>
    <v>14</v>
  </rv>
  <rv s="5">
    <fb>175.3535</fb>
    <v>14</v>
  </rv>
  <rv s="5">
    <fb>803.45</fb>
    <v>14</v>
  </rv>
  <rv s="5">
    <fb>202.24</fb>
    <v>14</v>
  </rv>
  <rv s="5">
    <fb>314.92</fb>
    <v>14</v>
  </rv>
  <rv s="5">
    <fb>28.68</fb>
    <v>14</v>
  </rv>
  <rv s="5">
    <fb>32.676000000000002</fb>
    <v>14</v>
  </rv>
  <rv s="5">
    <fb>144.58000000000001</fb>
    <v>14</v>
  </rv>
  <rv s="5">
    <fb>444.22</fb>
    <v>14</v>
  </rv>
  <rv s="5">
    <fb>4567</fb>
    <v>14</v>
  </rv>
  <rv s="5">
    <fb>44531</fb>
    <v>13</v>
  </rv>
  <rv s="5">
    <fb>141.0515</fb>
    <v>14</v>
  </rv>
  <rv s="5">
    <fb>172.18600000000001</fb>
    <v>14</v>
  </rv>
  <rv s="5">
    <fb>798.61</fb>
    <v>14</v>
  </rv>
  <rv s="5">
    <fb>199.42</fb>
    <v>14</v>
  </rv>
  <rv s="5">
    <fb>306.27999999999997</fb>
    <v>14</v>
  </rv>
  <rv s="5">
    <fb>87.84</fb>
    <v>14</v>
  </rv>
  <rv s="5">
    <fb>31.434999999999999</fb>
    <v>14</v>
  </rv>
  <rv s="5">
    <fb>444.34</fb>
    <v>14</v>
  </rv>
  <rv s="5">
    <fb>4513.04</fb>
    <v>14</v>
  </rv>
  <rv s="5">
    <fb>44532</fb>
    <v>13</v>
  </rv>
  <rv s="5">
    <fb>142.96600000000001</fb>
    <v>14</v>
  </rv>
  <rv s="5">
    <fb>171.86799999999999</fb>
    <v>14</v>
  </rv>
  <rv s="5">
    <fb>93.58</fb>
    <v>14</v>
  </rv>
  <rv s="5">
    <fb>794.03</fb>
    <v>14</v>
  </rv>
  <rv s="5">
    <fb>204</fb>
    <v>14</v>
  </rv>
  <rv s="5">
    <fb>320.2</fb>
    <v>14</v>
  </rv>
  <rv s="5">
    <fb>32.125999999999998</fb>
    <v>14</v>
  </rv>
  <rv s="5">
    <fb>147.26</fb>
    <v>14</v>
  </rv>
  <rv s="5">
    <fb>446.02</fb>
    <v>14</v>
  </rv>
  <rv s="5">
    <fb>4577.1000000000004</fb>
    <v>14</v>
  </rv>
  <rv s="5">
    <fb>44533</fb>
    <v>13</v>
  </rv>
  <rv s="5">
    <fb>142.00149999999999</fb>
    <v>14</v>
  </rv>
  <rv s="5">
    <fb>169.48949999999999</fb>
    <v>14</v>
  </rv>
  <rv s="5">
    <fb>796.47</fb>
    <v>14</v>
  </rv>
  <rv s="5">
    <fb>203.5</fb>
    <v>14</v>
  </rv>
  <rv s="5">
    <fb>322.11</fb>
    <v>14</v>
  </rv>
  <rv s="5">
    <fb>88.03</fb>
    <v>14</v>
  </rv>
  <rv s="5">
    <fb>30.693000000000001</fb>
    <v>14</v>
  </rv>
  <rv s="5">
    <fb>149.88</fb>
    <v>14</v>
  </rv>
  <rv s="5">
    <fb>449.32</fb>
    <v>14</v>
  </rv>
  <rv s="5">
    <fb>4538.43</fb>
    <v>14</v>
  </rv>
  <rv s="5">
    <fb>44536</fb>
    <v>13</v>
  </rv>
  <rv s="5">
    <fb>143.155</fb>
    <v>14</v>
  </rv>
  <rv s="5">
    <fb>171.36850000000001</fb>
    <v>14</v>
  </rv>
  <rv s="5">
    <fb>92.68</fb>
    <v>14</v>
  </rv>
  <rv s="5">
    <fb>812.86</fb>
    <v>14</v>
  </rv>
  <rv s="5">
    <fb>206.25</fb>
    <v>14</v>
  </rv>
  <rv s="5">
    <fb>333.33</fb>
    <v>14</v>
  </rv>
  <rv s="5">
    <fb>89.15</fb>
    <v>14</v>
  </rv>
  <rv s="5">
    <fb>30.01</fb>
    <v>14</v>
  </rv>
  <rv s="5">
    <fb>30.036999999999999</fb>
    <v>14</v>
  </rv>
  <rv s="5">
    <fb>152.15</fb>
    <v>14</v>
  </rv>
  <rv s="5">
    <fb>4591.67</fb>
    <v>14</v>
  </rv>
  <rv s="5">
    <fb>44537</fb>
    <v>13</v>
  </rv>
  <rv s="5">
    <fb>147.26949999999999</fb>
    <v>14</v>
  </rv>
  <rv s="5">
    <fb>176.1645</fb>
    <v>14</v>
  </rv>
  <rv s="5">
    <fb>814.46</fb>
    <v>14</v>
  </rv>
  <rv s="5">
    <fb>207.15</fb>
    <v>14</v>
  </rv>
  <rv s="5">
    <fb>339.51</fb>
    <v>14</v>
  </rv>
  <rv s="5">
    <fb>90.41</fb>
    <v>14</v>
  </rv>
  <rv s="5">
    <fb>30.76</fb>
    <v>14</v>
  </rv>
  <rv s="5">
    <fb>32.427</fb>
    <v>14</v>
  </rv>
  <rv s="5">
    <fb>151.75</fb>
    <v>14</v>
  </rv>
  <rv s="5">
    <fb>464.73</fb>
    <v>14</v>
  </rv>
  <rv s="5">
    <fb>4686.75</fb>
    <v>14</v>
  </rv>
  <rv s="5">
    <fb>44538</fb>
    <v>13</v>
  </rv>
  <rv s="5">
    <fb>148.1865</fb>
    <v>14</v>
  </rv>
  <rv s="5">
    <fb>176.15799999999999</fb>
    <v>14</v>
  </rv>
  <rv s="5">
    <fb>93.94</fb>
    <v>14</v>
  </rv>
  <rv s="5">
    <fb>798.8</fb>
    <v>14</v>
  </rv>
  <rv s="5">
    <fb>204.65</fb>
    <v>14</v>
  </rv>
  <rv s="5">
    <fb>342.34</fb>
    <v>14</v>
  </rv>
  <rv s="5">
    <fb>90.32</fb>
    <v>14</v>
  </rv>
  <rv s="5">
    <fb>31.06</fb>
    <v>14</v>
  </rv>
  <rv s="5">
    <fb>31.826000000000001</fb>
    <v>14</v>
  </rv>
  <rv s="5">
    <fb>152.43</fb>
    <v>14</v>
  </rv>
  <rv s="5">
    <fb>468.86</fb>
    <v>14</v>
  </rv>
  <rv s="5">
    <fb>4701.21</fb>
    <v>14</v>
  </rv>
  <rv s="5">
    <fb>44539</fb>
    <v>13</v>
  </rv>
  <rv s="5">
    <fb>147.63849999999999</fb>
    <v>14</v>
  </rv>
  <rv s="5">
    <fb>174.17099999999999</fb>
    <v>14</v>
  </rv>
  <rv s="5">
    <fb>92.62</fb>
    <v>14</v>
  </rv>
  <rv s="5">
    <fb>797.89</fb>
    <v>14</v>
  </rv>
  <rv s="5">
    <fb>206</fb>
    <v>14</v>
  </rv>
  <rv s="5">
    <fb>344.52</fb>
    <v>14</v>
  </rv>
  <rv s="5">
    <fb>30.62</fb>
    <v>14</v>
  </rv>
  <rv s="5">
    <fb>30.49</fb>
    <v>14</v>
  </rv>
  <rv s="5">
    <fb>473.32</fb>
    <v>14</v>
  </rv>
  <rv s="5">
    <fb>4667.45</fb>
    <v>14</v>
  </rv>
  <rv s="5">
    <fb>44540</fb>
    <v>13</v>
  </rv>
  <rv s="5">
    <fb>148.00149999999999</fb>
    <v>14</v>
  </rv>
  <rv s="5">
    <fb>172.21199999999999</fb>
    <v>14</v>
  </rv>
  <rv s="5">
    <fb>93.5</fb>
    <v>14</v>
  </rv>
  <rv s="5">
    <fb>816.17</fb>
    <v>14</v>
  </rv>
  <rv s="5">
    <fb>209.81</fb>
    <v>14</v>
  </rv>
  <rv s="5">
    <fb>349.92</fb>
    <v>14</v>
  </rv>
  <rv s="5">
    <fb>30.99</fb>
    <v>14</v>
  </rv>
  <rv s="5">
    <fb>30.198</fb>
    <v>14</v>
  </rv>
  <rv s="5">
    <fb>155.46</fb>
    <v>14</v>
  </rv>
  <rv s="5">
    <fb>478.23</fb>
    <v>14</v>
  </rv>
  <rv s="5">
    <fb>4712.0200000000004</fb>
    <v>14</v>
  </rv>
  <rv s="5">
    <fb>44543</fb>
    <v>13</v>
  </rv>
  <rv s="5">
    <fb>145.82650000000001</fb>
    <v>14</v>
  </rv>
  <rv s="5">
    <fb>169.5675</fb>
    <v>14</v>
  </rv>
  <rv s="5">
    <fb>93.66</fb>
    <v>14</v>
  </rv>
  <rv s="5">
    <fb>805.83</fb>
    <v>14</v>
  </rv>
  <rv s="5">
    <fb>209.23</fb>
    <v>14</v>
  </rv>
  <rv s="5">
    <fb>345.31</fb>
    <v>14</v>
  </rv>
  <rv s="5">
    <fb>29.83</fb>
    <v>14</v>
  </rv>
  <rv s="5">
    <fb>28.161000000000001</fb>
    <v>14</v>
  </rv>
  <rv s="5">
    <fb>157.66999999999999</fb>
    <v>14</v>
  </rv>
  <rv s="5">
    <fb>478.14</fb>
    <v>14</v>
  </rv>
  <rv s="5">
    <fb>4668.97</fb>
    <v>14</v>
  </rv>
  <rv s="5">
    <fb>44544</fb>
    <v>13</v>
  </rv>
  <rv s="5">
    <fb>143.90700000000001</fb>
    <v>14</v>
  </rv>
  <rv s="5">
    <fb>169.0915</fb>
    <v>14</v>
  </rv>
  <rv s="5">
    <fb>817.09</fb>
    <v>14</v>
  </rv>
  <rv s="5">
    <fb>206.68</fb>
    <v>14</v>
  </rv>
  <rv s="5">
    <fb>340.55</fb>
    <v>14</v>
  </rv>
  <rv s="5">
    <fb>29.67</fb>
    <v>14</v>
  </rv>
  <rv s="5">
    <fb>28.337</fb>
    <v>14</v>
  </rv>
  <rv s="5">
    <fb>158.25</fb>
    <v>14</v>
  </rv>
  <rv s="5">
    <fb>479.46</fb>
    <v>14</v>
  </rv>
  <rv s="5">
    <fb>4634.09</fb>
    <v>14</v>
  </rv>
  <rv s="5">
    <fb>44545</fb>
    <v>13</v>
  </rv>
  <rv s="5">
    <fb>146.441</fb>
    <v>14</v>
  </rv>
  <rv s="5">
    <fb>173.315</fb>
    <v>14</v>
  </rv>
  <rv s="5">
    <fb>91.86</fb>
    <v>14</v>
  </rv>
  <rv s="5">
    <fb>822.9</fb>
    <v>14</v>
  </rv>
  <rv s="5">
    <fb>346.35</fb>
    <v>14</v>
  </rv>
  <rv s="5">
    <fb>92</fb>
    <v>14</v>
  </rv>
  <rv s="5">
    <fb>29.31</fb>
    <v>14</v>
  </rv>
  <rv s="5">
    <fb>30.459</fb>
    <v>14</v>
  </rv>
  <rv s="5">
    <fb>158.86000000000001</fb>
    <v>14</v>
  </rv>
  <rv s="5">
    <fb>494.38</fb>
    <v>14</v>
  </rv>
  <rv s="5">
    <fb>4709.8500000000004</fb>
    <v>14</v>
  </rv>
  <rv s="5">
    <fb>44546</fb>
    <v>13</v>
  </rv>
  <rv s="5">
    <fb>144.44499999999999</fb>
    <v>14</v>
  </rv>
  <rv s="5">
    <fb>168.87100000000001</fb>
    <v>14</v>
  </rv>
  <rv s="5">
    <fb>822.26</fb>
    <v>14</v>
  </rv>
  <rv s="5">
    <fb>209.61</fb>
    <v>14</v>
  </rv>
  <rv s="5">
    <fb>352.92</fb>
    <v>14</v>
  </rv>
  <rv s="5">
    <fb>92.23</fb>
    <v>14</v>
  </rv>
  <rv s="5">
    <fb>28.387</fb>
    <v>14</v>
  </rv>
  <rv s="5">
    <fb>161.11000000000001</fb>
    <v>14</v>
  </rv>
  <rv s="5">
    <fb>492.86</fb>
    <v>14</v>
  </rv>
  <rv s="5">
    <fb>4668.67</fb>
    <v>14</v>
  </rv>
  <rv s="5">
    <fb>44547</fb>
    <v>13</v>
  </rv>
  <rv s="5">
    <fb>141.72499999999999</fb>
    <v>14</v>
  </rv>
  <rv s="5">
    <fb>170.01750000000001</fb>
    <v>14</v>
  </rv>
  <rv s="5">
    <fb>822.35</fb>
    <v>14</v>
  </rv>
  <rv s="5">
    <fb>205.17</fb>
    <v>14</v>
  </rv>
  <rv s="5">
    <fb>349.31</fb>
    <v>14</v>
  </rv>
  <rv s="5">
    <fb>28.97</fb>
    <v>14</v>
  </rv>
  <rv s="5">
    <fb>27.800999999999998</fb>
    <v>14</v>
  </rv>
  <rv s="5">
    <fb>157.46</fb>
    <v>14</v>
  </rv>
  <rv s="5">
    <fb>487.12</fb>
    <v>14</v>
  </rv>
  <rv s="5">
    <fb>4620.6400000000003</fb>
    <v>14</v>
  </rv>
  <rv s="5">
    <fb>44550</fb>
    <v>13</v>
  </rv>
  <rv s="5">
    <fb>141.607</fb>
    <v>14</v>
  </rv>
  <rv s="5">
    <fb>167.07900000000001</fb>
    <v>14</v>
  </rv>
  <rv s="5">
    <fb>804.58</fb>
    <v>14</v>
  </rv>
  <rv s="5">
    <fb>199.85</fb>
    <v>14</v>
  </rv>
  <rv s="5">
    <fb>337.02</fb>
    <v>14</v>
  </rv>
  <rv s="5">
    <fb>89.94</fb>
    <v>14</v>
  </rv>
  <rv s="5">
    <fb>28.47</fb>
    <v>14</v>
  </rv>
  <rv s="5">
    <fb>27.719000000000001</fb>
    <v>14</v>
  </rv>
  <rv s="5">
    <fb>157.86000000000001</fb>
    <v>14</v>
  </rv>
  <rv s="5">
    <fb>483.73</fb>
    <v>14</v>
  </rv>
  <rv s="5">
    <fb>4568.0200000000004</fb>
    <v>14</v>
  </rv>
  <rv s="5">
    <fb>44551</fb>
    <v>13</v>
  </rv>
  <rv s="5">
    <fb>143.4725</fb>
    <v>14</v>
  </rv>
  <rv s="5">
    <fb>170.417</fb>
    <v>14</v>
  </rv>
  <rv s="5">
    <fb>818.73</fb>
    <v>14</v>
  </rv>
  <rv s="5">
    <fb>201.67</fb>
    <v>14</v>
  </rv>
  <rv s="5">
    <fb>350.74</fb>
    <v>14</v>
  </rv>
  <rv s="5">
    <fb>90.45</fb>
    <v>14</v>
  </rv>
  <rv s="5">
    <fb>29.45</fb>
    <v>14</v>
  </rv>
  <rv s="5">
    <fb>29.074999999999999</fb>
    <v>14</v>
  </rv>
  <rv s="5">
    <fb>157.76</fb>
    <v>14</v>
  </rv>
  <rv s="5">
    <fb>487.21</fb>
    <v>14</v>
  </rv>
  <rv s="5">
    <fb>4649.2299999999996</fb>
    <v>14</v>
  </rv>
  <rv s="5">
    <fb>44552</fb>
    <v>13</v>
  </rv>
  <rv s="5">
    <fb>146.41499999999999</fb>
    <v>14</v>
  </rv>
  <rv s="5">
    <fb>171.03700000000001</fb>
    <v>14</v>
  </rv>
  <rv s="5">
    <fb>818.76</fb>
    <v>14</v>
  </rv>
  <rv s="5">
    <fb>201.84</fb>
    <v>14</v>
  </rv>
  <rv s="5">
    <fb>357.48</fb>
    <v>14</v>
  </rv>
  <rv s="5">
    <fb>29.5</fb>
    <v>14</v>
  </rv>
  <rv s="5">
    <fb>159.32</fb>
    <v>14</v>
  </rv>
  <rv s="5">
    <fb>494.13</fb>
    <v>14</v>
  </rv>
  <rv s="5">
    <fb>4696.5600000000004</fb>
    <v>14</v>
  </rv>
  <rv s="5">
    <fb>44553</fb>
    <v>13</v>
  </rv>
  <rv s="5">
    <fb>146.91650000000001</fb>
    <v>14</v>
  </rv>
  <rv s="5">
    <fb>171.0685</fb>
    <v>14</v>
  </rv>
  <rv s="5">
    <fb>835.11</fb>
    <v>14</v>
  </rv>
  <rv s="5">
    <fb>29.57</fb>
    <v>14</v>
  </rv>
  <rv s="5">
    <fb>160.1</fb>
    <v>14</v>
  </rv>
  <rv s="5">
    <fb>495.38</fb>
    <v>14</v>
  </rv>
  <rv s="5">
    <fb>4725.79</fb>
    <v>14</v>
  </rv>
  <rv s="5">
    <fb>44557</fb>
    <v>13</v>
  </rv>
  <rv s="5">
    <fb>147.90649999999999</fb>
    <v>14</v>
  </rv>
  <rv s="5">
    <fb>169.6695</fb>
    <v>14</v>
  </rv>
  <rv s="5">
    <fb>838.01</fb>
    <v>14</v>
  </rv>
  <rv s="5">
    <fb>206.43</fb>
    <v>14</v>
  </rv>
  <rv s="5">
    <fb>360.31</fb>
    <v>14</v>
  </rv>
  <rv s="5">
    <fb>91.32</fb>
    <v>14</v>
  </rv>
  <rv s="5">
    <fb>29.84</fb>
    <v>14</v>
  </rv>
  <rv s="5">
    <fb>30.945</fb>
    <v>14</v>
  </rv>
  <rv s="5">
    <fb>161.97</fb>
    <v>14</v>
  </rv>
  <rv s="5">
    <fb>499.5</fb>
    <v>14</v>
  </rv>
  <rv s="5">
    <fb>4791.1899999999996</fb>
    <v>14</v>
  </rv>
  <rv s="5">
    <fb>44558</fb>
    <v>13</v>
  </rv>
  <rv s="5">
    <fb>146.68700000000001</fb>
    <v>14</v>
  </rv>
  <rv s="5">
    <fb>170.661</fb>
    <v>14</v>
  </rv>
  <rv s="5">
    <fb>842</fb>
    <v>14</v>
  </rv>
  <rv s="5">
    <fb>207.05</fb>
    <v>14</v>
  </rv>
  <rv s="5">
    <fb>360.78</fb>
    <v>14</v>
  </rv>
  <rv s="5">
    <fb>30.11</fb>
    <v>14</v>
  </rv>
  <rv s="5">
    <fb>30.321999999999999</fb>
    <v>14</v>
  </rv>
  <rv s="5">
    <fb>162.84</fb>
    <v>14</v>
  </rv>
  <rv s="5">
    <fb>502.94</fb>
    <v>14</v>
  </rv>
  <rv s="5">
    <fb>4786.3500000000004</fb>
    <v>14</v>
  </rv>
  <rv s="5">
    <fb>44559</fb>
    <v>13</v>
  </rv>
  <rv s="5">
    <fb>146.655</fb>
    <v>14</v>
  </rv>
  <rv s="5">
    <fb>169.20099999999999</fb>
    <v>14</v>
  </rv>
  <rv s="5">
    <fb>95.23</fb>
    <v>14</v>
  </rv>
  <rv s="5">
    <fb>845.49</fb>
    <v>14</v>
  </rv>
  <rv s="5">
    <fb>207.53</fb>
    <v>14</v>
  </rv>
  <rv s="5">
    <fb>361.29</fb>
    <v>14</v>
  </rv>
  <rv s="5">
    <fb>91.99</fb>
    <v>14</v>
  </rv>
  <rv s="5">
    <fb>30.001000000000001</fb>
    <v>14</v>
  </rv>
  <rv s="5">
    <fb>505.58</fb>
    <v>14</v>
  </rv>
  <rv s="5">
    <fb>4793.0600000000004</fb>
    <v>14</v>
  </rv>
  <rv s="5">
    <fb>44560</fb>
    <v>13</v>
  </rv>
  <rv s="5">
    <fb>146.20050000000001</fb>
    <v>14</v>
  </rv>
  <rv s="5">
    <fb>168.64449999999999</fb>
    <v>14</v>
  </rv>
  <rv s="5">
    <fb>95.45</fb>
    <v>14</v>
  </rv>
  <rv s="5">
    <fb>845.84</fb>
    <v>14</v>
  </rv>
  <rv s="5">
    <fb>207.11</fb>
    <v>14</v>
  </rv>
  <rv s="5">
    <fb>360.99</fb>
    <v>14</v>
  </rv>
  <rv s="5">
    <fb>29.585999999999999</fb>
    <v>14</v>
  </rv>
  <rv s="5">
    <fb>162.77000000000001</fb>
    <v>14</v>
  </rv>
  <rv s="5">
    <fb>504.43</fb>
    <v>14</v>
  </rv>
  <rv s="5">
    <fb>4778.7299999999996</fb>
    <v>14</v>
  </rv>
  <rv s="5">
    <fb>44561</fb>
    <v>13</v>
  </rv>
  <rv s="5">
    <fb>144.852</fb>
    <v>14</v>
  </rv>
  <rv s="5">
    <fb>166.71700000000001</fb>
    <v>14</v>
  </rv>
  <rv s="5">
    <fb>96.27</fb>
    <v>14</v>
  </rv>
  <rv s="5">
    <fb>836.11</fb>
    <v>14</v>
  </rv>
  <rv s="5">
    <fb>208.51</fb>
    <v>14</v>
  </rv>
  <rv s="5">
    <fb>359.32</fb>
    <v>14</v>
  </rv>
  <rv s="5">
    <fb>29.411000000000001</fb>
    <v>14</v>
  </rv>
  <rv s="5">
    <fb>163.58000000000001</fb>
    <v>14</v>
  </rv>
  <rv s="5">
    <fb>502.14</fb>
    <v>14</v>
  </rv>
  <rv s="5">
    <fb>4766.18</fb>
    <v>14</v>
  </rv>
  <rv s="5">
    <fb>44564</fb>
    <v>13</v>
  </rv>
  <rv s="5">
    <fb>144.9915</fb>
    <v>14</v>
  </rv>
  <rv s="5">
    <fb>170.40450000000001</fb>
    <v>14</v>
  </rv>
  <rv s="5">
    <fb>814.63</fb>
    <v>14</v>
  </rv>
  <rv s="5">
    <fb>206.8</fb>
    <v>14</v>
  </rv>
  <rv s="5">
    <fb>370.95</fb>
    <v>14</v>
  </rv>
  <rv s="5">
    <fb>30.120999999999999</fb>
    <v>14</v>
  </rv>
  <rv s="5">
    <fb>502.28</fb>
    <v>14</v>
  </rv>
  <rv s="5">
    <fb>4796.5600000000004</fb>
    <v>14</v>
  </rv>
  <rv s="5">
    <fb>44565</fb>
    <v>13</v>
  </rv>
  <rv s="5">
    <fb>144.39949999999999</fb>
    <v>14</v>
  </rv>
  <rv s="5">
    <fb>167.52199999999999</fb>
    <v>14</v>
  </rv>
  <rv s="5">
    <fb>90.01</fb>
    <v>14</v>
  </rv>
  <rv s="5">
    <fb>789.1</fb>
    <v>14</v>
  </rv>
  <rv s="5">
    <fb>209</fb>
    <v>14</v>
  </rv>
  <rv s="5">
    <fb>375.39</fb>
    <v>14</v>
  </rv>
  <rv s="5">
    <fb>29.29</fb>
    <v>14</v>
  </rv>
  <rv s="5">
    <fb>490.9</fb>
    <v>14</v>
  </rv>
  <rv s="5">
    <fb>4793.54</fb>
    <v>14</v>
  </rv>
  <rv s="5">
    <fb>44566</fb>
    <v>13</v>
  </rv>
  <rv s="5">
    <fb>137.77500000000001</fb>
    <v>14</v>
  </rv>
  <rv s="5">
    <fb>164.357</fb>
    <v>14</v>
  </rv>
  <rv s="5">
    <fb>775.08</fb>
    <v>14</v>
  </rv>
  <rv s="5">
    <fb>211.06</fb>
    <v>14</v>
  </rv>
  <rv s="5">
    <fb>373.9</fb>
    <v>14</v>
  </rv>
  <rv s="5">
    <fb>89.73</fb>
    <v>14</v>
  </rv>
  <rv s="5">
    <fb>27.603999999999999</fb>
    <v>14</v>
  </rv>
  <rv s="5">
    <fb>164.21</fb>
    <v>14</v>
  </rv>
  <rv s="5">
    <fb>489.69</fb>
    <v>14</v>
  </rv>
  <rv s="5">
    <fb>4700.58</fb>
    <v>14</v>
  </rv>
  <rv s="5">
    <fb>44567</fb>
    <v>13</v>
  </rv>
  <rv s="5">
    <fb>137.7475</fb>
    <v>14</v>
  </rv>
  <rv s="5">
    <fb>163.25399999999999</fb>
    <v>14</v>
  </rv>
  <rv s="5">
    <fb>774.94</fb>
    <v>14</v>
  </rv>
  <rv s="5">
    <fb>210.82</fb>
    <v>14</v>
  </rv>
  <rv s="5">
    <fb>370</fb>
    <v>14</v>
  </rv>
  <rv s="5">
    <fb>28.178000000000001</fb>
    <v>14</v>
  </rv>
  <rv s="5">
    <fb>162.83000000000001</fb>
    <v>14</v>
  </rv>
  <rv s="5">
    <fb>469.65</fb>
    <v>14</v>
  </rv>
  <rv s="5">
    <fb>4696.05</fb>
    <v>14</v>
  </rv>
  <rv s="5">
    <fb>44568</fb>
    <v>13</v>
  </rv>
  <rv s="5">
    <fb>137.017</fb>
    <v>14</v>
  </rv>
  <rv s="5">
    <fb>162.554</fb>
    <v>14</v>
  </rv>
  <rv s="5">
    <fb>764.33</fb>
    <v>14</v>
  </rv>
  <rv s="5">
    <fb>215.75</fb>
    <v>14</v>
  </rv>
  <rv s="5">
    <fb>369.65</fb>
    <v>14</v>
  </rv>
  <rv s="5">
    <fb>86.41</fb>
    <v>14</v>
  </rv>
  <rv s="5">
    <fb>27.247</fb>
    <v>14</v>
  </rv>
  <rv s="5">
    <fb>162.74</fb>
    <v>14</v>
  </rv>
  <rv s="5">
    <fb>458.6</fb>
    <v>14</v>
  </rv>
  <rv s="5">
    <fb>4677.03</fb>
    <v>14</v>
  </rv>
  <rv s="5">
    <fb>44571</fb>
    <v>13</v>
  </rv>
  <rv s="5">
    <fb>138.6695</fb>
    <v>14</v>
  </rv>
  <rv s="5">
    <fb>161.48599999999999</fb>
    <v>14</v>
  </rv>
  <rv s="5">
    <fb>766.88</fb>
    <v>14</v>
  </rv>
  <rv s="5">
    <fb>213.46</fb>
    <v>14</v>
  </rv>
  <rv s="5">
    <fb>160.52000000000001</fb>
    <v>14</v>
  </rv>
  <rv s="5">
    <fb>465</fb>
    <v>14</v>
  </rv>
  <rv s="5">
    <fb>4670.29</fb>
    <v>14</v>
  </rv>
  <rv s="5">
    <fb>44572</fb>
    <v>13</v>
  </rv>
  <rv s="5">
    <fb>139.73599999999999</fb>
    <v>14</v>
  </rv>
  <rv s="5">
    <fb>165.36199999999999</fb>
    <v>14</v>
  </rv>
  <rv s="5">
    <fb>764.46</fb>
    <v>14</v>
  </rv>
  <rv s="5">
    <fb>216.31</fb>
    <v>14</v>
  </rv>
  <rv s="5">
    <fb>366.29</fb>
    <v>14</v>
  </rv>
  <rv s="5">
    <fb>36.479999999999997</fb>
    <v>14</v>
  </rv>
  <rv s="5">
    <fb>27.817</fb>
    <v>14</v>
  </rv>
  <rv s="5">
    <fb>469</fb>
    <v>14</v>
  </rv>
  <rv s="5">
    <fb>4713.07</fb>
    <v>14</v>
  </rv>
  <rv s="5">
    <fb>44573</fb>
    <v>13</v>
  </rv>
  <rv s="5">
    <fb>141.43049999999999</fb>
    <v>14</v>
  </rv>
  <rv s="5">
    <fb>165.20699999999999</fb>
    <v>14</v>
  </rv>
  <rv s="5">
    <fb>748.12</fb>
    <v>14</v>
  </rv>
  <rv s="5">
    <fb>218.25</fb>
    <v>14</v>
  </rv>
  <rv s="5">
    <fb>367.31</fb>
    <v>14</v>
  </rv>
  <rv s="5">
    <fb>85.09</fb>
    <v>14</v>
  </rv>
  <rv s="5">
    <fb>27.998999999999999</fb>
    <v>14</v>
  </rv>
  <rv s="5">
    <fb>159.01</fb>
    <v>14</v>
  </rv>
  <rv s="5">
    <fb>473.72</fb>
    <v>14</v>
  </rv>
  <rv s="5">
    <fb>4726.3500000000004</fb>
    <v>14</v>
  </rv>
  <rv s="5">
    <fb>44574</fb>
    <v>13</v>
  </rv>
  <rv s="5">
    <fb>138.58699999999999</fb>
    <v>14</v>
  </rv>
  <rv s="5">
    <fb>161.214</fb>
    <v>14</v>
  </rv>
  <rv s="5">
    <fb>746.76</fb>
    <v>14</v>
  </rv>
  <rv s="5">
    <fb>219.43</fb>
    <v>14</v>
  </rv>
  <rv s="5">
    <fb>369.52</fb>
    <v>14</v>
  </rv>
  <rv s="5">
    <fb>84.9</fb>
    <v>14</v>
  </rv>
  <rv s="5">
    <fb>36.17</fb>
    <v>14</v>
  </rv>
  <rv s="5">
    <fb>26.574999999999999</fb>
    <v>14</v>
  </rv>
  <rv s="5">
    <fb>158.29</fb>
    <v>14</v>
  </rv>
  <rv s="5">
    <fb>467.43</fb>
    <v>14</v>
  </rv>
  <rv s="5">
    <fb>4659.03</fb>
    <v>14</v>
  </rv>
  <rv s="5">
    <fb>44575</fb>
    <v>13</v>
  </rv>
  <rv s="5">
    <fb>139.48050000000001</fb>
    <v>14</v>
  </rv>
  <rv s="5">
    <fb>162.13800000000001</fb>
    <v>14</v>
  </rv>
  <rv s="5">
    <fb>90.59</fb>
    <v>14</v>
  </rv>
  <rv s="5">
    <fb>742.94</fb>
    <v>14</v>
  </rv>
  <rv s="5">
    <fb>217.65</fb>
    <v>14</v>
  </rv>
  <rv s="5">
    <fb>372.14</fb>
    <v>14</v>
  </rv>
  <rv s="5">
    <fb>83.2</fb>
    <v>14</v>
  </rv>
  <rv s="5">
    <fb>26.942</fb>
    <v>14</v>
  </rv>
  <rv s="5">
    <fb>159.81</fb>
    <v>14</v>
  </rv>
  <rv s="5">
    <fb>468.69</fb>
    <v>14</v>
  </rv>
  <rv s="5">
    <fb>4662.8500000000004</fb>
    <v>14</v>
  </rv>
  <rv s="5">
    <fb>44579</fb>
    <v>13</v>
  </rv>
  <rv s="5">
    <fb>135.99799999999999</fb>
    <v>14</v>
  </rv>
  <rv s="5">
    <fb>158.91749999999999</fb>
    <v>14</v>
  </rv>
  <rv s="5">
    <fb>730.49</fb>
    <v>14</v>
  </rv>
  <rv s="5">
    <fb>213.59</fb>
    <v>14</v>
  </rv>
  <rv s="5">
    <fb>366.3</fb>
    <v>14</v>
  </rv>
  <rv s="5">
    <fb>25.902999999999999</fb>
    <v>14</v>
  </rv>
  <rv s="5">
    <fb>156.72999999999999</fb>
    <v>14</v>
  </rv>
  <rv s="5">
    <fb>460.99</fb>
    <v>14</v>
  </rv>
  <rv s="5">
    <fb>4577.1099999999997</fb>
    <v>14</v>
  </rv>
  <rv s="5">
    <fb>44580</fb>
    <v>13</v>
  </rv>
  <rv s="5">
    <fb>135.1165</fb>
    <v>14</v>
  </rv>
  <rv s="5">
    <fb>156.29900000000001</fb>
    <v>14</v>
  </rv>
  <rv s="5">
    <fb>91.75</fb>
    <v>14</v>
  </rv>
  <rv s="5">
    <fb>730.51</fb>
    <v>14</v>
  </rv>
  <rv s="5">
    <fb>210.73</fb>
    <v>14</v>
  </rv>
  <rv s="5">
    <fb>360.73</fb>
    <v>14</v>
  </rv>
  <rv s="5">
    <fb>37.1</fb>
    <v>14</v>
  </rv>
  <rv s="5">
    <fb>25.067</fb>
    <v>14</v>
  </rv>
  <rv s="5">
    <fb>462.52</fb>
    <v>14</v>
  </rv>
  <rv s="5">
    <fb>4532.76</fb>
    <v>14</v>
  </rv>
  <rv s="5">
    <fb>44581</fb>
    <v>13</v>
  </rv>
  <rv s="5">
    <fb>133.3075</fb>
    <v>14</v>
  </rv>
  <rv s="5">
    <fb>151.66749999999999</fb>
    <v>14</v>
  </rv>
  <rv s="5">
    <fb>721.58</fb>
    <v>14</v>
  </rv>
  <rv s="5">
    <fb>208.92</fb>
    <v>14</v>
  </rv>
  <rv s="5">
    <fb>364</fb>
    <v>14</v>
  </rv>
  <rv s="5">
    <fb>83.51</fb>
    <v>14</v>
  </rv>
  <rv s="5">
    <fb>37.049999999999997</fb>
    <v>14</v>
  </rv>
  <rv s="5">
    <fb>24.15</fb>
    <v>14</v>
  </rv>
  <rv s="5">
    <fb>463</fb>
    <v>14</v>
  </rv>
  <rv s="5">
    <fb>4482.7299999999996</fb>
    <v>14</v>
  </rv>
  <rv s="5">
    <fb>44582</fb>
    <v>13</v>
  </rv>
  <rv s="5">
    <fb>130.35149999999999</fb>
    <v>14</v>
  </rv>
  <rv s="5">
    <fb>142.643</fb>
    <v>14</v>
  </rv>
  <rv s="5">
    <fb>730.84</fb>
    <v>14</v>
  </rv>
  <rv s="5">
    <fb>205.1</fb>
    <v>14</v>
  </rv>
  <rv s="5">
    <fb>355.08</fb>
    <v>14</v>
  </rv>
  <rv s="5">
    <fb>23.373999999999999</fb>
    <v>14</v>
  </rv>
  <rv s="5">
    <fb>162.62</fb>
    <v>14</v>
  </rv>
  <rv s="5">
    <fb>461.17</fb>
    <v>14</v>
  </rv>
  <rv s="5">
    <fb>4397.9399999999996</fb>
    <v>14</v>
  </rv>
  <rv s="5">
    <fb>44585</fb>
    <v>13</v>
  </rv>
  <rv s="5">
    <fb>130.804</fb>
    <v>14</v>
  </rv>
  <rv s="5">
    <fb>144.54400000000001</fb>
    <v>14</v>
  </rv>
  <rv s="5">
    <fb>87.23</fb>
    <v>14</v>
  </rv>
  <rv s="5">
    <fb>719.67</fb>
    <v>14</v>
  </rv>
  <rv s="5">
    <fb>204.45</fb>
    <v>14</v>
  </rv>
  <rv s="5">
    <fb>349.42</fb>
    <v>14</v>
  </rv>
  <rv s="5">
    <fb>23.372</fb>
    <v>14</v>
  </rv>
  <rv s="5">
    <fb>161.30000000000001</fb>
    <v>14</v>
  </rv>
  <rv s="5">
    <fb>462.27</fb>
    <v>14</v>
  </rv>
  <rv s="5">
    <fb>4410.13</fb>
    <v>14</v>
  </rv>
  <rv s="5">
    <fb>44586</fb>
    <v>13</v>
  </rv>
  <rv s="5">
    <fb>126.935</fb>
    <v>14</v>
  </rv>
  <rv s="5">
    <fb>139.98599999999999</fb>
    <v>14</v>
  </rv>
  <rv s="5">
    <fb>695.83</fb>
    <v>14</v>
  </rv>
  <rv s="5">
    <fb>202.3</fb>
    <v>14</v>
  </rv>
  <rv s="5">
    <fb>338.76</fb>
    <v>14</v>
  </rv>
  <rv s="5">
    <fb>22.324000000000002</fb>
    <v>14</v>
  </rv>
  <rv s="5">
    <fb>159.54</fb>
    <v>14</v>
  </rv>
  <rv s="5">
    <fb>456.84</fb>
    <v>14</v>
  </rv>
  <rv s="5">
    <fb>4356.45</fb>
    <v>14</v>
  </rv>
  <rv s="5">
    <fb>44587</fb>
    <v>13</v>
  </rv>
  <rv s="5">
    <fb>129.233</fb>
    <v>14</v>
  </rv>
  <rv s="5">
    <fb>138.8725</fb>
    <v>14</v>
  </rv>
  <rv s="5">
    <fb>86.57</fb>
    <v>14</v>
  </rv>
  <rv s="5">
    <fb>683.02</fb>
    <v>14</v>
  </rv>
  <rv s="5">
    <fb>200.65</fb>
    <v>14</v>
  </rv>
  <rv s="5">
    <fb>344.66</fb>
    <v>14</v>
  </rv>
  <rv s="5">
    <fb>72.64</fb>
    <v>14</v>
  </rv>
  <rv s="5">
    <fb>39.799999999999997</fb>
    <v>14</v>
  </rv>
  <rv s="5">
    <fb>22.771999999999998</fb>
    <v>14</v>
  </rv>
  <rv s="5">
    <fb>158.15</fb>
    <v>14</v>
  </rv>
  <rv s="5">
    <fb>458.43</fb>
    <v>14</v>
  </rv>
  <rv s="5">
    <fb>4349.93</fb>
    <v>14</v>
  </rv>
  <rv s="5">
    <fb>44588</fb>
    <v>13</v>
  </rv>
  <rv s="5">
    <fb>129.005</fb>
    <v>14</v>
  </rv>
  <rv s="5">
    <fb>139.63749999999999</fb>
    <v>14</v>
  </rv>
  <rv s="5">
    <fb>707.56</fb>
    <v>14</v>
  </rv>
  <rv s="5">
    <fb>38.86</fb>
    <v>14</v>
  </rv>
  <rv s="5">
    <fb>21.943999999999999</fb>
    <v>14</v>
  </rv>
  <rv s="5">
    <fb>159.13</fb>
    <v>14</v>
  </rv>
  <rv s="5">
    <fb>461.6</fb>
    <v>14</v>
  </rv>
  <rv s="5">
    <fb>4326.51</fb>
    <v>14</v>
  </rv>
  <rv s="5">
    <fb>44589</fb>
    <v>13</v>
  </rv>
  <rv s="5">
    <fb>133.351</fb>
    <v>14</v>
  </rv>
  <rv s="5">
    <fb>143.97800000000001</fb>
    <v>14</v>
  </rv>
  <rv s="5">
    <fb>724.9</fb>
    <v>14</v>
  </rv>
  <rv s="5">
    <fb>201.99</fb>
    <v>14</v>
  </rv>
  <rv s="5">
    <fb>382.51</fb>
    <v>14</v>
  </rv>
  <rv s="5">
    <fb>39.68</fb>
    <v>14</v>
  </rv>
  <rv s="5">
    <fb>160.5</fb>
    <v>14</v>
  </rv>
  <rv s="5">
    <fb>466.06</fb>
    <v>14</v>
  </rv>
  <rv s="5">
    <fb>4431.8500000000004</fb>
    <v>14</v>
  </rv>
  <rv s="5">
    <fb>44592</fb>
    <v>13</v>
  </rv>
  <rv s="5">
    <fb>135.30350000000001</fb>
    <v>14</v>
  </rv>
  <rv s="5">
    <fb>149.5735</fb>
    <v>14</v>
  </rv>
  <rv s="5">
    <fb>97.1</fb>
    <v>14</v>
  </rv>
  <rv s="5">
    <fb>715.29</fb>
    <v>14</v>
  </rv>
  <rv s="5">
    <fb>204.48</fb>
    <v>14</v>
  </rv>
  <rv s="5">
    <fb>386.38</fb>
    <v>14</v>
  </rv>
  <rv s="5">
    <fb>78.12</fb>
    <v>14</v>
  </rv>
  <rv s="5">
    <fb>24.486000000000001</fb>
    <v>14</v>
  </rv>
  <rv s="5">
    <fb>160.44999999999999</fb>
    <v>14</v>
  </rv>
  <rv s="5">
    <fb>472.57</fb>
    <v>14</v>
  </rv>
  <rv s="5">
    <fb>4515.55</fb>
    <v>14</v>
  </rv>
  <rv s="5">
    <fb>44593</fb>
    <v>13</v>
  </rv>
  <rv s="5">
    <fb>137.64400000000001</fb>
    <v>14</v>
  </rv>
  <rv s="5">
    <fb>151.1935</fb>
    <v>14</v>
  </rv>
  <rv s="5">
    <fb>96.57</fb>
    <v>14</v>
  </rv>
  <rv s="5">
    <fb>716.55</fb>
    <v>14</v>
  </rv>
  <rv s="5">
    <fb>205.34</fb>
    <v>14</v>
  </rv>
  <rv s="5">
    <fb>392.06</fb>
    <v>14</v>
  </rv>
  <rv s="5">
    <fb>77.23</fb>
    <v>14</v>
  </rv>
  <rv s="5">
    <fb>24.638000000000002</fb>
    <v>14</v>
  </rv>
  <rv s="5">
    <fb>159.74</fb>
    <v>14</v>
  </rv>
  <rv s="5">
    <fb>4546.54</fb>
    <v>14</v>
  </rv>
  <rv s="5">
    <fb>44594</fb>
    <v>13</v>
  </rv>
  <rv s="5">
    <fb>148</fb>
    <v>14</v>
  </rv>
  <rv s="5">
    <fb>150.61250000000001</fb>
    <v>14</v>
  </rv>
  <rv s="5">
    <fb>94.46</fb>
    <v>14</v>
  </rv>
  <rv s="5">
    <fb>712.91</fb>
    <v>14</v>
  </rv>
  <rv s="5">
    <fb>207.55</fb>
    <v>14</v>
  </rv>
  <rv s="5">
    <fb>396.75</fb>
    <v>14</v>
  </rv>
  <rv s="5">
    <fb>77.73</fb>
    <v>14</v>
  </rv>
  <rv s="5">
    <fb>25.242000000000001</fb>
    <v>14</v>
  </rv>
  <rv s="5">
    <fb>479.78</fb>
    <v>14</v>
  </rv>
  <rv s="5">
    <fb>4589.38</fb>
    <v>14</v>
  </rv>
  <rv s="5">
    <fb>44595</fb>
    <v>13</v>
  </rv>
  <rv s="5">
    <fb>143.09</fb>
    <v>14</v>
  </rv>
  <rv s="5">
    <fb>138.84549999999999</fb>
    <v>14</v>
  </rv>
  <rv s="5">
    <fb>93.12</fb>
    <v>14</v>
  </rv>
  <rv s="5">
    <fb>702.15</fb>
    <v>14</v>
  </rv>
  <rv s="5">
    <fb>191.74</fb>
    <v>14</v>
  </rv>
  <rv s="5">
    <fb>390.07</fb>
    <v>14</v>
  </rv>
  <rv s="5">
    <fb>23.948</fb>
    <v>14</v>
  </rv>
  <rv s="5">
    <fb>164.14</fb>
    <v>14</v>
  </rv>
  <rv s="5">
    <fb>488.77</fb>
    <v>14</v>
  </rv>
  <rv s="5">
    <fb>4477.4399999999996</fb>
    <v>14</v>
  </rv>
  <rv s="5">
    <fb>44596</fb>
    <v>13</v>
  </rv>
  <rv s="5">
    <fb>143.29300000000001</fb>
    <v>14</v>
  </rv>
  <rv s="5">
    <fb>157.6395</fb>
    <v>14</v>
  </rv>
  <rv s="5">
    <fb>93.68</fb>
    <v>14</v>
  </rv>
  <rv s="5">
    <fb>698.15</fb>
    <v>14</v>
  </rv>
  <rv s="5">
    <fb>382.2</fb>
    <v>14</v>
  </rv>
  <rv s="5">
    <fb>76.010000000000005</fb>
    <v>14</v>
  </rv>
  <rv s="5">
    <fb>24.318999999999999</fb>
    <v>14</v>
  </rv>
  <rv s="5">
    <fb>161.53</fb>
    <v>14</v>
  </rv>
  <rv s="5">
    <fb>483.17</fb>
    <v>14</v>
  </rv>
  <rv s="5">
    <fb>4500.53</fb>
    <v>14</v>
  </rv>
  <rv s="5">
    <fb>44599</fb>
    <v>13</v>
  </rv>
  <rv s="5">
    <fb>139.20099999999999</fb>
    <v>14</v>
  </rv>
  <rv s="5">
    <fb>157.93549999999999</fb>
    <v>14</v>
  </rv>
  <rv s="5">
    <fb>690.52</fb>
    <v>14</v>
  </rv>
  <rv s="5">
    <fb>192.48</fb>
    <v>14</v>
  </rv>
  <rv s="5">
    <fb>75.680000000000007</fb>
    <v>14</v>
  </rv>
  <rv s="5">
    <fb>24.728000000000002</fb>
    <v>14</v>
  </rv>
  <rv s="5">
    <fb>160.32</fb>
    <v>14</v>
  </rv>
  <rv s="5">
    <fb>483.7</fb>
    <v>14</v>
  </rv>
  <rv s="5">
    <fb>4483.87</fb>
    <v>14</v>
  </rv>
  <rv s="5">
    <fb>44600</fb>
    <v>13</v>
  </rv>
  <rv s="5">
    <fb>139.399</fb>
    <v>14</v>
  </rv>
  <rv s="5">
    <fb>161.4135</fb>
    <v>14</v>
  </rv>
  <rv s="5">
    <fb>718.61</fb>
    <v>14</v>
  </rv>
  <rv s="5">
    <fb>194.56</fb>
    <v>14</v>
  </rv>
  <rv s="5">
    <fb>374.37</fb>
    <v>14</v>
  </rv>
  <rv s="5">
    <fb>75.459999999999994</fb>
    <v>14</v>
  </rv>
  <rv s="5">
    <fb>38.9</fb>
    <v>14</v>
  </rv>
  <rv s="5">
    <fb>25.108000000000001</fb>
    <v>14</v>
  </rv>
  <rv s="5">
    <fb>493.41</fb>
    <v>14</v>
  </rv>
  <rv s="5">
    <fb>4521.54</fb>
    <v>14</v>
  </rv>
  <rv s="5">
    <fb>44601</fb>
    <v>13</v>
  </rv>
  <rv s="5">
    <fb>141.59200000000001</fb>
    <v>14</v>
  </rv>
  <rv s="5">
    <fb>161.18950000000001</fb>
    <v>14</v>
  </rv>
  <rv s="5">
    <fb>94.05</fb>
    <v>14</v>
  </rv>
  <rv s="5">
    <fb>687.72</fb>
    <v>14</v>
  </rv>
  <rv s="5">
    <fb>196.62</fb>
    <v>14</v>
  </rv>
  <rv s="5">
    <fb>381.37</fb>
    <v>14</v>
  </rv>
  <rv s="5">
    <fb>76.66</fb>
    <v>14</v>
  </rv>
  <rv s="5">
    <fb>26.704999999999998</fb>
    <v>14</v>
  </rv>
  <rv s="5">
    <fb>159.6</fb>
    <v>14</v>
  </rv>
  <rv s="5">
    <fb>498.1</fb>
    <v>14</v>
  </rv>
  <rv s="5">
    <fb>4587.18</fb>
    <v>14</v>
  </rv>
  <rv s="5">
    <fb>44602</fb>
    <v>13</v>
  </rv>
  <rv s="5">
    <fb>138.62</fb>
    <v>14</v>
  </rv>
  <rv s="5">
    <fb>159.0035</fb>
    <v>14</v>
  </rv>
  <rv s="5">
    <fb>92.67</fb>
    <v>14</v>
  </rv>
  <rv s="5">
    <fb>671.52</fb>
    <v>14</v>
  </rv>
  <rv s="5">
    <fb>75.45</fb>
    <v>14</v>
  </rv>
  <rv s="5">
    <fb>39.17</fb>
    <v>14</v>
  </rv>
  <rv s="5">
    <fb>25.824000000000002</fb>
    <v>14</v>
  </rv>
  <rv s="5">
    <fb>157.16999999999999</fb>
    <v>14</v>
  </rv>
  <rv s="5">
    <fb>486.72</fb>
    <v>14</v>
  </rv>
  <rv s="5">
    <fb>4504.08</fb>
    <v>14</v>
  </rv>
  <rv s="5">
    <fb>44603</fb>
    <v>13</v>
  </rv>
  <rv s="5">
    <fb>134.2825</fb>
    <v>14</v>
  </rv>
  <rv s="5">
    <fb>153.29349999999999</fb>
    <v>14</v>
  </rv>
  <rv s="5">
    <fb>669.38</fb>
    <v>14</v>
  </rv>
  <rv s="5">
    <fb>186.99</fb>
    <v>14</v>
  </rv>
  <rv s="5">
    <fb>369.77</fb>
    <v>14</v>
  </rv>
  <rv s="5">
    <fb>74.959999999999994</fb>
    <v>14</v>
  </rv>
  <rv s="5">
    <fb>23.949000000000002</fb>
    <v>14</v>
  </rv>
  <rv s="5">
    <fb>478.13</fb>
    <v>14</v>
  </rv>
  <rv s="5">
    <fb>4418.6400000000003</fb>
    <v>14</v>
  </rv>
  <rv s="5">
    <fb>44606</fb>
    <v>13</v>
  </rv>
  <rv s="5">
    <fb>135.52600000000001</fb>
    <v>14</v>
  </rv>
  <rv s="5">
    <fb>155.167</fb>
    <v>14</v>
  </rv>
  <rv s="5">
    <fb>92.28</fb>
    <v>14</v>
  </rv>
  <rv s="5">
    <fb>673.38</fb>
    <v>14</v>
  </rv>
  <rv s="5">
    <fb>374.16</fb>
    <v>14</v>
  </rv>
  <rv s="5">
    <fb>74.92</fb>
    <v>14</v>
  </rv>
  <rv s="5">
    <fb>24.266999999999999</fb>
    <v>14</v>
  </rv>
  <rv s="5">
    <fb>156.74</fb>
    <v>14</v>
  </rv>
  <rv s="5">
    <fb>474.4</fb>
    <v>14</v>
  </rv>
  <rv s="5">
    <fb>4401.67</fb>
    <v>14</v>
  </rv>
  <rv s="5">
    <fb>44607</fb>
    <v>13</v>
  </rv>
  <rv s="5">
    <fb>136.60849999999999</fb>
    <v>14</v>
  </rv>
  <rv s="5">
    <fb>156.51050000000001</fb>
    <v>14</v>
  </rv>
  <rv s="5">
    <fb>91.84</fb>
    <v>14</v>
  </rv>
  <rv s="5">
    <fb>673.58</fb>
    <v>14</v>
  </rv>
  <rv s="5">
    <fb>381.54</fb>
    <v>14</v>
  </rv>
  <rv s="5">
    <fb>26.495000000000001</fb>
    <v>14</v>
  </rv>
  <rv s="5">
    <fb>156.82</fb>
    <v>14</v>
  </rv>
  <rv s="5">
    <fb>4471.07</fb>
    <v>14</v>
  </rv>
  <rv s="5">
    <fb>44608</fb>
    <v>13</v>
  </rv>
  <rv s="5">
    <fb>137.738</fb>
    <v>14</v>
  </rv>
  <rv s="5">
    <fb>158.10050000000001</fb>
    <v>14</v>
  </rv>
  <rv s="5">
    <fb>691.61</fb>
    <v>14</v>
  </rv>
  <rv s="5">
    <fb>189.06</fb>
    <v>14</v>
  </rv>
  <rv s="5">
    <fb>382.93</fb>
    <v>14</v>
  </rv>
  <rv s="5">
    <fb>41.69</fb>
    <v>14</v>
  </rv>
  <rv s="5">
    <fb>26.510999999999999</fb>
    <v>14</v>
  </rv>
  <rv s="5">
    <fb>158.01</fb>
    <v>14</v>
  </rv>
  <rv s="5">
    <fb>480.05</fb>
    <v>14</v>
  </rv>
  <rv s="5">
    <fb>4475.01</fb>
    <v>14</v>
  </rv>
  <rv s="5">
    <fb>44609</fb>
    <v>13</v>
  </rv>
  <rv s="5">
    <fb>132.53899999999999</fb>
    <v>14</v>
  </rv>
  <rv s="5">
    <fb>154.6525</fb>
    <v>14</v>
  </rv>
  <rv s="5">
    <fb>90.92</fb>
    <v>14</v>
  </rv>
  <rv s="5">
    <fb>692.94</fb>
    <v>14</v>
  </rv>
  <rv s="5">
    <fb>184.59</fb>
    <v>14</v>
  </rv>
  <rv s="5">
    <fb>373.7</fb>
    <v>14</v>
  </rv>
  <rv s="5">
    <fb>41.11</fb>
    <v>14</v>
  </rv>
  <rv s="5">
    <fb>24.507000000000001</fb>
    <v>14</v>
  </rv>
  <rv s="5">
    <fb>159.82</fb>
    <v>14</v>
  </rv>
  <rv s="5">
    <fb>470.34</fb>
    <v>14</v>
  </rv>
  <rv s="5">
    <fb>4380.26</fb>
    <v>14</v>
  </rv>
  <rv s="5">
    <fb>44610</fb>
    <v>13</v>
  </rv>
  <rv s="5">
    <fb>130.40299999999999</fb>
    <v>14</v>
  </rv>
  <rv s="5">
    <fb>90.61</fb>
    <v>14</v>
  </rv>
  <rv s="5">
    <fb>680.77</fb>
    <v>14</v>
  </rv>
  <rv s="5">
    <fb>182.13</fb>
    <v>14</v>
  </rv>
  <rv s="5">
    <fb>369.95</fb>
    <v>14</v>
  </rv>
  <rv s="5">
    <fb>40.21</fb>
    <v>14</v>
  </rv>
  <rv s="5">
    <fb>23.641999999999999</fb>
    <v>14</v>
  </rv>
  <rv s="5">
    <fb>159.9</fb>
    <v>14</v>
  </rv>
  <rv s="5">
    <fb>467.81</fb>
    <v>14</v>
  </rv>
  <rv s="5">
    <fb>4348.87</fb>
    <v>14</v>
  </rv>
  <rv s="5">
    <fb>44614</fb>
    <v>13</v>
  </rv>
  <rv s="5">
    <fb>129.8135</fb>
    <v>14</v>
  </rv>
  <rv s="5">
    <fb>150.19749999999999</fb>
    <v>14</v>
  </rv>
  <rv s="5">
    <fb>674.13</fb>
    <v>14</v>
  </rv>
  <rv s="5">
    <fb>182.56</fb>
    <v>14</v>
  </rv>
  <rv s="5">
    <fb>368.29</fb>
    <v>14</v>
  </rv>
  <rv s="5">
    <fb>23.39</fb>
    <v>14</v>
  </rv>
  <rv s="5">
    <fb>157.93</fb>
    <v>14</v>
  </rv>
  <rv s="5">
    <fb>462.51</fb>
    <v>14</v>
  </rv>
  <rv s="5">
    <fb>4304.76</fb>
    <v>14</v>
  </rv>
  <rv s="5">
    <fb>44615</fb>
    <v>13</v>
  </rv>
  <rv s="5">
    <fb>127.58799999999999</fb>
    <v>14</v>
  </rv>
  <rv s="5">
    <fb>144.827</fb>
    <v>14</v>
  </rv>
  <rv s="5">
    <fb>88.56</fb>
    <v>14</v>
  </rv>
  <rv s="5">
    <fb>705.49</fb>
    <v>14</v>
  </rv>
  <rv s="5">
    <fb>178.96</fb>
    <v>14</v>
  </rv>
  <rv s="5">
    <fb>361.23</fb>
    <v>14</v>
  </rv>
  <rv s="5">
    <fb>72.319999999999993</fb>
    <v>14</v>
  </rv>
  <rv s="5">
    <fb>22.387</fb>
    <v>14</v>
  </rv>
  <rv s="5">
    <fb>155.96</fb>
    <v>14</v>
  </rv>
  <rv s="5">
    <fb>459.62</fb>
    <v>14</v>
  </rv>
  <rv s="5">
    <fb>4225.5</fb>
    <v>14</v>
  </rv>
  <rv s="5">
    <fb>44616</fb>
    <v>13</v>
  </rv>
  <rv s="5">
    <fb>132.691</fb>
    <v>14</v>
  </rv>
  <rv s="5">
    <fb>151.358</fb>
    <v>14</v>
  </rv>
  <rv s="5">
    <fb>715.74</fb>
    <v>14</v>
  </rv>
  <rv s="5">
    <fb>182.34</fb>
    <v>14</v>
  </rv>
  <rv s="5">
    <fb>369.38</fb>
    <v>14</v>
  </rv>
  <rv s="5">
    <fb>75.44</fb>
    <v>14</v>
  </rv>
  <rv s="5">
    <fb>38.32</fb>
    <v>14</v>
  </rv>
  <rv s="5">
    <fb>23.748000000000001</fb>
    <v>14</v>
  </rv>
  <rv s="5">
    <fb>151.76</fb>
    <v>14</v>
  </rv>
  <rv s="5">
    <fb>455.89</fb>
    <v>14</v>
  </rv>
  <rv s="5">
    <fb>4288.7</fb>
    <v>14</v>
  </rv>
  <rv s="5">
    <fb>44617</fb>
    <v>13</v>
  </rv>
  <rv s="5">
    <fb>134.45949999999999</fb>
    <v>14</v>
  </rv>
  <rv s="5">
    <fb>153.7885</fb>
    <v>14</v>
  </rv>
  <rv s="5">
    <fb>188.56</fb>
    <v>14</v>
  </rv>
  <rv s="5">
    <fb>369.09</fb>
    <v>14</v>
  </rv>
  <rv s="5">
    <fb>77.16</fb>
    <v>14</v>
  </rv>
  <rv s="5">
    <fb>39.450000000000003</fb>
    <v>14</v>
  </rv>
  <rv s="5">
    <fb>24.157</fb>
    <v>14</v>
  </rv>
  <rv s="5">
    <fb>158.24</fb>
    <v>14</v>
  </rv>
  <rv s="5">
    <fb>475.75</fb>
    <v>14</v>
  </rv>
  <rv s="5">
    <fb>4384.6499999999996</fb>
    <v>14</v>
  </rv>
  <rv s="5">
    <fb>44620</fb>
    <v>13</v>
  </rv>
  <rv s="5">
    <fb>135.05699999999999</fb>
    <v>14</v>
  </rv>
  <rv s="5">
    <fb>153.56299999999999</fb>
    <v>14</v>
  </rv>
  <rv s="5">
    <fb>710.8</fb>
    <v>14</v>
  </rv>
  <rv s="5">
    <fb>189.75</fb>
    <v>14</v>
  </rv>
  <rv s="5">
    <fb>360.82</fb>
    <v>14</v>
  </rv>
  <rv s="5">
    <fb>39.24</fb>
    <v>14</v>
  </rv>
  <rv s="5">
    <fb>24.385000000000002</fb>
    <v>14</v>
  </rv>
  <rv s="5">
    <fb>155.88999999999999</fb>
    <v>14</v>
  </rv>
  <rv s="5">
    <fb>475.87</fb>
    <v>14</v>
  </rv>
  <rv s="5">
    <fb>4373.9399999999996</fb>
    <v>14</v>
  </rv>
  <rv s="5">
    <fb>44621</fb>
    <v>13</v>
  </rv>
  <rv s="5">
    <fb>134.0615</fb>
    <v>14</v>
  </rv>
  <rv s="5">
    <fb>151.142</fb>
    <v>14</v>
  </rv>
  <rv s="5">
    <fb>86.84</fb>
    <v>14</v>
  </rv>
  <rv s="5">
    <fb>709.46</fb>
    <v>14</v>
  </rv>
  <rv s="5">
    <fb>183.6</fb>
    <v>14</v>
  </rv>
  <rv s="5">
    <fb>344.48</fb>
    <v>14</v>
  </rv>
  <rv s="5">
    <fb>77.44</fb>
    <v>14</v>
  </rv>
  <rv s="5">
    <fb>23.477</fb>
    <v>14</v>
  </rv>
  <rv s="5">
    <fb>153.31</fb>
    <v>14</v>
  </rv>
  <rv s="5">
    <fb>476.25</fb>
    <v>14</v>
  </rv>
  <rv s="5">
    <fb>4306.26</fb>
    <v>14</v>
  </rv>
  <rv s="5">
    <fb>44622</fb>
    <v>13</v>
  </rv>
  <rv s="5">
    <fb>134.57149999999999</fb>
    <v>14</v>
  </rv>
  <rv s="5">
    <fb>152.05250000000001</fb>
    <v>14</v>
  </rv>
  <rv s="5">
    <fb>88.17</fb>
    <v>14</v>
  </rv>
  <rv s="5">
    <fb>720.82</fb>
    <v>14</v>
  </rv>
  <rv s="5">
    <fb>186.44</fb>
    <v>14</v>
  </rv>
  <rv s="5">
    <fb>344.09</fb>
    <v>14</v>
  </rv>
  <rv s="5">
    <fb>77.55</fb>
    <v>14</v>
  </rv>
  <rv s="5">
    <fb>24.22</fb>
    <v>14</v>
  </rv>
  <rv s="5">
    <fb>153.79</fb>
    <v>14</v>
  </rv>
  <rv s="5">
    <fb>485.38</fb>
    <v>14</v>
  </rv>
  <rv s="5">
    <fb>4386.54</fb>
    <v>14</v>
  </rv>
  <rv s="5">
    <fb>44623</fb>
    <v>13</v>
  </rv>
  <rv s="5">
    <fb>133.89949999999999</fb>
    <v>14</v>
  </rv>
  <rv s="5">
    <fb>147.89850000000001</fb>
    <v>14</v>
  </rv>
  <rv s="5">
    <fb>720.92</fb>
    <v>14</v>
  </rv>
  <rv s="5">
    <fb>187.52</fb>
    <v>14</v>
  </rv>
  <rv s="5">
    <fb>340.99</fb>
    <v>14</v>
  </rv>
  <rv s="5">
    <fb>78.790000000000006</fb>
    <v>14</v>
  </rv>
  <rv s="5">
    <fb>38.520000000000003</fb>
    <v>14</v>
  </rv>
  <rv s="5">
    <fb>23.713999999999999</fb>
    <v>14</v>
  </rv>
  <rv s="5">
    <fb>154.36000000000001</fb>
    <v>14</v>
  </rv>
  <rv s="5">
    <fb>486.59</fb>
    <v>14</v>
  </rv>
  <rv s="5">
    <fb>4363.49</fb>
    <v>14</v>
  </rv>
  <rv s="5">
    <fb>44624</fb>
    <v>13</v>
  </rv>
  <rv s="5">
    <fb>131.90649999999999</fb>
    <v>14</v>
  </rv>
  <rv s="5">
    <fb>145.64099999999999</fb>
    <v>14</v>
  </rv>
  <rv s="5">
    <fb>703.07</fb>
    <v>14</v>
  </rv>
  <rv s="5">
    <fb>187.43</fb>
    <v>14</v>
  </rv>
  <rv s="5">
    <fb>330.76</fb>
    <v>14</v>
  </rv>
  <rv s="5">
    <fb>38.94</fb>
    <v>14</v>
  </rv>
  <rv s="5">
    <fb>22.936</fb>
    <v>14</v>
  </rv>
  <rv s="5">
    <fb>155.13999999999999</fb>
    <v>14</v>
  </rv>
  <rv s="5">
    <fb>498.65</fb>
    <v>14</v>
  </rv>
  <rv s="5">
    <fb>4328.87</fb>
    <v>14</v>
  </rv>
  <rv s="5">
    <fb>44627</fb>
    <v>13</v>
  </rv>
  <rv s="5">
    <fb>126.3785</fb>
    <v>14</v>
  </rv>
  <rv s="5">
    <fb>137.453</fb>
    <v>14</v>
  </rv>
  <rv s="5">
    <fb>89.69</fb>
    <v>14</v>
  </rv>
  <rv s="5">
    <fb>681.42</fb>
    <v>14</v>
  </rv>
  <rv s="5">
    <fb>182.16</fb>
    <v>14</v>
  </rv>
  <rv s="5">
    <fb>312.92</fb>
    <v>14</v>
  </rv>
  <rv s="5">
    <fb>84.18</fb>
    <v>14</v>
  </rv>
  <rv s="5">
    <fb>21.352</fb>
    <v>14</v>
  </rv>
  <rv s="5">
    <fb>152.84</fb>
    <v>14</v>
  </rv>
  <rv s="5">
    <fb>486.87</fb>
    <v>14</v>
  </rv>
  <rv s="5">
    <fb>4201.09</fb>
    <v>14</v>
  </rv>
  <rv s="5">
    <fb>44628</fb>
    <v>13</v>
  </rv>
  <rv s="5">
    <fb>127.1045</fb>
    <v>14</v>
  </rv>
  <rv s="5">
    <fb>136.0145</fb>
    <v>14</v>
  </rv>
  <rv s="5">
    <fb>87.79</fb>
    <v>14</v>
  </rv>
  <rv s="5">
    <fb>704.2</fb>
    <v>14</v>
  </rv>
  <rv s="5">
    <fb>314.33</fb>
    <v>14</v>
  </rv>
  <rv s="5">
    <fb>81.95</fb>
    <v>14</v>
  </rv>
  <rv s="5">
    <fb>45.08</fb>
    <v>14</v>
  </rv>
  <rv s="5">
    <fb>21.513999999999999</fb>
    <v>14</v>
  </rv>
  <rv s="5">
    <fb>146.79</fb>
    <v>14</v>
  </rv>
  <rv s="5">
    <fb>473.46</fb>
    <v>14</v>
  </rv>
  <rv s="5">
    <fb>4170.7</fb>
    <v>14</v>
  </rv>
  <rv s="5">
    <fb>44629</fb>
    <v>13</v>
  </rv>
  <rv s="5">
    <fb>139.279</fb>
    <v>14</v>
  </rv>
  <rv s="5">
    <fb>706.48</fb>
    <v>14</v>
  </rv>
  <rv s="5">
    <fb>185.4</fb>
    <v>14</v>
  </rv>
  <rv s="5">
    <fb>328.13</fb>
    <v>14</v>
  </rv>
  <rv s="5">
    <fb>80.319999999999993</fb>
    <v>14</v>
  </rv>
  <rv s="5">
    <fb>42.56</fb>
    <v>14</v>
  </rv>
  <rv s="5">
    <fb>23.013999999999999</fb>
    <v>14</v>
  </rv>
  <rv s="5">
    <fb>485.57</fb>
    <v>14</v>
  </rv>
  <rv s="5">
    <fb>4277.88</fb>
    <v>14</v>
  </rv>
  <rv s="5">
    <fb>44630</fb>
    <v>13</v>
  </rv>
  <rv s="5">
    <fb>132.42949999999999</fb>
    <v>14</v>
  </rv>
  <rv s="5">
    <fb>146.8175</fb>
    <v>14</v>
  </rv>
  <rv s="5">
    <fb>87.06</fb>
    <v>14</v>
  </rv>
  <rv s="5">
    <fb>693.55</fb>
    <v>14</v>
  </rv>
  <rv s="5">
    <fb>184.36</fb>
    <v>14</v>
  </rv>
  <rv s="5">
    <fb>324.58999999999997</fb>
    <v>14</v>
  </rv>
  <rv s="5">
    <fb>80.16</fb>
    <v>14</v>
  </rv>
  <rv s="5">
    <fb>43.4</fb>
    <v>14</v>
  </rv>
  <rv s="5">
    <fb>22.658000000000001</fb>
    <v>14</v>
  </rv>
  <rv s="5">
    <fb>491.44</fb>
    <v>14</v>
  </rv>
  <rv s="5">
    <fb>4259.5200000000004</fb>
    <v>14</v>
  </rv>
  <rv s="5">
    <fb>44631</fb>
    <v>13</v>
  </rv>
  <rv s="5">
    <fb>129.87049999999999</fb>
    <v>14</v>
  </rv>
  <rv s="5">
    <fb>145.52449999999999</fb>
    <v>14</v>
  </rv>
  <rv s="5">
    <fb>85.56</fb>
    <v>14</v>
  </rv>
  <rv s="5">
    <fb>683.6</fb>
    <v>14</v>
  </rv>
  <rv s="5">
    <fb>182.24</fb>
    <v>14</v>
  </rv>
  <rv s="5">
    <fb>324.79000000000002</fb>
    <v>14</v>
  </rv>
  <rv s="5">
    <fb>79.3</fb>
    <v>14</v>
  </rv>
  <rv s="5">
    <fb>42.9</fb>
    <v>14</v>
  </rv>
  <rv s="5">
    <fb>482.87</fb>
    <v>14</v>
  </rv>
  <rv s="5">
    <fb>4204.3100000000004</fb>
    <v>14</v>
  </rv>
  <rv s="5">
    <fb>44634</fb>
    <v>13</v>
  </rv>
  <rv s="5">
    <fb>125.95099999999999</fb>
    <v>14</v>
  </rv>
  <rv s="5">
    <fb>141.85300000000001</fb>
    <v>14</v>
  </rv>
  <rv s="5">
    <fb>701.64</fb>
    <v>14</v>
  </rv>
  <rv s="5">
    <fb>183.2</fb>
    <v>14</v>
  </rv>
  <rv s="5">
    <fb>328.59</fb>
    <v>14</v>
  </rv>
  <rv s="5">
    <fb>41.55</fb>
    <v>14</v>
  </rv>
  <rv s="5">
    <fb>21.33</fb>
    <v>14</v>
  </rv>
  <rv s="5">
    <fb>487.92</fb>
    <v>14</v>
  </rv>
  <rv s="5">
    <fb>4173.1099999999997</fb>
    <v>14</v>
  </rv>
  <rv s="5">
    <fb>44635</fb>
    <v>13</v>
  </rv>
  <rv s="5">
    <fb>129.19800000000001</fb>
    <v>14</v>
  </rv>
  <rv s="5">
    <fb>147.3665</fb>
    <v>14</v>
  </rv>
  <rv s="5">
    <fb>90.75</fb>
    <v>14</v>
  </rv>
  <rv s="5">
    <fb>704.06</fb>
    <v>14</v>
  </rv>
  <rv s="5">
    <fb>187.79</fb>
    <v>14</v>
  </rv>
  <rv s="5">
    <fb>335</fb>
    <v>14</v>
  </rv>
  <rv s="5">
    <fb>81.98</fb>
    <v>14</v>
  </rv>
  <rv s="5">
    <fb>22.972999999999999</fb>
    <v>14</v>
  </rv>
  <rv s="5">
    <fb>150.27000000000001</fb>
    <v>14</v>
  </rv>
  <rv s="5">
    <fb>497.91</fb>
    <v>14</v>
  </rv>
  <rv s="5">
    <fb>4262.45</fb>
    <v>14</v>
  </rv>
  <rv s="5">
    <fb>44636</fb>
    <v>13</v>
  </rv>
  <rv s="5">
    <fb>133.28049999999999</fb>
    <v>14</v>
  </rv>
  <rv s="5">
    <fb>153.10400000000001</fb>
    <v>14</v>
  </rv>
  <rv s="5">
    <fb>719.86</fb>
    <v>14</v>
  </rv>
  <rv s="5">
    <fb>191.03</fb>
    <v>14</v>
  </rv>
  <rv s="5">
    <fb>344.68</fb>
    <v>14</v>
  </rv>
  <rv s="5">
    <fb>82.51</fb>
    <v>14</v>
  </rv>
  <rv s="5">
    <fb>24.495999999999999</fb>
    <v>14</v>
  </rv>
  <rv s="5">
    <fb>149.76</fb>
    <v>14</v>
  </rv>
  <rv s="5">
    <fb>498.26</fb>
    <v>14</v>
  </rv>
  <rv s="5">
    <fb>4357.8599999999997</fb>
    <v>14</v>
  </rv>
  <rv s="5">
    <fb>44637</fb>
    <v>13</v>
  </rv>
  <rv s="5">
    <fb>133.839</fb>
    <v>14</v>
  </rv>
  <rv s="5">
    <fb>157.239</fb>
    <v>14</v>
  </rv>
  <rv s="5">
    <fb>91.57</fb>
    <v>14</v>
  </rv>
  <rv s="5">
    <fb>732.26</fb>
    <v>14</v>
  </rv>
  <rv s="5">
    <fb>191.93</fb>
    <v>14</v>
  </rv>
  <rv s="5">
    <fb>346.44</fb>
    <v>14</v>
  </rv>
  <rv s="5">
    <fb>82.69</fb>
    <v>14</v>
  </rv>
  <rv s="5">
    <fb>24.765999999999998</fb>
    <v>14</v>
  </rv>
  <rv s="5">
    <fb>150.22999999999999</fb>
    <v>14</v>
  </rv>
  <rv s="5">
    <fb>507.02</fb>
    <v>14</v>
  </rv>
  <rv s="5">
    <fb>4411.67</fb>
    <v>14</v>
  </rv>
  <rv s="5">
    <fb>44638</fb>
    <v>13</v>
  </rv>
  <rv s="5">
    <fb>136.12549999999999</fb>
    <v>14</v>
  </rv>
  <rv s="5">
    <fb>161.25049999999999</fb>
    <v>14</v>
  </rv>
  <rv s="5">
    <fb>93</fb>
    <v>14</v>
  </rv>
  <rv s="5">
    <fb>717.75</fb>
    <v>14</v>
  </rv>
  <rv s="5">
    <fb>194.72</fb>
    <v>14</v>
  </rv>
  <rv s="5">
    <fb>350.09</fb>
    <v>14</v>
  </rv>
  <rv s="5">
    <fb>26.452999999999999</fb>
    <v>14</v>
  </rv>
  <rv s="5">
    <fb>150.15</fb>
    <v>14</v>
  </rv>
  <rv s="5">
    <fb>506.12</fb>
    <v>14</v>
  </rv>
  <rv s="5">
    <fb>4463.12</fb>
    <v>14</v>
  </rv>
  <rv s="5">
    <fb>44641</fb>
    <v>13</v>
  </rv>
  <rv s="5">
    <fb>136.10149999999999</fb>
    <v>14</v>
  </rv>
  <rv s="5">
    <fb>161.4915</fb>
    <v>14</v>
  </rv>
  <rv s="5">
    <fb>719.1</fb>
    <v>14</v>
  </rv>
  <rv s="5">
    <fb>345.58</fb>
    <v>14</v>
  </rv>
  <rv s="5">
    <fb>81.8</fb>
    <v>14</v>
  </rv>
  <rv s="5">
    <fb>41.19</fb>
    <v>14</v>
  </rv>
  <rv s="5">
    <fb>26.734000000000002</fb>
    <v>14</v>
  </rv>
  <rv s="5">
    <fb>150.72</fb>
    <v>14</v>
  </rv>
  <rv s="5">
    <fb>507.66</fb>
    <v>14</v>
  </rv>
  <rv s="5">
    <fb>4461.18</fb>
    <v>14</v>
  </rv>
  <rv s="5">
    <fb>44642</fb>
    <v>13</v>
  </rv>
  <rv s="5">
    <fb>139.86799999999999</fb>
    <v>14</v>
  </rv>
  <rv s="5">
    <fb>164.88900000000001</fb>
    <v>14</v>
  </rv>
  <rv s="5">
    <fb>94.19</fb>
    <v>14</v>
  </rv>
  <rv s="5">
    <fb>707.82</fb>
    <v>14</v>
  </rv>
  <rv s="5">
    <fb>195.03</fb>
    <v>14</v>
  </rv>
  <rv s="5">
    <fb>349.53</fb>
    <v>14</v>
  </rv>
  <rv s="5">
    <fb>82.85</fb>
    <v>14</v>
  </rv>
  <rv s="5">
    <fb>26.524000000000001</fb>
    <v>14</v>
  </rv>
  <rv s="5">
    <fb>151.88</fb>
    <v>14</v>
  </rv>
  <rv s="5">
    <fb>505.32</fb>
    <v>14</v>
  </rv>
  <rv s="5">
    <fb>4511.6099999999997</fb>
    <v>14</v>
  </rv>
  <rv s="5">
    <fb>44643</fb>
    <v>13</v>
  </rv>
  <rv s="5">
    <fb>138.27549999999999</fb>
    <v>14</v>
  </rv>
  <rv s="5">
    <fb>163.40799999999999</fb>
    <v>14</v>
  </rv>
  <rv s="5">
    <fb>711.63</fb>
    <v>14</v>
  </rv>
  <rv s="5">
    <fb>192.34</fb>
    <v>14</v>
  </rv>
  <rv s="5">
    <fb>342.18</fb>
    <v>14</v>
  </rv>
  <rv s="5">
    <fb>82.57</fb>
    <v>14</v>
  </rv>
  <rv s="5">
    <fb>25.634</fb>
    <v>14</v>
  </rv>
  <rv s="5">
    <fb>4456.24</fb>
    <v>14</v>
  </rv>
  <rv s="5">
    <fb>44644</fb>
    <v>13</v>
  </rv>
  <rv s="5">
    <fb>141.572</fb>
    <v>14</v>
  </rv>
  <rv s="5">
    <fb>163.64949999999999</fb>
    <v>14</v>
  </rv>
  <rv s="5">
    <fb>710.14</fb>
    <v>14</v>
  </rv>
  <rv s="5">
    <fb>194.69</fb>
    <v>14</v>
  </rv>
  <rv s="5">
    <fb>349.35</fb>
    <v>14</v>
  </rv>
  <rv s="5">
    <fb>83.7</fb>
    <v>14</v>
  </rv>
  <rv s="5">
    <fb>28.15</fb>
    <v>14</v>
  </rv>
  <rv s="5">
    <fb>151.08000000000001</fb>
    <v>14</v>
  </rv>
  <rv s="5">
    <fb>513.46</fb>
    <v>14</v>
  </rv>
  <rv s="5">
    <fb>4520.16</fb>
    <v>14</v>
  </rv>
  <rv s="5">
    <fb>44645</fb>
    <v>13</v>
  </rv>
  <rv s="5">
    <fb>141.673</fb>
    <v>14</v>
  </rv>
  <rv s="5">
    <fb>164.77350000000001</fb>
    <v>14</v>
  </rv>
  <rv s="5">
    <fb>94.23</fb>
    <v>14</v>
  </rv>
  <rv s="5">
    <fb>730.92</fb>
    <v>14</v>
  </rv>
  <rv s="5">
    <fb>197.79</fb>
    <v>14</v>
  </rv>
  <rv s="5">
    <fb>349.02</fb>
    <v>14</v>
  </rv>
  <rv s="5">
    <fb>83.94</fb>
    <v>14</v>
  </rv>
  <rv s="5">
    <fb>27.692</fb>
    <v>14</v>
  </rv>
  <rv s="5">
    <fb>152.83000000000001</fb>
    <v>14</v>
  </rv>
  <rv s="5">
    <fb>513.03</fb>
    <v>14</v>
  </rv>
  <rv s="5">
    <fb>4543.0600000000004</fb>
    <v>14</v>
  </rv>
  <rv s="5">
    <fb>44648</fb>
    <v>13</v>
  </rv>
  <rv s="5">
    <fb>141.4555</fb>
    <v>14</v>
  </rv>
  <rv s="5">
    <fb>168.9905</fb>
    <v>14</v>
  </rv>
  <rv s="5">
    <fb>93.28</fb>
    <v>14</v>
  </rv>
  <rv s="5">
    <fb>761.38</fb>
    <v>14</v>
  </rv>
  <rv s="5">
    <fb>197.11</fb>
    <v>14</v>
  </rv>
  <rv s="5">
    <fb>350.49</fb>
    <v>14</v>
  </rv>
  <rv s="5">
    <fb>41.73</fb>
    <v>14</v>
  </rv>
  <rv s="5">
    <fb>28.219000000000001</fb>
    <v>14</v>
  </rv>
  <rv s="5">
    <fb>153.88</fb>
    <v>14</v>
  </rv>
  <rv s="5">
    <fb>513.20000000000005</fb>
    <v>14</v>
  </rv>
  <rv s="5">
    <fb>4575.5200000000004</fb>
    <v>14</v>
  </rv>
  <rv s="5">
    <fb>44649</fb>
    <v>13</v>
  </rv>
  <rv s="5">
    <fb>142.50550000000001</fb>
    <v>14</v>
  </rv>
  <rv s="5">
    <fb>169.315</fb>
    <v>14</v>
  </rv>
  <rv s="5">
    <fb>753.81</fb>
    <v>14</v>
  </rv>
  <rv s="5">
    <fb>197.54</fb>
    <v>14</v>
  </rv>
  <rv s="5">
    <fb>367.55</fb>
    <v>14</v>
  </rv>
  <rv s="5">
    <fb>84.62</fb>
    <v>14</v>
  </rv>
  <rv s="5">
    <fb>42.63</fb>
    <v>14</v>
  </rv>
  <rv s="5">
    <fb>28.655999999999999</fb>
    <v>14</v>
  </rv>
  <rv s="5">
    <fb>510.73</fb>
    <v>14</v>
  </rv>
  <rv s="5">
    <fb>4631.6000000000004</fb>
    <v>14</v>
  </rv>
  <rv s="5">
    <fb>44650</fb>
    <v>13</v>
  </rv>
  <rv s="5">
    <fb>141.9385</fb>
    <v>14</v>
  </rv>
  <rv s="5">
    <fb>166.30099999999999</fb>
    <v>14</v>
  </rv>
  <rv s="5">
    <fb>741.62</fb>
    <v>14</v>
  </rv>
  <rv s="5">
    <fb>196.54</fb>
    <v>14</v>
  </rv>
  <rv s="5">
    <fb>362.24</fb>
    <v>14</v>
  </rv>
  <rv s="5">
    <fb>85.5</fb>
    <v>14</v>
  </rv>
  <rv s="5">
    <fb>27.69</fb>
    <v>14</v>
  </rv>
  <rv s="5">
    <fb>154.38999999999999</fb>
    <v>14</v>
  </rv>
  <rv s="5">
    <fb>520.82000000000005</fb>
    <v>14</v>
  </rv>
  <rv s="5">
    <fb>4602.45</fb>
    <v>14</v>
  </rv>
  <rv s="5">
    <fb>44651</fb>
    <v>13</v>
  </rv>
  <rv s="5">
    <fb>139.0675</fb>
    <v>14</v>
  </rv>
  <rv s="5">
    <fb>162.9975</fb>
    <v>14</v>
  </rv>
  <rv s="5">
    <fb>763</fb>
    <v>14</v>
  </rv>
  <rv s="5">
    <fb>194.58</fb>
    <v>14</v>
  </rv>
  <rv s="5">
    <fb>357.38</fb>
    <v>14</v>
  </rv>
  <rv s="5">
    <fb>84.71</fb>
    <v>14</v>
  </rv>
  <rv s="5">
    <fb>41.31</fb>
    <v>14</v>
  </rv>
  <rv s="5">
    <fb>27.286000000000001</fb>
    <v>14</v>
  </rv>
  <rv s="5">
    <fb>152.80000000000001</fb>
    <v>14</v>
  </rv>
  <rv s="5">
    <fb>509.97</fb>
    <v>14</v>
  </rv>
  <rv s="5">
    <fb>4530.41</fb>
    <v>14</v>
  </rv>
  <rv s="5">
    <fb>44652</fb>
    <v>13</v>
  </rv>
  <rv s="5">
    <fb>140.15049999999999</fb>
    <v>14</v>
  </rv>
  <rv s="5">
    <fb>163.56</fb>
    <v>14</v>
  </rv>
  <rv s="5">
    <fb>196.03</fb>
    <v>14</v>
  </rv>
  <rv s="5">
    <fb>363.97</fb>
    <v>14</v>
  </rv>
  <rv s="5">
    <fb>85.71</fb>
    <v>14</v>
  </rv>
  <rv s="5">
    <fb>26.712</fb>
    <v>14</v>
  </rv>
  <rv s="5">
    <fb>155.09</fb>
    <v>14</v>
  </rv>
  <rv s="5">
    <fb>512.59</fb>
    <v>14</v>
  </rv>
  <rv s="5">
    <fb>4545.8599999999997</fb>
    <v>14</v>
  </rv>
  <rv s="5">
    <fb>44655</fb>
    <v>13</v>
  </rv>
  <rv s="5">
    <fb>142.97149999999999</fb>
    <v>14</v>
  </rv>
  <rv s="5">
    <fb>168.34649999999999</fb>
    <v>14</v>
  </rv>
  <rv s="5">
    <fb>89.84</fb>
    <v>14</v>
  </rv>
  <rv s="5">
    <fb>762.4</fb>
    <v>14</v>
  </rv>
  <rv s="5">
    <fb>196.07</fb>
    <v>14</v>
  </rv>
  <rv s="5">
    <fb>366.91</fb>
    <v>14</v>
  </rv>
  <rv s="5">
    <fb>85.62</fb>
    <v>14</v>
  </rv>
  <rv s="5">
    <fb>154.08000000000001</fb>
    <v>14</v>
  </rv>
  <rv s="5">
    <fb>510.02</fb>
    <v>14</v>
  </rv>
  <rv s="5">
    <fb>4582.6400000000003</fb>
    <v>14</v>
  </rv>
  <rv s="5">
    <fb>44656</fb>
    <v>13</v>
  </rv>
  <rv s="5">
    <fb>140.59100000000001</fb>
    <v>14</v>
  </rv>
  <rv s="5">
    <fb>164.05500000000001</fb>
    <v>14</v>
  </rv>
  <rv s="5">
    <fb>766.57</fb>
    <v>14</v>
  </rv>
  <rv s="5">
    <fb>193.63</fb>
    <v>14</v>
  </rv>
  <rv s="5">
    <fb>363.32</fb>
    <v>14</v>
  </rv>
  <rv s="5">
    <fb>40.46</fb>
    <v>14</v>
  </rv>
  <rv s="5">
    <fb>25.931000000000001</fb>
    <v>14</v>
  </rv>
  <rv s="5">
    <fb>154.62</fb>
    <v>14</v>
  </rv>
  <rv s="5">
    <fb>517.76</fb>
    <v>14</v>
  </rv>
  <rv s="5">
    <fb>4525.12</fb>
    <v>14</v>
  </rv>
  <rv s="5">
    <fb>44657</fb>
    <v>13</v>
  </rv>
  <rv s="5">
    <fb>136.548</fb>
    <v>14</v>
  </rv>
  <rv s="5">
    <fb>158.756</fb>
    <v>14</v>
  </rv>
  <rv s="5">
    <fb>759.23</fb>
    <v>14</v>
  </rv>
  <rv s="5">
    <fb>193.62</fb>
    <v>14</v>
  </rv>
  <rv s="5">
    <fb>353.55</fb>
    <v>14</v>
  </rv>
  <rv s="5">
    <fb>24.407</fb>
    <v>14</v>
  </rv>
  <rv s="5">
    <fb>156.83000000000001</fb>
    <v>14</v>
  </rv>
  <rv s="5">
    <fb>531.75</fb>
    <v>14</v>
  </rv>
  <rv s="5">
    <fb>4481.1499999999996</fb>
    <v>14</v>
  </rv>
  <rv s="5">
    <fb>44658</fb>
    <v>13</v>
  </rv>
  <rv s="5">
    <fb>135.88849999999999</fb>
    <v>14</v>
  </rv>
  <rv s="5">
    <fb>157.78450000000001</fb>
    <v>14</v>
  </rv>
  <rv s="5">
    <fb>768.78</fb>
    <v>14</v>
  </rv>
  <rv s="5">
    <fb>349.55</fb>
    <v>14</v>
  </rv>
  <rv s="5">
    <fb>87.08</fb>
    <v>14</v>
  </rv>
  <rv s="5">
    <fb>24.207999999999998</fb>
    <v>14</v>
  </rv>
  <rv s="5">
    <fb>536.95000000000005</fb>
    <v>14</v>
  </rv>
  <rv s="5">
    <fb>4500.21</fb>
    <v>14</v>
  </rv>
  <rv s="5">
    <fb>44659</fb>
    <v>13</v>
  </rv>
  <rv s="5">
    <fb>133.28749999999999</fb>
    <v>14</v>
  </rv>
  <rv s="5">
    <fb>154.4605</fb>
    <v>14</v>
  </rv>
  <rv s="5">
    <fb>87.42</fb>
    <v>14</v>
  </rv>
  <rv s="5">
    <fb>751.61</fb>
    <v>14</v>
  </rv>
  <rv s="5">
    <fb>190.16</fb>
    <v>14</v>
  </rv>
  <rv s="5">
    <fb>352.27</fb>
    <v>14</v>
  </rv>
  <rv s="5">
    <fb>23.119</fb>
    <v>14</v>
  </rv>
  <rv s="5">
    <fb>545.96</fb>
    <v>14</v>
  </rv>
  <rv s="5">
    <fb>4488.28</fb>
    <v>14</v>
  </rv>
  <rv s="5">
    <fb>44662</fb>
    <v>13</v>
  </rv>
  <rv s="5">
    <fb>128.8235</fb>
    <v>14</v>
  </rv>
  <rv s="5">
    <fb>151.12200000000001</fb>
    <v>14</v>
  </rv>
  <rv s="5">
    <fb>88.05</fb>
    <v>14</v>
  </rv>
  <rv s="5">
    <fb>741.65</fb>
    <v>14</v>
  </rv>
  <rv s="5">
    <fb>189.27</fb>
    <v>14</v>
  </rv>
  <rv s="5">
    <fb>347.37</fb>
    <v>14</v>
  </rv>
  <rv s="5">
    <fb>21.917000000000002</fb>
    <v>14</v>
  </rv>
  <rv s="5">
    <fb>159.49</fb>
    <v>14</v>
  </rv>
  <rv s="5">
    <fb>537.44000000000005</fb>
    <v>14</v>
  </rv>
  <rv s="5">
    <fb>4412.53</fb>
    <v>14</v>
  </rv>
  <rv s="5">
    <fb>44663</fb>
    <v>13</v>
  </rv>
  <rv s="5">
    <fb>127.7145</fb>
    <v>14</v>
  </rv>
  <rv s="5">
    <fb>150.78749999999999</fb>
    <v>14</v>
  </rv>
  <rv s="5">
    <fb>751.93</fb>
    <v>14</v>
  </rv>
  <rv s="5">
    <fb>190.99</fb>
    <v>14</v>
  </rv>
  <rv s="5">
    <fb>83.89</fb>
    <v>14</v>
  </rv>
  <rv s="5">
    <fb>41.53</fb>
    <v>14</v>
  </rv>
  <rv s="5">
    <fb>21.504000000000001</fb>
    <v>14</v>
  </rv>
  <rv s="5">
    <fb>533.71</fb>
    <v>14</v>
  </rv>
  <rv s="5">
    <fb>4397.45</fb>
    <v>14</v>
  </rv>
  <rv s="5">
    <fb>44664</fb>
    <v>13</v>
  </rv>
  <rv s="5">
    <fb>129.89400000000001</fb>
    <v>14</v>
  </rv>
  <rv s="5">
    <fb>155.541</fb>
    <v>14</v>
  </rv>
  <rv s="5">
    <fb>87.95</fb>
    <v>14</v>
  </rv>
  <rv s="5">
    <fb>194.85</fb>
    <v>14</v>
  </rv>
  <rv s="5">
    <fb>355.14</fb>
    <v>14</v>
  </rv>
  <rv s="5">
    <fb>83.55</fb>
    <v>14</v>
  </rv>
  <rv s="5">
    <fb>42.57</fb>
    <v>14</v>
  </rv>
  <rv s="5">
    <fb>22.202999999999999</fb>
    <v>14</v>
  </rv>
  <rv s="5">
    <fb>159.46</fb>
    <v>14</v>
  </rv>
  <rv s="5">
    <fb>537</fb>
    <v>14</v>
  </rv>
  <rv s="5">
    <fb>4446.59</fb>
    <v>14</v>
  </rv>
  <rv s="5">
    <fb>44665</fb>
    <v>13</v>
  </rv>
  <rv s="5">
    <fb>126.73</fb>
    <v>14</v>
  </rv>
  <rv s="5">
    <fb>151.70650000000001</fb>
    <v>14</v>
  </rv>
  <rv s="5">
    <fb>730.66</fb>
    <v>14</v>
  </rv>
  <rv s="5">
    <fb>195.19</fb>
    <v>14</v>
  </rv>
  <rv s="5">
    <fb>357.82</fb>
    <v>14</v>
  </rv>
  <rv s="5">
    <fb>21.257999999999999</fb>
    <v>14</v>
  </rv>
  <rv s="5">
    <fb>158.57</fb>
    <v>14</v>
  </rv>
  <rv s="5">
    <fb>534.82000000000005</fb>
    <v>14</v>
  </rv>
  <rv s="5">
    <fb>4392.59</fb>
    <v>14</v>
  </rv>
  <rv s="5">
    <fb>44669</fb>
    <v>13</v>
  </rv>
  <rv s="5">
    <fb>127.6765</fb>
    <v>14</v>
  </rv>
  <rv s="5">
    <fb>152.785</fb>
    <v>14</v>
  </rv>
  <rv s="5">
    <fb>86.11</fb>
    <v>14</v>
  </rv>
  <rv s="5">
    <fb>754.22</fb>
    <v>14</v>
  </rv>
  <rv s="5">
    <fb>192.07</fb>
    <v>14</v>
  </rv>
  <rv s="5">
    <fb>356.8</fb>
    <v>14</v>
  </rv>
  <rv s="5">
    <fb>81.709999999999994</fb>
    <v>14</v>
  </rv>
  <rv s="5">
    <fb>21.783000000000001</fb>
    <v>14</v>
  </rv>
  <rv s="5">
    <fb>157.06</fb>
    <v>14</v>
  </rv>
  <rv s="5">
    <fb>534.08000000000004</fb>
    <v>14</v>
  </rv>
  <rv s="5">
    <fb>4391.6899999999996</fb>
    <v>14</v>
  </rv>
  <rv s="5">
    <fb>44670</fb>
    <v>13</v>
  </rv>
  <rv s="5">
    <fb>130.00899999999999</fb>
    <v>14</v>
  </rv>
  <rv s="5">
    <fb>158.1155</fb>
    <v>14</v>
  </rv>
  <rv s="5">
    <fb>768.17</fb>
    <v>14</v>
  </rv>
  <rv s="5">
    <fb>197.2</fb>
    <v>14</v>
  </rv>
  <rv s="5">
    <fb>363.87</fb>
    <v>14</v>
  </rv>
  <rv s="5">
    <fb>22.198</fb>
    <v>14</v>
  </rv>
  <rv s="5">
    <fb>159.41</fb>
    <v>14</v>
  </rv>
  <rv s="5">
    <fb>537.70000000000005</fb>
    <v>14</v>
  </rv>
  <rv s="5">
    <fb>4462.21</fb>
    <v>14</v>
  </rv>
  <rv s="5">
    <fb>44671</fb>
    <v>13</v>
  </rv>
  <rv s="5">
    <fb>153.99799999999999</fb>
    <v>14</v>
  </rv>
  <rv s="5">
    <fb>757.63</fb>
    <v>14</v>
  </rv>
  <rv s="5">
    <fb>196.34</fb>
    <v>14</v>
  </rv>
  <rv s="5">
    <fb>365.29</fb>
    <v>14</v>
  </rv>
  <rv s="5">
    <fb>81.510000000000005</fb>
    <v>14</v>
  </rv>
  <rv s="5">
    <fb>21.481999999999999</fb>
    <v>14</v>
  </rv>
  <rv s="5">
    <fb>546.01</fb>
    <v>14</v>
  </rv>
  <rv s="5">
    <fb>4459.45</fb>
    <v>14</v>
  </rv>
  <rv s="5">
    <fb>44672</fb>
    <v>13</v>
  </rv>
  <rv s="5">
    <fb>124.8145</fb>
    <v>14</v>
  </rv>
  <rv s="5">
    <fb>148.29599999999999</fb>
    <v>14</v>
  </rv>
  <rv s="5">
    <fb>745.41</fb>
    <v>14</v>
  </rv>
  <rv s="5">
    <fb>195.94</fb>
    <v>14</v>
  </rv>
  <rv s="5">
    <fb>364.44</fb>
    <v>14</v>
  </rv>
  <rv s="5">
    <fb>20.183</fb>
    <v>14</v>
  </rv>
  <rv s="5">
    <fb>162.61000000000001</fb>
    <v>14</v>
  </rv>
  <rv s="5">
    <fb>4393.66</fb>
    <v>14</v>
  </rv>
  <rv s="5">
    <fb>44673</fb>
    <v>13</v>
  </rv>
  <rv s="5">
    <fb>119.63549999999999</fb>
    <v>14</v>
  </rv>
  <rv s="5">
    <fb>752.52</fb>
    <v>14</v>
  </rv>
  <rv s="5">
    <fb>19.515000000000001</fb>
    <v>14</v>
  </rv>
  <rv s="5">
    <fb>520.94000000000005</fb>
    <v>14</v>
  </rv>
  <rv s="5">
    <fb>4271.78</fb>
    <v>14</v>
  </rv>
  <rv s="5">
    <fb>44676</fb>
    <v>13</v>
  </rv>
  <rv s="5">
    <fb>123.074</fb>
    <v>14</v>
  </rv>
  <rv s="5">
    <fb>146.07400000000001</fb>
    <v>14</v>
  </rv>
  <rv s="5">
    <fb>85.96</fb>
    <v>14</v>
  </rv>
  <rv s="5">
    <fb>739.28</fb>
    <v>14</v>
  </rv>
  <rv s="5">
    <fb>191.82</fb>
    <v>14</v>
  </rv>
  <rv s="5">
    <fb>74.040000000000006</fb>
    <v>14</v>
  </rv>
  <rv s="5">
    <fb>38.69</fb>
    <v>14</v>
  </rv>
  <rv s="5">
    <fb>19.902000000000001</fb>
    <v>14</v>
  </rv>
  <rv s="5">
    <fb>162.55000000000001</fb>
    <v>14</v>
  </rv>
  <rv s="5">
    <fb>524.27</fb>
    <v>14</v>
  </rv>
  <rv s="5">
    <fb>4296.12</fb>
    <v>14</v>
  </rv>
  <rv s="5">
    <fb>44677</fb>
    <v>13</v>
  </rv>
  <rv s="5">
    <fb>118.65</fb>
    <v>14</v>
  </rv>
  <rv s="5">
    <fb>139.39099999999999</fb>
    <v>14</v>
  </rv>
  <rv s="5">
    <fb>80.89</fb>
    <v>14</v>
  </rv>
  <rv s="5">
    <fb>717.9</fb>
    <v>14</v>
  </rv>
  <rv s="5">
    <fb>187.67</fb>
    <v>14</v>
  </rv>
  <rv s="5">
    <fb>344.11</fb>
    <v>14</v>
  </rv>
  <rv s="5">
    <fb>73.569999999999993</fb>
    <v>14</v>
  </rv>
  <rv s="5">
    <fb>39.54</fb>
    <v>14</v>
  </rv>
  <rv s="5">
    <fb>18.788</fb>
    <v>14</v>
  </rv>
  <rv s="5">
    <fb>159.79</fb>
    <v>14</v>
  </rv>
  <rv s="5">
    <fb>513.78</fb>
    <v>14</v>
  </rv>
  <rv s="5">
    <fb>4175.2</fb>
    <v>14</v>
  </rv>
  <rv s="5">
    <fb>44678</fb>
    <v>13</v>
  </rv>
  <rv s="5">
    <fb>114.2945</fb>
    <v>14</v>
  </rv>
  <rv s="5">
    <fb>138.167</fb>
    <v>14</v>
  </rv>
  <rv s="5">
    <fb>756.45</fb>
    <v>14</v>
  </rv>
  <rv s="5">
    <fb>361.57</fb>
    <v>14</v>
  </rv>
  <rv s="5">
    <fb>18.414999999999999</fb>
    <v>14</v>
  </rv>
  <rv s="5">
    <fb>159.36000000000001</fb>
    <v>14</v>
  </rv>
  <rv s="5">
    <fb>513.80999999999995</fb>
    <v>14</v>
  </rv>
  <rv s="5">
    <fb>4183.96</fb>
    <v>14</v>
  </rv>
  <rv s="5">
    <fb>44679</fb>
    <v>13</v>
  </rv>
  <rv s="5">
    <fb>118.52249999999999</fb>
    <v>14</v>
  </rv>
  <rv s="5">
    <fb>144.59649999999999</fb>
    <v>14</v>
  </rv>
  <rv s="5">
    <fb>719.08</fb>
    <v>14</v>
  </rv>
  <rv s="5">
    <fb>189.92</fb>
    <v>14</v>
  </rv>
  <rv s="5">
    <fb>378.83</fb>
    <v>14</v>
  </rv>
  <rv s="5">
    <fb>19.782</fb>
    <v>14</v>
  </rv>
  <rv s="5">
    <fb>163.41</fb>
    <v>14</v>
  </rv>
  <rv s="5">
    <fb>524.41999999999996</fb>
    <v>14</v>
  </rv>
  <rv s="5">
    <fb>4287.5</fb>
    <v>14</v>
  </rv>
  <rv s="5">
    <fb>44680</fb>
    <v>13</v>
  </rv>
  <rv s="5">
    <fb>114.1095</fb>
    <v>14</v>
  </rv>
  <rv s="5">
    <fb>124.28149999999999</fb>
    <v>14</v>
  </rv>
  <rv s="5">
    <fb>81.16</fb>
    <v>14</v>
  </rv>
  <rv s="5">
    <fb>702.39</fb>
    <v>14</v>
  </rv>
  <rv s="5">
    <fb>193.51</fb>
    <v>14</v>
  </rv>
  <rv s="5">
    <fb>363.38</fb>
    <v>14</v>
  </rv>
  <rv s="5">
    <fb>18.547000000000001</fb>
    <v>14</v>
  </rv>
  <rv s="5">
    <fb>160.55000000000001</fb>
    <v>14</v>
  </rv>
  <rv s="5">
    <fb>508.55</fb>
    <v>14</v>
  </rv>
  <rv s="5">
    <fb>4131.93</fb>
    <v>14</v>
  </rv>
  <rv s="5">
    <fb>44683</fb>
    <v>13</v>
  </rv>
  <rv s="5">
    <fb>116.583</fb>
    <v>14</v>
  </rv>
  <rv s="5">
    <fb>80.64</fb>
    <v>14</v>
  </rv>
  <rv s="5">
    <fb>721.32</fb>
    <v>14</v>
  </rv>
  <rv s="5">
    <fb>196.87</fb>
    <v>14</v>
  </rv>
  <rv s="5">
    <fb>359.04</fb>
    <v>14</v>
  </rv>
  <rv s="5">
    <fb>19.533000000000001</fb>
    <v>14</v>
  </rv>
  <rv s="5">
    <fb>158.38</fb>
    <v>14</v>
  </rv>
  <rv s="5">
    <fb>501.15</fb>
    <v>14</v>
  </rv>
  <rv s="5">
    <fb>4155.38</fb>
    <v>14</v>
  </rv>
  <rv s="5">
    <fb>44684</fb>
    <v>13</v>
  </rv>
  <rv s="5">
    <fb>117.334</fb>
    <v>14</v>
  </rv>
  <rv s="5">
    <fb>124.2535</fb>
    <v>14</v>
  </rv>
  <rv s="5">
    <fb>732.14</fb>
    <v>14</v>
  </rv>
  <rv s="5">
    <fb>197.04</fb>
    <v>14</v>
  </rv>
  <rv s="5">
    <fb>357.79</fb>
    <v>14</v>
  </rv>
  <rv s="5">
    <fb>70.760000000000005</fb>
    <v>14</v>
  </rv>
  <rv s="5">
    <fb>19.602</fb>
    <v>14</v>
  </rv>
  <rv s="5">
    <fb>156.21</fb>
    <v>14</v>
  </rv>
  <rv s="5">
    <fb>499.62</fb>
    <v>14</v>
  </rv>
  <rv s="5">
    <fb>4175.4799999999996</fb>
    <v>14</v>
  </rv>
  <rv s="5">
    <fb>44685</fb>
    <v>13</v>
  </rv>
  <rv s="5">
    <fb>122.261</fb>
    <v>14</v>
  </rv>
  <rv s="5">
    <fb>125.9285</fb>
    <v>14</v>
  </rv>
  <rv s="5">
    <fb>83.22</fb>
    <v>14</v>
  </rv>
  <rv s="5">
    <fb>713.39</fb>
    <v>14</v>
  </rv>
  <rv s="5">
    <fb>205.85</fb>
    <v>14</v>
  </rv>
  <rv s="5">
    <fb>368.52</fb>
    <v>14</v>
  </rv>
  <rv s="5">
    <fb>73.06</fb>
    <v>14</v>
  </rv>
  <rv s="5">
    <fb>42.6</fb>
    <v>14</v>
  </rv>
  <rv s="5">
    <fb>20.334</fb>
    <v>14</v>
  </rv>
  <rv s="5">
    <fb>157.36000000000001</fb>
    <v>14</v>
  </rv>
  <rv s="5">
    <fb>507.62</fb>
    <v>14</v>
  </rv>
  <rv s="5">
    <fb>4300.17</fb>
    <v>14</v>
  </rv>
  <rv s="5">
    <fb>44686</fb>
    <v>13</v>
  </rv>
  <rv s="5">
    <fb>116.5055</fb>
    <v>14</v>
  </rv>
  <rv s="5">
    <fb>116.407</fb>
    <v>14</v>
  </rv>
  <rv s="5">
    <fb>76.8</fb>
    <v>14</v>
  </rv>
  <rv s="5">
    <fb>353.37</fb>
    <v>14</v>
  </rv>
  <rv s="5">
    <fb>71.84</fb>
    <v>14</v>
  </rv>
  <rv s="5">
    <fb>18.844000000000001</fb>
    <v>14</v>
  </rv>
  <rv s="5">
    <fb>154.46</fb>
    <v>14</v>
  </rv>
  <rv s="5">
    <fb>494.72</fb>
    <v>14</v>
  </rv>
  <rv s="5">
    <fb>4146.87</fb>
    <v>14</v>
  </rv>
  <rv s="5">
    <fb>44687</fb>
    <v>13</v>
  </rv>
  <rv s="5">
    <fb>115.7465</fb>
    <v>14</v>
  </rv>
  <rv s="5">
    <fb>114.77249999999999</fb>
    <v>14</v>
  </rv>
  <rv s="5">
    <fb>654.19000000000005</fb>
    <v>14</v>
  </rv>
  <rv s="5">
    <fb>347.12</fb>
    <v>14</v>
  </rv>
  <rv s="5">
    <fb>43.03</fb>
    <v>14</v>
  </rv>
  <rv s="5">
    <fb>18.675000000000001</fb>
    <v>14</v>
  </rv>
  <rv s="5">
    <fb>156</fb>
    <v>14</v>
  </rv>
  <rv s="5">
    <fb>4123.34</fb>
    <v>14</v>
  </rv>
  <rv s="5">
    <fb>44690</fb>
    <v>13</v>
  </rv>
  <rv s="5">
    <fb>112.511</fb>
    <v>14</v>
  </rv>
  <rv s="5">
    <fb>108.789</fb>
    <v>14</v>
  </rv>
  <rv s="5">
    <fb>630.04999999999995</fb>
    <v>14</v>
  </rv>
  <rv s="5">
    <fb>193.96</fb>
    <v>14</v>
  </rv>
  <rv s="5">
    <fb>327.99</fb>
    <v>14</v>
  </rv>
  <rv s="5">
    <fb>70.709999999999994</fb>
    <v>14</v>
  </rv>
  <rv s="5">
    <fb>38.04</fb>
    <v>14</v>
  </rv>
  <rv s="5">
    <fb>16.95</fb>
    <v>14</v>
  </rv>
  <rv s="5">
    <fb>155.61000000000001</fb>
    <v>14</v>
  </rv>
  <rv s="5">
    <fb>486.42</fb>
    <v>14</v>
  </rv>
  <rv s="5">
    <fb>3991.24</fb>
    <v>14</v>
  </rv>
  <rv s="5">
    <fb>44691</fb>
    <v>13</v>
  </rv>
  <rv s="5">
    <fb>114.395</fb>
    <v>14</v>
  </rv>
  <rv s="5">
    <fb>108.85899999999999</fb>
    <v>14</v>
  </rv>
  <rv s="5">
    <fb>69.09</fb>
    <v>14</v>
  </rv>
  <rv s="5">
    <fb>624.16999999999996</fb>
    <v>14</v>
  </rv>
  <rv s="5">
    <fb>325.33</fb>
    <v>14</v>
  </rv>
  <rv s="5">
    <fb>37.89</fb>
    <v>14</v>
  </rv>
  <rv s="5">
    <fb>17.594999999999999</fb>
    <v>14</v>
  </rv>
  <rv s="5">
    <fb>154.79</fb>
    <v>14</v>
  </rv>
  <rv s="5">
    <fb>488.01</fb>
    <v>14</v>
  </rv>
  <rv s="5">
    <fb>4001.05</fb>
    <v>14</v>
  </rv>
  <rv s="5">
    <fb>44692</fb>
    <v>13</v>
  </rv>
  <rv s="5">
    <fb>113.60250000000001</fb>
    <v>14</v>
  </rv>
  <rv s="5">
    <fb>105.372</fb>
    <v>14</v>
  </rv>
  <rv s="5">
    <fb>67.28</fb>
    <v>14</v>
  </rv>
  <rv s="5">
    <fb>629.88</fb>
    <v>14</v>
  </rv>
  <rv s="5">
    <fb>192.02</fb>
    <v>14</v>
  </rv>
  <rv s="5">
    <fb>325.87</fb>
    <v>14</v>
  </rv>
  <rv s="5">
    <fb>16.63</fb>
    <v>14</v>
  </rv>
  <rv s="5">
    <fb>486.15</fb>
    <v>14</v>
  </rv>
  <rv s="5">
    <fb>3935.18</fb>
    <v>14</v>
  </rv>
  <rv s="5">
    <fb>44693</fb>
    <v>13</v>
  </rv>
  <rv s="5">
    <fb>112.84399999999999</fb>
    <v>14</v>
  </rv>
  <rv s="5">
    <fb>106.93049999999999</fb>
    <v>14</v>
  </rv>
  <rv s="5">
    <fb>659.8</fb>
    <v>14</v>
  </rv>
  <rv s="5">
    <fb>321.24</fb>
    <v>14</v>
  </rv>
  <rv s="5">
    <fb>39.03</fb>
    <v>14</v>
  </rv>
  <rv s="5">
    <fb>16.175000000000001</fb>
    <v>14</v>
  </rv>
  <rv s="5">
    <fb>151.99</fb>
    <v>14</v>
  </rv>
  <rv s="5">
    <fb>478.8</fb>
    <v>14</v>
  </rv>
  <rv s="5">
    <fb>3930.08</fb>
    <v>14</v>
  </rv>
  <rv s="5">
    <fb>44694</fb>
    <v>13</v>
  </rv>
  <rv s="5">
    <fb>116.0505</fb>
    <v>14</v>
  </rv>
  <rv s="5">
    <fb>113.05500000000001</fb>
    <v>14</v>
  </rv>
  <rv s="5">
    <fb>646.41999999999996</fb>
    <v>14</v>
  </rv>
  <rv s="5">
    <fb>193.53</fb>
    <v>14</v>
  </rv>
  <rv s="5">
    <fb>332.8</fb>
    <v>14</v>
  </rv>
  <rv s="5">
    <fb>69.8</fb>
    <v>14</v>
  </rv>
  <rv s="5">
    <fb>17.706</fb>
    <v>14</v>
  </rv>
  <rv s="5">
    <fb>153.62</fb>
    <v>14</v>
  </rv>
  <rv s="5">
    <fb>485.4</fb>
    <v>14</v>
  </rv>
  <rv s="5">
    <fb>4023.89</fb>
    <v>14</v>
  </rv>
  <rv s="5">
    <fb>44697</fb>
    <v>13</v>
  </rv>
  <rv s="5">
    <fb>114.44499999999999</fb>
    <v>14</v>
  </rv>
  <rv s="5">
    <fb>110.8105</fb>
    <v>14</v>
  </rv>
  <rv s="5">
    <fb>71.709999999999994</fb>
    <v>14</v>
  </rv>
  <rv s="5">
    <fb>646.80999999999995</fb>
    <v>14</v>
  </rv>
  <rv s="5">
    <fb>329.73</fb>
    <v>14</v>
  </rv>
  <rv s="5">
    <fb>70.12</fb>
    <v>14</v>
  </rv>
  <rv s="5">
    <fb>17.263999999999999</fb>
    <v>14</v>
  </rv>
  <rv s="5">
    <fb>155.12</fb>
    <v>14</v>
  </rv>
  <rv s="5">
    <fb>489.22</fb>
    <v>14</v>
  </rv>
  <rv s="5">
    <fb>4008.01</fb>
    <v>14</v>
  </rv>
  <rv s="5">
    <fb>44698</fb>
    <v>13</v>
  </rv>
  <rv s="5">
    <fb>116.473</fb>
    <v>14</v>
  </rv>
  <rv s="5">
    <fb>115.3685</fb>
    <v>14</v>
  </rv>
  <rv s="5">
    <fb>637.44000000000005</fb>
    <v>14</v>
  </rv>
  <rv s="5">
    <fb>199.06</fb>
    <v>14</v>
  </rv>
  <rv s="5">
    <fb>338.86</fb>
    <v>14</v>
  </rv>
  <rv s="5">
    <fb>72.02</fb>
    <v>14</v>
  </rv>
  <rv s="5">
    <fb>42.95</fb>
    <v>14</v>
  </rv>
  <rv s="5">
    <fb>18.177</fb>
    <v>14</v>
  </rv>
  <rv s="5">
    <fb>154.68</fb>
    <v>14</v>
  </rv>
  <rv s="5">
    <fb>492.53</fb>
    <v>14</v>
  </rv>
  <rv s="5">
    <fb>4088.85</fb>
    <v>14</v>
  </rv>
  <rv s="5">
    <fb>44699</fb>
    <v>13</v>
  </rv>
  <rv s="5">
    <fb>111.8995</fb>
    <v>14</v>
  </rv>
  <rv s="5">
    <fb>107.1125</fb>
    <v>14</v>
  </rv>
  <rv s="5">
    <fb>71.209999999999994</fb>
    <v>14</v>
  </rv>
  <rv s="5">
    <fb>635.09</fb>
    <v>14</v>
  </rv>
  <rv s="5">
    <fb>193.87</fb>
    <v>14</v>
  </rv>
  <rv s="5">
    <fb>335.9</fb>
    <v>14</v>
  </rv>
  <rv s="5">
    <fb>71</fb>
    <v>14</v>
  </rv>
  <rv s="5">
    <fb>41.13</fb>
    <v>14</v>
  </rv>
  <rv s="5">
    <fb>16.937999999999999</fb>
    <v>14</v>
  </rv>
  <rv s="5">
    <fb>145.04</fb>
    <v>14</v>
  </rv>
  <rv s="5">
    <fb>471.38</fb>
    <v>14</v>
  </rv>
  <rv s="5">
    <fb>3923.68</fb>
    <v>14</v>
  </rv>
  <rv s="5">
    <fb>44700</fb>
    <v>13</v>
  </rv>
  <rv s="5">
    <fb>110.384</fb>
    <v>14</v>
  </rv>
  <rv s="5">
    <fb>107.319</fb>
    <v>14</v>
  </rv>
  <rv s="5">
    <fb>69.7</fb>
    <v>14</v>
  </rv>
  <rv s="5">
    <fb>651.79</fb>
    <v>14</v>
  </rv>
  <rv s="5">
    <fb>192.65</fb>
    <v>14</v>
  </rv>
  <rv s="5">
    <fb>40.85</fb>
    <v>14</v>
  </rv>
  <rv s="5">
    <fb>17.123999999999999</fb>
    <v>14</v>
  </rv>
  <rv s="5">
    <fb>141.69999999999999</fb>
    <v>14</v>
  </rv>
  <rv s="5">
    <fb>478.55</fb>
    <v>14</v>
  </rv>
  <rv s="5">
    <fb>3900.79</fb>
    <v>14</v>
  </rv>
  <rv s="5">
    <fb>44701</fb>
    <v>13</v>
  </rv>
  <rv s="5">
    <fb>108.908</fb>
    <v>14</v>
  </rv>
  <rv s="5">
    <fb>107.59099999999999</fb>
    <v>14</v>
  </rv>
  <rv s="5">
    <fb>663.53</fb>
    <v>14</v>
  </rv>
  <rv s="5">
    <fb>336.18</fb>
    <v>14</v>
  </rv>
  <rv s="5">
    <fb>16.693999999999999</fb>
    <v>14</v>
  </rv>
  <rv s="5">
    <fb>141.79</fb>
    <v>14</v>
  </rv>
  <rv s="5">
    <fb>485.73</fb>
    <v>14</v>
  </rv>
  <rv s="5">
    <fb>3901.36</fb>
    <v>14</v>
  </rv>
  <rv s="5">
    <fb>44704</fb>
    <v>13</v>
  </rv>
  <rv s="5">
    <fb>111.488</fb>
    <v>14</v>
  </rv>
  <rv s="5">
    <fb>107.557</fb>
    <v>14</v>
  </rv>
  <rv s="5">
    <fb>70.81</fb>
    <v>14</v>
  </rv>
  <rv s="5">
    <fb>671.81</fb>
    <v>14</v>
  </rv>
  <rv s="5">
    <fb>189.58</fb>
    <v>14</v>
  </rv>
  <rv s="5">
    <fb>348.43</fb>
    <v>14</v>
  </rv>
  <rv s="5">
    <fb>72.55</fb>
    <v>14</v>
  </rv>
  <rv s="5">
    <fb>16.898</fb>
    <v>14</v>
  </rv>
  <rv s="5">
    <fb>492.08</fb>
    <v>14</v>
  </rv>
  <rv s="5">
    <fb>3973.75</fb>
    <v>14</v>
  </rv>
  <rv s="5">
    <fb>44705</fb>
    <v>13</v>
  </rv>
  <rv s="5">
    <fb>105.97</fb>
    <v>14</v>
  </rv>
  <rv s="5">
    <fb>104.1</fb>
    <v>14</v>
  </rv>
  <rv s="5">
    <fb>70.11</fb>
    <v>14</v>
  </rv>
  <rv s="5">
    <fb>686.53</fb>
    <v>14</v>
  </rv>
  <rv s="5">
    <fb>189.96</fb>
    <v>14</v>
  </rv>
  <rv s="5">
    <fb>340.69</fb>
    <v>14</v>
  </rv>
  <rv s="5">
    <fb>74.67</fb>
    <v>14</v>
  </rv>
  <rv s="5">
    <fb>16.154</fb>
    <v>14</v>
  </rv>
  <rv s="5">
    <fb>147.63</fb>
    <v>14</v>
  </rv>
  <rv s="5">
    <fb>497.56</fb>
    <v>14</v>
  </rv>
  <rv s="5">
    <fb>3941.48</fb>
    <v>14</v>
  </rv>
  <rv s="5">
    <fb>44706</fb>
    <v>13</v>
  </rv>
  <rv s="5">
    <fb>105.80500000000001</fb>
    <v>14</v>
  </rv>
  <rv s="5">
    <fb>106.77500000000001</fb>
    <v>14</v>
  </rv>
  <rv s="5">
    <fb>670</fb>
    <v>14</v>
  </rv>
  <rv s="5">
    <fb>190.44</fb>
    <v>14</v>
  </rv>
  <rv s="5">
    <fb>344.76</fb>
    <v>14</v>
  </rv>
  <rv s="5">
    <fb>74.790000000000006</fb>
    <v>14</v>
  </rv>
  <rv s="5">
    <fb>45.05</fb>
    <v>14</v>
  </rv>
  <rv s="5">
    <fb>16.975000000000001</fb>
    <v>14</v>
  </rv>
  <rv s="5">
    <fb>145.21</fb>
    <v>14</v>
  </rv>
  <rv s="5">
    <fb>498.09</fb>
    <v>14</v>
  </rv>
  <rv s="5">
    <fb>3978.73</fb>
    <v>14</v>
  </rv>
  <rv s="5">
    <fb>44707</fb>
    <v>13</v>
  </rv>
  <rv s="5">
    <fb>107.7925</fb>
    <v>14</v>
  </rv>
  <rv s="5">
    <fb>111.0775</fb>
    <v>14</v>
  </rv>
  <rv s="5">
    <fb>71.760000000000005</fb>
    <v>14</v>
  </rv>
  <rv s="5">
    <fb>693.68</fb>
    <v>14</v>
  </rv>
  <rv s="5">
    <fb>193.1</fb>
    <v>14</v>
  </rv>
  <rv s="5">
    <fb>46.69</fb>
    <v>14</v>
  </rv>
  <rv s="5">
    <fb>17.850999999999999</fb>
    <v>14</v>
  </rv>
  <rv s="5">
    <fb>146.47999999999999</fb>
    <v>14</v>
  </rv>
  <rv s="5">
    <fb>502.23</fb>
    <v>14</v>
  </rv>
  <rv s="5">
    <fb>4057.84</fb>
    <v>14</v>
  </rv>
  <rv s="5">
    <fb>44708</fb>
    <v>13</v>
  </rv>
  <rv s="5">
    <fb>112.3165</fb>
    <v>14</v>
  </rv>
  <rv s="5">
    <fb>115.1465</fb>
    <v>14</v>
  </rv>
  <rv s="5">
    <fb>687.09</fb>
    <v>14</v>
  </rv>
  <rv s="5">
    <fb>196.35</fb>
    <v>14</v>
  </rv>
  <rv s="5">
    <fb>357.78</fb>
    <v>14</v>
  </rv>
  <rv s="5">
    <fb>48.21</fb>
    <v>14</v>
  </rv>
  <rv s="5">
    <fb>18.811</fb>
    <v>14</v>
  </rv>
  <rv s="5">
    <fb>148.72</fb>
    <v>14</v>
  </rv>
  <rv s="5">
    <fb>507.11</fb>
    <v>14</v>
  </rv>
  <rv s="5">
    <fb>4158.24</fb>
    <v>14</v>
  </rv>
  <rv s="5">
    <fb>44712</fb>
    <v>13</v>
  </rv>
  <rv s="5">
    <fb>113.762</fb>
    <v>14</v>
  </rv>
  <rv s="5">
    <fb>120.20950000000001</fb>
    <v>14</v>
  </rv>
  <rv s="5">
    <fb>70.89</fb>
    <v>14</v>
  </rv>
  <rv s="5">
    <fb>679</fb>
    <v>14</v>
  </rv>
  <rv s="5">
    <fb>357.87</fb>
    <v>14</v>
  </rv>
  <rv s="5">
    <fb>45.96</fb>
    <v>14</v>
  </rv>
  <rv s="5">
    <fb>18.672000000000001</fb>
    <v>14</v>
  </rv>
  <rv s="5">
    <fb>147.88</fb>
    <v>14</v>
  </rv>
  <rv s="5">
    <fb>496.78</fb>
    <v>14</v>
  </rv>
  <rv s="5">
    <fb>4132.1499999999996</fb>
    <v>14</v>
  </rv>
  <rv s="5">
    <fb>44713</fb>
    <v>13</v>
  </rv>
  <rv s="5">
    <fb>113.892</fb>
    <v>14</v>
  </rv>
  <rv s="5">
    <fb>121.684</fb>
    <v>14</v>
  </rv>
  <rv s="5">
    <fb>71.27</fb>
    <v>14</v>
  </rv>
  <rv s="5">
    <fb>694.64</fb>
    <v>14</v>
  </rv>
  <rv s="5">
    <fb>357.06</fb>
    <v>14</v>
  </rv>
  <rv s="5">
    <fb>76.17</fb>
    <v>14</v>
  </rv>
  <rv s="5">
    <fb>46.68</fb>
    <v>14</v>
  </rv>
  <rv s="5">
    <fb>18.32</fb>
    <v>14</v>
  </rv>
  <rv s="5">
    <fb>145.63999999999999</fb>
    <v>14</v>
  </rv>
  <rv s="5">
    <fb>492.55</fb>
    <v>14</v>
  </rv>
  <rv s="5">
    <fb>4101.2299999999996</fb>
    <v>14</v>
  </rv>
  <rv s="5">
    <fb>44714</fb>
    <v>13</v>
  </rv>
  <rv s="5">
    <fb>117.6225</fb>
    <v>14</v>
  </rv>
  <rv s="5">
    <fb>125.511</fb>
    <v>14</v>
  </rv>
  <rv s="5">
    <fb>678.44</fb>
    <v>14</v>
  </rv>
  <rv s="5">
    <fb>363.08</fb>
    <v>14</v>
  </rv>
  <rv s="5">
    <fb>19.591999999999999</fb>
    <v>14</v>
  </rv>
  <rv s="5">
    <fb>147.21</fb>
    <v>14</v>
  </rv>
  <rv s="5">
    <fb>492.26</fb>
    <v>14</v>
  </rv>
  <rv s="5">
    <fb>4176.82</fb>
    <v>14</v>
  </rv>
  <rv s="5">
    <fb>44715</fb>
    <v>13</v>
  </rv>
  <rv s="5">
    <fb>114.541</fb>
    <v>14</v>
  </rv>
  <rv s="5">
    <fb>122.35</fb>
    <v>14</v>
  </rv>
  <rv s="5">
    <fb>692.36</fb>
    <v>14</v>
  </rv>
  <rv s="5">
    <fb>194.82</fb>
    <v>14</v>
  </rv>
  <rv s="5">
    <fb>47.47</fb>
    <v>14</v>
  </rv>
  <rv s="5">
    <fb>145.88999999999999</fb>
    <v>14</v>
  </rv>
  <rv s="5">
    <fb>485.61</fb>
    <v>14</v>
  </rv>
  <rv s="5">
    <fb>4108.54</fb>
    <v>14</v>
  </rv>
  <rv s="5">
    <fb>44718</fb>
    <v>13</v>
  </rv>
  <rv s="5">
    <fb>116.8205</fb>
    <v>14</v>
  </rv>
  <rv s="5">
    <fb>691.55</fb>
    <v>14</v>
  </rv>
  <rv s="5">
    <fb>360.14</fb>
    <v>14</v>
  </rv>
  <rv s="5">
    <fb>47.22</fb>
    <v>14</v>
  </rv>
  <rv s="5">
    <fb>18.786000000000001</fb>
    <v>14</v>
  </rv>
  <rv s="5">
    <fb>490.18</fb>
    <v>14</v>
  </rv>
  <rv s="5">
    <fb>4121.43</fb>
    <v>14</v>
  </rv>
  <rv s="5">
    <fb>44719</fb>
    <v>13</v>
  </rv>
  <rv s="5">
    <fb>117.1495</fb>
    <v>14</v>
  </rv>
  <rv s="5">
    <fb>74.17</fb>
    <v>14</v>
  </rv>
  <rv s="5">
    <fb>668.66</fb>
    <v>14</v>
  </rv>
  <rv s="5">
    <fb>197.62</fb>
    <v>14</v>
  </rv>
  <rv s="5">
    <fb>364.02</fb>
    <v>14</v>
  </rv>
  <rv s="5">
    <fb>79.78</fb>
    <v>14</v>
  </rv>
  <rv s="5">
    <fb>48.93</fb>
    <v>14</v>
  </rv>
  <rv s="5">
    <fb>18.925999999999998</fb>
    <v>14</v>
  </rv>
  <rv s="5">
    <fb>146.94</fb>
    <v>14</v>
  </rv>
  <rv s="5">
    <fb>497.1</fb>
    <v>14</v>
  </rv>
  <rv s="5">
    <fb>4160.68</fb>
    <v>14</v>
  </rv>
  <rv s="5">
    <fb>44720</fb>
    <v>13</v>
  </rv>
  <rv s="5">
    <fb>117.194</fb>
    <v>14</v>
  </rv>
  <rv s="5">
    <fb>658.42</fb>
    <v>14</v>
  </rv>
  <rv s="5">
    <fb>194.52</fb>
    <v>14</v>
  </rv>
  <rv s="5">
    <fb>362.33</fb>
    <v>14</v>
  </rv>
  <rv s="5">
    <fb>78.489999999999995</fb>
    <v>14</v>
  </rv>
  <rv s="5">
    <fb>18.648</fb>
    <v>14</v>
  </rv>
  <rv s="5">
    <fb>145.11000000000001</fb>
    <v>14</v>
  </rv>
  <rv s="5">
    <fb>493.53</fb>
    <v>14</v>
  </rv>
  <rv s="5">
    <fb>4115.7700000000004</fb>
    <v>14</v>
  </rv>
  <rv s="5">
    <fb>44721</fb>
    <v>13</v>
  </rv>
  <rv s="5">
    <fb>114.8355</fb>
    <v>14</v>
  </rv>
  <rv s="5">
    <fb>116.15</fb>
    <v>14</v>
  </rv>
  <rv s="5">
    <fb>70.42</fb>
    <v>14</v>
  </rv>
  <rv s="5">
    <fb>649.16999999999996</fb>
    <v>14</v>
  </rv>
  <rv s="5">
    <fb>192.01</fb>
    <v>14</v>
  </rv>
  <rv s="5">
    <fb>349</fb>
    <v>14</v>
  </rv>
  <rv s="5">
    <fb>77.34</fb>
    <v>14</v>
  </rv>
  <rv s="5">
    <fb>48.14</fb>
    <v>14</v>
  </rv>
  <rv s="5">
    <fb>18.047999999999998</fb>
    <v>14</v>
  </rv>
  <rv s="5">
    <fb>489.43</fb>
    <v>14</v>
  </rv>
  <rv s="5">
    <fb>4017.82</fb>
    <v>14</v>
  </rv>
  <rv s="5">
    <fb>44722</fb>
    <v>13</v>
  </rv>
  <rv s="5">
    <fb>111.1615</fb>
    <v>14</v>
  </rv>
  <rv s="5">
    <fb>68.48</fb>
    <v>14</v>
  </rv>
  <rv s="5">
    <fb>616.28</fb>
    <v>14</v>
  </rv>
  <rv s="5">
    <fb>186.28</fb>
    <v>14</v>
  </rv>
  <rv s="5">
    <fb>334.75</fb>
    <v>14</v>
  </rv>
  <rv s="5">
    <fb>47.21</fb>
    <v>14</v>
  </rv>
  <rv s="5">
    <fb>16.974</fb>
    <v>14</v>
  </rv>
  <rv s="5">
    <fb>141.94999999999999</fb>
    <v>14</v>
  </rv>
  <rv s="5">
    <fb>484.63</fb>
    <v>14</v>
  </rv>
  <rv s="5">
    <fb>3900.86</fb>
    <v>14</v>
  </rv>
  <rv s="5">
    <fb>44725</fb>
    <v>13</v>
  </rv>
  <rv s="5">
    <fb>106.3925</fb>
    <v>14</v>
  </rv>
  <rv s="5">
    <fb>103.67</fb>
    <v>14</v>
  </rv>
  <rv s="5">
    <fb>618.51</fb>
    <v>14</v>
  </rv>
  <rv s="5">
    <fb>184.42</fb>
    <v>14</v>
  </rv>
  <rv s="5">
    <fb>319.74</fb>
    <v>14</v>
  </rv>
  <rv s="5">
    <fb>72.41</fb>
    <v>14</v>
  </rv>
  <rv s="5">
    <fb>44.32</fb>
    <v>14</v>
  </rv>
  <rv s="5">
    <fb>15.647</fb>
    <v>14</v>
  </rv>
  <rv s="5">
    <fb>469.7</fb>
    <v>14</v>
  </rv>
  <rv s="5">
    <fb>3749.63</fb>
    <v>14</v>
  </rv>
  <rv s="5">
    <fb>44726</fb>
    <v>13</v>
  </rv>
  <rv s="5">
    <fb>106.71550000000001</fb>
    <v>14</v>
  </rv>
  <rv s="5">
    <fb>102.31</fb>
    <v>14</v>
  </rv>
  <rv s="5">
    <fb>641.25</fb>
    <v>14</v>
  </rv>
  <rv s="5">
    <fb>322.14</fb>
    <v>14</v>
  </rv>
  <rv s="5">
    <fb>43.22</fb>
    <v>14</v>
  </rv>
  <rv s="5">
    <fb>15.836</fb>
    <v>14</v>
  </rv>
  <rv s="5">
    <fb>461.75</fb>
    <v>14</v>
  </rv>
  <rv s="5">
    <fb>3735.48</fb>
    <v>14</v>
  </rv>
  <rv s="5">
    <fb>44727</fb>
    <v>13</v>
  </rv>
  <rv s="5">
    <fb>109.7645</fb>
    <v>14</v>
  </rv>
  <rv s="5">
    <fb>107.67</fb>
    <v>14</v>
  </rv>
  <rv s="5">
    <fb>618.42999999999995</fb>
    <v>14</v>
  </rv>
  <rv s="5">
    <fb>184.97</fb>
    <v>14</v>
  </rv>
  <rv s="5">
    <fb>325.39</fb>
    <v>14</v>
  </rv>
  <rv s="5">
    <fb>41.52</fb>
    <v>14</v>
  </rv>
  <rv s="5">
    <fb>16.527000000000001</fb>
    <v>14</v>
  </rv>
  <rv s="5">
    <fb>464.33</fb>
    <v>14</v>
  </rv>
  <rv s="5">
    <fb>3789.99</fb>
    <v>14</v>
  </rv>
  <rv s="5">
    <fb>44728</fb>
    <v>13</v>
  </rv>
  <rv s="5">
    <fb>106.0335</fb>
    <v>14</v>
  </rv>
  <rv s="5">
    <fb>103.66</fb>
    <v>14</v>
  </rv>
  <rv s="5">
    <fb>63.31</fb>
    <v>14</v>
  </rv>
  <rv s="5">
    <fb>632.80999999999995</fb>
    <v>14</v>
  </rv>
  <rv s="5">
    <fb>308.77999999999997</fb>
    <v>14</v>
  </rv>
  <rv s="5">
    <fb>70.87</fb>
    <v>14</v>
  </rv>
  <rv s="5">
    <fb>38.479999999999997</fb>
    <v>14</v>
  </rv>
  <rv s="5">
    <fb>15.601000000000001</fb>
    <v>14</v>
  </rv>
  <rv s="5">
    <fb>133.32</fb>
    <v>14</v>
  </rv>
  <rv s="5">
    <fb>456.09</fb>
    <v>14</v>
  </rv>
  <rv s="5">
    <fb>3666.77</fb>
    <v>14</v>
  </rv>
  <rv s="5">
    <fb>44729</fb>
    <v>13</v>
  </rv>
  <rv s="5">
    <fb>107.1435</fb>
    <v>14</v>
  </rv>
  <rv s="5">
    <fb>106.22</fb>
    <v>14</v>
  </rv>
  <rv s="5">
    <fb>640.17999999999995</fb>
    <v>14</v>
  </rv>
  <rv s="5">
    <fb>179.7</fb>
    <v>14</v>
  </rv>
  <rv s="5">
    <fb>310.69</fb>
    <v>14</v>
  </rv>
  <rv s="5">
    <fb>36.64</fb>
    <v>14</v>
  </rv>
  <rv s="5">
    <fb>15.88</fb>
    <v>14</v>
  </rv>
  <rv s="5">
    <fb>132.36000000000001</fb>
    <v>14</v>
  </rv>
  <rv s="5">
    <fb>452.06</fb>
    <v>14</v>
  </rv>
  <rv s="5">
    <fb>3674.84</fb>
    <v>14</v>
  </rv>
  <rv s="5">
    <fb>44733</fb>
    <v>13</v>
  </rv>
  <rv s="5">
    <fb>111.544</fb>
    <v>14</v>
  </rv>
  <rv s="5">
    <fb>108.68</fb>
    <v>14</v>
  </rv>
  <rv s="5">
    <fb>657.95</fb>
    <v>14</v>
  </rv>
  <rv s="5">
    <fb>180.51</fb>
    <v>14</v>
  </rv>
  <rv s="5">
    <fb>317.39999999999998</fb>
    <v>14</v>
  </rv>
  <rv s="5">
    <fb>38.82</fb>
    <v>14</v>
  </rv>
  <rv s="5">
    <fb>16.565999999999999</fb>
    <v>14</v>
  </rv>
  <rv s="5">
    <fb>480.32</fb>
    <v>14</v>
  </rv>
  <rv s="5">
    <fb>3764.79</fb>
    <v>14</v>
  </rv>
  <rv s="5">
    <fb>44734</fb>
    <v>13</v>
  </rv>
  <rv s="5">
    <fb>111.4875</fb>
    <v>14</v>
  </rv>
  <rv s="5">
    <fb>108.95</fb>
    <v>14</v>
  </rv>
  <rv s="5">
    <fb>65.459999999999994</fb>
    <v>14</v>
  </rv>
  <rv s="5">
    <fb>677.42</fb>
    <v>14</v>
  </rv>
  <rv s="5">
    <fb>177.73</fb>
    <v>14</v>
  </rv>
  <rv s="5">
    <fb>316.14999999999998</fb>
    <v>14</v>
  </rv>
  <rv s="5">
    <fb>74.69</fb>
    <v>14</v>
  </rv>
  <rv s="5">
    <fb>16.36</fb>
    <v>14</v>
  </rv>
  <rv s="5">
    <fb>489.68</fb>
    <v>14</v>
  </rv>
  <rv s="5">
    <fb>3759.89</fb>
    <v>14</v>
  </rv>
  <rv s="5">
    <fb>44735</fb>
    <v>13</v>
  </rv>
  <rv s="5">
    <fb>112.242</fb>
    <v>14</v>
  </rv>
  <rv s="5">
    <fb>689.17</fb>
    <v>14</v>
  </rv>
  <rv s="5">
    <fb>174.57</fb>
    <v>14</v>
  </rv>
  <rv s="5">
    <fb>316.76</fb>
    <v>14</v>
  </rv>
  <rv s="5">
    <fb>34.979999999999997</fb>
    <v>14</v>
  </rv>
  <rv s="5">
    <fb>16.225000000000001</fb>
    <v>14</v>
  </rv>
  <rv s="5">
    <fb>142.30000000000001</fb>
    <v>14</v>
  </rv>
  <rv s="5">
    <fb>499.81</fb>
    <v>14</v>
  </rv>
  <rv s="5">
    <fb>3795.73</fb>
    <v>14</v>
  </rv>
  <rv s="5">
    <fb>44736</fb>
    <v>13</v>
  </rv>
  <rv s="5">
    <fb>117.97499999999999</fb>
    <v>14</v>
  </rv>
  <rv s="5">
    <fb>116.46</fb>
    <v>14</v>
  </rv>
  <rv s="5">
    <fb>71.59</fb>
    <v>14</v>
  </rv>
  <rv s="5">
    <fb>685.57</fb>
    <v>14</v>
  </rv>
  <rv s="5">
    <fb>180.02</fb>
    <v>14</v>
  </rv>
  <rv s="5">
    <fb>330.5</fb>
    <v>14</v>
  </rv>
  <rv s="5">
    <fb>78.02</fb>
    <v>14</v>
  </rv>
  <rv s="5">
    <fb>17.126000000000001</fb>
    <v>14</v>
  </rv>
  <rv s="5">
    <fb>495.64</fb>
    <v>14</v>
  </rv>
  <rv s="5">
    <fb>3911.74</fb>
    <v>14</v>
  </rv>
  <rv s="5">
    <fb>44739</fb>
    <v>13</v>
  </rv>
  <rv s="5">
    <fb>115.8335</fb>
    <v>14</v>
  </rv>
  <rv s="5">
    <fb>113.22</fb>
    <v>14</v>
  </rv>
  <rv s="5">
    <fb>669.1</fb>
    <v>14</v>
  </rv>
  <rv s="5">
    <fb>178.29</fb>
    <v>14</v>
  </rv>
  <rv s="5">
    <fb>328.83</fb>
    <v>14</v>
  </rv>
  <rv s="5">
    <fb>77.89</fb>
    <v>14</v>
  </rv>
  <rv s="5">
    <fb>35.89</fb>
    <v>14</v>
  </rv>
  <rv s="5">
    <fb>16.869</fb>
    <v>14</v>
  </rv>
  <rv s="5">
    <fb>505.66</fb>
    <v>14</v>
  </rv>
  <rv s="5">
    <fb>3900.11</fb>
    <v>14</v>
  </rv>
  <rv s="5">
    <fb>44740</fb>
    <v>13</v>
  </rv>
  <rv s="5">
    <fb>112.00749999999999</fb>
    <v>14</v>
  </rv>
  <rv s="5">
    <fb>107.4</fb>
    <v>14</v>
  </rv>
  <rv s="5">
    <fb>69.95</fb>
    <v>14</v>
  </rv>
  <rv s="5">
    <fb>649.5</fb>
    <v>14</v>
  </rv>
  <rv s="5">
    <fb>175.95</fb>
    <v>14</v>
  </rv>
  <rv s="5">
    <fb>318.29000000000002</fb>
    <v>14</v>
  </rv>
  <rv s="5">
    <fb>36.97</fb>
    <v>14</v>
  </rv>
  <rv s="5">
    <fb>15.981999999999999</fb>
    <v>14</v>
  </rv>
  <rv s="5">
    <fb>140.91999999999999</fb>
    <v>14</v>
  </rv>
  <rv s="5">
    <fb>508.44</fb>
    <v>14</v>
  </rv>
  <rv s="5">
    <fb>3821.55</fb>
    <v>14</v>
  </rv>
  <rv s="5">
    <fb>44741</fb>
    <v>13</v>
  </rv>
  <rv s="5">
    <fb>111.7015</fb>
    <v>14</v>
  </rv>
  <rv s="5">
    <fb>108.92</fb>
    <v>14</v>
  </rv>
  <rv s="5">
    <fb>68.349999999999994</fb>
    <v>14</v>
  </rv>
  <rv s="5">
    <fb>657.02</fb>
    <v>14</v>
  </rv>
  <rv s="5">
    <fb>173.2</fb>
    <v>14</v>
  </rv>
  <rv s="5">
    <fb>322.58999999999997</fb>
    <v>14</v>
  </rv>
  <rv s="5">
    <fb>76</fb>
    <v>14</v>
  </rv>
  <rv s="5">
    <fb>15.542</fb>
    <v>14</v>
  </rv>
  <rv s="5">
    <fb>142.19999999999999</fb>
    <v>14</v>
  </rv>
  <rv s="5">
    <fb>515.71</fb>
    <v>14</v>
  </rv>
  <rv s="5">
    <fb>3818.83</fb>
    <v>14</v>
  </rv>
  <rv s="5">
    <fb>44742</fb>
    <v>13</v>
  </rv>
  <rv s="5">
    <fb>108.96299999999999</fb>
    <v>14</v>
  </rv>
  <rv s="5">
    <fb>106.21</fb>
    <v>14</v>
  </rv>
  <rv s="5">
    <fb>68.77</fb>
    <v>14</v>
  </rv>
  <rv s="5">
    <fb>673.03</fb>
    <v>14</v>
  </rv>
  <rv s="5">
    <fb>173.81</fb>
    <v>14</v>
  </rv>
  <rv s="5">
    <fb>315.48</fb>
    <v>14</v>
  </rv>
  <rv s="5">
    <fb>15.159000000000001</fb>
    <v>14</v>
  </rv>
  <rv s="5">
    <fb>143.79</fb>
    <v>14</v>
  </rv>
  <rv s="5">
    <fb>513.63</fb>
    <v>14</v>
  </rv>
  <rv s="5">
    <fb>3785.38</fb>
    <v>14</v>
  </rv>
  <rv s="5">
    <fb>44743</fb>
    <v>13</v>
  </rv>
  <rv s="5">
    <fb>108.7375</fb>
    <v>14</v>
  </rv>
  <rv s="5">
    <fb>109.56</fb>
    <v>14</v>
  </rv>
  <rv s="5">
    <fb>70.930000000000007</fb>
    <v>14</v>
  </rv>
  <rv s="5">
    <fb>667.16</fb>
    <v>14</v>
  </rv>
  <rv s="5">
    <fb>175.11</fb>
    <v>14</v>
  </rv>
  <rv s="5">
    <fb>318.24</fb>
    <v>14</v>
  </rv>
  <rv s="5">
    <fb>35.65</fb>
    <v>14</v>
  </rv>
  <rv s="5">
    <fb>146.11000000000001</fb>
    <v>14</v>
  </rv>
  <rv s="5">
    <fb>517.4</fb>
    <v>14</v>
  </rv>
  <rv s="5">
    <fb>3825.33</fb>
    <v>14</v>
  </rv>
  <rv s="5">
    <fb>44747</fb>
    <v>13</v>
  </rv>
  <rv s="5">
    <fb>113.26300000000001</fb>
    <v>14</v>
  </rv>
  <rv s="5">
    <fb>70.03</fb>
    <v>14</v>
  </rv>
  <rv s="5">
    <fb>662.53</fb>
    <v>14</v>
  </rv>
  <rv s="5">
    <fb>172.09</fb>
    <v>14</v>
  </rv>
  <rv s="5">
    <fb>319.26</fb>
    <v>14</v>
  </rv>
  <rv s="5">
    <fb>79.11</fb>
    <v>14</v>
  </rv>
  <rv s="5">
    <fb>33.33</fb>
    <v>14</v>
  </rv>
  <rv s="5">
    <fb>14.964</fb>
    <v>14</v>
  </rv>
  <rv s="5">
    <fb>144.69999999999999</fb>
    <v>14</v>
  </rv>
  <rv s="5">
    <fb>505.24</fb>
    <v>14</v>
  </rv>
  <rv s="5">
    <fb>3831.39</fb>
    <v>14</v>
  </rv>
  <rv s="5">
    <fb>44748</fb>
    <v>13</v>
  </rv>
  <rv s="5">
    <fb>114.572</fb>
    <v>14</v>
  </rv>
  <rv s="5">
    <fb>114.33</fb>
    <v>14</v>
  </rv>
  <rv s="5">
    <fb>660.74</fb>
    <v>14</v>
  </rv>
  <rv s="5">
    <fb>320.17</fb>
    <v>14</v>
  </rv>
  <rv s="5">
    <fb>15.13</fb>
    <v>14</v>
  </rv>
  <rv s="5">
    <fb>146.05000000000001</fb>
    <v>14</v>
  </rv>
  <rv s="5">
    <fb>515.29</fb>
    <v>14</v>
  </rv>
  <rv s="5">
    <fb>3845.08</fb>
    <v>14</v>
  </rv>
  <rv s="5">
    <fb>44749</fb>
    <v>13</v>
  </rv>
  <rv s="5">
    <fb>118.783</fb>
    <v>14</v>
  </rv>
  <rv s="5">
    <fb>116.33</fb>
    <v>14</v>
  </rv>
  <rv s="5">
    <fb>650.52</fb>
    <v>14</v>
  </rv>
  <rv s="5">
    <fb>173.79</fb>
    <v>14</v>
  </rv>
  <rv s="5">
    <fb>324.07</fb>
    <v>14</v>
  </rv>
  <rv s="5">
    <fb>80.38</fb>
    <v>14</v>
  </rv>
  <rv s="5">
    <fb>34.380000000000003</fb>
    <v>14</v>
  </rv>
  <rv s="5">
    <fb>15.858000000000001</fb>
    <v>14</v>
  </rv>
  <rv s="5">
    <fb>146</fb>
    <v>14</v>
  </rv>
  <rv s="5">
    <fb>514.38</fb>
    <v>14</v>
  </rv>
  <rv s="5">
    <fb>3902.62</fb>
    <v>14</v>
  </rv>
  <rv s="5">
    <fb>44750</fb>
    <v>13</v>
  </rv>
  <rv s="5">
    <fb>119.3535</fb>
    <v>14</v>
  </rv>
  <rv s="5">
    <fb>115.54</fb>
    <v>14</v>
  </rv>
  <rv s="5">
    <fb>68.62</fb>
    <v>14</v>
  </rv>
  <rv s="5">
    <fb>647.30999999999995</fb>
    <v>14</v>
  </rv>
  <rv s="5">
    <fb>173.34</fb>
    <v>14</v>
  </rv>
  <rv s="5">
    <fb>34.32</fb>
    <v>14</v>
  </rv>
  <rv s="5">
    <fb>15.837999999999999</fb>
    <v>14</v>
  </rv>
  <rv s="5">
    <fb>518.63</fb>
    <v>14</v>
  </rv>
  <rv s="5">
    <fb>3899.38</fb>
    <v>14</v>
  </rv>
  <rv s="5">
    <fb>44753</fb>
    <v>13</v>
  </rv>
  <rv s="5">
    <fb>115.6765</fb>
    <v>14</v>
  </rv>
  <rv s="5">
    <fb>111.75</fb>
    <v>14</v>
  </rv>
  <rv s="5">
    <fb>68.42</fb>
    <v>14</v>
  </rv>
  <rv s="5">
    <fb>628.25</fb>
    <v>14</v>
  </rv>
  <rv s="5">
    <fb>172.84</fb>
    <v>14</v>
  </rv>
  <rv s="5">
    <fb>324.19</fb>
    <v>14</v>
  </rv>
  <rv s="5">
    <fb>33.369999999999997</fb>
    <v>14</v>
  </rv>
  <rv s="5">
    <fb>15.151999999999999</fb>
    <v>14</v>
  </rv>
  <rv s="5">
    <fb>516.95000000000005</fb>
    <v>14</v>
  </rv>
  <rv s="5">
    <fb>3854.43</fb>
    <v>14</v>
  </rv>
  <rv s="5">
    <fb>44754</fb>
    <v>13</v>
  </rv>
  <rv s="5">
    <fb>114.0205</fb>
    <v>14</v>
  </rv>
  <rv s="5">
    <fb>109.22</fb>
    <v>14</v>
  </rv>
  <rv s="5">
    <fb>67.66</fb>
    <v>14</v>
  </rv>
  <rv s="5">
    <fb>625.89</fb>
    <v>14</v>
  </rv>
  <rv s="5">
    <fb>322.86</fb>
    <v>14</v>
  </rv>
  <rv s="5">
    <fb>15.082000000000001</fb>
    <v>14</v>
  </rv>
  <rv s="5">
    <fb>144.75</fb>
    <v>14</v>
  </rv>
  <rv s="5">
    <fb>514.41999999999996</fb>
    <v>14</v>
  </rv>
  <rv s="5">
    <fb>3818.8</fb>
    <v>14</v>
  </rv>
  <rv s="5">
    <fb>44755</fb>
    <v>13</v>
  </rv>
  <rv s="5">
    <fb>111.3535</fb>
    <v>14</v>
  </rv>
  <rv s="5">
    <fb>110.4</fb>
    <v>14</v>
  </rv>
  <rv s="5">
    <fb>611.92999999999995</fb>
    <v>14</v>
  </rv>
  <rv s="5">
    <fb>170.87</fb>
    <v>14</v>
  </rv>
  <rv s="5">
    <fb>323.37</fb>
    <v>14</v>
  </rv>
  <rv s="5">
    <fb>80.260000000000005</fb>
    <v>14</v>
  </rv>
  <rv s="5">
    <fb>32.29</fb>
    <v>14</v>
  </rv>
  <rv s="5">
    <fb>15.164</fb>
    <v>14</v>
  </rv>
  <rv s="5">
    <fb>145.69999999999999</fb>
    <v>14</v>
  </rv>
  <rv s="5">
    <fb>501.24</fb>
    <v>14</v>
  </rv>
  <rv s="5">
    <fb>3801.78</fb>
    <v>14</v>
  </rv>
  <rv s="5">
    <fb>44756</fb>
    <v>13</v>
  </rv>
  <rv s="5">
    <fb>110.36750000000001</fb>
    <v>14</v>
  </rv>
  <rv s="5">
    <fb>110.63</fb>
    <v>14</v>
  </rv>
  <rv s="5">
    <fb>66.650000000000006</fb>
    <v>14</v>
  </rv>
  <rv s="5">
    <fb>619.75</fb>
    <v>14</v>
  </rv>
  <rv s="5">
    <fb>169.51</fb>
    <v>14</v>
  </rv>
  <rv s="5">
    <fb>325.02999999999997</fb>
    <v>14</v>
  </rv>
  <rv s="5">
    <fb>15.372</fb>
    <v>14</v>
  </rv>
  <rv s="5">
    <fb>145.27000000000001</fb>
    <v>14</v>
  </rv>
  <rv s="5">
    <fb>502.43</fb>
    <v>14</v>
  </rv>
  <rv s="5">
    <fb>3790.38</fb>
    <v>14</v>
  </rv>
  <rv s="5">
    <fb>44757</fb>
    <v>13</v>
  </rv>
  <rv s="5">
    <fb>111.7775</fb>
    <v>14</v>
  </rv>
  <rv s="5">
    <fb>113.55</fb>
    <v>14</v>
  </rv>
  <rv s="5">
    <fb>66.48</fb>
    <v>14</v>
  </rv>
  <rv s="5">
    <fb>614.97</fb>
    <v>14</v>
  </rv>
  <rv s="5">
    <fb>172.8</fb>
    <v>14</v>
  </rv>
  <rv s="5">
    <fb>332.57</fb>
    <v>14</v>
  </rv>
  <rv s="5">
    <fb>32.299999999999997</fb>
    <v>14</v>
  </rv>
  <rv s="5">
    <fb>15.762</fb>
    <v>14</v>
  </rv>
  <rv s="5">
    <fb>145.07</fb>
    <v>14</v>
  </rv>
  <rv s="5">
    <fb>529.75</fb>
    <v>14</v>
  </rv>
  <rv s="5">
    <fb>3863.16</fb>
    <v>14</v>
  </rv>
  <rv s="5">
    <fb>44760</fb>
    <v>13</v>
  </rv>
  <rv s="5">
    <fb>109.03</fb>
    <v>14</v>
  </rv>
  <rv s="5">
    <fb>113.76</fb>
    <v>14</v>
  </rv>
  <rv s="5">
    <fb>637.38</fb>
    <v>14</v>
  </rv>
  <rv s="5">
    <fb>170.95</fb>
    <v>14</v>
  </rv>
  <rv s="5">
    <fb>331.01</fb>
    <v>14</v>
  </rv>
  <rv s="5">
    <fb>33.130000000000003</fb>
    <v>14</v>
  </rv>
  <rv s="5">
    <fb>16.100999999999999</fb>
    <v>14</v>
  </rv>
  <rv s="5">
    <fb>143.31</fb>
    <v>14</v>
  </rv>
  <rv s="5">
    <fb>519.37</fb>
    <v>14</v>
  </rv>
  <rv s="5">
    <fb>3830.85</fb>
    <v>14</v>
  </rv>
  <rv s="5">
    <fb>44761</fb>
    <v>13</v>
  </rv>
  <rv s="5">
    <fb>69.98</fb>
    <v>14</v>
  </rv>
  <rv s="5">
    <fb>177.23</fb>
    <v>14</v>
  </rv>
  <rv s="5">
    <fb>340.38</fb>
    <v>14</v>
  </rv>
  <rv s="5">
    <fb>78.930000000000007</fb>
    <v>14</v>
  </rv>
  <rv s="5">
    <fb>34.22</fb>
    <v>14</v>
  </rv>
  <rv s="5">
    <fb>16.992000000000001</fb>
    <v>14</v>
  </rv>
  <rv s="5">
    <fb>533.45000000000005</fb>
    <v>14</v>
  </rv>
  <rv s="5">
    <fb>3936.69</fb>
    <v>14</v>
  </rv>
  <rv s="5">
    <fb>44762</fb>
    <v>13</v>
  </rv>
  <rv s="5">
    <fb>113.9</fb>
    <v>14</v>
  </rv>
  <rv s="5">
    <fb>70.75</fb>
    <v>14</v>
  </rv>
  <rv s="5">
    <fb>650.19000000000005</fb>
    <v>14</v>
  </rv>
  <rv s="5">
    <fb>178.26</fb>
    <v>14</v>
  </rv>
  <rv s="5">
    <fb>341.27</fb>
    <v>14</v>
  </rv>
  <rv s="5">
    <fb>17.806999999999999</fb>
    <v>14</v>
  </rv>
  <rv s="5">
    <fb>141.55000000000001</fb>
    <v>14</v>
  </rv>
  <rv s="5">
    <fb>519.47</fb>
    <v>14</v>
  </rv>
  <rv s="5">
    <fb>3959.9</fb>
    <v>14</v>
  </rv>
  <rv s="5">
    <fb>44763</fb>
    <v>13</v>
  </rv>
  <rv s="5">
    <fb>114.34</fb>
    <v>14</v>
  </rv>
  <rv s="5">
    <fb>124.63</fb>
    <v>14</v>
  </rv>
  <rv s="5">
    <fb>71.819999999999993</fb>
    <v>14</v>
  </rv>
  <rv s="5">
    <fb>653.78</fb>
    <v>14</v>
  </rv>
  <rv s="5">
    <fb>180.03</fb>
    <v>14</v>
  </rv>
  <rv s="5">
    <fb>346.92</fb>
    <v>14</v>
  </rv>
  <rv s="5">
    <fb>33.630000000000003</fb>
    <v>14</v>
  </rv>
  <rv s="5">
    <fb>140.77000000000001</fb>
    <v>14</v>
  </rv>
  <rv s="5">
    <fb>522.46</fb>
    <v>14</v>
  </rv>
  <rv s="5">
    <fb>3998.95</fb>
    <v>14</v>
  </rv>
  <rv s="5">
    <fb>44764</fb>
    <v>13</v>
  </rv>
  <rv s="5">
    <fb>107.9</fb>
    <v>14</v>
  </rv>
  <rv s="5">
    <fb>122.42</fb>
    <v>14</v>
  </rv>
  <rv s="5">
    <fb>649.48</fb>
    <v>14</v>
  </rv>
  <rv s="5">
    <fb>181.47</fb>
    <v>14</v>
  </rv>
  <rv s="5">
    <fb>343.88</fb>
    <v>14</v>
  </rv>
  <rv s="5">
    <fb>17.318999999999999</fb>
    <v>14</v>
  </rv>
  <rv s="5">
    <fb>521.41</fb>
    <v>14</v>
  </rv>
  <rv s="5">
    <fb>3961.63</fb>
    <v>14</v>
  </rv>
  <rv s="5">
    <fb>44767</fb>
    <v>13</v>
  </rv>
  <rv s="5">
    <fb>107.51</fb>
    <v>14</v>
  </rv>
  <rv s="5">
    <fb>121.14</fb>
    <v>14</v>
  </rv>
  <rv s="5">
    <fb>69.86</fb>
    <v>14</v>
  </rv>
  <rv s="5">
    <fb>641.70000000000005</fb>
    <v>14</v>
  </rv>
  <rv s="5">
    <fb>181.26</fb>
    <v>14</v>
  </rv>
  <rv s="5">
    <fb>344.21</fb>
    <v>14</v>
  </rv>
  <rv s="5">
    <fb>80.98</fb>
    <v>14</v>
  </rv>
  <rv s="5">
    <fb>17.024000000000001</fb>
    <v>14</v>
  </rv>
  <rv s="5">
    <fb>529.47</fb>
    <v>14</v>
  </rv>
  <rv s="5">
    <fb>3966.84</fb>
    <v>14</v>
  </rv>
  <rv s="5">
    <fb>44768</fb>
    <v>13</v>
  </rv>
  <rv s="5">
    <fb>105.02</fb>
    <v>14</v>
  </rv>
  <rv s="5">
    <fb>114.81</fb>
    <v>14</v>
  </rv>
  <rv s="5">
    <fb>70.16</fb>
    <v>14</v>
  </rv>
  <rv s="5">
    <fb>652.21</fb>
    <v>14</v>
  </rv>
  <rv s="5">
    <fb>181.42</fb>
    <v>14</v>
  </rv>
  <rv s="5">
    <fb>79.91</fb>
    <v>14</v>
  </rv>
  <rv s="5">
    <fb>16.533000000000001</fb>
    <v>14</v>
  </rv>
  <rv s="5">
    <fb>144.27000000000001</fb>
    <v>14</v>
  </rv>
  <rv s="5">
    <fb>531.59</fb>
    <v>14</v>
  </rv>
  <rv s="5">
    <fb>3921.05</fb>
    <v>14</v>
  </rv>
  <rv s="5">
    <fb>44769</fb>
    <v>13</v>
  </rv>
  <rv s="5">
    <fb>113.06</fb>
    <v>14</v>
  </rv>
  <rv s="5">
    <fb>120.97</fb>
    <v>14</v>
  </rv>
  <rv s="5">
    <fb>72.36</fb>
    <v>14</v>
  </rv>
  <rv s="5">
    <fb>711.31</fb>
    <v>14</v>
  </rv>
  <rv s="5">
    <fb>183.66</fb>
    <v>14</v>
  </rv>
  <rv s="5">
    <fb>343.27</fb>
    <v>14</v>
  </rv>
  <rv s="5">
    <fb>534.61</fb>
    <v>14</v>
  </rv>
  <rv s="5">
    <fb>4023.61</fb>
    <v>14</v>
  </rv>
  <rv s="5">
    <fb>44770</fb>
    <v>13</v>
  </rv>
  <rv s="5">
    <fb>114.22</fb>
    <v>14</v>
  </rv>
  <rv s="5">
    <fb>122.28</fb>
    <v>14</v>
  </rv>
  <rv s="5">
    <fb>73.56</fb>
    <v>14</v>
  </rv>
  <rv s="5">
    <fb>703.74</fb>
    <v>14</v>
  </rv>
  <rv s="5">
    <fb>352.45</fb>
    <v>14</v>
  </rv>
  <rv s="5">
    <fb>84.54</fb>
    <v>14</v>
  </rv>
  <rv s="5">
    <fb>17.984000000000002</fb>
    <v>14</v>
  </rv>
  <rv s="5">
    <fb>148.06</fb>
    <v>14</v>
  </rv>
  <rv s="5">
    <fb>541.49</fb>
    <v>14</v>
  </rv>
  <rv s="5">
    <fb>4072.43</fb>
    <v>14</v>
  </rv>
  <rv s="5">
    <fb>44771</fb>
    <v>13</v>
  </rv>
  <rv s="5">
    <fb>134.94999999999999</fb>
    <v>14</v>
  </rv>
  <rv s="5">
    <fb>73.42</fb>
    <v>14</v>
  </rv>
  <rv s="5">
    <fb>192.46</fb>
    <v>14</v>
  </rv>
  <rv s="5">
    <fb>84.49</fb>
    <v>14</v>
  </rv>
  <rv s="5">
    <fb>37.03</fb>
    <v>14</v>
  </rv>
  <rv s="5">
    <fb>18.163</fb>
    <v>14</v>
  </rv>
  <rv s="5">
    <fb>138.91</fb>
    <v>14</v>
  </rv>
  <rv s="5">
    <fb>542.34</fb>
    <v>14</v>
  </rv>
  <rv s="5">
    <fb>4130.29</fb>
    <v>14</v>
  </rv>
  <rv s="5">
    <fb>44774</fb>
    <v>13</v>
  </rv>
  <rv s="5">
    <fb>114.86</fb>
    <v>14</v>
  </rv>
  <rv s="5">
    <fb>135.38999999999999</fb>
    <v>14</v>
  </rv>
  <rv s="5">
    <fb>191.99</fb>
    <v>14</v>
  </rv>
  <rv s="5">
    <fb>350.54</fb>
    <v>14</v>
  </rv>
  <rv s="5">
    <fb>85.31</fb>
    <v>14</v>
  </rv>
  <rv s="5">
    <fb>18.440999999999999</fb>
    <v>14</v>
  </rv>
  <rv s="5">
    <fb>142.9</fb>
    <v>14</v>
  </rv>
  <rv s="5">
    <fb>535.38</fb>
    <v>14</v>
  </rv>
  <rv s="5">
    <fb>4118.63</fb>
    <v>14</v>
  </rv>
  <rv s="5">
    <fb>44775</fb>
    <v>13</v>
  </rv>
  <rv s="5">
    <fb>115.13</fb>
    <v>14</v>
  </rv>
  <rv s="5">
    <fb>134.16</fb>
    <v>14</v>
  </rv>
  <rv s="5">
    <fb>71.790000000000006</fb>
    <v>14</v>
  </rv>
  <rv s="5">
    <fb>696.16</fb>
    <v>14</v>
  </rv>
  <rv s="5">
    <fb>189.12</fb>
    <v>14</v>
  </rv>
  <rv s="5">
    <fb>349.01</fb>
    <v>14</v>
  </rv>
  <rv s="5">
    <fb>85.67</fb>
    <v>14</v>
  </rv>
  <rv s="5">
    <fb>18.526</fb>
    <v>14</v>
  </rv>
  <rv s="5">
    <fb>535.46</fb>
    <v>14</v>
  </rv>
  <rv s="5">
    <fb>4091.19</fb>
    <v>14</v>
  </rv>
  <rv s="5">
    <fb>44776</fb>
    <v>13</v>
  </rv>
  <rv s="5">
    <fb>118.08</fb>
    <v>14</v>
  </rv>
  <rv s="5">
    <fb>139.52000000000001</fb>
    <v>14</v>
  </rv>
  <rv s="5">
    <fb>697</fb>
    <v>14</v>
  </rv>
  <rv s="5">
    <fb>354.13</fb>
    <v>14</v>
  </rv>
  <rv s="5">
    <fb>86.46</fb>
    <v>14</v>
  </rv>
  <rv s="5">
    <fb>35.54</fb>
    <v>14</v>
  </rv>
  <rv s="5">
    <fb>18.893000000000001</fb>
    <v>14</v>
  </rv>
  <rv s="5">
    <fb>540.65</fb>
    <v>14</v>
  </rv>
  <rv s="5">
    <fb>4155.17</fb>
    <v>14</v>
  </rv>
  <rv s="5">
    <fb>44777</fb>
    <v>13</v>
  </rv>
  <rv s="5">
    <fb>118.19</fb>
    <v>14</v>
  </rv>
  <rv s="5">
    <fb>142.57</fb>
    <v>14</v>
  </rv>
  <rv s="5">
    <fb>59.28</fb>
    <v>14</v>
  </rv>
  <rv s="5">
    <fb>697.51</fb>
    <v>14</v>
  </rv>
  <rv s="5">
    <fb>192.44</fb>
    <v>14</v>
  </rv>
  <rv s="5">
    <fb>356.07</fb>
    <v>14</v>
  </rv>
  <rv s="5">
    <fb>87.98</fb>
    <v>14</v>
  </rv>
  <rv s="5">
    <fb>33.950000000000003</fb>
    <v>14</v>
  </rv>
  <rv s="5">
    <fb>19.215</fb>
    <v>14</v>
  </rv>
  <rv s="5">
    <fb>144.65</fb>
    <v>14</v>
  </rv>
  <rv s="5">
    <fb>533.75</fb>
    <v>14</v>
  </rv>
  <rv s="5">
    <fb>4151.9399999999996</fb>
    <v>14</v>
  </rv>
  <rv s="5">
    <fb>44778</fb>
    <v>13</v>
  </rv>
  <rv s="5">
    <fb>56.36</fb>
    <v>14</v>
  </rv>
  <rv s="5">
    <fb>697.02</fb>
    <v>14</v>
  </rv>
  <rv s="5">
    <fb>192.27</fb>
    <v>14</v>
  </rv>
  <rv s="5">
    <fb>357.51</fb>
    <v>14</v>
  </rv>
  <rv s="5">
    <fb>34.659999999999997</fb>
    <v>14</v>
  </rv>
  <rv s="5">
    <fb>18.989000000000001</fb>
    <v>14</v>
  </rv>
  <rv s="5">
    <fb>144.72</fb>
    <v>14</v>
  </rv>
  <rv s="5">
    <fb>535.05999999999995</fb>
    <v>14</v>
  </rv>
  <rv s="5">
    <fb>4145.1899999999996</fb>
    <v>14</v>
  </rv>
  <rv s="5">
    <fb>44781</fb>
    <v>13</v>
  </rv>
  <rv s="5">
    <fb>117.3</fb>
    <v>14</v>
  </rv>
  <rv s="5">
    <fb>139.41</fb>
    <v>14</v>
  </rv>
  <rv s="5">
    <fb>56.98</fb>
    <v>14</v>
  </rv>
  <rv s="5">
    <fb>697.75</fb>
    <v>14</v>
  </rv>
  <rv s="5">
    <fb>193.97</fb>
    <v>14</v>
  </rv>
  <rv s="5">
    <fb>352.16</fb>
    <v>14</v>
  </rv>
  <rv s="5">
    <fb>87.52</fb>
    <v>14</v>
  </rv>
  <rv s="5">
    <fb>34.65</fb>
    <v>14</v>
  </rv>
  <rv s="5">
    <fb>17.792999999999999</fb>
    <v>14</v>
  </rv>
  <rv s="5">
    <fb>536.6</fb>
    <v>14</v>
  </rv>
  <rv s="5">
    <fb>4140.0600000000004</fb>
    <v>14</v>
  </rv>
  <rv s="5">
    <fb>44782</fb>
    <v>13</v>
  </rv>
  <rv s="5">
    <fb>137.83000000000001</fb>
    <v>14</v>
  </rv>
  <rv s="5">
    <fb>194.09</fb>
    <v>14</v>
  </rv>
  <rv s="5">
    <fb>346.54</fb>
    <v>14</v>
  </rv>
  <rv s="5">
    <fb>88.92</fb>
    <v>14</v>
  </rv>
  <rv s="5">
    <fb>17.085999999999999</fb>
    <v>14</v>
  </rv>
  <rv s="5">
    <fb>144.93</fb>
    <v>14</v>
  </rv>
  <rv s="5">
    <fb>537.26</fb>
    <v>14</v>
  </rv>
  <rv s="5">
    <fb>4122.47</fb>
    <v>14</v>
  </rv>
  <rv s="5">
    <fb>44783</fb>
    <v>13</v>
  </rv>
  <rv s="5">
    <fb>142.69</fb>
    <v>14</v>
  </rv>
  <rv s="5">
    <fb>57.48</fb>
    <v>14</v>
  </rv>
  <rv s="5">
    <fb>689.31</fb>
    <v>14</v>
  </rv>
  <rv s="5">
    <fb>197.23</fb>
    <v>14</v>
  </rv>
  <rv s="5">
    <fb>353.38</fb>
    <v>14</v>
  </rv>
  <rv s="5">
    <fb>89.78</fb>
    <v>14</v>
  </rv>
  <rv s="5">
    <fb>34.92</fb>
    <v>14</v>
  </rv>
  <rv s="5">
    <fb>18.097000000000001</fb>
    <v>14</v>
  </rv>
  <rv s="5">
    <fb>146.30000000000001</fb>
    <v>14</v>
  </rv>
  <rv s="5">
    <fb>537.72</fb>
    <v>14</v>
  </rv>
  <rv s="5">
    <fb>4210.24</fb>
    <v>14</v>
  </rv>
  <rv s="5">
    <fb>44784</fb>
    <v>13</v>
  </rv>
  <rv s="5">
    <fb>118.84</fb>
    <v>14</v>
  </rv>
  <rv s="5">
    <fb>704.56</fb>
    <v>14</v>
  </rv>
  <rv s="5">
    <fb>198.51</fb>
    <v>14</v>
  </rv>
  <rv s="5">
    <fb>350.58</fb>
    <v>14</v>
  </rv>
  <rv s="5">
    <fb>89.43</fb>
    <v>14</v>
  </rv>
  <rv s="5">
    <fb>17.942</fb>
    <v>14</v>
  </rv>
  <rv s="5">
    <fb>145.26</fb>
    <v>14</v>
  </rv>
  <rv s="5">
    <fb>532.86</fb>
    <v>14</v>
  </rv>
  <rv s="5">
    <fb>4207.2700000000004</fb>
    <v>14</v>
  </rv>
  <rv s="5">
    <fb>44785</fb>
    <v>13</v>
  </rv>
  <rv s="5">
    <fb>121.68</fb>
    <v>14</v>
  </rv>
  <rv s="5">
    <fb>59.47</fb>
    <v>14</v>
  </rv>
  <rv s="5">
    <fb>714.79</fb>
    <v>14</v>
  </rv>
  <rv s="5">
    <fb>200.87</fb>
    <v>14</v>
  </rv>
  <rv s="5">
    <fb>354.27</fb>
    <v>14</v>
  </rv>
  <rv s="5">
    <fb>37.14</fb>
    <v>14</v>
  </rv>
  <rv s="5">
    <fb>18.709</fb>
    <v>14</v>
  </rv>
  <rv s="5">
    <fb>146.66999999999999</fb>
    <v>14</v>
  </rv>
  <rv s="5">
    <fb>543.70000000000005</fb>
    <v>14</v>
  </rv>
  <rv s="5">
    <fb>4280.1499999999996</fb>
    <v>14</v>
  </rv>
  <rv s="5">
    <fb>44788</fb>
    <v>13</v>
  </rv>
  <rv s="5">
    <fb>122.08</fb>
    <v>14</v>
  </rv>
  <rv s="5">
    <fb>60.25</fb>
    <v>14</v>
  </rv>
  <rv s="5">
    <fb>712.04</fb>
    <v>14</v>
  </rv>
  <rv s="5">
    <fb>359.95</fb>
    <v>14</v>
  </rv>
  <rv s="5">
    <fb>19.032</fb>
    <v>14</v>
  </rv>
  <rv s="5">
    <fb>148.56</fb>
    <v>14</v>
  </rv>
  <rv s="5">
    <fb>544.64</fb>
    <v>14</v>
  </rv>
  <rv s="5">
    <fb>4297.1400000000003</fb>
    <v>14</v>
  </rv>
  <rv s="5">
    <fb>44789</fb>
    <v>13</v>
  </rv>
  <rv s="5">
    <fb>121.7</fb>
    <v>14</v>
  </rv>
  <rv s="5">
    <fb>144.78</fb>
    <v>14</v>
  </rv>
  <rv s="5">
    <fb>61.69</fb>
    <v>14</v>
  </rv>
  <rv s="5">
    <fb>706.9</fb>
    <v>14</v>
  </rv>
  <rv s="5">
    <fb>203.67</fb>
    <v>14</v>
  </rv>
  <rv s="5">
    <fb>359.25</fb>
    <v>14</v>
  </rv>
  <rv s="5">
    <fb>90.53</fb>
    <v>14</v>
  </rv>
  <rv s="5">
    <fb>18.879000000000001</fb>
    <v>14</v>
  </rv>
  <rv s="5">
    <fb>149.93</fb>
    <v>14</v>
  </rv>
  <rv s="5">
    <fb>546.12</fb>
    <v>14</v>
  </rv>
  <rv s="5">
    <fb>4305.2</fb>
    <v>14</v>
  </rv>
  <rv s="5">
    <fb>44790</fb>
    <v>13</v>
  </rv>
  <rv s="5">
    <fb>119.55</fb>
    <v>14</v>
  </rv>
  <rv s="5">
    <fb>142.1</fb>
    <v>14</v>
  </rv>
  <rv s="5">
    <fb>61.25</fb>
    <v>14</v>
  </rv>
  <rv s="5">
    <fb>701.42</fb>
    <v>14</v>
  </rv>
  <rv s="5">
    <fb>202.78</fb>
    <v>14</v>
  </rv>
  <rv s="5">
    <fb>355.33</fb>
    <v>14</v>
  </rv>
  <rv s="5">
    <fb>35.4</fb>
    <v>14</v>
  </rv>
  <rv s="5">
    <fb>18.335000000000001</fb>
    <v>14</v>
  </rv>
  <rv s="5">
    <fb>149.24</fb>
    <v>14</v>
  </rv>
  <rv s="5">
    <fb>545</fb>
    <v>14</v>
  </rv>
  <rv s="5">
    <fb>4274.04</fb>
    <v>14</v>
  </rv>
  <rv s="5">
    <fb>44791</fb>
    <v>13</v>
  </rv>
  <rv s="5">
    <fb>120.17</fb>
    <v>14</v>
  </rv>
  <rv s="5">
    <fb>61.71</fb>
    <v>14</v>
  </rv>
  <rv s="5">
    <fb>696.79</fb>
    <v>14</v>
  </rv>
  <rv s="5">
    <fb>203.72</fb>
    <v>14</v>
  </rv>
  <rv s="5">
    <fb>357.36</fb>
    <v>14</v>
  </rv>
  <rv s="5">
    <fb>18.773</fb>
    <v>14</v>
  </rv>
  <rv s="5">
    <fb>149.77000000000001</fb>
    <v>14</v>
  </rv>
  <rv s="5">
    <fb>545.22</fb>
    <v>14</v>
  </rv>
  <rv s="5">
    <fb>4283.74</fb>
    <v>14</v>
  </rv>
  <rv s="5">
    <fb>44792</fb>
    <v>13</v>
  </rv>
  <rv s="5">
    <fb>117.21</fb>
    <v>14</v>
  </rv>
  <rv s="5">
    <fb>138.22999999999999</fb>
    <v>14</v>
  </rv>
  <rv s="5">
    <fb>675.35</fb>
    <v>14</v>
  </rv>
  <rv s="5">
    <fb>201.56</fb>
    <v>14</v>
  </rv>
  <rv s="5">
    <fb>354.28</fb>
    <v>14</v>
  </rv>
  <rv s="5">
    <fb>37.119999999999997</fb>
    <v>14</v>
  </rv>
  <rv s="5">
    <fb>17.849</fb>
    <v>14</v>
  </rv>
  <rv s="5">
    <fb>149.72999999999999</fb>
    <v>14</v>
  </rv>
  <rv s="5">
    <fb>548.32000000000005</fb>
    <v>14</v>
  </rv>
  <rv s="5">
    <fb>4228.4799999999996</fb>
    <v>14</v>
  </rv>
  <rv s="5">
    <fb>44795</fb>
    <v>13</v>
  </rv>
  <rv s="5">
    <fb>114.24</fb>
    <v>14</v>
  </rv>
  <rv s="5">
    <fb>133.22</fb>
    <v>14</v>
  </rv>
  <rv s="5">
    <fb>667.78</fb>
    <v>14</v>
  </rv>
  <rv s="5">
    <fb>197.84</fb>
    <v>14</v>
  </rv>
  <rv s="5">
    <fb>345.51</fb>
    <v>14</v>
  </rv>
  <rv s="5">
    <fb>88.54</fb>
    <v>14</v>
  </rv>
  <rv s="5">
    <fb>17.033999999999999</fb>
    <v>14</v>
  </rv>
  <rv s="5">
    <fb>149.33000000000001</fb>
    <v>14</v>
  </rv>
  <rv s="5">
    <fb>544.57000000000005</fb>
    <v>14</v>
  </rv>
  <rv s="5">
    <fb>4137.99</fb>
    <v>14</v>
  </rv>
  <rv s="5">
    <fb>44796</fb>
    <v>13</v>
  </rv>
  <rv s="5">
    <fb>113.86</fb>
    <v>14</v>
  </rv>
  <rv s="5">
    <fb>133.62</fb>
    <v>14</v>
  </rv>
  <rv s="5">
    <fb>61.06</fb>
    <v>14</v>
  </rv>
  <rv s="5">
    <fb>671.47</fb>
    <v>14</v>
  </rv>
  <rv s="5">
    <fb>197.55</fb>
    <v>14</v>
  </rv>
  <rv s="5">
    <fb>340.89</fb>
    <v>14</v>
  </rv>
  <rv s="5">
    <fb>39.36</fb>
    <v>14</v>
  </rv>
  <rv s="5">
    <fb>17.181000000000001</fb>
    <v>14</v>
  </rv>
  <rv s="5">
    <fb>146.44999999999999</fb>
    <v>14</v>
  </rv>
  <rv s="5">
    <fb>535.79999999999995</fb>
    <v>14</v>
  </rv>
  <rv s="5">
    <fb>4128.7299999999996</fb>
    <v>14</v>
  </rv>
  <rv s="5">
    <fb>44797</fb>
    <v>13</v>
  </rv>
  <rv s="5">
    <fb>113.69</fb>
    <v>14</v>
  </rv>
  <rv s="5">
    <fb>61.3</fb>
    <v>14</v>
  </rv>
  <rv s="5">
    <fb>689.53</fb>
    <v>14</v>
  </rv>
  <rv s="5">
    <fb>339.71</fb>
    <v>14</v>
  </rv>
  <rv s="5">
    <fb>88.71</fb>
    <v>14</v>
  </rv>
  <rv s="5">
    <fb>17.222000000000001</fb>
    <v>14</v>
  </rv>
  <rv s="5">
    <fb>145.82</fb>
    <v>14</v>
  </rv>
  <rv s="5">
    <fb>536.46</fb>
    <v>14</v>
  </rv>
  <rv s="5">
    <fb>4140.7700000000004</fb>
    <v>14</v>
  </rv>
  <rv s="5">
    <fb>44798</fb>
    <v>13</v>
  </rv>
  <rv s="5">
    <fb>137.28</fb>
    <v>14</v>
  </rv>
  <rv s="5">
    <fb>670.74</fb>
    <v>14</v>
  </rv>
  <rv s="5">
    <fb>200.43</fb>
    <v>14</v>
  </rv>
  <rv s="5">
    <fb>344.67</fb>
    <v>14</v>
  </rv>
  <rv s="5">
    <fb>17.913</fb>
    <v>14</v>
  </rv>
  <rv s="5">
    <fb>541.57000000000005</fb>
    <v>14</v>
  </rv>
  <rv s="5">
    <fb>4199.12</fb>
    <v>14</v>
  </rv>
  <rv s="5">
    <fb>44799</fb>
    <v>13</v>
  </rv>
  <rv s="5">
    <fb>110.34</fb>
    <v>14</v>
  </rv>
  <rv s="5">
    <fb>130.75</fb>
    <v>14</v>
  </rv>
  <rv s="5">
    <fb>57.71</fb>
    <v>14</v>
  </rv>
  <rv s="5">
    <fb>659.33</fb>
    <v>14</v>
  </rv>
  <rv s="5">
    <fb>193.06</fb>
    <v>14</v>
  </rv>
  <rv s="5">
    <fb>331.96</fb>
    <v>14</v>
  </rv>
  <rv s="5">
    <fb>39.42</fb>
    <v>14</v>
  </rv>
  <rv s="5">
    <fb>16.260000000000002</fb>
    <v>14</v>
  </rv>
  <rv s="5">
    <fb>142.29</fb>
    <v>14</v>
  </rv>
  <rv s="5">
    <fb>529.25</fb>
    <v>14</v>
  </rv>
  <rv s="5">
    <fb>4057.66</fb>
    <v>14</v>
  </rv>
  <rv s="5">
    <fb>44802</fb>
    <v>13</v>
  </rv>
  <rv s="5">
    <fb>129.79</fb>
    <v>14</v>
  </rv>
  <rv s="5">
    <fb>56.8</fb>
    <v>14</v>
  </rv>
  <rv s="5">
    <fb>655.89</fb>
    <v>14</v>
  </rv>
  <rv s="5">
    <fb>192.42</fb>
    <v>14</v>
  </rv>
  <rv s="5">
    <fb>329.35</fb>
    <v>14</v>
  </rv>
  <rv s="5">
    <fb>87.02</fb>
    <v>14</v>
  </rv>
  <rv s="5">
    <fb>40.380000000000003</fb>
    <v>14</v>
  </rv>
  <rv s="5">
    <fb>15.801</fb>
    <v>14</v>
  </rv>
  <rv s="5">
    <fb>141.69</fb>
    <v>14</v>
  </rv>
  <rv s="5">
    <fb>529.77</fb>
    <v>14</v>
  </rv>
  <rv s="5">
    <fb>4030.61</fb>
    <v>14</v>
  </rv>
  <rv s="5">
    <fb>44803</fb>
    <v>13</v>
  </rv>
  <rv s="5">
    <fb>108.94</fb>
    <v>14</v>
  </rv>
  <rv s="5">
    <fb>128.72999999999999</fb>
    <v>14</v>
  </rv>
  <rv s="5">
    <fb>56.82</fb>
    <v>14</v>
  </rv>
  <rv s="5">
    <fb>657.37</fb>
    <v>14</v>
  </rv>
  <rv s="5">
    <fb>190.7</fb>
    <v>14</v>
  </rv>
  <rv s="5">
    <fb>327.81</fb>
    <v>14</v>
  </rv>
  <rv s="5">
    <fb>85.7</fb>
    <v>14</v>
  </rv>
  <rv s="5">
    <fb>38.68</fb>
    <v>14</v>
  </rv>
  <rv s="5">
    <fb>15.468</fb>
    <v>14</v>
  </rv>
  <rv s="5">
    <fb>140.18</fb>
    <v>14</v>
  </rv>
  <rv s="5">
    <fb>522.84</fb>
    <v>14</v>
  </rv>
  <rv s="5">
    <fb>3986.16</fb>
    <v>14</v>
  </rv>
  <rv s="5">
    <fb>44804</fb>
    <v>13</v>
  </rv>
  <rv s="5">
    <fb>108.22</fb>
    <v>14</v>
  </rv>
  <rv s="5">
    <fb>126.77</fb>
    <v>14</v>
  </rv>
  <rv s="5">
    <fb>55.81</fb>
    <v>14</v>
  </rv>
  <rv s="5">
    <fb>653.29999999999995</fb>
    <v>14</v>
  </rv>
  <rv s="5">
    <fb>189.35</fb>
    <v>14</v>
  </rv>
  <rv s="5">
    <fb>324.37</fb>
    <v>14</v>
  </rv>
  <rv s="5">
    <fb>15.093999999999999</fb>
    <v>14</v>
  </rv>
  <rv s="5">
    <fb>519.33000000000004</fb>
    <v>14</v>
  </rv>
  <rv s="5">
    <fb>3955</fb>
    <v>14</v>
  </rv>
  <rv s="5">
    <fb>44805</fb>
    <v>13</v>
  </rv>
  <rv s="5">
    <fb>109.74</fb>
    <v>14</v>
  </rv>
  <rv s="5">
    <fb>127.82</fb>
    <v>14</v>
  </rv>
  <rv s="5">
    <fb>55.62</fb>
    <v>14</v>
  </rv>
  <rv s="5">
    <fb>631.16</fb>
    <v>14</v>
  </rv>
  <rv s="5">
    <fb>190.73</fb>
    <v>14</v>
  </rv>
  <rv s="5">
    <fb>325.25</fb>
    <v>14</v>
  </rv>
  <rv s="5">
    <fb>13.936999999999999</fb>
    <v>14</v>
  </rv>
  <rv s="5">
    <fb>139.63999999999999</fb>
    <v>14</v>
  </rv>
  <rv s="5">
    <fb>524</fb>
    <v>14</v>
  </rv>
  <rv s="5">
    <fb>3966.85</fb>
    <v>14</v>
  </rv>
  <rv s="5">
    <fb>44806</fb>
    <v>13</v>
  </rv>
  <rv s="5">
    <fb>107.85</fb>
    <v>14</v>
  </rv>
  <rv s="5">
    <fb>127.51</fb>
    <v>14</v>
  </rv>
  <rv s="5">
    <fb>631.84</fb>
    <v>14</v>
  </rv>
  <rv s="5">
    <fb>186.89</fb>
    <v>14</v>
  </rv>
  <rv s="5">
    <fb>322.56</fb>
    <v>14</v>
  </rv>
  <rv s="5">
    <fb>85.11</fb>
    <v>14</v>
  </rv>
  <rv s="5">
    <fb>13.647</fb>
    <v>14</v>
  </rv>
  <rv s="5">
    <fb>137.16</fb>
    <v>14</v>
  </rv>
  <rv s="5">
    <fb>516.35</fb>
    <v>14</v>
  </rv>
  <rv s="5">
    <fb>3924.26</fb>
    <v>14</v>
  </rv>
  <rv s="5">
    <fb>44810</fb>
    <v>13</v>
  </rv>
  <rv s="5">
    <fb>106.81</fb>
    <v>14</v>
  </rv>
  <rv s="5">
    <fb>126.11</fb>
    <v>14</v>
  </rv>
  <rv s="5">
    <fb>55.54</fb>
    <v>14</v>
  </rv>
  <rv s="5">
    <fb>647.20000000000005</fb>
    <v>14</v>
  </rv>
  <rv s="5">
    <fb>185.6</fb>
    <v>14</v>
  </rv>
  <rv s="5">
    <fb>324.08</fb>
    <v>14</v>
  </rv>
  <rv s="5">
    <fb>37.36</fb>
    <v>14</v>
  </rv>
  <rv s="5">
    <fb>13.465</fb>
    <v>14</v>
  </rv>
  <rv s="5">
    <fb>517.67999999999995</fb>
    <v>14</v>
  </rv>
  <rv s="5">
    <fb>3908.19</fb>
    <v>14</v>
  </rv>
  <rv s="5">
    <fb>44811</fb>
    <v>13</v>
  </rv>
  <rv s="5">
    <fb>109.45</fb>
    <v>14</v>
  </rv>
  <rv s="5">
    <fb>129.47999999999999</fb>
    <v>14</v>
  </rv>
  <rv s="5">
    <fb>650.9</fb>
    <v>14</v>
  </rv>
  <rv s="5">
    <fb>189.09</fb>
    <v>14</v>
  </rv>
  <rv s="5">
    <fb>328.62</fb>
    <v>14</v>
  </rv>
  <rv s="5">
    <fb>13.714</fb>
    <v>14</v>
  </rv>
  <rv s="5">
    <fb>521.67999999999995</fb>
    <v>14</v>
  </rv>
  <rv s="5">
    <fb>3979.87</fb>
    <v>14</v>
  </rv>
  <rv s="5">
    <fb>44812</fb>
    <v>13</v>
  </rv>
  <rv s="5">
    <fb>108.38</fb>
    <v>14</v>
  </rv>
  <rv s="5">
    <fb>58.87</fb>
    <v>14</v>
  </rv>
  <rv s="5">
    <fb>657.89</fb>
    <v>14</v>
  </rv>
  <rv s="5">
    <fb>187.82</fb>
    <v>14</v>
  </rv>
  <rv s="5">
    <fb>330.07</fb>
    <v>14</v>
  </rv>
  <rv s="5">
    <fb>90.27</fb>
    <v>14</v>
  </rv>
  <rv s="5">
    <fb>13.99</fb>
    <v>14</v>
  </rv>
  <rv s="5">
    <fb>137.86000000000001</fb>
    <v>14</v>
  </rv>
  <rv s="5">
    <fb>527.51</fb>
    <v>14</v>
  </rv>
  <rv s="5">
    <fb>4006.18</fb>
    <v>14</v>
  </rv>
  <rv s="5">
    <fb>44813</fb>
    <v>13</v>
  </rv>
  <rv s="5">
    <fb>110.65</fb>
    <v>14</v>
  </rv>
  <rv s="5">
    <fb>133.27000000000001</fb>
    <v>14</v>
  </rv>
  <rv s="5">
    <fb>665.47</fb>
    <v>14</v>
  </rv>
  <rv s="5">
    <fb>191.69</fb>
    <v>14</v>
  </rv>
  <rv s="5">
    <fb>335.85</fb>
    <v>14</v>
  </rv>
  <rv s="5">
    <fb>89.9</fb>
    <v>14</v>
  </rv>
  <rv s="5">
    <fb>14.387</fb>
    <v>14</v>
  </rv>
  <rv s="5">
    <fb>139.96</fb>
    <v>14</v>
  </rv>
  <rv s="5">
    <fb>524.34</fb>
    <v>14</v>
  </rv>
  <rv s="5">
    <fb>4067.36</fb>
    <v>14</v>
  </rv>
  <rv s="5">
    <fb>44816</fb>
    <v>13</v>
  </rv>
  <rv s="5">
    <fb>110.86</fb>
    <v>14</v>
  </rv>
  <rv s="5">
    <fb>60.69</fb>
    <v>14</v>
  </rv>
  <rv s="5">
    <fb>636.27</fb>
    <v>14</v>
  </rv>
  <rv s="5">
    <fb>338.42</fb>
    <v>14</v>
  </rv>
  <rv s="5">
    <fb>14.505000000000001</fb>
    <v>14</v>
  </rv>
  <rv s="5">
    <fb>141.1</fb>
    <v>14</v>
  </rv>
  <rv s="5">
    <fb>531.25</fb>
    <v>14</v>
  </rv>
  <rv s="5">
    <fb>4110.41</fb>
    <v>14</v>
  </rv>
  <rv s="5">
    <fb>44817</fb>
    <v>13</v>
  </rv>
  <rv s="5">
    <fb>104.32</fb>
    <v>14</v>
  </rv>
  <rv s="5">
    <fb>126.82</fb>
    <v>14</v>
  </rv>
  <rv s="5">
    <fb>626.67999999999995</fb>
    <v>14</v>
  </rv>
  <rv s="5">
    <fb>184.98</fb>
    <v>14</v>
  </rv>
  <rv s="5">
    <fb>325.44</fb>
    <v>14</v>
  </rv>
  <rv s="5">
    <fb>88.86</fb>
    <v>14</v>
  </rv>
  <rv s="5">
    <fb>13.131</fb>
    <v>14</v>
  </rv>
  <rv s="5">
    <fb>513.96</fb>
    <v>14</v>
  </rv>
  <rv s="5">
    <fb>3932.69</fb>
    <v>14</v>
  </rv>
  <rv s="5">
    <fb>44818</fb>
    <v>13</v>
  </rv>
  <rv s="5">
    <fb>57.41</fb>
    <v>14</v>
  </rv>
  <rv s="5">
    <fb>616.32000000000005</fb>
    <v>14</v>
  </rv>
  <rv s="5">
    <fb>179.97</fb>
    <v>14</v>
  </rv>
  <rv s="5">
    <fb>325.85000000000002</fb>
    <v>14</v>
  </rv>
  <rv s="5">
    <fb>88.88</fb>
    <v>14</v>
  </rv>
  <rv s="5">
    <fb>40.24</fb>
    <v>14</v>
  </rv>
  <rv s="5">
    <fb>13.128</fb>
    <v>14</v>
  </rv>
  <rv s="5">
    <fb>509.77</fb>
    <v>14</v>
  </rv>
  <rv s="5">
    <fb>3946.01</fb>
    <v>14</v>
  </rv>
  <rv s="5">
    <fb>44819</fb>
    <v>13</v>
  </rv>
  <rv s="5">
    <fb>126.28</fb>
    <v>14</v>
  </rv>
  <rv s="5">
    <fb>57.66</fb>
    <v>14</v>
  </rv>
  <rv s="5">
    <fb>624.75</fb>
    <v>14</v>
  </rv>
  <rv s="5">
    <fb>176.86</fb>
    <v>14</v>
  </rv>
  <rv s="5">
    <fb>316.95999999999998</fb>
    <v>14</v>
  </rv>
  <rv s="5">
    <fb>86.01</fb>
    <v>14</v>
  </rv>
  <rv s="5">
    <fb>39.630000000000003</fb>
    <v>14</v>
  </rv>
  <rv s="5">
    <fb>12.929</fb>
    <v>14</v>
  </rv>
  <rv s="5">
    <fb>522.91</fb>
    <v>14</v>
  </rv>
  <rv s="5">
    <fb>3901.35</fb>
    <v>14</v>
  </rv>
  <rv s="5">
    <fb>44820</fb>
    <v>13</v>
  </rv>
  <rv s="5">
    <fb>102.8</fb>
    <v>14</v>
  </rv>
  <rv s="5">
    <fb>56.66</fb>
    <v>14</v>
  </rv>
  <rv s="5">
    <fb>625.96</fb>
    <v>14</v>
  </rv>
  <rv s="5">
    <fb>177.35</fb>
    <v>14</v>
  </rv>
  <rv s="5">
    <fb>315.13</fb>
    <v>14</v>
  </rv>
  <rv s="5">
    <fb>13.198</fb>
    <v>14</v>
  </rv>
  <rv s="5">
    <fb>138.28</fb>
    <v>14</v>
  </rv>
  <rv s="5">
    <fb>521.02</fb>
    <v>14</v>
  </rv>
  <rv s="5">
    <fb>3873.33</fb>
    <v>14</v>
  </rv>
  <rv s="5">
    <fb>44823</fb>
    <v>13</v>
  </rv>
  <rv s="5">
    <fb>103.07</fb>
    <v>14</v>
  </rv>
  <rv s="5">
    <fb>56.99</fb>
    <v>14</v>
  </rv>
  <rv s="5">
    <fb>616.5</fb>
    <v>14</v>
  </rv>
  <rv s="5">
    <fb>178.63</fb>
    <v>14</v>
  </rv>
  <rv s="5">
    <fb>314.02999999999997</fb>
    <v>14</v>
  </rv>
  <rv s="5">
    <fb>13.382</fb>
    <v>14</v>
  </rv>
  <rv s="5">
    <fb>523.54999999999995</fb>
    <v>14</v>
  </rv>
  <rv s="5">
    <fb>3899.89</fb>
    <v>14</v>
  </rv>
  <rv s="5">
    <fb>44824</fb>
    <v>13</v>
  </rv>
  <rv s="5">
    <fb>101.14</fb>
    <v>14</v>
  </rv>
  <rv s="5">
    <fb>122.19</fb>
    <v>14</v>
  </rv>
  <rv s="5">
    <fb>55.27</fb>
    <v>14</v>
  </rv>
  <rv s="5">
    <fb>620.20000000000005</fb>
    <v>14</v>
  </rv>
  <rv s="5">
    <fb>177.01</fb>
    <v>14</v>
  </rv>
  <rv s="5">
    <fb>313.27</fb>
    <v>14</v>
  </rv>
  <rv s="5">
    <fb>13.176</fb>
    <v>14</v>
  </rv>
  <rv s="5">
    <fb>137.5</fb>
    <v>14</v>
  </rv>
  <rv s="5">
    <fb>522.79999999999995</fb>
    <v>14</v>
  </rv>
  <rv s="5">
    <fb>3855.93</fb>
    <v>14</v>
  </rv>
  <rv s="5">
    <fb>44825</fb>
    <v>13</v>
  </rv>
  <rv s="5">
    <fb>118.54</fb>
    <v>14</v>
  </rv>
  <rv s="5">
    <fb>609.26</fb>
    <v>14</v>
  </rv>
  <rv s="5">
    <fb>174.3</fb>
    <v>14</v>
  </rv>
  <rv s="5">
    <fb>83.97</fb>
    <v>14</v>
  </rv>
  <rv s="5">
    <fb>13.260999999999999</fb>
    <v>14</v>
  </rv>
  <rv s="5">
    <fb>135.72999999999999</fb>
    <v>14</v>
  </rv>
  <rv s="5">
    <fb>512.08000000000004</fb>
    <v>14</v>
  </rv>
  <rv s="5">
    <fb>3789.93</fb>
    <v>14</v>
  </rv>
  <rv s="5">
    <fb>44826</fb>
    <v>13</v>
  </rv>
  <rv s="5">
    <fb>100.14</fb>
    <v>14</v>
  </rv>
  <rv s="5">
    <fb>117.31</fb>
    <v>14</v>
  </rv>
  <rv s="5">
    <fb>49.23</fb>
    <v>14</v>
  </rv>
  <rv s="5">
    <fb>593.13</fb>
    <v>14</v>
  </rv>
  <rv s="5">
    <fb>173.25</fb>
    <v>14</v>
  </rv>
  <rv s="5">
    <fb>83.54</fb>
    <v>14</v>
  </rv>
  <rv s="5">
    <fb>12.561</fb>
    <v>14</v>
  </rv>
  <rv s="5">
    <fb>136.21</fb>
    <v>14</v>
  </rv>
  <rv s="5">
    <fb>517.46</fb>
    <v>14</v>
  </rv>
  <rv s="5">
    <fb>3757.99</fb>
    <v>14</v>
  </rv>
  <rv s="5">
    <fb>44827</fb>
    <v>13</v>
  </rv>
  <rv s="5">
    <fb>98.74</fb>
    <v>14</v>
  </rv>
  <rv s="5">
    <fb>113.78</fb>
    <v>14</v>
  </rv>
  <rv s="5">
    <fb>49.14</fb>
    <v>14</v>
  </rv>
  <rv s="5">
    <fb>581.59</fb>
    <v>14</v>
  </rv>
  <rv s="5">
    <fb>293.58</fb>
    <v>14</v>
  </rv>
  <rv s="5">
    <fb>35</fb>
    <v>14</v>
  </rv>
  <rv s="5">
    <fb>12.516</fb>
    <v>14</v>
  </rv>
  <rv s="5">
    <fb>135.58000000000001</fb>
    <v>14</v>
  </rv>
  <rv s="5">
    <fb>513.61</fb>
    <v>14</v>
  </rv>
  <rv s="5">
    <fb>3693.23</fb>
    <v>14</v>
  </rv>
  <rv s="5">
    <fb>44830</fb>
    <v>13</v>
  </rv>
  <rv s="5">
    <fb>98.17</fb>
    <v>14</v>
  </rv>
  <rv s="5">
    <fb>115.15</fb>
    <v>14</v>
  </rv>
  <rv s="5">
    <fb>567.69000000000005</fb>
    <v>14</v>
  </rv>
  <rv s="5">
    <fb>170.07</fb>
    <v>14</v>
  </rv>
  <rv s="5">
    <fb>290.11</fb>
    <v>14</v>
  </rv>
  <rv s="5">
    <fb>81.150000000000006</fb>
    <v>14</v>
  </rv>
  <rv s="5">
    <fb>33.86</fb>
    <v>14</v>
  </rv>
  <rv s="5">
    <fb>12.228</fb>
    <v>14</v>
  </rv>
  <rv s="5">
    <fb>135.71</fb>
    <v>14</v>
  </rv>
  <rv s="5">
    <fb>508.36</fb>
    <v>14</v>
  </rv>
  <rv s="5">
    <fb>3655.04</fb>
    <v>14</v>
  </rv>
  <rv s="5">
    <fb>44831</fb>
    <v>13</v>
  </rv>
  <rv s="5">
    <fb>97.5</fb>
    <v>14</v>
  </rv>
  <rv s="5">
    <fb>114.41</fb>
    <v>14</v>
  </rv>
  <rv s="5">
    <fb>47.49</fb>
    <v>14</v>
  </rv>
  <rv s="5">
    <fb>576.5</fb>
    <v>14</v>
  </rv>
  <rv s="5">
    <fb>286.48</fb>
    <v>14</v>
  </rv>
  <rv s="5">
    <fb>81.08</fb>
    <v>14</v>
  </rv>
  <rv s="5">
    <fb>33.979999999999997</fb>
    <v>14</v>
  </rv>
  <rv s="5">
    <fb>12.413</fb>
    <v>14</v>
  </rv>
  <rv s="5">
    <fb>131.97999999999999</fb>
    <v>14</v>
  </rv>
  <rv s="5">
    <fb>3647.29</fb>
    <v>14</v>
  </rv>
  <rv s="5">
    <fb>44832</fb>
    <v>13</v>
  </rv>
  <rv s="5">
    <fb>118.01</fb>
    <v>14</v>
  </rv>
  <rv s="5">
    <fb>561.39</fb>
    <v>14</v>
  </rv>
  <rv s="5">
    <fb>173.83</fb>
    <v>14</v>
  </rv>
  <rv s="5">
    <fb>35.44</fb>
    <v>14</v>
  </rv>
  <rv s="5">
    <fb>12.736000000000001</fb>
    <v>14</v>
  </rv>
  <rv s="5">
    <fb>513.94000000000005</fb>
    <v>14</v>
  </rv>
  <rv s="5">
    <fb>3719.04</fb>
    <v>14</v>
  </rv>
  <rv s="5">
    <fb>44833</fb>
    <v>13</v>
  </rv>
  <rv s="5">
    <fb>97.42</fb>
    <v>14</v>
  </rv>
  <rv s="5">
    <fb>114.8</fb>
    <v>14</v>
  </rv>
  <rv s="5">
    <fb>568.84</fb>
    <v>14</v>
  </rv>
  <rv s="5">
    <fb>286.77</fb>
    <v>14</v>
  </rv>
  <rv s="5">
    <fb>12.22</fb>
    <v>14</v>
  </rv>
  <rv s="5">
    <fb>508.83</fb>
    <v>14</v>
  </rv>
  <rv s="5">
    <fb>3585.62</fb>
    <v>14</v>
  </rv>
  <rv s="5">
    <fb>44834</fb>
    <v>13</v>
  </rv>
  <rv s="5">
    <fb>95.65</fb>
    <v>14</v>
  </rv>
  <rv s="5">
    <fb>113</fb>
    <v>14</v>
  </rv>
  <rv s="5">
    <fb>48.32</fb>
    <v>14</v>
  </rv>
  <rv s="5">
    <fb>578.9</fb>
    <v>14</v>
  </rv>
  <rv s="5">
    <fb>166.97</fb>
    <v>14</v>
  </rv>
  <rv s="5">
    <fb>284.33999999999997</fb>
    <v>14</v>
  </rv>
  <rv s="5">
    <fb>78.41</fb>
    <v>14</v>
  </rv>
  <rv s="5">
    <fb>12.138999999999999</fb>
    <v>14</v>
  </rv>
  <rv s="5">
    <fb>126.25</fb>
    <v>14</v>
  </rv>
  <rv s="5">
    <fb>505.04</fb>
    <v>14</v>
  </rv>
  <rv s="5">
    <fb>3678.43</fb>
    <v>14</v>
  </rv>
  <rv s="5">
    <fb>44837</fb>
    <v>13</v>
  </rv>
  <rv s="5">
    <fb>98.64</fb>
    <v>14</v>
  </rv>
  <rv s="5">
    <fb>115.88</fb>
    <v>14</v>
  </rv>
  <rv s="5">
    <fb>49.37</fb>
    <v>14</v>
  </rv>
  <rv s="5">
    <fb>587.83000000000004</fb>
    <v>14</v>
  </rv>
  <rv s="5">
    <fb>173.04</fb>
    <v>14</v>
  </rv>
  <rv s="5">
    <fb>290.48</fb>
    <v>14</v>
  </rv>
  <rv s="5">
    <fb>38.299999999999997</fb>
    <v>14</v>
  </rv>
  <rv s="5">
    <fb>12.512</fb>
    <v>14</v>
  </rv>
  <rv s="5">
    <fb>128.51</fb>
    <v>14</v>
  </rv>
  <rv s="5">
    <fb>515.51</fb>
    <v>14</v>
  </rv>
  <rv s="5">
    <fb>3790.93</fb>
    <v>14</v>
  </rv>
  <rv s="5">
    <fb>44838</fb>
    <v>13</v>
  </rv>
  <rv s="5">
    <fb>101.64</fb>
    <v>14</v>
  </rv>
  <rv s="5">
    <fb>50.56</fb>
    <v>14</v>
  </rv>
  <rv s="5">
    <fb>578.41</fb>
    <v>14</v>
  </rv>
  <rv s="5">
    <fb>178.19</fb>
    <v>14</v>
  </rv>
  <rv s="5">
    <fb>301.27</fb>
    <v>14</v>
  </rv>
  <rv s="5">
    <fb>13.167</fb>
    <v>14</v>
  </rv>
  <rv s="5">
    <fb>130.1</fb>
    <v>14</v>
  </rv>
  <rv s="5">
    <fb>523.16999999999996</fb>
    <v>14</v>
  </rv>
  <rv s="5">
    <fb>3612.39</fb>
    <v>14</v>
  </rv>
  <rv s="5">
    <fb>44839</fb>
    <v>13</v>
  </rv>
  <rv s="5">
    <fb>101.43</fb>
    <v>14</v>
  </rv>
  <rv s="5">
    <fb>120.95</fb>
    <v>14</v>
  </rv>
  <rv s="5">
    <fb>50.94</fb>
    <v>14</v>
  </rv>
  <rv s="5">
    <fb>557.42999999999995</fb>
    <v>14</v>
  </rv>
  <rv s="5">
    <fb>177.81</fb>
    <v>14</v>
  </rv>
  <rv s="5">
    <fb>304.2</fb>
    <v>14</v>
  </rv>
  <rv s="5">
    <fb>81.77</fb>
    <v>14</v>
  </rv>
  <rv s="5">
    <fb>41.57</fb>
    <v>14</v>
  </rv>
  <rv s="5">
    <fb>13.209</fb>
    <v>14</v>
  </rv>
  <rv s="5">
    <fb>129.19999999999999</fb>
    <v>14</v>
  </rv>
  <rv s="5">
    <fb>527.07000000000005</fb>
    <v>14</v>
  </rv>
  <rv s="5">
    <fb>3588.84</fb>
    <v>14</v>
  </rv>
  <rv s="5">
    <fb>44840</fb>
    <v>13</v>
  </rv>
  <rv s="5">
    <fb>101.42</fb>
    <v>14</v>
  </rv>
  <rv s="5">
    <fb>120.3</fb>
    <v>14</v>
  </rv>
  <rv s="5">
    <fb>49.94</fb>
    <v>14</v>
  </rv>
  <rv s="5">
    <fb>541.86</fb>
    <v>14</v>
  </rv>
  <rv s="5">
    <fb>175.04</fb>
    <v>14</v>
  </rv>
  <rv s="5">
    <fb>299.23</fb>
    <v>14</v>
  </rv>
  <rv s="5">
    <fb>78.91</fb>
    <v>14</v>
  </rv>
  <rv s="5">
    <fb>13.13</fb>
    <v>14</v>
  </rv>
  <rv s="5">
    <fb>126.48</fb>
    <v>14</v>
  </rv>
  <rv s="5">
    <fb>519.13</fb>
    <v>14</v>
  </rv>
  <rv s="5">
    <fb>3577.03</fb>
    <v>14</v>
  </rv>
  <rv s="5">
    <fb>44841</fb>
    <v>13</v>
  </rv>
  <rv s="5">
    <fb>98.68</fb>
    <v>14</v>
  </rv>
  <rv s="5">
    <fb>114.56</fb>
    <v>14</v>
  </rv>
  <rv s="5">
    <fb>48.52</fb>
    <v>14</v>
  </rv>
  <rv s="5">
    <fb>527.92999999999995</fb>
    <v>14</v>
  </rv>
  <rv s="5">
    <fb>171.41</fb>
    <v>14</v>
  </rv>
  <rv s="5">
    <fb>294.97000000000003</fb>
    <v>14</v>
  </rv>
  <rv s="5">
    <fb>76.73</fb>
    <v>14</v>
  </rv>
  <rv s="5">
    <fb>12.076000000000001</fb>
    <v>14</v>
  </rv>
  <rv s="5">
    <fb>504.85</fb>
    <v>14</v>
  </rv>
  <rv s="5">
    <fb>3669.91</fb>
    <v>14</v>
  </rv>
  <rv s="5">
    <fb>44844</fb>
    <v>13</v>
  </rv>
  <rv s="5">
    <fb>97.86</fb>
    <v>14</v>
  </rv>
  <rv s="5">
    <fb>113.67</fb>
    <v>14</v>
  </rv>
  <rv s="5">
    <fb>49.33</fb>
    <v>14</v>
  </rv>
  <rv s="5">
    <fb>524.29999999999995</fb>
    <v>14</v>
  </rv>
  <rv s="5">
    <fb>171.89</fb>
    <v>14</v>
  </rv>
  <rv s="5">
    <fb>291.77999999999997</fb>
    <v>14</v>
  </rv>
  <rv s="5">
    <fb>76.739999999999995</fb>
    <v>14</v>
  </rv>
  <rv s="5">
    <fb>42.13</fb>
    <v>14</v>
  </rv>
  <rv s="5">
    <fb>11.67</fb>
    <v>14</v>
  </rv>
  <rv s="5">
    <fb>123.76</fb>
    <v>14</v>
  </rv>
  <rv s="5">
    <fb>498.86</fb>
    <v>14</v>
  </rv>
  <rv s="5">
    <fb>3583.07</fb>
    <v>14</v>
  </rv>
  <rv s="5">
    <fb>44845</fb>
    <v>13</v>
  </rv>
  <rv s="5">
    <fb>97.18</fb>
    <v>14</v>
  </rv>
  <rv s="5">
    <fb>112.21</fb>
    <v>14</v>
  </rv>
  <rv s="5">
    <fb>511.86</fb>
    <v>14</v>
  </rv>
  <rv s="5">
    <fb>173.62</fb>
    <v>14</v>
  </rv>
  <rv s="5">
    <fb>286.05</fb>
    <v>14</v>
  </rv>
  <rv s="5">
    <fb>76.03</fb>
    <v>14</v>
  </rv>
  <rv s="5">
    <fb>11.586</fb>
    <v>14</v>
  </rv>
  <rv s="5">
    <fb>3677.95</fb>
    <v>14</v>
  </rv>
  <rv s="5">
    <fb>44846</fb>
    <v>13</v>
  </rv>
  <rv s="5">
    <fb>97.56</fb>
    <v>14</v>
  </rv>
  <rv s="5">
    <fb>112.9</fb>
    <v>14</v>
  </rv>
  <rv s="5">
    <fb>48.94</fb>
    <v>14</v>
  </rv>
  <rv s="5">
    <fb>522.51</fb>
    <v>14</v>
  </rv>
  <rv s="5">
    <fb>172.79</fb>
    <v>14</v>
  </rv>
  <rv s="5">
    <fb>283.38</fb>
    <v>14</v>
  </rv>
  <rv s="5">
    <fb>11.5</fb>
    <v>14</v>
  </rv>
  <rv s="5">
    <fb>124.43</fb>
    <v>14</v>
  </rv>
  <rv s="5">
    <fb>499.96</fb>
    <v>14</v>
  </rv>
  <rv s="5">
    <fb>3719.98</fb>
    <v>14</v>
  </rv>
  <rv s="5">
    <fb>44847</fb>
    <v>13</v>
  </rv>
  <rv s="5">
    <fb>99.06</fb>
    <v>14</v>
  </rv>
  <rv s="5">
    <fb>112.53</fb>
    <v>14</v>
  </rv>
  <rv s="5">
    <fb>505.39</fb>
    <v>14</v>
  </rv>
  <rv s="5">
    <fb>177.55</fb>
    <v>14</v>
  </rv>
  <rv s="5">
    <fb>293.95999999999998</fb>
    <v>14</v>
  </rv>
  <rv s="5">
    <fb>73.09</fb>
    <v>14</v>
  </rv>
  <rv s="5">
    <fb>44.19</fb>
    <v>14</v>
  </rv>
  <rv s="5">
    <fb>11.96</fb>
    <v>14</v>
  </rv>
  <rv s="5">
    <fb>509.91</fb>
    <v>14</v>
  </rv>
  <rv s="5">
    <fb>3695.16</fb>
    <v>14</v>
  </rv>
  <rv s="5">
    <fb>44848</fb>
    <v>13</v>
  </rv>
  <rv s="5">
    <fb>106.9</fb>
    <v>14</v>
  </rv>
  <rv s="5">
    <fb>47.46</fb>
    <v>14</v>
  </rv>
  <rv s="5">
    <fb>526.91999999999996</fb>
    <v>14</v>
  </rv>
  <rv s="5">
    <fb>174.16</fb>
    <v>14</v>
  </rv>
  <rv s="5">
    <fb>11.227</fb>
    <v>14</v>
  </rv>
  <rv s="5">
    <fb>125.08</fb>
    <v>14</v>
  </rv>
  <rv s="5">
    <fb>513.13</fb>
    <v>14</v>
  </rv>
  <rv s="5">
    <fb>3665.78</fb>
    <v>14</v>
  </rv>
  <rv s="5">
    <fb>44851</fb>
    <v>13</v>
  </rv>
  <rv s="5">
    <fb>99.97</fb>
    <v>14</v>
  </rv>
  <rv s="5">
    <fb>113.79</fb>
    <v>14</v>
  </rv>
  <rv s="5">
    <fb>49.21</fb>
    <v>14</v>
  </rv>
  <rv s="5">
    <fb>540.21</fb>
    <v>14</v>
  </rv>
  <rv s="5">
    <fb>177.04</fb>
    <v>14</v>
  </rv>
  <rv s="5">
    <fb>295.04000000000002</fb>
    <v>14</v>
  </rv>
  <rv s="5">
    <fb>73.650000000000006</fb>
    <v>14</v>
  </rv>
  <rv s="5">
    <fb>42.86</fb>
    <v>14</v>
  </rv>
  <rv s="5">
    <fb>11.888</fb>
    <v>14</v>
  </rv>
  <rv s="5">
    <fb>521.88</fb>
    <v>14</v>
  </rv>
  <rv s="5">
    <fb>3752.75</fb>
    <v>14</v>
  </rv>
  <rv s="5">
    <fb>44852</fb>
    <v>13</v>
  </rv>
  <rv s="5">
    <fb>100.77</fb>
    <v>14</v>
  </rv>
  <rv s="5">
    <fb>116.36</fb>
    <v>14</v>
  </rv>
  <rv s="5">
    <fb>50.13</fb>
    <v>14</v>
  </rv>
  <rv s="5">
    <fb>525.52</fb>
    <v>14</v>
  </rv>
  <rv s="5">
    <fb>300.38</fb>
    <v>14</v>
  </rv>
  <rv s="5">
    <fb>11.967000000000001</fb>
    <v>14</v>
  </rv>
  <rv s="5">
    <fb>128.37</fb>
    <v>14</v>
  </rv>
  <rv s="5">
    <fb>522.21</fb>
    <v>14</v>
  </rv>
  <rv s="5">
    <fb>3797.34</fb>
    <v>14</v>
  </rv>
  <rv s="5">
    <fb>44853</fb>
    <v>13</v>
  </rv>
  <rv s="5">
    <fb>99.63</fb>
    <v>14</v>
  </rv>
  <rv s="5">
    <fb>115.07</fb>
    <v>14</v>
  </rv>
  <rv s="5">
    <fb>526.20000000000005</fb>
    <v>14</v>
  </rv>
  <rv s="5">
    <fb>179.28</fb>
    <v>14</v>
  </rv>
  <rv s="5">
    <fb>297.76</fb>
    <v>14</v>
  </rv>
  <rv s="5">
    <fb>73.64</fb>
    <v>14</v>
  </rv>
  <rv s="5">
    <fb>45.47</fb>
    <v>14</v>
  </rv>
  <rv s="5">
    <fb>12.051</fb>
    <v>14</v>
  </rv>
  <rv s="5">
    <fb>129.56</fb>
    <v>14</v>
  </rv>
  <rv s="5">
    <fb>520.32000000000005</fb>
    <v>14</v>
  </rv>
  <rv s="5">
    <fb>3859.11</fb>
    <v>14</v>
  </rv>
  <rv s="5">
    <fb>44854</fb>
    <v>13</v>
  </rv>
  <rv s="5">
    <fb>115.25</fb>
    <v>14</v>
  </rv>
  <rv s="5">
    <fb>48.51</fb>
    <v>14</v>
  </rv>
  <rv s="5">
    <fb>534.6</fb>
    <v>14</v>
  </rv>
  <rv s="5">
    <fb>177.64</fb>
    <v>14</v>
  </rv>
  <rv s="5">
    <fb>296.27999999999997</fb>
    <v>14</v>
  </rv>
  <rv s="5">
    <fb>70.64</fb>
    <v>14</v>
  </rv>
  <rv s="5">
    <fb>45.69</fb>
    <v>14</v>
  </rv>
  <rv s="5">
    <fb>12.194000000000001</fb>
    <v>14</v>
  </rv>
  <rv s="5">
    <fb>126.99</fb>
    <v>14</v>
  </rv>
  <rv s="5">
    <fb>520.88</fb>
    <v>14</v>
  </rv>
  <rv s="5">
    <fb>3830.6</fb>
    <v>14</v>
  </rv>
  <rv s="5">
    <fb>44855</fb>
    <v>13</v>
  </rv>
  <rv s="5">
    <fb>101.13</fb>
    <v>14</v>
  </rv>
  <rv s="5">
    <fb>49.2</fb>
    <v>14</v>
  </rv>
  <rv s="5">
    <fb>531.16</fb>
    <v>14</v>
  </rv>
  <rv s="5">
    <fb>182.81</fb>
    <v>14</v>
  </rv>
  <rv s="5">
    <fb>302.37</fb>
    <v>14</v>
  </rv>
  <rv s="5">
    <fb>71.650000000000006</fb>
    <v>14</v>
  </rv>
  <rv s="5">
    <fb>50.41</fb>
    <v>14</v>
  </rv>
  <rv s="5">
    <fb>12.465999999999999</fb>
    <v>14</v>
  </rv>
  <rv s="5">
    <fb>128.58000000000001</fb>
    <v>14</v>
  </rv>
  <rv s="5">
    <fb>533.73</fb>
    <v>14</v>
  </rv>
  <rv s="5">
    <fb>3807.3</fb>
    <v>14</v>
  </rv>
  <rv s="5">
    <fb>44858</fb>
    <v>13</v>
  </rv>
  <rv s="5">
    <fb>102.52</fb>
    <v>14</v>
  </rv>
  <rv s="5">
    <fb>119.82</fb>
    <v>14</v>
  </rv>
  <rv s="5">
    <fb>554.89</fb>
    <v>14</v>
  </rv>
  <rv s="5">
    <fb>305.60000000000002</fb>
    <v>14</v>
  </rv>
  <rv s="5">
    <fb>52.15</fb>
    <v>14</v>
  </rv>
  <rv s="5">
    <fb>12.599</fb>
    <v>14</v>
  </rv>
  <rv s="5">
    <fb>129.37</fb>
    <v>14</v>
  </rv>
  <rv s="5">
    <fb>541.6</fb>
    <v>14</v>
  </rv>
  <rv s="5">
    <fb>3901.06</fb>
    <v>14</v>
  </rv>
  <rv s="5">
    <fb>44859</fb>
    <v>13</v>
  </rv>
  <rv s="5">
    <fb>104.48</fb>
    <v>14</v>
  </rv>
  <rv s="5">
    <fb>48.42</fb>
    <v>14</v>
  </rv>
  <rv s="5">
    <fb>555.14</fb>
    <v>14</v>
  </rv>
  <rv s="5">
    <fb>189.65</fb>
    <v>14</v>
  </rv>
  <rv s="5">
    <fb>311.41000000000003</fb>
    <v>14</v>
  </rv>
  <rv s="5">
    <fb>75.86</fb>
    <v>14</v>
  </rv>
  <rv s="5">
    <fb>52.47</fb>
    <v>14</v>
  </rv>
  <rv s="5">
    <fb>130.86000000000001</fb>
    <v>14</v>
  </rv>
  <rv s="5">
    <fb>540.22</fb>
    <v>14</v>
  </rv>
  <rv s="5">
    <fb>3871.98</fb>
    <v>14</v>
  </rv>
  <rv s="5">
    <fb>44860</fb>
    <v>13</v>
  </rv>
  <rv s="5">
    <fb>94.93</fb>
    <v>14</v>
  </rv>
  <rv s="5">
    <fb>115.66</fb>
    <v>14</v>
  </rv>
  <rv s="5">
    <fb>554.92999999999995</fb>
    <v>14</v>
  </rv>
  <rv s="5">
    <fb>190.27</fb>
    <v>14</v>
  </rv>
  <rv s="5">
    <fb>319.51</fb>
    <v>14</v>
  </rv>
  <rv s="5">
    <fb>52.18</fb>
    <v>14</v>
  </rv>
  <rv s="5">
    <fb>12.896000000000001</fb>
    <v>14</v>
  </rv>
  <rv s="5">
    <fb>131.78</fb>
    <v>14</v>
  </rv>
  <rv s="5">
    <fb>543.16999999999996</fb>
    <v>14</v>
  </rv>
  <rv s="5">
    <fb>3856.1</fb>
    <v>14</v>
  </rv>
  <rv s="5">
    <fb>44861</fb>
    <v>13</v>
  </rv>
  <rv s="5">
    <fb>92.22</fb>
    <v>14</v>
  </rv>
  <rv s="5">
    <fb>47.77</fb>
    <v>14</v>
  </rv>
  <rv s="5">
    <fb>568.04999999999995</fb>
    <v>14</v>
  </rv>
  <rv s="5">
    <fb>196.49</fb>
    <v>14</v>
  </rv>
  <rv s="5">
    <fb>319.37</fb>
    <v>14</v>
  </rv>
  <rv s="5">
    <fb>75.47</fb>
    <v>14</v>
  </rv>
  <rv s="5">
    <fb>51.68</fb>
    <v>14</v>
  </rv>
  <rv s="5">
    <fb>131.88</fb>
    <v>14</v>
  </rv>
  <rv s="5">
    <fb>541.79999999999995</fb>
    <v>14</v>
  </rv>
  <rv s="5">
    <fb>3759.69</fb>
    <v>14</v>
  </rv>
  <rv s="5">
    <fb>44862</fb>
    <v>13</v>
  </rv>
  <rv s="5">
    <fb>96.29</fb>
    <v>14</v>
  </rv>
  <rv s="5">
    <fb>103.41</fb>
    <v>14</v>
  </rv>
  <rv s="5">
    <fb>49.6</fb>
    <v>14</v>
  </rv>
  <rv s="5">
    <fb>566.44000000000005</fb>
    <v>14</v>
  </rv>
  <rv s="5">
    <fb>204.93</fb>
    <v>14</v>
  </rv>
  <rv s="5">
    <fb>329.47</fb>
    <v>14</v>
  </rv>
  <rv s="5">
    <fb>50.45</fb>
    <v>14</v>
  </rv>
  <rv s="5">
    <fb>13.834</fb>
    <v>14</v>
  </rv>
  <rv s="5">
    <fb>135.22</fb>
    <v>14</v>
  </rv>
  <rv s="5">
    <fb>551.24</fb>
    <v>14</v>
  </rv>
  <rv s="5">
    <fb>3719.89</fb>
    <v>14</v>
  </rv>
  <rv s="5">
    <fb>44865</fb>
    <v>13</v>
  </rv>
  <rv s="5">
    <fb>554.51</fb>
    <v>14</v>
  </rv>
  <rv s="5">
    <fb>328.18</fb>
    <v>14</v>
  </rv>
  <rv s="5">
    <fb>77.5</fb>
    <v>14</v>
  </rv>
  <rv s="5">
    <fb>13.497</fb>
    <v>14</v>
  </rv>
  <rv s="5">
    <fb>134.66999999999999</fb>
    <v>14</v>
  </rv>
  <rv s="5">
    <fb>555.15</fb>
    <v>14</v>
  </rv>
  <rv s="5">
    <fb>3770.55</fb>
    <v>14</v>
  </rv>
  <rv s="5">
    <fb>44866</fb>
    <v>13</v>
  </rv>
  <rv s="5">
    <fb>96.79</fb>
    <v>14</v>
  </rv>
  <rv s="5">
    <fb>49.46</fb>
    <v>14</v>
  </rv>
  <rv s="5">
    <fb>549.25</fb>
    <v>14</v>
  </rv>
  <rv s="5">
    <fb>203.1</fb>
    <v>14</v>
  </rv>
  <rv s="5">
    <fb>77.709999999999994</fb>
    <v>14</v>
  </rv>
  <rv s="5">
    <fb>51.55</fb>
    <v>14</v>
  </rv>
  <rv s="5">
    <fb>13.542999999999999</fb>
    <v>14</v>
  </rv>
  <rv s="5">
    <fb>134.88</fb>
    <v>14</v>
  </rv>
  <rv s="5">
    <fb>547.30999999999995</fb>
    <v>14</v>
  </rv>
  <rv s="5">
    <fb>3806.8</fb>
    <v>14</v>
  </rv>
  <rv s="5">
    <fb>44867</fb>
    <v>13</v>
  </rv>
  <rv s="5">
    <fb>86.97</fb>
    <v>14</v>
  </rv>
  <rv s="5">
    <fb>47.85</fb>
    <v>14</v>
  </rv>
  <rv s="5">
    <fb>585.35</fb>
    <v>14</v>
  </rv>
  <rv s="5">
    <fb>200.47</fb>
    <v>14</v>
  </rv>
  <rv s="5">
    <fb>319.82</fb>
    <v>14</v>
  </rv>
  <rv s="5">
    <fb>51.14</fb>
    <v>14</v>
  </rv>
  <rv s="5">
    <fb>13.218999999999999</fb>
    <v>14</v>
  </rv>
  <rv s="5">
    <fb>132.94</fb>
    <v>14</v>
  </rv>
  <rv s="5">
    <fb>543.42999999999995</fb>
    <v>14</v>
  </rv>
  <rv s="5">
    <fb>3828.11</fb>
    <v>14</v>
  </rv>
  <rv s="5">
    <fb>44868</fb>
    <v>13</v>
  </rv>
  <rv s="5">
    <fb>83.43</fb>
    <v>14</v>
  </rv>
  <rv s="5">
    <fb>51.03</fb>
    <v>14</v>
  </rv>
  <rv s="5">
    <fb>611.09</fb>
    <v>14</v>
  </rv>
  <rv s="5">
    <fb>204.39</fb>
    <v>14</v>
  </rv>
  <rv s="5">
    <fb>309.17</fb>
    <v>14</v>
  </rv>
  <rv s="5">
    <fb>51.8</fb>
    <v>14</v>
  </rv>
  <rv s="5">
    <fb>13.420999999999999</fb>
    <v>14</v>
  </rv>
  <rv s="5">
    <fb>543.61</fb>
    <v>14</v>
  </rv>
  <rv s="5">
    <fb>3748.57</fb>
    <v>14</v>
  </rv>
  <rv s="5">
    <fb>44869</fb>
    <v>13</v>
  </rv>
  <rv s="5">
    <fb>50.85</fb>
    <v>14</v>
  </rv>
  <rv s="5">
    <fb>606.52</fb>
    <v>14</v>
  </rv>
  <rv s="5">
    <fb>207.85</fb>
    <v>14</v>
  </rv>
  <rv s="5">
    <fb>318.37</fb>
    <v>14</v>
  </rv>
  <rv s="5">
    <fb>53.1</fb>
    <v>14</v>
  </rv>
  <rv s="5">
    <fb>14.156000000000001</fb>
    <v>14</v>
  </rv>
  <rv s="5">
    <fb>134.44</fb>
    <v>14</v>
  </rv>
  <rv s="5">
    <fb>538.16999999999996</fb>
    <v>14</v>
  </rv>
  <rv s="5">
    <fb>3956.37</fb>
    <v>14</v>
  </rv>
  <rv s="5">
    <fb>44872</fb>
    <v>13</v>
  </rv>
  <rv s="5">
    <fb>88.49</fb>
    <v>14</v>
  </rv>
  <rv s="5">
    <fb>51.01</fb>
    <v>14</v>
  </rv>
  <rv s="5">
    <fb>596.25</fb>
    <v>14</v>
  </rv>
  <rv s="5">
    <fb>209.77</fb>
    <v>14</v>
  </rv>
  <rv s="5">
    <fb>325.13</fb>
    <v>14</v>
  </rv>
  <rv s="5">
    <fb>77.290000000000006</fb>
    <v>14</v>
  </rv>
  <rv s="5">
    <fb>54.81</fb>
    <v>14</v>
  </rv>
  <rv s="5">
    <fb>14.301</fb>
    <v>14</v>
  </rv>
  <rv s="5">
    <fb>545.02</fb>
    <v>14</v>
  </rv>
  <rv s="5">
    <fb>3992.93</fb>
    <v>14</v>
  </rv>
  <rv s="5">
    <fb>44873</fb>
    <v>13</v>
  </rv>
  <rv s="5">
    <fb>89.98</fb>
    <v>14</v>
  </rv>
  <rv s="5">
    <fb>50.54</fb>
    <v>14</v>
  </rv>
  <rv s="5">
    <fb>597.95000000000005</fb>
    <v>14</v>
  </rv>
  <rv s="5">
    <fb>211.36</fb>
    <v>14</v>
  </rv>
  <rv s="5">
    <fb>325.75</fb>
    <v>14</v>
  </rv>
  <rv s="5">
    <fb>54.69</fb>
    <v>14</v>
  </rv>
  <rv s="5">
    <fb>14.602</fb>
    <v>14</v>
  </rv>
  <rv s="5">
    <fb>553.04999999999995</fb>
    <v>14</v>
  </rv>
  <rv s="5">
    <fb>3957.25</fb>
    <v>14</v>
  </rv>
  <rv s="5">
    <fb>44874</fb>
    <v>13</v>
  </rv>
  <rv s="5">
    <fb>87.32</fb>
    <v>14</v>
  </rv>
  <rv s="5">
    <fb>86.14</fb>
    <v>14</v>
  </rv>
  <rv s="5">
    <fb>49.55</fb>
    <v>14</v>
  </rv>
  <rv s="5">
    <fb>648</fb>
    <v>14</v>
  </rv>
  <rv s="5">
    <fb>208.63</fb>
    <v>14</v>
  </rv>
  <rv s="5">
    <fb>315.64</fb>
    <v>14</v>
  </rv>
  <rv s="5">
    <fb>53.07</fb>
    <v>14</v>
  </rv>
  <rv s="5">
    <fb>13.776</fb>
    <v>14</v>
  </rv>
  <rv s="5">
    <fb>136.47999999999999</fb>
    <v>14</v>
  </rv>
  <rv s="5">
    <fb>540.66</fb>
    <v>14</v>
  </rv>
  <rv s="5">
    <fb>3991.73</fb>
    <v>14</v>
  </rv>
  <rv s="5">
    <fb>44875</fb>
    <v>13</v>
  </rv>
  <rv s="5">
    <fb>96.63</fb>
    <v>14</v>
  </rv>
  <rv s="5">
    <fb>53.5</fb>
    <v>14</v>
  </rv>
  <rv s="5">
    <fb>660.6</fb>
    <v>14</v>
  </rv>
  <rv s="5">
    <fb>214.8</fb>
    <v>14</v>
  </rv>
  <rv s="5">
    <fb>337.27</fb>
    <v>14</v>
  </rv>
  <rv s="5">
    <fb>544.16999999999996</fb>
    <v>14</v>
  </rv>
  <rv s="5">
    <fb>3958.79</fb>
    <v>14</v>
  </rv>
  <rv s="5">
    <fb>44876</fb>
    <v>13</v>
  </rv>
  <rv s="5">
    <fb>96.41</fb>
    <v>14</v>
  </rv>
  <rv s="5">
    <fb>100.79</fb>
    <v>14</v>
  </rv>
  <rv s="5">
    <fb>638.94000000000005</fb>
    <v>14</v>
  </rv>
  <rv s="5">
    <fb>212.73</fb>
    <v>14</v>
  </rv>
  <rv s="5">
    <fb>339.29</fb>
    <v>14</v>
  </rv>
  <rv s="5">
    <fb>83.31</fb>
    <v>14</v>
  </rv>
  <rv s="5">
    <fb>54.82</fb>
    <v>14</v>
  </rv>
  <rv s="5">
    <fb>16.327000000000002</fb>
    <v>14</v>
  </rv>
  <rv s="5">
    <fb>140.97</fb>
    <v>14</v>
  </rv>
  <rv s="5">
    <fb>522.08000000000004</fb>
    <v>14</v>
  </rv>
  <rv s="5">
    <fb>3946.56</fb>
    <v>14</v>
  </rv>
  <rv s="5">
    <fb>44879</fb>
    <v>13</v>
  </rv>
  <rv s="5">
    <fb>98.49</fb>
    <v>14</v>
  </rv>
  <rv s="5">
    <fb>657.23</fb>
    <v>14</v>
  </rv>
  <rv s="5">
    <fb>213</fb>
    <v>14</v>
  </rv>
  <rv s="5">
    <fb>339.37</fb>
    <v>14</v>
  </rv>
  <rv s="5">
    <fb>81.66</fb>
    <v>14</v>
  </rv>
  <rv s="5">
    <fb>54.07</fb>
    <v>14</v>
  </rv>
  <rv s="5">
    <fb>16.295000000000002</fb>
    <v>14</v>
  </rv>
  <rv s="5">
    <fb>140.97999999999999</fb>
    <v>14</v>
  </rv>
  <rv s="5">
    <fb>513.75</fb>
    <v>14</v>
  </rv>
  <rv s="5">
    <fb>3965.34</fb>
    <v>14</v>
  </rv>
  <rv s="5">
    <fb>44880</fb>
    <v>13</v>
  </rv>
  <rv s="5">
    <fb>98.94</fb>
    <v>14</v>
  </rv>
  <rv s="5">
    <fb>55.49</fb>
    <v>14</v>
  </rv>
  <rv s="5">
    <fb>647.89</fb>
    <v>14</v>
  </rv>
  <rv s="5">
    <fb>215.43</fb>
    <v>14</v>
  </rv>
  <rv s="5">
    <fb>343.51</fb>
    <v>14</v>
  </rv>
  <rv s="5">
    <fb>82.91</fb>
    <v>14</v>
  </rv>
  <rv s="5">
    <fb>16.666</fb>
    <v>14</v>
  </rv>
  <rv s="5">
    <fb>140.49</fb>
    <v>14</v>
  </rv>
  <rv s="5">
    <fb>503.01</fb>
    <v>14</v>
  </rv>
  <rv s="5">
    <fb>3949.94</fb>
    <v>14</v>
  </rv>
  <rv s="5">
    <fb>44881</fb>
    <v>13</v>
  </rv>
  <rv s="5">
    <fb>98.85</fb>
    <v>14</v>
  </rv>
  <rv s="5">
    <fb>97.12</fb>
    <v>14</v>
  </rv>
  <rv s="5">
    <fb>639.94000000000005</fb>
    <v>14</v>
  </rv>
  <rv s="5">
    <fb>342.76</fb>
    <v>14</v>
  </rv>
  <rv s="5">
    <fb>52.99</fb>
    <v>14</v>
  </rv>
  <rv s="5">
    <fb>15.91</fb>
    <v>14</v>
  </rv>
  <rv s="5">
    <fb>511.52</fb>
    <v>14</v>
  </rv>
  <rv s="5">
    <fb>4003.58</fb>
    <v>14</v>
  </rv>
  <rv s="5">
    <fb>44882</fb>
    <v>13</v>
  </rv>
  <rv s="5">
    <fb>98.36</fb>
    <v>14</v>
  </rv>
  <rv s="5">
    <fb>54.37</fb>
    <v>14</v>
  </rv>
  <rv s="5">
    <fb>647.41</fb>
    <v>14</v>
  </rv>
  <rv s="5">
    <fb>214.51</fb>
    <v>14</v>
  </rv>
  <rv s="5">
    <fb>52.83</fb>
    <v>14</v>
  </rv>
  <rv s="5">
    <fb>15.677</fb>
    <v>14</v>
  </rv>
  <rv s="5">
    <fb>140.87</fb>
    <v>14</v>
  </rv>
  <rv s="5">
    <fb>515.30999999999995</fb>
    <v>14</v>
  </rv>
  <rv s="5">
    <fb>4027.26</fb>
    <v>14</v>
  </rv>
  <rv s="5">
    <fb>44883</fb>
    <v>13</v>
  </rv>
  <rv s="5">
    <fb>97.43</fb>
    <v>14</v>
  </rv>
  <rv s="5">
    <fb>94.14</fb>
    <v>14</v>
  </rv>
  <rv s="5">
    <fb>654.89</fb>
    <v>14</v>
  </rv>
  <rv s="5">
    <fb>214.53</fb>
    <v>14</v>
  </rv>
  <rv s="5">
    <fb>343.69</fb>
    <v>14</v>
  </rv>
  <rv s="5">
    <fb>53.44</fb>
    <v>14</v>
  </rv>
  <rv s="5">
    <fb>15.409000000000001</fb>
    <v>14</v>
  </rv>
  <rv s="5">
    <fb>530</fb>
    <v>14</v>
  </rv>
  <rv s="5">
    <fb>4026.12</fb>
    <v>14</v>
  </rv>
  <rv s="5">
    <fb>44886</fb>
    <v>13</v>
  </rv>
  <rv s="5">
    <fb>95.6</fb>
    <v>14</v>
  </rv>
  <rv s="5">
    <fb>55.19</fb>
    <v>14</v>
  </rv>
  <rv s="5">
    <fb>656.07</fb>
    <v>14</v>
  </rv>
  <rv s="5">
    <fb>216.56</fb>
    <v>14</v>
  </rv>
  <rv s="5">
    <fb>338.25</fb>
    <v>14</v>
  </rv>
  <rv s="5">
    <fb>52.27</fb>
    <v>14</v>
  </rv>
  <rv s="5">
    <fb>15.317</fb>
    <v>14</v>
  </rv>
  <rv s="5">
    <fb>144.38</fb>
    <v>14</v>
  </rv>
  <rv s="5">
    <fb>517.19000000000005</fb>
    <v>14</v>
  </rv>
  <rv s="5">
    <fb>3963.94</fb>
    <v>14</v>
  </rv>
  <rv s="5">
    <fb>44887</fb>
    <v>13</v>
  </rv>
  <rv s="5">
    <fb>97.05</fb>
    <v>14</v>
  </rv>
  <rv s="5">
    <fb>93.2</fb>
    <v>14</v>
  </rv>
  <rv s="5">
    <fb>55.4</fb>
    <v>14</v>
  </rv>
  <rv s="5">
    <fb>671.77</fb>
    <v>14</v>
  </rv>
  <rv s="5">
    <fb>218.76</fb>
    <v>14</v>
  </rv>
  <rv s="5">
    <fb>344.96</fb>
    <v>14</v>
  </rv>
  <rv s="5">
    <fb>84.11</fb>
    <v>14</v>
  </rv>
  <rv s="5">
    <fb>53.64</fb>
    <v>14</v>
  </rv>
  <rv s="5">
    <fb>16.038</fb>
    <v>14</v>
  </rv>
  <rv s="5">
    <fb>145.62</fb>
    <v>14</v>
  </rv>
  <rv s="5">
    <fb>523.09</fb>
    <v>14</v>
  </rv>
  <rv s="5">
    <fb>3957.63</fb>
    <v>14</v>
  </rv>
  <rv s="5">
    <fb>44888</fb>
    <v>13</v>
  </rv>
  <rv s="5">
    <fb>94.13</fb>
    <v>14</v>
  </rv>
  <rv s="5">
    <fb>674.66</fb>
    <v>14</v>
  </rv>
  <rv s="5">
    <fb>348.64</fb>
    <v>14</v>
  </rv>
  <rv s="5">
    <fb>84.92</fb>
    <v>14</v>
  </rv>
  <rv s="5">
    <fb>51.42</fb>
    <v>14</v>
  </rv>
  <rv s="5">
    <fb>16.518999999999998</fb>
    <v>14</v>
  </rv>
  <rv s="5">
    <fb>529.71</fb>
    <v>14</v>
  </rv>
  <rv s="5">
    <fb>4080.11</fb>
    <v>14</v>
  </rv>
  <rv s="5">
    <fb>44890</fb>
    <v>13</v>
  </rv>
  <rv s="5">
    <fb>93.41</fb>
    <v>14</v>
  </rv>
  <rv s="5">
    <fb>56.17</fb>
    <v>14</v>
  </rv>
  <rv s="5">
    <fb>662.61</fb>
    <v>14</v>
  </rv>
  <rv s="5">
    <fb>351.29</fb>
    <v>14</v>
  </rv>
  <rv s="5">
    <fb>50.83</fb>
    <v>14</v>
  </rv>
  <rv s="5">
    <fb>16.27</fb>
    <v>14</v>
  </rv>
  <rv s="5">
    <fb>146.72</fb>
    <v>14</v>
  </rv>
  <rv s="5">
    <fb>537.62</fb>
    <v>14</v>
  </rv>
  <rv s="5">
    <fb>4076.57</fb>
    <v>14</v>
  </rv>
  <rv s="5">
    <fb>44893</fb>
    <v>13</v>
  </rv>
  <rv s="5">
    <fb>93.95</fb>
    <v>14</v>
  </rv>
  <rv s="5">
    <fb>55.18</fb>
    <v>14</v>
  </rv>
  <rv s="5">
    <fb>670.96</fb>
    <v>14</v>
  </rv>
  <rv s="5">
    <fb>215.77</fb>
    <v>14</v>
  </rv>
  <rv s="5">
    <fb>344.59</fb>
    <v>14</v>
  </rv>
  <rv s="5">
    <fb>83.73</fb>
    <v>14</v>
  </rv>
  <rv s="5">
    <fb>49.88</fb>
    <v>14</v>
  </rv>
  <rv s="5">
    <fb>15.827</fb>
    <v>14</v>
  </rv>
  <rv s="5">
    <fb>146.6</fb>
    <v>14</v>
  </rv>
  <rv s="5">
    <fb>532.27</fb>
    <v>14</v>
  </rv>
  <rv s="5">
    <fb>4071.7</fb>
    <v>14</v>
  </rv>
  <rv s="5">
    <fb>44894</fb>
    <v>13</v>
  </rv>
  <rv s="5">
    <fb>95.19</fb>
    <v>14</v>
  </rv>
  <rv s="5">
    <fb>690.65</fb>
    <v>14</v>
  </rv>
  <rv s="5">
    <fb>216.72</fb>
    <v>14</v>
  </rv>
  <rv s="5">
    <fb>343.13</fb>
    <v>14</v>
  </rv>
  <rv s="5">
    <fb>82.49</fb>
    <v>14</v>
  </rv>
  <rv s="5">
    <fb>51.05</fb>
    <v>14</v>
  </rv>
  <rv s="5">
    <fb>15.638999999999999</fb>
    <v>14</v>
  </rv>
  <rv s="5">
    <fb>528</fb>
    <v>14</v>
  </rv>
  <rv s="5">
    <fb>3998.84</fb>
    <v>14</v>
  </rv>
  <rv s="5">
    <fb>44895</fb>
    <v>13</v>
  </rv>
  <rv s="5">
    <fb>100.99</fb>
    <v>14</v>
  </rv>
  <rv s="5">
    <fb>96.54</fb>
    <v>14</v>
  </rv>
  <rv s="5">
    <fb>56.08</fb>
    <v>14</v>
  </rv>
  <rv s="5">
    <fb>219.55</fb>
    <v>14</v>
  </rv>
  <rv s="5">
    <fb>356.4</fb>
    <v>14</v>
  </rv>
  <rv s="5">
    <fb>16.922999999999998</fb>
    <v>14</v>
  </rv>
  <rv s="5">
    <fb>547.76</fb>
    <v>14</v>
  </rv>
  <rv s="5">
    <fb>3941.26</fb>
    <v>14</v>
  </rv>
  <rv s="5">
    <fb>44896</fb>
    <v>13</v>
  </rv>
  <rv s="5">
    <fb>55.85</fb>
    <v>14</v>
  </rv>
  <rv s="5">
    <fb>691.47</fb>
    <v>14</v>
  </rv>
  <rv s="5">
    <fb>217.39</fb>
    <v>14</v>
  </rv>
  <rv s="5">
    <fb>360.8</fb>
    <v>14</v>
  </rv>
  <rv s="5">
    <fb>84.83</fb>
    <v>14</v>
  </rv>
  <rv s="5">
    <fb>51.76</fb>
    <v>14</v>
  </rv>
  <rv s="5">
    <fb>17.135000000000002</fb>
    <v>14</v>
  </rv>
  <rv s="5">
    <fb>149.25</fb>
    <v>14</v>
  </rv>
  <rv s="5">
    <fb>536.91</fb>
    <v>14</v>
  </rv>
  <rv s="5">
    <fb>3933.92</fb>
    <v>14</v>
  </rv>
  <rv s="5">
    <fb>44897</fb>
    <v>13</v>
  </rv>
  <rv s="5">
    <fb>100.44</fb>
    <v>14</v>
  </rv>
  <rv s="5">
    <fb>684.27</fb>
    <v>14</v>
  </rv>
  <rv s="5">
    <fb>219.08</fb>
    <v>14</v>
  </rv>
  <rv s="5">
    <fb>360.06</fb>
    <v>14</v>
  </rv>
  <rv s="5">
    <fb>52.79</fb>
    <v>14</v>
  </rv>
  <rv s="5">
    <fb>16.876000000000001</fb>
    <v>14</v>
  </rv>
  <rv s="5">
    <fb>150.61000000000001</fb>
    <v>14</v>
  </rv>
  <rv s="5">
    <fb>536.16</fb>
    <v>14</v>
  </rv>
  <rv s="5">
    <fb>3963.51</fb>
    <v>14</v>
  </rv>
  <rv s="5">
    <fb>44900</fb>
    <v>13</v>
  </rv>
  <rv s="5">
    <fb>99.48</fb>
    <v>14</v>
  </rv>
  <rv s="5">
    <fb>54.35</fb>
    <v>14</v>
  </rv>
  <rv s="5">
    <fb>686.87</fb>
    <v>14</v>
  </rv>
  <rv s="5">
    <fb>215.6</fb>
    <v>14</v>
  </rv>
  <rv s="5">
    <fb>356.09</fb>
    <v>14</v>
  </rv>
  <rv s="5">
    <fb>85.15</fb>
    <v>14</v>
  </rv>
  <rv s="5">
    <fb>51.38</fb>
    <v>14</v>
  </rv>
  <rv s="5">
    <fb>149.09</fb>
    <v>14</v>
  </rv>
  <rv s="5">
    <fb>535.04</fb>
    <v>14</v>
  </rv>
  <rv s="5">
    <fb>3934.38</fb>
    <v>14</v>
  </rv>
  <rv s="5">
    <fb>44901</fb>
    <v>13</v>
  </rv>
  <rv s="5">
    <fb>96.98</fb>
    <v>14</v>
  </rv>
  <rv s="5">
    <fb>54.8</fb>
    <v>14</v>
  </rv>
  <rv s="5">
    <fb>685.12</fb>
    <v>14</v>
  </rv>
  <rv s="5">
    <fb>213.19</fb>
    <v>14</v>
  </rv>
  <rv s="5">
    <fb>347.53</fb>
    <v>14</v>
  </rv>
  <rv s="5">
    <fb>85.18</fb>
    <v>14</v>
  </rv>
  <rv s="5">
    <fb>50.88</fb>
    <v>14</v>
  </rv>
  <rv s="5">
    <fb>15.987</fb>
    <v>14</v>
  </rv>
  <rv s="5">
    <fb>149.28</fb>
    <v>14</v>
  </rv>
  <rv s="5">
    <fb>539.32000000000005</fb>
    <v>14</v>
  </rv>
  <rv s="5">
    <fb>3990.56</fb>
    <v>14</v>
  </rv>
  <rv s="5">
    <fb>44902</fb>
    <v>13</v>
  </rv>
  <rv s="5">
    <fb>94.94</fb>
    <v>14</v>
  </rv>
  <rv s="5">
    <fb>52.49</fb>
    <v>14</v>
  </rv>
  <rv s="5">
    <fb>683.34</fb>
    <v>14</v>
  </rv>
  <rv s="5">
    <fb>49.8</fb>
    <v>14</v>
  </rv>
  <rv s="5">
    <fb>150.24</fb>
    <v>14</v>
  </rv>
  <rv s="5">
    <fb>542.91</fb>
    <v>14</v>
  </rv>
  <rv s="5">
    <fb>4019.65</fb>
    <v>14</v>
  </rv>
  <rv s="5">
    <fb>44903</fb>
    <v>13</v>
  </rv>
  <rv s="5">
    <fb>93.71</fb>
    <v>14</v>
  </rv>
  <rv s="5">
    <fb>90.35</fb>
    <v>14</v>
  </rv>
  <rv s="5">
    <fb>53.89</fb>
    <v>14</v>
  </rv>
  <rv s="5">
    <fb>675.8</fb>
    <v>14</v>
  </rv>
  <rv s="5">
    <fb>213.35</fb>
    <v>14</v>
  </rv>
  <rv s="5">
    <fb>351.17</fb>
    <v>14</v>
  </rv>
  <rv s="5">
    <fb>85.76</fb>
    <v>14</v>
  </rv>
  <rv s="5">
    <fb>49.92</fb>
    <v>14</v>
  </rv>
  <rv s="5">
    <fb>17.169</fb>
    <v>14</v>
  </rv>
  <rv s="5">
    <fb>151.32</fb>
    <v>14</v>
  </rv>
  <rv s="5">
    <fb>547.91999999999996</fb>
    <v>14</v>
  </rv>
  <rv s="5">
    <fb>3995.32</fb>
    <v>14</v>
  </rv>
  <rv s="5">
    <fb>44904</fb>
    <v>13</v>
  </rv>
  <rv s="5">
    <fb>92.83</fb>
    <v>14</v>
  </rv>
  <rv s="5">
    <fb>89.09</fb>
    <v>14</v>
  </rv>
  <rv s="5">
    <fb>53.56</fb>
    <v>14</v>
  </rv>
  <rv s="5">
    <fb>680.37</fb>
    <v>14</v>
  </rv>
  <rv s="5">
    <fb>211.63</fb>
    <v>14</v>
  </rv>
  <rv s="5">
    <fb>348.83</fb>
    <v>14</v>
  </rv>
  <rv s="5">
    <fb>84.51</fb>
    <v>14</v>
  </rv>
  <rv s="5">
    <fb>17.001000000000001</fb>
    <v>14</v>
  </rv>
  <rv s="5">
    <fb>150.91999999999999</fb>
    <v>14</v>
  </rv>
  <rv s="5">
    <fb>539.20000000000005</fb>
    <v>14</v>
  </rv>
  <rv s="5">
    <fb>3895.75</fb>
    <v>14</v>
  </rv>
  <rv s="5">
    <fb>44907</fb>
    <v>13</v>
  </rv>
  <rv s="5">
    <fb>707.01</fb>
    <v>14</v>
  </rv>
  <rv s="5">
    <fb>214.5</fb>
    <v>14</v>
  </rv>
  <rv s="5">
    <fb>358.17</fb>
    <v>14</v>
  </rv>
  <rv s="5">
    <fb>17.535</fb>
    <v>14</v>
  </rv>
  <rv s="5">
    <fb>152.47</fb>
    <v>14</v>
  </rv>
  <rv s="5">
    <fb>545.86</fb>
    <v>14</v>
  </rv>
  <rv s="5">
    <fb>3852.36</fb>
    <v>14</v>
  </rv>
  <rv s="5">
    <fb>44908</fb>
    <v>13</v>
  </rv>
  <rv s="5">
    <fb>95.63</fb>
    <v>14</v>
  </rv>
  <rv s="5">
    <fb>53.82</fb>
    <v>14</v>
  </rv>
  <rv s="5">
    <fb>703.43</fb>
    <v>14</v>
  </rv>
  <rv s="5">
    <fb>214.96</fb>
    <v>14</v>
  </rv>
  <rv s="5">
    <fb>357.15</fb>
    <v>14</v>
  </rv>
  <rv s="5">
    <fb>18.071999999999999</fb>
    <v>14</v>
  </rv>
  <rv s="5">
    <fb>152.24</fb>
    <v>14</v>
  </rv>
  <rv s="5">
    <fb>538.22</fb>
    <v>14</v>
  </rv>
  <rv s="5">
    <fb>3817.66</fb>
    <v>14</v>
  </rv>
  <rv s="5">
    <fb>44909</fb>
    <v>13</v>
  </rv>
  <rv s="5">
    <fb>95.07</fb>
    <v>14</v>
  </rv>
  <rv s="5">
    <fb>54.46</fb>
    <v>14</v>
  </rv>
  <rv s="5">
    <fb>691.36</fb>
    <v>14</v>
  </rv>
  <rv s="5">
    <fb>214.72</fb>
    <v>14</v>
  </rv>
  <rv s="5">
    <fb>50.43</fb>
    <v>14</v>
  </rv>
  <rv s="5">
    <fb>17.673999999999999</fb>
    <v>14</v>
  </rv>
  <rv s="5">
    <fb>538.36</fb>
    <v>14</v>
  </rv>
  <rv s="5">
    <fb>3821.62</fb>
    <v>14</v>
  </rv>
  <rv s="5">
    <fb>44910</fb>
    <v>13</v>
  </rv>
  <rv s="5">
    <fb>51.65</fb>
    <v>14</v>
  </rv>
  <rv s="5">
    <fb>667.84</fb>
    <v>14</v>
  </rv>
  <rv s="5">
    <fb>208.97</fb>
    <v>14</v>
  </rv>
  <rv s="5">
    <fb>346.25</fb>
    <v>14</v>
  </rv>
  <rv s="5">
    <fb>85.81</fb>
    <v>14</v>
  </rv>
  <rv s="5">
    <fb>50.11</fb>
    <v>14</v>
  </rv>
  <rv s="5">
    <fb>16.952000000000002</fb>
    <v>14</v>
  </rv>
  <rv s="5">
    <fb>151.11000000000001</fb>
    <v>14</v>
  </rv>
  <rv s="5">
    <fb>527.67999999999995</fb>
    <v>14</v>
  </rv>
  <rv s="5">
    <fb>3878.44</fb>
    <v>14</v>
  </rv>
  <rv s="5">
    <fb>44911</fb>
    <v>13</v>
  </rv>
  <rv s="5">
    <fb>658.19</fb>
    <v>14</v>
  </rv>
  <rv s="5">
    <fb>209.74</fb>
    <v>14</v>
  </rv>
  <rv s="5">
    <fb>49.38</fb>
    <v>14</v>
  </rv>
  <rv s="5">
    <fb>16.571000000000002</fb>
    <v>14</v>
  </rv>
  <rv s="5">
    <fb>150.44</fb>
    <v>14</v>
  </rv>
  <rv s="5">
    <fb>523.70000000000005</fb>
    <v>14</v>
  </rv>
  <rv s="5">
    <fb>3822.39</fb>
    <v>14</v>
  </rv>
  <rv s="5">
    <fb>44914</fb>
    <v>13</v>
  </rv>
  <rv s="5">
    <fb>50.61</fb>
    <v>14</v>
  </rv>
  <rv s="5">
    <fb>652.15</fb>
    <v>14</v>
  </rv>
  <rv s="5">
    <fb>341.26</fb>
    <v>14</v>
  </rv>
  <rv s="5">
    <fb>49.83</fb>
    <v>14</v>
  </rv>
  <rv s="5">
    <fb>16.254000000000001</fb>
    <v>14</v>
  </rv>
  <rv s="5">
    <fb>150.4</fb>
    <v>14</v>
  </rv>
  <rv s="5">
    <fb>523.6</fb>
    <v>14</v>
  </rv>
  <rv s="5">
    <fb>3844.82</fb>
    <v>14</v>
  </rv>
  <rv s="5">
    <fb>44915</fb>
    <v>13</v>
  </rv>
  <rv s="5">
    <fb>89.02</fb>
    <v>14</v>
  </rv>
  <rv s="5">
    <fb>85.19</fb>
    <v>14</v>
  </rv>
  <rv s="5">
    <fb>50.63</fb>
    <v>14</v>
  </rv>
  <rv s="5">
    <fb>665.95</fb>
    <v>14</v>
  </rv>
  <rv s="5">
    <fb>211.49</fb>
    <v>14</v>
  </rv>
  <rv s="5">
    <fb>342.95</fb>
    <v>14</v>
  </rv>
  <rv s="5">
    <fb>16.085000000000001</fb>
    <v>14</v>
  </rv>
  <rv s="5">
    <fb>150.46</fb>
    <v>14</v>
  </rv>
  <rv s="5">
    <fb>520.21</fb>
    <v>14</v>
  </rv>
  <rv s="5">
    <fb>3829.25</fb>
    <v>14</v>
  </rv>
  <rv s="5">
    <fb>44916</fb>
    <v>13</v>
  </rv>
  <rv s="5">
    <fb>89.58</fb>
    <v>14</v>
  </rv>
  <rv s="5">
    <fb>655.08000000000004</fb>
    <v>14</v>
  </rv>
  <rv s="5">
    <fb>215.1</fb>
    <v>14</v>
  </rv>
  <rv s="5">
    <fb>345.69</fb>
    <v>14</v>
  </rv>
  <rv s="5">
    <fb>84.65</fb>
    <v>14</v>
  </rv>
  <rv s="5">
    <fb>53.31</fb>
    <v>14</v>
  </rv>
  <rv s="5">
    <fb>16.501000000000001</fb>
    <v>14</v>
  </rv>
  <rv s="5">
    <fb>151.84</fb>
    <v>14</v>
  </rv>
  <rv s="5">
    <fb>527.54</fb>
    <v>14</v>
  </rv>
  <rv s="5">
    <fb>3783.22</fb>
    <v>14</v>
  </rv>
  <rv s="5">
    <fb>44917</fb>
    <v>13</v>
  </rv>
  <rv s="5">
    <fb>83.79</fb>
    <v>14</v>
  </rv>
  <rv s="5">
    <fb>51.15</fb>
    <v>14</v>
  </rv>
  <rv s="5">
    <fb>657.68</fb>
    <v>14</v>
  </rv>
  <rv s="5">
    <fb>212.31</fb>
    <v>14</v>
  </rv>
  <rv s="5">
    <fb>341.52</fb>
    <v>14</v>
  </rv>
  <rv s="5">
    <fb>83.34</fb>
    <v>14</v>
  </rv>
  <rv s="5">
    <fb>51.39</fb>
    <v>14</v>
  </rv>
  <rv s="5">
    <fb>15.339</fb>
    <v>14</v>
  </rv>
  <rv s="5">
    <fb>152.19</fb>
    <v>14</v>
  </rv>
  <rv s="5">
    <fb>527.09</fb>
    <v>14</v>
  </rv>
  <rv s="5">
    <fb>3849.28</fb>
    <v>14</v>
  </rv>
  <rv s="5">
    <fb>44918</fb>
    <v>13</v>
  </rv>
  <rv s="5">
    <fb>85.25</fb>
    <v>14</v>
  </rv>
  <rv s="5">
    <fb>51.63</fb>
    <v>14</v>
  </rv>
  <rv s="5">
    <fb>654.58000000000004</fb>
    <v>14</v>
  </rv>
  <rv s="5">
    <fb>213.87</fb>
    <v>14</v>
  </rv>
  <rv s="5">
    <fb>343.6</fb>
    <v>14</v>
  </rv>
  <rv s="5">
    <fb>84.17</fb>
    <v>14</v>
  </rv>
  <rv s="5">
    <fb>15.206</fb>
    <v>14</v>
  </rv>
  <rv s="5">
    <fb>152.62</fb>
    <v>14</v>
  </rv>
  <rv s="5">
    <fb>531.30999999999995</fb>
    <v>14</v>
  </rv>
  <rv s="5">
    <fb>3839.5</fb>
    <v>14</v>
  </rv>
  <rv s="5">
    <fb>44922</fb>
    <v>13</v>
  </rv>
  <rv s="5">
    <fb>87.39</fb>
    <v>14</v>
  </rv>
  <rv s="5">
    <fb>83.04</fb>
    <v>14</v>
  </rv>
  <rv s="5">
    <fb>51.79</fb>
    <v>14</v>
  </rv>
  <rv s="5">
    <fb>652.54</fb>
    <v>14</v>
  </rv>
  <rv s="5">
    <fb>214.89</fb>
    <v>14</v>
  </rv>
  <rv s="5">
    <fb>346.16</fb>
    <v>14</v>
  </rv>
  <rv s="5">
    <fb>14.121</fb>
    <v>14</v>
  </rv>
  <rv s="5">
    <fb>153.94999999999999</fb>
    <v>14</v>
  </rv>
  <rv s="5">
    <fb>531.99</fb>
    <v>14</v>
  </rv>
  <rv s="5">
    <fb>44923</fb>
    <v>13</v>
  </rv>
  <rv s="5">
    <fb>86.02</fb>
    <v>14</v>
  </rv>
  <rv s="5">
    <fb>50.58</fb>
    <v>14</v>
  </rv>
  <rv s="5">
    <fb>665.37</fb>
    <v>14</v>
  </rv>
  <rv s="5">
    <fb>212.19</fb>
    <v>14</v>
  </rv>
  <rv s="5">
    <fb>341.95</fb>
    <v>14</v>
  </rv>
  <rv s="5">
    <fb>83.16</fb>
    <v>14</v>
  </rv>
  <rv s="5">
    <fb>14.036</fb>
    <v>14</v>
  </rv>
  <rv s="5">
    <fb>151.96</fb>
    <v>14</v>
  </rv>
  <rv s="5">
    <fb>528.45000000000005</fb>
    <v>14</v>
  </rv>
  <rv s="5">
    <fb>44924</fb>
    <v>13</v>
  </rv>
  <rv s="5">
    <fb>51.62</fb>
    <v>14</v>
  </rv>
  <rv s="5">
    <fb>655.03</fb>
    <v>14</v>
  </rv>
  <rv s="5">
    <fb>214.75</fb>
    <v>14</v>
  </rv>
  <rv s="5">
    <fb>348.21</fb>
    <v>14</v>
  </rv>
  <rv s="5">
    <fb>84.08</fb>
    <v>14</v>
  </rv>
  <rv s="5">
    <fb>52.91</fb>
    <v>14</v>
  </rv>
  <rv s="5">
    <fb>14.603</fb>
    <v>14</v>
  </rv>
  <rv s="5">
    <fb>152.59</fb>
    <v>14</v>
  </rv>
  <rv s="5">
    <fb>529.88</fb>
    <v>14</v>
  </rv>
  <rv s="5">
    <fb>44925</fb>
    <v>13</v>
  </rv>
  <rv s="5">
    <fb>214.3</fb>
    <v>14</v>
  </rv>
  <rv s="5">
    <fb>347.73</fb>
    <v>14</v>
  </rv>
  <rv s="5">
    <fb>53.46</fb>
    <v>14</v>
  </rv>
  <rv s="5">
    <fb>14.614000000000001</fb>
    <v>14</v>
  </rv>
  <rv s="5">
    <fb>151.56</fb>
    <v>14</v>
  </rv>
  <rv s="5">
    <fb>530.17999999999995</fb>
    <v>14</v>
  </rv>
  <rv s="0">
    <v>https://www.bing.com/financeapi/forcetrigger?t=a33knm&amp;q=10+Y+TSY+YLD+NDX&amp;form=skydnc</v>
    <v>Learn more on Bing</v>
  </rv>
  <rv s="4">
    <v>en-AU</v>
    <v>a33knm</v>
    <v>268435456</v>
    <v>1</v>
    <v>Powered by Refinitiv</v>
    <v>9</v>
    <v>10 Y TSY YLD NDX</v>
    <v>10</v>
    <v>11</v>
    <v>Finance</v>
    <v>12</v>
    <v>48.09</v>
    <v>36.03</v>
    <v>-0.59</v>
    <v>-1.3252E-2</v>
    <v>US</v>
    <v>44.42</v>
    <v>Index</v>
    <v>17756</v>
    <v>43.81</v>
    <v>10 Y TSY YLD NDX</v>
    <v>44.03</v>
    <v>44.52</v>
    <v>43.93</v>
    <v>TNX</v>
    <v>10 Y TSY YLD NDX</v>
  </rv>
  <rv s="2">
    <v>17757</v>
  </rv>
  <rv s="0">
    <v>https://www.bing.com/financeapi/forcetrigger?t=a21mim&amp;q=XNAS%3aQQQ&amp;form=skydnc</v>
    <v>Learn more on Bing</v>
  </rv>
  <rv s="6">
    <v>en-AU</v>
    <v>a21mim</v>
    <v>268435456</v>
    <v>1</v>
    <v>Powered by Refinitiv</v>
    <v>15</v>
    <v>Invesco QQQ Trust 1 (XNAS:QQQ)</v>
    <v>10</v>
    <v>16</v>
    <v>Finance</v>
    <v>17</v>
    <v>574.77</v>
    <v>402.39</v>
    <v>1.0338000000000001</v>
    <v>5.31</v>
    <v>2.454E-3</v>
    <v>9.3279999999999995E-3</v>
    <v>1.4100999999999999</v>
    <v>USD</v>
    <v>Nasdaq Stock Market</v>
    <v>XNAS</v>
    <v>2E-3</v>
    <v>574.77</v>
    <v>ETF</v>
    <v>45877.999998378909</v>
    <v>17759</v>
    <v>570.15</v>
    <v>360630307885.59003</v>
    <v>Invesco QQQ Trust 1</v>
    <v>570.45000000000005</v>
    <v>569.24</v>
    <v>574.54999999999995</v>
    <v>575.96010000000001</v>
    <v>QQQ</v>
    <v>Invesco QQQ Trust 1 (XNAS:QQQ)</v>
    <v>35255472</v>
    <v>43251843</v>
  </rv>
  <rv s="2">
    <v>17760</v>
  </rv>
  <rv s="5">
    <fb>42005</fb>
    <v>13</v>
  </rv>
  <rv s="5">
    <fb>26.877500000000001</fb>
    <v>14</v>
  </rv>
  <rv s="5">
    <fb>17.726500000000001</fb>
    <v>14</v>
  </rv>
  <rv s="5">
    <fb>31.664999999999999</fb>
    <v>14</v>
  </rv>
  <rv s="5">
    <fb>210.64699999999999</fb>
    <v>14</v>
  </rv>
  <rv s="5">
    <fb>93.067099999999996</fb>
    <v>14</v>
  </rv>
  <rv s="5">
    <fb>0.48010000000000003</fb>
    <v>14</v>
  </rv>
  <rv s="5">
    <fb>106.25</fb>
    <v>14</v>
  </rv>
  <rv s="5">
    <fb>1994.99</fb>
    <v>14</v>
  </rv>
  <rv s="5">
    <fb>16.75</fb>
    <v>14</v>
  </rv>
  <rv s="5">
    <fb>101.1</fb>
    <v>14</v>
  </rv>
  <rv s="5">
    <fb>42036</fb>
    <v>13</v>
  </rv>
  <rv s="5">
    <fb>28.131499999999999</fb>
    <v>14</v>
  </rv>
  <rv s="5">
    <fb>19.007999999999999</fb>
    <v>14</v>
  </rv>
  <rv s="5">
    <fb>35.854999999999997</fb>
    <v>14</v>
  </rv>
  <rv s="5">
    <fb>217.75239999999999</fb>
    <v>14</v>
  </rv>
  <rv s="5">
    <fb>97.846100000000007</fb>
    <v>14</v>
  </rv>
  <rv s="5">
    <fb>90.13</fb>
    <v>14</v>
  </rv>
  <rv s="5">
    <fb>25.864999999999998</fb>
    <v>14</v>
  </rv>
  <rv s="5">
    <fb>84.16</fb>
    <v>14</v>
  </rv>
  <rv s="5">
    <fb>0.55149999999999999</fb>
    <v>14</v>
  </rv>
  <rv s="5">
    <fb>85.13</fb>
    <v>14</v>
  </rv>
  <rv s="5">
    <fb>113.63</fb>
    <v>14</v>
  </rv>
  <rv s="5">
    <fb>2104.5</fb>
    <v>14</v>
  </rv>
  <rv s="5">
    <fb>20.02</fb>
    <v>14</v>
  </rv>
  <rv s="5">
    <fb>42064</fb>
    <v>13</v>
  </rv>
  <rv s="5">
    <fb>27.734999999999999</fb>
    <v>14</v>
  </rv>
  <rv s="5">
    <fb>18.605</fb>
    <v>14</v>
  </rv>
  <rv s="5">
    <fb>35.32</fb>
    <v>14</v>
  </rv>
  <rv s="5">
    <fb>226.1788</fb>
    <v>14</v>
  </rv>
  <rv s="5">
    <fb>99.302700000000002</fb>
    <v>14</v>
  </rv>
  <rv s="5">
    <fb>86.39</fb>
    <v>14</v>
  </rv>
  <rv s="5">
    <fb>26.012499999999999</fb>
    <v>14</v>
  </rv>
  <rv s="5">
    <fb>0.52310000000000001</fb>
    <v>14</v>
  </rv>
  <rv s="5">
    <fb>81.94</fb>
    <v>14</v>
  </rv>
  <rv s="5">
    <fb>118.29</fb>
    <v>14</v>
  </rv>
  <rv s="5">
    <fb>2067.89</fb>
    <v>14</v>
  </rv>
  <rv s="5">
    <fb>19.34</fb>
    <v>14</v>
  </rv>
  <rv s="5">
    <fb>42095</fb>
    <v>13</v>
  </rv>
  <rv s="5">
    <fb>27.438500000000001</fb>
    <v>14</v>
  </rv>
  <rv s="5">
    <fb>21.088999999999999</fb>
    <v>14</v>
  </rv>
  <rv s="5">
    <fb>248.5976</fb>
    <v>14</v>
  </rv>
  <rv s="5">
    <fb>96.075400000000002</fb>
    <v>14</v>
  </rv>
  <rv s="5">
    <fb>25.232500000000002</fb>
    <v>14</v>
  </rv>
  <rv s="5">
    <fb>94.61</fb>
    <v>14</v>
  </rv>
  <rv s="5">
    <fb>0.55489999999999995</fb>
    <v>14</v>
  </rv>
  <rv s="5">
    <fb>79.510000000000005</fb>
    <v>14</v>
  </rv>
  <rv s="5">
    <fb>111.4</fb>
    <v>14</v>
  </rv>
  <rv s="5">
    <fb>2085.5100000000002</fb>
    <v>14</v>
  </rv>
  <rv s="5">
    <fb>107.63</fb>
    <v>14</v>
  </rv>
  <rv s="5">
    <fb>42125</fb>
    <v>13</v>
  </rv>
  <rv s="5">
    <fb>27.265999999999998</fb>
    <v>14</v>
  </rv>
  <rv s="5">
    <fb>21.461500000000001</fb>
    <v>14</v>
  </rv>
  <rv s="5">
    <fb>35.494999999999997</fb>
    <v>14</v>
  </rv>
  <rv s="5">
    <fb>260.38979999999998</fb>
    <v>14</v>
  </rv>
  <rv s="5">
    <fb>99.197900000000004</fb>
    <v>14</v>
  </rv>
  <rv s="5">
    <fb>25.585000000000001</fb>
    <v>14</v>
  </rv>
  <rv s="5">
    <fb>0.55330000000000001</fb>
    <v>14</v>
  </rv>
  <rv s="5">
    <fb>78.39</fb>
    <v>14</v>
  </rv>
  <rv s="5">
    <fb>120.21</fb>
    <v>14</v>
  </rv>
  <rv s="5">
    <fb>2107.39</fb>
    <v>14</v>
  </rv>
  <rv s="5">
    <fb>20.95</fb>
    <v>14</v>
  </rv>
  <rv s="5">
    <fb>110.05</fb>
    <v>14</v>
  </rv>
  <rv s="5">
    <fb>42156</fb>
    <v>13</v>
  </rv>
  <rv s="5">
    <fb>27.001999999999999</fb>
    <v>14</v>
  </rv>
  <rv s="5">
    <fb>21.704499999999999</fb>
    <v>14</v>
  </rv>
  <rv s="5">
    <fb>35.075000000000003</fb>
    <v>14</v>
  </rv>
  <rv s="5">
    <fb>246.72290000000001</fb>
    <v>14</v>
  </rv>
  <rv s="5">
    <fb>97.075000000000003</fb>
    <v>14</v>
  </rv>
  <rv s="5">
    <fb>93.48</fb>
    <v>14</v>
  </rv>
  <rv s="5">
    <fb>24.5075</fb>
    <v>14</v>
  </rv>
  <rv s="5">
    <fb>0.50280000000000002</fb>
    <v>14</v>
  </rv>
  <rv s="5">
    <fb>122</fb>
    <v>14</v>
  </rv>
  <rv s="5">
    <fb>2063.11</fb>
    <v>14</v>
  </rv>
  <rv s="5">
    <fb>23.35</fb>
    <v>14</v>
  </rv>
  <rv s="5">
    <fb>107.07</fb>
    <v>14</v>
  </rv>
  <rv s="5">
    <fb>42186</fb>
    <v>13</v>
  </rv>
  <rv s="5">
    <fb>26.807500000000001</fb>
    <v>14</v>
  </rv>
  <rv s="5">
    <fb>33.92</fb>
    <v>14</v>
  </rv>
  <rv s="5">
    <fb>270.91919999999999</fb>
    <v>14</v>
  </rv>
  <rv s="5">
    <fb>100.00709999999999</fb>
    <v>14</v>
  </rv>
  <rv s="5">
    <fb>97.4</fb>
    <v>14</v>
  </rv>
  <rv s="5">
    <fb>26.3</fb>
    <v>14</v>
  </rv>
  <rv s="5">
    <fb>0.49880000000000002</fb>
    <v>14</v>
  </rv>
  <rv s="5">
    <fb>2103.84</fb>
    <v>14</v>
  </rv>
  <rv s="5">
    <fb>22.05</fb>
    <v>14</v>
  </rv>
  <rv s="5">
    <fb>111.95</fb>
    <v>14</v>
  </rv>
  <rv s="5">
    <fb>42217</fb>
    <v>13</v>
  </rv>
  <rv s="5">
    <fb>32.390999999999998</fb>
    <v>14</v>
  </rv>
  <rv s="5">
    <fb>25.644500000000001</fb>
    <v>14</v>
  </rv>
  <rv s="5">
    <fb>32.954999999999998</fb>
    <v>14</v>
  </rv>
  <rv s="5">
    <fb>262.04109999999997</fb>
    <v>14</v>
  </rv>
  <rv s="5">
    <fb>94.504599999999996</fb>
    <v>14</v>
  </rv>
  <rv s="5">
    <fb>92.37</fb>
    <v>14</v>
  </rv>
  <rv s="5">
    <fb>24.602499999999999</fb>
    <v>14</v>
  </rv>
  <rv s="5">
    <fb>77.37</fb>
    <v>14</v>
  </rv>
  <rv s="5">
    <fb>0.56200000000000006</fb>
    <v>14</v>
  </rv>
  <rv s="5">
    <fb>70.67</fb>
    <v>14</v>
  </rv>
  <rv s="5">
    <fb>1972.18</fb>
    <v>14</v>
  </rv>
  <rv s="5">
    <fb>22</fb>
    <v>14</v>
  </rv>
  <rv s="5">
    <fb>104.31</fb>
    <v>14</v>
  </rv>
  <rv s="5">
    <fb>42248</fb>
    <v>13</v>
  </rv>
  <rv s="5">
    <fb>31.918500000000002</fb>
    <v>14</v>
  </rv>
  <rv s="5">
    <fb>25.5945</fb>
    <v>14</v>
  </rv>
  <rv s="5">
    <fb>31.1</fb>
    <v>14</v>
  </rv>
  <rv s="5">
    <fb>265.56709999999998</fb>
    <v>14</v>
  </rv>
  <rv s="5">
    <fb>90.144499999999994</fb>
    <v>14</v>
  </rv>
  <rv s="5">
    <fb>90.12</fb>
    <v>14</v>
  </rv>
  <rv s="5">
    <fb>24.387499999999999</fb>
    <v>14</v>
  </rv>
  <rv s="5">
    <fb>68.97</fb>
    <v>14</v>
  </rv>
  <rv s="5">
    <fb>0.61629999999999996</fb>
    <v>14</v>
  </rv>
  <rv s="5">
    <fb>71.94</fb>
    <v>14</v>
  </rv>
  <rv s="5">
    <fb>1920.03</fb>
    <v>14</v>
  </rv>
  <rv s="5">
    <fb>20.6</fb>
    <v>14</v>
  </rv>
  <rv s="5">
    <fb>101.76</fb>
    <v>14</v>
  </rv>
  <rv s="5">
    <fb>42278</fb>
    <v>13</v>
  </rv>
  <rv s="5">
    <fb>36.869500000000002</fb>
    <v>14</v>
  </rv>
  <rv s="5">
    <fb>31.295000000000002</fb>
    <v>14</v>
  </rv>
  <rv s="5">
    <fb>34.25</fb>
    <v>14</v>
  </rv>
  <rv s="5">
    <fb>296.68</fb>
    <v>14</v>
  </rv>
  <rv s="5">
    <fb>98.322100000000006</fb>
    <v>14</v>
  </rv>
  <rv s="5">
    <fb>98.99</fb>
    <v>14</v>
  </rv>
  <rv s="5">
    <fb>25.664999999999999</fb>
    <v>14</v>
  </rv>
  <rv s="5">
    <fb>0.70930000000000004</fb>
    <v>14</v>
  </rv>
  <rv s="5">
    <fb>117.78</fb>
    <v>14</v>
  </rv>
  <rv s="5">
    <fb>2079.36</fb>
    <v>14</v>
  </rv>
  <rv s="5">
    <fb>21.51</fb>
    <v>14</v>
  </rv>
  <rv s="5">
    <fb>113.33</fb>
    <v>14</v>
  </rv>
  <rv s="5">
    <fb>42309</fb>
    <v>13</v>
  </rv>
  <rv s="5">
    <fb>38.142499999999998</fb>
    <v>14</v>
  </rv>
  <rv s="5">
    <fb>33.24</fb>
    <v>14</v>
  </rv>
  <rv s="5">
    <fb>98.959900000000005</fb>
    <v>14</v>
  </rv>
  <rv s="5">
    <fb>24.965</fb>
    <v>14</v>
  </rv>
  <rv s="5">
    <fb>0.79300000000000004</fb>
    <v>14</v>
  </rv>
  <rv s="5">
    <fb>112.71</fb>
    <v>14</v>
  </rv>
  <rv s="5">
    <fb>2080.41</fb>
    <v>14</v>
  </rv>
  <rv s="5">
    <fb>114.02</fb>
    <v>14</v>
  </rv>
  <rv s="5">
    <fb>42339</fb>
    <v>13</v>
  </rv>
  <rv s="5">
    <fb>38.900500000000001</fb>
    <v>14</v>
  </rv>
  <rv s="5">
    <fb>33.794499999999999</fb>
    <v>14</v>
  </rv>
  <rv s="5">
    <fb>302.39999999999998</fb>
    <v>14</v>
  </rv>
  <rv s="5">
    <fb>98.598200000000006</fb>
    <v>14</v>
  </rv>
  <rv s="5">
    <fb>97.36</fb>
    <v>14</v>
  </rv>
  <rv s="5">
    <fb>25.9725</fb>
    <v>14</v>
  </rv>
  <rv s="5">
    <fb>0.82399999999999995</fb>
    <v>14</v>
  </rv>
  <rv s="5">
    <fb>79.41</fb>
    <v>14</v>
  </rv>
  <rv s="5">
    <fb>117.64</fb>
    <v>14</v>
  </rv>
  <rv s="5">
    <fb>2043.94</fb>
    <v>14</v>
  </rv>
  <rv s="5">
    <fb>22.69</fb>
    <v>14</v>
  </rv>
  <rv s="5">
    <fb>111.86</fb>
    <v>14</v>
  </rv>
  <rv s="5">
    <fb>42370</fb>
    <v>13</v>
  </rv>
  <rv s="5">
    <fb>38.067500000000003</fb>
    <v>14</v>
  </rv>
  <rv s="5">
    <fb>33.414999999999999</fb>
    <v>14</v>
  </rv>
  <rv s="5">
    <fb>310.57</fb>
    <v>14</v>
  </rv>
  <rv s="5">
    <fb>98.245999999999995</fb>
    <v>14</v>
  </rv>
  <rv s="5">
    <fb>27.927499999999998</fb>
    <v>14</v>
  </rv>
  <rv s="5">
    <fb>0.73229999999999995</fb>
    <v>14</v>
  </rv>
  <rv s="5">
    <fb>115.16</fb>
    <v>14</v>
  </rv>
  <rv s="5">
    <fb>1940.24</fb>
    <v>14</v>
  </rv>
  <rv s="5">
    <fb>104.13</fb>
    <v>14</v>
  </rv>
  <rv s="5">
    <fb>42401</fb>
    <v>13</v>
  </rv>
  <rv s="5">
    <fb>35.860999999999997</fb>
    <v>14</v>
  </rv>
  <rv s="5">
    <fb>27.626000000000001</fb>
    <v>14</v>
  </rv>
  <rv s="5">
    <fb>33.115000000000002</fb>
    <v>14</v>
  </rv>
  <rv s="5">
    <fb>303.69</fb>
    <v>14</v>
  </rv>
  <rv s="5">
    <fb>96.484800000000007</fb>
    <v>14</v>
  </rv>
  <rv s="5">
    <fb>86.92</fb>
    <v>14</v>
  </rv>
  <rv s="5">
    <fb>28.204999999999998</fb>
    <v>14</v>
  </rv>
  <rv s="5">
    <fb>71.72</fb>
    <v>14</v>
  </rv>
  <rv s="5">
    <fb>0.78400000000000003</fb>
    <v>14</v>
  </rv>
  <rv s="5">
    <fb>119.1</fb>
    <v>14</v>
  </rv>
  <rv s="5">
    <fb>1932.23</fb>
    <v>14</v>
  </rv>
  <rv s="5">
    <fb>17.399999999999999</fb>
    <v>14</v>
  </rv>
  <rv s="5">
    <fb>42430</fb>
    <v>13</v>
  </rv>
  <rv s="5">
    <fb>38.145000000000003</fb>
    <v>14</v>
  </rv>
  <rv s="5">
    <fb>29.681999999999999</fb>
    <v>14</v>
  </rv>
  <rv s="5">
    <fb>330.71</fb>
    <v>14</v>
  </rv>
  <rv s="5">
    <fb>106.6711</fb>
    <v>14</v>
  </rv>
  <rv s="5">
    <fb>94.5</fb>
    <v>14</v>
  </rv>
  <rv s="5">
    <fb>29.585000000000001</fb>
    <v>14</v>
  </rv>
  <rv s="5">
    <fb>73.75</fb>
    <v>14</v>
  </rv>
  <rv s="5">
    <fb>0.89080000000000004</fb>
    <v>14</v>
  </rv>
  <rv s="5">
    <fb>82.31</fb>
    <v>14</v>
  </rv>
  <rv s="5">
    <fb>128.9</fb>
    <v>14</v>
  </rv>
  <rv s="5">
    <fb>2059.7399999999998</fb>
    <v>14</v>
  </rv>
  <rv s="5">
    <fb>109.2</fb>
    <v>14</v>
  </rv>
  <rv s="5">
    <fb>42461</fb>
    <v>13</v>
  </rv>
  <rv s="5">
    <fb>35.393999999999998</fb>
    <v>14</v>
  </rv>
  <rv s="5">
    <fb>32.979500000000002</fb>
    <v>14</v>
  </rv>
  <rv s="5">
    <fb>35.69</fb>
    <v>14</v>
  </rv>
  <rv s="5">
    <fb>330.35</fb>
    <v>14</v>
  </rv>
  <rv s="5">
    <fb>108.78449999999999</fb>
    <v>14</v>
  </rv>
  <rv s="5">
    <fb>96.99</fb>
    <v>14</v>
  </rv>
  <rv s="5">
    <fb>29.395</fb>
    <v>14</v>
  </rv>
  <rv s="5">
    <fb>80.34</fb>
    <v>14</v>
  </rv>
  <rv s="5">
    <fb>0.88829999999999998</fb>
    <v>14</v>
  </rv>
  <rv s="5">
    <fb>80.12</fb>
    <v>14</v>
  </rv>
  <rv s="5">
    <fb>131.68</fb>
    <v>14</v>
  </rv>
  <rv s="5">
    <fb>2065.3000000000002</fb>
    <v>14</v>
  </rv>
  <rv s="5">
    <fb>105.72</fb>
    <v>14</v>
  </rv>
  <rv s="5">
    <fb>42491</fb>
    <v>13</v>
  </rv>
  <rv s="5">
    <fb>37.442500000000003</fb>
    <v>14</v>
  </rv>
  <rv s="5">
    <fb>36.139499999999998</fb>
    <v>14</v>
  </rv>
  <rv s="5">
    <fb>108.3657</fb>
    <v>14</v>
  </rv>
  <rv s="5">
    <fb>95.9</fb>
    <v>14</v>
  </rv>
  <rv s="5">
    <fb>30.03</fb>
    <v>14</v>
  </rv>
  <rv s="5">
    <fb>76.3</fb>
    <v>14</v>
  </rv>
  <rv s="5">
    <fb>1.1679999999999999</fb>
    <v>14</v>
  </rv>
  <rv s="5">
    <fb>133.66999999999999</fb>
    <v>14</v>
  </rv>
  <rv s="5">
    <fb>2096.96</fb>
    <v>14</v>
  </rv>
  <rv s="5">
    <fb>18.34</fb>
    <v>14</v>
  </rv>
  <rv s="5">
    <fb>42522</fb>
    <v>13</v>
  </rv>
  <rv s="5">
    <fb>35.176499999999997</fb>
    <v>14</v>
  </rv>
  <rv s="5">
    <fb>35.780999999999999</fb>
    <v>14</v>
  </rv>
  <rv s="5">
    <fb>36.145000000000003</fb>
    <v>14</v>
  </rv>
  <rv s="5">
    <fb>387.73</fb>
    <v>14</v>
  </rv>
  <rv s="5">
    <fb>110.73609999999999</fb>
    <v>14</v>
  </rv>
  <rv s="5">
    <fb>32.6</fb>
    <v>14</v>
  </rv>
  <rv s="5">
    <fb>79.08</fb>
    <v>14</v>
  </rv>
  <rv s="5">
    <fb>1.1752</fb>
    <v>14</v>
  </rv>
  <rv s="5">
    <fb>2098.86</fb>
    <v>14</v>
  </rv>
  <rv s="5">
    <fb>14.88</fb>
    <v>14</v>
  </rv>
  <rv s="5">
    <fb>42552</fb>
    <v>13</v>
  </rv>
  <rv s="5">
    <fb>39.567</fb>
    <v>14</v>
  </rv>
  <rv s="5">
    <fb>37.9405</fb>
    <v>14</v>
  </rv>
  <rv s="5">
    <fb>35.335000000000001</fb>
    <v>14</v>
  </rv>
  <rv s="5">
    <fb>372.87</fb>
    <v>14</v>
  </rv>
  <rv s="5">
    <fb>110.7457</fb>
    <v>14</v>
  </rv>
  <rv s="5">
    <fb>95.24</fb>
    <v>14</v>
  </rv>
  <rv s="5">
    <fb>32.072499999999998</fb>
    <v>14</v>
  </rv>
  <rv s="5">
    <fb>80.52</fb>
    <v>14</v>
  </rv>
  <rv s="5">
    <fb>1.4275</fb>
    <v>14</v>
  </rv>
  <rv s="5">
    <fb>143.19999999999999</fb>
    <v>14</v>
  </rv>
  <rv s="5">
    <fb>2173.6</fb>
    <v>14</v>
  </rv>
  <rv s="5">
    <fb>14.58</fb>
    <v>14</v>
  </rv>
  <rv s="5">
    <fb>42583</fb>
    <v>13</v>
  </rv>
  <rv s="5">
    <fb>39.4925</fb>
    <v>14</v>
  </rv>
  <rv s="5">
    <fb>38.457999999999998</fb>
    <v>14</v>
  </rv>
  <rv s="5">
    <fb>39.594999999999999</fb>
    <v>14</v>
  </rv>
  <rv s="5">
    <fb>368.65</fb>
    <v>14</v>
  </rv>
  <rv s="5">
    <fb>111.1074</fb>
    <v>14</v>
  </rv>
  <rv s="5">
    <fb>30.234999999999999</fb>
    <v>14</v>
  </rv>
  <rv s="5">
    <fb>1.5335000000000001</fb>
    <v>14</v>
  </rv>
  <rv s="5">
    <fb>136.05000000000001</fb>
    <v>14</v>
  </rv>
  <rv s="5">
    <fb>2170.9499999999998</fb>
    <v>14</v>
  </rv>
  <rv s="5">
    <fb>15.68</fb>
    <v>14</v>
  </rv>
  <rv s="5">
    <fb>42614</fb>
    <v>13</v>
  </rv>
  <rv s="5">
    <fb>40.203000000000003</fb>
    <v>14</v>
  </rv>
  <rv s="5">
    <fb>41.865499999999997</fb>
    <v>14</v>
  </rv>
  <rv s="5">
    <fb>40.975000000000001</fb>
    <v>14</v>
  </rv>
  <rv s="5">
    <fb>110.9932</fb>
    <v>14</v>
  </rv>
  <rv s="5">
    <fb>101.77</fb>
    <v>14</v>
  </rv>
  <rv s="5">
    <fb>30.58</fb>
    <v>14</v>
  </rv>
  <rv s="5">
    <fb>78.64</fb>
    <v>14</v>
  </rv>
  <rv s="5">
    <fb>1.7130000000000001</fb>
    <v>14</v>
  </rv>
  <rv s="5">
    <fb>89.75</fb>
    <v>14</v>
  </rv>
  <rv s="5">
    <fb>140</fb>
    <v>14</v>
  </rv>
  <rv s="5">
    <fb>2168.27</fb>
    <v>14</v>
  </rv>
  <rv s="5">
    <fb>16.079999999999998</fb>
    <v>14</v>
  </rv>
  <rv s="5">
    <fb>118.72</fb>
    <v>14</v>
  </rv>
  <rv s="5">
    <fb>42644</fb>
    <v>13</v>
  </rv>
  <rv s="5">
    <fb>40.494999999999997</fb>
    <v>14</v>
  </rv>
  <rv s="5">
    <fb>39.491</fb>
    <v>14</v>
  </rv>
  <rv s="5">
    <fb>38.534999999999997</fb>
    <v>14</v>
  </rv>
  <rv s="5">
    <fb>357.28</fb>
    <v>14</v>
  </rv>
  <rv s="5">
    <fb>105.01260000000001</fb>
    <v>14</v>
  </rv>
  <rv s="5">
    <fb>107.02</fb>
    <v>14</v>
  </rv>
  <rv s="5">
    <fb>78.23</fb>
    <v>14</v>
  </rv>
  <rv s="5">
    <fb>1.7789999999999999</fb>
    <v>14</v>
  </rv>
  <rv s="5">
    <fb>86.8</fb>
    <v>14</v>
  </rv>
  <rv s="5">
    <fb>141.33000000000001</fb>
    <v>14</v>
  </rv>
  <rv s="5">
    <fb>2126.15</fb>
    <v>14</v>
  </rv>
  <rv s="5">
    <fb>116.99</fb>
    <v>14</v>
  </rv>
  <rv s="5">
    <fb>42675</fb>
    <v>13</v>
  </rv>
  <rv s="5">
    <fb>38.793999999999997</fb>
    <v>14</v>
  </rv>
  <rv s="5">
    <fb>37.528500000000001</fb>
    <v>14</v>
  </rv>
  <rv s="5">
    <fb>109.0913</fb>
    <v>14</v>
  </rv>
  <rv s="5">
    <fb>102.2</fb>
    <v>14</v>
  </rv>
  <rv s="5">
    <fb>28.557500000000001</fb>
    <v>14</v>
  </rv>
  <rv s="5">
    <fb>2.3050000000000002</fb>
    <v>14</v>
  </rv>
  <rv s="5">
    <fb>158.32</fb>
    <v>14</v>
  </rv>
  <rv s="5">
    <fb>2198.81</fb>
    <v>14</v>
  </rv>
  <rv s="5">
    <fb>23.68</fb>
    <v>14</v>
  </rv>
  <rv s="5">
    <fb>42705</fb>
    <v>13</v>
  </rv>
  <rv s="5">
    <fb>39.622500000000002</fb>
    <v>14</v>
  </rv>
  <rv s="5">
    <fb>37.493499999999997</fb>
    <v>14</v>
  </rv>
  <rv s="5">
    <fb>37.534999999999997</fb>
    <v>14</v>
  </rv>
  <rv s="5">
    <fb>357.41</fb>
    <v>14</v>
  </rv>
  <rv s="5">
    <fb>110.92010000000001</fb>
    <v>14</v>
  </rv>
  <rv s="5">
    <fb>103.25</fb>
    <v>14</v>
  </rv>
  <rv s="5">
    <fb>29.864999999999998</fb>
    <v>14</v>
  </rv>
  <rv s="5">
    <fb>2.6684999999999999</fb>
    <v>14</v>
  </rv>
  <rv s="5">
    <fb>160.04</fb>
    <v>14</v>
  </rv>
  <rv s="5">
    <fb>2238.83</fb>
    <v>14</v>
  </rv>
  <rv s="5">
    <fb>24.46</fb>
    <v>14</v>
  </rv>
  <rv s="5">
    <fb>118.48</fb>
    <v>14</v>
  </rv>
  <rv s="5">
    <fb>42736</fb>
    <v>13</v>
  </rv>
  <rv s="5">
    <fb>24.51</fb>
    <v>14</v>
  </rv>
  <rv s="5">
    <fb>23.58</fb>
    <v>14</v>
  </rv>
  <rv s="5">
    <fb>130.02000000000001</fb>
    <v>14</v>
  </rv>
  <rv s="5">
    <fb>23.96</fb>
    <v>14</v>
  </rv>
  <rv s="5">
    <fb>132.38</fb>
    <v>14</v>
  </rv>
  <rv s="5">
    <fb>42826</fb>
    <v>13</v>
  </rv>
  <rv s="5">
    <fb>22.82</fb>
    <v>14</v>
  </rv>
  <rv s="5">
    <fb>135.99</fb>
    <v>14</v>
  </rv>
  <rv s="5">
    <fb>21.96</fb>
    <v>14</v>
  </rv>
  <rv s="5">
    <fb>141.29</fb>
    <v>14</v>
  </rv>
  <rv s="5">
    <fb>23.02</fb>
    <v>14</v>
  </rv>
  <rv s="5">
    <fb>137.63999999999999</fb>
    <v>14</v>
  </rv>
  <rv s="5">
    <fb>42917</fb>
    <v>13</v>
  </rv>
  <rv s="5">
    <fb>22.92</fb>
    <v>14</v>
  </rv>
  <rv s="5">
    <fb>21.21</fb>
    <v>14</v>
  </rv>
  <rv s="5">
    <fb>146.19999999999999</fb>
    <v>14</v>
  </rv>
  <rv s="5">
    <fb>23.26</fb>
    <v>14</v>
  </rv>
  <rv s="5">
    <fb>145.44999999999999</fb>
    <v>14</v>
  </rv>
  <rv s="5">
    <fb>43009</fb>
    <v>13</v>
  </rv>
  <rv s="5">
    <fb>23.76</fb>
    <v>14</v>
  </rv>
  <rv s="5">
    <fb>24.17</fb>
    <v>14</v>
  </rv>
  <rv s="5">
    <fb>155.15</fb>
    <v>14</v>
  </rv>
  <rv s="5">
    <fb>24.05</fb>
    <v>14</v>
  </rv>
  <rv s="5">
    <fb>155.76</fb>
    <v>14</v>
  </rv>
  <rv s="5">
    <fb>43101</fb>
    <v>13</v>
  </rv>
  <rv s="5">
    <fb>27.2</fb>
    <v>14</v>
  </rv>
  <rv s="5">
    <fb>169.4</fb>
    <v>14</v>
  </rv>
  <rv s="5">
    <fb>167.21</fb>
    <v>14</v>
  </rv>
  <rv s="5">
    <fb>27.41</fb>
    <v>14</v>
  </rv>
  <rv s="5">
    <fb>160.13</fb>
    <v>14</v>
  </rv>
  <rv s="5">
    <fb>43191</fb>
    <v>13</v>
  </rv>
  <rv s="5">
    <fb>29.36</fb>
    <v>14</v>
  </rv>
  <rv s="5">
    <fb>160.94</fb>
    <v>14</v>
  </rv>
  <rv s="5">
    <fb>28.49</fb>
    <v>14</v>
  </rv>
  <rv s="5">
    <fb>43282</fb>
    <v>13</v>
  </rv>
  <rv s="5">
    <fb>176.45</fb>
    <v>14</v>
  </rv>
  <rv s="5">
    <fb>28.53</fb>
    <v>14</v>
  </rv>
  <rv s="5">
    <fb>43344</fb>
    <v>13</v>
  </rv>
  <rv s="5">
    <fb>30.56</fb>
    <v>14</v>
  </rv>
  <rv s="5">
    <fb>185.79</fb>
    <v>14</v>
  </rv>
  <rv s="5">
    <fb>169.82</fb>
    <v>14</v>
  </rv>
  <rv s="5">
    <fb>30.13</fb>
    <v>14</v>
  </rv>
  <rv s="5">
    <fb>169.37</fb>
    <v>14</v>
  </rv>
  <rv s="5">
    <fb>43435</fb>
    <v>13</v>
  </rv>
  <rv s="5">
    <fb>26.86</fb>
    <v>14</v>
  </rv>
  <rv s="5">
    <fb>154.26</fb>
    <v>14</v>
  </rv>
  <rv s="5">
    <fb>43466</fb>
    <v>13</v>
  </rv>
  <rv s="5">
    <fb>26.35</fb>
    <v>14</v>
  </rv>
  <rv s="5">
    <fb>27.11</fb>
    <v>14</v>
  </rv>
  <rv s="5">
    <fb>24.14</fb>
    <v>14</v>
  </rv>
  <rv s="5">
    <fb>25.09</fb>
    <v>14</v>
  </rv>
  <rv s="5">
    <fb>189.54</fb>
    <v>14</v>
  </rv>
  <rv s="5">
    <fb>21.42</fb>
    <v>14</v>
  </rv>
  <rv s="5">
    <fb>43617</fb>
    <v>13</v>
  </rv>
  <rv s="5">
    <fb>20</fb>
    <v>14</v>
  </rv>
  <rv s="5">
    <fb>186.74</fb>
    <v>14</v>
  </rv>
  <rv s="5">
    <fb>191.1</fb>
    <v>14</v>
  </rv>
  <rv s="5">
    <fb>15.06</fb>
    <v>14</v>
  </rv>
  <rv s="5">
    <fb>187.47</fb>
    <v>14</v>
  </rv>
  <rv s="5">
    <fb>43709</fb>
    <v>13</v>
  </rv>
  <rv s="5">
    <fb>188.81</fb>
    <v>14</v>
  </rv>
  <rv s="5">
    <fb>16.91</fb>
    <v>14</v>
  </rv>
  <rv s="5">
    <fb>197.08</fb>
    <v>14</v>
  </rv>
  <rv s="5">
    <fb>17.760000000000002</fb>
    <v>14</v>
  </rv>
  <rv s="5">
    <fb>43800</fb>
    <v>13</v>
  </rv>
  <rv s="5">
    <fb>19.190000000000001</fb>
    <v>14</v>
  </rv>
  <rv s="5">
    <fb>43831</fb>
    <v>13</v>
  </rv>
  <rv s="5">
    <fb>15.2</fb>
    <v>14</v>
  </rv>
  <rv s="5">
    <fb>43862</fb>
    <v>13</v>
  </rv>
  <rv s="5">
    <fb>11.27</fb>
    <v>14</v>
  </rv>
  <rv s="5">
    <fb>205.8</fb>
    <v>14</v>
  </rv>
  <rv s="5">
    <fb>43891</fb>
    <v>13</v>
  </rv>
  <rv s="5">
    <fb>6.98</fb>
    <v>14</v>
  </rv>
  <rv s="5">
    <fb>6.22</fb>
    <v>14</v>
  </rv>
  <rv s="5">
    <fb>6.48</fb>
    <v>14</v>
  </rv>
  <rv s="5">
    <fb>233.36</fb>
    <v>14</v>
  </rv>
  <rv s="5">
    <fb>6.53</fb>
    <v>14</v>
  </rv>
  <rv s="5">
    <fb>247.6</fb>
    <v>14</v>
  </rv>
  <rv s="5">
    <fb>5.36</fb>
    <v>14</v>
  </rv>
  <rv s="5">
    <fb>265.79000000000002</fb>
    <v>14</v>
  </rv>
  <rv s="5">
    <fb>44044</fb>
    <v>13</v>
  </rv>
  <rv s="5">
    <fb>6.93</fb>
    <v>14</v>
  </rv>
  <rv s="5">
    <fb>294.88</fb>
    <v>14</v>
  </rv>
  <rv s="5">
    <fb>6.77</fb>
    <v>14</v>
  </rv>
  <rv s="5">
    <fb>277.83999999999997</fb>
    <v>14</v>
  </rv>
  <rv s="5">
    <fb>8.6</fb>
    <v>14</v>
  </rv>
  <rv s="5">
    <fb>269.38</fb>
    <v>14</v>
  </rv>
  <rv s="5">
    <fb>44136</fb>
    <v>13</v>
  </rv>
  <rv s="5">
    <fb>8.44</fb>
    <v>14</v>
  </rv>
  <rv s="5">
    <fb>299.62</fb>
    <v>14</v>
  </rv>
  <rv s="5">
    <fb>9.17</fb>
    <v>14</v>
  </rv>
  <rv s="5">
    <fb>313.74</fb>
    <v>14</v>
  </rv>
  <rv s="5">
    <fb>44197</fb>
    <v>13</v>
  </rv>
  <rv s="5">
    <fb>10.93</fb>
    <v>14</v>
  </rv>
  <rv s="5">
    <fb>314.56</fb>
    <v>14</v>
  </rv>
  <rv s="5">
    <fb>17.46</fb>
    <v>14</v>
  </rv>
  <rv s="5">
    <fb>319.13</fb>
    <v>14</v>
  </rv>
  <rv s="5">
    <fb>16.309999999999999</fb>
    <v>14</v>
  </rv>
  <rv s="5">
    <fb>337.99</fb>
    <v>14</v>
  </rv>
  <rv s="5">
    <fb>44317</fb>
    <v>13</v>
  </rv>
  <rv s="5">
    <fb>15.81</fb>
    <v>14</v>
  </rv>
  <rv s="5">
    <fb>333.93</fb>
    <v>14</v>
  </rv>
  <rv s="5">
    <fb>14.43</fb>
    <v>14</v>
  </rv>
  <rv s="5">
    <fb>354.43</fb>
    <v>14</v>
  </rv>
  <rv s="5">
    <fb>12.39</fb>
    <v>14</v>
  </rv>
  <rv s="5">
    <fb>364.57</fb>
    <v>14</v>
  </rv>
  <rv s="5">
    <fb>44409</fb>
    <v>13</v>
  </rv>
  <rv s="5">
    <fb>13.04</fb>
    <v>14</v>
  </rv>
  <rv s="5">
    <fb>379.95</fb>
    <v>14</v>
  </rv>
  <rv s="5">
    <fb>15.29</fb>
    <v>14</v>
  </rv>
  <rv s="5">
    <fb>357.96</fb>
    <v>14</v>
  </rv>
  <rv s="5">
    <fb>386.11</fb>
    <v>14</v>
  </rv>
  <rv s="5">
    <fb>393.82</fb>
    <v>14</v>
  </rv>
  <rv s="5">
    <fb>15.12</fb>
    <v>14</v>
  </rv>
  <rv s="5">
    <fb>397.85</fb>
    <v>14</v>
  </rv>
  <rv s="5">
    <fb>44562</fb>
    <v>13</v>
  </rv>
  <rv s="5">
    <fb>17.82</fb>
    <v>14</v>
  </rv>
  <rv s="5">
    <fb>363.05</fb>
    <v>14</v>
  </rv>
  <rv s="5">
    <fb>346.8</fb>
    <v>14</v>
  </rv>
  <rv s="5">
    <fb>23.27</fb>
    <v>14</v>
  </rv>
  <rv s="5">
    <fb>362.54</fb>
    <v>14</v>
  </rv>
  <rv s="5">
    <fb>28.87</fb>
    <v>14</v>
  </rv>
  <rv s="5">
    <fb>313.25</fb>
    <v>14</v>
  </rv>
  <rv s="5">
    <fb>44682</fb>
    <v>13</v>
  </rv>
  <rv s="5">
    <fb>28.44</fb>
    <v>14</v>
  </rv>
  <rv s="5">
    <fb>308.27999999999997</fb>
    <v>14</v>
  </rv>
  <rv s="5">
    <fb>29.72</fb>
    <v>14</v>
  </rv>
  <rv s="5">
    <fb>280.27999999999997</fb>
    <v>14</v>
  </rv>
  <rv s="5">
    <fb>26.42</fb>
    <v>14</v>
  </rv>
  <rv s="5">
    <fb>315.45999999999998</fb>
    <v>14</v>
  </rv>
  <rv s="5">
    <fb>299.27</fb>
    <v>14</v>
  </rv>
  <rv s="5">
    <fb>267.26</fb>
    <v>14</v>
  </rv>
  <rv s="5">
    <fb>44835</fb>
    <v>13</v>
  </rv>
  <rv s="5">
    <fb>277.95</fb>
    <v>14</v>
  </rv>
  <rv s="5">
    <fb>266.27999999999997</fb>
    <v>14</v>
  </rv>
  <rv s="7">
    <v>18</v>
    <v xml:space="preserve">MA </v>
    <v>Monthly</v>
    <v>42005</v>
    <v>44926</v>
    <v>0</v>
    <v>1</v>
    <v>638079552000000000,638903207233296870,0</v>
    <v>0</v>
    <v>a1x8w7</v>
    <v>XNYS:MA</v>
    <v>1</v>
  </rv>
  <rv s="7">
    <v>18</v>
    <v>a33knm</v>
    <v>Monthly</v>
    <v>42005</v>
    <v>44926</v>
    <v>0</v>
    <v>1</v>
    <v>638079552000000000,638902148752291098,0</v>
    <v>0</v>
    <v>a33knm</v>
    <v>TNX</v>
    <v>2</v>
  </rv>
  <rv s="7">
    <v>18</v>
    <v>BALL</v>
    <v>Monthly</v>
    <v>42005</v>
    <v>44926</v>
    <v>0</v>
    <v>1</v>
    <v>638079552000000000,638903207231721237,0</v>
    <v>0</v>
    <v>a1oma2</v>
    <v>XNYS:BALL</v>
    <v>3</v>
  </rv>
  <rv s="7">
    <v>18</v>
    <v>a33k6h</v>
    <v>Daily</v>
    <v>42736</v>
    <v>44926</v>
    <v>0</v>
    <v>1</v>
    <v>638079552000000000,638902138356507780,0</v>
    <v>4</v>
    <v>a33k6h</v>
    <v>INX</v>
    <v>5</v>
  </rv>
  <rv s="7">
    <v>18</v>
    <v>BALL</v>
    <v>Daily</v>
    <v>42736</v>
    <v>44926</v>
    <v>0</v>
    <v>1</v>
    <v>638079552000000000,638902303338757490,0</v>
    <v>6</v>
    <v>a1oma2</v>
    <v>XNYS:BALL</v>
    <v>7</v>
  </rv>
  <rv s="7">
    <v>18</v>
    <v>a33k6h</v>
    <v>Monthly</v>
    <v>42005</v>
    <v>44926</v>
    <v>0</v>
    <v>1</v>
    <v>638079552000000000,638902148752647059,0</v>
    <v>0</v>
    <v>a33k6h</v>
    <v>INX</v>
    <v>8</v>
  </rv>
  <rv s="7">
    <v>18</v>
    <v xml:space="preserve">AMZN </v>
    <v>Daily</v>
    <v>42736</v>
    <v>44926</v>
    <v>0</v>
    <v>1</v>
    <v>638079552000000000,638902138348880446,0</v>
    <v>6</v>
    <v>a1nhlh</v>
    <v>XNAS:AMZN</v>
    <v>9</v>
  </rv>
  <rv s="7">
    <v>18</v>
    <v xml:space="preserve">HON </v>
    <v>Monthly</v>
    <v>42005</v>
    <v>44926</v>
    <v>0</v>
    <v>1</v>
    <v>638079552000000000,638903207232504884,0</v>
    <v>0</v>
    <v>a1ut3m</v>
    <v>XNAS:HON</v>
    <v>10</v>
  </rv>
  <rv s="7">
    <v>18</v>
    <v>EQIX</v>
    <v>Daily</v>
    <v>42736</v>
    <v>44926</v>
    <v>0</v>
    <v>1</v>
    <v>638079552000000000,638902138350090798,0</v>
    <v>11</v>
    <v>a1s4mw</v>
    <v>XNAS:EQIX</v>
    <v>12</v>
  </rv>
  <rv s="7">
    <v>18</v>
    <v>SLB</v>
    <v>Monthly</v>
    <v>42005</v>
    <v>44926</v>
    <v>0</v>
    <v>1</v>
    <v>638079552000000000,638903207231847422,0</v>
    <v>0</v>
    <v>a232mw</v>
    <v>XNYS:SLB</v>
    <v>13</v>
  </rv>
  <rv s="7">
    <v>18</v>
    <v xml:space="preserve">NVDA </v>
    <v>Daily</v>
    <v>42736</v>
    <v>44926</v>
    <v>0</v>
    <v>1</v>
    <v>638079552000000000,638902138349277831,0</v>
    <v>6</v>
    <v>a1yv52</v>
    <v>XNAS:NVDA</v>
    <v>14</v>
  </rv>
  <rv s="7">
    <v>18</v>
    <v xml:space="preserve">PG </v>
    <v>Daily</v>
    <v>42736</v>
    <v>44926</v>
    <v>0</v>
    <v>1</v>
    <v>638079552000000000,638902138349691167,0</v>
    <v>6</v>
    <v>a1zsjc</v>
    <v>XNYS:PG</v>
    <v>15</v>
  </rv>
  <rv s="7">
    <v>18</v>
    <v xml:space="preserve">AMZN </v>
    <v>Monthly</v>
    <v>42005</v>
    <v>44926</v>
    <v>0</v>
    <v>1</v>
    <v>638079552000000000,638903207230925092,0</v>
    <v>0</v>
    <v>a1nhlh</v>
    <v>XNAS:AMZN</v>
    <v>16</v>
  </rv>
  <rv s="7">
    <v>18</v>
    <v>SLB</v>
    <v>Daily</v>
    <v>42736</v>
    <v>44926</v>
    <v>0</v>
    <v>1</v>
    <v>638079552000000000,638902303338191506,0</v>
    <v>6</v>
    <v>a232mw</v>
    <v>XNYS:SLB</v>
    <v>17</v>
  </rv>
  <rv s="7">
    <v>18</v>
    <v>EQIX</v>
    <v>Monthly</v>
    <v>42005</v>
    <v>44926</v>
    <v>0</v>
    <v>1</v>
    <v>638079552000000000,638903207231319488,0</v>
    <v>0</v>
    <v>a1s4mw</v>
    <v>XNAS:EQIX</v>
    <v>18</v>
  </rv>
  <rv s="7">
    <v>18</v>
    <v>GOOGL</v>
    <v>Monthly</v>
    <v>42005</v>
    <v>44926</v>
    <v>0</v>
    <v>1</v>
    <v>638079552000000000,638903207232117084,0</v>
    <v>0</v>
    <v>a1u3rw</v>
    <v>XNAS:GOOGL</v>
    <v>19</v>
  </rv>
  <rv s="7">
    <v>18</v>
    <v xml:space="preserve">PG </v>
    <v>Monthly</v>
    <v>42005</v>
    <v>44926</v>
    <v>0</v>
    <v>1</v>
    <v>638079552000000000,638903207232896786,0</v>
    <v>0</v>
    <v>a1zsjc</v>
    <v>XNYS:PG</v>
    <v>20</v>
  </rv>
  <rv s="7">
    <v>18</v>
    <v>GOOGL</v>
    <v>Daily</v>
    <v>42736</v>
    <v>44926</v>
    <v>0</v>
    <v>1</v>
    <v>638079552000000000,638902303336241565,0</v>
    <v>6</v>
    <v>a1u3rw</v>
    <v>XNAS:GOOGL</v>
    <v>21</v>
  </rv>
  <rv s="7">
    <v>18</v>
    <v xml:space="preserve">NEE </v>
    <v>Monthly</v>
    <v>42005</v>
    <v>44926</v>
    <v>0</v>
    <v>1</v>
    <v>638079552000000000,638903207230671217,0</v>
    <v>0</v>
    <v>a1ye2w</v>
    <v>XNYS:NEE</v>
    <v>22</v>
  </rv>
  <rv s="7">
    <v>18</v>
    <v xml:space="preserve">NVDA </v>
    <v>Monthly</v>
    <v>42005</v>
    <v>44926</v>
    <v>0</v>
    <v>1</v>
    <v>638079552000000000,638903207231060370,0</v>
    <v>0</v>
    <v>a1yv52</v>
    <v>XNAS:NVDA</v>
    <v>23</v>
  </rv>
  <rv s="7">
    <v>18</v>
    <v>a21mim</v>
    <v>Monthly</v>
    <v>42005</v>
    <v>44926</v>
    <v>0</v>
    <v>1</v>
    <v>638079552000000000,638903208520745963,0</v>
    <v>0</v>
    <v>a21mim</v>
    <v>XNAS:QQQ</v>
    <v>24</v>
  </rv>
  <rv s="7">
    <v>18</v>
    <v xml:space="preserve">UNH </v>
    <v>Monthly</v>
    <v>42005</v>
    <v>44926</v>
    <v>0</v>
    <v>1</v>
    <v>638079552000000000,638903207231451369,0</v>
    <v>0</v>
    <v>a24xlh</v>
    <v>XNYS:UNH</v>
    <v>25</v>
  </rv>
  <rv s="7">
    <v>18</v>
    <v xml:space="preserve">HON </v>
    <v>Daily</v>
    <v>42736</v>
    <v>44926</v>
    <v>0</v>
    <v>1</v>
    <v>638079552000000000,638902303337595954,0</v>
    <v>6</v>
    <v>a1ut3m</v>
    <v>XNAS:HON</v>
    <v>26</v>
  </rv>
  <rv s="7">
    <v>18</v>
    <v xml:space="preserve">MA </v>
    <v>Daily</v>
    <v>42736</v>
    <v>44926</v>
    <v>0</v>
    <v>1</v>
    <v>638079552000000000,638902303337882274,0</v>
    <v>6</v>
    <v>a1x8w7</v>
    <v>XNYS:MA</v>
    <v>27</v>
  </rv>
  <rv s="7">
    <v>18</v>
    <v xml:space="preserve">UNH </v>
    <v>Daily</v>
    <v>42736</v>
    <v>44926</v>
    <v>0</v>
    <v>1</v>
    <v>638079552000000000,638902303338470026,0</v>
    <v>6</v>
    <v>a24xlh</v>
    <v>XNYS:UNH</v>
    <v>28</v>
  </rv>
  <rv s="7">
    <v>18</v>
    <v xml:space="preserve">NEE </v>
    <v>Daily</v>
    <v>42736</v>
    <v>44926</v>
    <v>0</v>
    <v>1</v>
    <v>638079552000000000,638902303335237982,0</v>
    <v>6</v>
    <v>a1ye2w</v>
    <v>XNYS:NEE</v>
    <v>29</v>
  </rv>
</rvData>
</file>

<file path=xl/richData/rdrichvaluestructure.xml><?xml version="1.0" encoding="utf-8"?>
<rvStructures xmlns="http://schemas.microsoft.com/office/spreadsheetml/2017/richdata" count="8">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Change"/>
    <k n="Change (%)"/>
    <k n="Country/region" t="s"/>
    <k n="Currency" t="s"/>
    <k n="Expense ratio"/>
    <k n="Instrument type" t="s"/>
    <k n="Last trade time"/>
    <k n="Last update time"/>
    <k n="LearnMoreOnLink" t="r"/>
    <k n="Name" t="s"/>
    <k n="Net assets"/>
    <k n="Previous close"/>
    <k n="Price"/>
    <k n="Rating"/>
    <k n="Return (1m)"/>
    <k n="Return (1w)"/>
    <k n="Return (1y)"/>
    <k n="Return (3m)"/>
    <k n="Return (3y)"/>
    <k n="Return (5y)"/>
    <k n="Return (YTD)"/>
    <k n="UniqueName" t="s"/>
  </s>
  <s t="_linkedentitycore">
    <k n="%EntityCulture" t="s"/>
    <k n="%EntityId" t="s"/>
    <k n="%EntityServiceId"/>
    <k n="%IsRefreshable" t="b"/>
    <k n="%ProviderInfo" t="s"/>
    <k n="_Display" t="spb"/>
    <k n="_DisplayString" t="s"/>
    <k n="_Flags" t="spb"/>
    <k n="_Format" t="spb"/>
    <k n="_Icon" t="s"/>
    <k n="_SubLabel" t="spb"/>
    <k n="52 week high"/>
    <k n="52 week low"/>
    <k n="Change"/>
    <k n="Change (%)"/>
    <k n="Country/region" t="s"/>
    <k n="High"/>
    <k n="Instrument type" t="s"/>
    <k n="LearnMoreOnLink" t="r"/>
    <k n="Low"/>
    <k n="Name" t="s"/>
    <k n="Open"/>
    <k n="Previous close"/>
    <k n="Price"/>
    <k n="Ticker symbol" t="s"/>
    <k n="UniqueName" t="s"/>
  </s>
  <s t="_formattednumber">
    <k n="_Format" t="spb"/>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Exchange" t="s"/>
    <k n="Exchange abbreviation" t="s"/>
    <k n="Expense ratio"/>
    <k n="High"/>
    <k n="Instrument type" t="s"/>
    <k n="Last trade time"/>
    <k n="LearnMoreOnLink" t="r"/>
    <k n="Low"/>
    <k n="Market cap"/>
    <k n="Name" t="s"/>
    <k n="Open"/>
    <k n="Previous close"/>
    <k n="Price"/>
    <k n="Price (Extended hours)"/>
    <k n="Ticker symbol" t="s"/>
    <k n="UniqueName" t="s"/>
    <k n="Volume"/>
    <k n="Volume average"/>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Arrays count="4">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33">
      <v t="s">%EntityServiceId</v>
      <v t="s">_Format</v>
      <v t="s">%IsRefreshable</v>
      <v t="s">%EntityCulture</v>
      <v t="s">%EntityId</v>
      <v t="s">_Icon</v>
      <v t="s">_Display</v>
      <v t="s">Name</v>
      <v t="s">Price</v>
      <v t="s">Country/region</v>
      <v t="s">_SubLabel</v>
      <v t="s">Change</v>
      <v t="s">Change (%)</v>
      <v t="s">Rating</v>
      <v t="s">Expense ratio</v>
      <v t="s">Previous close</v>
      <v t="s">Return (YTD)</v>
      <v t="s">Return (1w)</v>
      <v t="s">Return (1m)</v>
      <v t="s">Return (3m)</v>
      <v t="s">Return (1y)</v>
      <v t="s">Return (3y)</v>
      <v t="s">Return (5y)</v>
      <v t="s">Net assets</v>
      <v t="s">_Flags</v>
      <v t="s">Last update time</v>
      <v t="s">Last trade time</v>
      <v t="s">Instrument type</v>
      <v t="s">Currency</v>
      <v t="s">UniqueName</v>
      <v t="s">_DisplayString</v>
      <v t="s">LearnMoreOnLink</v>
      <v t="s">%ProviderInfo</v>
    </a>
    <a count="26">
      <v t="s">%EntityServiceId</v>
      <v t="s">_Format</v>
      <v t="s">%IsRefreshable</v>
      <v t="s">%EntityCulture</v>
      <v t="s">%EntityId</v>
      <v t="s">_Icon</v>
      <v t="s">_Display</v>
      <v t="s">Name</v>
      <v t="s">Price</v>
      <v t="s">Ticker symbol</v>
      <v t="s">_SubLabel</v>
      <v t="s">Change</v>
      <v t="s">Change (%)</v>
      <v t="s">Country/region</v>
      <v t="s">Previous close</v>
      <v t="s">Open</v>
      <v t="s">High</v>
      <v t="s">Low</v>
      <v t="s">52 week high</v>
      <v t="s">52 week low</v>
      <v t="s">Instrument type</v>
      <v t="s">_Flags</v>
      <v t="s">UniqueName</v>
      <v t="s">_DisplayString</v>
      <v t="s">LearnMoreOnLink</v>
      <v t="s">%ProviderInfo</v>
    </a>
    <a count="37">
      <v t="s">%EntityServiceId</v>
      <v t="s">_Format</v>
      <v t="s">%IsRefreshable</v>
      <v t="s">%EntityCulture</v>
      <v t="s">%EntityId</v>
      <v t="s">_Icon</v>
      <v t="s">_Display</v>
      <v t="s">Name</v>
      <v t="s">_SubLabel</v>
      <v t="s">Price</v>
      <v t="s">Price (Extended hours)</v>
      <v t="s">Exchange</v>
      <v t="s">Last trade time</v>
      <v t="s">Ticker symbol</v>
      <v t="s">Exchange abbreviation</v>
      <v t="s">Change</v>
      <v t="s">Change (Extended hours)</v>
      <v t="s">Expense ratio</v>
      <v t="s">Change (%)</v>
      <v t="s">Change % (Extended hours)</v>
      <v t="s">Currency</v>
      <v t="s">Previous close</v>
      <v t="s">Open</v>
      <v t="s">High</v>
      <v t="s">Low</v>
      <v t="s">52 week high</v>
      <v t="s">52 week low</v>
      <v t="s">Volume</v>
      <v t="s">Volume average</v>
      <v t="s">Market cap</v>
      <v t="s">Beta</v>
      <v t="s">Instrument type</v>
      <v t="s">_Flags</v>
      <v t="s">UniqueName</v>
      <v t="s">_DisplayString</v>
      <v t="s">LearnMoreOnLink</v>
      <v t="s">%ProviderInfo</v>
    </a>
  </spbArrays>
  <spbData count="19">
    <spb s="0">
      <v>0</v>
      <v>Name</v>
      <v>LearnMoreOnLink</v>
    </spb>
    <spb s="1">
      <v>0</v>
      <v>0</v>
      <v>0</v>
    </spb>
    <spb s="2">
      <v>1</v>
      <v>1</v>
      <v>1</v>
      <v>1</v>
    </spb>
    <spb s="3">
      <v>1</v>
      <v>2</v>
      <v>2</v>
      <v>1</v>
      <v>3</v>
      <v>1</v>
      <v>1</v>
      <v>1</v>
      <v>4</v>
      <v>4</v>
      <v>5</v>
      <v>6</v>
      <v>1</v>
      <v>1</v>
      <v>1</v>
      <v>4</v>
      <v>7</v>
      <v>8</v>
      <v>9</v>
      <v>4</v>
      <v>1</v>
      <v>1</v>
      <v>5</v>
    </spb>
    <spb s="4">
      <v>at close</v>
      <v>from previous close</v>
      <v>from previous close</v>
      <v>Source: Nasdaq</v>
      <v>GMT</v>
      <v>Delayed 15 minutes</v>
      <v>from close</v>
      <v>from close</v>
    </spb>
    <spb s="0">
      <v>1</v>
      <v>Name</v>
      <v>LearnMoreOnLink</v>
    </spb>
    <spb s="5">
      <v>1</v>
      <v>1</v>
      <v>1</v>
      <v>1</v>
    </spb>
    <spb s="6">
      <v>3</v>
      <v>10</v>
      <v>10</v>
      <v>4</v>
      <v>5</v>
      <v>11</v>
      <v>5</v>
      <v>5</v>
      <v>5</v>
      <v>5</v>
      <v>5</v>
      <v>5</v>
      <v>5</v>
      <v>5</v>
      <v>10</v>
      <v>12</v>
      <v>7</v>
      <v>9</v>
    </spb>
    <spb s="7">
      <v>from previous close</v>
      <v>from previous close</v>
      <v>GMT</v>
      <v>GMT</v>
    </spb>
    <spb s="0">
      <v>2</v>
      <v>Name</v>
      <v>LearnMoreOnLink</v>
    </spb>
    <spb s="8">
      <v>1</v>
      <v>1</v>
      <v>1</v>
    </spb>
    <spb s="9">
      <v>1</v>
      <v>1</v>
      <v>3</v>
      <v>1</v>
      <v>1</v>
      <v>1</v>
      <v>5</v>
      <v>1</v>
      <v>1</v>
      <v>1</v>
      <v>9</v>
    </spb>
    <spb s="10">
      <v>from previous close</v>
      <v>from previous close</v>
    </spb>
    <spb s="11">
      <v>12</v>
    </spb>
    <spb s="11">
      <v>1</v>
    </spb>
    <spb s="0">
      <v>3</v>
      <v>Name</v>
      <v>LearnMoreOnLink</v>
    </spb>
    <spb s="12">
      <v>1</v>
      <v>2</v>
      <v>1</v>
      <v>3</v>
      <v>1</v>
      <v>1</v>
      <v>1</v>
      <v>4</v>
      <v>5</v>
      <v>6</v>
      <v>1</v>
      <v>1</v>
      <v>5</v>
      <v>1</v>
      <v>4</v>
      <v>7</v>
      <v>9</v>
      <v>1</v>
      <v>1</v>
      <v>5</v>
    </spb>
    <spb s="13">
      <v>at close</v>
      <v>from previous close</v>
      <v>Source: Nasdaq</v>
      <v>from previous close</v>
      <v>GMT</v>
      <v>Delayed 15 minutes</v>
      <v>from close</v>
      <v>from close</v>
    </spb>
    <spb s="14">
      <v>12</v>
      <v>1</v>
    </spb>
  </spbData>
</supportingPropertyBags>
</file>

<file path=xl/richData/rdsupportingpropertybagstructure.xml><?xml version="1.0" encoding="utf-8"?>
<spbStructures xmlns="http://schemas.microsoft.com/office/spreadsheetml/2017/richdata2" count="1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UniqueName" t="spb"/>
    <k n="`%ProviderInfo" t="spb"/>
    <k n="LearnMoreOnLink" t="spb"/>
    <k n="Last update time" t="spb"/>
  </s>
  <s>
    <k n="Name" t="i"/>
    <k n="Price" t="i"/>
    <k n="Change" t="i"/>
    <k n="Rating" t="i"/>
    <k n="Change (%)" t="i"/>
    <k n="Net assets" t="i"/>
    <k n="Return (1m)" t="i"/>
    <k n="Return (1w)" t="i"/>
    <k n="Return (1y)" t="i"/>
    <k n="Return (3m)" t="i"/>
    <k n="Return (3y)" t="i"/>
    <k n="Return (5y)" t="i"/>
    <k n="Return (YTD)" t="i"/>
    <k n="Expense ratio" t="i"/>
    <k n="Previous close" t="i"/>
    <k n="Last trade time" t="i"/>
    <k n="Last update time" t="i"/>
    <k n="`%EntityServiceId" t="i"/>
  </s>
  <s>
    <k n="Change" t="s"/>
    <k n="Change (%)" t="s"/>
    <k n="Last trade time" t="s"/>
    <k n="Last update time" t="s"/>
  </s>
  <s>
    <k n="UniqueName" t="spb"/>
    <k n="`%ProviderInfo" t="spb"/>
    <k n="LearnMoreOnLink" t="spb"/>
  </s>
  <s>
    <k n="Low" t="i"/>
    <k n="High" t="i"/>
    <k n="Name" t="i"/>
    <k n="Open" t="i"/>
    <k n="Price" t="i"/>
    <k n="Change" t="i"/>
    <k n="Change (%)" t="i"/>
    <k n="52 week low" t="i"/>
    <k n="52 week high" t="i"/>
    <k n="Previous close" t="i"/>
    <k n="`%EntityServiceId" t="i"/>
  </s>
  <s>
    <k n="Change" t="s"/>
    <k n="Change (%)" t="s"/>
  </s>
  <s>
    <k n="_Self" t="i"/>
  </s>
  <s>
    <k n="Low" t="i"/>
    <k n="Beta" t="i"/>
    <k n="High" t="i"/>
    <k n="Name" t="i"/>
    <k n="Open" t="i"/>
    <k n="Price" t="i"/>
    <k n="Change" t="i"/>
    <k n="Volume" t="i"/>
    <k n="Change (%)" t="i"/>
    <k n="Market cap" t="i"/>
    <k n="52 week low" t="i"/>
    <k n="52 week high" t="i"/>
    <k n="Expense ratio" t="i"/>
    <k n="Previous close" t="i"/>
    <k n="Volume average" t="i"/>
    <k n="Last trade time" t="i"/>
    <k n="`%EntityServiceId" t="i"/>
    <k n="Price (Extended hours)" t="i"/>
    <k n="Change (Extended hours)" t="i"/>
    <k n="Change % (Extended hours)" t="i"/>
  </s>
  <s>
    <k n="Price" t="s"/>
    <k n="Change" t="s"/>
    <k n="Exchange" t="s"/>
    <k n="Change (%)" t="s"/>
    <k n="Last trade time" t="s"/>
    <k n="Price (Extended hours)" t="s"/>
    <k n="Change (Extended hours)" t="s"/>
    <k n="Change % (Extended hours)" t="s"/>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27" formatCode="d/mm/yyyy\ h:mm"/>
    </x:dxf>
    <x:dxf>
      <x:numFmt numFmtId="14" formatCode="0.00%"/>
    </x:dxf>
    <x:dxf>
      <x:numFmt numFmtId="3" formatCode="#,##0"/>
    </x:dxf>
    <x:dxf>
      <x:numFmt numFmtId="4" formatCode="#,##0.00"/>
    </x:dxf>
    <x:dxf>
      <x:numFmt numFmtId="1" formatCode="0"/>
    </x:dxf>
    <x:dxf>
      <x:numFmt numFmtId="19" formatCode="d/mm/yyyy"/>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dxfid="1">
      <rpv i="0">_([$€-x-euro2] * #,##0.00_);_([$€-x-euro2] * (#,##0.00);_([$€-x-euro2] * "-"??_);_(@_)</rpv>
    </rSty>
    <rSty dxfid="1">
      <rpv i="0">_([$€-x-euro2] * #,##0_);_([$€-x-euro2] * (#,##0);_([$€-x-euro2] * "-"_);_(@_)</rpv>
    </rSty>
    <rSty dxfid="7"/>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3F6D9-8F2E-4F8F-A338-1E1E573C28B0}">
  <dimension ref="A1:N1521"/>
  <sheetViews>
    <sheetView zoomScale="85" zoomScaleNormal="85" workbookViewId="0">
      <selection activeCell="B11" sqref="B11"/>
    </sheetView>
  </sheetViews>
  <sheetFormatPr defaultRowHeight="14.5" x14ac:dyDescent="0.35"/>
  <cols>
    <col min="2" max="2" width="9.7265625" bestFit="1" customWidth="1"/>
    <col min="14" max="14" width="9.81640625" bestFit="1" customWidth="1"/>
  </cols>
  <sheetData>
    <row r="1" spans="1:14" x14ac:dyDescent="0.35">
      <c r="A1" t="s">
        <v>0</v>
      </c>
    </row>
    <row r="2" spans="1:14" x14ac:dyDescent="0.35">
      <c r="A2" t="s">
        <v>1</v>
      </c>
      <c r="B2" s="1">
        <v>42736</v>
      </c>
    </row>
    <row r="3" spans="1:14" x14ac:dyDescent="0.35">
      <c r="A3" t="s">
        <v>2</v>
      </c>
      <c r="B3" s="1">
        <v>44926</v>
      </c>
    </row>
    <row r="4" spans="1:14" x14ac:dyDescent="0.35">
      <c r="A4" t="s">
        <v>3</v>
      </c>
      <c r="B4">
        <v>1</v>
      </c>
    </row>
    <row r="8" spans="1:14" x14ac:dyDescent="0.35">
      <c r="C8">
        <v>1</v>
      </c>
      <c r="D8">
        <v>2</v>
      </c>
      <c r="E8">
        <v>3</v>
      </c>
      <c r="F8">
        <v>4</v>
      </c>
      <c r="G8">
        <v>5</v>
      </c>
      <c r="H8">
        <v>6</v>
      </c>
      <c r="I8">
        <v>7</v>
      </c>
      <c r="J8">
        <v>8</v>
      </c>
      <c r="K8">
        <v>9</v>
      </c>
      <c r="L8">
        <v>10</v>
      </c>
      <c r="M8">
        <v>11</v>
      </c>
    </row>
    <row r="9" spans="1:14" x14ac:dyDescent="0.35">
      <c r="B9" s="2" t="s">
        <v>4</v>
      </c>
      <c r="C9" s="3" t="e" vm="1">
        <v>#VALUE!</v>
      </c>
      <c r="D9" s="3" t="e" vm="2">
        <v>#VALUE!</v>
      </c>
      <c r="E9" s="3" t="s">
        <v>5</v>
      </c>
      <c r="F9" s="3" t="e" vm="3">
        <v>#VALUE!</v>
      </c>
      <c r="G9" s="3" t="e" vm="4">
        <v>#VALUE!</v>
      </c>
      <c r="H9" s="3" t="e" vm="5">
        <v>#VALUE!</v>
      </c>
      <c r="I9" s="3" t="e" vm="6">
        <v>#VALUE!</v>
      </c>
      <c r="J9" s="3" t="e" vm="7">
        <v>#VALUE!</v>
      </c>
      <c r="K9" s="3" t="e" vm="8">
        <v>#VALUE!</v>
      </c>
      <c r="L9" s="3" t="e" vm="9">
        <v>#VALUE!</v>
      </c>
      <c r="M9" s="3" t="e" vm="10">
        <v>#VALUE!</v>
      </c>
      <c r="N9" s="3" t="e" vm="11">
        <v>#VALUE!</v>
      </c>
    </row>
    <row r="10" spans="1:14" x14ac:dyDescent="0.35">
      <c r="B10" s="5" t="s">
        <v>6</v>
      </c>
      <c r="C10" s="4" t="s">
        <v>7</v>
      </c>
      <c r="D10" s="4" t="s">
        <v>8</v>
      </c>
      <c r="E10" s="4" t="s">
        <v>9</v>
      </c>
      <c r="F10" s="4" t="s">
        <v>10</v>
      </c>
      <c r="G10" s="4" t="s">
        <v>11</v>
      </c>
      <c r="H10" s="4" t="s">
        <v>12</v>
      </c>
      <c r="I10" s="4" t="s">
        <v>13</v>
      </c>
      <c r="J10" s="4" t="s">
        <v>14</v>
      </c>
      <c r="K10" s="4" t="s">
        <v>15</v>
      </c>
      <c r="L10" s="4" t="s">
        <v>16</v>
      </c>
      <c r="M10" s="4" t="s">
        <v>17</v>
      </c>
    </row>
    <row r="11" spans="1:14" x14ac:dyDescent="0.35">
      <c r="B11" s="4" t="str" cm="1">
        <f t="array" aca="1" ref="B11:C1521" ca="1">_xlfn.STOCKHISTORY(C10,B2,B3,0,1,0,1)</f>
        <v>Date</v>
      </c>
      <c r="C11" s="6" t="str">
        <f ca="1"/>
        <v>Close</v>
      </c>
      <c r="D11" s="4" t="str" cm="1">
        <f t="array" aca="1" ref="D11:D1521" ca="1">_xlfn.STOCKHISTORY(D10,$B$2,$B$3,0,1,1)</f>
        <v>Close</v>
      </c>
      <c r="E11" s="4" t="str" cm="1">
        <f t="array" aca="1" ref="E11:E1521" ca="1">_xlfn.STOCKHISTORY(E10,$B$2,$B$3,0,1,1)</f>
        <v>Close</v>
      </c>
      <c r="F11" s="4" t="str" cm="1">
        <f t="array" aca="1" ref="F11:F1520" ca="1">_xlfn.STOCKHISTORY(F10,$B$2,$B$3,0,1,1)</f>
        <v>Close</v>
      </c>
      <c r="G11" s="4" t="str" cm="1">
        <f t="array" aca="1" ref="G11:G1521" ca="1">_xlfn.STOCKHISTORY(G10,$B$2,$B$3,0,1,1)</f>
        <v>Close</v>
      </c>
      <c r="H11" s="4" t="str" cm="1">
        <f t="array" aca="1" ref="H11:H1521" ca="1">_xlfn.STOCKHISTORY(H10,$B$2,$B$3,0,1,1)</f>
        <v>Close</v>
      </c>
      <c r="I11" s="4" t="str" cm="1">
        <f t="array" aca="1" ref="I11:I1521" ca="1">_xlfn.STOCKHISTORY(I10,$B$2,$B$3,0,1,1)</f>
        <v>Close</v>
      </c>
      <c r="J11" s="4" t="str" cm="1">
        <f t="array" aca="1" ref="J11:J1521" ca="1">_xlfn.STOCKHISTORY(J10,$B$2,$B$3,0,1,1)</f>
        <v>Close</v>
      </c>
      <c r="K11" s="4" t="str" cm="1">
        <f t="array" aca="1" ref="K11:K1521" ca="1">_xlfn.STOCKHISTORY(K10,$B$2,$B$3,0,1,1)</f>
        <v>Close</v>
      </c>
      <c r="L11" s="4" t="str" cm="1">
        <f t="array" aca="1" ref="L11:L1521" ca="1">_xlfn.STOCKHISTORY(L10,$B$2,$B$3,0,1,1)</f>
        <v>Close</v>
      </c>
      <c r="M11" s="4" t="str" cm="1">
        <f t="array" aca="1" ref="M11:M1521" ca="1">_xlfn.STOCKHISTORY(M10,$B$2,$B$3,0,1,1)</f>
        <v>Close</v>
      </c>
      <c r="N11" s="4" t="str" cm="1">
        <f t="array" aca="1" ref="N11:N1517" ca="1">_xlfn.STOCKHISTORY(N9,$B$2,$B$3,0,1,1)</f>
        <v>Close</v>
      </c>
    </row>
    <row r="12" spans="1:14" x14ac:dyDescent="0.35">
      <c r="B12" vm="12">
        <f ca="1"/>
        <v>42738</v>
      </c>
      <c r="C12" vm="13">
        <f ca="1"/>
        <v>40.400500000000001</v>
      </c>
      <c r="D12" vm="14">
        <f ca="1"/>
        <v>37.683500000000002</v>
      </c>
      <c r="E12" vm="15">
        <f ca="1"/>
        <v>37.875</v>
      </c>
      <c r="F12" vm="16">
        <f ca="1"/>
        <v>358.72</v>
      </c>
      <c r="G12" vm="17">
        <f ca="1"/>
        <v>111.236</v>
      </c>
      <c r="H12" vm="18">
        <f ca="1"/>
        <v>105.39</v>
      </c>
      <c r="I12" vm="19">
        <f ca="1"/>
        <v>29.68</v>
      </c>
      <c r="J12" vm="20">
        <f ca="1"/>
        <v>84.8</v>
      </c>
      <c r="K12" vm="21">
        <f ca="1"/>
        <v>2.5503</v>
      </c>
      <c r="L12" vm="22">
        <f ca="1"/>
        <v>84.2</v>
      </c>
      <c r="M12" vm="23">
        <f ca="1"/>
        <v>161.44999999999999</v>
      </c>
      <c r="N12" vm="24">
        <f ca="1"/>
        <v>2257.83</v>
      </c>
    </row>
    <row r="13" spans="1:14" x14ac:dyDescent="0.35">
      <c r="B13" vm="25">
        <f ca="1"/>
        <v>42739</v>
      </c>
      <c r="C13" vm="26">
        <f ca="1"/>
        <v>40.388500000000001</v>
      </c>
      <c r="D13" vm="27">
        <f ca="1"/>
        <v>37.859000000000002</v>
      </c>
      <c r="E13" vm="28">
        <f ca="1"/>
        <v>38.450000000000003</v>
      </c>
      <c r="F13" vm="29">
        <f ca="1"/>
        <v>365.91</v>
      </c>
      <c r="G13" vm="30">
        <f ca="1"/>
        <v>111.5424</v>
      </c>
      <c r="H13" vm="31">
        <f ca="1"/>
        <v>106.39</v>
      </c>
      <c r="I13" vm="32">
        <f ca="1"/>
        <v>29.767499999999998</v>
      </c>
      <c r="J13" vm="33">
        <f ca="1"/>
        <v>85.43</v>
      </c>
      <c r="K13" vm="34">
        <f ca="1"/>
        <v>2.6097999999999999</v>
      </c>
      <c r="L13" vm="35">
        <f ca="1"/>
        <v>84.5</v>
      </c>
      <c r="M13" vm="36">
        <f ca="1"/>
        <v>161.91</v>
      </c>
      <c r="N13" vm="37">
        <f ca="1"/>
        <v>2270.75</v>
      </c>
    </row>
    <row r="14" spans="1:14" x14ac:dyDescent="0.35">
      <c r="B14" vm="38">
        <f ca="1"/>
        <v>42740</v>
      </c>
      <c r="C14" vm="39">
        <f ca="1"/>
        <v>40.651000000000003</v>
      </c>
      <c r="D14" vm="40">
        <f ca="1"/>
        <v>39.022500000000001</v>
      </c>
      <c r="E14" vm="41">
        <f ca="1"/>
        <v>38.43</v>
      </c>
      <c r="F14" vm="42">
        <f ca="1"/>
        <v>369.75</v>
      </c>
      <c r="G14" vm="43">
        <f ca="1"/>
        <v>111.79130000000001</v>
      </c>
      <c r="H14" vm="44">
        <f ca="1"/>
        <v>106.99</v>
      </c>
      <c r="I14" vm="45">
        <f ca="1"/>
        <v>29.75</v>
      </c>
      <c r="J14" vm="46">
        <f ca="1"/>
        <v>85.3</v>
      </c>
      <c r="K14" vm="47">
        <f ca="1"/>
        <v>2.5434999999999999</v>
      </c>
      <c r="L14" vm="48">
        <f ca="1"/>
        <v>85.06</v>
      </c>
      <c r="M14" vm="49">
        <f ca="1"/>
        <v>162.18</v>
      </c>
      <c r="N14" vm="50">
        <f ca="1"/>
        <v>2269</v>
      </c>
    </row>
    <row r="15" spans="1:14" x14ac:dyDescent="0.35">
      <c r="B15" vm="51">
        <f ca="1"/>
        <v>42741</v>
      </c>
      <c r="C15" vm="52">
        <f ca="1"/>
        <v>41.2605</v>
      </c>
      <c r="D15" vm="53">
        <f ca="1"/>
        <v>39.799500000000002</v>
      </c>
      <c r="E15" vm="54">
        <f ca="1"/>
        <v>38.6</v>
      </c>
      <c r="F15" vm="55">
        <f ca="1"/>
        <v>370.49</v>
      </c>
      <c r="G15" vm="56">
        <f ca="1"/>
        <v>113.486</v>
      </c>
      <c r="H15" vm="57">
        <f ca="1"/>
        <v>107.76</v>
      </c>
      <c r="I15" vm="58">
        <f ca="1"/>
        <v>29.662500000000001</v>
      </c>
      <c r="J15" vm="59">
        <f ca="1"/>
        <v>86.48</v>
      </c>
      <c r="K15" vm="60">
        <f ca="1"/>
        <v>2.5775000000000001</v>
      </c>
      <c r="L15" vm="61">
        <f ca="1"/>
        <v>85.03</v>
      </c>
      <c r="M15" vm="62">
        <f ca="1"/>
        <v>162.41</v>
      </c>
      <c r="N15" vm="63">
        <f ca="1"/>
        <v>2276.98</v>
      </c>
    </row>
    <row r="16" spans="1:14" x14ac:dyDescent="0.35">
      <c r="B16" vm="64">
        <f ca="1"/>
        <v>42744</v>
      </c>
      <c r="C16" vm="65">
        <f ca="1"/>
        <v>41.359000000000002</v>
      </c>
      <c r="D16" vm="66">
        <f ca="1"/>
        <v>39.845999999999997</v>
      </c>
      <c r="E16" vm="67">
        <f ca="1"/>
        <v>37.99</v>
      </c>
      <c r="F16" vm="68">
        <f ca="1"/>
        <v>373.19</v>
      </c>
      <c r="G16" vm="69">
        <f ca="1"/>
        <v>112.54770000000001</v>
      </c>
      <c r="H16" vm="70">
        <f ca="1"/>
        <v>107.55</v>
      </c>
      <c r="I16" vm="71">
        <f ca="1"/>
        <v>29.587499999999999</v>
      </c>
      <c r="J16" vm="72">
        <f ca="1"/>
        <v>85.77</v>
      </c>
      <c r="K16" vm="73">
        <f ca="1"/>
        <v>2.6819999999999999</v>
      </c>
      <c r="L16" vm="74">
        <f ca="1"/>
        <v>84.4</v>
      </c>
      <c r="M16" vm="75">
        <f ca="1"/>
        <v>161.94999999999999</v>
      </c>
      <c r="N16" vm="76">
        <f ca="1"/>
        <v>2268.9</v>
      </c>
    </row>
    <row r="17" spans="2:14" x14ac:dyDescent="0.35">
      <c r="B17" vm="77">
        <f ca="1"/>
        <v>42745</v>
      </c>
      <c r="C17" vm="78">
        <f ca="1"/>
        <v>41.3005</v>
      </c>
      <c r="D17" vm="79">
        <f ca="1"/>
        <v>39.795000000000002</v>
      </c>
      <c r="E17" vm="80">
        <f ca="1"/>
        <v>37.81</v>
      </c>
      <c r="F17" vm="81">
        <f ca="1"/>
        <v>370.03</v>
      </c>
      <c r="G17" vm="82">
        <f ca="1"/>
        <v>112.8349</v>
      </c>
      <c r="H17" vm="83">
        <f ca="1"/>
        <v>107.32</v>
      </c>
      <c r="I17" vm="84">
        <f ca="1"/>
        <v>29.645</v>
      </c>
      <c r="J17" vm="85">
        <f ca="1"/>
        <v>84.6</v>
      </c>
      <c r="K17" vm="86">
        <f ca="1"/>
        <v>2.6617999999999999</v>
      </c>
      <c r="L17" vm="87">
        <f ca="1"/>
        <v>83.49</v>
      </c>
      <c r="M17" vm="88">
        <f ca="1"/>
        <v>161.58000000000001</v>
      </c>
      <c r="N17" vm="76">
        <f ca="1"/>
        <v>2268.9</v>
      </c>
    </row>
    <row r="18" spans="2:14" x14ac:dyDescent="0.35">
      <c r="B18" vm="89">
        <f ca="1"/>
        <v>42746</v>
      </c>
      <c r="C18" vm="90">
        <f ca="1"/>
        <v>41.493000000000002</v>
      </c>
      <c r="D18" vm="91">
        <f ca="1"/>
        <v>39.951000000000001</v>
      </c>
      <c r="E18" vm="92">
        <f ca="1"/>
        <v>38.354999999999997</v>
      </c>
      <c r="F18" vm="93">
        <f ca="1"/>
        <v>371.58</v>
      </c>
      <c r="G18" vm="94">
        <f ca="1"/>
        <v>112.9881</v>
      </c>
      <c r="H18" vm="95">
        <f ca="1"/>
        <v>107.81</v>
      </c>
      <c r="I18" vm="96">
        <f ca="1"/>
        <v>29.852499999999999</v>
      </c>
      <c r="J18" vm="97">
        <f ca="1"/>
        <v>85.66</v>
      </c>
      <c r="K18" vm="98">
        <f ca="1"/>
        <v>2.629</v>
      </c>
      <c r="L18" vm="99">
        <f ca="1"/>
        <v>83.75</v>
      </c>
      <c r="M18" vm="100">
        <f ca="1"/>
        <v>161.88999999999999</v>
      </c>
      <c r="N18" vm="101">
        <f ca="1"/>
        <v>2275.3200000000002</v>
      </c>
    </row>
    <row r="19" spans="2:14" x14ac:dyDescent="0.35">
      <c r="B19" vm="102">
        <f ca="1"/>
        <v>42747</v>
      </c>
      <c r="C19" vm="103">
        <f ca="1"/>
        <v>41.476500000000001</v>
      </c>
      <c r="D19" vm="104">
        <f ca="1"/>
        <v>40.682000000000002</v>
      </c>
      <c r="E19" vm="105">
        <f ca="1"/>
        <v>38.524999999999999</v>
      </c>
      <c r="F19" vm="106">
        <f ca="1"/>
        <v>374.15</v>
      </c>
      <c r="G19" vm="107">
        <f ca="1"/>
        <v>112.62430000000001</v>
      </c>
      <c r="H19" vm="108">
        <f ca="1"/>
        <v>108.71</v>
      </c>
      <c r="I19" vm="109">
        <f ca="1"/>
        <v>29.875</v>
      </c>
      <c r="J19" vm="110">
        <f ca="1"/>
        <v>85.33</v>
      </c>
      <c r="K19" vm="111">
        <f ca="1"/>
        <v>2.5859999999999999</v>
      </c>
      <c r="L19" vm="112">
        <f ca="1"/>
        <v>83.84</v>
      </c>
      <c r="M19" vm="113">
        <f ca="1"/>
        <v>162.36000000000001</v>
      </c>
      <c r="N19" vm="114">
        <f ca="1"/>
        <v>2270.44</v>
      </c>
    </row>
    <row r="20" spans="2:14" x14ac:dyDescent="0.35">
      <c r="B20" vm="115">
        <f ca="1"/>
        <v>42748</v>
      </c>
      <c r="C20" vm="116">
        <f ca="1"/>
        <v>41.546999999999997</v>
      </c>
      <c r="D20" vm="117">
        <f ca="1"/>
        <v>40.856999999999999</v>
      </c>
      <c r="E20" vm="118">
        <f ca="1"/>
        <v>38.085000000000001</v>
      </c>
      <c r="F20" vm="119">
        <f ca="1"/>
        <v>374.95</v>
      </c>
      <c r="G20" vm="120">
        <f ca="1"/>
        <v>113.04559999999999</v>
      </c>
      <c r="H20" vm="121">
        <f ca="1"/>
        <v>108.7</v>
      </c>
      <c r="I20" vm="122">
        <f ca="1"/>
        <v>29.762499999999999</v>
      </c>
      <c r="J20" vm="123">
        <f ca="1"/>
        <v>84.82</v>
      </c>
      <c r="K20" vm="124">
        <f ca="1"/>
        <v>2.5857999999999999</v>
      </c>
      <c r="L20" vm="125">
        <f ca="1"/>
        <v>84.01</v>
      </c>
      <c r="M20" vm="126">
        <f ca="1"/>
        <v>161.80000000000001</v>
      </c>
      <c r="N20" vm="127">
        <f ca="1"/>
        <v>2274.64</v>
      </c>
    </row>
    <row r="21" spans="2:14" x14ac:dyDescent="0.35">
      <c r="B21" vm="128">
        <f ca="1"/>
        <v>42752</v>
      </c>
      <c r="C21" vm="129">
        <f ca="1"/>
        <v>41.372999999999998</v>
      </c>
      <c r="D21" vm="130">
        <f ca="1"/>
        <v>40.485999999999997</v>
      </c>
      <c r="E21" vm="131">
        <f ca="1"/>
        <v>38.244999999999997</v>
      </c>
      <c r="F21" vm="132">
        <f ca="1"/>
        <v>376.13</v>
      </c>
      <c r="G21" vm="133">
        <f ca="1"/>
        <v>112.2413</v>
      </c>
      <c r="H21" vm="134">
        <f ca="1"/>
        <v>108.4</v>
      </c>
      <c r="I21" vm="135">
        <f ca="1"/>
        <v>30.055</v>
      </c>
      <c r="J21" vm="136">
        <f ca="1"/>
        <v>86.43</v>
      </c>
      <c r="K21" vm="137">
        <f ca="1"/>
        <v>2.5278</v>
      </c>
      <c r="L21" vm="138">
        <f ca="1"/>
        <v>85.21</v>
      </c>
      <c r="M21" vm="139">
        <f ca="1"/>
        <v>160.66</v>
      </c>
      <c r="N21" vm="140">
        <f ca="1"/>
        <v>2267.89</v>
      </c>
    </row>
    <row r="22" spans="2:14" x14ac:dyDescent="0.35">
      <c r="B22" vm="141">
        <f ca="1"/>
        <v>42753</v>
      </c>
      <c r="C22" vm="142">
        <f ca="1"/>
        <v>41.451000000000001</v>
      </c>
      <c r="D22" vm="143">
        <f ca="1"/>
        <v>40.374000000000002</v>
      </c>
      <c r="E22" vm="144">
        <f ca="1"/>
        <v>38.49</v>
      </c>
      <c r="F22" vm="145">
        <f ca="1"/>
        <v>376.73</v>
      </c>
      <c r="G22" vm="146">
        <f ca="1"/>
        <v>113.036</v>
      </c>
      <c r="H22" vm="147">
        <f ca="1"/>
        <v>108.66</v>
      </c>
      <c r="I22" vm="148">
        <f ca="1"/>
        <v>30.0075</v>
      </c>
      <c r="J22" vm="149">
        <f ca="1"/>
        <v>87.48</v>
      </c>
      <c r="K22" vm="150">
        <f ca="1"/>
        <v>2.5737999999999999</v>
      </c>
      <c r="L22" vm="151">
        <f ca="1"/>
        <v>84.93</v>
      </c>
      <c r="M22" vm="152">
        <f ca="1"/>
        <v>157.74</v>
      </c>
      <c r="N22" vm="153">
        <f ca="1"/>
        <v>2271.89</v>
      </c>
    </row>
    <row r="23" spans="2:14" x14ac:dyDescent="0.35">
      <c r="B23" vm="154">
        <f ca="1"/>
        <v>42754</v>
      </c>
      <c r="C23" vm="155">
        <f ca="1"/>
        <v>41.218499999999999</v>
      </c>
      <c r="D23" vm="156">
        <f ca="1"/>
        <v>40.451999999999998</v>
      </c>
      <c r="E23" vm="157">
        <f ca="1"/>
        <v>37.805</v>
      </c>
      <c r="F23" vm="158">
        <f ca="1"/>
        <v>381.15</v>
      </c>
      <c r="G23" vm="159">
        <f ca="1"/>
        <v>112.89239999999999</v>
      </c>
      <c r="H23" vm="160">
        <f ca="1"/>
        <v>108.53</v>
      </c>
      <c r="I23" vm="161">
        <f ca="1"/>
        <v>29.82</v>
      </c>
      <c r="J23" vm="162">
        <f ca="1"/>
        <v>87.2</v>
      </c>
      <c r="K23" vm="98">
        <f ca="1"/>
        <v>2.629</v>
      </c>
      <c r="L23" vm="163">
        <f ca="1"/>
        <v>84.7</v>
      </c>
      <c r="M23" vm="164">
        <f ca="1"/>
        <v>158.69999999999999</v>
      </c>
      <c r="N23" vm="165">
        <f ca="1"/>
        <v>2263.69</v>
      </c>
    </row>
    <row r="24" spans="2:14" x14ac:dyDescent="0.35">
      <c r="B24" vm="166">
        <f ca="1"/>
        <v>42755</v>
      </c>
      <c r="C24" vm="167">
        <f ca="1"/>
        <v>41.408499999999997</v>
      </c>
      <c r="D24" vm="168">
        <f ca="1"/>
        <v>40.416499999999999</v>
      </c>
      <c r="E24" vm="169">
        <f ca="1"/>
        <v>37.49</v>
      </c>
      <c r="F24" vm="170">
        <f ca="1"/>
        <v>383.27</v>
      </c>
      <c r="G24" vm="171">
        <f ca="1"/>
        <v>112.8062</v>
      </c>
      <c r="H24" vm="172">
        <f ca="1"/>
        <v>109.96</v>
      </c>
      <c r="I24" vm="173">
        <f ca="1"/>
        <v>29.815000000000001</v>
      </c>
      <c r="J24" vm="174">
        <f ca="1"/>
        <v>86.49</v>
      </c>
      <c r="K24" vm="175">
        <f ca="1"/>
        <v>2.6002999999999998</v>
      </c>
      <c r="L24" vm="176">
        <f ca="1"/>
        <v>87.45</v>
      </c>
      <c r="M24" vm="177">
        <f ca="1"/>
        <v>158.66</v>
      </c>
      <c r="N24" vm="178">
        <f ca="1"/>
        <v>2271.31</v>
      </c>
    </row>
    <row r="25" spans="2:14" x14ac:dyDescent="0.35">
      <c r="B25" vm="179">
        <f ca="1"/>
        <v>42758</v>
      </c>
      <c r="C25" vm="180">
        <f ca="1"/>
        <v>42.221499999999999</v>
      </c>
      <c r="D25" vm="181">
        <f ca="1"/>
        <v>40.893999999999998</v>
      </c>
      <c r="E25" vm="182">
        <f ca="1"/>
        <v>37.69</v>
      </c>
      <c r="F25" vm="183">
        <f ca="1"/>
        <v>385.35</v>
      </c>
      <c r="G25" vm="184">
        <f ca="1"/>
        <v>112.41370000000001</v>
      </c>
      <c r="H25" vm="185">
        <f ca="1"/>
        <v>109.63</v>
      </c>
      <c r="I25" vm="186">
        <f ca="1"/>
        <v>29.695</v>
      </c>
      <c r="J25" vm="187">
        <f ca="1"/>
        <v>84.27</v>
      </c>
      <c r="K25" vm="188">
        <f ca="1"/>
        <v>2.6273</v>
      </c>
      <c r="L25" vm="189">
        <f ca="1"/>
        <v>86.96</v>
      </c>
      <c r="M25" vm="190">
        <f ca="1"/>
        <v>159.07</v>
      </c>
      <c r="N25" vm="191">
        <f ca="1"/>
        <v>2265.1999999999998</v>
      </c>
    </row>
    <row r="26" spans="2:14" x14ac:dyDescent="0.35">
      <c r="B26" vm="192">
        <f ca="1"/>
        <v>42759</v>
      </c>
      <c r="C26" vm="193">
        <f ca="1"/>
        <v>42.476500000000001</v>
      </c>
      <c r="D26" vm="194">
        <f ca="1"/>
        <v>41.122</v>
      </c>
      <c r="E26" vm="195">
        <f ca="1"/>
        <v>38.229999999999997</v>
      </c>
      <c r="F26" vm="196">
        <f ca="1"/>
        <v>389.66</v>
      </c>
      <c r="G26" vm="197">
        <f ca="1"/>
        <v>112.94029999999999</v>
      </c>
      <c r="H26" vm="198">
        <f ca="1"/>
        <v>109.92</v>
      </c>
      <c r="I26" vm="199">
        <f ca="1"/>
        <v>29.702500000000001</v>
      </c>
      <c r="J26" vm="200">
        <f ca="1"/>
        <v>84.58</v>
      </c>
      <c r="K26" vm="201">
        <f ca="1"/>
        <v>2.6833</v>
      </c>
      <c r="L26" vm="202">
        <f ca="1"/>
        <v>87.86</v>
      </c>
      <c r="M26" vm="203">
        <f ca="1"/>
        <v>160.43</v>
      </c>
      <c r="N26" vm="204">
        <f ca="1"/>
        <v>2280.0700000000002</v>
      </c>
    </row>
    <row r="27" spans="2:14" x14ac:dyDescent="0.35">
      <c r="B27" vm="205">
        <f ca="1"/>
        <v>42760</v>
      </c>
      <c r="C27" vm="206">
        <f ca="1"/>
        <v>42.922499999999999</v>
      </c>
      <c r="D27" vm="207">
        <f ca="1"/>
        <v>41.826000000000001</v>
      </c>
      <c r="E27" vm="208">
        <f ca="1"/>
        <v>38.375</v>
      </c>
      <c r="F27" vm="209">
        <f ca="1"/>
        <v>384.43</v>
      </c>
      <c r="G27" vm="210">
        <f ca="1"/>
        <v>112.86369999999999</v>
      </c>
      <c r="H27" vm="211">
        <f ca="1"/>
        <v>110.19</v>
      </c>
      <c r="I27" vm="212">
        <f ca="1"/>
        <v>29.754999999999999</v>
      </c>
      <c r="J27" vm="213">
        <f ca="1"/>
        <v>85.51</v>
      </c>
      <c r="K27" vm="214">
        <f ca="1"/>
        <v>2.6947999999999999</v>
      </c>
      <c r="L27" vm="215">
        <f ca="1"/>
        <v>87.16</v>
      </c>
      <c r="M27" vm="216">
        <f ca="1"/>
        <v>161.24</v>
      </c>
      <c r="N27" vm="217">
        <f ca="1"/>
        <v>2298.37</v>
      </c>
    </row>
    <row r="28" spans="2:14" x14ac:dyDescent="0.35">
      <c r="B28" vm="218">
        <f ca="1"/>
        <v>42761</v>
      </c>
      <c r="C28" vm="219">
        <f ca="1"/>
        <v>42.848999999999997</v>
      </c>
      <c r="D28" vm="220">
        <f ca="1"/>
        <v>41.957500000000003</v>
      </c>
      <c r="E28" vm="221">
        <f ca="1"/>
        <v>38.18</v>
      </c>
      <c r="F28" vm="222">
        <f ca="1"/>
        <v>384.21</v>
      </c>
      <c r="G28" vm="223">
        <f ca="1"/>
        <v>112.9498</v>
      </c>
      <c r="H28" vm="224">
        <f ca="1"/>
        <v>109.38</v>
      </c>
      <c r="I28" vm="225">
        <f ca="1"/>
        <v>29.6875</v>
      </c>
      <c r="J28" vm="226">
        <f ca="1"/>
        <v>84.88</v>
      </c>
      <c r="K28" vm="227">
        <f ca="1"/>
        <v>2.7412999999999998</v>
      </c>
      <c r="L28" vm="228">
        <f ca="1"/>
        <v>86.6</v>
      </c>
      <c r="M28" vm="229">
        <f ca="1"/>
        <v>162.75</v>
      </c>
      <c r="N28" vm="230">
        <f ca="1"/>
        <v>2296.6799999999998</v>
      </c>
    </row>
    <row r="29" spans="2:14" x14ac:dyDescent="0.35">
      <c r="B29" vm="231">
        <f ca="1"/>
        <v>42762</v>
      </c>
      <c r="C29" vm="232">
        <f ca="1"/>
        <v>42.2515</v>
      </c>
      <c r="D29" vm="233">
        <f ca="1"/>
        <v>41.788499999999999</v>
      </c>
      <c r="E29" vm="234">
        <f ca="1"/>
        <v>38.47</v>
      </c>
      <c r="F29" vm="235">
        <f ca="1"/>
        <v>382.96</v>
      </c>
      <c r="G29" vm="236">
        <f ca="1"/>
        <v>113.3807</v>
      </c>
      <c r="H29" vm="237">
        <f ca="1"/>
        <v>109.84</v>
      </c>
      <c r="I29" vm="238">
        <f ca="1"/>
        <v>30.342500000000001</v>
      </c>
      <c r="J29" vm="35">
        <f ca="1"/>
        <v>84.5</v>
      </c>
      <c r="K29" vm="239">
        <f ca="1"/>
        <v>2.7942999999999998</v>
      </c>
      <c r="L29" vm="240">
        <f ca="1"/>
        <v>86.72</v>
      </c>
      <c r="M29" vm="241">
        <f ca="1"/>
        <v>162.99</v>
      </c>
      <c r="N29" vm="242">
        <f ca="1"/>
        <v>2294.69</v>
      </c>
    </row>
    <row r="30" spans="2:14" x14ac:dyDescent="0.35">
      <c r="B30" vm="243">
        <f ca="1"/>
        <v>42765</v>
      </c>
      <c r="C30" vm="244">
        <f ca="1"/>
        <v>41.191499999999998</v>
      </c>
      <c r="D30" vm="245">
        <f ca="1"/>
        <v>41.518999999999998</v>
      </c>
      <c r="E30" vm="246">
        <f ca="1"/>
        <v>38.24</v>
      </c>
      <c r="F30" vm="247">
        <f ca="1"/>
        <v>386.37</v>
      </c>
      <c r="G30" vm="248">
        <f ca="1"/>
        <v>114.04130000000001</v>
      </c>
      <c r="H30" vm="249">
        <f ca="1"/>
        <v>109.3</v>
      </c>
      <c r="I30" vm="250">
        <f ca="1"/>
        <v>30.612500000000001</v>
      </c>
      <c r="J30" vm="251">
        <f ca="1"/>
        <v>83.61</v>
      </c>
      <c r="K30" vm="252">
        <f ca="1"/>
        <v>2.7505000000000002</v>
      </c>
      <c r="L30" vm="253">
        <f ca="1"/>
        <v>86.75</v>
      </c>
      <c r="M30" vm="254">
        <f ca="1"/>
        <v>162.09</v>
      </c>
      <c r="N30" vm="255">
        <f ca="1"/>
        <v>2280.9</v>
      </c>
    </row>
    <row r="31" spans="2:14" x14ac:dyDescent="0.35">
      <c r="B31" vm="256">
        <f ca="1"/>
        <v>42766</v>
      </c>
      <c r="C31" vm="257">
        <f ca="1"/>
        <v>41.009500000000003</v>
      </c>
      <c r="D31" vm="258">
        <f ca="1"/>
        <v>41.173999999999999</v>
      </c>
      <c r="E31" vm="259">
        <f ca="1"/>
        <v>38.130000000000003</v>
      </c>
      <c r="F31" vm="260">
        <f ca="1"/>
        <v>384.98</v>
      </c>
      <c r="G31" vm="261">
        <f ca="1"/>
        <v>113.28489999999999</v>
      </c>
      <c r="H31" vm="262">
        <f ca="1"/>
        <v>106.33</v>
      </c>
      <c r="I31" vm="263">
        <f ca="1"/>
        <v>30.93</v>
      </c>
      <c r="J31" vm="264">
        <f ca="1"/>
        <v>83.71</v>
      </c>
      <c r="K31" vm="265">
        <f ca="1"/>
        <v>2.7294999999999998</v>
      </c>
      <c r="L31" vm="266">
        <f ca="1"/>
        <v>87.6</v>
      </c>
      <c r="M31" vm="267">
        <f ca="1"/>
        <v>162.1</v>
      </c>
      <c r="N31" vm="268">
        <f ca="1"/>
        <v>2278.87</v>
      </c>
    </row>
    <row r="32" spans="2:14" x14ac:dyDescent="0.35">
      <c r="B32" vm="269">
        <f ca="1"/>
        <v>42767</v>
      </c>
      <c r="C32" vm="270">
        <f ca="1"/>
        <v>40.762</v>
      </c>
      <c r="D32" vm="271">
        <f ca="1"/>
        <v>41.6175</v>
      </c>
      <c r="E32" vm="272">
        <f ca="1"/>
        <v>38.265000000000001</v>
      </c>
      <c r="F32" vm="273">
        <f ca="1"/>
        <v>381.3</v>
      </c>
      <c r="G32" vm="274">
        <f ca="1"/>
        <v>112.9786</v>
      </c>
      <c r="H32" vm="275">
        <f ca="1"/>
        <v>105</v>
      </c>
      <c r="I32" vm="276">
        <f ca="1"/>
        <v>30.655000000000001</v>
      </c>
      <c r="J32" vm="277">
        <f ca="1"/>
        <v>83.17</v>
      </c>
      <c r="K32" vm="278">
        <f ca="1"/>
        <v>2.8488000000000002</v>
      </c>
      <c r="L32" vm="279">
        <f ca="1"/>
        <v>87.33</v>
      </c>
      <c r="M32" vm="280">
        <f ca="1"/>
        <v>162.71</v>
      </c>
      <c r="N32" vm="281">
        <f ca="1"/>
        <v>2279.5500000000002</v>
      </c>
    </row>
    <row r="33" spans="2:14" x14ac:dyDescent="0.35">
      <c r="B33" vm="282">
        <f ca="1"/>
        <v>42768</v>
      </c>
      <c r="C33" vm="283">
        <f ca="1"/>
        <v>40.912999999999997</v>
      </c>
      <c r="D33" vm="284">
        <f ca="1"/>
        <v>41.997500000000002</v>
      </c>
      <c r="E33" vm="285">
        <f ca="1"/>
        <v>36.659999999999997</v>
      </c>
      <c r="F33" vm="286">
        <f ca="1"/>
        <v>383.08</v>
      </c>
      <c r="G33" vm="287">
        <f ca="1"/>
        <v>112.96899999999999</v>
      </c>
      <c r="H33" vm="288">
        <f ca="1"/>
        <v>105.14</v>
      </c>
      <c r="I33" vm="289">
        <f ca="1"/>
        <v>30.864999999999998</v>
      </c>
      <c r="J33" vm="290">
        <f ca="1"/>
        <v>82.44</v>
      </c>
      <c r="K33" vm="291">
        <f ca="1"/>
        <v>2.8847999999999998</v>
      </c>
      <c r="L33" vm="292">
        <f ca="1"/>
        <v>87.76</v>
      </c>
      <c r="M33" vm="293">
        <f ca="1"/>
        <v>160.76</v>
      </c>
      <c r="N33" vm="294">
        <f ca="1"/>
        <v>2280.85</v>
      </c>
    </row>
    <row r="34" spans="2:14" x14ac:dyDescent="0.35">
      <c r="B34" vm="295">
        <f ca="1"/>
        <v>42769</v>
      </c>
      <c r="C34" vm="296">
        <f ca="1"/>
        <v>41.006500000000003</v>
      </c>
      <c r="D34" vm="297">
        <f ca="1"/>
        <v>40.51</v>
      </c>
      <c r="E34" vm="298">
        <f ca="1"/>
        <v>36.92</v>
      </c>
      <c r="F34" vm="299">
        <f ca="1"/>
        <v>384.82</v>
      </c>
      <c r="G34" vm="300">
        <f ca="1"/>
        <v>114.11790000000001</v>
      </c>
      <c r="H34" vm="301">
        <f ca="1"/>
        <v>106.58</v>
      </c>
      <c r="I34" vm="302">
        <f ca="1"/>
        <v>31.052499999999998</v>
      </c>
      <c r="J34" vm="303">
        <f ca="1"/>
        <v>82.5</v>
      </c>
      <c r="K34" vm="304">
        <f ca="1"/>
        <v>2.8595000000000002</v>
      </c>
      <c r="L34" vm="305">
        <f ca="1"/>
        <v>87.41</v>
      </c>
      <c r="M34" vm="306">
        <f ca="1"/>
        <v>161.87</v>
      </c>
      <c r="N34" vm="307">
        <f ca="1"/>
        <v>2297.42</v>
      </c>
    </row>
    <row r="35" spans="2:14" x14ac:dyDescent="0.35">
      <c r="B35" vm="308">
        <f ca="1"/>
        <v>42772</v>
      </c>
      <c r="C35" vm="309">
        <f ca="1"/>
        <v>41.081000000000003</v>
      </c>
      <c r="D35" vm="310">
        <f ca="1"/>
        <v>40.381999999999998</v>
      </c>
      <c r="E35" vm="311">
        <f ca="1"/>
        <v>36.47</v>
      </c>
      <c r="F35" vm="312">
        <f ca="1"/>
        <v>381.67</v>
      </c>
      <c r="G35" vm="313">
        <f ca="1"/>
        <v>114.2615</v>
      </c>
      <c r="H35" vm="314">
        <f ca="1"/>
        <v>106.59</v>
      </c>
      <c r="I35" vm="315">
        <f ca="1"/>
        <v>30.965</v>
      </c>
      <c r="J35" vm="316">
        <f ca="1"/>
        <v>81.69</v>
      </c>
      <c r="K35" vm="317">
        <f ca="1"/>
        <v>2.9327999999999999</v>
      </c>
      <c r="L35" vm="318">
        <f ca="1"/>
        <v>87.4</v>
      </c>
      <c r="M35" vm="319">
        <f ca="1"/>
        <v>160.51</v>
      </c>
      <c r="N35" vm="320">
        <f ca="1"/>
        <v>2292.56</v>
      </c>
    </row>
    <row r="36" spans="2:14" x14ac:dyDescent="0.35">
      <c r="B36" vm="321">
        <f ca="1"/>
        <v>42773</v>
      </c>
      <c r="C36" vm="322">
        <f ca="1"/>
        <v>41.461500000000001</v>
      </c>
      <c r="D36" vm="323">
        <f ca="1"/>
        <v>40.625</v>
      </c>
      <c r="E36" vm="324">
        <f ca="1"/>
        <v>36.31</v>
      </c>
      <c r="F36" vm="325">
        <f ca="1"/>
        <v>380.64</v>
      </c>
      <c r="G36" vm="326">
        <f ca="1"/>
        <v>114.6254</v>
      </c>
      <c r="H36" vm="327">
        <f ca="1"/>
        <v>106.6</v>
      </c>
      <c r="I36" vm="328">
        <f ca="1"/>
        <v>31.0825</v>
      </c>
      <c r="J36" vm="329">
        <f ca="1"/>
        <v>81.069999999999993</v>
      </c>
      <c r="K36" vm="330">
        <f ca="1"/>
        <v>2.9782999999999999</v>
      </c>
      <c r="L36" vm="331">
        <f ca="1"/>
        <v>88.01</v>
      </c>
      <c r="M36" vm="332">
        <f ca="1"/>
        <v>160.53</v>
      </c>
      <c r="N36" vm="333">
        <f ca="1"/>
        <v>2293.08</v>
      </c>
    </row>
    <row r="37" spans="2:14" x14ac:dyDescent="0.35">
      <c r="B37" vm="334">
        <f ca="1"/>
        <v>42774</v>
      </c>
      <c r="C37" vm="335">
        <f ca="1"/>
        <v>41.494</v>
      </c>
      <c r="D37" vm="336">
        <f ca="1"/>
        <v>40.985500000000002</v>
      </c>
      <c r="E37" vm="337">
        <f ca="1"/>
        <v>37.229999999999997</v>
      </c>
      <c r="F37" vm="338">
        <f ca="1"/>
        <v>383.97</v>
      </c>
      <c r="G37" vm="339">
        <f ca="1"/>
        <v>114.6349</v>
      </c>
      <c r="H37" vm="340">
        <f ca="1"/>
        <v>106.72</v>
      </c>
      <c r="I37" vm="341">
        <f ca="1"/>
        <v>31.574999999999999</v>
      </c>
      <c r="J37" vm="342">
        <f ca="1"/>
        <v>81.12</v>
      </c>
      <c r="K37" vm="343">
        <f ca="1"/>
        <v>2.9653</v>
      </c>
      <c r="L37" vm="344">
        <f ca="1"/>
        <v>88.33</v>
      </c>
      <c r="M37" vm="345">
        <f ca="1"/>
        <v>160.31</v>
      </c>
      <c r="N37" vm="346">
        <f ca="1"/>
        <v>2294.67</v>
      </c>
    </row>
    <row r="38" spans="2:14" x14ac:dyDescent="0.35">
      <c r="B38" vm="347">
        <f ca="1"/>
        <v>42775</v>
      </c>
      <c r="C38" vm="348">
        <f ca="1"/>
        <v>41.503</v>
      </c>
      <c r="D38" vm="349">
        <f ca="1"/>
        <v>41.067999999999998</v>
      </c>
      <c r="E38" vm="350">
        <f ca="1"/>
        <v>37.04</v>
      </c>
      <c r="F38" vm="351">
        <f ca="1"/>
        <v>385.8</v>
      </c>
      <c r="G38" vm="352">
        <f ca="1"/>
        <v>115.5254</v>
      </c>
      <c r="H38" vm="353">
        <f ca="1"/>
        <v>107.3</v>
      </c>
      <c r="I38" vm="354">
        <f ca="1"/>
        <v>31.162500000000001</v>
      </c>
      <c r="J38" vm="355">
        <f ca="1"/>
        <v>81.209999999999994</v>
      </c>
      <c r="K38" vm="356">
        <f ca="1"/>
        <v>2.9095</v>
      </c>
      <c r="L38" vm="357">
        <f ca="1"/>
        <v>88.67</v>
      </c>
      <c r="M38" vm="358">
        <f ca="1"/>
        <v>160.44</v>
      </c>
      <c r="N38" vm="359">
        <f ca="1"/>
        <v>2307.87</v>
      </c>
    </row>
    <row r="39" spans="2:14" x14ac:dyDescent="0.35">
      <c r="B39" vm="360">
        <f ca="1"/>
        <v>42776</v>
      </c>
      <c r="C39" vm="361">
        <f ca="1"/>
        <v>41.7425</v>
      </c>
      <c r="D39" vm="129">
        <f ca="1"/>
        <v>41.372999999999998</v>
      </c>
      <c r="E39" vm="362">
        <f ca="1"/>
        <v>37.164999999999999</v>
      </c>
      <c r="F39" vm="363">
        <f ca="1"/>
        <v>386.45</v>
      </c>
      <c r="G39" vm="364">
        <f ca="1"/>
        <v>116.6647</v>
      </c>
      <c r="H39" vm="365">
        <f ca="1"/>
        <v>107.27</v>
      </c>
      <c r="I39" vm="366">
        <f ca="1"/>
        <v>31.3675</v>
      </c>
      <c r="J39" vm="367">
        <f ca="1"/>
        <v>82.16</v>
      </c>
      <c r="K39" vm="368">
        <f ca="1"/>
        <v>2.8405</v>
      </c>
      <c r="L39" vm="369">
        <f ca="1"/>
        <v>87.97</v>
      </c>
      <c r="M39" vm="370">
        <f ca="1"/>
        <v>160.75</v>
      </c>
      <c r="N39" vm="371">
        <f ca="1"/>
        <v>2316.1</v>
      </c>
    </row>
    <row r="40" spans="2:14" x14ac:dyDescent="0.35">
      <c r="B40" vm="372">
        <f ca="1"/>
        <v>42779</v>
      </c>
      <c r="C40" vm="373">
        <f ca="1"/>
        <v>41.948</v>
      </c>
      <c r="D40" vm="374">
        <f ca="1"/>
        <v>41.826500000000003</v>
      </c>
      <c r="E40" vm="375">
        <f ca="1"/>
        <v>36.924999999999997</v>
      </c>
      <c r="F40" vm="376">
        <f ca="1"/>
        <v>386.69</v>
      </c>
      <c r="G40" vm="377">
        <f ca="1"/>
        <v>118.35939999999999</v>
      </c>
      <c r="H40" vm="378">
        <f ca="1"/>
        <v>108.28</v>
      </c>
      <c r="I40" vm="379">
        <f ca="1"/>
        <v>31.5</v>
      </c>
      <c r="J40" vm="380">
        <f ca="1"/>
        <v>81.819999999999993</v>
      </c>
      <c r="K40" vm="381">
        <f ca="1"/>
        <v>2.7094999999999998</v>
      </c>
      <c r="L40" vm="382">
        <f ca="1"/>
        <v>88.31</v>
      </c>
      <c r="M40" vm="383">
        <f ca="1"/>
        <v>161.99</v>
      </c>
      <c r="N40" vm="384">
        <f ca="1"/>
        <v>2328.25</v>
      </c>
    </row>
    <row r="41" spans="2:14" x14ac:dyDescent="0.35">
      <c r="B41" vm="385">
        <f ca="1"/>
        <v>42780</v>
      </c>
      <c r="C41" vm="386">
        <f ca="1"/>
        <v>42.0015</v>
      </c>
      <c r="D41" vm="387">
        <f ca="1"/>
        <v>41.819499999999998</v>
      </c>
      <c r="E41" vm="388">
        <f ca="1"/>
        <v>36.869999999999997</v>
      </c>
      <c r="F41" vm="389">
        <f ca="1"/>
        <v>382.64</v>
      </c>
      <c r="G41" vm="377">
        <f ca="1"/>
        <v>118.35939999999999</v>
      </c>
      <c r="H41" vm="390">
        <f ca="1"/>
        <v>108.88</v>
      </c>
      <c r="I41" vm="379">
        <f ca="1"/>
        <v>31.5</v>
      </c>
      <c r="J41" vm="391">
        <f ca="1"/>
        <v>82.46</v>
      </c>
      <c r="K41" vm="392">
        <f ca="1"/>
        <v>2.7195</v>
      </c>
      <c r="L41" vm="202">
        <f ca="1"/>
        <v>87.86</v>
      </c>
      <c r="M41" vm="393">
        <f ca="1"/>
        <v>163.13</v>
      </c>
      <c r="N41" vm="394">
        <f ca="1"/>
        <v>2337.58</v>
      </c>
    </row>
    <row r="42" spans="2:14" x14ac:dyDescent="0.35">
      <c r="B42" vm="395">
        <f ca="1"/>
        <v>42781</v>
      </c>
      <c r="C42" vm="396">
        <f ca="1"/>
        <v>41.866</v>
      </c>
      <c r="D42" vm="397">
        <f ca="1"/>
        <v>42.134999999999998</v>
      </c>
      <c r="E42" vm="398">
        <f ca="1"/>
        <v>36.56</v>
      </c>
      <c r="F42" vm="399">
        <f ca="1"/>
        <v>380.76</v>
      </c>
      <c r="G42" vm="400">
        <f ca="1"/>
        <v>118.9913</v>
      </c>
      <c r="H42" vm="401">
        <f ca="1"/>
        <v>109.66</v>
      </c>
      <c r="I42" vm="402">
        <f ca="1"/>
        <v>31.322500000000002</v>
      </c>
      <c r="J42" vm="403">
        <f ca="1"/>
        <v>81.75</v>
      </c>
      <c r="K42" vm="404">
        <f ca="1"/>
        <v>2.7250000000000001</v>
      </c>
      <c r="L42" vm="405">
        <f ca="1"/>
        <v>91.12</v>
      </c>
      <c r="M42" vm="406">
        <f ca="1"/>
        <v>164.29</v>
      </c>
      <c r="N42" vm="407">
        <f ca="1"/>
        <v>2349.25</v>
      </c>
    </row>
    <row r="43" spans="2:14" x14ac:dyDescent="0.35">
      <c r="B43" vm="408">
        <f ca="1"/>
        <v>42782</v>
      </c>
      <c r="C43" vm="409">
        <f ca="1"/>
        <v>42.108499999999999</v>
      </c>
      <c r="D43" vm="410">
        <f ca="1"/>
        <v>42.207000000000001</v>
      </c>
      <c r="E43" vm="411">
        <f ca="1"/>
        <v>36.49</v>
      </c>
      <c r="F43" vm="412">
        <f ca="1"/>
        <v>373.18</v>
      </c>
      <c r="G43" vm="413">
        <f ca="1"/>
        <v>118.8764</v>
      </c>
      <c r="H43" vm="249">
        <f ca="1"/>
        <v>109.3</v>
      </c>
      <c r="I43" vm="414">
        <f ca="1"/>
        <v>31.547499999999999</v>
      </c>
      <c r="J43" vm="415">
        <f ca="1"/>
        <v>81.13</v>
      </c>
      <c r="K43" vm="416">
        <f ca="1"/>
        <v>2.6812999999999998</v>
      </c>
      <c r="L43" vm="417">
        <f ca="1"/>
        <v>90.79</v>
      </c>
      <c r="M43" vm="418">
        <f ca="1"/>
        <v>163.65</v>
      </c>
      <c r="N43" vm="419">
        <f ca="1"/>
        <v>2347.2199999999998</v>
      </c>
    </row>
    <row r="44" spans="2:14" x14ac:dyDescent="0.35">
      <c r="B44" vm="420">
        <f ca="1"/>
        <v>42783</v>
      </c>
      <c r="C44" vm="421">
        <f ca="1"/>
        <v>42.327500000000001</v>
      </c>
      <c r="D44" vm="422">
        <f ca="1"/>
        <v>42.253500000000003</v>
      </c>
      <c r="E44" vm="423">
        <f ca="1"/>
        <v>36.634999999999998</v>
      </c>
      <c r="F44" vm="424">
        <f ca="1"/>
        <v>374.28</v>
      </c>
      <c r="G44" vm="425">
        <f ca="1"/>
        <v>119.2594</v>
      </c>
      <c r="H44" vm="426">
        <f ca="1"/>
        <v>109.42</v>
      </c>
      <c r="I44" vm="427">
        <f ca="1"/>
        <v>31.715</v>
      </c>
      <c r="J44" vm="428">
        <f ca="1"/>
        <v>80.650000000000006</v>
      </c>
      <c r="K44" vm="429">
        <f ca="1"/>
        <v>2.6808000000000001</v>
      </c>
      <c r="L44" vm="430">
        <f ca="1"/>
        <v>91.09</v>
      </c>
      <c r="M44" vm="431">
        <f ca="1"/>
        <v>157.62</v>
      </c>
      <c r="N44" vm="432">
        <f ca="1"/>
        <v>2351.16</v>
      </c>
    </row>
    <row r="45" spans="2:14" x14ac:dyDescent="0.35">
      <c r="B45" vm="433">
        <f ca="1"/>
        <v>42787</v>
      </c>
      <c r="C45" vm="434">
        <f ca="1"/>
        <v>42.463500000000003</v>
      </c>
      <c r="D45" vm="435">
        <f ca="1"/>
        <v>42.822000000000003</v>
      </c>
      <c r="E45" vm="436">
        <f ca="1"/>
        <v>36.85</v>
      </c>
      <c r="F45" vm="437">
        <f ca="1"/>
        <v>371.34</v>
      </c>
      <c r="G45" vm="438">
        <f ca="1"/>
        <v>119.40300000000001</v>
      </c>
      <c r="H45" vm="439">
        <f ca="1"/>
        <v>110.16</v>
      </c>
      <c r="I45" vm="440">
        <f ca="1"/>
        <v>32.064999999999998</v>
      </c>
      <c r="J45" vm="441">
        <f ca="1"/>
        <v>80.680000000000007</v>
      </c>
      <c r="K45" vm="442">
        <f ca="1"/>
        <v>2.7768000000000002</v>
      </c>
      <c r="L45" vm="443">
        <f ca="1"/>
        <v>91.67</v>
      </c>
      <c r="M45" vm="444">
        <f ca="1"/>
        <v>160.57</v>
      </c>
      <c r="N45" vm="445">
        <f ca="1"/>
        <v>2365.38</v>
      </c>
    </row>
    <row r="46" spans="2:14" x14ac:dyDescent="0.35">
      <c r="B46" vm="446">
        <f ca="1"/>
        <v>42788</v>
      </c>
      <c r="C46" vm="447">
        <f ca="1"/>
        <v>42.567999999999998</v>
      </c>
      <c r="D46" vm="448">
        <f ca="1"/>
        <v>42.780500000000004</v>
      </c>
      <c r="E46" vm="449">
        <f ca="1"/>
        <v>36.72</v>
      </c>
      <c r="F46" vm="450">
        <f ca="1"/>
        <v>373.32</v>
      </c>
      <c r="G46" vm="451">
        <f ca="1"/>
        <v>119.71899999999999</v>
      </c>
      <c r="H46" vm="452">
        <f ca="1"/>
        <v>109.44</v>
      </c>
      <c r="I46" vm="453">
        <f ca="1"/>
        <v>32.11</v>
      </c>
      <c r="J46" vm="454">
        <f ca="1"/>
        <v>79.7</v>
      </c>
      <c r="K46" vm="455">
        <f ca="1"/>
        <v>2.7690000000000001</v>
      </c>
      <c r="L46" vm="456">
        <f ca="1"/>
        <v>91.44</v>
      </c>
      <c r="M46" vm="444">
        <f ca="1"/>
        <v>160.57</v>
      </c>
      <c r="N46" vm="457">
        <f ca="1"/>
        <v>2362.8200000000002</v>
      </c>
    </row>
    <row r="47" spans="2:14" x14ac:dyDescent="0.35">
      <c r="B47" vm="458">
        <f ca="1"/>
        <v>42789</v>
      </c>
      <c r="C47" vm="459">
        <f ca="1"/>
        <v>42.55</v>
      </c>
      <c r="D47" vm="460">
        <f ca="1"/>
        <v>42.609499999999997</v>
      </c>
      <c r="E47" vm="461">
        <f ca="1"/>
        <v>37.015000000000001</v>
      </c>
      <c r="F47" vm="462">
        <f ca="1"/>
        <v>370.85</v>
      </c>
      <c r="G47" vm="463">
        <f ca="1"/>
        <v>119.50830000000001</v>
      </c>
      <c r="H47" vm="464">
        <f ca="1"/>
        <v>110.74</v>
      </c>
      <c r="I47" vm="465">
        <f ca="1"/>
        <v>32.292499999999997</v>
      </c>
      <c r="J47" vm="466">
        <f ca="1"/>
        <v>80.47</v>
      </c>
      <c r="K47" vm="467">
        <f ca="1"/>
        <v>2.5123000000000002</v>
      </c>
      <c r="L47" vm="468">
        <f ca="1"/>
        <v>91.13</v>
      </c>
      <c r="M47" vm="469">
        <f ca="1"/>
        <v>162.6</v>
      </c>
      <c r="N47" vm="470">
        <f ca="1"/>
        <v>2363.81</v>
      </c>
    </row>
    <row r="48" spans="2:14" x14ac:dyDescent="0.35">
      <c r="B48" vm="471">
        <f ca="1"/>
        <v>42790</v>
      </c>
      <c r="C48" vm="472">
        <f ca="1"/>
        <v>42.390500000000003</v>
      </c>
      <c r="D48" vm="473">
        <f ca="1"/>
        <v>42.262</v>
      </c>
      <c r="E48" vm="474">
        <f ca="1"/>
        <v>36.534999999999997</v>
      </c>
      <c r="F48" vm="475">
        <f ca="1"/>
        <v>379.64</v>
      </c>
      <c r="G48" vm="476">
        <f ca="1"/>
        <v>119.7094</v>
      </c>
      <c r="H48" vm="477">
        <f ca="1"/>
        <v>111</v>
      </c>
      <c r="I48" vm="478">
        <f ca="1"/>
        <v>32.74</v>
      </c>
      <c r="J48" vm="479">
        <f ca="1"/>
        <v>80.150000000000006</v>
      </c>
      <c r="K48" vm="480">
        <f ca="1"/>
        <v>2.5365000000000002</v>
      </c>
      <c r="L48" vm="481">
        <f ca="1"/>
        <v>91.05</v>
      </c>
      <c r="M48" vm="482">
        <f ca="1"/>
        <v>163.06</v>
      </c>
      <c r="N48" vm="483">
        <f ca="1"/>
        <v>2367.34</v>
      </c>
    </row>
    <row r="49" spans="2:14" x14ac:dyDescent="0.35">
      <c r="B49" vm="484">
        <f ca="1"/>
        <v>42793</v>
      </c>
      <c r="C49" vm="485">
        <f ca="1"/>
        <v>42.483499999999999</v>
      </c>
      <c r="D49" vm="486">
        <f ca="1"/>
        <v>42.432000000000002</v>
      </c>
      <c r="E49" vm="487">
        <f ca="1"/>
        <v>36.75</v>
      </c>
      <c r="F49" vm="488">
        <f ca="1"/>
        <v>377.24</v>
      </c>
      <c r="G49" vm="489">
        <f ca="1"/>
        <v>119.5754</v>
      </c>
      <c r="H49" vm="490">
        <f ca="1"/>
        <v>110.57</v>
      </c>
      <c r="I49" vm="491">
        <f ca="1"/>
        <v>32.467500000000001</v>
      </c>
      <c r="J49" vm="492">
        <f ca="1"/>
        <v>81.06</v>
      </c>
      <c r="K49" vm="493">
        <f ca="1"/>
        <v>2.6103000000000001</v>
      </c>
      <c r="L49" vm="494">
        <f ca="1"/>
        <v>90.89</v>
      </c>
      <c r="M49" vm="495">
        <f ca="1"/>
        <v>165.38</v>
      </c>
      <c r="N49" vm="496">
        <f ca="1"/>
        <v>2369.75</v>
      </c>
    </row>
    <row r="50" spans="2:14" x14ac:dyDescent="0.35">
      <c r="B50" vm="497">
        <f ca="1"/>
        <v>42794</v>
      </c>
      <c r="C50" vm="498">
        <f ca="1"/>
        <v>42.246499999999997</v>
      </c>
      <c r="D50" vm="499">
        <f ca="1"/>
        <v>42.252000000000002</v>
      </c>
      <c r="E50" vm="500">
        <f ca="1"/>
        <v>36.765000000000001</v>
      </c>
      <c r="F50" vm="501">
        <f ca="1"/>
        <v>376.07</v>
      </c>
      <c r="G50" vm="502">
        <f ca="1"/>
        <v>119.202</v>
      </c>
      <c r="H50" vm="503">
        <f ca="1"/>
        <v>110.46</v>
      </c>
      <c r="I50" vm="504">
        <f ca="1"/>
        <v>32.75</v>
      </c>
      <c r="J50" vm="505">
        <f ca="1"/>
        <v>80.36</v>
      </c>
      <c r="K50" vm="506">
        <f ca="1"/>
        <v>2.5369999999999999</v>
      </c>
      <c r="L50" vm="507">
        <f ca="1"/>
        <v>91.07</v>
      </c>
      <c r="M50" vm="495">
        <f ca="1"/>
        <v>165.38</v>
      </c>
      <c r="N50" vm="508">
        <f ca="1"/>
        <v>2363.64</v>
      </c>
    </row>
    <row r="51" spans="2:14" x14ac:dyDescent="0.35">
      <c r="B51" vm="509">
        <f ca="1"/>
        <v>42795</v>
      </c>
      <c r="C51" vm="510">
        <f ca="1"/>
        <v>42.837499999999999</v>
      </c>
      <c r="D51" vm="511">
        <f ca="1"/>
        <v>42.654000000000003</v>
      </c>
      <c r="E51" vm="512">
        <f ca="1"/>
        <v>37.5</v>
      </c>
      <c r="F51" vm="513">
        <f ca="1"/>
        <v>377.99</v>
      </c>
      <c r="G51" vm="514">
        <f ca="1"/>
        <v>121.8349</v>
      </c>
      <c r="H51" vm="515">
        <f ca="1"/>
        <v>112.31</v>
      </c>
      <c r="I51" vm="516">
        <f ca="1"/>
        <v>32.352499999999999</v>
      </c>
      <c r="J51" vm="517">
        <f ca="1"/>
        <v>82.27</v>
      </c>
      <c r="K51" vm="518">
        <f ca="1"/>
        <v>2.5697999999999999</v>
      </c>
      <c r="L51" vm="519">
        <f ca="1"/>
        <v>91.66</v>
      </c>
      <c r="M51" vm="520">
        <f ca="1"/>
        <v>167.94</v>
      </c>
      <c r="N51" vm="521">
        <f ca="1"/>
        <v>2395.96</v>
      </c>
    </row>
    <row r="52" spans="2:14" x14ac:dyDescent="0.35">
      <c r="B52" vm="522">
        <f ca="1"/>
        <v>42796</v>
      </c>
      <c r="C52" vm="523">
        <f ca="1"/>
        <v>42.4925</v>
      </c>
      <c r="D52" vm="524">
        <f ca="1"/>
        <v>42.445500000000003</v>
      </c>
      <c r="E52" vm="423">
        <f ca="1"/>
        <v>36.634999999999998</v>
      </c>
      <c r="F52" vm="525">
        <f ca="1"/>
        <v>372.73</v>
      </c>
      <c r="G52" vm="526">
        <f ca="1"/>
        <v>120.9541</v>
      </c>
      <c r="H52" vm="527">
        <f ca="1"/>
        <v>111.33</v>
      </c>
      <c r="I52" vm="528">
        <f ca="1"/>
        <v>32.734999999999999</v>
      </c>
      <c r="J52" vm="529">
        <f ca="1"/>
        <v>80.95</v>
      </c>
      <c r="K52" vm="530">
        <f ca="1"/>
        <v>2.4750000000000001</v>
      </c>
      <c r="L52" vm="531">
        <f ca="1"/>
        <v>90.91</v>
      </c>
      <c r="M52" vm="532">
        <f ca="1"/>
        <v>167.31</v>
      </c>
      <c r="N52" vm="533">
        <f ca="1"/>
        <v>2381.92</v>
      </c>
    </row>
    <row r="53" spans="2:14" x14ac:dyDescent="0.35">
      <c r="B53" vm="534">
        <f ca="1"/>
        <v>42797</v>
      </c>
      <c r="C53" vm="535">
        <f ca="1"/>
        <v>42.454000000000001</v>
      </c>
      <c r="D53" vm="536">
        <f ca="1"/>
        <v>42.494</v>
      </c>
      <c r="E53" vm="537">
        <f ca="1"/>
        <v>36.905000000000001</v>
      </c>
      <c r="F53" vm="538">
        <f ca="1"/>
        <v>375.69</v>
      </c>
      <c r="G53" vm="539">
        <f ca="1"/>
        <v>120.83920000000001</v>
      </c>
      <c r="H53" vm="540">
        <f ca="1"/>
        <v>111.74</v>
      </c>
      <c r="I53" vm="541">
        <f ca="1"/>
        <v>32.700000000000003</v>
      </c>
      <c r="J53" vm="542">
        <f ca="1"/>
        <v>80.7</v>
      </c>
      <c r="K53" vm="543">
        <f ca="1"/>
        <v>2.4607999999999999</v>
      </c>
      <c r="L53" vm="544">
        <f ca="1"/>
        <v>90.5</v>
      </c>
      <c r="M53" vm="545">
        <f ca="1"/>
        <v>168.2</v>
      </c>
      <c r="N53" vm="546">
        <f ca="1"/>
        <v>2383.12</v>
      </c>
    </row>
    <row r="54" spans="2:14" x14ac:dyDescent="0.35">
      <c r="B54" vm="547">
        <f ca="1"/>
        <v>42800</v>
      </c>
      <c r="C54" vm="548">
        <f ca="1"/>
        <v>42.363500000000002</v>
      </c>
      <c r="D54" vm="549">
        <f ca="1"/>
        <v>42.330500000000001</v>
      </c>
      <c r="E54" vm="550">
        <f ca="1"/>
        <v>36.365000000000002</v>
      </c>
      <c r="F54" vm="551">
        <f ca="1"/>
        <v>377.55</v>
      </c>
      <c r="G54" vm="552">
        <f ca="1"/>
        <v>120.71469999999999</v>
      </c>
      <c r="H54" vm="553">
        <f ca="1"/>
        <v>111.36</v>
      </c>
      <c r="I54" vm="554">
        <f ca="1"/>
        <v>32.659999999999997</v>
      </c>
      <c r="J54" vm="555">
        <f ca="1"/>
        <v>80.72</v>
      </c>
      <c r="K54" vm="556">
        <f ca="1"/>
        <v>2.4418000000000002</v>
      </c>
      <c r="L54" vm="557">
        <f ca="1"/>
        <v>90.37</v>
      </c>
      <c r="M54" vm="558">
        <f ca="1"/>
        <v>168.7</v>
      </c>
      <c r="N54" vm="559">
        <f ca="1"/>
        <v>2375.31</v>
      </c>
    </row>
    <row r="55" spans="2:14" x14ac:dyDescent="0.35">
      <c r="B55" vm="560">
        <f ca="1"/>
        <v>42801</v>
      </c>
      <c r="C55" vm="561">
        <f ca="1"/>
        <v>42.557499999999997</v>
      </c>
      <c r="D55" vm="562">
        <f ca="1"/>
        <v>42.301000000000002</v>
      </c>
      <c r="E55" vm="563">
        <f ca="1"/>
        <v>36.14</v>
      </c>
      <c r="F55" vm="564">
        <f ca="1"/>
        <v>375.24</v>
      </c>
      <c r="G55" vm="565">
        <f ca="1"/>
        <v>120.8871</v>
      </c>
      <c r="H55" vm="566">
        <f ca="1"/>
        <v>110.96</v>
      </c>
      <c r="I55" vm="567">
        <f ca="1"/>
        <v>32.662500000000001</v>
      </c>
      <c r="J55" vm="568">
        <f ca="1"/>
        <v>79.95</v>
      </c>
      <c r="K55" vm="569">
        <f ca="1"/>
        <v>2.4685000000000001</v>
      </c>
      <c r="L55" vm="570">
        <f ca="1"/>
        <v>90.29</v>
      </c>
      <c r="M55" vm="571">
        <f ca="1"/>
        <v>168.3</v>
      </c>
      <c r="N55" vm="572">
        <f ca="1"/>
        <v>2368.39</v>
      </c>
    </row>
    <row r="56" spans="2:14" x14ac:dyDescent="0.35">
      <c r="B56" vm="573">
        <f ca="1"/>
        <v>42802</v>
      </c>
      <c r="C56" vm="574">
        <f ca="1"/>
        <v>42.682000000000002</v>
      </c>
      <c r="D56" vm="575">
        <f ca="1"/>
        <v>42.524999999999999</v>
      </c>
      <c r="E56" vm="576">
        <f ca="1"/>
        <v>36.340000000000003</v>
      </c>
      <c r="F56" vm="577">
        <f ca="1"/>
        <v>363.43</v>
      </c>
      <c r="G56" vm="578">
        <f ca="1"/>
        <v>121.203</v>
      </c>
      <c r="H56" vm="579">
        <f ca="1"/>
        <v>110.98</v>
      </c>
      <c r="I56" vm="580">
        <f ca="1"/>
        <v>32.36</v>
      </c>
      <c r="J56" vm="581">
        <f ca="1"/>
        <v>78.099999999999994</v>
      </c>
      <c r="K56" vm="582">
        <f ca="1"/>
        <v>2.464</v>
      </c>
      <c r="L56" vm="583">
        <f ca="1"/>
        <v>90.14</v>
      </c>
      <c r="M56" vm="584">
        <f ca="1"/>
        <v>167.91</v>
      </c>
      <c r="N56" vm="585">
        <f ca="1"/>
        <v>2362.98</v>
      </c>
    </row>
    <row r="57" spans="2:14" x14ac:dyDescent="0.35">
      <c r="B57" vm="586">
        <f ca="1"/>
        <v>42803</v>
      </c>
      <c r="C57" vm="587">
        <f ca="1"/>
        <v>42.892000000000003</v>
      </c>
      <c r="D57" vm="588">
        <f ca="1"/>
        <v>42.65</v>
      </c>
      <c r="E57" vm="589">
        <f ca="1"/>
        <v>36.674999999999997</v>
      </c>
      <c r="F57" vm="590">
        <f ca="1"/>
        <v>376.01</v>
      </c>
      <c r="G57" vm="591">
        <f ca="1"/>
        <v>120.82</v>
      </c>
      <c r="H57" vm="592">
        <f ca="1"/>
        <v>110.79</v>
      </c>
      <c r="I57" vm="593">
        <f ca="1"/>
        <v>32.1875</v>
      </c>
      <c r="J57" vm="594">
        <f ca="1"/>
        <v>78.7</v>
      </c>
      <c r="K57" vm="595">
        <f ca="1"/>
        <v>2.4634999999999998</v>
      </c>
      <c r="L57" vm="596">
        <f ca="1"/>
        <v>90.34</v>
      </c>
      <c r="M57" vm="597">
        <f ca="1"/>
        <v>168.01</v>
      </c>
      <c r="N57" vm="598">
        <f ca="1"/>
        <v>2364.87</v>
      </c>
    </row>
    <row r="58" spans="2:14" x14ac:dyDescent="0.35">
      <c r="B58" vm="599">
        <f ca="1"/>
        <v>42804</v>
      </c>
      <c r="C58" vm="600">
        <f ca="1"/>
        <v>43.070300000000003</v>
      </c>
      <c r="D58" vm="601">
        <f ca="1"/>
        <v>42.622999999999998</v>
      </c>
      <c r="E58" vm="388">
        <f ca="1"/>
        <v>36.869999999999997</v>
      </c>
      <c r="F58" vm="602">
        <f ca="1"/>
        <v>379.16</v>
      </c>
      <c r="G58" vm="603">
        <f ca="1"/>
        <v>121.6339</v>
      </c>
      <c r="H58" vm="604">
        <f ca="1"/>
        <v>111.21</v>
      </c>
      <c r="I58" vm="605">
        <f ca="1"/>
        <v>32.515000000000001</v>
      </c>
      <c r="J58" vm="606">
        <f ca="1"/>
        <v>78.69</v>
      </c>
      <c r="K58" vm="607">
        <f ca="1"/>
        <v>2.4780000000000002</v>
      </c>
      <c r="L58" vm="507">
        <f ca="1"/>
        <v>91.07</v>
      </c>
      <c r="M58" vm="608">
        <f ca="1"/>
        <v>169.98</v>
      </c>
      <c r="N58" vm="609">
        <f ca="1"/>
        <v>2372.6</v>
      </c>
    </row>
    <row r="59" spans="2:14" x14ac:dyDescent="0.35">
      <c r="B59" vm="610">
        <f ca="1"/>
        <v>42807</v>
      </c>
      <c r="C59" vm="611">
        <f ca="1"/>
        <v>43.228999999999999</v>
      </c>
      <c r="D59" vm="612">
        <f ca="1"/>
        <v>42.729500000000002</v>
      </c>
      <c r="E59" vm="613">
        <f ca="1"/>
        <v>37.159999999999997</v>
      </c>
      <c r="F59" vm="614">
        <f ca="1"/>
        <v>380.32</v>
      </c>
      <c r="G59" vm="615">
        <f ca="1"/>
        <v>121.33710000000001</v>
      </c>
      <c r="H59" vm="616">
        <f ca="1"/>
        <v>111.53</v>
      </c>
      <c r="I59" vm="617">
        <f ca="1"/>
        <v>32.615000000000002</v>
      </c>
      <c r="J59" vm="618">
        <f ca="1"/>
        <v>78.59</v>
      </c>
      <c r="K59" vm="619">
        <f ca="1"/>
        <v>2.5463</v>
      </c>
      <c r="L59" vm="620">
        <f ca="1"/>
        <v>91.31</v>
      </c>
      <c r="M59" vm="621">
        <f ca="1"/>
        <v>170.21</v>
      </c>
      <c r="N59" vm="622">
        <f ca="1"/>
        <v>2373.4699999999998</v>
      </c>
    </row>
    <row r="60" spans="2:14" x14ac:dyDescent="0.35">
      <c r="B60" vm="623">
        <f ca="1"/>
        <v>42808</v>
      </c>
      <c r="C60" vm="624">
        <f ca="1"/>
        <v>43.295499999999997</v>
      </c>
      <c r="D60" vm="625">
        <f ca="1"/>
        <v>42.6265</v>
      </c>
      <c r="E60" vm="626">
        <f ca="1"/>
        <v>37.024999999999999</v>
      </c>
      <c r="F60" vm="627">
        <f ca="1"/>
        <v>381.38</v>
      </c>
      <c r="G60" vm="628">
        <f ca="1"/>
        <v>120.3605</v>
      </c>
      <c r="H60" vm="629">
        <f ca="1"/>
        <v>110.49</v>
      </c>
      <c r="I60" vm="630">
        <f ca="1"/>
        <v>32.642499999999998</v>
      </c>
      <c r="J60" vm="631">
        <f ca="1"/>
        <v>78.38</v>
      </c>
      <c r="K60" vm="632">
        <f ca="1"/>
        <v>2.5445000000000002</v>
      </c>
      <c r="L60" vm="633">
        <f ca="1"/>
        <v>91</v>
      </c>
      <c r="M60" vm="634">
        <f ca="1"/>
        <v>169.06</v>
      </c>
      <c r="N60" vm="635">
        <f ca="1"/>
        <v>2365.4499999999998</v>
      </c>
    </row>
    <row r="61" spans="2:14" x14ac:dyDescent="0.35">
      <c r="B61" vm="636">
        <f ca="1"/>
        <v>42809</v>
      </c>
      <c r="C61" vm="637">
        <f ca="1"/>
        <v>43.419499999999999</v>
      </c>
      <c r="D61" vm="638">
        <f ca="1"/>
        <v>42.648499999999999</v>
      </c>
      <c r="E61" vm="639">
        <f ca="1"/>
        <v>37.47</v>
      </c>
      <c r="F61" vm="640">
        <f ca="1"/>
        <v>383.78</v>
      </c>
      <c r="G61" vm="641">
        <f ca="1"/>
        <v>121.5668</v>
      </c>
      <c r="H61" vm="642">
        <f ca="1"/>
        <v>112.02</v>
      </c>
      <c r="I61" vm="643">
        <f ca="1"/>
        <v>32.975000000000001</v>
      </c>
      <c r="J61" vm="644">
        <f ca="1"/>
        <v>80.25</v>
      </c>
      <c r="K61" vm="645">
        <f ca="1"/>
        <v>2.5638000000000001</v>
      </c>
      <c r="L61" vm="646">
        <f ca="1"/>
        <v>91.4</v>
      </c>
      <c r="M61" vm="647">
        <f ca="1"/>
        <v>171.78</v>
      </c>
      <c r="N61" vm="648">
        <f ca="1"/>
        <v>2385.2600000000002</v>
      </c>
    </row>
    <row r="62" spans="2:14" x14ac:dyDescent="0.35">
      <c r="B62" vm="649">
        <f ca="1"/>
        <v>42810</v>
      </c>
      <c r="C62" vm="650">
        <f ca="1"/>
        <v>43.5</v>
      </c>
      <c r="D62" vm="651">
        <f ca="1"/>
        <v>42.670999999999999</v>
      </c>
      <c r="E62" vm="652">
        <f ca="1"/>
        <v>37.375</v>
      </c>
      <c r="F62" vm="653">
        <f ca="1"/>
        <v>378.17</v>
      </c>
      <c r="G62" vm="654">
        <f ca="1"/>
        <v>120.9828</v>
      </c>
      <c r="H62" vm="655">
        <f ca="1"/>
        <v>112.67</v>
      </c>
      <c r="I62" vm="656">
        <f ca="1"/>
        <v>32.475000000000001</v>
      </c>
      <c r="J62" vm="657">
        <f ca="1"/>
        <v>79.650000000000006</v>
      </c>
      <c r="K62" vm="658">
        <f ca="1"/>
        <v>2.5952999999999999</v>
      </c>
      <c r="L62" vm="456">
        <f ca="1"/>
        <v>91.44</v>
      </c>
      <c r="M62" vm="659">
        <f ca="1"/>
        <v>171.3</v>
      </c>
      <c r="N62" vm="660">
        <f ca="1"/>
        <v>2381.38</v>
      </c>
    </row>
    <row r="63" spans="2:14" x14ac:dyDescent="0.35">
      <c r="B63" vm="661">
        <f ca="1"/>
        <v>42811</v>
      </c>
      <c r="C63" vm="662">
        <f ca="1"/>
        <v>43.618499999999997</v>
      </c>
      <c r="D63" vm="663">
        <f ca="1"/>
        <v>42.615499999999997</v>
      </c>
      <c r="E63" vm="664">
        <f ca="1"/>
        <v>37.56</v>
      </c>
      <c r="F63" vm="665">
        <f ca="1"/>
        <v>375.64</v>
      </c>
      <c r="G63" vm="666">
        <f ca="1"/>
        <v>121.7488</v>
      </c>
      <c r="H63" vm="667">
        <f ca="1"/>
        <v>112.83</v>
      </c>
      <c r="I63" vm="668">
        <f ca="1"/>
        <v>32.557499999999997</v>
      </c>
      <c r="J63" vm="669">
        <f ca="1"/>
        <v>79.55</v>
      </c>
      <c r="K63" vm="670">
        <f ca="1"/>
        <v>2.6518000000000002</v>
      </c>
      <c r="L63" vm="633">
        <f ca="1"/>
        <v>91</v>
      </c>
      <c r="M63" vm="671">
        <f ca="1"/>
        <v>169.7</v>
      </c>
      <c r="N63" vm="672">
        <f ca="1"/>
        <v>2378.25</v>
      </c>
    </row>
    <row r="64" spans="2:14" x14ac:dyDescent="0.35">
      <c r="B64" vm="673">
        <f ca="1"/>
        <v>42814</v>
      </c>
      <c r="C64" vm="674">
        <f ca="1"/>
        <v>43.395499999999998</v>
      </c>
      <c r="D64" vm="675">
        <f ca="1"/>
        <v>42.848500000000001</v>
      </c>
      <c r="E64" vm="676">
        <f ca="1"/>
        <v>37.655000000000001</v>
      </c>
      <c r="F64" vm="677">
        <f ca="1"/>
        <v>383.57</v>
      </c>
      <c r="G64" vm="678">
        <f ca="1"/>
        <v>121.1168</v>
      </c>
      <c r="H64" vm="679">
        <f ca="1"/>
        <v>112.41</v>
      </c>
      <c r="I64" vm="680">
        <f ca="1"/>
        <v>32.472499999999997</v>
      </c>
      <c r="J64" vm="681">
        <f ca="1"/>
        <v>78.92</v>
      </c>
      <c r="K64" vm="682">
        <f ca="1"/>
        <v>2.7363</v>
      </c>
      <c r="L64" vm="683">
        <f ca="1"/>
        <v>91.22</v>
      </c>
      <c r="M64" vm="684">
        <f ca="1"/>
        <v>168</v>
      </c>
      <c r="N64" vm="622">
        <f ca="1"/>
        <v>2373.4699999999998</v>
      </c>
    </row>
    <row r="65" spans="2:14" x14ac:dyDescent="0.35">
      <c r="B65" vm="685">
        <f ca="1"/>
        <v>42815</v>
      </c>
      <c r="C65" vm="686">
        <f ca="1"/>
        <v>42.506999999999998</v>
      </c>
      <c r="D65" vm="687">
        <f ca="1"/>
        <v>42.16</v>
      </c>
      <c r="E65" vm="688">
        <f ca="1"/>
        <v>36.99</v>
      </c>
      <c r="F65" vm="689">
        <f ca="1"/>
        <v>383.41</v>
      </c>
      <c r="G65" vm="690">
        <f ca="1"/>
        <v>120.3126</v>
      </c>
      <c r="H65" vm="691">
        <f ca="1"/>
        <v>110.71</v>
      </c>
      <c r="I65" vm="692">
        <f ca="1"/>
        <v>32.962499999999999</v>
      </c>
      <c r="J65" vm="606">
        <f ca="1"/>
        <v>78.69</v>
      </c>
      <c r="K65" vm="693">
        <f ca="1"/>
        <v>2.6478000000000002</v>
      </c>
      <c r="L65" vm="694">
        <f ca="1"/>
        <v>91.19</v>
      </c>
      <c r="M65" vm="695">
        <f ca="1"/>
        <v>167.7</v>
      </c>
      <c r="N65" vm="696">
        <f ca="1"/>
        <v>2344.02</v>
      </c>
    </row>
    <row r="66" spans="2:14" x14ac:dyDescent="0.35">
      <c r="B66" vm="697">
        <f ca="1"/>
        <v>42816</v>
      </c>
      <c r="C66" vm="698">
        <f ca="1"/>
        <v>42.49</v>
      </c>
      <c r="D66" vm="699">
        <f ca="1"/>
        <v>42.402999999999999</v>
      </c>
      <c r="E66" vm="700">
        <f ca="1"/>
        <v>37.18</v>
      </c>
      <c r="F66" vm="701">
        <f ca="1"/>
        <v>387.47</v>
      </c>
      <c r="G66" vm="702">
        <f ca="1"/>
        <v>120.15940000000001</v>
      </c>
      <c r="H66" vm="703">
        <f ca="1"/>
        <v>111.45</v>
      </c>
      <c r="I66" vm="704">
        <f ca="1"/>
        <v>33.102499999999999</v>
      </c>
      <c r="J66" vm="631">
        <f ca="1"/>
        <v>78.38</v>
      </c>
      <c r="K66" vm="705">
        <f ca="1"/>
        <v>2.7018</v>
      </c>
      <c r="L66" vm="706">
        <f ca="1"/>
        <v>90.99</v>
      </c>
      <c r="M66" vm="707">
        <f ca="1"/>
        <v>167.03</v>
      </c>
      <c r="N66" vm="708">
        <f ca="1"/>
        <v>2348.4499999999998</v>
      </c>
    </row>
    <row r="67" spans="2:14" x14ac:dyDescent="0.35">
      <c r="B67" vm="709">
        <f ca="1"/>
        <v>42817</v>
      </c>
      <c r="C67" vm="710">
        <f ca="1"/>
        <v>41.982500000000002</v>
      </c>
      <c r="D67" vm="711">
        <f ca="1"/>
        <v>42.369</v>
      </c>
      <c r="E67" vm="712">
        <f ca="1"/>
        <v>37.155000000000001</v>
      </c>
      <c r="F67" vm="713">
        <f ca="1"/>
        <v>388.05</v>
      </c>
      <c r="G67" vm="714">
        <f ca="1"/>
        <v>120.1786</v>
      </c>
      <c r="H67" vm="715">
        <f ca="1"/>
        <v>111.6</v>
      </c>
      <c r="I67" vm="716">
        <f ca="1"/>
        <v>33.022500000000001</v>
      </c>
      <c r="J67" vm="717">
        <f ca="1"/>
        <v>77.67</v>
      </c>
      <c r="K67" vm="718">
        <f ca="1"/>
        <v>2.6772999999999998</v>
      </c>
      <c r="L67" vm="719">
        <f ca="1"/>
        <v>90.77</v>
      </c>
      <c r="M67" vm="720">
        <f ca="1"/>
        <v>165.29</v>
      </c>
      <c r="N67" vm="721">
        <f ca="1"/>
        <v>2345.96</v>
      </c>
    </row>
    <row r="68" spans="2:14" x14ac:dyDescent="0.35">
      <c r="B68" vm="722">
        <f ca="1"/>
        <v>42818</v>
      </c>
      <c r="C68" vm="723">
        <f ca="1"/>
        <v>41.756999999999998</v>
      </c>
      <c r="D68" vm="724">
        <f ca="1"/>
        <v>42.280500000000004</v>
      </c>
      <c r="E68" vm="725">
        <f ca="1"/>
        <v>36.865000000000002</v>
      </c>
      <c r="F68" vm="726">
        <f ca="1"/>
        <v>388.09</v>
      </c>
      <c r="G68" vm="727">
        <f ca="1"/>
        <v>119.4605</v>
      </c>
      <c r="H68" vm="728">
        <f ca="1"/>
        <v>111.98</v>
      </c>
      <c r="I68" vm="729">
        <f ca="1"/>
        <v>33.200000000000003</v>
      </c>
      <c r="J68" vm="730">
        <f ca="1"/>
        <v>76.959999999999994</v>
      </c>
      <c r="K68" vm="731">
        <f ca="1"/>
        <v>2.6867999999999999</v>
      </c>
      <c r="L68" vm="732">
        <f ca="1"/>
        <v>90.57</v>
      </c>
      <c r="M68" vm="733">
        <f ca="1"/>
        <v>165</v>
      </c>
      <c r="N68" vm="734">
        <f ca="1"/>
        <v>2343.98</v>
      </c>
    </row>
    <row r="69" spans="2:14" x14ac:dyDescent="0.35">
      <c r="B69" vm="735">
        <f ca="1"/>
        <v>42821</v>
      </c>
      <c r="C69" vm="736">
        <f ca="1"/>
        <v>41.9255</v>
      </c>
      <c r="D69" vm="737">
        <f ca="1"/>
        <v>42.341000000000001</v>
      </c>
      <c r="E69" vm="725">
        <f ca="1"/>
        <v>36.865000000000002</v>
      </c>
      <c r="F69" vm="738">
        <f ca="1"/>
        <v>384</v>
      </c>
      <c r="G69" vm="502">
        <f ca="1"/>
        <v>119.202</v>
      </c>
      <c r="H69" vm="739">
        <f ca="1"/>
        <v>111.94</v>
      </c>
      <c r="I69" vm="740">
        <f ca="1"/>
        <v>32.774999999999999</v>
      </c>
      <c r="J69" vm="741">
        <f ca="1"/>
        <v>77.02</v>
      </c>
      <c r="K69" vm="742">
        <f ca="1"/>
        <v>2.7063000000000001</v>
      </c>
      <c r="L69" vm="743">
        <f ca="1"/>
        <v>90.49</v>
      </c>
      <c r="M69" vm="744">
        <f ca="1"/>
        <v>164.6</v>
      </c>
      <c r="N69" vm="745">
        <f ca="1"/>
        <v>2341.59</v>
      </c>
    </row>
    <row r="70" spans="2:14" x14ac:dyDescent="0.35">
      <c r="B70" vm="746">
        <f ca="1"/>
        <v>42822</v>
      </c>
      <c r="C70" vm="747">
        <f ca="1"/>
        <v>42.031500000000001</v>
      </c>
      <c r="D70" vm="748">
        <f ca="1"/>
        <v>42.8</v>
      </c>
      <c r="E70" vm="749">
        <f ca="1"/>
        <v>37</v>
      </c>
      <c r="F70" vm="750">
        <f ca="1"/>
        <v>384.86</v>
      </c>
      <c r="G70" vm="751">
        <f ca="1"/>
        <v>119.94880000000001</v>
      </c>
      <c r="H70" vm="752">
        <f ca="1"/>
        <v>112.47</v>
      </c>
      <c r="I70" vm="753">
        <f ca="1"/>
        <v>32.814999999999998</v>
      </c>
      <c r="J70" vm="754">
        <f ca="1"/>
        <v>78.31</v>
      </c>
      <c r="K70" vm="755">
        <f ca="1"/>
        <v>2.6922999999999999</v>
      </c>
      <c r="L70" vm="756">
        <f ca="1"/>
        <v>90.76</v>
      </c>
      <c r="M70" vm="757">
        <f ca="1"/>
        <v>165.35</v>
      </c>
      <c r="N70" vm="758">
        <f ca="1"/>
        <v>2358.5700000000002</v>
      </c>
    </row>
    <row r="71" spans="2:14" x14ac:dyDescent="0.35">
      <c r="B71" vm="759">
        <f ca="1"/>
        <v>42823</v>
      </c>
      <c r="C71" vm="760">
        <f ca="1"/>
        <v>42.493499999999997</v>
      </c>
      <c r="D71" vm="761">
        <f ca="1"/>
        <v>43.716000000000001</v>
      </c>
      <c r="E71" vm="762">
        <f ca="1"/>
        <v>36.784999999999997</v>
      </c>
      <c r="F71" vm="763">
        <f ca="1"/>
        <v>394</v>
      </c>
      <c r="G71" vm="764">
        <f ca="1"/>
        <v>119.9679</v>
      </c>
      <c r="H71" vm="765">
        <f ca="1"/>
        <v>112.06</v>
      </c>
      <c r="I71" vm="766">
        <f ca="1"/>
        <v>32.637500000000003</v>
      </c>
      <c r="J71" vm="767">
        <f ca="1"/>
        <v>78.67</v>
      </c>
      <c r="K71" vm="768">
        <f ca="1"/>
        <v>2.6835</v>
      </c>
      <c r="L71" vm="769">
        <f ca="1"/>
        <v>90.6</v>
      </c>
      <c r="M71" vm="770">
        <f ca="1"/>
        <v>163.44</v>
      </c>
      <c r="N71" vm="771">
        <f ca="1"/>
        <v>2361.13</v>
      </c>
    </row>
    <row r="72" spans="2:14" x14ac:dyDescent="0.35">
      <c r="B72" vm="772">
        <f ca="1"/>
        <v>42824</v>
      </c>
      <c r="C72" vm="773">
        <f ca="1"/>
        <v>42.473999999999997</v>
      </c>
      <c r="D72" vm="774">
        <f ca="1"/>
        <v>43.817</v>
      </c>
      <c r="E72" vm="775">
        <f ca="1"/>
        <v>36.81</v>
      </c>
      <c r="F72" vm="776">
        <f ca="1"/>
        <v>397.14</v>
      </c>
      <c r="G72" vm="777">
        <f ca="1"/>
        <v>120.0732</v>
      </c>
      <c r="H72" vm="655">
        <f ca="1"/>
        <v>112.67</v>
      </c>
      <c r="I72" vm="778">
        <f ca="1"/>
        <v>32.032499999999999</v>
      </c>
      <c r="J72" vm="779">
        <f ca="1"/>
        <v>77.84</v>
      </c>
      <c r="K72" vm="780">
        <f ca="1"/>
        <v>2.7349999999999999</v>
      </c>
      <c r="L72" vm="781">
        <f ca="1"/>
        <v>90.2</v>
      </c>
      <c r="M72" vm="782">
        <f ca="1"/>
        <v>164.99</v>
      </c>
      <c r="N72" vm="783">
        <f ca="1"/>
        <v>2368.06</v>
      </c>
    </row>
    <row r="73" spans="2:14" x14ac:dyDescent="0.35">
      <c r="B73" vm="784">
        <f ca="1"/>
        <v>42825</v>
      </c>
      <c r="C73" vm="785">
        <f ca="1"/>
        <v>42.39</v>
      </c>
      <c r="D73" vm="786">
        <f ca="1"/>
        <v>44.326999999999998</v>
      </c>
      <c r="E73" vm="787">
        <f ca="1"/>
        <v>37.130000000000003</v>
      </c>
      <c r="F73" vm="788">
        <f ca="1"/>
        <v>400.37</v>
      </c>
      <c r="G73" vm="789">
        <f ca="1"/>
        <v>119.5562</v>
      </c>
      <c r="H73" vm="752">
        <f ca="1"/>
        <v>112.47</v>
      </c>
      <c r="I73" vm="790">
        <f ca="1"/>
        <v>32.092500000000001</v>
      </c>
      <c r="J73" vm="581">
        <f ca="1"/>
        <v>78.099999999999994</v>
      </c>
      <c r="K73" vm="791">
        <f ca="1"/>
        <v>2.7233000000000001</v>
      </c>
      <c r="L73" vm="792">
        <f ca="1"/>
        <v>89.85</v>
      </c>
      <c r="M73" vm="793">
        <f ca="1"/>
        <v>164.01</v>
      </c>
      <c r="N73" vm="794">
        <f ca="1"/>
        <v>2362.7199999999998</v>
      </c>
    </row>
    <row r="74" spans="2:14" x14ac:dyDescent="0.35">
      <c r="B74" vm="795">
        <f ca="1"/>
        <v>42828</v>
      </c>
      <c r="C74" vm="510">
        <f ca="1"/>
        <v>42.837499999999999</v>
      </c>
      <c r="D74" vm="796">
        <f ca="1"/>
        <v>44.575499999999998</v>
      </c>
      <c r="E74" vm="589">
        <f ca="1"/>
        <v>36.674999999999997</v>
      </c>
      <c r="F74" vm="797">
        <f ca="1"/>
        <v>402.47</v>
      </c>
      <c r="G74" vm="798">
        <f ca="1"/>
        <v>119.03919999999999</v>
      </c>
      <c r="H74" vm="799">
        <f ca="1"/>
        <v>112.24</v>
      </c>
      <c r="I74" vm="800">
        <f ca="1"/>
        <v>32.18</v>
      </c>
      <c r="J74" vm="801">
        <f ca="1"/>
        <v>77.7</v>
      </c>
      <c r="K74" vm="381">
        <f ca="1"/>
        <v>2.7094999999999998</v>
      </c>
      <c r="L74" vm="802">
        <f ca="1"/>
        <v>89.68</v>
      </c>
      <c r="M74" vm="803">
        <f ca="1"/>
        <v>165.59</v>
      </c>
      <c r="N74" vm="804">
        <f ca="1"/>
        <v>2358.84</v>
      </c>
    </row>
    <row r="75" spans="2:14" x14ac:dyDescent="0.35">
      <c r="B75" vm="805">
        <f ca="1"/>
        <v>42829</v>
      </c>
      <c r="C75" vm="806">
        <f ca="1"/>
        <v>42.628500000000003</v>
      </c>
      <c r="D75" vm="807">
        <f ca="1"/>
        <v>45.341500000000003</v>
      </c>
      <c r="E75" vm="808">
        <f ca="1"/>
        <v>36.695</v>
      </c>
      <c r="F75" vm="809">
        <f ca="1"/>
        <v>399.98</v>
      </c>
      <c r="G75" vm="810">
        <f ca="1"/>
        <v>118.8956</v>
      </c>
      <c r="H75" vm="811">
        <f ca="1"/>
        <v>112.09</v>
      </c>
      <c r="I75" vm="812">
        <f ca="1"/>
        <v>32.384999999999998</v>
      </c>
      <c r="J75" vm="813">
        <f ca="1"/>
        <v>78.209999999999994</v>
      </c>
      <c r="K75" vm="814">
        <f ca="1"/>
        <v>2.5194999999999999</v>
      </c>
      <c r="L75" vm="815">
        <f ca="1"/>
        <v>89.91</v>
      </c>
      <c r="M75" vm="816">
        <f ca="1"/>
        <v>164.97</v>
      </c>
      <c r="N75" vm="817">
        <f ca="1"/>
        <v>2360.16</v>
      </c>
    </row>
    <row r="76" spans="2:14" x14ac:dyDescent="0.35">
      <c r="B76" vm="818">
        <f ca="1"/>
        <v>42830</v>
      </c>
      <c r="C76" vm="524">
        <f ca="1"/>
        <v>42.445500000000003</v>
      </c>
      <c r="D76" vm="819">
        <f ca="1"/>
        <v>45.463999999999999</v>
      </c>
      <c r="E76" vm="820">
        <f ca="1"/>
        <v>36.325000000000003</v>
      </c>
      <c r="F76" vm="821">
        <f ca="1"/>
        <v>400.04</v>
      </c>
      <c r="G76" vm="822">
        <f ca="1"/>
        <v>118.3115</v>
      </c>
      <c r="H76" vm="823">
        <f ca="1"/>
        <v>112.07</v>
      </c>
      <c r="I76" vm="554">
        <f ca="1"/>
        <v>32.659999999999997</v>
      </c>
      <c r="J76" vm="824">
        <f ca="1"/>
        <v>78.3</v>
      </c>
      <c r="K76" vm="825">
        <f ca="1"/>
        <v>2.5007999999999999</v>
      </c>
      <c r="L76" vm="826">
        <f ca="1"/>
        <v>89.97</v>
      </c>
      <c r="M76" vm="827">
        <f ca="1"/>
        <v>165.37</v>
      </c>
      <c r="N76" vm="828">
        <f ca="1"/>
        <v>2352.9499999999998</v>
      </c>
    </row>
    <row r="77" spans="2:14" x14ac:dyDescent="0.35">
      <c r="B77" vm="829">
        <f ca="1"/>
        <v>42831</v>
      </c>
      <c r="C77" vm="830">
        <f ca="1"/>
        <v>42.254800000000003</v>
      </c>
      <c r="D77" vm="831">
        <f ca="1"/>
        <v>44.914000000000001</v>
      </c>
      <c r="E77" vm="832">
        <f ca="1"/>
        <v>36.200000000000003</v>
      </c>
      <c r="F77" vm="833">
        <f ca="1"/>
        <v>402.18</v>
      </c>
      <c r="G77" vm="834">
        <f ca="1"/>
        <v>118.5605</v>
      </c>
      <c r="H77" vm="835">
        <f ca="1"/>
        <v>112.43</v>
      </c>
      <c r="I77" vm="836">
        <f ca="1"/>
        <v>32.44</v>
      </c>
      <c r="J77" vm="837">
        <f ca="1"/>
        <v>78.62</v>
      </c>
      <c r="K77" vm="838">
        <f ca="1"/>
        <v>2.5190000000000001</v>
      </c>
      <c r="L77" vm="839">
        <f ca="1"/>
        <v>89.4</v>
      </c>
      <c r="M77" vm="840">
        <f ca="1"/>
        <v>165.34</v>
      </c>
      <c r="N77" vm="841">
        <f ca="1"/>
        <v>2357.4899999999998</v>
      </c>
    </row>
    <row r="78" spans="2:14" x14ac:dyDescent="0.35">
      <c r="B78" vm="842">
        <f ca="1"/>
        <v>42832</v>
      </c>
      <c r="C78" vm="843">
        <f ca="1"/>
        <v>42.104999999999997</v>
      </c>
      <c r="D78" vm="844">
        <f ca="1"/>
        <v>44.744</v>
      </c>
      <c r="E78" vm="845">
        <f ca="1"/>
        <v>36.115000000000002</v>
      </c>
      <c r="F78" vm="846">
        <f ca="1"/>
        <v>401.74</v>
      </c>
      <c r="G78" vm="847">
        <f ca="1"/>
        <v>118.9817</v>
      </c>
      <c r="H78" vm="799">
        <f ca="1"/>
        <v>112.24</v>
      </c>
      <c r="I78" vm="848">
        <f ca="1"/>
        <v>32.232500000000002</v>
      </c>
      <c r="J78" vm="849">
        <f ca="1"/>
        <v>78.33</v>
      </c>
      <c r="K78" vm="850">
        <f ca="1"/>
        <v>2.5083000000000002</v>
      </c>
      <c r="L78" vm="851">
        <f ca="1"/>
        <v>89.23</v>
      </c>
      <c r="M78" vm="852">
        <f ca="1"/>
        <v>166.02</v>
      </c>
      <c r="N78" vm="853">
        <f ca="1"/>
        <v>2355.54</v>
      </c>
    </row>
    <row r="79" spans="2:14" x14ac:dyDescent="0.35">
      <c r="B79" vm="854">
        <f ca="1"/>
        <v>42835</v>
      </c>
      <c r="C79" vm="855">
        <f ca="1"/>
        <v>42.085000000000001</v>
      </c>
      <c r="D79" vm="856">
        <f ca="1"/>
        <v>45.351999999999997</v>
      </c>
      <c r="E79" vm="857">
        <f ca="1"/>
        <v>36.11</v>
      </c>
      <c r="F79" vm="858">
        <f ca="1"/>
        <v>400.93</v>
      </c>
      <c r="G79" vm="859">
        <f ca="1"/>
        <v>119.16370000000001</v>
      </c>
      <c r="H79" vm="860">
        <f ca="1"/>
        <v>112.32</v>
      </c>
      <c r="I79" vm="861">
        <f ca="1"/>
        <v>32.357500000000002</v>
      </c>
      <c r="J79" vm="862">
        <f ca="1"/>
        <v>78.709999999999994</v>
      </c>
      <c r="K79" vm="863">
        <f ca="1"/>
        <v>2.4443000000000001</v>
      </c>
      <c r="L79" vm="864">
        <f ca="1"/>
        <v>89.49</v>
      </c>
      <c r="M79" vm="865">
        <f ca="1"/>
        <v>165.48</v>
      </c>
      <c r="N79" vm="866">
        <f ca="1"/>
        <v>2357.16</v>
      </c>
    </row>
    <row r="80" spans="2:14" x14ac:dyDescent="0.35">
      <c r="B80" vm="867">
        <f ca="1"/>
        <v>42836</v>
      </c>
      <c r="C80" vm="868">
        <f ca="1"/>
        <v>41.994</v>
      </c>
      <c r="D80" vm="869">
        <f ca="1"/>
        <v>45.118000000000002</v>
      </c>
      <c r="E80" vm="870">
        <f ca="1"/>
        <v>36.125</v>
      </c>
      <c r="F80" vm="871">
        <f ca="1"/>
        <v>399.84</v>
      </c>
      <c r="G80" vm="872">
        <f ca="1"/>
        <v>119.2403</v>
      </c>
      <c r="H80" vm="873">
        <f ca="1"/>
        <v>112.11</v>
      </c>
      <c r="I80" vm="874">
        <f ca="1"/>
        <v>32.33</v>
      </c>
      <c r="J80" vm="657">
        <f ca="1"/>
        <v>79.650000000000006</v>
      </c>
      <c r="K80" vm="875">
        <f ca="1"/>
        <v>2.4529999999999998</v>
      </c>
      <c r="L80" vm="876">
        <f ca="1"/>
        <v>89.8</v>
      </c>
      <c r="M80" vm="877">
        <f ca="1"/>
        <v>165.83</v>
      </c>
      <c r="N80" vm="878">
        <f ca="1"/>
        <v>2353.7800000000002</v>
      </c>
    </row>
    <row r="81" spans="2:14" x14ac:dyDescent="0.35">
      <c r="B81" vm="879">
        <f ca="1"/>
        <v>42837</v>
      </c>
      <c r="C81" vm="880">
        <f ca="1"/>
        <v>42.073</v>
      </c>
      <c r="D81" vm="881">
        <f ca="1"/>
        <v>44.811500000000002</v>
      </c>
      <c r="E81" vm="882">
        <f ca="1"/>
        <v>35.869999999999997</v>
      </c>
      <c r="F81" vm="883">
        <f ca="1"/>
        <v>399.76</v>
      </c>
      <c r="G81" vm="884">
        <f ca="1"/>
        <v>117.90940000000001</v>
      </c>
      <c r="H81" vm="885">
        <f ca="1"/>
        <v>111.47</v>
      </c>
      <c r="I81" vm="886">
        <f ca="1"/>
        <v>32.627499999999998</v>
      </c>
      <c r="J81" vm="887">
        <f ca="1"/>
        <v>79.569999999999993</v>
      </c>
      <c r="K81" vm="888">
        <f ca="1"/>
        <v>2.4327999999999999</v>
      </c>
      <c r="L81" vm="889">
        <f ca="1"/>
        <v>90.31</v>
      </c>
      <c r="M81" vm="890">
        <f ca="1"/>
        <v>165.56</v>
      </c>
      <c r="N81" vm="891">
        <f ca="1"/>
        <v>2344.9299999999998</v>
      </c>
    </row>
    <row r="82" spans="2:14" x14ac:dyDescent="0.35">
      <c r="B82" vm="892">
        <f ca="1"/>
        <v>42838</v>
      </c>
      <c r="C82" vm="893">
        <f ca="1"/>
        <v>42.009</v>
      </c>
      <c r="D82" vm="894">
        <f ca="1"/>
        <v>44.233499999999999</v>
      </c>
      <c r="E82" vm="895">
        <f ca="1"/>
        <v>35.765000000000001</v>
      </c>
      <c r="F82" vm="896">
        <f ca="1"/>
        <v>399.11</v>
      </c>
      <c r="G82" vm="897">
        <f ca="1"/>
        <v>117.2871</v>
      </c>
      <c r="H82" vm="898">
        <f ca="1"/>
        <v>111.22</v>
      </c>
      <c r="I82" vm="899">
        <f ca="1"/>
        <v>32.692500000000003</v>
      </c>
      <c r="J82" vm="900">
        <f ca="1"/>
        <v>78.150000000000006</v>
      </c>
      <c r="K82" vm="901">
        <f ca="1"/>
        <v>2.3873000000000002</v>
      </c>
      <c r="L82" vm="902">
        <f ca="1"/>
        <v>90.03</v>
      </c>
      <c r="M82" vm="903">
        <f ca="1"/>
        <v>164.96</v>
      </c>
      <c r="N82" vm="904">
        <f ca="1"/>
        <v>2328.9499999999998</v>
      </c>
    </row>
    <row r="83" spans="2:14" x14ac:dyDescent="0.35">
      <c r="B83" vm="905">
        <f ca="1"/>
        <v>42842</v>
      </c>
      <c r="C83" vm="906">
        <f ca="1"/>
        <v>42.756500000000003</v>
      </c>
      <c r="D83" vm="907">
        <f ca="1"/>
        <v>45.099499999999999</v>
      </c>
      <c r="E83" vm="908">
        <f ca="1"/>
        <v>36.15</v>
      </c>
      <c r="F83" vm="909">
        <f ca="1"/>
        <v>403.01</v>
      </c>
      <c r="G83" vm="910">
        <f ca="1"/>
        <v>118.17749999999999</v>
      </c>
      <c r="H83" vm="655">
        <f ca="1"/>
        <v>112.67</v>
      </c>
      <c r="I83" vm="911">
        <f ca="1"/>
        <v>32.727499999999999</v>
      </c>
      <c r="J83" vm="912">
        <f ca="1"/>
        <v>78.239999999999995</v>
      </c>
      <c r="K83" vm="913">
        <f ca="1"/>
        <v>2.4807999999999999</v>
      </c>
      <c r="L83" vm="914">
        <f ca="1"/>
        <v>90.39</v>
      </c>
      <c r="M83" vm="915">
        <f ca="1"/>
        <v>167.18</v>
      </c>
      <c r="N83" vm="916">
        <f ca="1"/>
        <v>2349.0100000000002</v>
      </c>
    </row>
    <row r="84" spans="2:14" x14ac:dyDescent="0.35">
      <c r="B84" vm="917">
        <f ca="1"/>
        <v>42843</v>
      </c>
      <c r="C84" vm="918">
        <f ca="1"/>
        <v>42.6995</v>
      </c>
      <c r="D84" vm="919">
        <f ca="1"/>
        <v>45.189</v>
      </c>
      <c r="E84" vm="563">
        <f ca="1"/>
        <v>36.14</v>
      </c>
      <c r="F84" vm="920">
        <f ca="1"/>
        <v>402.95</v>
      </c>
      <c r="G84" vm="921">
        <f ca="1"/>
        <v>117.8424</v>
      </c>
      <c r="H84" vm="922">
        <f ca="1"/>
        <v>112.52</v>
      </c>
      <c r="I84" vm="923">
        <f ca="1"/>
        <v>32.984999999999999</v>
      </c>
      <c r="J84" vm="924">
        <f ca="1"/>
        <v>77.930000000000007</v>
      </c>
      <c r="K84" vm="925">
        <f ca="1"/>
        <v>2.4823</v>
      </c>
      <c r="L84" vm="926">
        <f ca="1"/>
        <v>90.8</v>
      </c>
      <c r="M84" vm="927">
        <f ca="1"/>
        <v>168.59</v>
      </c>
      <c r="N84" vm="928">
        <f ca="1"/>
        <v>2342.19</v>
      </c>
    </row>
    <row r="85" spans="2:14" x14ac:dyDescent="0.35">
      <c r="B85" vm="929">
        <f ca="1"/>
        <v>42844</v>
      </c>
      <c r="C85" vm="930">
        <f ca="1"/>
        <v>42.825499999999998</v>
      </c>
      <c r="D85" vm="931">
        <f ca="1"/>
        <v>44.96</v>
      </c>
      <c r="E85" vm="932">
        <f ca="1"/>
        <v>36.4</v>
      </c>
      <c r="F85" vm="933">
        <f ca="1"/>
        <v>403.96</v>
      </c>
      <c r="G85" vm="934">
        <f ca="1"/>
        <v>117.51690000000001</v>
      </c>
      <c r="H85" vm="935">
        <f ca="1"/>
        <v>112.29</v>
      </c>
      <c r="I85" vm="936">
        <f ca="1"/>
        <v>32.875</v>
      </c>
      <c r="J85" vm="937">
        <f ca="1"/>
        <v>76.48</v>
      </c>
      <c r="K85" vm="938">
        <f ca="1"/>
        <v>2.492</v>
      </c>
      <c r="L85" vm="939">
        <f ca="1"/>
        <v>89.6</v>
      </c>
      <c r="M85" vm="940">
        <f ca="1"/>
        <v>169.25</v>
      </c>
      <c r="N85" vm="941">
        <f ca="1"/>
        <v>2338.17</v>
      </c>
    </row>
    <row r="86" spans="2:14" x14ac:dyDescent="0.35">
      <c r="B86" vm="942">
        <f ca="1"/>
        <v>42845</v>
      </c>
      <c r="C86" vm="943">
        <f ca="1"/>
        <v>43.003999999999998</v>
      </c>
      <c r="D86" vm="944">
        <f ca="1"/>
        <v>45.103000000000002</v>
      </c>
      <c r="E86" vm="423">
        <f ca="1"/>
        <v>36.634999999999998</v>
      </c>
      <c r="F86" vm="945">
        <f ca="1"/>
        <v>405.13</v>
      </c>
      <c r="G86" vm="946">
        <f ca="1"/>
        <v>118.503</v>
      </c>
      <c r="H86" vm="947">
        <f ca="1"/>
        <v>114.59</v>
      </c>
      <c r="I86" vm="948">
        <f ca="1"/>
        <v>32.717500000000001</v>
      </c>
      <c r="J86" vm="949">
        <f ca="1"/>
        <v>76.510000000000005</v>
      </c>
      <c r="K86" vm="950">
        <f ca="1"/>
        <v>2.5314999999999999</v>
      </c>
      <c r="L86" vm="951">
        <f ca="1"/>
        <v>89.33</v>
      </c>
      <c r="M86" vm="952">
        <f ca="1"/>
        <v>171.54</v>
      </c>
      <c r="N86" vm="953">
        <f ca="1"/>
        <v>2355.84</v>
      </c>
    </row>
    <row r="87" spans="2:14" x14ac:dyDescent="0.35">
      <c r="B87" vm="954">
        <f ca="1"/>
        <v>42846</v>
      </c>
      <c r="C87" vm="955">
        <f ca="1"/>
        <v>42.947499999999998</v>
      </c>
      <c r="D87" vm="956">
        <f ca="1"/>
        <v>44.926499999999997</v>
      </c>
      <c r="E87" vm="957">
        <f ca="1"/>
        <v>36.840000000000003</v>
      </c>
      <c r="F87" vm="958">
        <f ca="1"/>
        <v>401.84</v>
      </c>
      <c r="G87" vm="959">
        <f ca="1"/>
        <v>121.6722</v>
      </c>
      <c r="H87" vm="960">
        <f ca="1"/>
        <v>114.27</v>
      </c>
      <c r="I87" vm="961">
        <f ca="1"/>
        <v>33.255000000000003</v>
      </c>
      <c r="J87" vm="962">
        <f ca="1"/>
        <v>74.84</v>
      </c>
      <c r="K87" vm="963">
        <f ca="1"/>
        <v>2.5419999999999998</v>
      </c>
      <c r="L87" vm="964">
        <f ca="1"/>
        <v>88.62</v>
      </c>
      <c r="M87" vm="965">
        <f ca="1"/>
        <v>171.16</v>
      </c>
      <c r="N87" vm="966">
        <f ca="1"/>
        <v>2348.69</v>
      </c>
    </row>
    <row r="88" spans="2:14" x14ac:dyDescent="0.35">
      <c r="B88" vm="967">
        <f ca="1"/>
        <v>42849</v>
      </c>
      <c r="C88" vm="968">
        <f ca="1"/>
        <v>43.9465</v>
      </c>
      <c r="D88" vm="969">
        <f ca="1"/>
        <v>45.3705</v>
      </c>
      <c r="E88" vm="970">
        <f ca="1"/>
        <v>37.195</v>
      </c>
      <c r="F88" vm="971">
        <f ca="1"/>
        <v>404.03</v>
      </c>
      <c r="G88" vm="972">
        <f ca="1"/>
        <v>124.2668</v>
      </c>
      <c r="H88" vm="973">
        <f ca="1"/>
        <v>115.7</v>
      </c>
      <c r="I88" vm="974">
        <f ca="1"/>
        <v>33.1875</v>
      </c>
      <c r="J88" vm="975">
        <f ca="1"/>
        <v>74.099999999999994</v>
      </c>
      <c r="K88" vm="150">
        <f ca="1"/>
        <v>2.5737999999999999</v>
      </c>
      <c r="L88" vm="976">
        <f ca="1"/>
        <v>89.55</v>
      </c>
      <c r="M88" vm="977">
        <f ca="1"/>
        <v>172.33</v>
      </c>
      <c r="N88" vm="978">
        <f ca="1"/>
        <v>2374.15</v>
      </c>
    </row>
    <row r="89" spans="2:14" x14ac:dyDescent="0.35">
      <c r="B89" vm="979">
        <f ca="1"/>
        <v>42850</v>
      </c>
      <c r="C89" vm="980">
        <f ca="1"/>
        <v>44.442</v>
      </c>
      <c r="D89" vm="981">
        <f ca="1"/>
        <v>45.381</v>
      </c>
      <c r="E89" vm="982">
        <f ca="1"/>
        <v>37.57</v>
      </c>
      <c r="F89" vm="983">
        <f ca="1"/>
        <v>406.55</v>
      </c>
      <c r="G89" vm="984">
        <f ca="1"/>
        <v>123.79770000000001</v>
      </c>
      <c r="H89" vm="985">
        <f ca="1"/>
        <v>116.13</v>
      </c>
      <c r="I89" vm="986">
        <f ca="1"/>
        <v>33.229999999999997</v>
      </c>
      <c r="J89" vm="987">
        <f ca="1"/>
        <v>74.09</v>
      </c>
      <c r="K89" vm="988">
        <f ca="1"/>
        <v>2.6185</v>
      </c>
      <c r="L89" vm="989">
        <f ca="1"/>
        <v>90</v>
      </c>
      <c r="M89" vm="990">
        <f ca="1"/>
        <v>174.04</v>
      </c>
      <c r="N89" vm="991">
        <f ca="1"/>
        <v>2388.61</v>
      </c>
    </row>
    <row r="90" spans="2:14" x14ac:dyDescent="0.35">
      <c r="B90" vm="992">
        <f ca="1"/>
        <v>42851</v>
      </c>
      <c r="C90" vm="993">
        <f ca="1"/>
        <v>44.457000000000001</v>
      </c>
      <c r="D90" vm="994">
        <f ca="1"/>
        <v>45.464500000000001</v>
      </c>
      <c r="E90" vm="995">
        <f ca="1"/>
        <v>37.585000000000001</v>
      </c>
      <c r="F90" vm="996">
        <f ca="1"/>
        <v>407.33</v>
      </c>
      <c r="G90" vm="997">
        <f ca="1"/>
        <v>124.5637</v>
      </c>
      <c r="H90" vm="998">
        <f ca="1"/>
        <v>116.17</v>
      </c>
      <c r="I90" vm="999">
        <f ca="1"/>
        <v>33.207500000000003</v>
      </c>
      <c r="J90" vm="1000">
        <f ca="1"/>
        <v>74.11</v>
      </c>
      <c r="K90" vm="1001">
        <f ca="1"/>
        <v>2.6004999999999998</v>
      </c>
      <c r="L90" vm="1002">
        <f ca="1"/>
        <v>87.74</v>
      </c>
      <c r="M90" vm="1003">
        <f ca="1"/>
        <v>174.38</v>
      </c>
      <c r="N90" vm="1004">
        <f ca="1"/>
        <v>2387.4499999999998</v>
      </c>
    </row>
    <row r="91" spans="2:14" x14ac:dyDescent="0.35">
      <c r="B91" vm="1005">
        <f ca="1"/>
        <v>42852</v>
      </c>
      <c r="C91" vm="1006">
        <f ca="1"/>
        <v>44.572000000000003</v>
      </c>
      <c r="D91" vm="1007">
        <f ca="1"/>
        <v>45.918999999999997</v>
      </c>
      <c r="E91" vm="1008">
        <f ca="1"/>
        <v>38.674999999999997</v>
      </c>
      <c r="F91" vm="1009">
        <f ca="1"/>
        <v>410.94</v>
      </c>
      <c r="G91" vm="1010">
        <f ca="1"/>
        <v>124.35299999999999</v>
      </c>
      <c r="H91" vm="1011">
        <f ca="1"/>
        <v>117.1</v>
      </c>
      <c r="I91" vm="1012">
        <f ca="1"/>
        <v>33.380000000000003</v>
      </c>
      <c r="J91" vm="1013">
        <f ca="1"/>
        <v>72.84</v>
      </c>
      <c r="K91" vm="1014">
        <f ca="1"/>
        <v>2.641</v>
      </c>
      <c r="L91" vm="1015">
        <f ca="1"/>
        <v>87.69</v>
      </c>
      <c r="M91" vm="1016">
        <f ca="1"/>
        <v>174.63</v>
      </c>
      <c r="N91" vm="1017">
        <f ca="1"/>
        <v>2388.77</v>
      </c>
    </row>
    <row r="92" spans="2:14" x14ac:dyDescent="0.35">
      <c r="B92" vm="1018">
        <f ca="1"/>
        <v>42853</v>
      </c>
      <c r="C92" vm="1019">
        <f ca="1"/>
        <v>46.225999999999999</v>
      </c>
      <c r="D92" vm="1020">
        <f ca="1"/>
        <v>46.249499999999998</v>
      </c>
      <c r="E92" vm="1021">
        <f ca="1"/>
        <v>38.445</v>
      </c>
      <c r="F92" vm="1022">
        <f ca="1"/>
        <v>417.7</v>
      </c>
      <c r="G92" vm="1023">
        <f ca="1"/>
        <v>125.5594</v>
      </c>
      <c r="H92" vm="1024">
        <f ca="1"/>
        <v>116.32</v>
      </c>
      <c r="I92" vm="1025">
        <f ca="1"/>
        <v>33.39</v>
      </c>
      <c r="J92" vm="1026">
        <f ca="1"/>
        <v>72.59</v>
      </c>
      <c r="K92" vm="1027">
        <f ca="1"/>
        <v>2.6074999999999999</v>
      </c>
      <c r="L92" vm="279">
        <f ca="1"/>
        <v>87.33</v>
      </c>
      <c r="M92" vm="1028">
        <f ca="1"/>
        <v>174.88</v>
      </c>
      <c r="N92" vm="1029">
        <f ca="1"/>
        <v>2384.1999999999998</v>
      </c>
    </row>
    <row r="93" spans="2:14" x14ac:dyDescent="0.35">
      <c r="B93" vm="1030">
        <f ca="1"/>
        <v>42856</v>
      </c>
      <c r="C93" vm="1031">
        <f ca="1"/>
        <v>46.640999999999998</v>
      </c>
      <c r="D93" vm="1032">
        <f ca="1"/>
        <v>47.411499999999997</v>
      </c>
      <c r="E93" vm="1033">
        <f ca="1"/>
        <v>38.46</v>
      </c>
      <c r="F93" vm="1034">
        <f ca="1"/>
        <v>420.18</v>
      </c>
      <c r="G93" vm="1035">
        <f ca="1"/>
        <v>125.3296</v>
      </c>
      <c r="H93" vm="1036">
        <f ca="1"/>
        <v>116.37</v>
      </c>
      <c r="I93" vm="1037">
        <f ca="1"/>
        <v>33.26</v>
      </c>
      <c r="J93" vm="1038">
        <f ca="1"/>
        <v>72.3</v>
      </c>
      <c r="K93" vm="1039">
        <f ca="1"/>
        <v>2.6659999999999999</v>
      </c>
      <c r="L93" vm="1040">
        <f ca="1"/>
        <v>87.09</v>
      </c>
      <c r="M93" vm="1041">
        <f ca="1"/>
        <v>174.59</v>
      </c>
      <c r="N93" vm="1042">
        <f ca="1"/>
        <v>2388.33</v>
      </c>
    </row>
    <row r="94" spans="2:14" x14ac:dyDescent="0.35">
      <c r="B94" vm="1043">
        <f ca="1"/>
        <v>42857</v>
      </c>
      <c r="C94" vm="1044">
        <f ca="1"/>
        <v>46.854500000000002</v>
      </c>
      <c r="D94" vm="1045">
        <f ca="1"/>
        <v>47.347000000000001</v>
      </c>
      <c r="E94" vm="1046">
        <f ca="1"/>
        <v>38.4</v>
      </c>
      <c r="F94" vm="1047">
        <f ca="1"/>
        <v>422.86</v>
      </c>
      <c r="G94" vm="1048">
        <f ca="1"/>
        <v>125.6073</v>
      </c>
      <c r="H94" vm="1049">
        <f ca="1"/>
        <v>118.12</v>
      </c>
      <c r="I94" vm="1050">
        <f ca="1"/>
        <v>33.505000000000003</v>
      </c>
      <c r="J94" vm="1051">
        <f ca="1"/>
        <v>71.45</v>
      </c>
      <c r="K94" vm="1052">
        <f ca="1"/>
        <v>2.5870000000000002</v>
      </c>
      <c r="L94" vm="1053">
        <f ca="1"/>
        <v>86.22</v>
      </c>
      <c r="M94" vm="1054">
        <f ca="1"/>
        <v>174.14</v>
      </c>
      <c r="N94" vm="1055">
        <f ca="1"/>
        <v>2391.17</v>
      </c>
    </row>
    <row r="95" spans="2:14" x14ac:dyDescent="0.35">
      <c r="B95" vm="1056">
        <f ca="1"/>
        <v>42858</v>
      </c>
      <c r="C95" vm="1057">
        <f ca="1"/>
        <v>47.422499999999999</v>
      </c>
      <c r="D95" vm="1058">
        <f ca="1"/>
        <v>47.051499999999997</v>
      </c>
      <c r="E95" vm="1059">
        <f ca="1"/>
        <v>38.11</v>
      </c>
      <c r="F95" vm="1060">
        <f ca="1"/>
        <v>423.18</v>
      </c>
      <c r="G95" vm="1061">
        <f ca="1"/>
        <v>125.4924</v>
      </c>
      <c r="H95" vm="1062">
        <f ca="1"/>
        <v>117.33</v>
      </c>
      <c r="I95" vm="1063">
        <f ca="1"/>
        <v>33.340000000000003</v>
      </c>
      <c r="J95" vm="1064">
        <f ca="1"/>
        <v>71.53</v>
      </c>
      <c r="K95" vm="1065">
        <f ca="1"/>
        <v>2.6063000000000001</v>
      </c>
      <c r="L95" vm="136">
        <f ca="1"/>
        <v>86.43</v>
      </c>
      <c r="M95" vm="1066">
        <f ca="1"/>
        <v>172.54</v>
      </c>
      <c r="N95" vm="1067">
        <f ca="1"/>
        <v>2388.13</v>
      </c>
    </row>
    <row r="96" spans="2:14" x14ac:dyDescent="0.35">
      <c r="B96" vm="1068">
        <f ca="1"/>
        <v>42859</v>
      </c>
      <c r="C96" vm="1069">
        <f ca="1"/>
        <v>47.735999999999997</v>
      </c>
      <c r="D96" vm="1070">
        <f ca="1"/>
        <v>46.8765</v>
      </c>
      <c r="E96" vm="1071">
        <f ca="1"/>
        <v>40.244999999999997</v>
      </c>
      <c r="F96" vm="1072">
        <f ca="1"/>
        <v>424.28</v>
      </c>
      <c r="G96" vm="1073">
        <f ca="1"/>
        <v>125.6168</v>
      </c>
      <c r="H96" vm="1074">
        <f ca="1"/>
        <v>117.92</v>
      </c>
      <c r="I96" vm="1075">
        <f ca="1"/>
        <v>33.585000000000001</v>
      </c>
      <c r="J96" vm="1076">
        <f ca="1"/>
        <v>70.94</v>
      </c>
      <c r="K96" vm="1077">
        <f ca="1"/>
        <v>2.5962999999999998</v>
      </c>
      <c r="L96" vm="1078">
        <f ca="1"/>
        <v>86.45</v>
      </c>
      <c r="M96" vm="1079">
        <f ca="1"/>
        <v>174.02</v>
      </c>
      <c r="N96" vm="1080">
        <f ca="1"/>
        <v>2389.52</v>
      </c>
    </row>
    <row r="97" spans="2:14" x14ac:dyDescent="0.35">
      <c r="B97" vm="1081">
        <f ca="1"/>
        <v>42860</v>
      </c>
      <c r="C97" vm="1082">
        <f ca="1"/>
        <v>47.514000000000003</v>
      </c>
      <c r="D97" vm="1083">
        <f ca="1"/>
        <v>46.707500000000003</v>
      </c>
      <c r="E97" vm="1084">
        <f ca="1"/>
        <v>40.020000000000003</v>
      </c>
      <c r="F97" vm="1085">
        <f ca="1"/>
        <v>426.25</v>
      </c>
      <c r="G97" vm="1086">
        <f ca="1"/>
        <v>125.81789999999999</v>
      </c>
      <c r="H97" vm="1087">
        <f ca="1"/>
        <v>117.5</v>
      </c>
      <c r="I97" vm="1088">
        <f ca="1"/>
        <v>33.582500000000003</v>
      </c>
      <c r="J97" vm="1089">
        <f ca="1"/>
        <v>71.97</v>
      </c>
      <c r="K97" vm="1090">
        <f ca="1"/>
        <v>2.5964999999999998</v>
      </c>
      <c r="L97" vm="1091">
        <f ca="1"/>
        <v>86.5</v>
      </c>
      <c r="M97" vm="1092">
        <f ca="1"/>
        <v>174.12</v>
      </c>
      <c r="N97" vm="1093">
        <f ca="1"/>
        <v>2399.29</v>
      </c>
    </row>
    <row r="98" spans="2:14" x14ac:dyDescent="0.35">
      <c r="B98" vm="1094">
        <f ca="1"/>
        <v>42863</v>
      </c>
      <c r="C98" vm="1095">
        <f ca="1"/>
        <v>47.9345</v>
      </c>
      <c r="D98" vm="1096">
        <f ca="1"/>
        <v>47.451999999999998</v>
      </c>
      <c r="E98" vm="1097">
        <f ca="1"/>
        <v>39.805</v>
      </c>
      <c r="F98" vm="1098">
        <f ca="1"/>
        <v>426.64</v>
      </c>
      <c r="G98" vm="1099">
        <f ca="1"/>
        <v>125.5498</v>
      </c>
      <c r="H98" vm="1100">
        <f ca="1"/>
        <v>116.61</v>
      </c>
      <c r="I98" vm="1101">
        <f ca="1"/>
        <v>33.737499999999997</v>
      </c>
      <c r="J98" vm="1102">
        <f ca="1"/>
        <v>72.22</v>
      </c>
      <c r="K98" vm="1103">
        <f ca="1"/>
        <v>2.5693000000000001</v>
      </c>
      <c r="L98" vm="1104">
        <f ca="1"/>
        <v>86.55</v>
      </c>
      <c r="M98" vm="1105">
        <f ca="1"/>
        <v>174.44</v>
      </c>
      <c r="N98" vm="1106">
        <f ca="1"/>
        <v>2399.38</v>
      </c>
    </row>
    <row r="99" spans="2:14" x14ac:dyDescent="0.35">
      <c r="B99" vm="1107">
        <f ca="1"/>
        <v>42864</v>
      </c>
      <c r="C99" vm="1108">
        <f ca="1"/>
        <v>47.835500000000003</v>
      </c>
      <c r="D99" vm="1109">
        <f ca="1"/>
        <v>47.640999999999998</v>
      </c>
      <c r="E99" vm="1110">
        <f ca="1"/>
        <v>39.82</v>
      </c>
      <c r="F99" vm="1111">
        <f ca="1"/>
        <v>425.91</v>
      </c>
      <c r="G99" vm="1112">
        <f ca="1"/>
        <v>126.2966</v>
      </c>
      <c r="H99" vm="1113">
        <f ca="1"/>
        <v>116.41</v>
      </c>
      <c r="I99" vm="1114">
        <f ca="1"/>
        <v>33.442500000000003</v>
      </c>
      <c r="J99" vm="1115">
        <f ca="1"/>
        <v>72.28</v>
      </c>
      <c r="K99" vm="1116">
        <f ca="1"/>
        <v>2.5735000000000001</v>
      </c>
      <c r="L99" vm="1117">
        <f ca="1"/>
        <v>86.4</v>
      </c>
      <c r="M99" vm="1118">
        <f ca="1"/>
        <v>173.24</v>
      </c>
      <c r="N99" vm="1119">
        <f ca="1"/>
        <v>2396.92</v>
      </c>
    </row>
    <row r="100" spans="2:14" x14ac:dyDescent="0.35">
      <c r="B100" vm="1120">
        <f ca="1"/>
        <v>42865</v>
      </c>
      <c r="C100" vm="1121">
        <f ca="1"/>
        <v>47.741999999999997</v>
      </c>
      <c r="D100" vm="1122">
        <f ca="1"/>
        <v>47.447499999999998</v>
      </c>
      <c r="E100" vm="1123">
        <f ca="1"/>
        <v>40.094999999999999</v>
      </c>
      <c r="F100" vm="1124">
        <f ca="1"/>
        <v>425.05</v>
      </c>
      <c r="G100" vm="1125">
        <f ca="1"/>
        <v>126.1339</v>
      </c>
      <c r="H100" vm="1126">
        <f ca="1"/>
        <v>116.65</v>
      </c>
      <c r="I100" vm="1127">
        <f ca="1"/>
        <v>33.542499999999997</v>
      </c>
      <c r="J100" vm="1128">
        <f ca="1"/>
        <v>72.67</v>
      </c>
      <c r="K100" vm="1129">
        <f ca="1"/>
        <v>3.0323000000000002</v>
      </c>
      <c r="L100" vm="174">
        <f ca="1"/>
        <v>86.49</v>
      </c>
      <c r="M100" vm="1130">
        <f ca="1"/>
        <v>173.39</v>
      </c>
      <c r="N100" vm="1131">
        <f ca="1"/>
        <v>2399.63</v>
      </c>
    </row>
    <row r="101" spans="2:14" x14ac:dyDescent="0.35">
      <c r="B101" vm="1132">
        <f ca="1"/>
        <v>42866</v>
      </c>
      <c r="C101" vm="1133">
        <f ca="1"/>
        <v>47.794499999999999</v>
      </c>
      <c r="D101" vm="1134">
        <f ca="1"/>
        <v>47.381</v>
      </c>
      <c r="E101" vm="1135">
        <f ca="1"/>
        <v>40</v>
      </c>
      <c r="F101" vm="1136">
        <f ca="1"/>
        <v>428.77</v>
      </c>
      <c r="G101" vm="1137">
        <f ca="1"/>
        <v>126.2871</v>
      </c>
      <c r="H101" vm="1138">
        <f ca="1"/>
        <v>116.53</v>
      </c>
      <c r="I101" vm="1139">
        <f ca="1"/>
        <v>33.659999999999997</v>
      </c>
      <c r="J101" vm="1140">
        <f ca="1"/>
        <v>71.78</v>
      </c>
      <c r="K101" vm="1141">
        <f ca="1"/>
        <v>3.1625000000000001</v>
      </c>
      <c r="L101" vm="1142">
        <f ca="1"/>
        <v>86.17</v>
      </c>
      <c r="M101" vm="1143">
        <f ca="1"/>
        <v>173.32</v>
      </c>
      <c r="N101" vm="1144">
        <f ca="1"/>
        <v>2394.44</v>
      </c>
    </row>
    <row r="102" spans="2:14" x14ac:dyDescent="0.35">
      <c r="B102" vm="1145">
        <f ca="1"/>
        <v>42867</v>
      </c>
      <c r="C102" vm="1146">
        <f ca="1"/>
        <v>47.756999999999998</v>
      </c>
      <c r="D102" vm="1147">
        <f ca="1"/>
        <v>48.067500000000003</v>
      </c>
      <c r="E102" vm="1148">
        <f ca="1"/>
        <v>40.18</v>
      </c>
      <c r="F102" vm="1149">
        <f ca="1"/>
        <v>431.07</v>
      </c>
      <c r="G102" vm="1150">
        <f ca="1"/>
        <v>125.89449999999999</v>
      </c>
      <c r="H102" vm="1151">
        <f ca="1"/>
        <v>117.13</v>
      </c>
      <c r="I102" vm="1152">
        <f ca="1"/>
        <v>33.887500000000003</v>
      </c>
      <c r="J102" vm="1153">
        <f ca="1"/>
        <v>71.02</v>
      </c>
      <c r="K102" vm="1154">
        <f ca="1"/>
        <v>3.1972999999999998</v>
      </c>
      <c r="L102" vm="1155">
        <f ca="1"/>
        <v>86.19</v>
      </c>
      <c r="M102" vm="1156">
        <f ca="1"/>
        <v>171.81</v>
      </c>
      <c r="N102" vm="1157">
        <f ca="1"/>
        <v>2390.9</v>
      </c>
    </row>
    <row r="103" spans="2:14" x14ac:dyDescent="0.35">
      <c r="B103" vm="1158">
        <f ca="1"/>
        <v>42870</v>
      </c>
      <c r="C103" vm="1159">
        <f ca="1"/>
        <v>47.960999999999999</v>
      </c>
      <c r="D103" vm="1160">
        <f ca="1"/>
        <v>47.898499999999999</v>
      </c>
      <c r="E103" vm="1161">
        <f ca="1"/>
        <v>40.39</v>
      </c>
      <c r="F103" vm="1162">
        <f ca="1"/>
        <v>429.81</v>
      </c>
      <c r="G103" vm="1163">
        <f ca="1"/>
        <v>126.36360000000001</v>
      </c>
      <c r="H103" vm="1164">
        <f ca="1"/>
        <v>118.21</v>
      </c>
      <c r="I103" vm="1165">
        <f ca="1"/>
        <v>34.032499999999999</v>
      </c>
      <c r="J103" vm="1166">
        <f ca="1"/>
        <v>72</v>
      </c>
      <c r="K103" vm="1167">
        <f ca="1"/>
        <v>3.3578000000000001</v>
      </c>
      <c r="L103" vm="1168">
        <f ca="1"/>
        <v>86.33</v>
      </c>
      <c r="M103" vm="1169">
        <f ca="1"/>
        <v>171.53</v>
      </c>
      <c r="N103" vm="1170">
        <f ca="1"/>
        <v>2402.3200000000002</v>
      </c>
    </row>
    <row r="104" spans="2:14" x14ac:dyDescent="0.35">
      <c r="B104" vm="1171">
        <f ca="1"/>
        <v>42871</v>
      </c>
      <c r="C104" vm="1172">
        <f ca="1"/>
        <v>48.230499999999999</v>
      </c>
      <c r="D104" vm="1173">
        <f ca="1"/>
        <v>48.3035</v>
      </c>
      <c r="E104" vm="1174">
        <f ca="1"/>
        <v>40.405000000000001</v>
      </c>
      <c r="F104" vm="1175">
        <f ca="1"/>
        <v>427.64</v>
      </c>
      <c r="G104" vm="1176">
        <f ca="1"/>
        <v>126.39239999999999</v>
      </c>
      <c r="H104" vm="1177">
        <f ca="1"/>
        <v>118.49</v>
      </c>
      <c r="I104" vm="1178">
        <f ca="1"/>
        <v>33.975000000000001</v>
      </c>
      <c r="J104" vm="1179">
        <f ca="1"/>
        <v>71.37</v>
      </c>
      <c r="K104" vm="1180">
        <f ca="1"/>
        <v>3.4203000000000001</v>
      </c>
      <c r="L104" vm="1181">
        <f ca="1"/>
        <v>86.24</v>
      </c>
      <c r="M104" vm="1182">
        <f ca="1"/>
        <v>168.12</v>
      </c>
      <c r="N104" vm="1183">
        <f ca="1"/>
        <v>2400.67</v>
      </c>
    </row>
    <row r="105" spans="2:14" x14ac:dyDescent="0.35">
      <c r="B105" vm="1184">
        <f ca="1"/>
        <v>42872</v>
      </c>
      <c r="C105" vm="1185">
        <f ca="1"/>
        <v>47.108499999999999</v>
      </c>
      <c r="D105" vm="1186">
        <f ca="1"/>
        <v>47.238</v>
      </c>
      <c r="E105" vm="1187">
        <f ca="1"/>
        <v>39.979999999999997</v>
      </c>
      <c r="F105" vm="1188">
        <f ca="1"/>
        <v>426.97</v>
      </c>
      <c r="G105" vm="1189">
        <f ca="1"/>
        <v>124.4105</v>
      </c>
      <c r="H105" vm="1190">
        <f ca="1"/>
        <v>116.8</v>
      </c>
      <c r="I105" vm="1191">
        <f ca="1"/>
        <v>34.112499999999997</v>
      </c>
      <c r="J105" vm="1192">
        <f ca="1"/>
        <v>70.989999999999995</v>
      </c>
      <c r="K105" vm="1193">
        <f ca="1"/>
        <v>3.1930000000000001</v>
      </c>
      <c r="L105" vm="1194">
        <f ca="1"/>
        <v>86.26</v>
      </c>
      <c r="M105" vm="1195">
        <f ca="1"/>
        <v>168.86</v>
      </c>
      <c r="N105" vm="1196">
        <f ca="1"/>
        <v>2357.0300000000002</v>
      </c>
    </row>
    <row r="106" spans="2:14" x14ac:dyDescent="0.35">
      <c r="B106" vm="1197">
        <f ca="1"/>
        <v>42873</v>
      </c>
      <c r="C106" vm="1198">
        <f ca="1"/>
        <v>47.524999999999999</v>
      </c>
      <c r="D106" vm="1199">
        <f ca="1"/>
        <v>47.924500000000002</v>
      </c>
      <c r="E106" vm="1200">
        <f ca="1"/>
        <v>39.75</v>
      </c>
      <c r="F106" vm="1201">
        <f ca="1"/>
        <v>425.76</v>
      </c>
      <c r="G106" vm="1202">
        <f ca="1"/>
        <v>124.87</v>
      </c>
      <c r="H106" vm="1203">
        <f ca="1"/>
        <v>116.24</v>
      </c>
      <c r="I106" vm="1204">
        <f ca="1"/>
        <v>34.234999999999999</v>
      </c>
      <c r="J106" vm="1205">
        <f ca="1"/>
        <v>71.430000000000007</v>
      </c>
      <c r="K106" vm="1206">
        <f ca="1"/>
        <v>3.3268</v>
      </c>
      <c r="L106" vm="1207">
        <f ca="1"/>
        <v>85.87</v>
      </c>
      <c r="M106" vm="1208">
        <f ca="1"/>
        <v>171.45</v>
      </c>
      <c r="N106" vm="1209">
        <f ca="1"/>
        <v>2365.7199999999998</v>
      </c>
    </row>
    <row r="107" spans="2:14" x14ac:dyDescent="0.35">
      <c r="B107" vm="1210">
        <f ca="1"/>
        <v>42874</v>
      </c>
      <c r="C107" vm="1211">
        <f ca="1"/>
        <v>47.732500000000002</v>
      </c>
      <c r="D107" vm="1212">
        <f ca="1"/>
        <v>47.991999999999997</v>
      </c>
      <c r="E107" vm="1213">
        <f ca="1"/>
        <v>40.04</v>
      </c>
      <c r="F107" vm="1214">
        <f ca="1"/>
        <v>426.74</v>
      </c>
      <c r="G107" vm="1215">
        <f ca="1"/>
        <v>125.8083</v>
      </c>
      <c r="H107" vm="1216">
        <f ca="1"/>
        <v>117.58</v>
      </c>
      <c r="I107" vm="1217">
        <f ca="1"/>
        <v>34.322499999999998</v>
      </c>
      <c r="J107" vm="1218">
        <f ca="1"/>
        <v>71.75</v>
      </c>
      <c r="K107" vm="1219">
        <f ca="1"/>
        <v>3.4</v>
      </c>
      <c r="L107" vm="1181">
        <f ca="1"/>
        <v>86.24</v>
      </c>
      <c r="M107" vm="1220">
        <f ca="1"/>
        <v>172.59</v>
      </c>
      <c r="N107" vm="1221">
        <f ca="1"/>
        <v>2381.73</v>
      </c>
    </row>
    <row r="108" spans="2:14" x14ac:dyDescent="0.35">
      <c r="B108" vm="1222">
        <f ca="1"/>
        <v>42877</v>
      </c>
      <c r="C108" vm="1223">
        <f ca="1"/>
        <v>48.203499999999998</v>
      </c>
      <c r="D108" vm="1224">
        <f ca="1"/>
        <v>48.533499999999997</v>
      </c>
      <c r="E108" vm="1148">
        <f ca="1"/>
        <v>40.18</v>
      </c>
      <c r="F108" vm="1225">
        <f ca="1"/>
        <v>434.68</v>
      </c>
      <c r="G108" vm="1226">
        <f ca="1"/>
        <v>126.2296</v>
      </c>
      <c r="H108" vm="1227">
        <f ca="1"/>
        <v>119</v>
      </c>
      <c r="I108" vm="1228">
        <f ca="1"/>
        <v>34.587499999999999</v>
      </c>
      <c r="J108" vm="1229">
        <f ca="1"/>
        <v>71.89</v>
      </c>
      <c r="K108" vm="1230">
        <f ca="1"/>
        <v>3.4725000000000001</v>
      </c>
      <c r="L108" vm="1231">
        <f ca="1"/>
        <v>86.21</v>
      </c>
      <c r="M108" vm="1232">
        <f ca="1"/>
        <v>174.7</v>
      </c>
      <c r="N108" vm="1233">
        <f ca="1"/>
        <v>2394.02</v>
      </c>
    </row>
    <row r="109" spans="2:14" x14ac:dyDescent="0.35">
      <c r="B109" vm="1234">
        <f ca="1"/>
        <v>42878</v>
      </c>
      <c r="C109" vm="1235">
        <f ca="1"/>
        <v>48.527500000000003</v>
      </c>
      <c r="D109" vm="1236">
        <f ca="1"/>
        <v>48.576999999999998</v>
      </c>
      <c r="E109" vm="1237">
        <f ca="1"/>
        <v>40.130000000000003</v>
      </c>
      <c r="F109" vm="1238">
        <f ca="1"/>
        <v>435.79</v>
      </c>
      <c r="G109" vm="1239">
        <f ca="1"/>
        <v>126.2392</v>
      </c>
      <c r="H109" vm="1240">
        <f ca="1"/>
        <v>119.6</v>
      </c>
      <c r="I109" vm="1241">
        <f ca="1"/>
        <v>34.74</v>
      </c>
      <c r="J109" vm="1242">
        <f ca="1"/>
        <v>72.09</v>
      </c>
      <c r="K109" vm="1243">
        <f ca="1"/>
        <v>3.4258000000000002</v>
      </c>
      <c r="L109" vm="1244">
        <f ca="1"/>
        <v>86.08</v>
      </c>
      <c r="M109" vm="1245">
        <f ca="1"/>
        <v>175.22</v>
      </c>
      <c r="N109" vm="1246">
        <f ca="1"/>
        <v>2398.42</v>
      </c>
    </row>
    <row r="110" spans="2:14" x14ac:dyDescent="0.35">
      <c r="B110" vm="1247">
        <f ca="1"/>
        <v>42879</v>
      </c>
      <c r="C110" vm="1248">
        <f ca="1"/>
        <v>48.880499999999998</v>
      </c>
      <c r="D110" vm="1249">
        <f ca="1"/>
        <v>49.017499999999998</v>
      </c>
      <c r="E110" vm="1250">
        <f ca="1"/>
        <v>40.32</v>
      </c>
      <c r="F110" vm="1251">
        <f ca="1"/>
        <v>440.43</v>
      </c>
      <c r="G110" vm="1252">
        <f ca="1"/>
        <v>126.5168</v>
      </c>
      <c r="H110" vm="1253">
        <f ca="1"/>
        <v>120.7</v>
      </c>
      <c r="I110" vm="1254">
        <f ca="1"/>
        <v>35.037500000000001</v>
      </c>
      <c r="J110" vm="1255">
        <f ca="1"/>
        <v>71.36</v>
      </c>
      <c r="K110" vm="1256">
        <f ca="1"/>
        <v>3.4643000000000002</v>
      </c>
      <c r="L110" vm="1091">
        <f ca="1"/>
        <v>86.5</v>
      </c>
      <c r="M110" vm="1257">
        <f ca="1"/>
        <v>175.59</v>
      </c>
      <c r="N110" vm="1258">
        <f ca="1"/>
        <v>2404.39</v>
      </c>
    </row>
    <row r="111" spans="2:14" x14ac:dyDescent="0.35">
      <c r="B111" vm="1259">
        <f ca="1"/>
        <v>42880</v>
      </c>
      <c r="C111" vm="1260">
        <f ca="1"/>
        <v>49.593000000000004</v>
      </c>
      <c r="D111" vm="1261">
        <f ca="1"/>
        <v>49.668999999999997</v>
      </c>
      <c r="E111" vm="1262">
        <f ca="1"/>
        <v>40.72</v>
      </c>
      <c r="F111" vm="1263">
        <f ca="1"/>
        <v>444.97</v>
      </c>
      <c r="G111" vm="1264">
        <f ca="1"/>
        <v>128.0583</v>
      </c>
      <c r="H111" vm="1265">
        <f ca="1"/>
        <v>121.92</v>
      </c>
      <c r="I111" vm="1266">
        <f ca="1"/>
        <v>35.174999999999997</v>
      </c>
      <c r="J111" vm="1267">
        <f ca="1"/>
        <v>69.39</v>
      </c>
      <c r="K111" vm="1268">
        <f ca="1"/>
        <v>3.4565000000000001</v>
      </c>
      <c r="L111" vm="1269">
        <f ca="1"/>
        <v>86.86</v>
      </c>
      <c r="M111" vm="1270">
        <f ca="1"/>
        <v>178.05</v>
      </c>
      <c r="N111" vm="1271">
        <f ca="1"/>
        <v>2415.0700000000002</v>
      </c>
    </row>
    <row r="112" spans="2:14" x14ac:dyDescent="0.35">
      <c r="B112" vm="1272">
        <f ca="1"/>
        <v>42881</v>
      </c>
      <c r="C112" vm="1273">
        <f ca="1"/>
        <v>49.663499999999999</v>
      </c>
      <c r="D112" vm="1274">
        <f ca="1"/>
        <v>49.789000000000001</v>
      </c>
      <c r="E112" vm="1275">
        <f ca="1"/>
        <v>40.69</v>
      </c>
      <c r="F112" vm="1276">
        <f ca="1"/>
        <v>441.22</v>
      </c>
      <c r="G112" vm="1277">
        <f ca="1"/>
        <v>127.5796</v>
      </c>
      <c r="H112" vm="1278">
        <f ca="1"/>
        <v>121.63</v>
      </c>
      <c r="I112" vm="1279">
        <f ca="1"/>
        <v>35.177500000000002</v>
      </c>
      <c r="J112" vm="1280">
        <f ca="1"/>
        <v>70.09</v>
      </c>
      <c r="K112" vm="1281">
        <f ca="1"/>
        <v>3.5459999999999998</v>
      </c>
      <c r="L112" vm="1282">
        <f ca="1"/>
        <v>87.25</v>
      </c>
      <c r="M112" vm="1283">
        <f ca="1"/>
        <v>177.5</v>
      </c>
      <c r="N112" vm="1284">
        <f ca="1"/>
        <v>2415.8200000000002</v>
      </c>
    </row>
    <row r="113" spans="2:14" x14ac:dyDescent="0.35">
      <c r="B113" vm="1285">
        <f ca="1"/>
        <v>42885</v>
      </c>
      <c r="C113" vm="1286">
        <f ca="1"/>
        <v>49.808500000000002</v>
      </c>
      <c r="D113" vm="1287">
        <f ca="1"/>
        <v>49.835000000000001</v>
      </c>
      <c r="E113" vm="1288">
        <f ca="1"/>
        <v>40.83</v>
      </c>
      <c r="F113" vm="1289">
        <f ca="1"/>
        <v>439.91</v>
      </c>
      <c r="G113" vm="1290">
        <f ca="1"/>
        <v>127.2732</v>
      </c>
      <c r="H113" vm="1291">
        <f ca="1"/>
        <v>121.65</v>
      </c>
      <c r="I113" vm="1292">
        <f ca="1"/>
        <v>35.162500000000001</v>
      </c>
      <c r="J113" vm="1293">
        <f ca="1"/>
        <v>68.739999999999995</v>
      </c>
      <c r="K113" vm="1294">
        <f ca="1"/>
        <v>3.6217999999999999</v>
      </c>
      <c r="L113" vm="318">
        <f ca="1"/>
        <v>87.4</v>
      </c>
      <c r="M113" vm="1295">
        <f ca="1"/>
        <v>176.59</v>
      </c>
      <c r="N113" vm="1296">
        <f ca="1"/>
        <v>2412.91</v>
      </c>
    </row>
    <row r="114" spans="2:14" x14ac:dyDescent="0.35">
      <c r="B114" vm="1297">
        <f ca="1"/>
        <v>42886</v>
      </c>
      <c r="C114" vm="1298">
        <f ca="1"/>
        <v>49.354500000000002</v>
      </c>
      <c r="D114" vm="1299">
        <f ca="1"/>
        <v>49.731000000000002</v>
      </c>
      <c r="E114" vm="1300">
        <f ca="1"/>
        <v>40.9</v>
      </c>
      <c r="F114" vm="1301">
        <f ca="1"/>
        <v>441.01</v>
      </c>
      <c r="G114" vm="1302">
        <f ca="1"/>
        <v>127.33069999999999</v>
      </c>
      <c r="H114" vm="1303">
        <f ca="1"/>
        <v>122.88</v>
      </c>
      <c r="I114" vm="1304">
        <f ca="1"/>
        <v>35.36</v>
      </c>
      <c r="J114" vm="1305">
        <f ca="1"/>
        <v>69.59</v>
      </c>
      <c r="K114" vm="1306">
        <f ca="1"/>
        <v>3.6088</v>
      </c>
      <c r="L114" vm="1307">
        <f ca="1"/>
        <v>88.09</v>
      </c>
      <c r="M114" vm="1308">
        <f ca="1"/>
        <v>175.18</v>
      </c>
      <c r="N114" vm="1309">
        <f ca="1"/>
        <v>2411.8000000000002</v>
      </c>
    </row>
    <row r="115" spans="2:14" x14ac:dyDescent="0.35">
      <c r="B115" vm="1310">
        <f ca="1"/>
        <v>42887</v>
      </c>
      <c r="C115" vm="1311">
        <f ca="1"/>
        <v>49.414499999999997</v>
      </c>
      <c r="D115" vm="1312">
        <f ca="1"/>
        <v>49.797499999999999</v>
      </c>
      <c r="E115" vm="1313">
        <f ca="1"/>
        <v>41.42</v>
      </c>
      <c r="F115" vm="1314">
        <f ca="1"/>
        <v>436.93</v>
      </c>
      <c r="G115" vm="1315">
        <f ca="1"/>
        <v>127.7711</v>
      </c>
      <c r="H115" vm="1316">
        <f ca="1"/>
        <v>123.4</v>
      </c>
      <c r="I115" vm="1317">
        <f ca="1"/>
        <v>35.475000000000001</v>
      </c>
      <c r="J115" vm="1318">
        <f ca="1"/>
        <v>69.78</v>
      </c>
      <c r="K115" vm="1319">
        <f ca="1"/>
        <v>3.609</v>
      </c>
      <c r="L115" vm="1320">
        <f ca="1"/>
        <v>88.13</v>
      </c>
      <c r="M115" vm="1321">
        <f ca="1"/>
        <v>179.58</v>
      </c>
      <c r="N115" vm="1322">
        <f ca="1"/>
        <v>2430.06</v>
      </c>
    </row>
    <row r="116" spans="2:14" x14ac:dyDescent="0.35">
      <c r="B116" vm="1323">
        <f ca="1"/>
        <v>42888</v>
      </c>
      <c r="C116" vm="1324">
        <f ca="1"/>
        <v>49.805999999999997</v>
      </c>
      <c r="D116" vm="1325">
        <f ca="1"/>
        <v>50.336500000000001</v>
      </c>
      <c r="E116" vm="1326">
        <f ca="1"/>
        <v>41.36</v>
      </c>
      <c r="F116" vm="1327">
        <f ca="1"/>
        <v>444.32</v>
      </c>
      <c r="G116" vm="1328">
        <f ca="1"/>
        <v>128.32640000000001</v>
      </c>
      <c r="H116" vm="1329">
        <f ca="1"/>
        <v>125.2</v>
      </c>
      <c r="I116" vm="1330">
        <f ca="1"/>
        <v>35.677500000000002</v>
      </c>
      <c r="J116" vm="1331">
        <f ca="1"/>
        <v>68.959999999999994</v>
      </c>
      <c r="K116" vm="1332">
        <f ca="1"/>
        <v>3.5910000000000002</v>
      </c>
      <c r="L116" vm="1333">
        <f ca="1"/>
        <v>88.59</v>
      </c>
      <c r="M116" vm="1334">
        <f ca="1"/>
        <v>179.39</v>
      </c>
      <c r="N116" vm="1335">
        <f ca="1"/>
        <v>2439.0700000000002</v>
      </c>
    </row>
    <row r="117" spans="2:14" x14ac:dyDescent="0.35">
      <c r="B117" vm="1336">
        <f ca="1"/>
        <v>42891</v>
      </c>
      <c r="C117" vm="1337">
        <f ca="1"/>
        <v>50.194000000000003</v>
      </c>
      <c r="D117" vm="1338">
        <f ca="1"/>
        <v>50.567</v>
      </c>
      <c r="E117" vm="1339">
        <f ca="1"/>
        <v>41.2</v>
      </c>
      <c r="F117" vm="1340">
        <f ca="1"/>
        <v>444.21</v>
      </c>
      <c r="G117" vm="1341">
        <f ca="1"/>
        <v>127.8094</v>
      </c>
      <c r="H117" vm="1342">
        <f ca="1"/>
        <v>125.9</v>
      </c>
      <c r="I117" vm="1343">
        <f ca="1"/>
        <v>35.462499999999999</v>
      </c>
      <c r="J117" vm="1344">
        <f ca="1"/>
        <v>69.27</v>
      </c>
      <c r="K117" vm="1345">
        <f ca="1"/>
        <v>3.7002999999999999</v>
      </c>
      <c r="L117" vm="1346">
        <f ca="1"/>
        <v>88.74</v>
      </c>
      <c r="M117" vm="1347">
        <f ca="1"/>
        <v>179.37</v>
      </c>
      <c r="N117" vm="1348">
        <f ca="1"/>
        <v>2436.1</v>
      </c>
    </row>
    <row r="118" spans="2:14" x14ac:dyDescent="0.35">
      <c r="B118" vm="1349">
        <f ca="1"/>
        <v>42892</v>
      </c>
      <c r="C118" vm="1350">
        <f ca="1"/>
        <v>49.834000000000003</v>
      </c>
      <c r="D118" vm="1351">
        <f ca="1"/>
        <v>50.15</v>
      </c>
      <c r="E118" vm="1352">
        <f ca="1"/>
        <v>40.99</v>
      </c>
      <c r="F118" vm="1353">
        <f ca="1"/>
        <v>442.31</v>
      </c>
      <c r="G118" vm="1354">
        <f ca="1"/>
        <v>127.0913</v>
      </c>
      <c r="H118" vm="1355">
        <f ca="1"/>
        <v>125.24</v>
      </c>
      <c r="I118" vm="1356">
        <f ca="1"/>
        <v>35.479999999999997</v>
      </c>
      <c r="J118" vm="1357">
        <f ca="1"/>
        <v>69.97</v>
      </c>
      <c r="K118" vm="1358">
        <f ca="1"/>
        <v>3.6835</v>
      </c>
      <c r="L118" vm="1359">
        <f ca="1"/>
        <v>88.8</v>
      </c>
      <c r="M118" vm="1360">
        <f ca="1"/>
        <v>180.82</v>
      </c>
      <c r="N118" vm="1361">
        <f ca="1"/>
        <v>2429.33</v>
      </c>
    </row>
    <row r="119" spans="2:14" x14ac:dyDescent="0.35">
      <c r="B119" vm="1362">
        <f ca="1"/>
        <v>42893</v>
      </c>
      <c r="C119" vm="1363">
        <f ca="1"/>
        <v>50.079500000000003</v>
      </c>
      <c r="D119" vm="1364">
        <f ca="1"/>
        <v>50.503500000000003</v>
      </c>
      <c r="E119" vm="1365">
        <f ca="1"/>
        <v>40.729999999999997</v>
      </c>
      <c r="F119" vm="1366">
        <f ca="1"/>
        <v>440.69</v>
      </c>
      <c r="G119" vm="1367">
        <f ca="1"/>
        <v>127.0722</v>
      </c>
      <c r="H119" vm="1368">
        <f ca="1"/>
        <v>125.19</v>
      </c>
      <c r="I119" vm="1369">
        <f ca="1"/>
        <v>35.645000000000003</v>
      </c>
      <c r="J119" vm="1370">
        <f ca="1"/>
        <v>68.67</v>
      </c>
      <c r="K119" vm="1371">
        <f ca="1"/>
        <v>3.7280000000000002</v>
      </c>
      <c r="L119" vm="1372">
        <f ca="1"/>
        <v>88.77</v>
      </c>
      <c r="M119" vm="1373">
        <f ca="1"/>
        <v>183.21</v>
      </c>
      <c r="N119" vm="1374">
        <f ca="1"/>
        <v>2433.14</v>
      </c>
    </row>
    <row r="120" spans="2:14" x14ac:dyDescent="0.35">
      <c r="B120" vm="1375">
        <f ca="1"/>
        <v>42894</v>
      </c>
      <c r="C120" vm="1376">
        <f ca="1"/>
        <v>50.213999999999999</v>
      </c>
      <c r="D120" vm="1377">
        <f ca="1"/>
        <v>50.513500000000001</v>
      </c>
      <c r="E120" vm="297">
        <f ca="1"/>
        <v>40.51</v>
      </c>
      <c r="F120" vm="1378">
        <f ca="1"/>
        <v>440.39</v>
      </c>
      <c r="G120" vm="1379">
        <f ca="1"/>
        <v>127.8668</v>
      </c>
      <c r="H120" vm="1380">
        <f ca="1"/>
        <v>124.76</v>
      </c>
      <c r="I120" vm="1381">
        <f ca="1"/>
        <v>35.362499999999997</v>
      </c>
      <c r="J120" vm="1382">
        <f ca="1"/>
        <v>68.31</v>
      </c>
      <c r="K120" vm="1383">
        <f ca="1"/>
        <v>3.9984999999999999</v>
      </c>
      <c r="L120" vm="1384">
        <f ca="1"/>
        <v>87.85</v>
      </c>
      <c r="M120" vm="1385">
        <f ca="1"/>
        <v>181.69</v>
      </c>
      <c r="N120" vm="1386">
        <f ca="1"/>
        <v>2433.79</v>
      </c>
    </row>
    <row r="121" spans="2:14" x14ac:dyDescent="0.35">
      <c r="B121" vm="1387">
        <f ca="1"/>
        <v>42895</v>
      </c>
      <c r="C121" vm="1388">
        <f ca="1"/>
        <v>48.506</v>
      </c>
      <c r="D121" vm="1389">
        <f ca="1"/>
        <v>48.915500000000002</v>
      </c>
      <c r="E121" vm="1390">
        <f ca="1"/>
        <v>40.28</v>
      </c>
      <c r="F121" vm="1391">
        <f ca="1"/>
        <v>439.21</v>
      </c>
      <c r="G121" vm="1392">
        <f ca="1"/>
        <v>128.0966</v>
      </c>
      <c r="H121" vm="1393">
        <f ca="1"/>
        <v>123.04</v>
      </c>
      <c r="I121" vm="1394">
        <f ca="1"/>
        <v>35.06</v>
      </c>
      <c r="J121" vm="1395">
        <f ca="1"/>
        <v>69.680000000000007</v>
      </c>
      <c r="K121" vm="1396">
        <f ca="1"/>
        <v>3.74</v>
      </c>
      <c r="L121" vm="1397">
        <f ca="1"/>
        <v>88.16</v>
      </c>
      <c r="M121" vm="1398">
        <f ca="1"/>
        <v>181.46</v>
      </c>
      <c r="N121" vm="1399">
        <f ca="1"/>
        <v>2431.77</v>
      </c>
    </row>
    <row r="122" spans="2:14" x14ac:dyDescent="0.35">
      <c r="B122" vm="1400">
        <f ca="1"/>
        <v>42898</v>
      </c>
      <c r="C122" vm="1401">
        <f ca="1"/>
        <v>48.090499999999999</v>
      </c>
      <c r="D122" vm="1402">
        <f ca="1"/>
        <v>48.2455</v>
      </c>
      <c r="E122" vm="1403">
        <f ca="1"/>
        <v>40.43</v>
      </c>
      <c r="F122" vm="1404">
        <f ca="1"/>
        <v>425.01</v>
      </c>
      <c r="G122" vm="1405">
        <f ca="1"/>
        <v>127.58920000000001</v>
      </c>
      <c r="H122" vm="1406">
        <f ca="1"/>
        <v>120.76</v>
      </c>
      <c r="I122" vm="1407">
        <f ca="1"/>
        <v>34.854999999999997</v>
      </c>
      <c r="J122" vm="1408">
        <f ca="1"/>
        <v>69.31</v>
      </c>
      <c r="K122" vm="1409">
        <f ca="1"/>
        <v>3.7492999999999999</v>
      </c>
      <c r="L122" vm="1410">
        <f ca="1"/>
        <v>88.24</v>
      </c>
      <c r="M122" vm="1411">
        <f ca="1"/>
        <v>179.25</v>
      </c>
      <c r="N122" vm="1412">
        <f ca="1"/>
        <v>2429.39</v>
      </c>
    </row>
    <row r="123" spans="2:14" x14ac:dyDescent="0.35">
      <c r="B123" vm="1413">
        <f ca="1"/>
        <v>42899</v>
      </c>
      <c r="C123" vm="1414">
        <f ca="1"/>
        <v>48.524999999999999</v>
      </c>
      <c r="D123" vm="1415">
        <f ca="1"/>
        <v>49.039499999999997</v>
      </c>
      <c r="E123" vm="1416">
        <f ca="1"/>
        <v>41.21</v>
      </c>
      <c r="F123" vm="1417">
        <f ca="1"/>
        <v>430.54</v>
      </c>
      <c r="G123" vm="1418">
        <f ca="1"/>
        <v>128.6711</v>
      </c>
      <c r="H123" vm="1419">
        <f ca="1"/>
        <v>122.32</v>
      </c>
      <c r="I123" vm="1420">
        <f ca="1"/>
        <v>34.987499999999997</v>
      </c>
      <c r="J123" vm="1421">
        <f ca="1"/>
        <v>69.349999999999994</v>
      </c>
      <c r="K123" vm="1422">
        <f ca="1"/>
        <v>3.7850000000000001</v>
      </c>
      <c r="L123" vm="1423">
        <f ca="1"/>
        <v>88.06</v>
      </c>
      <c r="M123" vm="1424">
        <f ca="1"/>
        <v>181.05</v>
      </c>
      <c r="N123" vm="1425">
        <f ca="1"/>
        <v>2440.35</v>
      </c>
    </row>
    <row r="124" spans="2:14" x14ac:dyDescent="0.35">
      <c r="B124" vm="1426">
        <f ca="1"/>
        <v>42900</v>
      </c>
      <c r="C124" vm="1427">
        <f ca="1"/>
        <v>48.396500000000003</v>
      </c>
      <c r="D124" vm="1428">
        <f ca="1"/>
        <v>48.823500000000003</v>
      </c>
      <c r="E124" vm="1429">
        <f ca="1"/>
        <v>41.28</v>
      </c>
      <c r="F124" vm="1430">
        <f ca="1"/>
        <v>432.1</v>
      </c>
      <c r="G124" vm="1431">
        <f ca="1"/>
        <v>128.5275</v>
      </c>
      <c r="H124" vm="1432">
        <f ca="1"/>
        <v>122.5</v>
      </c>
      <c r="I124" vm="1433">
        <f ca="1"/>
        <v>35.287500000000001</v>
      </c>
      <c r="J124" vm="1434">
        <f ca="1"/>
        <v>68.180000000000007</v>
      </c>
      <c r="K124" vm="1435">
        <f ca="1"/>
        <v>3.7930000000000001</v>
      </c>
      <c r="L124" vm="1436">
        <f ca="1"/>
        <v>88.44</v>
      </c>
      <c r="M124" vm="1437">
        <f ca="1"/>
        <v>182.36</v>
      </c>
      <c r="N124" vm="1438">
        <f ca="1"/>
        <v>2437.92</v>
      </c>
    </row>
    <row r="125" spans="2:14" x14ac:dyDescent="0.35">
      <c r="B125" vm="1439">
        <f ca="1"/>
        <v>42901</v>
      </c>
      <c r="C125" vm="1440">
        <f ca="1"/>
        <v>48.009</v>
      </c>
      <c r="D125" vm="1441">
        <f ca="1"/>
        <v>48.208500000000001</v>
      </c>
      <c r="E125" vm="1442">
        <f ca="1"/>
        <v>41.15</v>
      </c>
      <c r="F125" vm="1443">
        <f ca="1"/>
        <v>433.96</v>
      </c>
      <c r="G125" vm="1444">
        <f ca="1"/>
        <v>128.74770000000001</v>
      </c>
      <c r="H125" vm="1445">
        <f ca="1"/>
        <v>121.42</v>
      </c>
      <c r="I125" vm="1446">
        <f ca="1"/>
        <v>35.467500000000001</v>
      </c>
      <c r="J125" vm="1447">
        <f ca="1"/>
        <v>67.33</v>
      </c>
      <c r="K125" vm="1448">
        <f ca="1"/>
        <v>3.8092999999999999</v>
      </c>
      <c r="L125" vm="1449">
        <f ca="1"/>
        <v>89.38</v>
      </c>
      <c r="M125" vm="1450">
        <f ca="1"/>
        <v>180.38</v>
      </c>
      <c r="N125" vm="1451">
        <f ca="1"/>
        <v>2432.46</v>
      </c>
    </row>
    <row r="126" spans="2:14" x14ac:dyDescent="0.35">
      <c r="B126" vm="1452">
        <f ca="1"/>
        <v>42902</v>
      </c>
      <c r="C126" vm="1453">
        <f ca="1"/>
        <v>47.930999999999997</v>
      </c>
      <c r="D126" vm="1454">
        <f ca="1"/>
        <v>49.3855</v>
      </c>
      <c r="E126" vm="1455">
        <f ca="1"/>
        <v>41.16</v>
      </c>
      <c r="F126" vm="1456">
        <f ca="1"/>
        <v>427.28</v>
      </c>
      <c r="G126" vm="1457">
        <f ca="1"/>
        <v>128.90090000000001</v>
      </c>
      <c r="H126" vm="1458">
        <f ca="1"/>
        <v>121.96</v>
      </c>
      <c r="I126" vm="1459">
        <f ca="1"/>
        <v>35.71</v>
      </c>
      <c r="J126" vm="1460">
        <f ca="1"/>
        <v>68.58</v>
      </c>
      <c r="K126" vm="1461">
        <f ca="1"/>
        <v>3.7905000000000002</v>
      </c>
      <c r="L126" vm="1462">
        <f ca="1"/>
        <v>89.66</v>
      </c>
      <c r="M126" vm="1463">
        <f ca="1"/>
        <v>181.63</v>
      </c>
      <c r="N126" vm="1464">
        <f ca="1"/>
        <v>2433.15</v>
      </c>
    </row>
    <row r="127" spans="2:14" x14ac:dyDescent="0.35">
      <c r="B127" vm="1465">
        <f ca="1"/>
        <v>42905</v>
      </c>
      <c r="C127" vm="1466">
        <f ca="1"/>
        <v>48.761000000000003</v>
      </c>
      <c r="D127" vm="1467">
        <f ca="1"/>
        <v>49.758499999999998</v>
      </c>
      <c r="E127" vm="1468">
        <f ca="1"/>
        <v>41.89</v>
      </c>
      <c r="F127" vm="1469">
        <f ca="1"/>
        <v>432.22</v>
      </c>
      <c r="G127" vm="1470">
        <f ca="1"/>
        <v>130.05940000000001</v>
      </c>
      <c r="H127" vm="1471">
        <f ca="1"/>
        <v>123.09</v>
      </c>
      <c r="I127" vm="1472">
        <f ca="1"/>
        <v>35.597499999999997</v>
      </c>
      <c r="J127" vm="1473">
        <f ca="1"/>
        <v>68.099999999999994</v>
      </c>
      <c r="K127" vm="1474">
        <f ca="1"/>
        <v>3.9329999999999998</v>
      </c>
      <c r="L127" vm="1475">
        <f ca="1"/>
        <v>89.86</v>
      </c>
      <c r="M127" vm="1476">
        <f ca="1"/>
        <v>183.02</v>
      </c>
      <c r="N127" vm="1477">
        <f ca="1"/>
        <v>2453.46</v>
      </c>
    </row>
    <row r="128" spans="2:14" x14ac:dyDescent="0.35">
      <c r="B128" vm="1478">
        <f ca="1"/>
        <v>42906</v>
      </c>
      <c r="C128" vm="1479">
        <f ca="1"/>
        <v>48.4495</v>
      </c>
      <c r="D128" vm="1480">
        <f ca="1"/>
        <v>49.6295</v>
      </c>
      <c r="E128" vm="1481">
        <f ca="1"/>
        <v>41.79</v>
      </c>
      <c r="F128" vm="1482">
        <f ca="1"/>
        <v>433.94</v>
      </c>
      <c r="G128" vm="1483">
        <f ca="1"/>
        <v>129.16900000000001</v>
      </c>
      <c r="H128" vm="1484">
        <f ca="1"/>
        <v>122.93</v>
      </c>
      <c r="I128" vm="1485">
        <f ca="1"/>
        <v>35.49</v>
      </c>
      <c r="J128" vm="1486">
        <f ca="1"/>
        <v>66.75</v>
      </c>
      <c r="K128" vm="1487">
        <f ca="1"/>
        <v>3.9272999999999998</v>
      </c>
      <c r="L128" vm="1488">
        <f ca="1"/>
        <v>89.63</v>
      </c>
      <c r="M128" vm="1489">
        <f ca="1"/>
        <v>183.27</v>
      </c>
      <c r="N128" vm="1490">
        <f ca="1"/>
        <v>2437.0300000000002</v>
      </c>
    </row>
    <row r="129" spans="2:14" x14ac:dyDescent="0.35">
      <c r="B129" vm="1491">
        <f ca="1"/>
        <v>42907</v>
      </c>
      <c r="C129" vm="1492">
        <f ca="1"/>
        <v>48.929499999999997</v>
      </c>
      <c r="D129" vm="1493">
        <f ca="1"/>
        <v>50.111499999999999</v>
      </c>
      <c r="E129" vm="1494">
        <f ca="1"/>
        <v>41.78</v>
      </c>
      <c r="F129" vm="1495">
        <f ca="1"/>
        <v>436.49</v>
      </c>
      <c r="G129" vm="1496">
        <f ca="1"/>
        <v>128.53710000000001</v>
      </c>
      <c r="H129" vm="1497">
        <f ca="1"/>
        <v>123.1</v>
      </c>
      <c r="I129" vm="1498">
        <f ca="1"/>
        <v>35.265000000000001</v>
      </c>
      <c r="J129" vm="1499">
        <f ca="1"/>
        <v>65.47</v>
      </c>
      <c r="K129" vm="1500">
        <f ca="1"/>
        <v>3.9868000000000001</v>
      </c>
      <c r="L129" vm="839">
        <f ca="1"/>
        <v>89.4</v>
      </c>
      <c r="M129" vm="1501">
        <f ca="1"/>
        <v>184.92</v>
      </c>
      <c r="N129" vm="1502">
        <f ca="1"/>
        <v>2435.61</v>
      </c>
    </row>
    <row r="130" spans="2:14" x14ac:dyDescent="0.35">
      <c r="B130" vm="1503">
        <f ca="1"/>
        <v>42908</v>
      </c>
      <c r="C130" vm="1504">
        <f ca="1"/>
        <v>48.831000000000003</v>
      </c>
      <c r="D130" vm="1505">
        <f ca="1"/>
        <v>50.064999999999998</v>
      </c>
      <c r="E130" vm="1506">
        <f ca="1"/>
        <v>41.67</v>
      </c>
      <c r="F130" vm="1507">
        <f ca="1"/>
        <v>440.29</v>
      </c>
      <c r="G130" vm="1508">
        <f ca="1"/>
        <v>128.3647</v>
      </c>
      <c r="H130" vm="1509">
        <f ca="1"/>
        <v>123.3</v>
      </c>
      <c r="I130" vm="1510">
        <f ca="1"/>
        <v>35.397500000000001</v>
      </c>
      <c r="J130" vm="1511">
        <f ca="1"/>
        <v>65.37</v>
      </c>
      <c r="K130" vm="1512">
        <f ca="1"/>
        <v>3.9592999999999998</v>
      </c>
      <c r="L130" vm="1513">
        <f ca="1"/>
        <v>89.03</v>
      </c>
      <c r="M130" vm="1514">
        <f ca="1"/>
        <v>186.5</v>
      </c>
      <c r="N130" vm="1515">
        <f ca="1"/>
        <v>2434.5</v>
      </c>
    </row>
    <row r="131" spans="2:14" x14ac:dyDescent="0.35">
      <c r="B131" vm="1516">
        <f ca="1"/>
        <v>42909</v>
      </c>
      <c r="C131" vm="1517">
        <f ca="1"/>
        <v>49.304499999999997</v>
      </c>
      <c r="D131" vm="1518">
        <f ca="1"/>
        <v>50.186999999999998</v>
      </c>
      <c r="E131" vm="1519">
        <f ca="1"/>
        <v>42.07</v>
      </c>
      <c r="F131" vm="1520">
        <f ca="1"/>
        <v>434.07</v>
      </c>
      <c r="G131" vm="1521">
        <f ca="1"/>
        <v>128.28809999999999</v>
      </c>
      <c r="H131" vm="1522">
        <f ca="1"/>
        <v>124.01</v>
      </c>
      <c r="I131" vm="1523">
        <f ca="1"/>
        <v>35.784999999999997</v>
      </c>
      <c r="J131" vm="1524">
        <f ca="1"/>
        <v>65.930000000000007</v>
      </c>
      <c r="K131" vm="1525">
        <f ca="1"/>
        <v>3.8458000000000001</v>
      </c>
      <c r="L131" vm="1526">
        <f ca="1"/>
        <v>89.42</v>
      </c>
      <c r="M131" vm="1527">
        <f ca="1"/>
        <v>185.25</v>
      </c>
      <c r="N131" vm="1528">
        <f ca="1"/>
        <v>2438.3000000000002</v>
      </c>
    </row>
    <row r="132" spans="2:14" x14ac:dyDescent="0.35">
      <c r="B132" vm="1529">
        <f ca="1"/>
        <v>42912</v>
      </c>
      <c r="C132" vm="1530">
        <f ca="1"/>
        <v>48.604500000000002</v>
      </c>
      <c r="D132" vm="1531">
        <f ca="1"/>
        <v>49.698999999999998</v>
      </c>
      <c r="E132" vm="1532">
        <f ca="1"/>
        <v>42.29</v>
      </c>
      <c r="F132" vm="1533">
        <f ca="1"/>
        <v>438.49</v>
      </c>
      <c r="G132" vm="1534">
        <f ca="1"/>
        <v>128.54660000000001</v>
      </c>
      <c r="H132" vm="1535">
        <f ca="1"/>
        <v>123.52</v>
      </c>
      <c r="I132" vm="1536">
        <f ca="1"/>
        <v>36.057499999999997</v>
      </c>
      <c r="J132" vm="1537">
        <f ca="1"/>
        <v>65.89</v>
      </c>
      <c r="K132" vm="1538">
        <f ca="1"/>
        <v>3.8037999999999998</v>
      </c>
      <c r="L132" vm="1539">
        <f ca="1"/>
        <v>89.36</v>
      </c>
      <c r="M132" vm="1540">
        <f ca="1"/>
        <v>185.12</v>
      </c>
      <c r="N132" vm="1335">
        <f ca="1"/>
        <v>2439.0700000000002</v>
      </c>
    </row>
    <row r="133" spans="2:14" x14ac:dyDescent="0.35">
      <c r="B133" vm="1541">
        <f ca="1"/>
        <v>42913</v>
      </c>
      <c r="C133" vm="1542">
        <f ca="1"/>
        <v>47.404499999999999</v>
      </c>
      <c r="D133" vm="1543">
        <f ca="1"/>
        <v>48.838999999999999</v>
      </c>
      <c r="E133" vm="1544">
        <f ca="1"/>
        <v>42.09</v>
      </c>
      <c r="F133" vm="1545">
        <f ca="1"/>
        <v>433.65</v>
      </c>
      <c r="G133" vm="1290">
        <f ca="1"/>
        <v>127.2732</v>
      </c>
      <c r="H133" vm="1546">
        <f ca="1"/>
        <v>122.74</v>
      </c>
      <c r="I133" vm="1547">
        <f ca="1"/>
        <v>35.567500000000003</v>
      </c>
      <c r="J133" vm="1548">
        <f ca="1"/>
        <v>65.36</v>
      </c>
      <c r="K133" vm="1549">
        <f ca="1"/>
        <v>3.6644999999999999</v>
      </c>
      <c r="L133" vm="1550">
        <f ca="1"/>
        <v>88.61</v>
      </c>
      <c r="M133" vm="1551">
        <f ca="1"/>
        <v>184.6</v>
      </c>
      <c r="N133" vm="1552">
        <f ca="1"/>
        <v>2419.38</v>
      </c>
    </row>
    <row r="134" spans="2:14" x14ac:dyDescent="0.35">
      <c r="B134" vm="1553">
        <f ca="1"/>
        <v>42914</v>
      </c>
      <c r="C134" vm="1554">
        <f ca="1"/>
        <v>48.0505</v>
      </c>
      <c r="D134" vm="1555">
        <f ca="1"/>
        <v>49.516500000000001</v>
      </c>
      <c r="E134" vm="1556">
        <f ca="1"/>
        <v>42.52</v>
      </c>
      <c r="F134" vm="1557">
        <f ca="1"/>
        <v>430.76</v>
      </c>
      <c r="G134" vm="1558">
        <f ca="1"/>
        <v>128.26900000000001</v>
      </c>
      <c r="H134" vm="1559">
        <f ca="1"/>
        <v>124.81</v>
      </c>
      <c r="I134" vm="1560">
        <f ca="1"/>
        <v>35.255000000000003</v>
      </c>
      <c r="J134" vm="1561">
        <f ca="1"/>
        <v>65.25</v>
      </c>
      <c r="K134" vm="1562">
        <f ca="1"/>
        <v>3.7938000000000001</v>
      </c>
      <c r="L134" vm="1563">
        <f ca="1"/>
        <v>88.37</v>
      </c>
      <c r="M134" vm="1564">
        <f ca="1"/>
        <v>185.7</v>
      </c>
      <c r="N134" vm="1565">
        <f ca="1"/>
        <v>2440.69</v>
      </c>
    </row>
    <row r="135" spans="2:14" x14ac:dyDescent="0.35">
      <c r="B135" vm="1566">
        <f ca="1"/>
        <v>42915</v>
      </c>
      <c r="C135" vm="1567">
        <f ca="1"/>
        <v>46.890999999999998</v>
      </c>
      <c r="D135" vm="1568">
        <f ca="1"/>
        <v>48.796500000000002</v>
      </c>
      <c r="E135" vm="1569">
        <f ca="1"/>
        <v>42.03</v>
      </c>
      <c r="F135" vm="1570">
        <f ca="1"/>
        <v>421.28</v>
      </c>
      <c r="G135" vm="1571">
        <f ca="1"/>
        <v>126.6892</v>
      </c>
      <c r="H135" vm="1572">
        <f ca="1"/>
        <v>121.51</v>
      </c>
      <c r="I135" vm="1573">
        <f ca="1"/>
        <v>34.9925</v>
      </c>
      <c r="J135" vm="1574">
        <f ca="1"/>
        <v>65.38</v>
      </c>
      <c r="K135" vm="1575">
        <f ca="1"/>
        <v>3.6669999999999998</v>
      </c>
      <c r="L135" vm="1576">
        <f ca="1"/>
        <v>86.99</v>
      </c>
      <c r="M135" vm="1577">
        <f ca="1"/>
        <v>185.27</v>
      </c>
      <c r="N135" vm="1578">
        <f ca="1"/>
        <v>2419.6999999999998</v>
      </c>
    </row>
    <row r="136" spans="2:14" x14ac:dyDescent="0.35">
      <c r="B136" vm="1579">
        <f ca="1"/>
        <v>42916</v>
      </c>
      <c r="C136" vm="1580">
        <f ca="1"/>
        <v>46.484000000000002</v>
      </c>
      <c r="D136" vm="1581">
        <f ca="1"/>
        <v>48.4</v>
      </c>
      <c r="E136" vm="1582">
        <f ca="1"/>
        <v>42.21</v>
      </c>
      <c r="F136" vm="1583">
        <f ca="1"/>
        <v>429.16</v>
      </c>
      <c r="G136" vm="1584">
        <f ca="1"/>
        <v>127.61790000000001</v>
      </c>
      <c r="H136" vm="1585">
        <f ca="1"/>
        <v>121.45</v>
      </c>
      <c r="I136" vm="1586">
        <f ca="1"/>
        <v>35.032499999999999</v>
      </c>
      <c r="J136" vm="1587">
        <f ca="1"/>
        <v>65.84</v>
      </c>
      <c r="K136" vm="1588">
        <f ca="1"/>
        <v>3.6139999999999999</v>
      </c>
      <c r="L136" vm="1589">
        <f ca="1"/>
        <v>87.15</v>
      </c>
      <c r="M136" vm="1590">
        <f ca="1"/>
        <v>185.42</v>
      </c>
      <c r="N136" vm="1591">
        <f ca="1"/>
        <v>2423.41</v>
      </c>
    </row>
    <row r="137" spans="2:14" x14ac:dyDescent="0.35">
      <c r="B137" vm="1592">
        <f ca="1"/>
        <v>42919</v>
      </c>
      <c r="C137" vm="1593">
        <f ca="1"/>
        <v>45.972999999999999</v>
      </c>
      <c r="D137" vm="1594">
        <f ca="1"/>
        <v>47.683</v>
      </c>
      <c r="E137" vm="1595">
        <f ca="1"/>
        <v>42.47</v>
      </c>
      <c r="F137" vm="1596">
        <f ca="1"/>
        <v>422.76</v>
      </c>
      <c r="G137" vm="1597">
        <f ca="1"/>
        <v>128.02000000000001</v>
      </c>
      <c r="H137" vm="1598">
        <f ca="1"/>
        <v>120.78</v>
      </c>
      <c r="I137" vm="1599">
        <f ca="1"/>
        <v>34.905000000000001</v>
      </c>
      <c r="J137" vm="1600">
        <f ca="1"/>
        <v>66.97</v>
      </c>
      <c r="K137" vm="1601">
        <f ca="1"/>
        <v>3.4832999999999998</v>
      </c>
      <c r="L137" vm="1002">
        <f ca="1"/>
        <v>87.74</v>
      </c>
      <c r="M137" vm="1602">
        <f ca="1"/>
        <v>186.65</v>
      </c>
      <c r="N137" vm="1603">
        <f ca="1"/>
        <v>2429.0100000000002</v>
      </c>
    </row>
    <row r="138" spans="2:14" x14ac:dyDescent="0.35">
      <c r="B138" vm="1604">
        <f ca="1"/>
        <v>42921</v>
      </c>
      <c r="C138" vm="1605">
        <f ca="1"/>
        <v>46.613</v>
      </c>
      <c r="D138" vm="1606">
        <f ca="1"/>
        <v>48.57</v>
      </c>
      <c r="E138" vm="1607">
        <f ca="1"/>
        <v>42.58</v>
      </c>
      <c r="F138" vm="1608">
        <f ca="1"/>
        <v>424.08</v>
      </c>
      <c r="G138" vm="1609">
        <f ca="1"/>
        <v>128.1062</v>
      </c>
      <c r="H138" vm="1610">
        <f ca="1"/>
        <v>121.98</v>
      </c>
      <c r="I138" vm="1611">
        <f ca="1"/>
        <v>34.704999999999998</v>
      </c>
      <c r="J138" vm="1612">
        <f ca="1"/>
        <v>65.739999999999995</v>
      </c>
      <c r="K138" vm="1613">
        <f ca="1"/>
        <v>3.5762999999999998</v>
      </c>
      <c r="L138" vm="1614">
        <f ca="1"/>
        <v>87.67</v>
      </c>
      <c r="M138" vm="1615">
        <f ca="1"/>
        <v>188.25</v>
      </c>
      <c r="N138" vm="1616">
        <f ca="1"/>
        <v>2432.54</v>
      </c>
    </row>
    <row r="139" spans="2:14" x14ac:dyDescent="0.35">
      <c r="B139" vm="1617">
        <f ca="1"/>
        <v>42922</v>
      </c>
      <c r="C139" vm="1618">
        <f ca="1"/>
        <v>46.384500000000003</v>
      </c>
      <c r="D139" vm="1619">
        <f ca="1"/>
        <v>48.256999999999998</v>
      </c>
      <c r="E139" vm="1620">
        <f ca="1"/>
        <v>42.02</v>
      </c>
      <c r="F139" vm="1621">
        <f ca="1"/>
        <v>418.43</v>
      </c>
      <c r="G139" vm="1622">
        <f ca="1"/>
        <v>127.69450000000001</v>
      </c>
      <c r="H139" vm="1623">
        <f ca="1"/>
        <v>120.8</v>
      </c>
      <c r="I139" vm="1624">
        <f ca="1"/>
        <v>34.892499999999998</v>
      </c>
      <c r="J139" vm="1625">
        <f ca="1"/>
        <v>65.13</v>
      </c>
      <c r="K139" vm="1626">
        <f ca="1"/>
        <v>3.5870000000000002</v>
      </c>
      <c r="L139" vm="1627">
        <f ca="1"/>
        <v>87.37</v>
      </c>
      <c r="M139" vm="1628">
        <f ca="1"/>
        <v>186.94</v>
      </c>
      <c r="N139" vm="1629">
        <f ca="1"/>
        <v>2409.75</v>
      </c>
    </row>
    <row r="140" spans="2:14" x14ac:dyDescent="0.35">
      <c r="B140" vm="1630">
        <f ca="1"/>
        <v>42923</v>
      </c>
      <c r="C140" vm="1631">
        <f ca="1"/>
        <v>47.040500000000002</v>
      </c>
      <c r="D140" vm="1632">
        <f ca="1"/>
        <v>48.938000000000002</v>
      </c>
      <c r="E140" vm="1633">
        <f ca="1"/>
        <v>42.3</v>
      </c>
      <c r="F140" vm="1634">
        <f ca="1"/>
        <v>423.3</v>
      </c>
      <c r="G140" vm="1635">
        <f ca="1"/>
        <v>128.4126</v>
      </c>
      <c r="H140" vm="1636">
        <f ca="1"/>
        <v>122.2</v>
      </c>
      <c r="I140" vm="1637">
        <f ca="1"/>
        <v>35.119999999999997</v>
      </c>
      <c r="J140" vm="1638">
        <f ca="1"/>
        <v>65.08</v>
      </c>
      <c r="K140" vm="1639">
        <f ca="1"/>
        <v>3.669</v>
      </c>
      <c r="L140" vm="1640">
        <f ca="1"/>
        <v>87.65</v>
      </c>
      <c r="M140" vm="1641">
        <f ca="1"/>
        <v>187.96</v>
      </c>
      <c r="N140" vm="1642">
        <f ca="1"/>
        <v>2425.1799999999998</v>
      </c>
    </row>
    <row r="141" spans="2:14" x14ac:dyDescent="0.35">
      <c r="B141" vm="1643">
        <f ca="1"/>
        <v>42926</v>
      </c>
      <c r="C141" vm="1644">
        <f ca="1"/>
        <v>47.55</v>
      </c>
      <c r="D141" vm="1645">
        <f ca="1"/>
        <v>49.823500000000003</v>
      </c>
      <c r="E141" vm="687">
        <f ca="1"/>
        <v>42.16</v>
      </c>
      <c r="F141" vm="1646">
        <f ca="1"/>
        <v>427.08499999999998</v>
      </c>
      <c r="G141" vm="1647">
        <f ca="1"/>
        <v>128.95830000000001</v>
      </c>
      <c r="H141" vm="1648">
        <f ca="1"/>
        <v>122.73</v>
      </c>
      <c r="I141" vm="1649">
        <f ca="1"/>
        <v>35.2575</v>
      </c>
      <c r="J141" vm="1650">
        <f ca="1"/>
        <v>65.349999999999994</v>
      </c>
      <c r="K141" vm="1651">
        <f ca="1"/>
        <v>3.8424999999999998</v>
      </c>
      <c r="L141" vm="1040">
        <f ca="1"/>
        <v>87.09</v>
      </c>
      <c r="M141" vm="1652">
        <f ca="1"/>
        <v>186.95</v>
      </c>
      <c r="N141" vm="1653">
        <f ca="1"/>
        <v>2427.4299999999998</v>
      </c>
    </row>
    <row r="142" spans="2:14" x14ac:dyDescent="0.35">
      <c r="B142" vm="1654">
        <f ca="1"/>
        <v>42927</v>
      </c>
      <c r="C142" vm="1655">
        <f ca="1"/>
        <v>47.676499999999997</v>
      </c>
      <c r="D142" vm="1656">
        <f ca="1"/>
        <v>49.706499999999998</v>
      </c>
      <c r="E142" vm="1657">
        <f ca="1"/>
        <v>41.66</v>
      </c>
      <c r="F142" vm="1658">
        <f ca="1"/>
        <v>431.04</v>
      </c>
      <c r="G142" vm="1659">
        <f ca="1"/>
        <v>128.50829999999999</v>
      </c>
      <c r="H142" vm="1660">
        <f ca="1"/>
        <v>124.23</v>
      </c>
      <c r="I142" vm="1661">
        <f ca="1"/>
        <v>35.1875</v>
      </c>
      <c r="J142" vm="1662">
        <f ca="1"/>
        <v>65.790000000000006</v>
      </c>
      <c r="K142" vm="1663">
        <f ca="1"/>
        <v>3.8969999999999998</v>
      </c>
      <c r="L142" vm="1664">
        <f ca="1"/>
        <v>86.77</v>
      </c>
      <c r="M142" vm="1665">
        <f ca="1"/>
        <v>185.95</v>
      </c>
      <c r="N142" vm="1666">
        <f ca="1"/>
        <v>2425.5300000000002</v>
      </c>
    </row>
    <row r="143" spans="2:14" x14ac:dyDescent="0.35">
      <c r="B143" vm="1667">
        <f ca="1"/>
        <v>42928</v>
      </c>
      <c r="C143" vm="1668">
        <f ca="1"/>
        <v>48.383000000000003</v>
      </c>
      <c r="D143" vm="1669">
        <f ca="1"/>
        <v>50.325499999999998</v>
      </c>
      <c r="E143" vm="1670">
        <f ca="1"/>
        <v>41.96</v>
      </c>
      <c r="F143" vm="1671">
        <f ca="1"/>
        <v>437.11</v>
      </c>
      <c r="G143" vm="1672">
        <f ca="1"/>
        <v>129.03489999999999</v>
      </c>
      <c r="H143" vm="1673">
        <f ca="1"/>
        <v>125.28</v>
      </c>
      <c r="I143" vm="1674">
        <f ca="1"/>
        <v>35.195</v>
      </c>
      <c r="J143" vm="1675">
        <f ca="1"/>
        <v>65.58</v>
      </c>
      <c r="K143" vm="1676">
        <f ca="1"/>
        <v>4.0628000000000002</v>
      </c>
      <c r="L143" vm="189">
        <f ca="1"/>
        <v>86.96</v>
      </c>
      <c r="M143" vm="1677">
        <f ca="1"/>
        <v>186.69</v>
      </c>
      <c r="N143" vm="1678">
        <f ca="1"/>
        <v>2443.25</v>
      </c>
    </row>
    <row r="144" spans="2:14" x14ac:dyDescent="0.35">
      <c r="B144" vm="1679">
        <f ca="1"/>
        <v>42929</v>
      </c>
      <c r="C144" vm="1680">
        <f ca="1"/>
        <v>48.442500000000003</v>
      </c>
      <c r="D144" vm="1681">
        <f ca="1"/>
        <v>50.031500000000001</v>
      </c>
      <c r="E144" vm="1682">
        <f ca="1"/>
        <v>41.72</v>
      </c>
      <c r="F144" vm="1683">
        <f ca="1"/>
        <v>436.24</v>
      </c>
      <c r="G144" vm="1684">
        <f ca="1"/>
        <v>129.5711</v>
      </c>
      <c r="H144" vm="1685">
        <f ca="1"/>
        <v>125.47</v>
      </c>
      <c r="I144" vm="1686">
        <f ca="1"/>
        <v>35.145000000000003</v>
      </c>
      <c r="J144" vm="1687">
        <f ca="1"/>
        <v>66.489999999999995</v>
      </c>
      <c r="K144" vm="1688">
        <f ca="1"/>
        <v>4.0157999999999996</v>
      </c>
      <c r="L144" vm="1689">
        <f ca="1"/>
        <v>86.7</v>
      </c>
      <c r="M144" vm="1690">
        <f ca="1"/>
        <v>185.48</v>
      </c>
      <c r="N144" vm="1691">
        <f ca="1"/>
        <v>2447.83</v>
      </c>
    </row>
    <row r="145" spans="2:14" x14ac:dyDescent="0.35">
      <c r="B145" vm="1692">
        <f ca="1"/>
        <v>42930</v>
      </c>
      <c r="C145" vm="1693">
        <f ca="1"/>
        <v>48.845500000000001</v>
      </c>
      <c r="D145" vm="1694">
        <f ca="1"/>
        <v>50.090499999999999</v>
      </c>
      <c r="E145" vm="1695">
        <f ca="1"/>
        <v>42.1</v>
      </c>
      <c r="F145" vm="1696">
        <f ca="1"/>
        <v>437.7</v>
      </c>
      <c r="G145" vm="1697">
        <f ca="1"/>
        <v>130.0498</v>
      </c>
      <c r="H145" vm="1698">
        <f ca="1"/>
        <v>127.01</v>
      </c>
      <c r="I145" vm="1699">
        <f ca="1"/>
        <v>35.414999999999999</v>
      </c>
      <c r="J145" vm="1700">
        <f ca="1"/>
        <v>66.849999999999994</v>
      </c>
      <c r="K145" vm="1701">
        <f ca="1"/>
        <v>4.1238000000000001</v>
      </c>
      <c r="L145" vm="1702">
        <f ca="1"/>
        <v>87.1</v>
      </c>
      <c r="M145" vm="1703">
        <f ca="1"/>
        <v>186.9</v>
      </c>
      <c r="N145" vm="1704">
        <f ca="1"/>
        <v>2459.27</v>
      </c>
    </row>
    <row r="146" spans="2:14" x14ac:dyDescent="0.35">
      <c r="B146" vm="1705">
        <f ca="1"/>
        <v>42933</v>
      </c>
      <c r="C146" vm="1706">
        <f ca="1"/>
        <v>48.798000000000002</v>
      </c>
      <c r="D146" vm="1707">
        <f ca="1"/>
        <v>50.502000000000002</v>
      </c>
      <c r="E146" vm="1708">
        <f ca="1"/>
        <v>42.43</v>
      </c>
      <c r="F146" vm="1709">
        <f ca="1"/>
        <v>435.48</v>
      </c>
      <c r="G146" vm="1710">
        <f ca="1"/>
        <v>129.50409999999999</v>
      </c>
      <c r="H146" vm="1711">
        <f ca="1"/>
        <v>127.43</v>
      </c>
      <c r="I146" vm="1712">
        <f ca="1"/>
        <v>35.2425</v>
      </c>
      <c r="J146" vm="1713">
        <f ca="1"/>
        <v>66.83</v>
      </c>
      <c r="K146" vm="1714">
        <f ca="1"/>
        <v>4.1063000000000001</v>
      </c>
      <c r="L146" vm="1715">
        <f ca="1"/>
        <v>87.55</v>
      </c>
      <c r="M146" vm="1716">
        <f ca="1"/>
        <v>186.35</v>
      </c>
      <c r="N146" vm="1717">
        <f ca="1"/>
        <v>2459.14</v>
      </c>
    </row>
    <row r="147" spans="2:14" x14ac:dyDescent="0.35">
      <c r="B147" vm="1718">
        <f ca="1"/>
        <v>42934</v>
      </c>
      <c r="C147" vm="1719">
        <f ca="1"/>
        <v>49.347499999999997</v>
      </c>
      <c r="D147" vm="1720">
        <f ca="1"/>
        <v>51.222499999999997</v>
      </c>
      <c r="E147" vm="1721">
        <f ca="1"/>
        <v>42.42</v>
      </c>
      <c r="F147" vm="1722">
        <f ca="1"/>
        <v>438.28</v>
      </c>
      <c r="G147" vm="1723">
        <f ca="1"/>
        <v>129.43700000000001</v>
      </c>
      <c r="H147" vm="1724">
        <f ca="1"/>
        <v>127.73</v>
      </c>
      <c r="I147" vm="1725">
        <f ca="1"/>
        <v>35.372500000000002</v>
      </c>
      <c r="J147" vm="1726">
        <f ca="1"/>
        <v>66.180000000000007</v>
      </c>
      <c r="K147" vm="1727">
        <f ca="1"/>
        <v>4.149</v>
      </c>
      <c r="L147" vm="1728">
        <f ca="1"/>
        <v>88.64</v>
      </c>
      <c r="M147" vm="1729">
        <f ca="1"/>
        <v>186.85</v>
      </c>
      <c r="N147" vm="1730">
        <f ca="1"/>
        <v>2460.61</v>
      </c>
    </row>
    <row r="148" spans="2:14" x14ac:dyDescent="0.35">
      <c r="B148" vm="1731">
        <f ca="1"/>
        <v>42935</v>
      </c>
      <c r="C148" vm="1732">
        <f ca="1"/>
        <v>49.638500000000001</v>
      </c>
      <c r="D148" vm="1733">
        <f ca="1"/>
        <v>51.343499999999999</v>
      </c>
      <c r="E148" vm="1734">
        <f ca="1"/>
        <v>42.53</v>
      </c>
      <c r="F148" vm="1735">
        <f ca="1"/>
        <v>440.5</v>
      </c>
      <c r="G148" vm="1736">
        <f ca="1"/>
        <v>130.3562</v>
      </c>
      <c r="H148" vm="1737">
        <f ca="1"/>
        <v>128.04</v>
      </c>
      <c r="I148" vm="1738">
        <f ca="1"/>
        <v>35.450000000000003</v>
      </c>
      <c r="J148" vm="1739">
        <f ca="1"/>
        <v>67.44</v>
      </c>
      <c r="K148" vm="1740">
        <f ca="1"/>
        <v>4.1275000000000004</v>
      </c>
      <c r="L148" vm="1741">
        <f ca="1"/>
        <v>88.35</v>
      </c>
      <c r="M148" vm="1742">
        <f ca="1"/>
        <v>189.19</v>
      </c>
      <c r="N148" vm="1743">
        <f ca="1"/>
        <v>2473.83</v>
      </c>
    </row>
    <row r="149" spans="2:14" x14ac:dyDescent="0.35">
      <c r="B149" vm="1744">
        <f ca="1"/>
        <v>42936</v>
      </c>
      <c r="C149" vm="1745">
        <f ca="1"/>
        <v>49.609499999999997</v>
      </c>
      <c r="D149" vm="1746">
        <f ca="1"/>
        <v>51.435000000000002</v>
      </c>
      <c r="E149" vm="1721">
        <f ca="1"/>
        <v>42.42</v>
      </c>
      <c r="F149" vm="1747">
        <f ca="1"/>
        <v>441.21</v>
      </c>
      <c r="G149" vm="1748">
        <f ca="1"/>
        <v>129.2073</v>
      </c>
      <c r="H149" vm="1749">
        <f ca="1"/>
        <v>128.47</v>
      </c>
      <c r="I149" vm="882">
        <f ca="1"/>
        <v>35.869999999999997</v>
      </c>
      <c r="J149" vm="1750">
        <f ca="1"/>
        <v>67.02</v>
      </c>
      <c r="K149" vm="1751">
        <f ca="1"/>
        <v>4.1875</v>
      </c>
      <c r="L149" vm="1752">
        <f ca="1"/>
        <v>88.6</v>
      </c>
      <c r="M149" vm="1753">
        <f ca="1"/>
        <v>191.5</v>
      </c>
      <c r="N149" vm="1754">
        <f ca="1"/>
        <v>2473.4499999999998</v>
      </c>
    </row>
    <row r="150" spans="2:14" x14ac:dyDescent="0.35">
      <c r="B150" vm="1755">
        <f ca="1"/>
        <v>42937</v>
      </c>
      <c r="C150" vm="1756">
        <f ca="1"/>
        <v>49.692</v>
      </c>
      <c r="D150" vm="1757">
        <f ca="1"/>
        <v>51.283499999999997</v>
      </c>
      <c r="E150" vm="1758">
        <f ca="1"/>
        <v>42.92</v>
      </c>
      <c r="F150" vm="1759">
        <f ca="1"/>
        <v>441.44</v>
      </c>
      <c r="G150" vm="1760">
        <f ca="1"/>
        <v>130.54769999999999</v>
      </c>
      <c r="H150" vm="1761">
        <f ca="1"/>
        <v>129.27000000000001</v>
      </c>
      <c r="I150" vm="1762">
        <f ca="1"/>
        <v>36.092500000000001</v>
      </c>
      <c r="J150" vm="1763">
        <f ca="1"/>
        <v>66.53</v>
      </c>
      <c r="K150" vm="1764">
        <f ca="1"/>
        <v>4.2024999999999997</v>
      </c>
      <c r="L150" vm="1550">
        <f ca="1"/>
        <v>88.61</v>
      </c>
      <c r="M150" vm="1765">
        <f ca="1"/>
        <v>191.78</v>
      </c>
      <c r="N150" vm="1766">
        <f ca="1"/>
        <v>2472.54</v>
      </c>
    </row>
    <row r="151" spans="2:14" x14ac:dyDescent="0.35">
      <c r="B151" vm="1767">
        <f ca="1"/>
        <v>42940</v>
      </c>
      <c r="C151" vm="1768">
        <f ca="1"/>
        <v>49.915500000000002</v>
      </c>
      <c r="D151" vm="1769">
        <f ca="1"/>
        <v>51.947499999999998</v>
      </c>
      <c r="E151" vm="1770">
        <f ca="1"/>
        <v>42.68</v>
      </c>
      <c r="F151" vm="1771">
        <f ca="1"/>
        <v>441.6</v>
      </c>
      <c r="G151" vm="1772">
        <f ca="1"/>
        <v>131.84979999999999</v>
      </c>
      <c r="H151" vm="1773">
        <f ca="1"/>
        <v>129.52000000000001</v>
      </c>
      <c r="I151" vm="1774">
        <f ca="1"/>
        <v>35.787500000000001</v>
      </c>
      <c r="J151" vm="1775">
        <f ca="1"/>
        <v>66.42</v>
      </c>
      <c r="K151" vm="1776">
        <f ca="1"/>
        <v>4.1538000000000004</v>
      </c>
      <c r="L151" vm="1777">
        <f ca="1"/>
        <v>88.18</v>
      </c>
      <c r="M151" vm="1778">
        <f ca="1"/>
        <v>190.89</v>
      </c>
      <c r="N151" vm="1779">
        <f ca="1"/>
        <v>2469.91</v>
      </c>
    </row>
    <row r="152" spans="2:14" x14ac:dyDescent="0.35">
      <c r="B152" vm="1780">
        <f ca="1"/>
        <v>42941</v>
      </c>
      <c r="C152" vm="1781">
        <f ca="1"/>
        <v>48.451500000000003</v>
      </c>
      <c r="D152" vm="1782">
        <f ca="1"/>
        <v>51.993499999999997</v>
      </c>
      <c r="E152" vm="1783">
        <f ca="1"/>
        <v>42.51</v>
      </c>
      <c r="F152" vm="1784">
        <f ca="1"/>
        <v>436.96</v>
      </c>
      <c r="G152" vm="1785">
        <f ca="1"/>
        <v>131.40940000000001</v>
      </c>
      <c r="H152" vm="1786">
        <f ca="1"/>
        <v>129.97999999999999</v>
      </c>
      <c r="I152" vm="1787">
        <f ca="1"/>
        <v>35.777500000000003</v>
      </c>
      <c r="J152" vm="1788">
        <f ca="1"/>
        <v>67.010000000000005</v>
      </c>
      <c r="K152" vm="1789">
        <f ca="1"/>
        <v>4.1337999999999999</v>
      </c>
      <c r="L152" vm="1790">
        <f ca="1"/>
        <v>89.14</v>
      </c>
      <c r="M152" vm="1791">
        <f ca="1"/>
        <v>190.4</v>
      </c>
      <c r="N152" vm="1792">
        <f ca="1"/>
        <v>2477.13</v>
      </c>
    </row>
    <row r="153" spans="2:14" x14ac:dyDescent="0.35">
      <c r="B153" vm="1793">
        <f ca="1"/>
        <v>42942</v>
      </c>
      <c r="C153" vm="1794">
        <f ca="1"/>
        <v>48.265500000000003</v>
      </c>
      <c r="D153" vm="1795">
        <f ca="1"/>
        <v>52.64</v>
      </c>
      <c r="E153" vm="1796">
        <f ca="1"/>
        <v>42.41</v>
      </c>
      <c r="F153" vm="1797">
        <f ca="1"/>
        <v>440.04</v>
      </c>
      <c r="G153" vm="1798">
        <f ca="1"/>
        <v>132.5966</v>
      </c>
      <c r="H153" vm="1799">
        <f ca="1"/>
        <v>130.99</v>
      </c>
      <c r="I153" vm="1800">
        <f ca="1"/>
        <v>36.372500000000002</v>
      </c>
      <c r="J153" vm="1801">
        <f ca="1"/>
        <v>66.989999999999995</v>
      </c>
      <c r="K153" vm="1802">
        <f ca="1"/>
        <v>4.1814999999999998</v>
      </c>
      <c r="L153" vm="1803">
        <f ca="1"/>
        <v>89.3</v>
      </c>
      <c r="M153" vm="1804">
        <f ca="1"/>
        <v>190.75</v>
      </c>
      <c r="N153" vm="1805">
        <f ca="1"/>
        <v>2477.83</v>
      </c>
    </row>
    <row r="154" spans="2:14" x14ac:dyDescent="0.35">
      <c r="B154" vm="1806">
        <f ca="1"/>
        <v>42943</v>
      </c>
      <c r="C154" vm="1807">
        <f ca="1"/>
        <v>47.625500000000002</v>
      </c>
      <c r="D154" vm="1808">
        <f ca="1"/>
        <v>52.3</v>
      </c>
      <c r="E154" vm="1532">
        <f ca="1"/>
        <v>42.29</v>
      </c>
      <c r="F154" vm="1809">
        <f ca="1"/>
        <v>442.87</v>
      </c>
      <c r="G154" vm="1810">
        <f ca="1"/>
        <v>131.15090000000001</v>
      </c>
      <c r="H154" vm="1811">
        <f ca="1"/>
        <v>128.93</v>
      </c>
      <c r="I154" vm="1812">
        <f ca="1"/>
        <v>36.162500000000001</v>
      </c>
      <c r="J154" vm="1813">
        <f ca="1"/>
        <v>67.78</v>
      </c>
      <c r="K154" vm="1814">
        <f ca="1"/>
        <v>4.0434999999999999</v>
      </c>
      <c r="L154" vm="1815">
        <f ca="1"/>
        <v>90.68</v>
      </c>
      <c r="M154" vm="1816">
        <f ca="1"/>
        <v>188.93</v>
      </c>
      <c r="N154" vm="1817">
        <f ca="1"/>
        <v>2475.42</v>
      </c>
    </row>
    <row r="155" spans="2:14" x14ac:dyDescent="0.35">
      <c r="B155" vm="1818">
        <f ca="1"/>
        <v>42944</v>
      </c>
      <c r="C155" vm="1819">
        <f ca="1"/>
        <v>47.916499999999999</v>
      </c>
      <c r="D155" vm="1820">
        <f ca="1"/>
        <v>51.002000000000002</v>
      </c>
      <c r="E155" vm="1468">
        <f ca="1"/>
        <v>41.89</v>
      </c>
      <c r="F155" vm="1821">
        <f ca="1"/>
        <v>447.9</v>
      </c>
      <c r="G155" vm="1822">
        <f ca="1"/>
        <v>130.96899999999999</v>
      </c>
      <c r="H155" vm="1823">
        <f ca="1"/>
        <v>127.91</v>
      </c>
      <c r="I155" vm="1824">
        <f ca="1"/>
        <v>36.28</v>
      </c>
      <c r="J155" vm="1825">
        <f ca="1"/>
        <v>68.459999999999994</v>
      </c>
      <c r="K155" vm="1826">
        <f ca="1"/>
        <v>4.1097999999999999</v>
      </c>
      <c r="L155" vm="1827">
        <f ca="1"/>
        <v>90.21</v>
      </c>
      <c r="M155" vm="1828">
        <f ca="1"/>
        <v>191.15</v>
      </c>
      <c r="N155" vm="1829">
        <f ca="1"/>
        <v>2472.1</v>
      </c>
    </row>
    <row r="156" spans="2:14" x14ac:dyDescent="0.35">
      <c r="B156" vm="1830">
        <f ca="1"/>
        <v>42947</v>
      </c>
      <c r="C156" vm="1831">
        <f ca="1"/>
        <v>47.274999999999999</v>
      </c>
      <c r="D156" vm="1832">
        <f ca="1"/>
        <v>49.389000000000003</v>
      </c>
      <c r="E156" vm="1833">
        <f ca="1"/>
        <v>41.9</v>
      </c>
      <c r="F156" vm="1834">
        <f ca="1"/>
        <v>450.73</v>
      </c>
      <c r="G156" vm="1835">
        <f ca="1"/>
        <v>130.32749999999999</v>
      </c>
      <c r="H156" vm="1836">
        <f ca="1"/>
        <v>127.8</v>
      </c>
      <c r="I156" vm="1837">
        <f ca="1"/>
        <v>36.522500000000001</v>
      </c>
      <c r="J156" vm="1838">
        <f ca="1"/>
        <v>68.599999999999994</v>
      </c>
      <c r="K156" vm="1676">
        <f ca="1"/>
        <v>4.0628000000000002</v>
      </c>
      <c r="L156" vm="1839">
        <f ca="1"/>
        <v>90.82</v>
      </c>
      <c r="M156" vm="1840">
        <f ca="1"/>
        <v>191.81</v>
      </c>
      <c r="N156" vm="1841">
        <f ca="1"/>
        <v>2470.3000000000002</v>
      </c>
    </row>
    <row r="157" spans="2:14" x14ac:dyDescent="0.35">
      <c r="B157" vm="1842">
        <f ca="1"/>
        <v>42948</v>
      </c>
      <c r="C157" vm="1843">
        <f ca="1"/>
        <v>47.328000000000003</v>
      </c>
      <c r="D157" vm="1844">
        <f ca="1"/>
        <v>49.8095</v>
      </c>
      <c r="E157" vm="1845">
        <f ca="1"/>
        <v>41.99</v>
      </c>
      <c r="F157" vm="1846">
        <f ca="1"/>
        <v>453.08</v>
      </c>
      <c r="G157" vm="1847">
        <f ca="1"/>
        <v>131.17959999999999</v>
      </c>
      <c r="H157" vm="1848">
        <f ca="1"/>
        <v>129.49</v>
      </c>
      <c r="I157" vm="1849">
        <f ca="1"/>
        <v>36.642499999999998</v>
      </c>
      <c r="J157" vm="1850">
        <f ca="1"/>
        <v>69.010000000000005</v>
      </c>
      <c r="K157" vm="1851">
        <f ca="1"/>
        <v>4.1123000000000003</v>
      </c>
      <c r="L157" vm="1852">
        <f ca="1"/>
        <v>91.1</v>
      </c>
      <c r="M157" vm="1853">
        <f ca="1"/>
        <v>192.23</v>
      </c>
      <c r="N157" vm="1854">
        <f ca="1"/>
        <v>2476.35</v>
      </c>
    </row>
    <row r="158" spans="2:14" x14ac:dyDescent="0.35">
      <c r="B158" vm="1855">
        <f ca="1"/>
        <v>42949</v>
      </c>
      <c r="C158" vm="1856">
        <f ca="1"/>
        <v>47.381999999999998</v>
      </c>
      <c r="D158" vm="1857">
        <f ca="1"/>
        <v>49.794499999999999</v>
      </c>
      <c r="E158" vm="1858">
        <f ca="1"/>
        <v>41.88</v>
      </c>
      <c r="F158" vm="1859">
        <f ca="1"/>
        <v>455.47</v>
      </c>
      <c r="G158" vm="1860">
        <f ca="1"/>
        <v>132.8168</v>
      </c>
      <c r="H158" vm="1861">
        <f ca="1"/>
        <v>130.61000000000001</v>
      </c>
      <c r="I158" vm="1862">
        <f ca="1"/>
        <v>36.685000000000002</v>
      </c>
      <c r="J158" vm="1863">
        <f ca="1"/>
        <v>69.13</v>
      </c>
      <c r="K158" vm="1826">
        <f ca="1"/>
        <v>4.1097999999999999</v>
      </c>
      <c r="L158" vm="1864">
        <f ca="1"/>
        <v>91.04</v>
      </c>
      <c r="M158" vm="1865">
        <f ca="1"/>
        <v>193</v>
      </c>
      <c r="N158" vm="1866">
        <f ca="1"/>
        <v>2477.5700000000002</v>
      </c>
    </row>
    <row r="159" spans="2:14" x14ac:dyDescent="0.35">
      <c r="B159" vm="1867">
        <f ca="1"/>
        <v>42950</v>
      </c>
      <c r="C159" vm="1868">
        <f ca="1"/>
        <v>47.015000000000001</v>
      </c>
      <c r="D159" vm="1869">
        <f ca="1"/>
        <v>49.345999999999997</v>
      </c>
      <c r="E159" vm="1870">
        <f ca="1"/>
        <v>40.61</v>
      </c>
      <c r="F159" vm="1871">
        <f ca="1"/>
        <v>449.36</v>
      </c>
      <c r="G159" vm="1872">
        <f ca="1"/>
        <v>133.62110000000001</v>
      </c>
      <c r="H159" vm="1873">
        <f ca="1"/>
        <v>129.88999999999999</v>
      </c>
      <c r="I159" vm="1874">
        <f ca="1"/>
        <v>36.884999999999998</v>
      </c>
      <c r="J159" vm="1875">
        <f ca="1"/>
        <v>68.22</v>
      </c>
      <c r="K159" vm="1876">
        <f ca="1"/>
        <v>4.1619999999999999</v>
      </c>
      <c r="L159" vm="1877">
        <f ca="1"/>
        <v>90.86</v>
      </c>
      <c r="M159" vm="1878">
        <f ca="1"/>
        <v>194.77</v>
      </c>
      <c r="N159" vm="1879">
        <f ca="1"/>
        <v>2472.16</v>
      </c>
    </row>
    <row r="160" spans="2:14" x14ac:dyDescent="0.35">
      <c r="B160" vm="1880">
        <f ca="1"/>
        <v>42951</v>
      </c>
      <c r="C160" vm="1881">
        <f ca="1"/>
        <v>47.289499999999997</v>
      </c>
      <c r="D160" vm="1882">
        <f ca="1"/>
        <v>49.378999999999998</v>
      </c>
      <c r="E160" vm="1883">
        <f ca="1"/>
        <v>40.56</v>
      </c>
      <c r="F160" vm="1884">
        <f ca="1"/>
        <v>445.58</v>
      </c>
      <c r="G160" vm="1885">
        <f ca="1"/>
        <v>134.08070000000001</v>
      </c>
      <c r="H160" vm="1886">
        <f ca="1"/>
        <v>129.82</v>
      </c>
      <c r="I160" vm="1887">
        <f ca="1"/>
        <v>36.6875</v>
      </c>
      <c r="J160" vm="1888">
        <f ca="1"/>
        <v>67.540000000000006</v>
      </c>
      <c r="K160" vm="1889">
        <f ca="1"/>
        <v>4.1802999999999999</v>
      </c>
      <c r="L160" vm="1890">
        <f ca="1"/>
        <v>90.67</v>
      </c>
      <c r="M160" vm="1891">
        <f ca="1"/>
        <v>194.88</v>
      </c>
      <c r="N160" vm="1892">
        <f ca="1"/>
        <v>2476.83</v>
      </c>
    </row>
    <row r="161" spans="2:14" x14ac:dyDescent="0.35">
      <c r="B161" vm="1893">
        <f ca="1"/>
        <v>42954</v>
      </c>
      <c r="C161" vm="1894">
        <f ca="1"/>
        <v>47.287500000000001</v>
      </c>
      <c r="D161" vm="1895">
        <f ca="1"/>
        <v>49.613500000000002</v>
      </c>
      <c r="E161" vm="1896">
        <f ca="1"/>
        <v>41.17</v>
      </c>
      <c r="F161" vm="1897">
        <f ca="1"/>
        <v>444.23</v>
      </c>
      <c r="G161" vm="1898">
        <f ca="1"/>
        <v>133.04660000000001</v>
      </c>
      <c r="H161" vm="1899">
        <f ca="1"/>
        <v>130.38</v>
      </c>
      <c r="I161" vm="1900">
        <f ca="1"/>
        <v>36.772500000000001</v>
      </c>
      <c r="J161" vm="1901">
        <f ca="1"/>
        <v>66.55</v>
      </c>
      <c r="K161" vm="1902">
        <f ca="1"/>
        <v>4.3087999999999997</v>
      </c>
      <c r="L161" vm="456">
        <f ca="1"/>
        <v>91.44</v>
      </c>
      <c r="M161" vm="1903">
        <f ca="1"/>
        <v>194.78</v>
      </c>
      <c r="N161" vm="1904">
        <f ca="1"/>
        <v>2480.91</v>
      </c>
    </row>
    <row r="162" spans="2:14" x14ac:dyDescent="0.35">
      <c r="B162" vm="1905">
        <f ca="1"/>
        <v>42955</v>
      </c>
      <c r="C162" vm="1906">
        <f ca="1"/>
        <v>47.209499999999998</v>
      </c>
      <c r="D162" vm="1907">
        <f ca="1"/>
        <v>49.491999999999997</v>
      </c>
      <c r="E162" vm="1908">
        <f ca="1"/>
        <v>41.09</v>
      </c>
      <c r="F162" vm="1909">
        <f ca="1"/>
        <v>441.53</v>
      </c>
      <c r="G162" vm="1910">
        <f ca="1"/>
        <v>132.76900000000001</v>
      </c>
      <c r="H162" vm="1911">
        <f ca="1"/>
        <v>129.84</v>
      </c>
      <c r="I162" vm="1912">
        <f ca="1"/>
        <v>36.837499999999999</v>
      </c>
      <c r="J162" vm="1913">
        <f ca="1"/>
        <v>65.489999999999995</v>
      </c>
      <c r="K162" vm="1914">
        <f ca="1"/>
        <v>4.2575000000000003</v>
      </c>
      <c r="L162" vm="1915">
        <f ca="1"/>
        <v>91.58</v>
      </c>
      <c r="M162" vm="1916">
        <f ca="1"/>
        <v>194.9</v>
      </c>
      <c r="N162" vm="1917">
        <f ca="1"/>
        <v>2474.92</v>
      </c>
    </row>
    <row r="163" spans="2:14" x14ac:dyDescent="0.35">
      <c r="B163" vm="1918">
        <f ca="1"/>
        <v>42956</v>
      </c>
      <c r="C163" vm="1919">
        <f ca="1"/>
        <v>47.003999999999998</v>
      </c>
      <c r="D163" vm="1920">
        <f ca="1"/>
        <v>49.100499999999997</v>
      </c>
      <c r="E163" vm="1390">
        <f ca="1"/>
        <v>40.28</v>
      </c>
      <c r="F163" vm="1921">
        <f ca="1"/>
        <v>447.81</v>
      </c>
      <c r="G163" vm="1922">
        <f ca="1"/>
        <v>133.0849</v>
      </c>
      <c r="H163" vm="1923">
        <f ca="1"/>
        <v>129.72</v>
      </c>
      <c r="I163" vm="775">
        <f ca="1"/>
        <v>36.81</v>
      </c>
      <c r="J163" vm="1913">
        <f ca="1"/>
        <v>65.489999999999995</v>
      </c>
      <c r="K163" vm="1924">
        <f ca="1"/>
        <v>4.3028000000000004</v>
      </c>
      <c r="L163" vm="1925">
        <f ca="1"/>
        <v>91.92</v>
      </c>
      <c r="M163" vm="1926">
        <f ca="1"/>
        <v>194.83</v>
      </c>
      <c r="N163" vm="1927">
        <f ca="1"/>
        <v>2474.02</v>
      </c>
    </row>
    <row r="164" spans="2:14" x14ac:dyDescent="0.35">
      <c r="B164" vm="1928">
        <f ca="1"/>
        <v>42957</v>
      </c>
      <c r="C164" vm="1929">
        <f ca="1"/>
        <v>46.179499999999997</v>
      </c>
      <c r="D164" vm="1930">
        <f ca="1"/>
        <v>47.845999999999997</v>
      </c>
      <c r="E164" vm="1931">
        <f ca="1"/>
        <v>40.049999999999997</v>
      </c>
      <c r="F164" vm="1932">
        <f ca="1"/>
        <v>439.48</v>
      </c>
      <c r="G164" vm="1933">
        <f ca="1"/>
        <v>131.3998</v>
      </c>
      <c r="H164" vm="1934">
        <f ca="1"/>
        <v>127.67</v>
      </c>
      <c r="I164" vm="1935">
        <f ca="1"/>
        <v>36.93</v>
      </c>
      <c r="J164" vm="1936">
        <f ca="1"/>
        <v>64.400000000000006</v>
      </c>
      <c r="K164" vm="1937">
        <f ca="1"/>
        <v>4.1185</v>
      </c>
      <c r="L164" vm="1938">
        <f ca="1"/>
        <v>91.74</v>
      </c>
      <c r="M164" vm="1939">
        <f ca="1"/>
        <v>192.57</v>
      </c>
      <c r="N164" vm="1940">
        <f ca="1"/>
        <v>2438.21</v>
      </c>
    </row>
    <row r="165" spans="2:14" x14ac:dyDescent="0.35">
      <c r="B165" vm="1941">
        <f ca="1"/>
        <v>42958</v>
      </c>
      <c r="C165" vm="1942">
        <f ca="1"/>
        <v>46.5045</v>
      </c>
      <c r="D165" vm="1943">
        <f ca="1"/>
        <v>48.399500000000003</v>
      </c>
      <c r="E165" vm="1944">
        <f ca="1"/>
        <v>40.159999999999997</v>
      </c>
      <c r="F165" vm="1945">
        <f ca="1"/>
        <v>438.39</v>
      </c>
      <c r="G165" vm="1946">
        <f ca="1"/>
        <v>130.7775</v>
      </c>
      <c r="H165" vm="1947">
        <f ca="1"/>
        <v>128.55000000000001</v>
      </c>
      <c r="I165" vm="1948">
        <f ca="1"/>
        <v>36.795000000000002</v>
      </c>
      <c r="J165" vm="1949">
        <f ca="1"/>
        <v>63.83</v>
      </c>
      <c r="K165" vm="1950">
        <f ca="1"/>
        <v>3.899</v>
      </c>
      <c r="L165" vm="1951">
        <f ca="1"/>
        <v>91.34</v>
      </c>
      <c r="M165" vm="1952">
        <f ca="1"/>
        <v>193.02</v>
      </c>
      <c r="N165" vm="1953">
        <f ca="1"/>
        <v>2441.3200000000002</v>
      </c>
    </row>
    <row r="166" spans="2:14" x14ac:dyDescent="0.35">
      <c r="B166" vm="1954">
        <f ca="1"/>
        <v>42961</v>
      </c>
      <c r="C166" vm="1955">
        <f ca="1"/>
        <v>46.9465</v>
      </c>
      <c r="D166" vm="1956">
        <f ca="1"/>
        <v>49.164999999999999</v>
      </c>
      <c r="E166" vm="1957">
        <f ca="1"/>
        <v>40.64</v>
      </c>
      <c r="F166" vm="1958">
        <f ca="1"/>
        <v>449.49</v>
      </c>
      <c r="G166" vm="1959">
        <f ca="1"/>
        <v>132.386</v>
      </c>
      <c r="H166" vm="1960">
        <f ca="1"/>
        <v>131.09</v>
      </c>
      <c r="I166" vm="461">
        <f ca="1"/>
        <v>37.015000000000001</v>
      </c>
      <c r="J166" vm="1961">
        <f ca="1"/>
        <v>63.95</v>
      </c>
      <c r="K166" vm="1962">
        <f ca="1"/>
        <v>4.21</v>
      </c>
      <c r="L166" vm="1963">
        <f ca="1"/>
        <v>91.65</v>
      </c>
      <c r="M166" vm="1964">
        <f ca="1"/>
        <v>193.71</v>
      </c>
      <c r="N166" vm="1965">
        <f ca="1"/>
        <v>2465.84</v>
      </c>
    </row>
    <row r="167" spans="2:14" x14ac:dyDescent="0.35">
      <c r="B167" vm="1966">
        <f ca="1"/>
        <v>42962</v>
      </c>
      <c r="C167" vm="1967">
        <f ca="1"/>
        <v>46.904000000000003</v>
      </c>
      <c r="D167" vm="1968">
        <f ca="1"/>
        <v>49.137</v>
      </c>
      <c r="E167" vm="1250">
        <f ca="1"/>
        <v>40.32</v>
      </c>
      <c r="F167" vm="1969">
        <f ca="1"/>
        <v>448.33</v>
      </c>
      <c r="G167" vm="1970">
        <f ca="1"/>
        <v>131.57220000000001</v>
      </c>
      <c r="H167" vm="1971">
        <f ca="1"/>
        <v>131.58000000000001</v>
      </c>
      <c r="I167" vm="1972">
        <f ca="1"/>
        <v>37.262500000000003</v>
      </c>
      <c r="J167" vm="1973">
        <f ca="1"/>
        <v>63.44</v>
      </c>
      <c r="K167" vm="1974">
        <f ca="1"/>
        <v>4.1745000000000001</v>
      </c>
      <c r="L167" vm="1975">
        <f ca="1"/>
        <v>92.2</v>
      </c>
      <c r="M167" vm="1976">
        <f ca="1"/>
        <v>194.5</v>
      </c>
      <c r="N167" vm="1977">
        <f ca="1"/>
        <v>2464.61</v>
      </c>
    </row>
    <row r="168" spans="2:14" x14ac:dyDescent="0.35">
      <c r="B168" vm="1978">
        <f ca="1"/>
        <v>42963</v>
      </c>
      <c r="C168" vm="1979">
        <f ca="1"/>
        <v>47.213500000000003</v>
      </c>
      <c r="D168" vm="1980">
        <f ca="1"/>
        <v>48.908999999999999</v>
      </c>
      <c r="E168" vm="1981">
        <f ca="1"/>
        <v>40.82</v>
      </c>
      <c r="F168" vm="1982">
        <f ca="1"/>
        <v>454.79</v>
      </c>
      <c r="G168" vm="1983">
        <f ca="1"/>
        <v>132.20410000000001</v>
      </c>
      <c r="H168" vm="1984">
        <f ca="1"/>
        <v>132.37</v>
      </c>
      <c r="I168" vm="1985">
        <f ca="1"/>
        <v>37.494999999999997</v>
      </c>
      <c r="J168" vm="1986">
        <f ca="1"/>
        <v>63.71</v>
      </c>
      <c r="K168" vm="1987">
        <f ca="1"/>
        <v>4.1288</v>
      </c>
      <c r="L168" vm="1988">
        <f ca="1"/>
        <v>92.44</v>
      </c>
      <c r="M168" vm="1989">
        <f ca="1"/>
        <v>193.77</v>
      </c>
      <c r="N168" vm="1990">
        <f ca="1"/>
        <v>2468.11</v>
      </c>
    </row>
    <row r="169" spans="2:14" x14ac:dyDescent="0.35">
      <c r="B169" vm="1991">
        <f ca="1"/>
        <v>42964</v>
      </c>
      <c r="C169" vm="1992">
        <f ca="1"/>
        <v>46.383000000000003</v>
      </c>
      <c r="D169" vm="1993">
        <f ca="1"/>
        <v>48.028500000000001</v>
      </c>
      <c r="E169" vm="1994">
        <f ca="1"/>
        <v>40.270000000000003</v>
      </c>
      <c r="F169" vm="1995">
        <f ca="1"/>
        <v>451.55</v>
      </c>
      <c r="G169" vm="1996">
        <f ca="1"/>
        <v>130.06899999999999</v>
      </c>
      <c r="H169" vm="1997">
        <f ca="1"/>
        <v>130.88</v>
      </c>
      <c r="I169" vm="1998">
        <f ca="1"/>
        <v>37.152500000000003</v>
      </c>
      <c r="J169" vm="1999">
        <f ca="1"/>
        <v>63.03</v>
      </c>
      <c r="K169" vm="2000">
        <f ca="1"/>
        <v>4.0368000000000004</v>
      </c>
      <c r="L169" vm="2001">
        <f ca="1"/>
        <v>92.07</v>
      </c>
      <c r="M169" vm="2002">
        <f ca="1"/>
        <v>192.7</v>
      </c>
      <c r="N169" vm="2003">
        <f ca="1"/>
        <v>2430.0100000000002</v>
      </c>
    </row>
    <row r="170" spans="2:14" x14ac:dyDescent="0.35">
      <c r="B170" vm="2004">
        <f ca="1"/>
        <v>42965</v>
      </c>
      <c r="C170" vm="2005">
        <f ca="1"/>
        <v>46.308999999999997</v>
      </c>
      <c r="D170" vm="2006">
        <f ca="1"/>
        <v>47.923499999999997</v>
      </c>
      <c r="E170" vm="2007">
        <f ca="1"/>
        <v>40.119999999999997</v>
      </c>
      <c r="F170" vm="2008">
        <f ca="1"/>
        <v>450</v>
      </c>
      <c r="G170" vm="1748">
        <f ca="1"/>
        <v>129.2073</v>
      </c>
      <c r="H170" vm="2009">
        <f ca="1"/>
        <v>131.13999999999999</v>
      </c>
      <c r="I170" vm="2010">
        <f ca="1"/>
        <v>37.482500000000002</v>
      </c>
      <c r="J170" vm="2011">
        <f ca="1"/>
        <v>63.32</v>
      </c>
      <c r="K170" vm="2012">
        <f ca="1"/>
        <v>4.0374999999999996</v>
      </c>
      <c r="L170" vm="2013">
        <f ca="1"/>
        <v>92.47</v>
      </c>
      <c r="M170" vm="2014">
        <f ca="1"/>
        <v>190.82</v>
      </c>
      <c r="N170" vm="2015">
        <f ca="1"/>
        <v>2425.5500000000002</v>
      </c>
    </row>
    <row r="171" spans="2:14" x14ac:dyDescent="0.35">
      <c r="B171" vm="2016">
        <f ca="1"/>
        <v>42968</v>
      </c>
      <c r="C171" vm="2017">
        <f ca="1"/>
        <v>46.043500000000002</v>
      </c>
      <c r="D171" vm="2018">
        <f ca="1"/>
        <v>47.664499999999997</v>
      </c>
      <c r="E171" vm="2019">
        <f ca="1"/>
        <v>39.590000000000003</v>
      </c>
      <c r="F171" vm="2020">
        <f ca="1"/>
        <v>450.29</v>
      </c>
      <c r="G171" vm="2021">
        <f ca="1"/>
        <v>129.80090000000001</v>
      </c>
      <c r="H171" vm="2022">
        <f ca="1"/>
        <v>131.94</v>
      </c>
      <c r="I171" vm="2023">
        <f ca="1"/>
        <v>37.612499999999997</v>
      </c>
      <c r="J171" vm="2024">
        <f ca="1"/>
        <v>63</v>
      </c>
      <c r="K171" vm="2025">
        <f ca="1"/>
        <v>3.9788000000000001</v>
      </c>
      <c r="L171" vm="2026">
        <f ca="1"/>
        <v>92.86</v>
      </c>
      <c r="M171" vm="2027">
        <f ca="1"/>
        <v>192.03</v>
      </c>
      <c r="N171" vm="2028">
        <f ca="1"/>
        <v>2428.37</v>
      </c>
    </row>
    <row r="172" spans="2:14" x14ac:dyDescent="0.35">
      <c r="B172" vm="2029">
        <f ca="1"/>
        <v>42969</v>
      </c>
      <c r="C172" vm="2030">
        <f ca="1"/>
        <v>47.02</v>
      </c>
      <c r="D172" vm="2031">
        <f ca="1"/>
        <v>48.344999999999999</v>
      </c>
      <c r="E172" vm="2032">
        <f ca="1"/>
        <v>39.76</v>
      </c>
      <c r="F172" vm="2033">
        <f ca="1"/>
        <v>456.29</v>
      </c>
      <c r="G172" vm="2034">
        <f ca="1"/>
        <v>131.07429999999999</v>
      </c>
      <c r="H172" vm="2035">
        <f ca="1"/>
        <v>133.80000000000001</v>
      </c>
      <c r="I172" vm="2036">
        <f ca="1"/>
        <v>37.71</v>
      </c>
      <c r="J172" vm="2037">
        <f ca="1"/>
        <v>63.35</v>
      </c>
      <c r="K172" vm="2038">
        <f ca="1"/>
        <v>4.0637999999999996</v>
      </c>
      <c r="L172" vm="2039">
        <f ca="1"/>
        <v>92.79</v>
      </c>
      <c r="M172" vm="2040">
        <f ca="1"/>
        <v>194.79</v>
      </c>
      <c r="N172" vm="2041">
        <f ca="1"/>
        <v>2452.5100000000002</v>
      </c>
    </row>
    <row r="173" spans="2:14" x14ac:dyDescent="0.35">
      <c r="B173" vm="2042">
        <f ca="1"/>
        <v>42970</v>
      </c>
      <c r="C173" vm="2043">
        <f ca="1"/>
        <v>47.128999999999998</v>
      </c>
      <c r="D173" vm="2044">
        <f ca="1"/>
        <v>47.9</v>
      </c>
      <c r="E173" vm="2045">
        <f ca="1"/>
        <v>39.39</v>
      </c>
      <c r="F173" vm="2046">
        <f ca="1"/>
        <v>461.8</v>
      </c>
      <c r="G173" vm="2047">
        <f ca="1"/>
        <v>130.60509999999999</v>
      </c>
      <c r="H173" vm="2048">
        <f ca="1"/>
        <v>133.07</v>
      </c>
      <c r="I173" vm="2049">
        <f ca="1"/>
        <v>37.409999999999997</v>
      </c>
      <c r="J173" vm="2050">
        <f ca="1"/>
        <v>63.19</v>
      </c>
      <c r="K173" vm="2051">
        <f ca="1"/>
        <v>4.1449999999999996</v>
      </c>
      <c r="L173" vm="1988">
        <f ca="1"/>
        <v>92.44</v>
      </c>
      <c r="M173" vm="2052">
        <f ca="1"/>
        <v>194.24</v>
      </c>
      <c r="N173" vm="2053">
        <f ca="1"/>
        <v>2444.04</v>
      </c>
    </row>
    <row r="174" spans="2:14" x14ac:dyDescent="0.35">
      <c r="B174" vm="2054">
        <f ca="1"/>
        <v>42971</v>
      </c>
      <c r="C174" vm="2055">
        <f ca="1"/>
        <v>46.844499999999996</v>
      </c>
      <c r="D174" vm="2056">
        <f ca="1"/>
        <v>47.622500000000002</v>
      </c>
      <c r="E174" vm="2057">
        <f ca="1"/>
        <v>39.21</v>
      </c>
      <c r="F174" vm="2058">
        <f ca="1"/>
        <v>463.53</v>
      </c>
      <c r="G174" vm="2059">
        <f ca="1"/>
        <v>130.7296</v>
      </c>
      <c r="H174" vm="2060">
        <f ca="1"/>
        <v>132.96</v>
      </c>
      <c r="I174" vm="2061">
        <f ca="1"/>
        <v>37.327500000000001</v>
      </c>
      <c r="J174" vm="2062">
        <f ca="1"/>
        <v>62.88</v>
      </c>
      <c r="K174" vm="2063">
        <f ca="1"/>
        <v>4.1298000000000004</v>
      </c>
      <c r="L174" vm="2064">
        <f ca="1"/>
        <v>92.27</v>
      </c>
      <c r="M174" vm="2065">
        <f ca="1"/>
        <v>194.75</v>
      </c>
      <c r="N174" vm="2066">
        <f ca="1"/>
        <v>2438.9699999999998</v>
      </c>
    </row>
    <row r="175" spans="2:14" x14ac:dyDescent="0.35">
      <c r="B175" vm="2067">
        <f ca="1"/>
        <v>42972</v>
      </c>
      <c r="C175" vm="2068">
        <f ca="1"/>
        <v>46.524999999999999</v>
      </c>
      <c r="D175" vm="2069">
        <f ca="1"/>
        <v>47.262999999999998</v>
      </c>
      <c r="E175" vm="2070">
        <f ca="1"/>
        <v>39.299999999999997</v>
      </c>
      <c r="F175" vm="2071">
        <f ca="1"/>
        <v>466.19</v>
      </c>
      <c r="G175" vm="2072">
        <f ca="1"/>
        <v>130.99770000000001</v>
      </c>
      <c r="H175" vm="2073">
        <f ca="1"/>
        <v>132.75</v>
      </c>
      <c r="I175" vm="2074">
        <f ca="1"/>
        <v>37.524999999999999</v>
      </c>
      <c r="J175" vm="2075">
        <f ca="1"/>
        <v>63.88</v>
      </c>
      <c r="K175" vm="2076">
        <f ca="1"/>
        <v>4.0952999999999999</v>
      </c>
      <c r="L175" vm="2077">
        <f ca="1"/>
        <v>92.51</v>
      </c>
      <c r="M175" vm="2078">
        <f ca="1"/>
        <v>194.36</v>
      </c>
      <c r="N175" vm="2079">
        <f ca="1"/>
        <v>2443.0500000000002</v>
      </c>
    </row>
    <row r="176" spans="2:14" x14ac:dyDescent="0.35">
      <c r="B176" vm="2080">
        <f ca="1"/>
        <v>42975</v>
      </c>
      <c r="C176" vm="2081">
        <f ca="1"/>
        <v>46.406500000000001</v>
      </c>
      <c r="D176" vm="2082">
        <f ca="1"/>
        <v>47.301000000000002</v>
      </c>
      <c r="E176" vm="2083">
        <f ca="1"/>
        <v>39.08</v>
      </c>
      <c r="F176" vm="2084">
        <f ca="1"/>
        <v>462.91</v>
      </c>
      <c r="G176" vm="2085">
        <f ca="1"/>
        <v>131.04560000000001</v>
      </c>
      <c r="H176" vm="2086">
        <f ca="1"/>
        <v>133.85</v>
      </c>
      <c r="I176" vm="2087">
        <f ca="1"/>
        <v>37.72</v>
      </c>
      <c r="J176" vm="2088">
        <f ca="1"/>
        <v>63.45</v>
      </c>
      <c r="K176" vm="2089">
        <f ca="1"/>
        <v>4.1242999999999999</v>
      </c>
      <c r="L176" vm="2013">
        <f ca="1"/>
        <v>92.47</v>
      </c>
      <c r="M176" vm="2090">
        <f ca="1"/>
        <v>195.09</v>
      </c>
      <c r="N176" vm="2091">
        <f ca="1"/>
        <v>2444.2399999999998</v>
      </c>
    </row>
    <row r="177" spans="2:14" x14ac:dyDescent="0.35">
      <c r="B177" vm="2092">
        <f ca="1"/>
        <v>42976</v>
      </c>
      <c r="C177" vm="2093">
        <f ca="1"/>
        <v>46.787500000000001</v>
      </c>
      <c r="D177" vm="2094">
        <f ca="1"/>
        <v>47.703000000000003</v>
      </c>
      <c r="E177" vm="2095">
        <f ca="1"/>
        <v>39.06</v>
      </c>
      <c r="F177" vm="2096">
        <f ca="1"/>
        <v>466.24</v>
      </c>
      <c r="G177" vm="2097">
        <f ca="1"/>
        <v>131.7732</v>
      </c>
      <c r="H177" vm="2098">
        <f ca="1"/>
        <v>133.84</v>
      </c>
      <c r="I177" vm="2099">
        <f ca="1"/>
        <v>37.68</v>
      </c>
      <c r="J177" vm="2100">
        <f ca="1"/>
        <v>63.5</v>
      </c>
      <c r="K177" vm="2101">
        <f ca="1"/>
        <v>4.1174999999999997</v>
      </c>
      <c r="L177" vm="2102">
        <f ca="1"/>
        <v>92.32</v>
      </c>
      <c r="M177" vm="2103">
        <f ca="1"/>
        <v>196.73</v>
      </c>
      <c r="N177" vm="2104">
        <f ca="1"/>
        <v>2446.3000000000002</v>
      </c>
    </row>
    <row r="178" spans="2:14" x14ac:dyDescent="0.35">
      <c r="B178" vm="2105">
        <f ca="1"/>
        <v>42977</v>
      </c>
      <c r="C178" vm="2106">
        <f ca="1"/>
        <v>47.1815</v>
      </c>
      <c r="D178" vm="2107">
        <f ca="1"/>
        <v>48.3795</v>
      </c>
      <c r="E178" vm="2108">
        <f ca="1"/>
        <v>39.51</v>
      </c>
      <c r="F178" vm="2109">
        <f ca="1"/>
        <v>465.67</v>
      </c>
      <c r="G178" vm="2110">
        <f ca="1"/>
        <v>132.16579999999999</v>
      </c>
      <c r="H178" vm="2035">
        <f ca="1"/>
        <v>133.80000000000001</v>
      </c>
      <c r="I178" vm="676">
        <f ca="1"/>
        <v>37.655000000000001</v>
      </c>
      <c r="J178" vm="2111">
        <f ca="1"/>
        <v>63.39</v>
      </c>
      <c r="K178" vm="2112">
        <f ca="1"/>
        <v>4.1420000000000003</v>
      </c>
      <c r="L178" vm="2113">
        <f ca="1"/>
        <v>91.87</v>
      </c>
      <c r="M178" vm="2114">
        <f ca="1"/>
        <v>195.88</v>
      </c>
      <c r="N178" vm="2115">
        <f ca="1"/>
        <v>2457.59</v>
      </c>
    </row>
    <row r="179" spans="2:14" x14ac:dyDescent="0.35">
      <c r="B179" vm="2116">
        <f ca="1"/>
        <v>42978</v>
      </c>
      <c r="C179" vm="2117">
        <f ca="1"/>
        <v>47.762</v>
      </c>
      <c r="D179" vm="2118">
        <f ca="1"/>
        <v>49.03</v>
      </c>
      <c r="E179" vm="2119">
        <f ca="1"/>
        <v>39.99</v>
      </c>
      <c r="F179" vm="2120">
        <f ca="1"/>
        <v>468.41</v>
      </c>
      <c r="G179" vm="1959">
        <f ca="1"/>
        <v>132.386</v>
      </c>
      <c r="H179" vm="2121">
        <f ca="1"/>
        <v>133.30000000000001</v>
      </c>
      <c r="I179" vm="2122">
        <f ca="1"/>
        <v>37.627499999999998</v>
      </c>
      <c r="J179" vm="2123">
        <f ca="1"/>
        <v>63.51</v>
      </c>
      <c r="K179" vm="2124">
        <f ca="1"/>
        <v>4.2359999999999998</v>
      </c>
      <c r="L179" vm="2064">
        <f ca="1"/>
        <v>92.27</v>
      </c>
      <c r="M179" vm="2125">
        <f ca="1"/>
        <v>198.9</v>
      </c>
      <c r="N179" vm="2126">
        <f ca="1"/>
        <v>2471.65</v>
      </c>
    </row>
    <row r="180" spans="2:14" x14ac:dyDescent="0.35">
      <c r="B180" vm="2127">
        <f ca="1"/>
        <v>42979</v>
      </c>
      <c r="C180" vm="2128">
        <f ca="1"/>
        <v>47.599499999999999</v>
      </c>
      <c r="D180" vm="2129">
        <f ca="1"/>
        <v>48.912500000000001</v>
      </c>
      <c r="E180" vm="2130">
        <f ca="1"/>
        <v>40.15</v>
      </c>
      <c r="F180" vm="2131">
        <f ca="1"/>
        <v>465.96</v>
      </c>
      <c r="G180" vm="2097">
        <f ca="1"/>
        <v>131.7732</v>
      </c>
      <c r="H180" vm="2132">
        <f ca="1"/>
        <v>133.24</v>
      </c>
      <c r="I180" vm="2133">
        <f ca="1"/>
        <v>37.54</v>
      </c>
      <c r="J180" vm="2037">
        <f ca="1"/>
        <v>63.35</v>
      </c>
      <c r="K180" vm="2134">
        <f ca="1"/>
        <v>4.2614999999999998</v>
      </c>
      <c r="L180" vm="2135">
        <f ca="1"/>
        <v>92.53</v>
      </c>
      <c r="M180" vm="2136">
        <f ca="1"/>
        <v>199.75</v>
      </c>
      <c r="N180" vm="2137">
        <f ca="1"/>
        <v>2476.5500000000002</v>
      </c>
    </row>
    <row r="181" spans="2:14" x14ac:dyDescent="0.35">
      <c r="B181" vm="2138">
        <f ca="1"/>
        <v>42983</v>
      </c>
      <c r="C181" vm="2139">
        <f ca="1"/>
        <v>47.073999999999998</v>
      </c>
      <c r="D181" vm="2140">
        <f ca="1"/>
        <v>48.263500000000001</v>
      </c>
      <c r="E181" vm="2119">
        <f ca="1"/>
        <v>39.99</v>
      </c>
      <c r="F181" vm="2141">
        <f ca="1"/>
        <v>463.49</v>
      </c>
      <c r="G181" vm="2142">
        <f ca="1"/>
        <v>130.70089999999999</v>
      </c>
      <c r="H181" vm="2143">
        <f ca="1"/>
        <v>132.66</v>
      </c>
      <c r="I181" vm="2144">
        <f ca="1"/>
        <v>37.564999999999998</v>
      </c>
      <c r="J181" vm="2145">
        <f ca="1"/>
        <v>65.099999999999994</v>
      </c>
      <c r="K181" vm="2146">
        <f ca="1"/>
        <v>4.1478000000000002</v>
      </c>
      <c r="L181" vm="2147">
        <f ca="1"/>
        <v>92.72</v>
      </c>
      <c r="M181" vm="2148">
        <f ca="1"/>
        <v>199.31</v>
      </c>
      <c r="N181" vm="2149">
        <f ca="1"/>
        <v>2457.85</v>
      </c>
    </row>
    <row r="182" spans="2:14" x14ac:dyDescent="0.35">
      <c r="B182" vm="2150">
        <f ca="1"/>
        <v>42984</v>
      </c>
      <c r="C182" vm="2151">
        <f ca="1"/>
        <v>47.100999999999999</v>
      </c>
      <c r="D182" vm="2152">
        <f ca="1"/>
        <v>48.39</v>
      </c>
      <c r="E182" vm="1135">
        <f ca="1"/>
        <v>40</v>
      </c>
      <c r="F182" vm="2153">
        <f ca="1"/>
        <v>463.52</v>
      </c>
      <c r="G182" vm="2154">
        <f ca="1"/>
        <v>130.73920000000001</v>
      </c>
      <c r="H182" vm="2155">
        <f ca="1"/>
        <v>132.88999999999999</v>
      </c>
      <c r="I182" vm="2156">
        <f ca="1"/>
        <v>37.0625</v>
      </c>
      <c r="J182" vm="2157">
        <f ca="1"/>
        <v>65.72</v>
      </c>
      <c r="K182" vm="2158">
        <f ca="1"/>
        <v>4.1452999999999998</v>
      </c>
      <c r="L182" vm="2147">
        <f ca="1"/>
        <v>92.72</v>
      </c>
      <c r="M182" vm="2159">
        <f ca="1"/>
        <v>198.38</v>
      </c>
      <c r="N182" vm="2160">
        <f ca="1"/>
        <v>2465.54</v>
      </c>
    </row>
    <row r="183" spans="2:14" x14ac:dyDescent="0.35">
      <c r="B183" vm="2161">
        <f ca="1"/>
        <v>42985</v>
      </c>
      <c r="C183" vm="2162">
        <f ca="1"/>
        <v>47.494500000000002</v>
      </c>
      <c r="D183" vm="2163">
        <f ca="1"/>
        <v>48.973500000000001</v>
      </c>
      <c r="E183" vm="2164">
        <f ca="1"/>
        <v>40.26</v>
      </c>
      <c r="F183" vm="2165">
        <f ca="1"/>
        <v>464.82</v>
      </c>
      <c r="G183" vm="2166">
        <f ca="1"/>
        <v>131.2466</v>
      </c>
      <c r="H183" vm="2167">
        <f ca="1"/>
        <v>136.53</v>
      </c>
      <c r="I183" vm="2168">
        <f ca="1"/>
        <v>37.372500000000002</v>
      </c>
      <c r="J183" vm="2169">
        <f ca="1"/>
        <v>65.87</v>
      </c>
      <c r="K183" vm="2170">
        <f ca="1"/>
        <v>4.1645000000000003</v>
      </c>
      <c r="L183" vm="2171">
        <f ca="1"/>
        <v>92.97</v>
      </c>
      <c r="M183" vm="2172">
        <f ca="1"/>
        <v>198.17</v>
      </c>
      <c r="N183" vm="2173">
        <f ca="1"/>
        <v>2465.1</v>
      </c>
    </row>
    <row r="184" spans="2:14" x14ac:dyDescent="0.35">
      <c r="B184" vm="2174">
        <f ca="1"/>
        <v>42986</v>
      </c>
      <c r="C184" vm="2175">
        <f ca="1"/>
        <v>47.070500000000003</v>
      </c>
      <c r="D184" vm="2176">
        <f ca="1"/>
        <v>48.295000000000002</v>
      </c>
      <c r="E184" vm="1390">
        <f ca="1"/>
        <v>40.28</v>
      </c>
      <c r="F184" vm="2177">
        <f ca="1"/>
        <v>462</v>
      </c>
      <c r="G184" vm="2178">
        <f ca="1"/>
        <v>131.7158</v>
      </c>
      <c r="H184" vm="2179">
        <f ca="1"/>
        <v>137.22</v>
      </c>
      <c r="I184" vm="2180">
        <f ca="1"/>
        <v>37.064999999999998</v>
      </c>
      <c r="J184" vm="2181">
        <f ca="1"/>
        <v>64.86</v>
      </c>
      <c r="K184" vm="2182">
        <f ca="1"/>
        <v>4.0922999999999998</v>
      </c>
      <c r="L184" vm="2183">
        <f ca="1"/>
        <v>92.84</v>
      </c>
      <c r="M184" vm="2184">
        <f ca="1"/>
        <v>197.75</v>
      </c>
      <c r="N184" vm="2185">
        <f ca="1"/>
        <v>2461.4299999999998</v>
      </c>
    </row>
    <row r="185" spans="2:14" x14ac:dyDescent="0.35">
      <c r="B185" vm="2186">
        <f ca="1"/>
        <v>42989</v>
      </c>
      <c r="C185" vm="2187">
        <f ca="1"/>
        <v>47.164499999999997</v>
      </c>
      <c r="D185" vm="2188">
        <f ca="1"/>
        <v>48.898000000000003</v>
      </c>
      <c r="E185" vm="2189">
        <f ca="1"/>
        <v>40.94</v>
      </c>
      <c r="F185" vm="2190">
        <f ca="1"/>
        <v>474.42</v>
      </c>
      <c r="G185" vm="1922">
        <f ca="1"/>
        <v>133.0849</v>
      </c>
      <c r="H185" vm="2191">
        <f ca="1"/>
        <v>141.99</v>
      </c>
      <c r="I185" vm="2192">
        <f ca="1"/>
        <v>37.85</v>
      </c>
      <c r="J185" vm="2193">
        <f ca="1"/>
        <v>65.77</v>
      </c>
      <c r="K185" vm="2194">
        <f ca="1"/>
        <v>4.2249999999999996</v>
      </c>
      <c r="L185" vm="2195">
        <f ca="1"/>
        <v>93.99</v>
      </c>
      <c r="M185" vm="2196">
        <f ca="1"/>
        <v>199.58</v>
      </c>
      <c r="N185" vm="2197">
        <f ca="1"/>
        <v>2488.11</v>
      </c>
    </row>
    <row r="186" spans="2:14" x14ac:dyDescent="0.35">
      <c r="B186" vm="2198">
        <f ca="1"/>
        <v>42990</v>
      </c>
      <c r="C186" vm="2199">
        <f ca="1"/>
        <v>47.332500000000003</v>
      </c>
      <c r="D186" vm="2200">
        <f ca="1"/>
        <v>49.128999999999998</v>
      </c>
      <c r="E186" vm="1262">
        <f ca="1"/>
        <v>40.72</v>
      </c>
      <c r="F186" vm="2201">
        <f ca="1"/>
        <v>468.38</v>
      </c>
      <c r="G186" vm="2202">
        <f ca="1"/>
        <v>132.77850000000001</v>
      </c>
      <c r="H186" vm="2203">
        <f ca="1"/>
        <v>142.41999999999999</v>
      </c>
      <c r="I186" vm="2204">
        <f ca="1"/>
        <v>37.282499999999999</v>
      </c>
      <c r="J186" vm="2205">
        <f ca="1"/>
        <v>66.430000000000007</v>
      </c>
      <c r="K186" vm="2206">
        <f ca="1"/>
        <v>4.2403000000000004</v>
      </c>
      <c r="L186" vm="2207">
        <f ca="1"/>
        <v>93.51</v>
      </c>
      <c r="M186" vm="2208">
        <f ca="1"/>
        <v>197.47</v>
      </c>
      <c r="N186" vm="2209">
        <f ca="1"/>
        <v>2496.48</v>
      </c>
    </row>
    <row r="187" spans="2:14" x14ac:dyDescent="0.35">
      <c r="B187" vm="2210">
        <f ca="1"/>
        <v>42991</v>
      </c>
      <c r="C187" vm="2211">
        <f ca="1"/>
        <v>47.521999999999998</v>
      </c>
      <c r="D187" vm="2212">
        <f ca="1"/>
        <v>49.98</v>
      </c>
      <c r="E187" vm="2213">
        <f ca="1"/>
        <v>40.36</v>
      </c>
      <c r="F187" vm="2214">
        <f ca="1"/>
        <v>458.87</v>
      </c>
      <c r="G187" vm="2215">
        <f ca="1"/>
        <v>132.0317</v>
      </c>
      <c r="H187" vm="2216">
        <f ca="1"/>
        <v>140.1</v>
      </c>
      <c r="I187" vm="2217">
        <f ca="1"/>
        <v>37.045000000000002</v>
      </c>
      <c r="J187" vm="2218">
        <f ca="1"/>
        <v>66.92</v>
      </c>
      <c r="K187" vm="2219">
        <f ca="1"/>
        <v>4.2592999999999996</v>
      </c>
      <c r="L187" vm="2220">
        <f ca="1"/>
        <v>93.55</v>
      </c>
      <c r="M187" vm="2221">
        <f ca="1"/>
        <v>198.33</v>
      </c>
      <c r="N187" vm="2222">
        <f ca="1"/>
        <v>2498.37</v>
      </c>
    </row>
    <row r="188" spans="2:14" x14ac:dyDescent="0.35">
      <c r="B188" vm="2223">
        <f ca="1"/>
        <v>42992</v>
      </c>
      <c r="C188" vm="2224">
        <f ca="1"/>
        <v>47.006500000000003</v>
      </c>
      <c r="D188" vm="2225">
        <f ca="1"/>
        <v>49.610500000000002</v>
      </c>
      <c r="E188" vm="2226">
        <f ca="1"/>
        <v>40.409999999999997</v>
      </c>
      <c r="F188" vm="2227">
        <f ca="1"/>
        <v>454.91</v>
      </c>
      <c r="G188" vm="2228">
        <f ca="1"/>
        <v>131.37110000000001</v>
      </c>
      <c r="H188" vm="2229">
        <f ca="1"/>
        <v>141.47</v>
      </c>
      <c r="I188" vm="2230">
        <f ca="1"/>
        <v>37.387500000000003</v>
      </c>
      <c r="J188" vm="2231">
        <f ca="1"/>
        <v>67.7</v>
      </c>
      <c r="K188" vm="2232">
        <f ca="1"/>
        <v>4.2350000000000003</v>
      </c>
      <c r="L188" vm="2220">
        <f ca="1"/>
        <v>93.55</v>
      </c>
      <c r="M188" vm="2233">
        <f ca="1"/>
        <v>197.73</v>
      </c>
      <c r="N188" vm="2234">
        <f ca="1"/>
        <v>2495.62</v>
      </c>
    </row>
    <row r="189" spans="2:14" x14ac:dyDescent="0.35">
      <c r="B189" vm="2235">
        <f ca="1"/>
        <v>42993</v>
      </c>
      <c r="C189" vm="2236">
        <f ca="1"/>
        <v>46.764499999999998</v>
      </c>
      <c r="D189" vm="2237">
        <f ca="1"/>
        <v>49.339500000000001</v>
      </c>
      <c r="E189" vm="2238">
        <f ca="1"/>
        <v>40.53</v>
      </c>
      <c r="F189" vm="2239">
        <f ca="1"/>
        <v>455.31</v>
      </c>
      <c r="G189" vm="2240">
        <f ca="1"/>
        <v>133.03700000000001</v>
      </c>
      <c r="H189" vm="2241">
        <f ca="1"/>
        <v>141.58000000000001</v>
      </c>
      <c r="I189" vm="2242">
        <f ca="1"/>
        <v>37.522500000000001</v>
      </c>
      <c r="J189" vm="2243">
        <f ca="1"/>
        <v>67.239999999999995</v>
      </c>
      <c r="K189" vm="2244">
        <f ca="1"/>
        <v>4.5027999999999997</v>
      </c>
      <c r="L189" vm="2245">
        <f ca="1"/>
        <v>93.27</v>
      </c>
      <c r="M189" vm="2246">
        <f ca="1"/>
        <v>198.18</v>
      </c>
      <c r="N189" vm="2247">
        <f ca="1"/>
        <v>2500.23</v>
      </c>
    </row>
    <row r="190" spans="2:14" x14ac:dyDescent="0.35">
      <c r="B190" vm="2248">
        <f ca="1"/>
        <v>42996</v>
      </c>
      <c r="C190" vm="2249">
        <f ca="1"/>
        <v>46.487499999999997</v>
      </c>
      <c r="D190" vm="2250">
        <f ca="1"/>
        <v>48.709499999999998</v>
      </c>
      <c r="E190" vm="2251">
        <f ca="1"/>
        <v>40.78</v>
      </c>
      <c r="F190" vm="2252">
        <f ca="1"/>
        <v>450.15</v>
      </c>
      <c r="G190" vm="2253">
        <f ca="1"/>
        <v>131.8115</v>
      </c>
      <c r="H190" vm="2254">
        <f ca="1"/>
        <v>141.4</v>
      </c>
      <c r="I190" vm="2255">
        <f ca="1"/>
        <v>37.075000000000003</v>
      </c>
      <c r="J190" vm="2256">
        <f ca="1"/>
        <v>67.87</v>
      </c>
      <c r="K190" vm="2257">
        <f ca="1"/>
        <v>4.6887999999999996</v>
      </c>
      <c r="L190" vm="2258">
        <f ca="1"/>
        <v>93.15</v>
      </c>
      <c r="M190" vm="2259">
        <f ca="1"/>
        <v>198.19</v>
      </c>
      <c r="N190" vm="2260">
        <f ca="1"/>
        <v>2503.87</v>
      </c>
    </row>
    <row r="191" spans="2:14" x14ac:dyDescent="0.35">
      <c r="B191" vm="2261">
        <f ca="1"/>
        <v>42997</v>
      </c>
      <c r="C191" vm="2262">
        <f ca="1"/>
        <v>46.843000000000004</v>
      </c>
      <c r="D191" vm="2263">
        <f ca="1"/>
        <v>48.493000000000002</v>
      </c>
      <c r="E191" vm="1870">
        <f ca="1"/>
        <v>40.61</v>
      </c>
      <c r="F191" vm="2264">
        <f ca="1"/>
        <v>453.04</v>
      </c>
      <c r="G191" vm="2265">
        <f ca="1"/>
        <v>131.88810000000001</v>
      </c>
      <c r="H191" vm="2266">
        <f ca="1"/>
        <v>142.49</v>
      </c>
      <c r="I191" vm="2267">
        <f ca="1"/>
        <v>36.979999999999997</v>
      </c>
      <c r="J191" vm="2268">
        <f ca="1"/>
        <v>67.89</v>
      </c>
      <c r="K191" vm="2269">
        <f ca="1"/>
        <v>4.6837999999999997</v>
      </c>
      <c r="L191" vm="2270">
        <f ca="1"/>
        <v>94.17</v>
      </c>
      <c r="M191" vm="2271">
        <f ca="1"/>
        <v>194.65</v>
      </c>
      <c r="N191" vm="2272">
        <f ca="1"/>
        <v>2506.65</v>
      </c>
    </row>
    <row r="192" spans="2:14" x14ac:dyDescent="0.35">
      <c r="B192" vm="2273">
        <f ca="1"/>
        <v>42998</v>
      </c>
      <c r="C192" vm="2274">
        <f ca="1"/>
        <v>47.377000000000002</v>
      </c>
      <c r="D192" vm="2275">
        <f ca="1"/>
        <v>48.660499999999999</v>
      </c>
      <c r="E192" vm="2251">
        <f ca="1"/>
        <v>40.78</v>
      </c>
      <c r="F192" vm="2276">
        <f ca="1"/>
        <v>449.24</v>
      </c>
      <c r="G192" vm="2277">
        <f ca="1"/>
        <v>132.78809999999999</v>
      </c>
      <c r="H192" vm="2278">
        <f ca="1"/>
        <v>142.24</v>
      </c>
      <c r="I192" vm="1862">
        <f ca="1"/>
        <v>36.685000000000002</v>
      </c>
      <c r="J192" vm="2279">
        <f ca="1"/>
        <v>67.62</v>
      </c>
      <c r="K192" vm="2280">
        <f ca="1"/>
        <v>4.6459999999999999</v>
      </c>
      <c r="L192" vm="2281">
        <f ca="1"/>
        <v>94.4</v>
      </c>
      <c r="M192" vm="2282">
        <f ca="1"/>
        <v>195.75</v>
      </c>
      <c r="N192" vm="2283">
        <f ca="1"/>
        <v>2508.2399999999998</v>
      </c>
    </row>
    <row r="193" spans="2:14" x14ac:dyDescent="0.35">
      <c r="B193" vm="2284">
        <f ca="1"/>
        <v>42999</v>
      </c>
      <c r="C193" vm="2285">
        <f ca="1"/>
        <v>47.377499999999998</v>
      </c>
      <c r="D193" vm="2286">
        <f ca="1"/>
        <v>48.232500000000002</v>
      </c>
      <c r="E193" vm="2287">
        <f ca="1"/>
        <v>40.799999999999997</v>
      </c>
      <c r="F193" vm="2288">
        <f ca="1"/>
        <v>446.57</v>
      </c>
      <c r="G193" vm="2289">
        <f ca="1"/>
        <v>134.86580000000001</v>
      </c>
      <c r="H193" vm="2290">
        <f ca="1"/>
        <v>141.72</v>
      </c>
      <c r="I193" vm="808">
        <f ca="1"/>
        <v>36.695</v>
      </c>
      <c r="J193" vm="2291">
        <f ca="1"/>
        <v>68.09</v>
      </c>
      <c r="K193" vm="2292">
        <f ca="1"/>
        <v>4.5190000000000001</v>
      </c>
      <c r="L193" vm="2293">
        <f ca="1"/>
        <v>92.64</v>
      </c>
      <c r="M193" vm="2294">
        <f ca="1"/>
        <v>195.21</v>
      </c>
      <c r="N193" vm="2295">
        <f ca="1"/>
        <v>2500.6</v>
      </c>
    </row>
    <row r="194" spans="2:14" x14ac:dyDescent="0.35">
      <c r="B194" vm="2296">
        <f ca="1"/>
        <v>43000</v>
      </c>
      <c r="C194" vm="2297">
        <f ca="1"/>
        <v>47.162999999999997</v>
      </c>
      <c r="D194" vm="2298">
        <f ca="1"/>
        <v>47.755000000000003</v>
      </c>
      <c r="E194" vm="2299">
        <f ca="1"/>
        <v>41</v>
      </c>
      <c r="F194" vm="2300">
        <f ca="1"/>
        <v>441.66</v>
      </c>
      <c r="G194" vm="2301">
        <f ca="1"/>
        <v>135.71789999999999</v>
      </c>
      <c r="H194" vm="2302">
        <f ca="1"/>
        <v>141.88999999999999</v>
      </c>
      <c r="I194" vm="2303">
        <f ca="1"/>
        <v>36.590000000000003</v>
      </c>
      <c r="J194" vm="2304">
        <f ca="1"/>
        <v>68.8</v>
      </c>
      <c r="K194" vm="2305">
        <f ca="1"/>
        <v>4.4749999999999996</v>
      </c>
      <c r="L194" vm="2306">
        <f ca="1"/>
        <v>92.24</v>
      </c>
      <c r="M194" vm="2307">
        <f ca="1"/>
        <v>193.03</v>
      </c>
      <c r="N194" vm="2308">
        <f ca="1"/>
        <v>2502.2199999999998</v>
      </c>
    </row>
    <row r="195" spans="2:14" x14ac:dyDescent="0.35">
      <c r="B195" vm="2309">
        <f ca="1"/>
        <v>43003</v>
      </c>
      <c r="C195" vm="2310">
        <f ca="1"/>
        <v>46.713999999999999</v>
      </c>
      <c r="D195" vm="2311">
        <f ca="1"/>
        <v>46.9895</v>
      </c>
      <c r="E195" vm="2312">
        <f ca="1"/>
        <v>40.81</v>
      </c>
      <c r="F195" vm="2313">
        <f ca="1"/>
        <v>437.21</v>
      </c>
      <c r="G195" vm="2314">
        <f ca="1"/>
        <v>134.81790000000001</v>
      </c>
      <c r="H195" vm="2315">
        <f ca="1"/>
        <v>138.57</v>
      </c>
      <c r="I195" vm="2316">
        <f ca="1"/>
        <v>36.704999999999998</v>
      </c>
      <c r="J195" vm="2317">
        <f ca="1"/>
        <v>69.650000000000006</v>
      </c>
      <c r="K195" vm="2318">
        <f ca="1"/>
        <v>4.2750000000000004</v>
      </c>
      <c r="L195" vm="2147">
        <f ca="1"/>
        <v>92.72</v>
      </c>
      <c r="M195" vm="2319">
        <f ca="1"/>
        <v>191.75</v>
      </c>
      <c r="N195" vm="2320">
        <f ca="1"/>
        <v>2496.66</v>
      </c>
    </row>
    <row r="196" spans="2:14" x14ac:dyDescent="0.35">
      <c r="B196" vm="2321">
        <f ca="1"/>
        <v>43004</v>
      </c>
      <c r="C196" vm="2322">
        <f ca="1"/>
        <v>46.871499999999997</v>
      </c>
      <c r="D196" vm="2323">
        <f ca="1"/>
        <v>46.93</v>
      </c>
      <c r="E196" vm="2324">
        <f ca="1"/>
        <v>40.97</v>
      </c>
      <c r="F196" vm="2325">
        <f ca="1"/>
        <v>434.42</v>
      </c>
      <c r="G196" vm="2326">
        <f ca="1"/>
        <v>134.27209999999999</v>
      </c>
      <c r="H196" vm="2327">
        <f ca="1"/>
        <v>138.37</v>
      </c>
      <c r="I196" vm="375">
        <f ca="1"/>
        <v>36.924999999999997</v>
      </c>
      <c r="J196" vm="2328">
        <f ca="1"/>
        <v>68.819999999999993</v>
      </c>
      <c r="K196" vm="2329">
        <f ca="1"/>
        <v>4.2990000000000004</v>
      </c>
      <c r="L196" vm="2330">
        <f ca="1"/>
        <v>92.65</v>
      </c>
      <c r="M196" vm="2002">
        <f ca="1"/>
        <v>192.7</v>
      </c>
      <c r="N196" vm="2331">
        <f ca="1"/>
        <v>2496.84</v>
      </c>
    </row>
    <row r="197" spans="2:14" x14ac:dyDescent="0.35">
      <c r="B197" vm="2332">
        <f ca="1"/>
        <v>43005</v>
      </c>
      <c r="C197" vm="2333">
        <f ca="1"/>
        <v>47.994999999999997</v>
      </c>
      <c r="D197" vm="2334">
        <f ca="1"/>
        <v>47.543500000000002</v>
      </c>
      <c r="E197" vm="1352">
        <f ca="1"/>
        <v>40.99</v>
      </c>
      <c r="F197" vm="2335">
        <f ca="1"/>
        <v>441.93</v>
      </c>
      <c r="G197" vm="2336">
        <f ca="1"/>
        <v>133.63069999999999</v>
      </c>
      <c r="H197" vm="2337">
        <f ca="1"/>
        <v>139.66999999999999</v>
      </c>
      <c r="I197" vm="2338">
        <f ca="1"/>
        <v>36.5625</v>
      </c>
      <c r="J197" vm="2339">
        <f ca="1"/>
        <v>69.08</v>
      </c>
      <c r="K197" vm="2340">
        <f ca="1"/>
        <v>4.3933</v>
      </c>
      <c r="L197" vm="2341">
        <f ca="1"/>
        <v>90.87</v>
      </c>
      <c r="M197" vm="2342">
        <f ca="1"/>
        <v>194.49</v>
      </c>
      <c r="N197" vm="2343">
        <f ca="1"/>
        <v>2507.04</v>
      </c>
    </row>
    <row r="198" spans="2:14" x14ac:dyDescent="0.35">
      <c r="B198" vm="2344">
        <f ca="1"/>
        <v>43006</v>
      </c>
      <c r="C198" vm="2345">
        <f ca="1"/>
        <v>48.240499999999997</v>
      </c>
      <c r="D198" vm="2346">
        <f ca="1"/>
        <v>47.82</v>
      </c>
      <c r="E198" vm="1313">
        <f ca="1"/>
        <v>41.42</v>
      </c>
      <c r="F198" vm="2347">
        <f ca="1"/>
        <v>441.72</v>
      </c>
      <c r="G198" vm="2348">
        <f ca="1"/>
        <v>134.5977</v>
      </c>
      <c r="H198" vm="2349">
        <f ca="1"/>
        <v>140.19999999999999</v>
      </c>
      <c r="I198" vm="2350">
        <f ca="1"/>
        <v>36.747500000000002</v>
      </c>
      <c r="J198" vm="2351">
        <f ca="1"/>
        <v>69.16</v>
      </c>
      <c r="K198" vm="2352">
        <f ca="1"/>
        <v>4.3920000000000003</v>
      </c>
      <c r="L198" vm="494">
        <f ca="1"/>
        <v>90.89</v>
      </c>
      <c r="M198" vm="2353">
        <f ca="1"/>
        <v>196.1</v>
      </c>
      <c r="N198" vm="2354">
        <f ca="1"/>
        <v>2510.06</v>
      </c>
    </row>
    <row r="199" spans="2:14" x14ac:dyDescent="0.35">
      <c r="B199" vm="2355">
        <f ca="1"/>
        <v>43007</v>
      </c>
      <c r="C199" vm="2356">
        <f ca="1"/>
        <v>48.686</v>
      </c>
      <c r="D199" vm="1147">
        <f ca="1"/>
        <v>48.067500000000003</v>
      </c>
      <c r="E199" vm="2357">
        <f ca="1"/>
        <v>41.3</v>
      </c>
      <c r="F199" vm="2358">
        <f ca="1"/>
        <v>446.3</v>
      </c>
      <c r="G199" vm="2359">
        <f ca="1"/>
        <v>135.70830000000001</v>
      </c>
      <c r="H199" vm="2360">
        <f ca="1"/>
        <v>141.19999999999999</v>
      </c>
      <c r="I199" vm="2361">
        <f ca="1"/>
        <v>36.637500000000003</v>
      </c>
      <c r="J199" vm="2362">
        <f ca="1"/>
        <v>69.760000000000005</v>
      </c>
      <c r="K199" vm="2363">
        <f ca="1"/>
        <v>4.4692999999999996</v>
      </c>
      <c r="L199" vm="2364">
        <f ca="1"/>
        <v>90.98</v>
      </c>
      <c r="M199" vm="2365">
        <f ca="1"/>
        <v>195.85</v>
      </c>
      <c r="N199" vm="2366">
        <f ca="1"/>
        <v>2519.36</v>
      </c>
    </row>
    <row r="200" spans="2:14" x14ac:dyDescent="0.35">
      <c r="B200" vm="2367">
        <f ca="1"/>
        <v>43010</v>
      </c>
      <c r="C200" vm="2368">
        <f ca="1"/>
        <v>48.3735</v>
      </c>
      <c r="D200" vm="2369">
        <f ca="1"/>
        <v>47.959499999999998</v>
      </c>
      <c r="E200" vm="1326">
        <f ca="1"/>
        <v>41.36</v>
      </c>
      <c r="F200" vm="2370">
        <f ca="1"/>
        <v>444.48</v>
      </c>
      <c r="G200" vm="2371">
        <f ca="1"/>
        <v>136.58920000000001</v>
      </c>
      <c r="H200" vm="2372">
        <f ca="1"/>
        <v>141.82</v>
      </c>
      <c r="I200" vm="1862">
        <f ca="1"/>
        <v>36.685000000000002</v>
      </c>
      <c r="J200" vm="2373">
        <f ca="1"/>
        <v>69.319999999999993</v>
      </c>
      <c r="K200" vm="2305">
        <f ca="1"/>
        <v>4.4749999999999996</v>
      </c>
      <c r="L200" vm="2374">
        <f ca="1"/>
        <v>91.77</v>
      </c>
      <c r="M200" vm="2375">
        <f ca="1"/>
        <v>197.44</v>
      </c>
      <c r="N200" vm="2376">
        <f ca="1"/>
        <v>2529.12</v>
      </c>
    </row>
    <row r="201" spans="2:14" x14ac:dyDescent="0.35">
      <c r="B201" vm="2377">
        <f ca="1"/>
        <v>43011</v>
      </c>
      <c r="C201" vm="2378">
        <f ca="1"/>
        <v>48.603999999999999</v>
      </c>
      <c r="D201" vm="2379">
        <f ca="1"/>
        <v>47.854999999999997</v>
      </c>
      <c r="E201" vm="2380">
        <f ca="1"/>
        <v>41.58</v>
      </c>
      <c r="F201" vm="2381">
        <f ca="1"/>
        <v>442.36</v>
      </c>
      <c r="G201" vm="2382">
        <f ca="1"/>
        <v>136.59870000000001</v>
      </c>
      <c r="H201" vm="2383">
        <f ca="1"/>
        <v>143.02000000000001</v>
      </c>
      <c r="I201" vm="2384">
        <f ca="1"/>
        <v>36.722499999999997</v>
      </c>
      <c r="J201" vm="2385">
        <f ca="1"/>
        <v>69.06</v>
      </c>
      <c r="K201" vm="2386">
        <f ca="1"/>
        <v>4.4843000000000002</v>
      </c>
      <c r="L201" vm="2387">
        <f ca="1"/>
        <v>92.12</v>
      </c>
      <c r="M201" vm="2388">
        <f ca="1"/>
        <v>198.63</v>
      </c>
      <c r="N201" vm="2389">
        <f ca="1"/>
        <v>2534.58</v>
      </c>
    </row>
    <row r="202" spans="2:14" x14ac:dyDescent="0.35">
      <c r="B202" vm="2390">
        <f ca="1"/>
        <v>43012</v>
      </c>
      <c r="C202" vm="2391">
        <f ca="1"/>
        <v>48.338999999999999</v>
      </c>
      <c r="D202" vm="2392">
        <f ca="1"/>
        <v>48.272500000000001</v>
      </c>
      <c r="E202" vm="2393">
        <f ca="1"/>
        <v>41.76</v>
      </c>
      <c r="F202" vm="2394">
        <f ca="1"/>
        <v>442.97</v>
      </c>
      <c r="G202" vm="2395">
        <f ca="1"/>
        <v>136.4838</v>
      </c>
      <c r="H202" vm="2396">
        <f ca="1"/>
        <v>142.09</v>
      </c>
      <c r="I202" vm="2397">
        <f ca="1"/>
        <v>37.142499999999998</v>
      </c>
      <c r="J202" vm="2328">
        <f ca="1"/>
        <v>68.819999999999993</v>
      </c>
      <c r="K202" vm="2398">
        <f ca="1"/>
        <v>4.5217999999999998</v>
      </c>
      <c r="L202" vm="2399">
        <f ca="1"/>
        <v>92.42</v>
      </c>
      <c r="M202" vm="2400">
        <f ca="1"/>
        <v>200.48</v>
      </c>
      <c r="N202" vm="2401">
        <f ca="1"/>
        <v>2537.7399999999998</v>
      </c>
    </row>
    <row r="203" spans="2:14" x14ac:dyDescent="0.35">
      <c r="B203" vm="2402">
        <f ca="1"/>
        <v>43013</v>
      </c>
      <c r="C203" vm="2403">
        <f ca="1"/>
        <v>49.259500000000003</v>
      </c>
      <c r="D203" vm="2404">
        <f ca="1"/>
        <v>49.042499999999997</v>
      </c>
      <c r="E203" vm="1569">
        <f ca="1"/>
        <v>42.03</v>
      </c>
      <c r="F203" vm="2405">
        <f ca="1"/>
        <v>445.42</v>
      </c>
      <c r="G203" vm="2406">
        <f ca="1"/>
        <v>136.98169999999999</v>
      </c>
      <c r="H203" vm="2407">
        <f ca="1"/>
        <v>143.75</v>
      </c>
      <c r="I203" vm="2408">
        <f ca="1"/>
        <v>36.94</v>
      </c>
      <c r="J203" vm="2409">
        <f ca="1"/>
        <v>68.87</v>
      </c>
      <c r="K203" vm="2410">
        <f ca="1"/>
        <v>4.5193000000000003</v>
      </c>
      <c r="L203" vm="2411">
        <f ca="1"/>
        <v>92.03</v>
      </c>
      <c r="M203" vm="2412">
        <f ca="1"/>
        <v>197.9</v>
      </c>
      <c r="N203" vm="2413">
        <f ca="1"/>
        <v>2552.0700000000002</v>
      </c>
    </row>
    <row r="204" spans="2:14" x14ac:dyDescent="0.35">
      <c r="B204" vm="2414">
        <f ca="1"/>
        <v>43014</v>
      </c>
      <c r="C204" vm="2415">
        <f ca="1"/>
        <v>49.682000000000002</v>
      </c>
      <c r="D204" vm="2416">
        <f ca="1"/>
        <v>49.478999999999999</v>
      </c>
      <c r="E204" vm="1620">
        <f ca="1"/>
        <v>42.02</v>
      </c>
      <c r="F204" vm="2417">
        <f ca="1"/>
        <v>448.83</v>
      </c>
      <c r="G204" vm="2418">
        <f ca="1"/>
        <v>137.50829999999999</v>
      </c>
      <c r="H204" vm="2419">
        <f ca="1"/>
        <v>143.52000000000001</v>
      </c>
      <c r="I204" vm="2420">
        <f ca="1"/>
        <v>36.8675</v>
      </c>
      <c r="J204" vm="2421">
        <f ca="1"/>
        <v>68.34</v>
      </c>
      <c r="K204" vm="2422">
        <f ca="1"/>
        <v>4.5324999999999998</v>
      </c>
      <c r="L204" vm="2423">
        <f ca="1"/>
        <v>92.33</v>
      </c>
      <c r="M204" vm="2424">
        <f ca="1"/>
        <v>198.06</v>
      </c>
      <c r="N204" vm="2425">
        <f ca="1"/>
        <v>2549.33</v>
      </c>
    </row>
    <row r="205" spans="2:14" x14ac:dyDescent="0.35">
      <c r="B205" vm="2426">
        <f ca="1"/>
        <v>43017</v>
      </c>
      <c r="C205" vm="2427">
        <f ca="1"/>
        <v>49.615499999999997</v>
      </c>
      <c r="D205" vm="2428">
        <f ca="1"/>
        <v>49.549500000000002</v>
      </c>
      <c r="E205" vm="2429">
        <f ca="1"/>
        <v>42.06</v>
      </c>
      <c r="F205" vm="2430">
        <f ca="1"/>
        <v>451.32</v>
      </c>
      <c r="G205" vm="2431">
        <f ca="1"/>
        <v>137.48920000000001</v>
      </c>
      <c r="H205" vm="2432">
        <f ca="1"/>
        <v>144.55000000000001</v>
      </c>
      <c r="I205" vm="2433">
        <f ca="1"/>
        <v>36.975000000000001</v>
      </c>
      <c r="J205" vm="2434">
        <f ca="1"/>
        <v>68.33</v>
      </c>
      <c r="K205" vm="2435">
        <f ca="1"/>
        <v>4.6346999999999996</v>
      </c>
      <c r="L205" vm="2387">
        <f ca="1"/>
        <v>92.12</v>
      </c>
      <c r="M205" vm="2436">
        <f ca="1"/>
        <v>196.3</v>
      </c>
      <c r="N205" vm="2437">
        <f ca="1"/>
        <v>2544.73</v>
      </c>
    </row>
    <row r="206" spans="2:14" x14ac:dyDescent="0.35">
      <c r="B206" vm="2438">
        <f ca="1"/>
        <v>43018</v>
      </c>
      <c r="C206" vm="2439">
        <f ca="1"/>
        <v>49.39</v>
      </c>
      <c r="D206" vm="2440">
        <f ca="1"/>
        <v>49.36</v>
      </c>
      <c r="E206" vm="2441">
        <f ca="1"/>
        <v>42.5</v>
      </c>
      <c r="F206" vm="2442">
        <f ca="1"/>
        <v>451.89</v>
      </c>
      <c r="G206" vm="2443">
        <f ca="1"/>
        <v>137.2115</v>
      </c>
      <c r="H206" vm="2444">
        <f ca="1"/>
        <v>145.65</v>
      </c>
      <c r="I206" vm="2445">
        <f ca="1"/>
        <v>37.2575</v>
      </c>
      <c r="J206" vm="2434">
        <f ca="1"/>
        <v>68.33</v>
      </c>
      <c r="K206" vm="2446">
        <f ca="1"/>
        <v>4.7233000000000001</v>
      </c>
      <c r="L206" vm="2447">
        <f ca="1"/>
        <v>91.62</v>
      </c>
      <c r="M206" vm="2448">
        <f ca="1"/>
        <v>194.68</v>
      </c>
      <c r="N206" vm="2449">
        <f ca="1"/>
        <v>2550.64</v>
      </c>
    </row>
    <row r="207" spans="2:14" x14ac:dyDescent="0.35">
      <c r="B207" vm="2450">
        <f ca="1"/>
        <v>43019</v>
      </c>
      <c r="C207" vm="2451">
        <f ca="1"/>
        <v>50.282499999999999</v>
      </c>
      <c r="D207" vm="2452">
        <f ca="1"/>
        <v>49.75</v>
      </c>
      <c r="E207" vm="1633">
        <f ca="1"/>
        <v>42.3</v>
      </c>
      <c r="F207" vm="2453">
        <f ca="1"/>
        <v>458.97</v>
      </c>
      <c r="G207" vm="2454">
        <f ca="1"/>
        <v>136.64660000000001</v>
      </c>
      <c r="H207" vm="2455">
        <f ca="1"/>
        <v>146.85</v>
      </c>
      <c r="I207" vm="2456">
        <f ca="1"/>
        <v>37.467500000000001</v>
      </c>
      <c r="J207" vm="2457">
        <f ca="1"/>
        <v>67.739999999999995</v>
      </c>
      <c r="K207" vm="2458">
        <f ca="1"/>
        <v>4.7735000000000003</v>
      </c>
      <c r="L207" vm="2459">
        <f ca="1"/>
        <v>91.46</v>
      </c>
      <c r="M207" vm="2460">
        <f ca="1"/>
        <v>195.26</v>
      </c>
      <c r="N207" vm="2461">
        <f ca="1"/>
        <v>2555.2399999999998</v>
      </c>
    </row>
    <row r="208" spans="2:14" x14ac:dyDescent="0.35">
      <c r="B208" vm="2462">
        <f ca="1"/>
        <v>43020</v>
      </c>
      <c r="C208" vm="2451">
        <f ca="1"/>
        <v>50.282499999999999</v>
      </c>
      <c r="D208" vm="2463">
        <f ca="1"/>
        <v>50.046500000000002</v>
      </c>
      <c r="E208" vm="2464">
        <f ca="1"/>
        <v>42.25</v>
      </c>
      <c r="F208" vm="2465">
        <f ca="1"/>
        <v>464.7</v>
      </c>
      <c r="G208" vm="2466">
        <f ca="1"/>
        <v>137.0966</v>
      </c>
      <c r="H208" vm="2467">
        <f ca="1"/>
        <v>146.74</v>
      </c>
      <c r="I208" vm="2468">
        <f ca="1"/>
        <v>37.674999999999997</v>
      </c>
      <c r="J208" vm="2469">
        <f ca="1"/>
        <v>67.290000000000006</v>
      </c>
      <c r="K208" vm="2470">
        <f ca="1"/>
        <v>4.7758000000000003</v>
      </c>
      <c r="L208" vm="2471">
        <f ca="1"/>
        <v>92.15</v>
      </c>
      <c r="M208" vm="2472">
        <f ca="1"/>
        <v>192.92</v>
      </c>
      <c r="N208" vm="2473">
        <f ca="1"/>
        <v>2550.9299999999998</v>
      </c>
    </row>
    <row r="209" spans="2:14" x14ac:dyDescent="0.35">
      <c r="B209" vm="2474">
        <f ca="1"/>
        <v>43021</v>
      </c>
      <c r="C209" vm="2475">
        <f ca="1"/>
        <v>50.393500000000003</v>
      </c>
      <c r="D209" vm="2476">
        <f ca="1"/>
        <v>50.146999999999998</v>
      </c>
      <c r="E209" vm="2477">
        <f ca="1"/>
        <v>42.35</v>
      </c>
      <c r="F209" vm="2478">
        <f ca="1"/>
        <v>462.82</v>
      </c>
      <c r="G209" vm="2479">
        <f ca="1"/>
        <v>137.26900000000001</v>
      </c>
      <c r="H209" vm="2480">
        <f ca="1"/>
        <v>147.34</v>
      </c>
      <c r="I209" vm="2481">
        <f ca="1"/>
        <v>37.637500000000003</v>
      </c>
      <c r="J209" vm="2482">
        <f ca="1"/>
        <v>67.17</v>
      </c>
      <c r="K209" vm="2483">
        <f ca="1"/>
        <v>4.8647999999999998</v>
      </c>
      <c r="L209" vm="2484">
        <f ca="1"/>
        <v>93.04</v>
      </c>
      <c r="M209" vm="2485">
        <f ca="1"/>
        <v>192.52</v>
      </c>
      <c r="N209" vm="2486">
        <f ca="1"/>
        <v>2553.17</v>
      </c>
    </row>
    <row r="210" spans="2:14" x14ac:dyDescent="0.35">
      <c r="B210" vm="2487">
        <f ca="1"/>
        <v>43024</v>
      </c>
      <c r="C210" vm="2488">
        <f ca="1"/>
        <v>50.467500000000001</v>
      </c>
      <c r="D210" vm="2489">
        <f ca="1"/>
        <v>50.317</v>
      </c>
      <c r="E210" vm="2490">
        <f ca="1"/>
        <v>42.19</v>
      </c>
      <c r="F210" vm="2491">
        <f ca="1"/>
        <v>461.35</v>
      </c>
      <c r="G210" vm="2492">
        <f ca="1"/>
        <v>137.6328</v>
      </c>
      <c r="H210" vm="2493">
        <f ca="1"/>
        <v>146.22</v>
      </c>
      <c r="I210" vm="2494">
        <f ca="1"/>
        <v>37.880000000000003</v>
      </c>
      <c r="J210" vm="2495">
        <f ca="1"/>
        <v>66.8</v>
      </c>
      <c r="K210" vm="2496">
        <f ca="1"/>
        <v>4.9482999999999997</v>
      </c>
      <c r="L210" vm="2497">
        <f ca="1"/>
        <v>93.14</v>
      </c>
      <c r="M210" vm="2498">
        <f ca="1"/>
        <v>193.2</v>
      </c>
      <c r="N210" vm="2499">
        <f ca="1"/>
        <v>2557.64</v>
      </c>
    </row>
    <row r="211" spans="2:14" x14ac:dyDescent="0.35">
      <c r="B211" vm="2500">
        <f ca="1"/>
        <v>43025</v>
      </c>
      <c r="C211" vm="2501">
        <f ca="1"/>
        <v>50.55</v>
      </c>
      <c r="D211" vm="2502">
        <f ca="1"/>
        <v>50.456499999999998</v>
      </c>
      <c r="E211" vm="2503">
        <f ca="1"/>
        <v>41.98</v>
      </c>
      <c r="F211" vm="2504">
        <f ca="1"/>
        <v>461.58</v>
      </c>
      <c r="G211" vm="2505">
        <f ca="1"/>
        <v>137.32640000000001</v>
      </c>
      <c r="H211" vm="2506">
        <f ca="1"/>
        <v>145.93</v>
      </c>
      <c r="I211" vm="2507">
        <f ca="1"/>
        <v>38.167499999999997</v>
      </c>
      <c r="J211" vm="2508">
        <f ca="1"/>
        <v>66.5</v>
      </c>
      <c r="K211" vm="2509">
        <f ca="1"/>
        <v>4.9438000000000004</v>
      </c>
      <c r="L211" vm="2510">
        <f ca="1"/>
        <v>92.8</v>
      </c>
      <c r="M211" vm="2511">
        <f ca="1"/>
        <v>203.89</v>
      </c>
      <c r="N211" vm="2512">
        <f ca="1"/>
        <v>2559.36</v>
      </c>
    </row>
    <row r="212" spans="2:14" x14ac:dyDescent="0.35">
      <c r="B212" vm="2513">
        <f ca="1"/>
        <v>43026</v>
      </c>
      <c r="C212" vm="2514">
        <f ca="1"/>
        <v>50.637</v>
      </c>
      <c r="D212" vm="2515">
        <f ca="1"/>
        <v>49.85</v>
      </c>
      <c r="E212" vm="2516">
        <f ca="1"/>
        <v>42.11</v>
      </c>
      <c r="F212" vm="2517">
        <f ca="1"/>
        <v>471.23</v>
      </c>
      <c r="G212" vm="2518">
        <f ca="1"/>
        <v>137.33600000000001</v>
      </c>
      <c r="H212" vm="2519">
        <f ca="1"/>
        <v>146.19</v>
      </c>
      <c r="I212" vm="2520">
        <f ca="1"/>
        <v>38.134999999999998</v>
      </c>
      <c r="J212" vm="2521">
        <f ca="1"/>
        <v>65.91</v>
      </c>
      <c r="K212" vm="2522">
        <f ca="1"/>
        <v>4.9394999999999998</v>
      </c>
      <c r="L212" vm="2523">
        <f ca="1"/>
        <v>92.77</v>
      </c>
      <c r="M212" vm="2524">
        <f ca="1"/>
        <v>205.23</v>
      </c>
      <c r="N212" vm="2525">
        <f ca="1"/>
        <v>2561.2600000000002</v>
      </c>
    </row>
    <row r="213" spans="2:14" x14ac:dyDescent="0.35">
      <c r="B213" vm="2526">
        <f ca="1"/>
        <v>43027</v>
      </c>
      <c r="C213" vm="2527">
        <f ca="1"/>
        <v>50.091999999999999</v>
      </c>
      <c r="D213" vm="2528">
        <f ca="1"/>
        <v>49.330500000000001</v>
      </c>
      <c r="E213" vm="2529">
        <f ca="1"/>
        <v>41.94</v>
      </c>
      <c r="F213" vm="2530">
        <f ca="1"/>
        <v>470.55</v>
      </c>
      <c r="G213" vm="2418">
        <f ca="1"/>
        <v>137.50829999999999</v>
      </c>
      <c r="H213" vm="2531">
        <f ca="1"/>
        <v>144.97999999999999</v>
      </c>
      <c r="I213" vm="2532">
        <f ca="1"/>
        <v>38.467500000000001</v>
      </c>
      <c r="J213" vm="2533">
        <f ca="1"/>
        <v>64.5</v>
      </c>
      <c r="K213" vm="2534">
        <f ca="1"/>
        <v>4.9450000000000003</v>
      </c>
      <c r="L213" vm="2535">
        <f ca="1"/>
        <v>91.59</v>
      </c>
      <c r="M213" vm="2536">
        <f ca="1"/>
        <v>203.25</v>
      </c>
      <c r="N213" vm="2537">
        <f ca="1"/>
        <v>2562.1</v>
      </c>
    </row>
    <row r="214" spans="2:14" x14ac:dyDescent="0.35">
      <c r="B214" vm="2538">
        <f ca="1"/>
        <v>43028</v>
      </c>
      <c r="C214" vm="2539">
        <f ca="1"/>
        <v>50.253500000000003</v>
      </c>
      <c r="D214" vm="2540">
        <f ca="1"/>
        <v>49.145499999999998</v>
      </c>
      <c r="E214" vm="1633">
        <f ca="1"/>
        <v>42.3</v>
      </c>
      <c r="F214" vm="2541">
        <f ca="1"/>
        <v>468.76</v>
      </c>
      <c r="G214" vm="2542">
        <f ca="1"/>
        <v>139.16470000000001</v>
      </c>
      <c r="H214" vm="2543">
        <f ca="1"/>
        <v>145.38</v>
      </c>
      <c r="I214" vm="2544">
        <f ca="1"/>
        <v>38.54</v>
      </c>
      <c r="J214" vm="2545">
        <f ca="1"/>
        <v>63.15</v>
      </c>
      <c r="K214" vm="2546">
        <f ca="1"/>
        <v>4.9225000000000003</v>
      </c>
      <c r="L214" vm="2547">
        <f ca="1"/>
        <v>88.25</v>
      </c>
      <c r="M214" vm="2548">
        <f ca="1"/>
        <v>207.49</v>
      </c>
      <c r="N214" vm="2549">
        <f ca="1"/>
        <v>2575.21</v>
      </c>
    </row>
    <row r="215" spans="2:14" x14ac:dyDescent="0.35">
      <c r="B215" vm="2550">
        <f ca="1"/>
        <v>43031</v>
      </c>
      <c r="C215" vm="2551">
        <f ca="1"/>
        <v>49.277000000000001</v>
      </c>
      <c r="D215" vm="2552">
        <f ca="1"/>
        <v>48.314999999999998</v>
      </c>
      <c r="E215" vm="2553">
        <f ca="1"/>
        <v>42.91</v>
      </c>
      <c r="F215" vm="2554">
        <f ca="1"/>
        <v>458.81</v>
      </c>
      <c r="G215" vm="2555">
        <f ca="1"/>
        <v>139.71039999999999</v>
      </c>
      <c r="H215" vm="2556">
        <f ca="1"/>
        <v>145.56</v>
      </c>
      <c r="I215" vm="2557">
        <f ca="1"/>
        <v>38.594999999999999</v>
      </c>
      <c r="J215" vm="2558">
        <f ca="1"/>
        <v>61.91</v>
      </c>
      <c r="K215" vm="2559">
        <f ca="1"/>
        <v>4.9154999999999998</v>
      </c>
      <c r="L215" vm="2560">
        <f ca="1"/>
        <v>87.3</v>
      </c>
      <c r="M215" vm="2561">
        <f ca="1"/>
        <v>207.01</v>
      </c>
      <c r="N215" vm="2562">
        <f ca="1"/>
        <v>2564.98</v>
      </c>
    </row>
    <row r="216" spans="2:14" x14ac:dyDescent="0.35">
      <c r="B216" vm="2563">
        <f ca="1"/>
        <v>43032</v>
      </c>
      <c r="C216" vm="2564">
        <f ca="1"/>
        <v>49.424500000000002</v>
      </c>
      <c r="D216" vm="2565">
        <f ca="1"/>
        <v>48.795000000000002</v>
      </c>
      <c r="E216" vm="1758">
        <f ca="1"/>
        <v>42.92</v>
      </c>
      <c r="F216" vm="2566">
        <f ca="1"/>
        <v>462.97</v>
      </c>
      <c r="G216" vm="2567">
        <f ca="1"/>
        <v>139.90190000000001</v>
      </c>
      <c r="H216" vm="2568">
        <f ca="1"/>
        <v>145.80000000000001</v>
      </c>
      <c r="I216" vm="2569">
        <f ca="1"/>
        <v>38.555</v>
      </c>
      <c r="J216" vm="2570">
        <f ca="1"/>
        <v>62.44</v>
      </c>
      <c r="K216" vm="2571">
        <f ca="1"/>
        <v>4.9669999999999996</v>
      </c>
      <c r="L216" vm="2572">
        <f ca="1"/>
        <v>86.98</v>
      </c>
      <c r="M216" vm="2573">
        <f ca="1"/>
        <v>208.15</v>
      </c>
      <c r="N216" vm="2574">
        <f ca="1"/>
        <v>2569.13</v>
      </c>
    </row>
    <row r="217" spans="2:14" x14ac:dyDescent="0.35">
      <c r="B217" vm="2575">
        <f ca="1"/>
        <v>43033</v>
      </c>
      <c r="C217" vm="2576">
        <f ca="1"/>
        <v>49.573</v>
      </c>
      <c r="D217" vm="2577">
        <f ca="1"/>
        <v>48.645499999999998</v>
      </c>
      <c r="E217" vm="2578">
        <f ca="1"/>
        <v>42.45</v>
      </c>
      <c r="F217" vm="2579">
        <f ca="1"/>
        <v>457.93</v>
      </c>
      <c r="G217" vm="2580">
        <f ca="1"/>
        <v>139.7775</v>
      </c>
      <c r="H217" vm="2581">
        <f ca="1"/>
        <v>146.24</v>
      </c>
      <c r="I217" vm="2582">
        <f ca="1"/>
        <v>38.465000000000003</v>
      </c>
      <c r="J217" vm="1973">
        <f ca="1"/>
        <v>63.44</v>
      </c>
      <c r="K217" vm="2583">
        <f ca="1"/>
        <v>4.8414999999999999</v>
      </c>
      <c r="L217" vm="1269">
        <f ca="1"/>
        <v>86.86</v>
      </c>
      <c r="M217" vm="2584">
        <f ca="1"/>
        <v>207.56</v>
      </c>
      <c r="N217" vm="2585">
        <f ca="1"/>
        <v>2557.15</v>
      </c>
    </row>
    <row r="218" spans="2:14" x14ac:dyDescent="0.35">
      <c r="B218" vm="2586">
        <f ca="1"/>
        <v>43034</v>
      </c>
      <c r="C218" vm="2587">
        <f ca="1"/>
        <v>49.570999999999998</v>
      </c>
      <c r="D218" vm="2588">
        <f ca="1"/>
        <v>48.621499999999997</v>
      </c>
      <c r="E218" vm="2589">
        <f ca="1"/>
        <v>42.73</v>
      </c>
      <c r="F218" vm="2590">
        <f ca="1"/>
        <v>454.2</v>
      </c>
      <c r="G218" vm="2591">
        <f ca="1"/>
        <v>139.63380000000001</v>
      </c>
      <c r="H218" vm="2592">
        <f ca="1"/>
        <v>146.59</v>
      </c>
      <c r="I218" vm="2593">
        <f ca="1"/>
        <v>38.347499999999997</v>
      </c>
      <c r="J218" vm="2594">
        <f ca="1"/>
        <v>63.37</v>
      </c>
      <c r="K218" vm="2595">
        <f ca="1"/>
        <v>4.8922999999999996</v>
      </c>
      <c r="L218" vm="2596">
        <f ca="1"/>
        <v>87.5</v>
      </c>
      <c r="M218" vm="2597">
        <f ca="1"/>
        <v>209.15</v>
      </c>
      <c r="N218" vm="2598">
        <f ca="1"/>
        <v>2560.4</v>
      </c>
    </row>
    <row r="219" spans="2:14" x14ac:dyDescent="0.35">
      <c r="B219" vm="2599">
        <f ca="1"/>
        <v>43035</v>
      </c>
      <c r="C219" vm="2600">
        <f ca="1"/>
        <v>51.683500000000002</v>
      </c>
      <c r="D219" vm="2601">
        <f ca="1"/>
        <v>55.047499999999999</v>
      </c>
      <c r="E219" vm="2602">
        <f ca="1"/>
        <v>42.77</v>
      </c>
      <c r="F219" vm="2603">
        <f ca="1"/>
        <v>456.51</v>
      </c>
      <c r="G219" vm="2604">
        <f ca="1"/>
        <v>139.9785</v>
      </c>
      <c r="H219" vm="2605">
        <f ca="1"/>
        <v>148.52000000000001</v>
      </c>
      <c r="I219" vm="2606">
        <f ca="1"/>
        <v>38.96</v>
      </c>
      <c r="J219" vm="2607">
        <f ca="1"/>
        <v>63.55</v>
      </c>
      <c r="K219" vm="2608">
        <f ca="1"/>
        <v>5.0465</v>
      </c>
      <c r="L219" vm="2609">
        <f ca="1"/>
        <v>87.04</v>
      </c>
      <c r="M219" vm="2610">
        <f ca="1"/>
        <v>212.6</v>
      </c>
      <c r="N219" vm="2611">
        <f ca="1"/>
        <v>2581.0700000000002</v>
      </c>
    </row>
    <row r="220" spans="2:14" x14ac:dyDescent="0.35">
      <c r="B220" vm="2612">
        <f ca="1"/>
        <v>43038</v>
      </c>
      <c r="C220" vm="2613">
        <f ca="1"/>
        <v>51.656500000000001</v>
      </c>
      <c r="D220" vm="2614">
        <f ca="1"/>
        <v>55.542499999999997</v>
      </c>
      <c r="E220" vm="2615">
        <f ca="1"/>
        <v>42.64</v>
      </c>
      <c r="F220" vm="2616">
        <f ca="1"/>
        <v>459.73</v>
      </c>
      <c r="G220" vm="2617">
        <f ca="1"/>
        <v>138.48490000000001</v>
      </c>
      <c r="H220" vm="2618">
        <f ca="1"/>
        <v>148.94999999999999</v>
      </c>
      <c r="I220" vm="2619">
        <f ca="1"/>
        <v>38.840000000000003</v>
      </c>
      <c r="J220" vm="2620">
        <f ca="1"/>
        <v>64.11</v>
      </c>
      <c r="K220" vm="2621">
        <f ca="1"/>
        <v>5.0960000000000001</v>
      </c>
      <c r="L220" vm="2622">
        <f ca="1"/>
        <v>86.27</v>
      </c>
      <c r="M220" vm="2623">
        <f ca="1"/>
        <v>209.39</v>
      </c>
      <c r="N220" vm="2624">
        <f ca="1"/>
        <v>2572.83</v>
      </c>
    </row>
    <row r="221" spans="2:14" x14ac:dyDescent="0.35">
      <c r="B221" vm="2625">
        <f ca="1"/>
        <v>43039</v>
      </c>
      <c r="C221" vm="2626">
        <f ca="1"/>
        <v>51.652000000000001</v>
      </c>
      <c r="D221" vm="2627">
        <f ca="1"/>
        <v>55.264000000000003</v>
      </c>
      <c r="E221" vm="2628">
        <f ca="1"/>
        <v>42.93</v>
      </c>
      <c r="F221" vm="2629">
        <f ca="1"/>
        <v>463.5</v>
      </c>
      <c r="G221" vm="2630">
        <f ca="1"/>
        <v>138.02529999999999</v>
      </c>
      <c r="H221" vm="2631">
        <f ca="1"/>
        <v>148.77000000000001</v>
      </c>
      <c r="I221" vm="2632">
        <f ca="1"/>
        <v>38.767499999999998</v>
      </c>
      <c r="J221" vm="2633">
        <f ca="1"/>
        <v>64</v>
      </c>
      <c r="K221" vm="2634">
        <f ca="1"/>
        <v>5.1703000000000001</v>
      </c>
      <c r="L221" vm="2635">
        <f ca="1"/>
        <v>86.34</v>
      </c>
      <c r="M221" vm="2636">
        <f ca="1"/>
        <v>210.22</v>
      </c>
      <c r="N221" vm="2637">
        <f ca="1"/>
        <v>2575.2600000000002</v>
      </c>
    </row>
    <row r="222" spans="2:14" x14ac:dyDescent="0.35">
      <c r="B222" vm="2638">
        <f ca="1"/>
        <v>43040</v>
      </c>
      <c r="C222" vm="2639">
        <f ca="1"/>
        <v>52.129800000000003</v>
      </c>
      <c r="D222" vm="2640">
        <f ca="1"/>
        <v>55.183999999999997</v>
      </c>
      <c r="E222" vm="2641">
        <f ca="1"/>
        <v>42.7</v>
      </c>
      <c r="F222" vm="2642">
        <f ca="1"/>
        <v>467.06</v>
      </c>
      <c r="G222" vm="2643">
        <f ca="1"/>
        <v>138.76259999999999</v>
      </c>
      <c r="H222" vm="2644">
        <f ca="1"/>
        <v>148.88999999999999</v>
      </c>
      <c r="I222" vm="2645">
        <f ca="1"/>
        <v>38.344999999999999</v>
      </c>
      <c r="J222" vm="2646">
        <f ca="1"/>
        <v>64.28</v>
      </c>
      <c r="K222" vm="2647">
        <f ca="1"/>
        <v>5.18</v>
      </c>
      <c r="L222" vm="2648">
        <f ca="1"/>
        <v>86.89</v>
      </c>
      <c r="M222" vm="2649">
        <f ca="1"/>
        <v>209.53</v>
      </c>
      <c r="N222" vm="2650">
        <f ca="1"/>
        <v>2579.36</v>
      </c>
    </row>
    <row r="223" spans="2:14" x14ac:dyDescent="0.35">
      <c r="B223" vm="2651">
        <f ca="1"/>
        <v>43041</v>
      </c>
      <c r="C223" vm="2652">
        <f ca="1"/>
        <v>52.148499999999999</v>
      </c>
      <c r="D223" vm="2653">
        <f ca="1"/>
        <v>54.710999999999999</v>
      </c>
      <c r="E223" vm="2654">
        <f ca="1"/>
        <v>41.8</v>
      </c>
      <c r="F223" vm="2655">
        <f ca="1"/>
        <v>488.68</v>
      </c>
      <c r="G223" vm="2656">
        <f ca="1"/>
        <v>139.22210000000001</v>
      </c>
      <c r="H223" vm="2657">
        <f ca="1"/>
        <v>148.25</v>
      </c>
      <c r="I223" vm="2658">
        <f ca="1"/>
        <v>37.465000000000003</v>
      </c>
      <c r="J223" vm="2659">
        <f ca="1"/>
        <v>63.25</v>
      </c>
      <c r="K223" vm="2660">
        <f ca="1"/>
        <v>5.1485000000000003</v>
      </c>
      <c r="L223" vm="2661">
        <f ca="1"/>
        <v>86.51</v>
      </c>
      <c r="M223" vm="2662">
        <f ca="1"/>
        <v>211.1</v>
      </c>
      <c r="N223" vm="2663">
        <f ca="1"/>
        <v>2579.85</v>
      </c>
    </row>
    <row r="224" spans="2:14" x14ac:dyDescent="0.35">
      <c r="B224" vm="2664">
        <f ca="1"/>
        <v>43042</v>
      </c>
      <c r="C224" vm="2665">
        <f ca="1"/>
        <v>52.499499999999998</v>
      </c>
      <c r="D224" vm="2666">
        <f ca="1"/>
        <v>55.58</v>
      </c>
      <c r="E224" vm="2667">
        <f ca="1"/>
        <v>41.75</v>
      </c>
      <c r="F224" vm="2668">
        <f ca="1"/>
        <v>486.65</v>
      </c>
      <c r="G224" vm="2669">
        <f ca="1"/>
        <v>138.80090000000001</v>
      </c>
      <c r="H224" vm="2670">
        <f ca="1"/>
        <v>149.29</v>
      </c>
      <c r="I224" vm="2671">
        <f ca="1"/>
        <v>38.162500000000001</v>
      </c>
      <c r="J224" vm="2672">
        <f ca="1"/>
        <v>63.58</v>
      </c>
      <c r="K224" vm="2673">
        <f ca="1"/>
        <v>5.2172999999999998</v>
      </c>
      <c r="L224" vm="2674">
        <f ca="1"/>
        <v>86.58</v>
      </c>
      <c r="M224" vm="2675">
        <f ca="1"/>
        <v>212.87</v>
      </c>
      <c r="N224" vm="2676">
        <f ca="1"/>
        <v>2587.84</v>
      </c>
    </row>
    <row r="225" spans="2:14" x14ac:dyDescent="0.35">
      <c r="B225" vm="2677">
        <f ca="1"/>
        <v>43045</v>
      </c>
      <c r="C225" vm="2678">
        <f ca="1"/>
        <v>52.134</v>
      </c>
      <c r="D225" vm="2679">
        <f ca="1"/>
        <v>56.033000000000001</v>
      </c>
      <c r="E225" vm="2680">
        <f ca="1"/>
        <v>41.45</v>
      </c>
      <c r="F225" vm="2681">
        <f ca="1"/>
        <v>491.62</v>
      </c>
      <c r="G225" vm="2682">
        <f ca="1"/>
        <v>139.4041</v>
      </c>
      <c r="H225" vm="2683">
        <f ca="1"/>
        <v>150.09</v>
      </c>
      <c r="I225" vm="2684">
        <f ca="1"/>
        <v>37.965000000000003</v>
      </c>
      <c r="J225" vm="2685">
        <f ca="1"/>
        <v>67.08</v>
      </c>
      <c r="K225" vm="2686">
        <f ca="1"/>
        <v>5.2408000000000001</v>
      </c>
      <c r="L225" vm="2687">
        <f ca="1"/>
        <v>86.05</v>
      </c>
      <c r="M225" vm="2688">
        <f ca="1"/>
        <v>212.12</v>
      </c>
      <c r="N225" vm="2689">
        <f ca="1"/>
        <v>2591.13</v>
      </c>
    </row>
    <row r="226" spans="2:14" x14ac:dyDescent="0.35">
      <c r="B226" vm="2690">
        <f ca="1"/>
        <v>43046</v>
      </c>
      <c r="C226" vm="2691">
        <f ca="1"/>
        <v>52.619500000000002</v>
      </c>
      <c r="D226" vm="2692">
        <f ca="1"/>
        <v>56.158499999999997</v>
      </c>
      <c r="E226" vm="2693">
        <f ca="1"/>
        <v>41.05</v>
      </c>
      <c r="F226" vm="2694">
        <f ca="1"/>
        <v>488.06</v>
      </c>
      <c r="G226" vm="2695">
        <f ca="1"/>
        <v>140.7158</v>
      </c>
      <c r="H226" vm="2696">
        <f ca="1"/>
        <v>149.97</v>
      </c>
      <c r="I226" vm="2697">
        <f ca="1"/>
        <v>38.872500000000002</v>
      </c>
      <c r="J226" vm="2205">
        <f ca="1"/>
        <v>66.430000000000007</v>
      </c>
      <c r="K226" vm="2698">
        <f ca="1"/>
        <v>5.3007999999999997</v>
      </c>
      <c r="L226" vm="2572">
        <f ca="1"/>
        <v>86.98</v>
      </c>
      <c r="M226" vm="2699">
        <f ca="1"/>
        <v>212.7</v>
      </c>
      <c r="N226" vm="2700">
        <f ca="1"/>
        <v>2590.64</v>
      </c>
    </row>
    <row r="227" spans="2:14" x14ac:dyDescent="0.35">
      <c r="B227" vm="2701">
        <f ca="1"/>
        <v>43047</v>
      </c>
      <c r="C227" vm="2702">
        <f ca="1"/>
        <v>52.914499999999997</v>
      </c>
      <c r="D227" vm="2703">
        <f ca="1"/>
        <v>56.643999999999998</v>
      </c>
      <c r="E227" vm="2704">
        <f ca="1"/>
        <v>40.74</v>
      </c>
      <c r="F227" vm="2705">
        <f ca="1"/>
        <v>492.98</v>
      </c>
      <c r="G227" vm="2706">
        <f ca="1"/>
        <v>140.6104</v>
      </c>
      <c r="H227" vm="2696">
        <f ca="1"/>
        <v>149.97</v>
      </c>
      <c r="I227" vm="2707">
        <f ca="1"/>
        <v>38.729999999999997</v>
      </c>
      <c r="J227" vm="2708">
        <f ca="1"/>
        <v>67.06</v>
      </c>
      <c r="K227" vm="2709">
        <f ca="1"/>
        <v>5.2290000000000001</v>
      </c>
      <c r="L227" vm="2710">
        <f ca="1"/>
        <v>87.58</v>
      </c>
      <c r="M227" vm="2711">
        <f ca="1"/>
        <v>210.77</v>
      </c>
      <c r="N227" vm="2712">
        <f ca="1"/>
        <v>2594.38</v>
      </c>
    </row>
    <row r="228" spans="2:14" x14ac:dyDescent="0.35">
      <c r="B228" vm="2713">
        <f ca="1"/>
        <v>43048</v>
      </c>
      <c r="C228" vm="2714">
        <f ca="1"/>
        <v>52.386000000000003</v>
      </c>
      <c r="D228" vm="2715">
        <f ca="1"/>
        <v>56.456499999999998</v>
      </c>
      <c r="E228" vm="1250">
        <f ca="1"/>
        <v>40.32</v>
      </c>
      <c r="F228" vm="2716">
        <f ca="1"/>
        <v>484.86</v>
      </c>
      <c r="G228" vm="2717">
        <f ca="1"/>
        <v>139.2509</v>
      </c>
      <c r="H228" vm="2670">
        <f ca="1"/>
        <v>149.29</v>
      </c>
      <c r="I228" vm="2718">
        <f ca="1"/>
        <v>38.8125</v>
      </c>
      <c r="J228" vm="2719">
        <f ca="1"/>
        <v>66.89</v>
      </c>
      <c r="K228" vm="2720">
        <f ca="1"/>
        <v>5.133</v>
      </c>
      <c r="L228" vm="2721">
        <f ca="1"/>
        <v>87.78</v>
      </c>
      <c r="M228" vm="2722">
        <f ca="1"/>
        <v>211.56</v>
      </c>
      <c r="N228" vm="2723">
        <f ca="1"/>
        <v>2584.62</v>
      </c>
    </row>
    <row r="229" spans="2:14" x14ac:dyDescent="0.35">
      <c r="B229" vm="2724">
        <f ca="1"/>
        <v>43049</v>
      </c>
      <c r="C229" vm="2725">
        <f ca="1"/>
        <v>52.207500000000003</v>
      </c>
      <c r="D229" vm="2726">
        <f ca="1"/>
        <v>56.267499999999998</v>
      </c>
      <c r="E229" vm="1187">
        <f ca="1"/>
        <v>39.979999999999997</v>
      </c>
      <c r="F229" vm="2727">
        <f ca="1"/>
        <v>482.21</v>
      </c>
      <c r="G229" vm="2728">
        <f ca="1"/>
        <v>139.54769999999999</v>
      </c>
      <c r="H229" vm="2729">
        <f ca="1"/>
        <v>149.54</v>
      </c>
      <c r="I229" vm="2730">
        <f ca="1"/>
        <v>38.79</v>
      </c>
      <c r="J229" vm="1612">
        <f ca="1"/>
        <v>65.739999999999995</v>
      </c>
      <c r="K229" vm="2731">
        <f ca="1"/>
        <v>5.4035000000000002</v>
      </c>
      <c r="L229" vm="1397">
        <f ca="1"/>
        <v>88.16</v>
      </c>
      <c r="M229" vm="2732">
        <f ca="1"/>
        <v>211.07</v>
      </c>
      <c r="N229" vm="2733">
        <f ca="1"/>
        <v>2582.3000000000002</v>
      </c>
    </row>
    <row r="230" spans="2:14" x14ac:dyDescent="0.35">
      <c r="B230" vm="2734">
        <f ca="1"/>
        <v>43052</v>
      </c>
      <c r="C230" vm="2735">
        <f ca="1"/>
        <v>52.06</v>
      </c>
      <c r="D230" vm="2736">
        <f ca="1"/>
        <v>56.458500000000001</v>
      </c>
      <c r="E230" vm="2737">
        <f ca="1"/>
        <v>40.31</v>
      </c>
      <c r="F230" vm="2738">
        <f ca="1"/>
        <v>484.12</v>
      </c>
      <c r="G230" vm="2739">
        <f ca="1"/>
        <v>140.47640000000001</v>
      </c>
      <c r="H230" vm="2740">
        <f ca="1"/>
        <v>149.69</v>
      </c>
      <c r="I230" vm="2741">
        <f ca="1"/>
        <v>39.195</v>
      </c>
      <c r="J230" vm="2742">
        <f ca="1"/>
        <v>65.040000000000006</v>
      </c>
      <c r="K230" vm="2743">
        <f ca="1"/>
        <v>5.3158000000000003</v>
      </c>
      <c r="L230" vm="2744">
        <f ca="1"/>
        <v>89</v>
      </c>
      <c r="M230" vm="2745">
        <f ca="1"/>
        <v>212.66</v>
      </c>
      <c r="N230" vm="2746">
        <f ca="1"/>
        <v>2584.84</v>
      </c>
    </row>
    <row r="231" spans="2:14" x14ac:dyDescent="0.35">
      <c r="B231" vm="2747">
        <f ca="1"/>
        <v>43053</v>
      </c>
      <c r="C231" vm="2748">
        <f ca="1"/>
        <v>52.082000000000001</v>
      </c>
      <c r="D231" vm="2749">
        <f ca="1"/>
        <v>56.841999999999999</v>
      </c>
      <c r="E231" vm="2119">
        <f ca="1"/>
        <v>39.99</v>
      </c>
      <c r="F231" vm="2750">
        <f ca="1"/>
        <v>481.05</v>
      </c>
      <c r="G231" vm="2751">
        <f ca="1"/>
        <v>141.05090000000001</v>
      </c>
      <c r="H231" vm="2752">
        <f ca="1"/>
        <v>149.94999999999999</v>
      </c>
      <c r="I231" vm="2753">
        <f ca="1"/>
        <v>39.6</v>
      </c>
      <c r="J231" vm="2754">
        <f ca="1"/>
        <v>62.78</v>
      </c>
      <c r="K231" vm="2755">
        <f ca="1"/>
        <v>5.3544999999999998</v>
      </c>
      <c r="L231" vm="2756">
        <f ca="1"/>
        <v>88.87</v>
      </c>
      <c r="M231" vm="2757">
        <f ca="1"/>
        <v>211.71</v>
      </c>
      <c r="N231" vm="2758">
        <f ca="1"/>
        <v>2578.87</v>
      </c>
    </row>
    <row r="232" spans="2:14" x14ac:dyDescent="0.35">
      <c r="B232" vm="2759">
        <f ca="1"/>
        <v>43054</v>
      </c>
      <c r="C232" vm="2760">
        <f ca="1"/>
        <v>51.820500000000003</v>
      </c>
      <c r="D232" vm="2761">
        <f ca="1"/>
        <v>56.334499999999998</v>
      </c>
      <c r="E232" vm="2762">
        <f ca="1"/>
        <v>39.380000000000003</v>
      </c>
      <c r="F232" vm="2190">
        <f ca="1"/>
        <v>474.42</v>
      </c>
      <c r="G232" vm="2763">
        <f ca="1"/>
        <v>140.1413</v>
      </c>
      <c r="H232" vm="2764">
        <f ca="1"/>
        <v>148.33000000000001</v>
      </c>
      <c r="I232" vm="2765">
        <f ca="1"/>
        <v>39.340000000000003</v>
      </c>
      <c r="J232" vm="2766">
        <f ca="1"/>
        <v>61.55</v>
      </c>
      <c r="K232" vm="2767">
        <f ca="1"/>
        <v>5.2495000000000003</v>
      </c>
      <c r="L232" vm="2768">
        <f ca="1"/>
        <v>88.23</v>
      </c>
      <c r="M232" vm="2769">
        <f ca="1"/>
        <v>209.86</v>
      </c>
      <c r="N232" vm="2770">
        <f ca="1"/>
        <v>2564.62</v>
      </c>
    </row>
    <row r="233" spans="2:14" x14ac:dyDescent="0.35">
      <c r="B233" vm="2771">
        <f ca="1"/>
        <v>43055</v>
      </c>
      <c r="C233" vm="2772">
        <f ca="1"/>
        <v>52.423499999999997</v>
      </c>
      <c r="D233" vm="2773">
        <f ca="1"/>
        <v>56.8645</v>
      </c>
      <c r="E233" vm="2774">
        <f ca="1"/>
        <v>40.520000000000003</v>
      </c>
      <c r="F233" vm="2775">
        <f ca="1"/>
        <v>475.09</v>
      </c>
      <c r="G233" vm="2776">
        <f ca="1"/>
        <v>140.62960000000001</v>
      </c>
      <c r="H233" vm="2777">
        <f ca="1"/>
        <v>150.33000000000001</v>
      </c>
      <c r="I233" vm="2778">
        <f ca="1"/>
        <v>39.322499999999998</v>
      </c>
      <c r="J233" vm="2779">
        <f ca="1"/>
        <v>61.31</v>
      </c>
      <c r="K233" vm="2780">
        <f ca="1"/>
        <v>5.2903000000000002</v>
      </c>
      <c r="L233" vm="2781">
        <f ca="1"/>
        <v>89.25</v>
      </c>
      <c r="M233" vm="2782">
        <f ca="1"/>
        <v>211.13</v>
      </c>
      <c r="N233" vm="2783">
        <f ca="1"/>
        <v>2585.64</v>
      </c>
    </row>
    <row r="234" spans="2:14" x14ac:dyDescent="0.35">
      <c r="B234" vm="2784">
        <f ca="1"/>
        <v>43056</v>
      </c>
      <c r="C234" vm="2785">
        <f ca="1"/>
        <v>51.794499999999999</v>
      </c>
      <c r="D234" vm="2786">
        <f ca="1"/>
        <v>56.494</v>
      </c>
      <c r="E234" vm="1187">
        <f ca="1"/>
        <v>39.979999999999997</v>
      </c>
      <c r="F234" vm="2787">
        <f ca="1"/>
        <v>472.8</v>
      </c>
      <c r="G234" vm="2788">
        <f ca="1"/>
        <v>140.25620000000001</v>
      </c>
      <c r="H234" vm="2789">
        <f ca="1"/>
        <v>149.02000000000001</v>
      </c>
      <c r="I234" vm="2790">
        <f ca="1"/>
        <v>39.01</v>
      </c>
      <c r="J234" vm="2791">
        <f ca="1"/>
        <v>61.96</v>
      </c>
      <c r="K234" vm="2792">
        <f ca="1"/>
        <v>5.2839999999999998</v>
      </c>
      <c r="L234" vm="2793">
        <f ca="1"/>
        <v>88.43</v>
      </c>
      <c r="M234" vm="2794">
        <f ca="1"/>
        <v>209.9</v>
      </c>
      <c r="N234" vm="2795">
        <f ca="1"/>
        <v>2578.85</v>
      </c>
    </row>
    <row r="235" spans="2:14" x14ac:dyDescent="0.35">
      <c r="B235" vm="2796">
        <f ca="1"/>
        <v>43059</v>
      </c>
      <c r="C235" vm="2797">
        <f ca="1"/>
        <v>51.732999999999997</v>
      </c>
      <c r="D235" vm="2798">
        <f ca="1"/>
        <v>56.3155</v>
      </c>
      <c r="E235" vm="2799">
        <f ca="1"/>
        <v>39.74</v>
      </c>
      <c r="F235" vm="2800">
        <f ca="1"/>
        <v>471.89</v>
      </c>
      <c r="G235" vm="2801">
        <f ca="1"/>
        <v>141.64449999999999</v>
      </c>
      <c r="H235" vm="2802">
        <f ca="1"/>
        <v>149.56</v>
      </c>
      <c r="I235" vm="2803">
        <f ca="1"/>
        <v>38.979999999999997</v>
      </c>
      <c r="J235" vm="2804">
        <f ca="1"/>
        <v>61.72</v>
      </c>
      <c r="K235" vm="2805">
        <f ca="1"/>
        <v>5.3520000000000003</v>
      </c>
      <c r="L235" vm="2806">
        <f ca="1"/>
        <v>88.27</v>
      </c>
      <c r="M235" vm="2807">
        <f ca="1"/>
        <v>210.25</v>
      </c>
      <c r="N235" vm="2808">
        <f ca="1"/>
        <v>2582.14</v>
      </c>
    </row>
    <row r="236" spans="2:14" x14ac:dyDescent="0.35">
      <c r="B236" vm="2809">
        <f ca="1"/>
        <v>43060</v>
      </c>
      <c r="C236" vm="2810">
        <f ca="1"/>
        <v>52.515000000000001</v>
      </c>
      <c r="D236" vm="2811">
        <f ca="1"/>
        <v>56.974499999999999</v>
      </c>
      <c r="E236" vm="2753">
        <f ca="1"/>
        <v>39.6</v>
      </c>
      <c r="F236" vm="2812">
        <f ca="1"/>
        <v>474.26</v>
      </c>
      <c r="G236" vm="2813">
        <f ca="1"/>
        <v>142.99449999999999</v>
      </c>
      <c r="H236" vm="2814">
        <f ca="1"/>
        <v>152.51</v>
      </c>
      <c r="I236" vm="2815">
        <f ca="1"/>
        <v>39.052500000000002</v>
      </c>
      <c r="J236" vm="2816">
        <f ca="1"/>
        <v>61.88</v>
      </c>
      <c r="K236" vm="2817">
        <f ca="1"/>
        <v>5.4013</v>
      </c>
      <c r="L236" vm="2818">
        <f ca="1"/>
        <v>88.72</v>
      </c>
      <c r="M236" vm="2610">
        <f ca="1"/>
        <v>212.6</v>
      </c>
      <c r="N236" vm="2819">
        <f ca="1"/>
        <v>2599.0300000000002</v>
      </c>
    </row>
    <row r="237" spans="2:14" x14ac:dyDescent="0.35">
      <c r="B237" vm="2820">
        <f ca="1"/>
        <v>43061</v>
      </c>
      <c r="C237" vm="2821">
        <f ca="1"/>
        <v>52.595999999999997</v>
      </c>
      <c r="D237" vm="2822">
        <f ca="1"/>
        <v>57.808</v>
      </c>
      <c r="E237" vm="2823">
        <f ca="1"/>
        <v>39.520000000000003</v>
      </c>
      <c r="F237" vm="2824">
        <f ca="1"/>
        <v>472.37</v>
      </c>
      <c r="G237" vm="2825">
        <f ca="1"/>
        <v>142.6498</v>
      </c>
      <c r="H237" vm="2826">
        <f ca="1"/>
        <v>151.25</v>
      </c>
      <c r="I237" vm="2827">
        <f ca="1"/>
        <v>38.795000000000002</v>
      </c>
      <c r="J237" vm="2828">
        <f ca="1"/>
        <v>62.14</v>
      </c>
      <c r="K237" vm="2829">
        <f ca="1"/>
        <v>5.3733000000000004</v>
      </c>
      <c r="L237" vm="344">
        <f ca="1"/>
        <v>88.33</v>
      </c>
      <c r="M237" vm="2830">
        <f ca="1"/>
        <v>211.22</v>
      </c>
      <c r="N237" vm="2831">
        <f ca="1"/>
        <v>2597.08</v>
      </c>
    </row>
    <row r="238" spans="2:14" x14ac:dyDescent="0.35">
      <c r="B238" vm="2832">
        <f ca="1"/>
        <v>43063</v>
      </c>
      <c r="C238" vm="2833">
        <f ca="1"/>
        <v>52.826000000000001</v>
      </c>
      <c r="D238" vm="2834">
        <f ca="1"/>
        <v>59.3</v>
      </c>
      <c r="E238" vm="2835">
        <f ca="1"/>
        <v>39.94</v>
      </c>
      <c r="F238" vm="2836">
        <f ca="1"/>
        <v>474.07</v>
      </c>
      <c r="G238" vm="2837">
        <f ca="1"/>
        <v>143.29130000000001</v>
      </c>
      <c r="H238" vm="2838">
        <f ca="1"/>
        <v>152.74</v>
      </c>
      <c r="I238" vm="2839">
        <f ca="1"/>
        <v>39.0075</v>
      </c>
      <c r="J238" vm="2840">
        <f ca="1"/>
        <v>61.93</v>
      </c>
      <c r="K238" vm="2841">
        <f ca="1"/>
        <v>5.4240000000000004</v>
      </c>
      <c r="L238" vm="2842">
        <f ca="1"/>
        <v>88.45</v>
      </c>
      <c r="M238" vm="2843">
        <f ca="1"/>
        <v>212.51</v>
      </c>
      <c r="N238" vm="2844">
        <f ca="1"/>
        <v>2602.42</v>
      </c>
    </row>
    <row r="239" spans="2:14" x14ac:dyDescent="0.35">
      <c r="B239" vm="2845">
        <f ca="1"/>
        <v>43066</v>
      </c>
      <c r="C239" vm="2846">
        <f ca="1"/>
        <v>53.600499999999997</v>
      </c>
      <c r="D239" vm="2847">
        <f ca="1"/>
        <v>59.791499999999999</v>
      </c>
      <c r="E239" vm="1213">
        <f ca="1"/>
        <v>40.04</v>
      </c>
      <c r="F239" vm="2848">
        <f ca="1"/>
        <v>478.92</v>
      </c>
      <c r="G239" vm="2849">
        <f ca="1"/>
        <v>144.02850000000001</v>
      </c>
      <c r="H239" vm="2850">
        <f ca="1"/>
        <v>152.97</v>
      </c>
      <c r="I239" vm="2851">
        <f ca="1"/>
        <v>39.25</v>
      </c>
      <c r="J239" vm="2852">
        <f ca="1"/>
        <v>61.36</v>
      </c>
      <c r="K239" vm="2853">
        <f ca="1"/>
        <v>5.3535000000000004</v>
      </c>
      <c r="L239" vm="2854">
        <f ca="1"/>
        <v>88.96</v>
      </c>
      <c r="M239" vm="2855">
        <f ca="1"/>
        <v>212.4</v>
      </c>
      <c r="N239" vm="2856">
        <f ca="1"/>
        <v>2601.42</v>
      </c>
    </row>
    <row r="240" spans="2:14" x14ac:dyDescent="0.35">
      <c r="B240" vm="2857">
        <f ca="1"/>
        <v>43067</v>
      </c>
      <c r="C240" vm="2858">
        <f ca="1"/>
        <v>53.164499999999997</v>
      </c>
      <c r="D240" vm="2859">
        <f ca="1"/>
        <v>59.68</v>
      </c>
      <c r="E240" vm="2860">
        <f ca="1"/>
        <v>39.58</v>
      </c>
      <c r="F240" vm="2861">
        <f ca="1"/>
        <v>477.95</v>
      </c>
      <c r="G240" vm="2862">
        <f ca="1"/>
        <v>146.2594</v>
      </c>
      <c r="H240" vm="2863">
        <f ca="1"/>
        <v>154.19</v>
      </c>
      <c r="I240" vm="2864">
        <f ca="1"/>
        <v>39.447499999999998</v>
      </c>
      <c r="J240" vm="2865">
        <f ca="1"/>
        <v>62.29</v>
      </c>
      <c r="K240" vm="2866">
        <f ca="1"/>
        <v>5.2678000000000003</v>
      </c>
      <c r="L240" vm="839">
        <f ca="1"/>
        <v>89.4</v>
      </c>
      <c r="M240" vm="2867">
        <f ca="1"/>
        <v>216.14</v>
      </c>
      <c r="N240" vm="2868">
        <f ca="1"/>
        <v>2627.04</v>
      </c>
    </row>
    <row r="241" spans="2:14" x14ac:dyDescent="0.35">
      <c r="B241" vm="2869">
        <f ca="1"/>
        <v>43068</v>
      </c>
      <c r="C241" vm="2870">
        <f ca="1"/>
        <v>51.869</v>
      </c>
      <c r="D241" vm="2871">
        <f ca="1"/>
        <v>58.063499999999998</v>
      </c>
      <c r="E241" vm="2872">
        <f ca="1"/>
        <v>39.56</v>
      </c>
      <c r="F241" vm="2873">
        <f ca="1"/>
        <v>468.32</v>
      </c>
      <c r="G241" vm="2874">
        <f ca="1"/>
        <v>146.71889999999999</v>
      </c>
      <c r="H241" vm="2875">
        <f ca="1"/>
        <v>148.35</v>
      </c>
      <c r="I241" vm="2876">
        <f ca="1"/>
        <v>39.442500000000003</v>
      </c>
      <c r="J241" vm="2877">
        <f ca="1"/>
        <v>62.15</v>
      </c>
      <c r="K241" vm="2878">
        <f ca="1"/>
        <v>4.9104999999999999</v>
      </c>
      <c r="L241" vm="1449">
        <f ca="1"/>
        <v>89.38</v>
      </c>
      <c r="M241" vm="2879">
        <f ca="1"/>
        <v>222.88</v>
      </c>
      <c r="N241" vm="2880">
        <f ca="1"/>
        <v>2626.07</v>
      </c>
    </row>
    <row r="242" spans="2:14" x14ac:dyDescent="0.35">
      <c r="B242" vm="2881">
        <f ca="1"/>
        <v>43069</v>
      </c>
      <c r="C242" vm="2882">
        <f ca="1"/>
        <v>51.808500000000002</v>
      </c>
      <c r="D242" vm="2883">
        <f ca="1"/>
        <v>58.837499999999999</v>
      </c>
      <c r="E242" vm="2884">
        <f ca="1"/>
        <v>39.909999999999997</v>
      </c>
      <c r="F242" vm="2885">
        <f ca="1"/>
        <v>464.49</v>
      </c>
      <c r="G242" vm="2886">
        <f ca="1"/>
        <v>149.32320000000001</v>
      </c>
      <c r="H242" vm="2887">
        <f ca="1"/>
        <v>150.47</v>
      </c>
      <c r="I242" vm="2108">
        <f ca="1"/>
        <v>39.51</v>
      </c>
      <c r="J242" vm="2888">
        <f ca="1"/>
        <v>62.85</v>
      </c>
      <c r="K242" vm="2889">
        <f ca="1"/>
        <v>5.0178000000000003</v>
      </c>
      <c r="L242" vm="2890">
        <f ca="1"/>
        <v>89.99</v>
      </c>
      <c r="M242" vm="2891">
        <f ca="1"/>
        <v>228.17</v>
      </c>
      <c r="N242" vm="2892">
        <f ca="1"/>
        <v>2647.58</v>
      </c>
    </row>
    <row r="243" spans="2:14" x14ac:dyDescent="0.35">
      <c r="B243" vm="2893">
        <f ca="1"/>
        <v>43070</v>
      </c>
      <c r="C243" vm="2894">
        <f ca="1"/>
        <v>51.253500000000003</v>
      </c>
      <c r="D243" vm="2895">
        <f ca="1"/>
        <v>58.1175</v>
      </c>
      <c r="E243" vm="2799">
        <f ca="1"/>
        <v>39.74</v>
      </c>
      <c r="F243" vm="2896">
        <f ca="1"/>
        <v>469.16</v>
      </c>
      <c r="G243" vm="2897">
        <f ca="1"/>
        <v>147.8296</v>
      </c>
      <c r="H243" vm="2740">
        <f ca="1"/>
        <v>149.69</v>
      </c>
      <c r="I243" vm="2898">
        <f ca="1"/>
        <v>39.3675</v>
      </c>
      <c r="J243" vm="2899">
        <f ca="1"/>
        <v>64.73</v>
      </c>
      <c r="K243" vm="2900">
        <f ca="1"/>
        <v>4.9420000000000002</v>
      </c>
      <c r="L243" vm="2901">
        <f ca="1"/>
        <v>90.36</v>
      </c>
      <c r="M243" vm="2902">
        <f ca="1"/>
        <v>226.78</v>
      </c>
      <c r="N243" vm="2903">
        <f ca="1"/>
        <v>2642.22</v>
      </c>
    </row>
    <row r="244" spans="2:14" x14ac:dyDescent="0.35">
      <c r="B244" vm="2904">
        <f ca="1"/>
        <v>43073</v>
      </c>
      <c r="C244" vm="2905">
        <f ca="1"/>
        <v>50.593499999999999</v>
      </c>
      <c r="D244" vm="2906">
        <f ca="1"/>
        <v>56.697499999999998</v>
      </c>
      <c r="E244" vm="2907">
        <f ca="1"/>
        <v>40.65</v>
      </c>
      <c r="F244" vm="2908">
        <f ca="1"/>
        <v>442.28</v>
      </c>
      <c r="G244" vm="2909">
        <f ca="1"/>
        <v>147.22640000000001</v>
      </c>
      <c r="H244" vm="2910">
        <f ca="1"/>
        <v>143.43</v>
      </c>
      <c r="I244" vm="2911">
        <f ca="1"/>
        <v>38.9925</v>
      </c>
      <c r="J244" vm="2912">
        <f ca="1"/>
        <v>64.599999999999994</v>
      </c>
      <c r="K244" vm="2913">
        <f ca="1"/>
        <v>4.6665000000000001</v>
      </c>
      <c r="L244" vm="2914">
        <f ca="1"/>
        <v>91.41</v>
      </c>
      <c r="M244" vm="2915">
        <f ca="1"/>
        <v>221.42</v>
      </c>
      <c r="N244" vm="2916">
        <f ca="1"/>
        <v>2639.44</v>
      </c>
    </row>
    <row r="245" spans="2:14" x14ac:dyDescent="0.35">
      <c r="B245" vm="2917">
        <f ca="1"/>
        <v>43074</v>
      </c>
      <c r="C245" vm="2918">
        <f ca="1"/>
        <v>50.98</v>
      </c>
      <c r="D245" vm="2919">
        <f ca="1"/>
        <v>57.078499999999998</v>
      </c>
      <c r="E245" vm="2920">
        <f ca="1"/>
        <v>40.79</v>
      </c>
      <c r="F245" vm="2921">
        <f ca="1"/>
        <v>445.59</v>
      </c>
      <c r="G245" vm="2922">
        <f ca="1"/>
        <v>146.54660000000001</v>
      </c>
      <c r="H245" vm="2923">
        <f ca="1"/>
        <v>145.13</v>
      </c>
      <c r="I245" vm="2924">
        <f ca="1"/>
        <v>38.909999999999997</v>
      </c>
      <c r="J245" vm="2088">
        <f ca="1"/>
        <v>63.45</v>
      </c>
      <c r="K245" vm="2925">
        <f ca="1"/>
        <v>4.6935000000000002</v>
      </c>
      <c r="L245" vm="646">
        <f ca="1"/>
        <v>91.4</v>
      </c>
      <c r="M245" vm="2926">
        <f ca="1"/>
        <v>220.09</v>
      </c>
      <c r="N245" vm="2927">
        <f ca="1"/>
        <v>2629.57</v>
      </c>
    </row>
    <row r="246" spans="2:14" x14ac:dyDescent="0.35">
      <c r="B246" vm="2928">
        <f ca="1"/>
        <v>43075</v>
      </c>
      <c r="C246" vm="2929">
        <f ca="1"/>
        <v>51.636000000000003</v>
      </c>
      <c r="D246" vm="2930">
        <f ca="1"/>
        <v>57.6175</v>
      </c>
      <c r="E246" vm="2287">
        <f ca="1"/>
        <v>40.799999999999997</v>
      </c>
      <c r="F246" vm="2931">
        <f ca="1"/>
        <v>450.24</v>
      </c>
      <c r="G246" vm="2932">
        <f ca="1"/>
        <v>146.48920000000001</v>
      </c>
      <c r="H246" vm="2933">
        <f ca="1"/>
        <v>147.41999999999999</v>
      </c>
      <c r="I246" vm="2934">
        <f ca="1"/>
        <v>39.445</v>
      </c>
      <c r="J246" vm="2935">
        <f ca="1"/>
        <v>62.07</v>
      </c>
      <c r="K246" vm="2936">
        <f ca="1"/>
        <v>4.7314999999999996</v>
      </c>
      <c r="L246" vm="2937">
        <f ca="1"/>
        <v>91.25</v>
      </c>
      <c r="M246" vm="2938">
        <f ca="1"/>
        <v>219.94</v>
      </c>
      <c r="N246" vm="2939">
        <f ca="1"/>
        <v>2629.27</v>
      </c>
    </row>
    <row r="247" spans="2:14" x14ac:dyDescent="0.35">
      <c r="B247" vm="2940">
        <f ca="1"/>
        <v>43076</v>
      </c>
      <c r="C247" vm="2941">
        <f ca="1"/>
        <v>52.228499999999997</v>
      </c>
      <c r="D247" vm="2942">
        <f ca="1"/>
        <v>57.9895</v>
      </c>
      <c r="E247" vm="2312">
        <f ca="1"/>
        <v>40.81</v>
      </c>
      <c r="F247" vm="2943">
        <f ca="1"/>
        <v>455.77</v>
      </c>
      <c r="G247" vm="2944">
        <f ca="1"/>
        <v>146.75720000000001</v>
      </c>
      <c r="H247" vm="2945">
        <f ca="1"/>
        <v>149.44999999999999</v>
      </c>
      <c r="I247" vm="2946">
        <f ca="1"/>
        <v>39.545000000000002</v>
      </c>
      <c r="J247" vm="2935">
        <f ca="1"/>
        <v>62.07</v>
      </c>
      <c r="K247" vm="2947">
        <f ca="1"/>
        <v>4.7998000000000003</v>
      </c>
      <c r="L247" vm="2948">
        <f ca="1"/>
        <v>90.1</v>
      </c>
      <c r="M247" vm="2949">
        <f ca="1"/>
        <v>220.15</v>
      </c>
      <c r="N247" vm="2950">
        <f ca="1"/>
        <v>2636.98</v>
      </c>
    </row>
    <row r="248" spans="2:14" x14ac:dyDescent="0.35">
      <c r="B248" vm="2951">
        <f ca="1"/>
        <v>43077</v>
      </c>
      <c r="C248" vm="2952">
        <f ca="1"/>
        <v>52.469000000000001</v>
      </c>
      <c r="D248" vm="2953">
        <f ca="1"/>
        <v>58.1</v>
      </c>
      <c r="E248" vm="2753">
        <f ca="1"/>
        <v>39.6</v>
      </c>
      <c r="F248" vm="2954">
        <f ca="1"/>
        <v>452.39</v>
      </c>
      <c r="G248" vm="2955">
        <f ca="1"/>
        <v>147.12110000000001</v>
      </c>
      <c r="H248" vm="2956">
        <f ca="1"/>
        <v>149.88999999999999</v>
      </c>
      <c r="I248" vm="2957">
        <f ca="1"/>
        <v>39.7575</v>
      </c>
      <c r="J248" vm="2958">
        <f ca="1"/>
        <v>63.54</v>
      </c>
      <c r="K248" vm="2959">
        <f ca="1"/>
        <v>4.7873000000000001</v>
      </c>
      <c r="L248" vm="557">
        <f ca="1"/>
        <v>90.37</v>
      </c>
      <c r="M248" vm="2960">
        <f ca="1"/>
        <v>223.91</v>
      </c>
      <c r="N248" vm="2961">
        <f ca="1"/>
        <v>2651.5</v>
      </c>
    </row>
    <row r="249" spans="2:14" x14ac:dyDescent="0.35">
      <c r="B249" vm="2962">
        <f ca="1"/>
        <v>43080</v>
      </c>
      <c r="C249" vm="2963">
        <f ca="1"/>
        <v>52.598500000000001</v>
      </c>
      <c r="D249" vm="2964">
        <f ca="1"/>
        <v>58.445999999999998</v>
      </c>
      <c r="E249" vm="2753">
        <f ca="1"/>
        <v>39.6</v>
      </c>
      <c r="F249" vm="2965">
        <f ca="1"/>
        <v>449.58</v>
      </c>
      <c r="G249" vm="2966">
        <f ca="1"/>
        <v>146.6902</v>
      </c>
      <c r="H249" vm="2967">
        <f ca="1"/>
        <v>150.88</v>
      </c>
      <c r="I249" vm="2968">
        <f ca="1"/>
        <v>39.8125</v>
      </c>
      <c r="J249" vm="2969">
        <f ca="1"/>
        <v>64.56</v>
      </c>
      <c r="K249" vm="2970">
        <f ca="1"/>
        <v>4.8665000000000003</v>
      </c>
      <c r="L249" vm="2971">
        <f ca="1"/>
        <v>90.23</v>
      </c>
      <c r="M249" vm="2972">
        <f ca="1"/>
        <v>222.77</v>
      </c>
      <c r="N249" vm="2973">
        <f ca="1"/>
        <v>2659.99</v>
      </c>
    </row>
    <row r="250" spans="2:14" x14ac:dyDescent="0.35">
      <c r="B250" vm="2974">
        <f ca="1"/>
        <v>43081</v>
      </c>
      <c r="C250" vm="2975">
        <f ca="1"/>
        <v>52.438499999999998</v>
      </c>
      <c r="D250" vm="2976">
        <f ca="1"/>
        <v>58.253999999999998</v>
      </c>
      <c r="E250" vm="2977">
        <f ca="1"/>
        <v>38.89</v>
      </c>
      <c r="F250" vm="2978">
        <f ca="1"/>
        <v>450.21</v>
      </c>
      <c r="G250" vm="2979">
        <f ca="1"/>
        <v>147.1977</v>
      </c>
      <c r="H250" vm="2980">
        <f ca="1"/>
        <v>152.5</v>
      </c>
      <c r="I250" vm="2981">
        <f ca="1"/>
        <v>39.267499999999998</v>
      </c>
      <c r="J250" vm="2982">
        <f ca="1"/>
        <v>64.180000000000007</v>
      </c>
      <c r="K250" vm="2983">
        <f ca="1"/>
        <v>4.7709999999999999</v>
      </c>
      <c r="L250" vm="792">
        <f ca="1"/>
        <v>89.85</v>
      </c>
      <c r="M250" vm="2984">
        <f ca="1"/>
        <v>222.49</v>
      </c>
      <c r="N250" vm="2985">
        <f ca="1"/>
        <v>2664.11</v>
      </c>
    </row>
    <row r="251" spans="2:14" x14ac:dyDescent="0.35">
      <c r="B251" vm="2986">
        <f ca="1"/>
        <v>43082</v>
      </c>
      <c r="C251" vm="2987">
        <f ca="1"/>
        <v>52.569499999999998</v>
      </c>
      <c r="D251" vm="2988">
        <f ca="1"/>
        <v>58.206499999999998</v>
      </c>
      <c r="E251" vm="2989">
        <f ca="1"/>
        <v>38.64</v>
      </c>
      <c r="F251" vm="2990">
        <f ca="1"/>
        <v>451.28</v>
      </c>
      <c r="G251" vm="2991">
        <f ca="1"/>
        <v>149.16999999999999</v>
      </c>
      <c r="H251" vm="2992">
        <f ca="1"/>
        <v>151.69</v>
      </c>
      <c r="I251" vm="2993">
        <f ca="1"/>
        <v>39.1175</v>
      </c>
      <c r="J251" vm="2994">
        <f ca="1"/>
        <v>63.3</v>
      </c>
      <c r="K251" vm="2995">
        <f ca="1"/>
        <v>4.6544999999999996</v>
      </c>
      <c r="L251" vm="2996">
        <f ca="1"/>
        <v>90.88</v>
      </c>
      <c r="M251" vm="2997">
        <f ca="1"/>
        <v>224.35</v>
      </c>
      <c r="N251" vm="2998">
        <f ca="1"/>
        <v>2662.85</v>
      </c>
    </row>
    <row r="252" spans="2:14" x14ac:dyDescent="0.35">
      <c r="B252" vm="2999">
        <f ca="1"/>
        <v>43083</v>
      </c>
      <c r="C252" vm="3000">
        <f ca="1"/>
        <v>52.8735</v>
      </c>
      <c r="D252" vm="3001">
        <f ca="1"/>
        <v>58.713000000000001</v>
      </c>
      <c r="E252" vm="3002">
        <f ca="1"/>
        <v>38.29</v>
      </c>
      <c r="F252" vm="3003">
        <f ca="1"/>
        <v>460.35</v>
      </c>
      <c r="G252" vm="3004">
        <f ca="1"/>
        <v>146.70939999999999</v>
      </c>
      <c r="H252" vm="3005">
        <f ca="1"/>
        <v>151.93</v>
      </c>
      <c r="I252" vm="3006">
        <f ca="1"/>
        <v>39.494999999999997</v>
      </c>
      <c r="J252" vm="3007">
        <f ca="1"/>
        <v>62.37</v>
      </c>
      <c r="K252" vm="3008">
        <f ca="1"/>
        <v>4.6618000000000004</v>
      </c>
      <c r="L252" vm="633">
        <f ca="1"/>
        <v>91</v>
      </c>
      <c r="M252" vm="3009">
        <f ca="1"/>
        <v>221.25</v>
      </c>
      <c r="N252" vm="3010">
        <f ca="1"/>
        <v>2652.01</v>
      </c>
    </row>
    <row r="253" spans="2:14" x14ac:dyDescent="0.35">
      <c r="B253" vm="3011">
        <f ca="1"/>
        <v>43084</v>
      </c>
      <c r="C253" vm="3012">
        <f ca="1"/>
        <v>53.6</v>
      </c>
      <c r="D253" vm="3013">
        <f ca="1"/>
        <v>58.957000000000001</v>
      </c>
      <c r="E253" vm="3014">
        <f ca="1"/>
        <v>39.4</v>
      </c>
      <c r="F253" vm="3015">
        <f ca="1"/>
        <v>457.85</v>
      </c>
      <c r="G253" vm="3016">
        <f ca="1"/>
        <v>147.68600000000001</v>
      </c>
      <c r="H253" vm="3017">
        <f ca="1"/>
        <v>153.4</v>
      </c>
      <c r="I253" vm="3018">
        <f ca="1"/>
        <v>39.607500000000002</v>
      </c>
      <c r="J253" vm="3019">
        <f ca="1"/>
        <v>62.09</v>
      </c>
      <c r="K253" vm="3020">
        <f ca="1"/>
        <v>4.7889999999999997</v>
      </c>
      <c r="L253" vm="3021">
        <f ca="1"/>
        <v>91.89</v>
      </c>
      <c r="M253" vm="3022">
        <f ca="1"/>
        <v>221.82</v>
      </c>
      <c r="N253" vm="3023">
        <f ca="1"/>
        <v>2675.81</v>
      </c>
    </row>
    <row r="254" spans="2:14" x14ac:dyDescent="0.35">
      <c r="B254" vm="3024">
        <f ca="1"/>
        <v>43087</v>
      </c>
      <c r="C254" vm="3025">
        <f ca="1"/>
        <v>54.2545</v>
      </c>
      <c r="D254" vm="3026">
        <f ca="1"/>
        <v>59.529000000000003</v>
      </c>
      <c r="E254" vm="3027">
        <f ca="1"/>
        <v>38.53</v>
      </c>
      <c r="F254" vm="3028">
        <f ca="1"/>
        <v>455.82</v>
      </c>
      <c r="G254" vm="3029">
        <f ca="1"/>
        <v>148.01150000000001</v>
      </c>
      <c r="H254" vm="3030">
        <f ca="1"/>
        <v>153.12</v>
      </c>
      <c r="I254" vm="3031">
        <f ca="1"/>
        <v>39.087499999999999</v>
      </c>
      <c r="J254" vm="3032">
        <f ca="1"/>
        <v>63.6</v>
      </c>
      <c r="K254" vm="3033">
        <f ca="1"/>
        <v>4.9474999999999998</v>
      </c>
      <c r="L254" vm="3034">
        <f ca="1"/>
        <v>91.88</v>
      </c>
      <c r="M254" vm="3035">
        <f ca="1"/>
        <v>222.67</v>
      </c>
      <c r="N254" vm="3036">
        <f ca="1"/>
        <v>2690.16</v>
      </c>
    </row>
    <row r="255" spans="2:14" x14ac:dyDescent="0.35">
      <c r="B255" vm="3037">
        <f ca="1"/>
        <v>43088</v>
      </c>
      <c r="C255" vm="3038">
        <f ca="1"/>
        <v>53.988999999999997</v>
      </c>
      <c r="D255" vm="3039">
        <f ca="1"/>
        <v>59.369</v>
      </c>
      <c r="E255" vm="3040">
        <f ca="1"/>
        <v>38.26</v>
      </c>
      <c r="F255" vm="3041">
        <f ca="1"/>
        <v>448.52</v>
      </c>
      <c r="G255" vm="3042">
        <f ca="1"/>
        <v>147.55189999999999</v>
      </c>
      <c r="H255" vm="3043">
        <f ca="1"/>
        <v>151.68</v>
      </c>
      <c r="I255" vm="105">
        <f ca="1"/>
        <v>38.524999999999999</v>
      </c>
      <c r="J255" vm="3044">
        <f ca="1"/>
        <v>64.39</v>
      </c>
      <c r="K255" vm="3045">
        <f ca="1"/>
        <v>4.9028</v>
      </c>
      <c r="L255" vm="3046">
        <f ca="1"/>
        <v>91.68</v>
      </c>
      <c r="M255" vm="3047">
        <f ca="1"/>
        <v>222.04</v>
      </c>
      <c r="N255" vm="3048">
        <f ca="1"/>
        <v>2681.47</v>
      </c>
    </row>
    <row r="256" spans="2:14" x14ac:dyDescent="0.35">
      <c r="B256" vm="3049">
        <f ca="1"/>
        <v>43089</v>
      </c>
      <c r="C256" vm="3050">
        <f ca="1"/>
        <v>53.677999999999997</v>
      </c>
      <c r="D256" vm="3051">
        <f ca="1"/>
        <v>58.881</v>
      </c>
      <c r="E256" vm="67">
        <f ca="1"/>
        <v>37.99</v>
      </c>
      <c r="F256" vm="3052">
        <f ca="1"/>
        <v>447.2</v>
      </c>
      <c r="G256" vm="3053">
        <f ca="1"/>
        <v>148.1455</v>
      </c>
      <c r="H256" vm="3054">
        <f ca="1"/>
        <v>151.44999999999999</v>
      </c>
      <c r="I256" vm="3055">
        <f ca="1"/>
        <v>38.409999999999997</v>
      </c>
      <c r="J256" vm="3056">
        <f ca="1"/>
        <v>65.28</v>
      </c>
      <c r="K256" vm="3057">
        <f ca="1"/>
        <v>4.92</v>
      </c>
      <c r="L256" vm="3058">
        <f ca="1"/>
        <v>91.53</v>
      </c>
      <c r="M256" vm="3059">
        <f ca="1"/>
        <v>222.38</v>
      </c>
      <c r="N256" vm="3060">
        <f ca="1"/>
        <v>2679.25</v>
      </c>
    </row>
    <row r="257" spans="2:14" x14ac:dyDescent="0.35">
      <c r="B257" vm="3061">
        <f ca="1"/>
        <v>43090</v>
      </c>
      <c r="C257" vm="3062">
        <f ca="1"/>
        <v>53.542499999999997</v>
      </c>
      <c r="D257" vm="3063">
        <f ca="1"/>
        <v>58.738</v>
      </c>
      <c r="E257" vm="3064">
        <f ca="1"/>
        <v>37.630000000000003</v>
      </c>
      <c r="F257" vm="3065">
        <f ca="1"/>
        <v>445.89</v>
      </c>
      <c r="G257" vm="3066">
        <f ca="1"/>
        <v>147.17850000000001</v>
      </c>
      <c r="H257" vm="3067">
        <f ca="1"/>
        <v>150.53</v>
      </c>
      <c r="I257" vm="3068">
        <f ca="1"/>
        <v>38.619999999999997</v>
      </c>
      <c r="J257" vm="3069">
        <f ca="1"/>
        <v>67.86</v>
      </c>
      <c r="K257" vm="3070">
        <f ca="1"/>
        <v>4.8973000000000004</v>
      </c>
      <c r="L257" vm="443">
        <f ca="1"/>
        <v>91.67</v>
      </c>
      <c r="M257" vm="3071">
        <f ca="1"/>
        <v>221.69</v>
      </c>
      <c r="N257" vm="3072">
        <f ca="1"/>
        <v>2684.57</v>
      </c>
    </row>
    <row r="258" spans="2:14" x14ac:dyDescent="0.35">
      <c r="B258" vm="3073">
        <f ca="1"/>
        <v>43091</v>
      </c>
      <c r="C258" vm="3074">
        <f ca="1"/>
        <v>53.442999999999998</v>
      </c>
      <c r="D258" vm="3075">
        <f ca="1"/>
        <v>58.417999999999999</v>
      </c>
      <c r="E258" vm="3076">
        <f ca="1"/>
        <v>37.97</v>
      </c>
      <c r="F258" vm="3077">
        <f ca="1"/>
        <v>446.6</v>
      </c>
      <c r="G258" vm="3078">
        <f ca="1"/>
        <v>146.95830000000001</v>
      </c>
      <c r="H258" vm="3079">
        <f ca="1"/>
        <v>150.85</v>
      </c>
      <c r="I258" vm="3080">
        <f ca="1"/>
        <v>38.634999999999998</v>
      </c>
      <c r="J258" vm="1739">
        <f ca="1"/>
        <v>67.44</v>
      </c>
      <c r="K258" vm="3081">
        <f ca="1"/>
        <v>4.8818000000000001</v>
      </c>
      <c r="L258" vm="3082">
        <f ca="1"/>
        <v>92.13</v>
      </c>
      <c r="M258" vm="3083">
        <f ca="1"/>
        <v>220</v>
      </c>
      <c r="N258" vm="3084">
        <f ca="1"/>
        <v>2683.34</v>
      </c>
    </row>
    <row r="259" spans="2:14" x14ac:dyDescent="0.35">
      <c r="B259" vm="3085">
        <f ca="1"/>
        <v>43095</v>
      </c>
      <c r="C259" vm="3086">
        <f ca="1"/>
        <v>53.292499999999997</v>
      </c>
      <c r="D259" vm="3087">
        <f ca="1"/>
        <v>58.838000000000001</v>
      </c>
      <c r="E259" vm="3088">
        <f ca="1"/>
        <v>37.6</v>
      </c>
      <c r="F259" vm="3089">
        <f ca="1"/>
        <v>446.7</v>
      </c>
      <c r="G259" vm="3090">
        <f ca="1"/>
        <v>147.21680000000001</v>
      </c>
      <c r="H259" vm="3091">
        <f ca="1"/>
        <v>151.28</v>
      </c>
      <c r="I259" vm="3092">
        <f ca="1"/>
        <v>38.5</v>
      </c>
      <c r="J259" vm="3093">
        <f ca="1"/>
        <v>67.61</v>
      </c>
      <c r="K259" vm="3094">
        <f ca="1"/>
        <v>4.9359999999999999</v>
      </c>
      <c r="L259" vm="3095">
        <f ca="1"/>
        <v>92.48</v>
      </c>
      <c r="M259" vm="3096">
        <f ca="1"/>
        <v>219.6</v>
      </c>
      <c r="N259" vm="3097">
        <f ca="1"/>
        <v>2680.5</v>
      </c>
    </row>
    <row r="260" spans="2:14" x14ac:dyDescent="0.35">
      <c r="B260" vm="3098">
        <f ca="1"/>
        <v>43096</v>
      </c>
      <c r="C260" vm="3099">
        <f ca="1"/>
        <v>53.01</v>
      </c>
      <c r="D260" vm="3100">
        <f ca="1"/>
        <v>59.113</v>
      </c>
      <c r="E260" vm="664">
        <f ca="1"/>
        <v>37.56</v>
      </c>
      <c r="F260" vm="3101">
        <f ca="1"/>
        <v>451.69</v>
      </c>
      <c r="G260" vm="3102">
        <f ca="1"/>
        <v>147.39869999999999</v>
      </c>
      <c r="H260" vm="3103">
        <f ca="1"/>
        <v>151.4</v>
      </c>
      <c r="I260" vm="3104">
        <f ca="1"/>
        <v>38.822499999999998</v>
      </c>
      <c r="J260" vm="3105">
        <f ca="1"/>
        <v>67.92</v>
      </c>
      <c r="K260" vm="3106">
        <f ca="1"/>
        <v>4.9292999999999996</v>
      </c>
      <c r="L260" vm="3107">
        <f ca="1"/>
        <v>92.1</v>
      </c>
      <c r="M260" vm="3108">
        <f ca="1"/>
        <v>220.42</v>
      </c>
      <c r="N260" vm="3109">
        <f ca="1"/>
        <v>2682.62</v>
      </c>
    </row>
    <row r="261" spans="2:14" x14ac:dyDescent="0.35">
      <c r="B261" vm="3110">
        <f ca="1"/>
        <v>43097</v>
      </c>
      <c r="C261" vm="3111">
        <f ca="1"/>
        <v>52.797499999999999</v>
      </c>
      <c r="D261" vm="3112">
        <f ca="1"/>
        <v>59.305</v>
      </c>
      <c r="E261" vm="3113">
        <f ca="1"/>
        <v>37.92</v>
      </c>
      <c r="F261" vm="3114">
        <f ca="1"/>
        <v>455.11</v>
      </c>
      <c r="G261" vm="3115">
        <f ca="1"/>
        <v>147.5711</v>
      </c>
      <c r="H261" vm="3116">
        <f ca="1"/>
        <v>151.77000000000001</v>
      </c>
      <c r="I261" vm="3031">
        <f ca="1"/>
        <v>39.087499999999999</v>
      </c>
      <c r="J261" vm="3117">
        <f ca="1"/>
        <v>67.459999999999994</v>
      </c>
      <c r="K261" vm="3118">
        <f ca="1"/>
        <v>4.9349999999999996</v>
      </c>
      <c r="L261" vm="2001">
        <f ca="1"/>
        <v>92.07</v>
      </c>
      <c r="M261" vm="2972">
        <f ca="1"/>
        <v>222.77</v>
      </c>
      <c r="N261" vm="3119">
        <f ca="1"/>
        <v>2687.54</v>
      </c>
    </row>
    <row r="262" spans="2:14" x14ac:dyDescent="0.35">
      <c r="B262" vm="3120">
        <f ca="1"/>
        <v>43098</v>
      </c>
      <c r="C262" vm="3121">
        <f ca="1"/>
        <v>52.67</v>
      </c>
      <c r="D262" vm="3122">
        <f ca="1"/>
        <v>58.473500000000001</v>
      </c>
      <c r="E262" vm="2192">
        <f ca="1"/>
        <v>37.85</v>
      </c>
      <c r="F262" vm="3123">
        <f ca="1"/>
        <v>453.22</v>
      </c>
      <c r="G262" vm="3124">
        <f ca="1"/>
        <v>146.8338</v>
      </c>
      <c r="H262" vm="3125">
        <f ca="1"/>
        <v>151.36000000000001</v>
      </c>
      <c r="I262" vm="3126">
        <f ca="1"/>
        <v>39.047499999999999</v>
      </c>
      <c r="J262" vm="3127">
        <f ca="1"/>
        <v>67.39</v>
      </c>
      <c r="K262" vm="3128">
        <f ca="1"/>
        <v>4.8375000000000004</v>
      </c>
      <c r="L262" vm="3034">
        <f ca="1"/>
        <v>91.88</v>
      </c>
      <c r="M262" vm="3129">
        <f ca="1"/>
        <v>220.46</v>
      </c>
      <c r="N262" vm="3130">
        <f ca="1"/>
        <v>2673.61</v>
      </c>
    </row>
    <row r="263" spans="2:14" x14ac:dyDescent="0.35">
      <c r="B263" vm="3131">
        <f ca="1"/>
        <v>43102</v>
      </c>
      <c r="C263" vm="3132">
        <f ca="1"/>
        <v>53.660499999999999</v>
      </c>
      <c r="D263" vm="3133">
        <f ca="1"/>
        <v>59.450499999999998</v>
      </c>
      <c r="E263" vm="3134">
        <f ca="1"/>
        <v>38.630000000000003</v>
      </c>
      <c r="F263" vm="3135">
        <f ca="1"/>
        <v>446.92</v>
      </c>
      <c r="G263" vm="3136">
        <f ca="1"/>
        <v>147.16890000000001</v>
      </c>
      <c r="H263" vm="3137">
        <f ca="1"/>
        <v>151.91</v>
      </c>
      <c r="I263" vm="3138">
        <f ca="1"/>
        <v>38.772500000000001</v>
      </c>
      <c r="J263" vm="3139">
        <f ca="1"/>
        <v>69.52</v>
      </c>
      <c r="K263" vm="3140">
        <f ca="1"/>
        <v>4.9837999999999996</v>
      </c>
      <c r="L263" vm="3141">
        <f ca="1"/>
        <v>90.65</v>
      </c>
      <c r="M263" vm="3142">
        <f ca="1"/>
        <v>221.16</v>
      </c>
      <c r="N263" vm="3143">
        <f ca="1"/>
        <v>2695.81</v>
      </c>
    </row>
    <row r="264" spans="2:14" x14ac:dyDescent="0.35">
      <c r="B264" vm="3144">
        <f ca="1"/>
        <v>43103</v>
      </c>
      <c r="C264" vm="3145">
        <f ca="1"/>
        <v>54.576000000000001</v>
      </c>
      <c r="D264" vm="3146">
        <f ca="1"/>
        <v>60.21</v>
      </c>
      <c r="E264" vm="3027">
        <f ca="1"/>
        <v>38.53</v>
      </c>
      <c r="F264" vm="3147">
        <f ca="1"/>
        <v>448.98</v>
      </c>
      <c r="G264" vm="3148">
        <f ca="1"/>
        <v>145.953</v>
      </c>
      <c r="H264" vm="3149">
        <f ca="1"/>
        <v>153.82</v>
      </c>
      <c r="I264" vm="3150">
        <f ca="1"/>
        <v>37.950000000000003</v>
      </c>
      <c r="J264" vm="3151">
        <f ca="1"/>
        <v>71.33</v>
      </c>
      <c r="K264" vm="3152">
        <f ca="1"/>
        <v>5.3117999999999999</v>
      </c>
      <c r="L264" vm="3153">
        <f ca="1"/>
        <v>90.54</v>
      </c>
      <c r="M264" vm="3154">
        <f ca="1"/>
        <v>223.48</v>
      </c>
      <c r="N264" vm="3155">
        <f ca="1"/>
        <v>2713.06</v>
      </c>
    </row>
    <row r="265" spans="2:14" x14ac:dyDescent="0.35">
      <c r="B265" vm="3156">
        <f ca="1"/>
        <v>43104</v>
      </c>
      <c r="C265" vm="3157">
        <f ca="1"/>
        <v>54.787999999999997</v>
      </c>
      <c r="D265" vm="3158">
        <f ca="1"/>
        <v>60.479500000000002</v>
      </c>
      <c r="E265" vm="3159">
        <f ca="1"/>
        <v>38.35</v>
      </c>
      <c r="F265" vm="3160">
        <f ca="1"/>
        <v>447.95</v>
      </c>
      <c r="G265" vm="3161">
        <f ca="1"/>
        <v>147.92529999999999</v>
      </c>
      <c r="H265" vm="3162">
        <f ca="1"/>
        <v>155.81</v>
      </c>
      <c r="I265" vm="3163">
        <f ca="1"/>
        <v>37.755000000000003</v>
      </c>
      <c r="J265" vm="3164">
        <f ca="1"/>
        <v>73.099999999999994</v>
      </c>
      <c r="K265" vm="3165">
        <f ca="1"/>
        <v>5.3398000000000003</v>
      </c>
      <c r="L265" vm="3166">
        <f ca="1"/>
        <v>91.18</v>
      </c>
      <c r="M265" vm="3167">
        <f ca="1"/>
        <v>224.45</v>
      </c>
      <c r="N265" vm="3168">
        <f ca="1"/>
        <v>2723.99</v>
      </c>
    </row>
    <row r="266" spans="2:14" x14ac:dyDescent="0.35">
      <c r="B266" vm="3169">
        <f ca="1"/>
        <v>43105</v>
      </c>
      <c r="C266" vm="3170">
        <f ca="1"/>
        <v>55.514499999999998</v>
      </c>
      <c r="D266" vm="3171">
        <f ca="1"/>
        <v>61.457000000000001</v>
      </c>
      <c r="E266" vm="3172">
        <f ca="1"/>
        <v>38.590000000000003</v>
      </c>
      <c r="F266" vm="1958">
        <f ca="1"/>
        <v>449.49</v>
      </c>
      <c r="G266" vm="3173">
        <f ca="1"/>
        <v>148.95939999999999</v>
      </c>
      <c r="H266" vm="3174">
        <f ca="1"/>
        <v>159.04</v>
      </c>
      <c r="I266" vm="3175">
        <f ca="1"/>
        <v>37.927500000000002</v>
      </c>
      <c r="J266" vm="3176">
        <f ca="1"/>
        <v>73.599999999999994</v>
      </c>
      <c r="K266" vm="3177">
        <f ca="1"/>
        <v>5.3849999999999998</v>
      </c>
      <c r="L266" vm="3178">
        <f ca="1"/>
        <v>91.24</v>
      </c>
      <c r="M266" vm="3179">
        <f ca="1"/>
        <v>228.73</v>
      </c>
      <c r="N266" vm="3180">
        <f ca="1"/>
        <v>2743.15</v>
      </c>
    </row>
    <row r="267" spans="2:14" x14ac:dyDescent="0.35">
      <c r="B267" vm="3181">
        <f ca="1"/>
        <v>43108</v>
      </c>
      <c r="C267" vm="3182">
        <f ca="1"/>
        <v>55.710500000000003</v>
      </c>
      <c r="D267" vm="3183">
        <f ca="1"/>
        <v>62.343499999999999</v>
      </c>
      <c r="E267" vm="3068">
        <f ca="1"/>
        <v>38.619999999999997</v>
      </c>
      <c r="F267" vm="3184">
        <f ca="1"/>
        <v>458.2</v>
      </c>
      <c r="G267" vm="3185">
        <f ca="1"/>
        <v>148.1551</v>
      </c>
      <c r="H267" vm="3186">
        <f ca="1"/>
        <v>159.27000000000001</v>
      </c>
      <c r="I267" vm="246">
        <f ca="1"/>
        <v>38.24</v>
      </c>
      <c r="J267" vm="3187">
        <f ca="1"/>
        <v>74.8</v>
      </c>
      <c r="K267" vm="3188">
        <f ca="1"/>
        <v>5.55</v>
      </c>
      <c r="L267" vm="3189">
        <f ca="1"/>
        <v>91.72</v>
      </c>
      <c r="M267" vm="3190">
        <f ca="1"/>
        <v>224.76</v>
      </c>
      <c r="N267" vm="3191">
        <f ca="1"/>
        <v>2747.71</v>
      </c>
    </row>
    <row r="268" spans="2:14" x14ac:dyDescent="0.35">
      <c r="B268" vm="3192">
        <f ca="1"/>
        <v>43109</v>
      </c>
      <c r="C268" vm="3193">
        <f ca="1"/>
        <v>55.639499999999998</v>
      </c>
      <c r="D268" vm="3194">
        <f ca="1"/>
        <v>62.634999999999998</v>
      </c>
      <c r="E268" vm="3092">
        <f ca="1"/>
        <v>38.5</v>
      </c>
      <c r="F268" vm="3195">
        <f ca="1"/>
        <v>455.98</v>
      </c>
      <c r="G268" vm="3196">
        <f ca="1"/>
        <v>149.37110000000001</v>
      </c>
      <c r="H268" vm="3197">
        <f ca="1"/>
        <v>159.5</v>
      </c>
      <c r="I268" vm="3198">
        <f ca="1"/>
        <v>37.96</v>
      </c>
      <c r="J268" vm="3199">
        <f ca="1"/>
        <v>74.900000000000006</v>
      </c>
      <c r="K268" vm="3200">
        <f ca="1"/>
        <v>5.5484999999999998</v>
      </c>
      <c r="L268" vm="481">
        <f ca="1"/>
        <v>91.05</v>
      </c>
      <c r="M268" vm="3201">
        <f ca="1"/>
        <v>225.88</v>
      </c>
      <c r="N268" vm="3202">
        <f ca="1"/>
        <v>2751.29</v>
      </c>
    </row>
    <row r="269" spans="2:14" x14ac:dyDescent="0.35">
      <c r="B269" vm="3203">
        <f ca="1"/>
        <v>43110</v>
      </c>
      <c r="C269" vm="3204">
        <f ca="1"/>
        <v>55.506999999999998</v>
      </c>
      <c r="D269" vm="3205">
        <f ca="1"/>
        <v>62.716500000000003</v>
      </c>
      <c r="E269" vm="2192">
        <f ca="1"/>
        <v>37.85</v>
      </c>
      <c r="F269" vm="3206">
        <f ca="1"/>
        <v>443</v>
      </c>
      <c r="G269" vm="3207">
        <f ca="1"/>
        <v>150.4051</v>
      </c>
      <c r="H269" vm="3208">
        <f ca="1"/>
        <v>159.86000000000001</v>
      </c>
      <c r="I269" vm="3209">
        <f ca="1"/>
        <v>37.647500000000001</v>
      </c>
      <c r="J269" vm="3210">
        <f ca="1"/>
        <v>75.599999999999994</v>
      </c>
      <c r="K269" vm="3211">
        <f ca="1"/>
        <v>5.5919999999999996</v>
      </c>
      <c r="L269" vm="3212">
        <f ca="1"/>
        <v>90.47</v>
      </c>
      <c r="M269" vm="3213">
        <f ca="1"/>
        <v>224.2</v>
      </c>
      <c r="N269" vm="3214">
        <f ca="1"/>
        <v>2748.23</v>
      </c>
    </row>
    <row r="270" spans="2:14" x14ac:dyDescent="0.35">
      <c r="B270" vm="3215">
        <f ca="1"/>
        <v>43111</v>
      </c>
      <c r="C270" vm="3216">
        <f ca="1"/>
        <v>55.602499999999999</v>
      </c>
      <c r="D270" vm="3217">
        <f ca="1"/>
        <v>63.834000000000003</v>
      </c>
      <c r="E270" vm="3218">
        <f ca="1"/>
        <v>38.380000000000003</v>
      </c>
      <c r="F270" vm="3219">
        <f ca="1"/>
        <v>435.39</v>
      </c>
      <c r="G270" vm="3220">
        <f ca="1"/>
        <v>151.19980000000001</v>
      </c>
      <c r="H270" vm="3221">
        <f ca="1"/>
        <v>160.91999999999999</v>
      </c>
      <c r="I270" vm="3222">
        <f ca="1"/>
        <v>37.625</v>
      </c>
      <c r="J270" vm="3223">
        <f ca="1"/>
        <v>77.05</v>
      </c>
      <c r="K270" vm="3224">
        <f ca="1"/>
        <v>5.6020000000000003</v>
      </c>
      <c r="L270" vm="3225">
        <f ca="1"/>
        <v>90.15</v>
      </c>
      <c r="M270" vm="3226">
        <f ca="1"/>
        <v>225.39</v>
      </c>
      <c r="N270" vm="3227">
        <f ca="1"/>
        <v>2767.56</v>
      </c>
    </row>
    <row r="271" spans="2:14" x14ac:dyDescent="0.35">
      <c r="B271" vm="3228">
        <f ca="1"/>
        <v>43112</v>
      </c>
      <c r="C271" vm="3229">
        <f ca="1"/>
        <v>56.532499999999999</v>
      </c>
      <c r="D271" vm="3230">
        <f ca="1"/>
        <v>65.260000000000005</v>
      </c>
      <c r="E271" vm="3231">
        <f ca="1"/>
        <v>37.9</v>
      </c>
      <c r="F271" vm="3232">
        <f ca="1"/>
        <v>435.95</v>
      </c>
      <c r="G271" vm="3233">
        <f ca="1"/>
        <v>152.30080000000001</v>
      </c>
      <c r="H271" vm="3234">
        <f ca="1"/>
        <v>162.33000000000001</v>
      </c>
      <c r="I271" vm="3235">
        <f ca="1"/>
        <v>37.58</v>
      </c>
      <c r="J271" vm="3236">
        <f ca="1"/>
        <v>77.97</v>
      </c>
      <c r="K271" vm="3237">
        <f ca="1"/>
        <v>5.5744999999999996</v>
      </c>
      <c r="L271" vm="3238">
        <f ca="1"/>
        <v>89.61</v>
      </c>
      <c r="M271" vm="3239">
        <f ca="1"/>
        <v>228.64</v>
      </c>
      <c r="N271" vm="3240">
        <f ca="1"/>
        <v>2786.24</v>
      </c>
    </row>
    <row r="272" spans="2:14" x14ac:dyDescent="0.35">
      <c r="B272" vm="3241">
        <f ca="1"/>
        <v>43116</v>
      </c>
      <c r="C272" vm="3242">
        <f ca="1"/>
        <v>56.534999999999997</v>
      </c>
      <c r="D272" vm="3243">
        <f ca="1"/>
        <v>65.242999999999995</v>
      </c>
      <c r="E272" vm="3244">
        <f ca="1"/>
        <v>38.39</v>
      </c>
      <c r="F272" vm="3245">
        <f ca="1"/>
        <v>448.1</v>
      </c>
      <c r="G272" vm="3246">
        <f ca="1"/>
        <v>151.1711</v>
      </c>
      <c r="H272" vm="3247">
        <f ca="1"/>
        <v>162.29</v>
      </c>
      <c r="I272" vm="3248">
        <f ca="1"/>
        <v>37.634999999999998</v>
      </c>
      <c r="J272" vm="3249">
        <f ca="1"/>
        <v>77.17</v>
      </c>
      <c r="K272" vm="3250">
        <f ca="1"/>
        <v>5.5027999999999997</v>
      </c>
      <c r="L272" vm="3251">
        <f ca="1"/>
        <v>90.22</v>
      </c>
      <c r="M272" vm="3252">
        <f ca="1"/>
        <v>232.9</v>
      </c>
      <c r="N272" vm="3253">
        <f ca="1"/>
        <v>2776.42</v>
      </c>
    </row>
    <row r="273" spans="2:14" x14ac:dyDescent="0.35">
      <c r="B273" vm="3254">
        <f ca="1"/>
        <v>43117</v>
      </c>
      <c r="C273" vm="3255">
        <f ca="1"/>
        <v>56.954999999999998</v>
      </c>
      <c r="D273" vm="3256">
        <f ca="1"/>
        <v>64.75</v>
      </c>
      <c r="E273" vm="3257">
        <f ca="1"/>
        <v>39.04</v>
      </c>
      <c r="F273" vm="3258">
        <f ca="1"/>
        <v>441.9</v>
      </c>
      <c r="G273" vm="3259">
        <f ca="1"/>
        <v>151.66890000000001</v>
      </c>
      <c r="H273" vm="3260">
        <f ca="1"/>
        <v>164.32</v>
      </c>
      <c r="I273" vm="3076">
        <f ca="1"/>
        <v>37.97</v>
      </c>
      <c r="J273" vm="3261">
        <f ca="1"/>
        <v>77.209999999999994</v>
      </c>
      <c r="K273" vm="3262">
        <f ca="1"/>
        <v>5.6180000000000003</v>
      </c>
      <c r="L273" vm="3263">
        <f ca="1"/>
        <v>91.2</v>
      </c>
      <c r="M273" vm="3264">
        <f ca="1"/>
        <v>238.43</v>
      </c>
      <c r="N273" vm="3265">
        <f ca="1"/>
        <v>2802.56</v>
      </c>
    </row>
    <row r="274" spans="2:14" x14ac:dyDescent="0.35">
      <c r="B274" vm="3266">
        <f ca="1"/>
        <v>43118</v>
      </c>
      <c r="C274" vm="3267">
        <f ca="1"/>
        <v>56.798499999999997</v>
      </c>
      <c r="D274" vm="3268">
        <f ca="1"/>
        <v>64.665999999999997</v>
      </c>
      <c r="E274" vm="2730">
        <f ca="1"/>
        <v>38.79</v>
      </c>
      <c r="F274" vm="3269">
        <f ca="1"/>
        <v>437.45</v>
      </c>
      <c r="G274" vm="3270">
        <f ca="1"/>
        <v>151.06569999999999</v>
      </c>
      <c r="H274" vm="865">
        <f ca="1"/>
        <v>165.48</v>
      </c>
      <c r="I274" vm="3271">
        <f ca="1"/>
        <v>37.695</v>
      </c>
      <c r="J274" vm="3272">
        <f ca="1"/>
        <v>76.37</v>
      </c>
      <c r="K274" vm="3273">
        <f ca="1"/>
        <v>5.6109999999999998</v>
      </c>
      <c r="L274" vm="3274">
        <f ca="1"/>
        <v>90.18</v>
      </c>
      <c r="M274" vm="3275">
        <f ca="1"/>
        <v>243.16</v>
      </c>
      <c r="N274" vm="3276">
        <f ca="1"/>
        <v>2798.03</v>
      </c>
    </row>
    <row r="275" spans="2:14" x14ac:dyDescent="0.35">
      <c r="B275" vm="3277">
        <f ca="1"/>
        <v>43119</v>
      </c>
      <c r="C275" vm="3278">
        <f ca="1"/>
        <v>57.174999999999997</v>
      </c>
      <c r="D275" vm="3279">
        <f ca="1"/>
        <v>64.728999999999999</v>
      </c>
      <c r="E275" vm="3280">
        <f ca="1"/>
        <v>38.72</v>
      </c>
      <c r="F275" vm="3281">
        <f ca="1"/>
        <v>437.89</v>
      </c>
      <c r="G275" vm="3282">
        <f ca="1"/>
        <v>151.93700000000001</v>
      </c>
      <c r="H275" vm="3283">
        <f ca="1"/>
        <v>166.83</v>
      </c>
      <c r="I275" vm="2133">
        <f ca="1"/>
        <v>37.54</v>
      </c>
      <c r="J275" vm="3284">
        <f ca="1"/>
        <v>76.42</v>
      </c>
      <c r="K275" vm="3285">
        <f ca="1"/>
        <v>5.7527999999999997</v>
      </c>
      <c r="L275" vm="507">
        <f ca="1"/>
        <v>91.07</v>
      </c>
      <c r="M275" vm="3286">
        <f ca="1"/>
        <v>243.35</v>
      </c>
      <c r="N275" vm="3287">
        <f ca="1"/>
        <v>2810.3</v>
      </c>
    </row>
    <row r="276" spans="2:14" x14ac:dyDescent="0.35">
      <c r="B276" vm="3288">
        <f ca="1"/>
        <v>43122</v>
      </c>
      <c r="C276" vm="3289">
        <f ca="1"/>
        <v>58.207999999999998</v>
      </c>
      <c r="D276" vm="3290">
        <f ca="1"/>
        <v>66.365499999999997</v>
      </c>
      <c r="E276" vm="3291">
        <f ca="1"/>
        <v>37.76</v>
      </c>
      <c r="F276" vm="3292">
        <f ca="1"/>
        <v>436.05</v>
      </c>
      <c r="G276" vm="3293">
        <f ca="1"/>
        <v>151.79339999999999</v>
      </c>
      <c r="H276" vm="3294">
        <f ca="1"/>
        <v>168.28</v>
      </c>
      <c r="I276" vm="3295">
        <f ca="1"/>
        <v>37.505000000000003</v>
      </c>
      <c r="J276" vm="3296">
        <f ca="1"/>
        <v>79.790000000000006</v>
      </c>
      <c r="K276" vm="3297">
        <f ca="1"/>
        <v>5.8422999999999998</v>
      </c>
      <c r="L276" vm="3021">
        <f ca="1"/>
        <v>91.89</v>
      </c>
      <c r="M276" vm="3298">
        <f ca="1"/>
        <v>243.56</v>
      </c>
      <c r="N276" vm="3299">
        <f ca="1"/>
        <v>2832.97</v>
      </c>
    </row>
    <row r="277" spans="2:14" x14ac:dyDescent="0.35">
      <c r="B277" vm="3300">
        <f ca="1"/>
        <v>43123</v>
      </c>
      <c r="C277" vm="3301">
        <f ca="1"/>
        <v>58.808500000000002</v>
      </c>
      <c r="D277" vm="3302">
        <f ca="1"/>
        <v>68.126999999999995</v>
      </c>
      <c r="E277" vm="1046">
        <f ca="1"/>
        <v>38.4</v>
      </c>
      <c r="F277" vm="3303">
        <f ca="1"/>
        <v>442</v>
      </c>
      <c r="G277" vm="3304">
        <f ca="1"/>
        <v>152.7987</v>
      </c>
      <c r="H277" vm="3305">
        <f ca="1"/>
        <v>167.19</v>
      </c>
      <c r="I277" vm="221">
        <f ca="1"/>
        <v>38.18</v>
      </c>
      <c r="J277" vm="3306">
        <f ca="1"/>
        <v>79.209999999999994</v>
      </c>
      <c r="K277" vm="3307">
        <f ca="1"/>
        <v>5.9728000000000003</v>
      </c>
      <c r="L277" vm="3308">
        <f ca="1"/>
        <v>89.05</v>
      </c>
      <c r="M277" vm="3309">
        <f ca="1"/>
        <v>245.21</v>
      </c>
      <c r="N277" vm="3310">
        <f ca="1"/>
        <v>2839.13</v>
      </c>
    </row>
    <row r="278" spans="2:14" x14ac:dyDescent="0.35">
      <c r="B278" vm="3311">
        <f ca="1"/>
        <v>43124</v>
      </c>
      <c r="C278" vm="3312">
        <f ca="1"/>
        <v>58.564500000000002</v>
      </c>
      <c r="D278" vm="3313">
        <f ca="1"/>
        <v>67.875500000000002</v>
      </c>
      <c r="E278" vm="2619">
        <f ca="1"/>
        <v>38.840000000000003</v>
      </c>
      <c r="F278" vm="3314">
        <f ca="1"/>
        <v>441.3</v>
      </c>
      <c r="G278" vm="3315">
        <f ca="1"/>
        <v>153.16249999999999</v>
      </c>
      <c r="H278" vm="3316">
        <f ca="1"/>
        <v>167.01</v>
      </c>
      <c r="I278" vm="3317">
        <f ca="1"/>
        <v>37.712499999999999</v>
      </c>
      <c r="J278" vm="3318">
        <f ca="1"/>
        <v>78.180000000000007</v>
      </c>
      <c r="K278" vm="3319">
        <f ca="1"/>
        <v>5.8949999999999996</v>
      </c>
      <c r="L278" vm="382">
        <f ca="1"/>
        <v>88.31</v>
      </c>
      <c r="M278" vm="3320">
        <f ca="1"/>
        <v>244.85</v>
      </c>
      <c r="N278" vm="3321">
        <f ca="1"/>
        <v>2837.54</v>
      </c>
    </row>
    <row r="279" spans="2:14" x14ac:dyDescent="0.35">
      <c r="B279" vm="3322">
        <f ca="1"/>
        <v>43125</v>
      </c>
      <c r="C279" vm="3323">
        <f ca="1"/>
        <v>59.106999999999999</v>
      </c>
      <c r="D279" vm="3324">
        <f ca="1"/>
        <v>68.897499999999994</v>
      </c>
      <c r="E279" vm="2057">
        <f ca="1"/>
        <v>39.21</v>
      </c>
      <c r="F279" vm="3325">
        <f ca="1"/>
        <v>439.17</v>
      </c>
      <c r="G279" vm="3326">
        <f ca="1"/>
        <v>154.953</v>
      </c>
      <c r="H279" vm="927">
        <f ca="1"/>
        <v>168.59</v>
      </c>
      <c r="I279" vm="3327">
        <f ca="1"/>
        <v>38.272500000000001</v>
      </c>
      <c r="J279" vm="3328">
        <f ca="1"/>
        <v>77.33</v>
      </c>
      <c r="K279" vm="3329">
        <f ca="1"/>
        <v>5.9088000000000003</v>
      </c>
      <c r="L279" vm="3330">
        <f ca="1"/>
        <v>88.34</v>
      </c>
      <c r="M279" vm="3331">
        <f ca="1"/>
        <v>245.18</v>
      </c>
      <c r="N279" vm="3332">
        <f ca="1"/>
        <v>2839.25</v>
      </c>
    </row>
    <row r="280" spans="2:14" x14ac:dyDescent="0.35">
      <c r="B280" vm="3333">
        <f ca="1"/>
        <v>43126</v>
      </c>
      <c r="C280" vm="3334">
        <f ca="1"/>
        <v>59.378</v>
      </c>
      <c r="D280" vm="3335">
        <f ca="1"/>
        <v>70.102500000000006</v>
      </c>
      <c r="E280" vm="3336">
        <f ca="1"/>
        <v>38.119999999999997</v>
      </c>
      <c r="F280" vm="3337">
        <f ca="1"/>
        <v>441.59</v>
      </c>
      <c r="G280" vm="3338">
        <f ca="1"/>
        <v>157.96889999999999</v>
      </c>
      <c r="H280" vm="3339">
        <f ca="1"/>
        <v>170.34</v>
      </c>
      <c r="I280" vm="3340">
        <f ca="1"/>
        <v>39.422499999999999</v>
      </c>
      <c r="J280" vm="3341">
        <f ca="1"/>
        <v>77.61</v>
      </c>
      <c r="K280" vm="3342">
        <f ca="1"/>
        <v>6.0833000000000004</v>
      </c>
      <c r="L280" vm="3343">
        <f ca="1"/>
        <v>87.73</v>
      </c>
      <c r="M280" vm="3344">
        <f ca="1"/>
        <v>248.47</v>
      </c>
      <c r="N280" vm="3345">
        <f ca="1"/>
        <v>2872.87</v>
      </c>
    </row>
    <row r="281" spans="2:14" x14ac:dyDescent="0.35">
      <c r="B281" vm="3346">
        <f ca="1"/>
        <v>43129</v>
      </c>
      <c r="C281" vm="3347">
        <f ca="1"/>
        <v>59.323999999999998</v>
      </c>
      <c r="D281" vm="3348">
        <f ca="1"/>
        <v>70.884</v>
      </c>
      <c r="E281" vm="3064">
        <f ca="1"/>
        <v>37.630000000000003</v>
      </c>
      <c r="F281" vm="3349">
        <f ca="1"/>
        <v>435.16</v>
      </c>
      <c r="G281" vm="3350">
        <f ca="1"/>
        <v>154.59870000000001</v>
      </c>
      <c r="H281" vm="3351">
        <f ca="1"/>
        <v>168.55</v>
      </c>
      <c r="I281" vm="3352">
        <f ca="1"/>
        <v>38.92</v>
      </c>
      <c r="J281" vm="3353">
        <f ca="1"/>
        <v>76.38</v>
      </c>
      <c r="K281" vm="3354">
        <f ca="1"/>
        <v>6.1712999999999996</v>
      </c>
      <c r="L281" vm="1269">
        <f ca="1"/>
        <v>86.86</v>
      </c>
      <c r="M281" vm="3355">
        <f ca="1"/>
        <v>247.41</v>
      </c>
      <c r="N281" vm="3356">
        <f ca="1"/>
        <v>2853.53</v>
      </c>
    </row>
    <row r="282" spans="2:14" x14ac:dyDescent="0.35">
      <c r="B282" vm="3357">
        <f ca="1"/>
        <v>43130</v>
      </c>
      <c r="C282" vm="3358">
        <f ca="1"/>
        <v>58.868499999999997</v>
      </c>
      <c r="D282" vm="3359">
        <f ca="1"/>
        <v>71.891000000000005</v>
      </c>
      <c r="E282" vm="982">
        <f ca="1"/>
        <v>37.57</v>
      </c>
      <c r="F282" vm="3360">
        <f ca="1"/>
        <v>439.56</v>
      </c>
      <c r="G282" vm="3361">
        <f ca="1"/>
        <v>152.20509999999999</v>
      </c>
      <c r="H282" vm="3305">
        <f ca="1"/>
        <v>167.19</v>
      </c>
      <c r="I282" vm="3362">
        <f ca="1"/>
        <v>38.774999999999999</v>
      </c>
      <c r="J282" vm="3363">
        <f ca="1"/>
        <v>74.540000000000006</v>
      </c>
      <c r="K282" vm="3364">
        <f ca="1"/>
        <v>6.0679999999999996</v>
      </c>
      <c r="L282" vm="3365">
        <f ca="1"/>
        <v>86.95</v>
      </c>
      <c r="M282" vm="3366">
        <f ca="1"/>
        <v>236.65</v>
      </c>
      <c r="N282" vm="3367">
        <f ca="1"/>
        <v>2822.43</v>
      </c>
    </row>
    <row r="283" spans="2:14" x14ac:dyDescent="0.35">
      <c r="B283" vm="3368">
        <f ca="1"/>
        <v>43131</v>
      </c>
      <c r="C283" vm="3369">
        <f ca="1"/>
        <v>59.110999999999997</v>
      </c>
      <c r="D283" vm="3370">
        <f ca="1"/>
        <v>72.544499999999999</v>
      </c>
      <c r="E283" vm="3371">
        <f ca="1"/>
        <v>38.28</v>
      </c>
      <c r="F283" vm="3372">
        <f ca="1"/>
        <v>455.19</v>
      </c>
      <c r="G283" vm="3373">
        <f ca="1"/>
        <v>152.87530000000001</v>
      </c>
      <c r="H283" vm="3374">
        <f ca="1"/>
        <v>169</v>
      </c>
      <c r="I283" vm="3375">
        <f ca="1"/>
        <v>39.604999999999997</v>
      </c>
      <c r="J283" vm="3376">
        <f ca="1"/>
        <v>73.58</v>
      </c>
      <c r="K283" vm="3377">
        <f ca="1"/>
        <v>6.1449999999999996</v>
      </c>
      <c r="L283" vm="2635">
        <f ca="1"/>
        <v>86.34</v>
      </c>
      <c r="M283" vm="3378">
        <f ca="1"/>
        <v>236.78</v>
      </c>
      <c r="N283" vm="3379">
        <f ca="1"/>
        <v>2823.81</v>
      </c>
    </row>
    <row r="284" spans="2:14" x14ac:dyDescent="0.35">
      <c r="B284" vm="3380">
        <f ca="1"/>
        <v>43132</v>
      </c>
      <c r="C284" vm="3381">
        <f ca="1"/>
        <v>59.079500000000003</v>
      </c>
      <c r="D284" vm="3382">
        <f ca="1"/>
        <v>69.5</v>
      </c>
      <c r="E284" vm="3159">
        <f ca="1"/>
        <v>38.35</v>
      </c>
      <c r="F284" vm="3383">
        <f ca="1"/>
        <v>444.54</v>
      </c>
      <c r="G284" vm="3384">
        <f ca="1"/>
        <v>152.8562</v>
      </c>
      <c r="H284" vm="3385">
        <f ca="1"/>
        <v>172.93</v>
      </c>
      <c r="I284" vm="3386">
        <f ca="1"/>
        <v>39.085000000000001</v>
      </c>
      <c r="J284" vm="3387">
        <f ca="1"/>
        <v>75.510000000000005</v>
      </c>
      <c r="K284" vm="3388">
        <f ca="1"/>
        <v>6.0125000000000002</v>
      </c>
      <c r="L284" vm="3389">
        <f ca="1"/>
        <v>85.85</v>
      </c>
      <c r="M284" vm="3390">
        <f ca="1"/>
        <v>235.22</v>
      </c>
      <c r="N284" vm="3391">
        <f ca="1"/>
        <v>2821.98</v>
      </c>
    </row>
    <row r="285" spans="2:14" x14ac:dyDescent="0.35">
      <c r="B285" vm="3392">
        <f ca="1"/>
        <v>43133</v>
      </c>
      <c r="C285" vm="3393">
        <f ca="1"/>
        <v>55.96</v>
      </c>
      <c r="D285" vm="3394">
        <f ca="1"/>
        <v>71.497500000000002</v>
      </c>
      <c r="E285" vm="3395">
        <f ca="1"/>
        <v>37.46</v>
      </c>
      <c r="F285" vm="3396">
        <f ca="1"/>
        <v>437.35</v>
      </c>
      <c r="G285" vm="3397">
        <f ca="1"/>
        <v>149.9838</v>
      </c>
      <c r="H285" vm="3398">
        <f ca="1"/>
        <v>170.55</v>
      </c>
      <c r="I285" vm="2803">
        <f ca="1"/>
        <v>38.979999999999997</v>
      </c>
      <c r="J285" vm="3399">
        <f ca="1"/>
        <v>73.69</v>
      </c>
      <c r="K285" vm="3400">
        <f ca="1"/>
        <v>5.8380000000000001</v>
      </c>
      <c r="L285" vm="3401">
        <f ca="1"/>
        <v>84.25</v>
      </c>
      <c r="M285" vm="3402">
        <f ca="1"/>
        <v>231.88</v>
      </c>
      <c r="N285" vm="3403">
        <f ca="1"/>
        <v>2762.13</v>
      </c>
    </row>
    <row r="286" spans="2:14" x14ac:dyDescent="0.35">
      <c r="B286" vm="3404">
        <f ca="1"/>
        <v>43136</v>
      </c>
      <c r="C286" vm="3405">
        <f ca="1"/>
        <v>53.119500000000002</v>
      </c>
      <c r="D286" vm="3382">
        <f ca="1"/>
        <v>69.5</v>
      </c>
      <c r="E286" vm="3406">
        <f ca="1"/>
        <v>36.51</v>
      </c>
      <c r="F286" vm="1162">
        <f ca="1"/>
        <v>429.81</v>
      </c>
      <c r="G286" vm="3407">
        <f ca="1"/>
        <v>143.77959999999999</v>
      </c>
      <c r="H286" vm="3408">
        <f ca="1"/>
        <v>164.59</v>
      </c>
      <c r="I286" vm="3409">
        <f ca="1"/>
        <v>38.572499999999998</v>
      </c>
      <c r="J286" vm="3410">
        <f ca="1"/>
        <v>71.349999999999994</v>
      </c>
      <c r="K286" vm="3411">
        <f ca="1"/>
        <v>5.3425000000000002</v>
      </c>
      <c r="L286" vm="492">
        <f ca="1"/>
        <v>81.06</v>
      </c>
      <c r="M286" vm="3412">
        <f ca="1"/>
        <v>220.02</v>
      </c>
      <c r="N286" vm="3413">
        <f ca="1"/>
        <v>2648.94</v>
      </c>
    </row>
    <row r="287" spans="2:14" x14ac:dyDescent="0.35">
      <c r="B287" vm="3414">
        <f ca="1"/>
        <v>43137</v>
      </c>
      <c r="C287" vm="3415">
        <f ca="1"/>
        <v>54.221499999999999</v>
      </c>
      <c r="D287" vm="3416">
        <f ca="1"/>
        <v>72.141999999999996</v>
      </c>
      <c r="E287" vm="1935">
        <f ca="1"/>
        <v>36.93</v>
      </c>
      <c r="F287" vm="3417">
        <f ca="1"/>
        <v>430.85</v>
      </c>
      <c r="G287" vm="3418">
        <f ca="1"/>
        <v>144.9572</v>
      </c>
      <c r="H287" vm="3419">
        <f ca="1"/>
        <v>169.28</v>
      </c>
      <c r="I287" vm="3420">
        <f ca="1"/>
        <v>37.39</v>
      </c>
      <c r="J287" vm="3421">
        <f ca="1"/>
        <v>71.040000000000006</v>
      </c>
      <c r="K287" vm="3422">
        <f ca="1"/>
        <v>5.6395</v>
      </c>
      <c r="L287" vm="3423">
        <f ca="1"/>
        <v>82.38</v>
      </c>
      <c r="M287" vm="3424">
        <f ca="1"/>
        <v>225.18</v>
      </c>
      <c r="N287" vm="3425">
        <f ca="1"/>
        <v>2695.14</v>
      </c>
    </row>
    <row r="288" spans="2:14" x14ac:dyDescent="0.35">
      <c r="B288" vm="3426">
        <f ca="1"/>
        <v>43138</v>
      </c>
      <c r="C288" vm="3427">
        <f ca="1"/>
        <v>52.770499999999998</v>
      </c>
      <c r="D288" vm="3428">
        <f ca="1"/>
        <v>70.838999999999999</v>
      </c>
      <c r="E288" vm="3429">
        <f ca="1"/>
        <v>39.33</v>
      </c>
      <c r="F288" vm="3430">
        <f ca="1"/>
        <v>426.08</v>
      </c>
      <c r="G288" vm="3431">
        <f ca="1"/>
        <v>144.75620000000001</v>
      </c>
      <c r="H288" vm="3432">
        <f ca="1"/>
        <v>168.73</v>
      </c>
      <c r="I288" vm="3433">
        <f ca="1"/>
        <v>37.022500000000001</v>
      </c>
      <c r="J288" vm="3434">
        <f ca="1"/>
        <v>69.75</v>
      </c>
      <c r="K288" vm="3435">
        <f ca="1"/>
        <v>5.72</v>
      </c>
      <c r="L288" vm="3436">
        <f ca="1"/>
        <v>81.84</v>
      </c>
      <c r="M288" vm="3437">
        <f ca="1"/>
        <v>225.82</v>
      </c>
      <c r="N288" vm="3438">
        <f ca="1"/>
        <v>2681.66</v>
      </c>
    </row>
    <row r="289" spans="2:14" x14ac:dyDescent="0.35">
      <c r="B289" vm="3439">
        <f ca="1"/>
        <v>43139</v>
      </c>
      <c r="C289" vm="3440">
        <f ca="1"/>
        <v>50.3855</v>
      </c>
      <c r="D289" vm="3441">
        <f ca="1"/>
        <v>67.525000000000006</v>
      </c>
      <c r="E289" vm="3442">
        <f ca="1"/>
        <v>38.44</v>
      </c>
      <c r="F289" vm="3443">
        <f ca="1"/>
        <v>409.98</v>
      </c>
      <c r="G289" vm="3444">
        <f ca="1"/>
        <v>139.80619999999999</v>
      </c>
      <c r="H289" vm="3445">
        <f ca="1"/>
        <v>160.62</v>
      </c>
      <c r="I289" vm="3446">
        <f ca="1"/>
        <v>36.322499999999998</v>
      </c>
      <c r="J289" vm="3447">
        <f ca="1"/>
        <v>67.400000000000006</v>
      </c>
      <c r="K289" vm="3448">
        <f ca="1"/>
        <v>5.4379999999999997</v>
      </c>
      <c r="L289" vm="3449">
        <f ca="1"/>
        <v>80.22</v>
      </c>
      <c r="M289" vm="3450">
        <f ca="1"/>
        <v>216.46</v>
      </c>
      <c r="N289" vm="3451">
        <f ca="1"/>
        <v>2581</v>
      </c>
    </row>
    <row r="290" spans="2:14" x14ac:dyDescent="0.35">
      <c r="B290" vm="3452">
        <f ca="1"/>
        <v>43140</v>
      </c>
      <c r="C290" vm="3453">
        <f ca="1"/>
        <v>52.313499999999998</v>
      </c>
      <c r="D290" vm="3454">
        <f ca="1"/>
        <v>66.98</v>
      </c>
      <c r="E290" vm="3455">
        <f ca="1"/>
        <v>37.869999999999997</v>
      </c>
      <c r="F290" vm="3456">
        <f ca="1"/>
        <v>425.81</v>
      </c>
      <c r="G290" vm="3457">
        <f ca="1"/>
        <v>141.6062</v>
      </c>
      <c r="H290" vm="3458">
        <f ca="1"/>
        <v>165.2</v>
      </c>
      <c r="I290" vm="626">
        <f ca="1"/>
        <v>37.024999999999999</v>
      </c>
      <c r="J290" vm="3459">
        <f ca="1"/>
        <v>65.19</v>
      </c>
      <c r="K290" vm="3460">
        <f ca="1"/>
        <v>5.8019999999999996</v>
      </c>
      <c r="L290" vm="3461">
        <f ca="1"/>
        <v>79.92</v>
      </c>
      <c r="M290" vm="3462">
        <f ca="1"/>
        <v>220.96</v>
      </c>
      <c r="N290" vm="3463">
        <f ca="1"/>
        <v>2619.5500000000002</v>
      </c>
    </row>
    <row r="291" spans="2:14" x14ac:dyDescent="0.35">
      <c r="B291" vm="3464">
        <f ca="1"/>
        <v>43143</v>
      </c>
      <c r="C291" vm="3465">
        <f ca="1"/>
        <v>52.728000000000002</v>
      </c>
      <c r="D291" vm="3466">
        <f ca="1"/>
        <v>69.311499999999995</v>
      </c>
      <c r="E291" vm="3467">
        <f ca="1"/>
        <v>37.53</v>
      </c>
      <c r="F291" vm="3468">
        <f ca="1"/>
        <v>431.45</v>
      </c>
      <c r="G291" vm="3469">
        <f ca="1"/>
        <v>143.10939999999999</v>
      </c>
      <c r="H291" vm="3470">
        <f ca="1"/>
        <v>168.19</v>
      </c>
      <c r="I291" vm="512">
        <f ca="1"/>
        <v>37.5</v>
      </c>
      <c r="J291" vm="3471">
        <f ca="1"/>
        <v>66.84</v>
      </c>
      <c r="K291" vm="3472">
        <f ca="1"/>
        <v>5.7008000000000001</v>
      </c>
      <c r="L291" vm="3473">
        <f ca="1"/>
        <v>81.33</v>
      </c>
      <c r="M291" vm="3474">
        <f ca="1"/>
        <v>225.69</v>
      </c>
      <c r="N291" vm="3475">
        <f ca="1"/>
        <v>2656</v>
      </c>
    </row>
    <row r="292" spans="2:14" x14ac:dyDescent="0.35">
      <c r="B292" vm="3476">
        <f ca="1"/>
        <v>43144</v>
      </c>
      <c r="C292" vm="3477">
        <f ca="1"/>
        <v>52.707000000000001</v>
      </c>
      <c r="D292" vm="3478">
        <f ca="1"/>
        <v>70.725499999999997</v>
      </c>
      <c r="E292" vm="3291">
        <f ca="1"/>
        <v>37.76</v>
      </c>
      <c r="F292" vm="3479">
        <f ca="1"/>
        <v>436.25</v>
      </c>
      <c r="G292" vm="3480">
        <f ca="1"/>
        <v>142.1806</v>
      </c>
      <c r="H292" vm="3481">
        <f ca="1"/>
        <v>170.12</v>
      </c>
      <c r="I292" vm="3482">
        <f ca="1"/>
        <v>37.767499999999998</v>
      </c>
      <c r="J292" vm="3483">
        <f ca="1"/>
        <v>65.92</v>
      </c>
      <c r="K292" vm="3484">
        <f ca="1"/>
        <v>5.8158000000000003</v>
      </c>
      <c r="L292" vm="3485">
        <f ca="1"/>
        <v>81.5</v>
      </c>
      <c r="M292" vm="3486">
        <f ca="1"/>
        <v>226.64</v>
      </c>
      <c r="N292" vm="3487">
        <f ca="1"/>
        <v>2662.94</v>
      </c>
    </row>
    <row r="293" spans="2:14" x14ac:dyDescent="0.35">
      <c r="B293" vm="3488">
        <f ca="1"/>
        <v>43145</v>
      </c>
      <c r="C293" vm="3489">
        <f ca="1"/>
        <v>53.634999999999998</v>
      </c>
      <c r="D293" vm="3490">
        <f ca="1"/>
        <v>72.552499999999995</v>
      </c>
      <c r="E293" vm="3336">
        <f ca="1"/>
        <v>38.119999999999997</v>
      </c>
      <c r="F293" vm="3491">
        <f ca="1"/>
        <v>435.83</v>
      </c>
      <c r="G293" vm="3492">
        <f ca="1"/>
        <v>143.98060000000001</v>
      </c>
      <c r="H293" vm="3493">
        <f ca="1"/>
        <v>172.52</v>
      </c>
      <c r="I293" vm="3494">
        <f ca="1"/>
        <v>37.520000000000003</v>
      </c>
      <c r="J293" vm="2169">
        <f ca="1"/>
        <v>65.87</v>
      </c>
      <c r="K293" vm="3495">
        <f ca="1"/>
        <v>6.0354999999999999</v>
      </c>
      <c r="L293" vm="441">
        <f ca="1"/>
        <v>80.680000000000007</v>
      </c>
      <c r="M293" vm="3496">
        <f ca="1"/>
        <v>228.78</v>
      </c>
      <c r="N293" vm="3497">
        <f ca="1"/>
        <v>2698.63</v>
      </c>
    </row>
    <row r="294" spans="2:14" x14ac:dyDescent="0.35">
      <c r="B294" vm="3498">
        <f ca="1"/>
        <v>43146</v>
      </c>
      <c r="C294" vm="3499">
        <f ca="1"/>
        <v>54.567999999999998</v>
      </c>
      <c r="D294" vm="3500">
        <f ca="1"/>
        <v>73.087999999999994</v>
      </c>
      <c r="E294" vm="3501">
        <f ca="1"/>
        <v>39.119999999999997</v>
      </c>
      <c r="F294" vm="3502">
        <f ca="1"/>
        <v>407.31</v>
      </c>
      <c r="G294" vm="3503">
        <f ca="1"/>
        <v>146.8913</v>
      </c>
      <c r="H294" vm="3504">
        <f ca="1"/>
        <v>174.69</v>
      </c>
      <c r="I294" vm="3505">
        <f ca="1"/>
        <v>38.607500000000002</v>
      </c>
      <c r="J294" vm="3506">
        <f ca="1"/>
        <v>66.209999999999994</v>
      </c>
      <c r="K294" vm="3507">
        <f ca="1"/>
        <v>6.1624999999999996</v>
      </c>
      <c r="L294" vm="3508">
        <f ca="1"/>
        <v>82.41</v>
      </c>
      <c r="M294" vm="3509">
        <f ca="1"/>
        <v>226.02</v>
      </c>
      <c r="N294" vm="3510">
        <f ca="1"/>
        <v>2731.2</v>
      </c>
    </row>
    <row r="295" spans="2:14" x14ac:dyDescent="0.35">
      <c r="B295" vm="3511">
        <f ca="1"/>
        <v>43147</v>
      </c>
      <c r="C295" vm="3512">
        <f ca="1"/>
        <v>54.774999999999999</v>
      </c>
      <c r="D295" vm="3513">
        <f ca="1"/>
        <v>72.4345</v>
      </c>
      <c r="E295" vm="3514">
        <f ca="1"/>
        <v>39.619999999999997</v>
      </c>
      <c r="F295" vm="3515">
        <f ca="1"/>
        <v>403.3</v>
      </c>
      <c r="G295" vm="3516">
        <f ca="1"/>
        <v>147.4753</v>
      </c>
      <c r="H295" vm="3517">
        <f ca="1"/>
        <v>175.65</v>
      </c>
      <c r="I295" vm="3518">
        <f ca="1"/>
        <v>39.012500000000003</v>
      </c>
      <c r="J295" vm="3519">
        <f ca="1"/>
        <v>66.28</v>
      </c>
      <c r="K295" vm="3520">
        <f ca="1"/>
        <v>6.0960000000000001</v>
      </c>
      <c r="L295" vm="3521">
        <f ca="1"/>
        <v>82.6</v>
      </c>
      <c r="M295" vm="3522">
        <f ca="1"/>
        <v>229.37</v>
      </c>
      <c r="N295" vm="3523">
        <f ca="1"/>
        <v>2732.22</v>
      </c>
    </row>
    <row r="296" spans="2:14" x14ac:dyDescent="0.35">
      <c r="B296" vm="3524">
        <f ca="1"/>
        <v>43151</v>
      </c>
      <c r="C296" vm="3525">
        <f ca="1"/>
        <v>55.179499999999997</v>
      </c>
      <c r="D296" vm="3526">
        <f ca="1"/>
        <v>73.417500000000004</v>
      </c>
      <c r="E296" vm="2057">
        <f ca="1"/>
        <v>39.21</v>
      </c>
      <c r="F296" vm="3527">
        <f ca="1"/>
        <v>396.44</v>
      </c>
      <c r="G296" vm="3528">
        <f ca="1"/>
        <v>147.77209999999999</v>
      </c>
      <c r="H296" vm="3529">
        <f ca="1"/>
        <v>175.35</v>
      </c>
      <c r="I296" vm="3530">
        <f ca="1"/>
        <v>38.452500000000001</v>
      </c>
      <c r="J296" vm="3531">
        <f ca="1"/>
        <v>65.61</v>
      </c>
      <c r="K296" vm="3532">
        <f ca="1"/>
        <v>6.2270000000000003</v>
      </c>
      <c r="L296" vm="3533">
        <f ca="1"/>
        <v>81.34</v>
      </c>
      <c r="M296" vm="3534">
        <f ca="1"/>
        <v>226.66</v>
      </c>
      <c r="N296" vm="3535">
        <f ca="1"/>
        <v>2716.26</v>
      </c>
    </row>
    <row r="297" spans="2:14" x14ac:dyDescent="0.35">
      <c r="B297" vm="3536">
        <f ca="1"/>
        <v>43152</v>
      </c>
      <c r="C297" vm="3537">
        <f ca="1"/>
        <v>55.6875</v>
      </c>
      <c r="D297" vm="3538">
        <f ca="1"/>
        <v>74.146000000000001</v>
      </c>
      <c r="E297" vm="3539">
        <f ca="1"/>
        <v>39.14</v>
      </c>
      <c r="F297" vm="3540">
        <f ca="1"/>
        <v>384.92</v>
      </c>
      <c r="G297" vm="3541">
        <f ca="1"/>
        <v>147.49449999999999</v>
      </c>
      <c r="H297" vm="3542">
        <f ca="1"/>
        <v>172.32</v>
      </c>
      <c r="I297" vm="3543">
        <f ca="1"/>
        <v>37.94</v>
      </c>
      <c r="J297" vm="1936">
        <f ca="1"/>
        <v>64.400000000000006</v>
      </c>
      <c r="K297" vm="3544">
        <f ca="1"/>
        <v>6.0377999999999998</v>
      </c>
      <c r="L297" vm="3545">
        <f ca="1"/>
        <v>80.239999999999995</v>
      </c>
      <c r="M297" vm="3546">
        <f ca="1"/>
        <v>225.13</v>
      </c>
      <c r="N297" vm="3547">
        <f ca="1"/>
        <v>2701.33</v>
      </c>
    </row>
    <row r="298" spans="2:14" x14ac:dyDescent="0.35">
      <c r="B298" vm="3548">
        <f ca="1"/>
        <v>43153</v>
      </c>
      <c r="C298" vm="3549">
        <f ca="1"/>
        <v>55.494999999999997</v>
      </c>
      <c r="D298" vm="3550">
        <f ca="1"/>
        <v>74.266999999999996</v>
      </c>
      <c r="E298" vm="3551">
        <f ca="1"/>
        <v>39.549999999999997</v>
      </c>
      <c r="F298" vm="3552">
        <f ca="1"/>
        <v>390.45</v>
      </c>
      <c r="G298" vm="3553">
        <f ca="1"/>
        <v>146.786</v>
      </c>
      <c r="H298" vm="3554">
        <f ca="1"/>
        <v>172.95</v>
      </c>
      <c r="I298" vm="3555">
        <f ca="1"/>
        <v>38.077500000000001</v>
      </c>
      <c r="J298" vm="3556">
        <f ca="1"/>
        <v>64.959999999999994</v>
      </c>
      <c r="K298" vm="3557">
        <f ca="1"/>
        <v>6.0537999999999998</v>
      </c>
      <c r="L298" vm="3558">
        <f ca="1"/>
        <v>80.84</v>
      </c>
      <c r="M298" vm="3559">
        <f ca="1"/>
        <v>227.09</v>
      </c>
      <c r="N298" vm="3560">
        <f ca="1"/>
        <v>2703.96</v>
      </c>
    </row>
    <row r="299" spans="2:14" x14ac:dyDescent="0.35">
      <c r="B299" vm="3561">
        <f ca="1"/>
        <v>43154</v>
      </c>
      <c r="C299" vm="3562">
        <f ca="1"/>
        <v>56.404499999999999</v>
      </c>
      <c r="D299" vm="3563">
        <f ca="1"/>
        <v>75</v>
      </c>
      <c r="E299" vm="3564">
        <f ca="1"/>
        <v>39.729999999999997</v>
      </c>
      <c r="F299" vm="3565">
        <f ca="1"/>
        <v>394.84</v>
      </c>
      <c r="G299" vm="3566">
        <f ca="1"/>
        <v>148.5189</v>
      </c>
      <c r="H299" vm="3567">
        <f ca="1"/>
        <v>175.76</v>
      </c>
      <c r="I299" vm="3568">
        <f ca="1"/>
        <v>39.064999999999998</v>
      </c>
      <c r="J299" vm="2508">
        <f ca="1"/>
        <v>66.5</v>
      </c>
      <c r="K299" vm="3569">
        <f ca="1"/>
        <v>6.1482999999999999</v>
      </c>
      <c r="L299" vm="3570">
        <f ca="1"/>
        <v>81.05</v>
      </c>
      <c r="M299" vm="3571">
        <f ca="1"/>
        <v>230.16</v>
      </c>
      <c r="N299" vm="3572">
        <f ca="1"/>
        <v>2747.3</v>
      </c>
    </row>
    <row r="300" spans="2:14" x14ac:dyDescent="0.35">
      <c r="B300" vm="3573">
        <f ca="1"/>
        <v>43157</v>
      </c>
      <c r="C300" vm="3574">
        <f ca="1"/>
        <v>57.185000000000002</v>
      </c>
      <c r="D300" vm="3575">
        <f ca="1"/>
        <v>76.097499999999997</v>
      </c>
      <c r="E300" vm="3576">
        <f ca="1"/>
        <v>40.08</v>
      </c>
      <c r="F300" vm="3577">
        <f ca="1"/>
        <v>394.18</v>
      </c>
      <c r="G300" vm="3578">
        <f ca="1"/>
        <v>149.84020000000001</v>
      </c>
      <c r="H300" vm="3579">
        <f ca="1"/>
        <v>177.87</v>
      </c>
      <c r="I300" vm="3580">
        <f ca="1"/>
        <v>38.662500000000001</v>
      </c>
      <c r="J300" vm="3581">
        <f ca="1"/>
        <v>66.73</v>
      </c>
      <c r="K300" vm="3582">
        <f ca="1"/>
        <v>6.1645000000000003</v>
      </c>
      <c r="L300" vm="3583">
        <f ca="1"/>
        <v>81.63</v>
      </c>
      <c r="M300" vm="3584">
        <f ca="1"/>
        <v>234.06</v>
      </c>
      <c r="N300" vm="3585">
        <f ca="1"/>
        <v>2779.6</v>
      </c>
    </row>
    <row r="301" spans="2:14" x14ac:dyDescent="0.35">
      <c r="B301" vm="3586">
        <f ca="1"/>
        <v>43158</v>
      </c>
      <c r="C301" vm="3587">
        <f ca="1"/>
        <v>55.875500000000002</v>
      </c>
      <c r="D301" vm="3588">
        <f ca="1"/>
        <v>75.599000000000004</v>
      </c>
      <c r="E301" vm="3589">
        <f ca="1"/>
        <v>40.01</v>
      </c>
      <c r="F301" vm="3590">
        <f ca="1"/>
        <v>391.21</v>
      </c>
      <c r="G301" vm="3591">
        <f ca="1"/>
        <v>147.37</v>
      </c>
      <c r="H301" vm="3592">
        <f ca="1"/>
        <v>175.93</v>
      </c>
      <c r="I301" vm="3113">
        <f ca="1"/>
        <v>37.92</v>
      </c>
      <c r="J301" vm="3593">
        <f ca="1"/>
        <v>66.91</v>
      </c>
      <c r="K301" vm="3594">
        <f ca="1"/>
        <v>6.1515000000000004</v>
      </c>
      <c r="L301" vm="3595">
        <f ca="1"/>
        <v>80.540000000000006</v>
      </c>
      <c r="M301" vm="3596">
        <f ca="1"/>
        <v>232.52</v>
      </c>
      <c r="N301" vm="3597">
        <f ca="1"/>
        <v>2744.28</v>
      </c>
    </row>
    <row r="302" spans="2:14" x14ac:dyDescent="0.35">
      <c r="B302" vm="3598">
        <f ca="1"/>
        <v>43159</v>
      </c>
      <c r="C302" vm="3599">
        <f ca="1"/>
        <v>55.195999999999998</v>
      </c>
      <c r="D302" vm="3600">
        <f ca="1"/>
        <v>75.622500000000002</v>
      </c>
      <c r="E302" vm="3601">
        <f ca="1"/>
        <v>39.950000000000003</v>
      </c>
      <c r="F302" vm="3602">
        <f ca="1"/>
        <v>392.1</v>
      </c>
      <c r="G302" vm="3603">
        <f ca="1"/>
        <v>144.67959999999999</v>
      </c>
      <c r="H302" vm="3567">
        <f ca="1"/>
        <v>175.76</v>
      </c>
      <c r="I302" vm="3604">
        <f ca="1"/>
        <v>38.037500000000001</v>
      </c>
      <c r="J302" vm="3605">
        <f ca="1"/>
        <v>65.64</v>
      </c>
      <c r="K302" vm="3606">
        <f ca="1"/>
        <v>6.05</v>
      </c>
      <c r="L302" vm="3607">
        <f ca="1"/>
        <v>78.52</v>
      </c>
      <c r="M302" vm="3608">
        <f ca="1"/>
        <v>226.16</v>
      </c>
      <c r="N302" vm="3609">
        <f ca="1"/>
        <v>2713.83</v>
      </c>
    </row>
    <row r="303" spans="2:14" x14ac:dyDescent="0.35">
      <c r="B303" vm="3610">
        <f ca="1"/>
        <v>43160</v>
      </c>
      <c r="C303" vm="3611">
        <f ca="1"/>
        <v>53.570500000000003</v>
      </c>
      <c r="D303" vm="3612">
        <f ca="1"/>
        <v>74.672499999999999</v>
      </c>
      <c r="E303" vm="3613">
        <f ca="1"/>
        <v>39.5</v>
      </c>
      <c r="F303" vm="3614">
        <f ca="1"/>
        <v>386.29</v>
      </c>
      <c r="G303" vm="3615">
        <f ca="1"/>
        <v>140.94550000000001</v>
      </c>
      <c r="H303" vm="3616">
        <f ca="1"/>
        <v>173.49</v>
      </c>
      <c r="I303" vm="3617">
        <f ca="1"/>
        <v>38.307499999999997</v>
      </c>
      <c r="J303" vm="3618">
        <f ca="1"/>
        <v>65.22</v>
      </c>
      <c r="K303" vm="3619">
        <f ca="1"/>
        <v>5.8052999999999999</v>
      </c>
      <c r="L303" vm="594">
        <f ca="1"/>
        <v>78.7</v>
      </c>
      <c r="M303" vm="3167">
        <f ca="1"/>
        <v>224.45</v>
      </c>
      <c r="N303" vm="3620">
        <f ca="1"/>
        <v>2677.67</v>
      </c>
    </row>
    <row r="304" spans="2:14" x14ac:dyDescent="0.35">
      <c r="B304" vm="3621">
        <f ca="1"/>
        <v>43161</v>
      </c>
      <c r="C304" vm="3622">
        <f ca="1"/>
        <v>54.207000000000001</v>
      </c>
      <c r="D304" vm="3623">
        <f ca="1"/>
        <v>75.012500000000003</v>
      </c>
      <c r="E304" vm="3014">
        <f ca="1"/>
        <v>39.4</v>
      </c>
      <c r="F304" vm="3624">
        <f ca="1"/>
        <v>381.82</v>
      </c>
      <c r="G304" vm="3625">
        <f ca="1"/>
        <v>141.83600000000001</v>
      </c>
      <c r="H304" vm="3626">
        <f ca="1"/>
        <v>175.02</v>
      </c>
      <c r="I304" vm="3627">
        <f ca="1"/>
        <v>38.212499999999999</v>
      </c>
      <c r="J304" vm="1499">
        <f ca="1"/>
        <v>65.47</v>
      </c>
      <c r="K304" vm="3628">
        <f ca="1"/>
        <v>5.9135</v>
      </c>
      <c r="L304" vm="3629">
        <f ca="1"/>
        <v>79.5</v>
      </c>
      <c r="M304" vm="3630">
        <f ca="1"/>
        <v>225.19</v>
      </c>
      <c r="N304" vm="3631">
        <f ca="1"/>
        <v>2691.25</v>
      </c>
    </row>
    <row r="305" spans="2:14" x14ac:dyDescent="0.35">
      <c r="B305" vm="3632">
        <f ca="1"/>
        <v>43164</v>
      </c>
      <c r="C305" vm="3633">
        <f ca="1"/>
        <v>54.738</v>
      </c>
      <c r="D305" vm="3634">
        <f ca="1"/>
        <v>76.180499999999995</v>
      </c>
      <c r="E305" vm="3635">
        <f ca="1"/>
        <v>39.93</v>
      </c>
      <c r="F305" vm="3636">
        <f ca="1"/>
        <v>388.51</v>
      </c>
      <c r="G305" vm="3637">
        <f ca="1"/>
        <v>142.1902</v>
      </c>
      <c r="H305" vm="3638">
        <f ca="1"/>
        <v>178.53</v>
      </c>
      <c r="I305" vm="3639">
        <f ca="1"/>
        <v>38.755000000000003</v>
      </c>
      <c r="J305" vm="3640">
        <f ca="1"/>
        <v>66.16</v>
      </c>
      <c r="K305" vm="3641">
        <f ca="1"/>
        <v>5.8913000000000002</v>
      </c>
      <c r="L305" vm="3642">
        <f ca="1"/>
        <v>80.290000000000006</v>
      </c>
      <c r="M305" vm="3643">
        <f ca="1"/>
        <v>228.38</v>
      </c>
      <c r="N305" vm="3644">
        <f ca="1"/>
        <v>2720.94</v>
      </c>
    </row>
    <row r="306" spans="2:14" x14ac:dyDescent="0.35">
      <c r="B306" vm="3645">
        <f ca="1"/>
        <v>43165</v>
      </c>
      <c r="C306" vm="3646">
        <f ca="1"/>
        <v>55.045000000000002</v>
      </c>
      <c r="D306" vm="3647">
        <f ca="1"/>
        <v>76.882000000000005</v>
      </c>
      <c r="E306" vm="1883">
        <f ca="1"/>
        <v>40.56</v>
      </c>
      <c r="F306" vm="3648">
        <f ca="1"/>
        <v>391.62</v>
      </c>
      <c r="G306" vm="3649">
        <f ca="1"/>
        <v>142.9753</v>
      </c>
      <c r="H306" vm="3650">
        <f ca="1"/>
        <v>177.53</v>
      </c>
      <c r="I306" vm="3651">
        <f ca="1"/>
        <v>38.314999999999998</v>
      </c>
      <c r="J306" vm="3652">
        <f ca="1"/>
        <v>66.63</v>
      </c>
      <c r="K306" vm="3653">
        <f ca="1"/>
        <v>6.0540000000000003</v>
      </c>
      <c r="L306" vm="3654">
        <f ca="1"/>
        <v>80.02</v>
      </c>
      <c r="M306" vm="3655">
        <f ca="1"/>
        <v>226.18</v>
      </c>
      <c r="N306" vm="3656">
        <f ca="1"/>
        <v>2728.12</v>
      </c>
    </row>
    <row r="307" spans="2:14" x14ac:dyDescent="0.35">
      <c r="B307" vm="3657">
        <f ca="1"/>
        <v>43166</v>
      </c>
      <c r="C307" vm="3658">
        <f ca="1"/>
        <v>55.752000000000002</v>
      </c>
      <c r="D307" vm="3659">
        <f ca="1"/>
        <v>77.25</v>
      </c>
      <c r="E307" vm="2704">
        <f ca="1"/>
        <v>40.74</v>
      </c>
      <c r="F307" vm="3660">
        <f ca="1"/>
        <v>391.38</v>
      </c>
      <c r="G307" vm="3661">
        <f ca="1"/>
        <v>144.0094</v>
      </c>
      <c r="H307" vm="3662">
        <f ca="1"/>
        <v>179.21</v>
      </c>
      <c r="I307" vm="3663">
        <f ca="1"/>
        <v>38.262500000000003</v>
      </c>
      <c r="J307" vm="3664">
        <f ca="1"/>
        <v>66.23</v>
      </c>
      <c r="K307" vm="3665">
        <f ca="1"/>
        <v>6.0460000000000003</v>
      </c>
      <c r="L307" vm="3666">
        <f ca="1"/>
        <v>79.16</v>
      </c>
      <c r="M307" vm="3667">
        <f ca="1"/>
        <v>227.27</v>
      </c>
      <c r="N307" vm="3668">
        <f ca="1"/>
        <v>2726.8</v>
      </c>
    </row>
    <row r="308" spans="2:14" x14ac:dyDescent="0.35">
      <c r="B308" vm="3669">
        <f ca="1"/>
        <v>43167</v>
      </c>
      <c r="C308" vm="3670">
        <f ca="1"/>
        <v>56.469000000000001</v>
      </c>
      <c r="D308" vm="3671">
        <f ca="1"/>
        <v>77.593000000000004</v>
      </c>
      <c r="E308" vm="3672">
        <f ca="1"/>
        <v>41.02</v>
      </c>
      <c r="F308" vm="3673">
        <f ca="1"/>
        <v>389.42</v>
      </c>
      <c r="G308" vm="3674">
        <f ca="1"/>
        <v>144.7945</v>
      </c>
      <c r="H308" vm="1411">
        <f ca="1"/>
        <v>179.25</v>
      </c>
      <c r="I308" vm="3675">
        <f ca="1"/>
        <v>38.577500000000001</v>
      </c>
      <c r="J308" vm="3676">
        <f ca="1"/>
        <v>66.739999999999995</v>
      </c>
      <c r="K308" vm="3677">
        <f ca="1"/>
        <v>6.0294999999999996</v>
      </c>
      <c r="L308" vm="3678">
        <f ca="1"/>
        <v>79.97</v>
      </c>
      <c r="M308" vm="3679">
        <f ca="1"/>
        <v>224.73</v>
      </c>
      <c r="N308" vm="3680">
        <f ca="1"/>
        <v>2738.97</v>
      </c>
    </row>
    <row r="309" spans="2:14" x14ac:dyDescent="0.35">
      <c r="B309" vm="3681">
        <f ca="1"/>
        <v>43168</v>
      </c>
      <c r="C309" vm="3682">
        <f ca="1"/>
        <v>58.042000000000002</v>
      </c>
      <c r="D309" vm="3683">
        <f ca="1"/>
        <v>78.944500000000005</v>
      </c>
      <c r="E309" vm="3684">
        <f ca="1"/>
        <v>41.81</v>
      </c>
      <c r="F309" vm="3685">
        <f ca="1"/>
        <v>395.16</v>
      </c>
      <c r="G309" vm="3686">
        <f ca="1"/>
        <v>147.64769999999999</v>
      </c>
      <c r="H309" vm="3687">
        <f ca="1"/>
        <v>183.24</v>
      </c>
      <c r="I309" vm="3688">
        <f ca="1"/>
        <v>38.702500000000001</v>
      </c>
      <c r="J309" vm="3689">
        <f ca="1"/>
        <v>68.78</v>
      </c>
      <c r="K309" vm="3690">
        <f ca="1"/>
        <v>6.1333000000000002</v>
      </c>
      <c r="L309" vm="3642">
        <f ca="1"/>
        <v>80.290000000000006</v>
      </c>
      <c r="M309" vm="3691">
        <f ca="1"/>
        <v>225.43</v>
      </c>
      <c r="N309" vm="3692">
        <f ca="1"/>
        <v>2786.57</v>
      </c>
    </row>
    <row r="310" spans="2:14" x14ac:dyDescent="0.35">
      <c r="B310" vm="3693">
        <f ca="1"/>
        <v>43171</v>
      </c>
      <c r="C310" vm="3694">
        <f ca="1"/>
        <v>58.296500000000002</v>
      </c>
      <c r="D310" vm="3695">
        <f ca="1"/>
        <v>79.919499999999999</v>
      </c>
      <c r="E310" vm="3696">
        <f ca="1"/>
        <v>41.65</v>
      </c>
      <c r="F310" vm="3697">
        <f ca="1"/>
        <v>395.35</v>
      </c>
      <c r="G310" vm="3698">
        <f ca="1"/>
        <v>145.75190000000001</v>
      </c>
      <c r="H310" vm="3699">
        <f ca="1"/>
        <v>182.54</v>
      </c>
      <c r="I310" vm="3700">
        <f ca="1"/>
        <v>38.597499999999997</v>
      </c>
      <c r="J310" vm="2291">
        <f ca="1"/>
        <v>68.09</v>
      </c>
      <c r="K310" vm="3701">
        <f ca="1"/>
        <v>6.2439999999999998</v>
      </c>
      <c r="L310" vm="3702">
        <f ca="1"/>
        <v>79.86</v>
      </c>
      <c r="M310" vm="2972">
        <f ca="1"/>
        <v>222.77</v>
      </c>
      <c r="N310" vm="3703">
        <f ca="1"/>
        <v>2783.02</v>
      </c>
    </row>
    <row r="311" spans="2:14" x14ac:dyDescent="0.35">
      <c r="B311" vm="3704">
        <f ca="1"/>
        <v>43172</v>
      </c>
      <c r="C311" vm="3705">
        <f ca="1"/>
        <v>56.9955</v>
      </c>
      <c r="D311" vm="3706">
        <f ca="1"/>
        <v>79.409000000000006</v>
      </c>
      <c r="E311" vm="3707">
        <f ca="1"/>
        <v>41.62</v>
      </c>
      <c r="F311" vm="3708">
        <f ca="1"/>
        <v>405.42</v>
      </c>
      <c r="G311" vm="3709">
        <f ca="1"/>
        <v>145.053</v>
      </c>
      <c r="H311" vm="3710">
        <f ca="1"/>
        <v>181.01</v>
      </c>
      <c r="I311" vm="3711">
        <f ca="1"/>
        <v>38.667499999999997</v>
      </c>
      <c r="J311" vm="3712">
        <f ca="1"/>
        <v>67.14</v>
      </c>
      <c r="K311" vm="3713">
        <f ca="1"/>
        <v>6.1928000000000001</v>
      </c>
      <c r="L311" vm="3714">
        <f ca="1"/>
        <v>79.72</v>
      </c>
      <c r="M311" vm="3715">
        <f ca="1"/>
        <v>226.94</v>
      </c>
      <c r="N311" vm="3716">
        <f ca="1"/>
        <v>2765.31</v>
      </c>
    </row>
    <row r="312" spans="2:14" x14ac:dyDescent="0.35">
      <c r="B312" vm="3717">
        <f ca="1"/>
        <v>43173</v>
      </c>
      <c r="C312" vm="3718">
        <f ca="1"/>
        <v>57.444499999999998</v>
      </c>
      <c r="D312" vm="669">
        <f ca="1"/>
        <v>79.55</v>
      </c>
      <c r="E312" vm="2189">
        <f ca="1"/>
        <v>40.94</v>
      </c>
      <c r="F312" vm="3719">
        <f ca="1"/>
        <v>413.71</v>
      </c>
      <c r="G312" vm="3720">
        <f ca="1"/>
        <v>144.0189</v>
      </c>
      <c r="H312" vm="3721">
        <f ca="1"/>
        <v>180.12</v>
      </c>
      <c r="I312" vm="3722">
        <f ca="1"/>
        <v>39.502499999999998</v>
      </c>
      <c r="J312" vm="2205">
        <f ca="1"/>
        <v>66.430000000000007</v>
      </c>
      <c r="K312" vm="3723">
        <f ca="1"/>
        <v>6.2184999999999997</v>
      </c>
      <c r="L312" vm="3724">
        <f ca="1"/>
        <v>79</v>
      </c>
      <c r="M312" vm="3725">
        <f ca="1"/>
        <v>225.38</v>
      </c>
      <c r="N312" vm="3726">
        <f ca="1"/>
        <v>2749.48</v>
      </c>
    </row>
    <row r="313" spans="2:14" x14ac:dyDescent="0.35">
      <c r="B313" vm="3727">
        <f ca="1"/>
        <v>43174</v>
      </c>
      <c r="C313" vm="3728">
        <f ca="1"/>
        <v>57.530500000000004</v>
      </c>
      <c r="D313" vm="3729">
        <f ca="1"/>
        <v>79.116</v>
      </c>
      <c r="E313" vm="2324">
        <f ca="1"/>
        <v>40.97</v>
      </c>
      <c r="F313" vm="3730">
        <f ca="1"/>
        <v>415.23</v>
      </c>
      <c r="G313" vm="3731">
        <f ca="1"/>
        <v>144.6413</v>
      </c>
      <c r="H313" vm="3732">
        <f ca="1"/>
        <v>180.95</v>
      </c>
      <c r="I313" vm="3733">
        <f ca="1"/>
        <v>39.534999999999997</v>
      </c>
      <c r="J313" vm="1650">
        <f ca="1"/>
        <v>65.349999999999994</v>
      </c>
      <c r="K313" vm="3734">
        <f ca="1"/>
        <v>6.2335000000000003</v>
      </c>
      <c r="L313" vm="767">
        <f ca="1"/>
        <v>78.67</v>
      </c>
      <c r="M313" vm="3735">
        <f ca="1"/>
        <v>229.48</v>
      </c>
      <c r="N313" vm="3736">
        <f ca="1"/>
        <v>2747.33</v>
      </c>
    </row>
    <row r="314" spans="2:14" x14ac:dyDescent="0.35">
      <c r="B314" vm="3737">
        <f ca="1"/>
        <v>43175</v>
      </c>
      <c r="C314" vm="3738">
        <f ca="1"/>
        <v>56.720999999999997</v>
      </c>
      <c r="D314" vm="3739">
        <f ca="1"/>
        <v>78.584000000000003</v>
      </c>
      <c r="E314" vm="3740">
        <f ca="1"/>
        <v>40.6</v>
      </c>
      <c r="F314" vm="3741">
        <f ca="1"/>
        <v>419.89</v>
      </c>
      <c r="G314" vm="3742">
        <f ca="1"/>
        <v>145.3211</v>
      </c>
      <c r="H314" vm="3743">
        <f ca="1"/>
        <v>182.55</v>
      </c>
      <c r="I314" vm="2164">
        <f ca="1"/>
        <v>40.26</v>
      </c>
      <c r="J314" vm="3744">
        <f ca="1"/>
        <v>66.099999999999994</v>
      </c>
      <c r="K314" vm="3745">
        <f ca="1"/>
        <v>6.2619999999999996</v>
      </c>
      <c r="L314" vm="3746">
        <f ca="1"/>
        <v>78.97</v>
      </c>
      <c r="M314" vm="3747">
        <f ca="1"/>
        <v>227.86</v>
      </c>
      <c r="N314" vm="3748">
        <f ca="1"/>
        <v>2752.01</v>
      </c>
    </row>
    <row r="315" spans="2:14" x14ac:dyDescent="0.35">
      <c r="B315" vm="3749">
        <f ca="1"/>
        <v>43178</v>
      </c>
      <c r="C315" vm="3750">
        <f ca="1"/>
        <v>55.003500000000003</v>
      </c>
      <c r="D315" vm="3751">
        <f ca="1"/>
        <v>77.246499999999997</v>
      </c>
      <c r="E315" vm="3752">
        <f ca="1"/>
        <v>40.229999999999997</v>
      </c>
      <c r="F315" vm="3753">
        <f ca="1"/>
        <v>411.71</v>
      </c>
      <c r="G315" vm="3754">
        <f ca="1"/>
        <v>143.8083</v>
      </c>
      <c r="H315" vm="3755">
        <f ca="1"/>
        <v>180.58</v>
      </c>
      <c r="I315" vm="3756">
        <f ca="1"/>
        <v>39.982500000000002</v>
      </c>
      <c r="J315" vm="3757">
        <f ca="1"/>
        <v>64.7</v>
      </c>
      <c r="K315" vm="3758">
        <f ca="1"/>
        <v>6.0250000000000004</v>
      </c>
      <c r="L315" vm="3759">
        <f ca="1"/>
        <v>78.66</v>
      </c>
      <c r="M315" vm="3760">
        <f ca="1"/>
        <v>225.05</v>
      </c>
      <c r="N315" vm="3761">
        <f ca="1"/>
        <v>2712.92</v>
      </c>
    </row>
    <row r="316" spans="2:14" x14ac:dyDescent="0.35">
      <c r="B316" vm="3762">
        <f ca="1"/>
        <v>43179</v>
      </c>
      <c r="C316" vm="3763">
        <f ca="1"/>
        <v>54.79</v>
      </c>
      <c r="D316" vm="3764">
        <f ca="1"/>
        <v>79.325500000000005</v>
      </c>
      <c r="E316" vm="3765">
        <f ca="1"/>
        <v>39.89</v>
      </c>
      <c r="F316" vm="3766">
        <f ca="1"/>
        <v>415.26</v>
      </c>
      <c r="G316" vm="3767">
        <f ca="1"/>
        <v>144.07640000000001</v>
      </c>
      <c r="H316" vm="3768">
        <f ca="1"/>
        <v>182.51</v>
      </c>
      <c r="I316" vm="3769">
        <f ca="1"/>
        <v>40.104999999999997</v>
      </c>
      <c r="J316" vm="3770">
        <f ca="1"/>
        <v>65.56</v>
      </c>
      <c r="K316" vm="3771">
        <f ca="1"/>
        <v>6.2394999999999996</v>
      </c>
      <c r="L316" vm="754">
        <f ca="1"/>
        <v>78.31</v>
      </c>
      <c r="M316" vm="2902">
        <f ca="1"/>
        <v>226.78</v>
      </c>
      <c r="N316" vm="3772">
        <f ca="1"/>
        <v>2716.94</v>
      </c>
    </row>
    <row r="317" spans="2:14" x14ac:dyDescent="0.35">
      <c r="B317" vm="3773">
        <f ca="1"/>
        <v>43180</v>
      </c>
      <c r="C317" vm="3774">
        <f ca="1"/>
        <v>54.7</v>
      </c>
      <c r="D317" vm="3775">
        <f ca="1"/>
        <v>79.093000000000004</v>
      </c>
      <c r="E317" vm="1110">
        <f ca="1"/>
        <v>39.82</v>
      </c>
      <c r="F317" vm="3776">
        <f ca="1"/>
        <v>411.84</v>
      </c>
      <c r="G317" vm="3777">
        <f ca="1"/>
        <v>144.91890000000001</v>
      </c>
      <c r="H317" vm="3778">
        <f ca="1"/>
        <v>180.75</v>
      </c>
      <c r="I317" vm="1084">
        <f ca="1"/>
        <v>40.020000000000003</v>
      </c>
      <c r="J317" vm="2457">
        <f ca="1"/>
        <v>67.739999999999995</v>
      </c>
      <c r="K317" vm="3779">
        <f ca="1"/>
        <v>6.2140000000000004</v>
      </c>
      <c r="L317" vm="3780">
        <f ca="1"/>
        <v>77.040000000000006</v>
      </c>
      <c r="M317" vm="3781">
        <f ca="1"/>
        <v>222.82</v>
      </c>
      <c r="N317" vm="3782">
        <f ca="1"/>
        <v>2711.93</v>
      </c>
    </row>
    <row r="318" spans="2:14" x14ac:dyDescent="0.35">
      <c r="B318" vm="3783">
        <f ca="1"/>
        <v>43181</v>
      </c>
      <c r="C318" vm="3784">
        <f ca="1"/>
        <v>52.657499999999999</v>
      </c>
      <c r="D318" vm="3785">
        <f ca="1"/>
        <v>77.245999999999995</v>
      </c>
      <c r="E318" vm="3539">
        <f ca="1"/>
        <v>39.14</v>
      </c>
      <c r="F318" vm="3786">
        <f ca="1"/>
        <v>417.58</v>
      </c>
      <c r="G318" vm="2776">
        <f ca="1"/>
        <v>140.62960000000001</v>
      </c>
      <c r="H318" vm="3787">
        <f ca="1"/>
        <v>175.52</v>
      </c>
      <c r="I318" vm="3788">
        <f ca="1"/>
        <v>40.472499999999997</v>
      </c>
      <c r="J318" vm="3789">
        <f ca="1"/>
        <v>65.52</v>
      </c>
      <c r="K318" vm="3790">
        <f ca="1"/>
        <v>6.0462999999999996</v>
      </c>
      <c r="L318" vm="3791">
        <f ca="1"/>
        <v>76.41</v>
      </c>
      <c r="M318" vm="3792">
        <f ca="1"/>
        <v>215.21</v>
      </c>
      <c r="N318" vm="3793">
        <f ca="1"/>
        <v>2643.69</v>
      </c>
    </row>
    <row r="319" spans="2:14" x14ac:dyDescent="0.35">
      <c r="B319" vm="3794">
        <f ca="1"/>
        <v>43182</v>
      </c>
      <c r="C319" vm="3795">
        <f ca="1"/>
        <v>51.327500000000001</v>
      </c>
      <c r="D319" vm="3796">
        <f ca="1"/>
        <v>74.778000000000006</v>
      </c>
      <c r="E319" vm="3797">
        <f ca="1"/>
        <v>38.770000000000003</v>
      </c>
      <c r="F319" vm="3798">
        <f ca="1"/>
        <v>401.68</v>
      </c>
      <c r="G319" vm="3799">
        <f ca="1"/>
        <v>137.18279999999999</v>
      </c>
      <c r="H319" vm="3800">
        <f ca="1"/>
        <v>171.83</v>
      </c>
      <c r="I319" vm="3801">
        <f ca="1"/>
        <v>39.872500000000002</v>
      </c>
      <c r="J319" vm="3802">
        <f ca="1"/>
        <v>64.14</v>
      </c>
      <c r="K319" vm="3803">
        <f ca="1"/>
        <v>5.8243</v>
      </c>
      <c r="L319" vm="3804">
        <f ca="1"/>
        <v>75.91</v>
      </c>
      <c r="M319" vm="3805">
        <f ca="1"/>
        <v>212.55</v>
      </c>
      <c r="N319" vm="3806">
        <f ca="1"/>
        <v>2588.2600000000002</v>
      </c>
    </row>
    <row r="320" spans="2:14" x14ac:dyDescent="0.35">
      <c r="B320" vm="3807">
        <f ca="1"/>
        <v>43185</v>
      </c>
      <c r="C320" vm="3808">
        <f ca="1"/>
        <v>52.704500000000003</v>
      </c>
      <c r="D320" vm="3809">
        <f ca="1"/>
        <v>77.793000000000006</v>
      </c>
      <c r="E320" vm="3810">
        <f ca="1"/>
        <v>39.31</v>
      </c>
      <c r="F320" vm="3811">
        <f ca="1"/>
        <v>409.61</v>
      </c>
      <c r="G320" vm="3812">
        <f ca="1"/>
        <v>140.68700000000001</v>
      </c>
      <c r="H320" vm="3813">
        <f ca="1"/>
        <v>177.17</v>
      </c>
      <c r="I320" vm="3814">
        <f ca="1"/>
        <v>40.357500000000002</v>
      </c>
      <c r="J320" vm="3815">
        <f ca="1"/>
        <v>64.459999999999994</v>
      </c>
      <c r="K320" vm="3816">
        <f ca="1"/>
        <v>6.1120000000000001</v>
      </c>
      <c r="L320" vm="3791">
        <f ca="1"/>
        <v>76.41</v>
      </c>
      <c r="M320" vm="3817">
        <f ca="1"/>
        <v>219.07</v>
      </c>
      <c r="N320" vm="3818">
        <f ca="1"/>
        <v>2658.55</v>
      </c>
    </row>
    <row r="321" spans="2:14" x14ac:dyDescent="0.35">
      <c r="B321" vm="3819">
        <f ca="1"/>
        <v>43186</v>
      </c>
      <c r="C321" vm="3820">
        <f ca="1"/>
        <v>50.347000000000001</v>
      </c>
      <c r="D321" vm="3821">
        <f ca="1"/>
        <v>74.852500000000006</v>
      </c>
      <c r="E321" vm="3822">
        <f ca="1"/>
        <v>39.19</v>
      </c>
      <c r="F321" vm="3823">
        <f ca="1"/>
        <v>409.88</v>
      </c>
      <c r="G321" vm="3824">
        <f ca="1"/>
        <v>138.1977</v>
      </c>
      <c r="H321" vm="3493">
        <f ca="1"/>
        <v>172.52</v>
      </c>
      <c r="I321" vm="3825">
        <f ca="1"/>
        <v>40.647500000000001</v>
      </c>
      <c r="J321" vm="3826">
        <f ca="1"/>
        <v>64.48</v>
      </c>
      <c r="K321" vm="3827">
        <f ca="1"/>
        <v>5.6379999999999999</v>
      </c>
      <c r="L321" vm="3828">
        <f ca="1"/>
        <v>77.790000000000006</v>
      </c>
      <c r="M321" vm="3829">
        <f ca="1"/>
        <v>217.96</v>
      </c>
      <c r="N321" vm="3830">
        <f ca="1"/>
        <v>2612.62</v>
      </c>
    </row>
    <row r="322" spans="2:14" x14ac:dyDescent="0.35">
      <c r="B322" vm="3831">
        <f ca="1"/>
        <v>43187</v>
      </c>
      <c r="C322" vm="3832">
        <f ca="1"/>
        <v>50.259</v>
      </c>
      <c r="D322" vm="3833">
        <f ca="1"/>
        <v>71.570999999999998</v>
      </c>
      <c r="E322" vm="3822">
        <f ca="1"/>
        <v>39.19</v>
      </c>
      <c r="F322" vm="3834">
        <f ca="1"/>
        <v>417.02</v>
      </c>
      <c r="G322" vm="3835">
        <f ca="1"/>
        <v>137.1636</v>
      </c>
      <c r="H322" vm="3836">
        <f ca="1"/>
        <v>170.35</v>
      </c>
      <c r="I322" vm="3837">
        <f ca="1"/>
        <v>40.567500000000003</v>
      </c>
      <c r="J322" vm="3838">
        <f ca="1"/>
        <v>63.21</v>
      </c>
      <c r="K322" vm="3839">
        <f ca="1"/>
        <v>5.5338000000000003</v>
      </c>
      <c r="L322" vm="3840">
        <f ca="1"/>
        <v>78.84</v>
      </c>
      <c r="M322" vm="3841">
        <f ca="1"/>
        <v>218.5</v>
      </c>
      <c r="N322" vm="3842">
        <f ca="1"/>
        <v>2605</v>
      </c>
    </row>
    <row r="323" spans="2:14" x14ac:dyDescent="0.35">
      <c r="B323" vm="3843">
        <f ca="1"/>
        <v>43188</v>
      </c>
      <c r="C323" vm="3844">
        <f ca="1"/>
        <v>51.856999999999999</v>
      </c>
      <c r="D323" vm="3845">
        <f ca="1"/>
        <v>72.367000000000004</v>
      </c>
      <c r="E323" vm="3846">
        <f ca="1"/>
        <v>39.71</v>
      </c>
      <c r="F323" vm="3847">
        <f ca="1"/>
        <v>418.14</v>
      </c>
      <c r="G323" vm="3848">
        <f ca="1"/>
        <v>138.3604</v>
      </c>
      <c r="H323" vm="3849">
        <f ca="1"/>
        <v>175.16</v>
      </c>
      <c r="I323" vm="3850">
        <f ca="1"/>
        <v>40.832500000000003</v>
      </c>
      <c r="J323" vm="3851">
        <f ca="1"/>
        <v>64.78</v>
      </c>
      <c r="K323" vm="3852">
        <f ca="1"/>
        <v>5.7897999999999996</v>
      </c>
      <c r="L323" vm="3853">
        <f ca="1"/>
        <v>79.28</v>
      </c>
      <c r="M323" vm="3854">
        <f ca="1"/>
        <v>214</v>
      </c>
      <c r="N323" vm="3855">
        <f ca="1"/>
        <v>2640.87</v>
      </c>
    </row>
    <row r="324" spans="2:14" x14ac:dyDescent="0.35">
      <c r="B324" vm="3856">
        <f ca="1"/>
        <v>43192</v>
      </c>
      <c r="C324" vm="3857">
        <f ca="1"/>
        <v>50.631500000000003</v>
      </c>
      <c r="D324" vm="3858">
        <f ca="1"/>
        <v>68.599500000000006</v>
      </c>
      <c r="E324" vm="2977">
        <f ca="1"/>
        <v>38.89</v>
      </c>
      <c r="F324" vm="3859">
        <f ca="1"/>
        <v>408.55</v>
      </c>
      <c r="G324" vm="3860">
        <f ca="1"/>
        <v>136.369</v>
      </c>
      <c r="H324" vm="3861">
        <f ca="1"/>
        <v>171.6</v>
      </c>
      <c r="I324" vm="3862">
        <f ca="1"/>
        <v>40.592500000000001</v>
      </c>
      <c r="J324" vm="3863">
        <f ca="1"/>
        <v>63.48</v>
      </c>
      <c r="K324" vm="3864">
        <f ca="1"/>
        <v>5.5263</v>
      </c>
      <c r="L324" vm="3865">
        <f ca="1"/>
        <v>77.400000000000006</v>
      </c>
      <c r="M324" vm="3866">
        <f ca="1"/>
        <v>217.2</v>
      </c>
      <c r="N324" vm="3867">
        <f ca="1"/>
        <v>2581.88</v>
      </c>
    </row>
    <row r="325" spans="2:14" x14ac:dyDescent="0.35">
      <c r="B325" vm="3868">
        <f ca="1"/>
        <v>43193</v>
      </c>
      <c r="C325" vm="3869">
        <f ca="1"/>
        <v>50.933999999999997</v>
      </c>
      <c r="D325" vm="3870">
        <f ca="1"/>
        <v>69.602500000000006</v>
      </c>
      <c r="E325" vm="3871">
        <f ca="1"/>
        <v>39.659999999999997</v>
      </c>
      <c r="F325" vm="3872">
        <f ca="1"/>
        <v>408.6</v>
      </c>
      <c r="G325" vm="3873">
        <f ca="1"/>
        <v>138.12110000000001</v>
      </c>
      <c r="H325" vm="3874">
        <f ca="1"/>
        <v>172.47</v>
      </c>
      <c r="I325" vm="3875">
        <f ca="1"/>
        <v>40.5</v>
      </c>
      <c r="J325" vm="3876">
        <f ca="1"/>
        <v>64.790000000000006</v>
      </c>
      <c r="K325" vm="3877">
        <f ca="1"/>
        <v>5.6337999999999999</v>
      </c>
      <c r="L325" vm="3878">
        <f ca="1"/>
        <v>78.459999999999994</v>
      </c>
      <c r="M325" vm="3879">
        <f ca="1"/>
        <v>224.58</v>
      </c>
      <c r="N325" vm="3880">
        <f ca="1"/>
        <v>2614.4499999999998</v>
      </c>
    </row>
    <row r="326" spans="2:14" x14ac:dyDescent="0.35">
      <c r="B326" vm="3881">
        <f ca="1"/>
        <v>43194</v>
      </c>
      <c r="C326" vm="3882">
        <f ca="1"/>
        <v>51.485500000000002</v>
      </c>
      <c r="D326" vm="3883">
        <f ca="1"/>
        <v>70.528499999999994</v>
      </c>
      <c r="E326" vm="3884">
        <f ca="1"/>
        <v>40.090000000000003</v>
      </c>
      <c r="F326" vm="3885">
        <f ca="1"/>
        <v>411.99</v>
      </c>
      <c r="G326" vm="3886">
        <f ca="1"/>
        <v>138.6764</v>
      </c>
      <c r="H326" vm="3887">
        <f ca="1"/>
        <v>173.69</v>
      </c>
      <c r="I326" vm="3888">
        <f ca="1"/>
        <v>40.582500000000003</v>
      </c>
      <c r="J326" vm="3889">
        <f ca="1"/>
        <v>64.81</v>
      </c>
      <c r="K326" vm="3890">
        <f ca="1"/>
        <v>5.6559999999999997</v>
      </c>
      <c r="L326" vm="3891">
        <f ca="1"/>
        <v>79.05</v>
      </c>
      <c r="M326" vm="3892">
        <f ca="1"/>
        <v>228.79</v>
      </c>
      <c r="N326" vm="3893">
        <f ca="1"/>
        <v>2644.69</v>
      </c>
    </row>
    <row r="327" spans="2:14" x14ac:dyDescent="0.35">
      <c r="B327" vm="3894">
        <f ca="1"/>
        <v>43195</v>
      </c>
      <c r="C327" vm="3895">
        <f ca="1"/>
        <v>51.631999999999998</v>
      </c>
      <c r="D327" vm="3896">
        <f ca="1"/>
        <v>72.587500000000006</v>
      </c>
      <c r="E327" vm="1390">
        <f ca="1"/>
        <v>40.28</v>
      </c>
      <c r="F327" vm="3897">
        <f ca="1"/>
        <v>413.59</v>
      </c>
      <c r="G327" vm="3898">
        <f ca="1"/>
        <v>140.16999999999999</v>
      </c>
      <c r="H327" vm="3899">
        <f ca="1"/>
        <v>175.8</v>
      </c>
      <c r="I327" vm="2299">
        <f ca="1"/>
        <v>41</v>
      </c>
      <c r="J327" vm="2193">
        <f ca="1"/>
        <v>65.77</v>
      </c>
      <c r="K327" vm="3900">
        <f ca="1"/>
        <v>5.5345000000000004</v>
      </c>
      <c r="L327" vm="3901">
        <f ca="1"/>
        <v>78.8</v>
      </c>
      <c r="M327" vm="3902">
        <f ca="1"/>
        <v>229.07</v>
      </c>
      <c r="N327" vm="3903">
        <f ca="1"/>
        <v>2662.84</v>
      </c>
    </row>
    <row r="328" spans="2:14" x14ac:dyDescent="0.35">
      <c r="B328" vm="3904">
        <f ca="1"/>
        <v>43196</v>
      </c>
      <c r="C328" vm="3905">
        <f ca="1"/>
        <v>50.497500000000002</v>
      </c>
      <c r="D328" vm="3906">
        <f ca="1"/>
        <v>70.261499999999998</v>
      </c>
      <c r="E328" vm="3907">
        <f ca="1"/>
        <v>39.26</v>
      </c>
      <c r="F328" vm="3908">
        <f ca="1"/>
        <v>407.04</v>
      </c>
      <c r="G328" vm="3909">
        <f ca="1"/>
        <v>136.66579999999999</v>
      </c>
      <c r="H328" vm="671">
        <f ca="1"/>
        <v>169.7</v>
      </c>
      <c r="I328" vm="3910">
        <f ca="1"/>
        <v>40.6875</v>
      </c>
      <c r="J328" vm="3911">
        <f ca="1"/>
        <v>64.36</v>
      </c>
      <c r="K328" vm="3912">
        <f ca="1"/>
        <v>5.3563000000000001</v>
      </c>
      <c r="L328" vm="3913">
        <f ca="1"/>
        <v>78.430000000000007</v>
      </c>
      <c r="M328" vm="3914">
        <f ca="1"/>
        <v>223.96</v>
      </c>
      <c r="N328" vm="3915">
        <f ca="1"/>
        <v>2604.4699999999998</v>
      </c>
    </row>
    <row r="329" spans="2:14" x14ac:dyDescent="0.35">
      <c r="B329" vm="3916">
        <f ca="1"/>
        <v>43199</v>
      </c>
      <c r="C329" vm="3917">
        <f ca="1"/>
        <v>51.0045</v>
      </c>
      <c r="D329" vm="3918">
        <f ca="1"/>
        <v>70.304000000000002</v>
      </c>
      <c r="E329" vm="2070">
        <f ca="1"/>
        <v>39.299999999999997</v>
      </c>
      <c r="F329" vm="3919">
        <f ca="1"/>
        <v>409.57</v>
      </c>
      <c r="G329" vm="3920">
        <f ca="1"/>
        <v>136.75190000000001</v>
      </c>
      <c r="H329" vm="3339">
        <f ca="1"/>
        <v>170.34</v>
      </c>
      <c r="I329" vm="3921">
        <f ca="1"/>
        <v>40.532499999999999</v>
      </c>
      <c r="J329" vm="3922">
        <f ca="1"/>
        <v>64.260000000000005</v>
      </c>
      <c r="K329" vm="3923">
        <f ca="1"/>
        <v>5.3853</v>
      </c>
      <c r="L329" vm="3924">
        <f ca="1"/>
        <v>78.16</v>
      </c>
      <c r="M329" vm="3925">
        <f ca="1"/>
        <v>222.73</v>
      </c>
      <c r="N329" vm="3926">
        <f ca="1"/>
        <v>2613.16</v>
      </c>
    </row>
    <row r="330" spans="2:14" x14ac:dyDescent="0.35">
      <c r="B330" vm="3927">
        <f ca="1"/>
        <v>43200</v>
      </c>
      <c r="C330" vm="3928">
        <f ca="1"/>
        <v>51.825000000000003</v>
      </c>
      <c r="D330" vm="3929">
        <f ca="1"/>
        <v>71.811000000000007</v>
      </c>
      <c r="E330" vm="3930">
        <f ca="1"/>
        <v>40.14</v>
      </c>
      <c r="F330" vm="3931">
        <f ca="1"/>
        <v>405.59</v>
      </c>
      <c r="G330" vm="3932">
        <f ca="1"/>
        <v>139.43279999999999</v>
      </c>
      <c r="H330" vm="3933">
        <f ca="1"/>
        <v>174.72</v>
      </c>
      <c r="I330" vm="3934">
        <f ca="1"/>
        <v>40.450000000000003</v>
      </c>
      <c r="J330" vm="3935">
        <f ca="1"/>
        <v>66.709999999999994</v>
      </c>
      <c r="K330" vm="3936">
        <f ca="1"/>
        <v>5.6978</v>
      </c>
      <c r="L330" vm="3937">
        <f ca="1"/>
        <v>78.37</v>
      </c>
      <c r="M330" vm="3938">
        <f ca="1"/>
        <v>226.79</v>
      </c>
      <c r="N330" vm="3939">
        <f ca="1"/>
        <v>2656.87</v>
      </c>
    </row>
    <row r="331" spans="2:14" x14ac:dyDescent="0.35">
      <c r="B331" vm="3940">
        <f ca="1"/>
        <v>43201</v>
      </c>
      <c r="C331" vm="3941">
        <f ca="1"/>
        <v>51.253</v>
      </c>
      <c r="D331" vm="3942">
        <f ca="1"/>
        <v>71.352500000000006</v>
      </c>
      <c r="E331" vm="3943">
        <f ca="1"/>
        <v>40.25</v>
      </c>
      <c r="F331" vm="3944">
        <f ca="1"/>
        <v>408.98</v>
      </c>
      <c r="G331" vm="3945">
        <f ca="1"/>
        <v>138.14019999999999</v>
      </c>
      <c r="H331" vm="3946">
        <f ca="1"/>
        <v>172.36</v>
      </c>
      <c r="I331" vm="2164">
        <f ca="1"/>
        <v>40.26</v>
      </c>
      <c r="J331" vm="3947">
        <f ca="1"/>
        <v>67.55</v>
      </c>
      <c r="K331" vm="3890">
        <f ca="1"/>
        <v>5.6559999999999997</v>
      </c>
      <c r="L331" vm="3948">
        <f ca="1"/>
        <v>78.27</v>
      </c>
      <c r="M331" vm="3949">
        <f ca="1"/>
        <v>221.9</v>
      </c>
      <c r="N331" vm="3950">
        <f ca="1"/>
        <v>2642.19</v>
      </c>
    </row>
    <row r="332" spans="2:14" x14ac:dyDescent="0.35">
      <c r="B332" vm="3951">
        <f ca="1"/>
        <v>43202</v>
      </c>
      <c r="C332" vm="3952">
        <f ca="1"/>
        <v>51.8645</v>
      </c>
      <c r="D332" vm="3953">
        <f ca="1"/>
        <v>72.424999999999997</v>
      </c>
      <c r="E332" vm="297">
        <f ca="1"/>
        <v>40.51</v>
      </c>
      <c r="F332" vm="3954">
        <f ca="1"/>
        <v>401.2</v>
      </c>
      <c r="G332" vm="3955">
        <f ca="1"/>
        <v>140.23699999999999</v>
      </c>
      <c r="H332" vm="3956">
        <f ca="1"/>
        <v>174.8</v>
      </c>
      <c r="I332" vm="3957">
        <f ca="1"/>
        <v>39.767499999999998</v>
      </c>
      <c r="J332" vm="3958">
        <f ca="1"/>
        <v>67.56</v>
      </c>
      <c r="K332" vm="3959">
        <f ca="1"/>
        <v>5.8650000000000002</v>
      </c>
      <c r="L332" vm="3828">
        <f ca="1"/>
        <v>77.790000000000006</v>
      </c>
      <c r="M332" vm="3960">
        <f ca="1"/>
        <v>224.24</v>
      </c>
      <c r="N332" vm="3961">
        <f ca="1"/>
        <v>2663.99</v>
      </c>
    </row>
    <row r="333" spans="2:14" x14ac:dyDescent="0.35">
      <c r="B333" vm="3962">
        <f ca="1"/>
        <v>43203</v>
      </c>
      <c r="C333" vm="3963">
        <f ca="1"/>
        <v>51.802</v>
      </c>
      <c r="D333" vm="3964">
        <f ca="1"/>
        <v>71.539500000000004</v>
      </c>
      <c r="E333" vm="1957">
        <f ca="1"/>
        <v>40.64</v>
      </c>
      <c r="F333" vm="3965">
        <f ca="1"/>
        <v>401.45</v>
      </c>
      <c r="G333" vm="2567">
        <f ca="1"/>
        <v>139.90190000000001</v>
      </c>
      <c r="H333" vm="3966">
        <f ca="1"/>
        <v>174.27</v>
      </c>
      <c r="I333" vm="3967">
        <f ca="1"/>
        <v>40.055</v>
      </c>
      <c r="J333" vm="3968">
        <f ca="1"/>
        <v>67.95</v>
      </c>
      <c r="K333" vm="3969">
        <f ca="1"/>
        <v>5.7874999999999996</v>
      </c>
      <c r="L333" vm="3937">
        <f ca="1"/>
        <v>78.37</v>
      </c>
      <c r="M333" vm="3970">
        <f ca="1"/>
        <v>224.28</v>
      </c>
      <c r="N333" vm="3971">
        <f ca="1"/>
        <v>2656.3</v>
      </c>
    </row>
    <row r="334" spans="2:14" x14ac:dyDescent="0.35">
      <c r="B334" vm="3972">
        <f ca="1"/>
        <v>43206</v>
      </c>
      <c r="C334" vm="3973">
        <f ca="1"/>
        <v>52.305</v>
      </c>
      <c r="D334" vm="3974">
        <f ca="1"/>
        <v>72.075000000000003</v>
      </c>
      <c r="E334" vm="3975">
        <f ca="1"/>
        <v>40.76</v>
      </c>
      <c r="F334" vm="3976">
        <f ca="1"/>
        <v>405.52</v>
      </c>
      <c r="G334" vm="3977">
        <f ca="1"/>
        <v>140.5051</v>
      </c>
      <c r="H334" vm="3978">
        <f ca="1"/>
        <v>173.87</v>
      </c>
      <c r="I334" vm="2238">
        <f ca="1"/>
        <v>40.53</v>
      </c>
      <c r="J334" vm="3979">
        <f ca="1"/>
        <v>68.52</v>
      </c>
      <c r="K334" vm="3980">
        <f ca="1"/>
        <v>5.7873000000000001</v>
      </c>
      <c r="L334" vm="3981">
        <f ca="1"/>
        <v>78.61</v>
      </c>
      <c r="M334" vm="3982">
        <f ca="1"/>
        <v>230.32</v>
      </c>
      <c r="N334" vm="3983">
        <f ca="1"/>
        <v>2677.84</v>
      </c>
    </row>
    <row r="335" spans="2:14" x14ac:dyDescent="0.35">
      <c r="B335" vm="3984">
        <f ca="1"/>
        <v>43207</v>
      </c>
      <c r="C335" vm="3985">
        <f ca="1"/>
        <v>53.968000000000004</v>
      </c>
      <c r="D335" vm="3986">
        <f ca="1"/>
        <v>75.191500000000005</v>
      </c>
      <c r="E335" vm="3987">
        <f ca="1"/>
        <v>41.41</v>
      </c>
      <c r="F335" vm="3988">
        <f ca="1"/>
        <v>409.76</v>
      </c>
      <c r="G335" vm="3989">
        <f ca="1"/>
        <v>142.37209999999999</v>
      </c>
      <c r="H335" vm="3990">
        <f ca="1"/>
        <v>178.34</v>
      </c>
      <c r="I335" vm="3991">
        <f ca="1"/>
        <v>40.805</v>
      </c>
      <c r="J335" vm="3992">
        <f ca="1"/>
        <v>68.66</v>
      </c>
      <c r="K335" vm="3993">
        <f ca="1"/>
        <v>5.9385000000000003</v>
      </c>
      <c r="L335" vm="3913">
        <f ca="1"/>
        <v>78.430000000000007</v>
      </c>
      <c r="M335" vm="3994">
        <f ca="1"/>
        <v>238.55</v>
      </c>
      <c r="N335" vm="3995">
        <f ca="1"/>
        <v>2706.39</v>
      </c>
    </row>
    <row r="336" spans="2:14" x14ac:dyDescent="0.35">
      <c r="B336" vm="3996">
        <f ca="1"/>
        <v>43208</v>
      </c>
      <c r="C336" vm="3997">
        <f ca="1"/>
        <v>53.769500000000001</v>
      </c>
      <c r="D336" vm="3998">
        <f ca="1"/>
        <v>76.391999999999996</v>
      </c>
      <c r="E336" vm="3999">
        <f ca="1"/>
        <v>41.25</v>
      </c>
      <c r="F336" vm="4000">
        <f ca="1"/>
        <v>414.18</v>
      </c>
      <c r="G336" vm="4001">
        <f ca="1"/>
        <v>143.0136</v>
      </c>
      <c r="H336" vm="4002">
        <f ca="1"/>
        <v>179.46</v>
      </c>
      <c r="I336" vm="4003">
        <f ca="1"/>
        <v>40.715000000000003</v>
      </c>
      <c r="J336" vm="4004">
        <f ca="1"/>
        <v>70.34</v>
      </c>
      <c r="K336" vm="4005">
        <f ca="1"/>
        <v>5.9093</v>
      </c>
      <c r="L336" vm="4006">
        <f ca="1"/>
        <v>78.2</v>
      </c>
      <c r="M336" vm="4007">
        <f ca="1"/>
        <v>236.4</v>
      </c>
      <c r="N336" vm="4008">
        <f ca="1"/>
        <v>2708.64</v>
      </c>
    </row>
    <row r="337" spans="2:14" x14ac:dyDescent="0.35">
      <c r="B337" vm="4009">
        <f ca="1"/>
        <v>43209</v>
      </c>
      <c r="C337" vm="4010">
        <f ca="1"/>
        <v>54.472499999999997</v>
      </c>
      <c r="D337" vm="4011">
        <f ca="1"/>
        <v>77.845500000000001</v>
      </c>
      <c r="E337" vm="4012">
        <f ca="1"/>
        <v>40.92</v>
      </c>
      <c r="F337" vm="4013">
        <f ca="1"/>
        <v>409.37</v>
      </c>
      <c r="G337" vm="4014">
        <f ca="1"/>
        <v>141.82640000000001</v>
      </c>
      <c r="H337" vm="4015">
        <f ca="1"/>
        <v>179.01</v>
      </c>
      <c r="I337" vm="4016">
        <f ca="1"/>
        <v>40.634999999999998</v>
      </c>
      <c r="J337" vm="4017">
        <f ca="1"/>
        <v>70.28</v>
      </c>
      <c r="K337" vm="4018">
        <f ca="1"/>
        <v>5.726</v>
      </c>
      <c r="L337" vm="4019">
        <f ca="1"/>
        <v>74.95</v>
      </c>
      <c r="M337" vm="4020">
        <f ca="1"/>
        <v>235.76</v>
      </c>
      <c r="N337" vm="4021">
        <f ca="1"/>
        <v>2693.13</v>
      </c>
    </row>
    <row r="338" spans="2:14" x14ac:dyDescent="0.35">
      <c r="B338" vm="4022">
        <f ca="1"/>
        <v>43210</v>
      </c>
      <c r="C338" vm="4023">
        <f ca="1"/>
        <v>53.866</v>
      </c>
      <c r="D338" vm="4024">
        <f ca="1"/>
        <v>76.374499999999998</v>
      </c>
      <c r="E338" vm="4025">
        <f ca="1"/>
        <v>40.67</v>
      </c>
      <c r="F338" vm="4026">
        <f ca="1"/>
        <v>406.06</v>
      </c>
      <c r="G338" vm="4027">
        <f ca="1"/>
        <v>144.1626</v>
      </c>
      <c r="H338" vm="4028">
        <f ca="1"/>
        <v>177.08</v>
      </c>
      <c r="I338" vm="4029">
        <f ca="1"/>
        <v>40.197499999999998</v>
      </c>
      <c r="J338" vm="4030">
        <f ca="1"/>
        <v>69.23</v>
      </c>
      <c r="K338" vm="4031">
        <f ca="1"/>
        <v>5.7178000000000004</v>
      </c>
      <c r="L338" vm="4032">
        <f ca="1"/>
        <v>73.8</v>
      </c>
      <c r="M338" vm="4033">
        <f ca="1"/>
        <v>235.06</v>
      </c>
      <c r="N338" vm="4034">
        <f ca="1"/>
        <v>2670.14</v>
      </c>
    </row>
    <row r="339" spans="2:14" x14ac:dyDescent="0.35">
      <c r="B339" vm="4035">
        <f ca="1"/>
        <v>43213</v>
      </c>
      <c r="C339" vm="4036">
        <f ca="1"/>
        <v>53.6905</v>
      </c>
      <c r="D339" vm="4037">
        <f ca="1"/>
        <v>75.893000000000001</v>
      </c>
      <c r="E339" vm="4038">
        <f ca="1"/>
        <v>40.49</v>
      </c>
      <c r="F339" vm="4039">
        <f ca="1"/>
        <v>407.58</v>
      </c>
      <c r="G339" vm="4040">
        <f ca="1"/>
        <v>142.2955</v>
      </c>
      <c r="H339" vm="4041">
        <f ca="1"/>
        <v>175.43</v>
      </c>
      <c r="I339" vm="4042">
        <f ca="1"/>
        <v>40.282499999999999</v>
      </c>
      <c r="J339" vm="4043">
        <f ca="1"/>
        <v>68.91</v>
      </c>
      <c r="K339" vm="4044">
        <f ca="1"/>
        <v>5.5970000000000004</v>
      </c>
      <c r="L339" vm="4045">
        <f ca="1"/>
        <v>73</v>
      </c>
      <c r="M339" vm="4046">
        <f ca="1"/>
        <v>234.34</v>
      </c>
      <c r="N339" vm="4047">
        <f ca="1"/>
        <v>2670.29</v>
      </c>
    </row>
    <row r="340" spans="2:14" x14ac:dyDescent="0.35">
      <c r="B340" vm="4048">
        <f ca="1"/>
        <v>43214</v>
      </c>
      <c r="C340" vm="4049">
        <f ca="1"/>
        <v>51.131999999999998</v>
      </c>
      <c r="D340" vm="4050">
        <f ca="1"/>
        <v>73.004499999999993</v>
      </c>
      <c r="E340" vm="1944">
        <f ca="1"/>
        <v>40.159999999999997</v>
      </c>
      <c r="F340" vm="4051">
        <f ca="1"/>
        <v>409.53</v>
      </c>
      <c r="G340" vm="4052">
        <f ca="1"/>
        <v>140.95509999999999</v>
      </c>
      <c r="H340" vm="1118">
        <f ca="1"/>
        <v>173.24</v>
      </c>
      <c r="I340" vm="4053">
        <f ca="1"/>
        <v>40.542499999999997</v>
      </c>
      <c r="J340" vm="4054">
        <f ca="1"/>
        <v>68.28</v>
      </c>
      <c r="K340" vm="4055">
        <f ca="1"/>
        <v>5.53</v>
      </c>
      <c r="L340" vm="4056">
        <f ca="1"/>
        <v>72.5</v>
      </c>
      <c r="M340" vm="4057">
        <f ca="1"/>
        <v>234.22</v>
      </c>
      <c r="N340" vm="4058">
        <f ca="1"/>
        <v>2634.56</v>
      </c>
    </row>
    <row r="341" spans="2:14" x14ac:dyDescent="0.35">
      <c r="B341" vm="4059">
        <f ca="1"/>
        <v>43215</v>
      </c>
      <c r="C341" vm="4060">
        <f ca="1"/>
        <v>51.149500000000003</v>
      </c>
      <c r="D341" vm="4061">
        <f ca="1"/>
        <v>73.008499999999998</v>
      </c>
      <c r="E341" vm="4062">
        <f ca="1"/>
        <v>40.22</v>
      </c>
      <c r="F341" vm="4063">
        <f ca="1"/>
        <v>410.21</v>
      </c>
      <c r="G341" vm="4064">
        <f ca="1"/>
        <v>140.80189999999999</v>
      </c>
      <c r="H341" vm="3874">
        <f ca="1"/>
        <v>172.47</v>
      </c>
      <c r="I341" vm="4065">
        <f ca="1"/>
        <v>40.082500000000003</v>
      </c>
      <c r="J341" vm="4066">
        <f ca="1"/>
        <v>69.099999999999994</v>
      </c>
      <c r="K341" vm="4067">
        <f ca="1"/>
        <v>5.4165000000000001</v>
      </c>
      <c r="L341" vm="1038">
        <f ca="1"/>
        <v>72.3</v>
      </c>
      <c r="M341" vm="4068">
        <f ca="1"/>
        <v>234.9</v>
      </c>
      <c r="N341" vm="4069">
        <f ca="1"/>
        <v>2639.4</v>
      </c>
    </row>
    <row r="342" spans="2:14" x14ac:dyDescent="0.35">
      <c r="B342" vm="4070">
        <f ca="1"/>
        <v>43216</v>
      </c>
      <c r="C342" vm="4071">
        <f ca="1"/>
        <v>52.165500000000002</v>
      </c>
      <c r="D342" vm="4072">
        <f ca="1"/>
        <v>75.897999999999996</v>
      </c>
      <c r="E342" vm="1403">
        <f ca="1"/>
        <v>40.43</v>
      </c>
      <c r="F342" vm="4073">
        <f ca="1"/>
        <v>416.08</v>
      </c>
      <c r="G342" vm="4074">
        <f ca="1"/>
        <v>140.553</v>
      </c>
      <c r="H342" vm="4075">
        <f ca="1"/>
        <v>178.16</v>
      </c>
      <c r="I342" vm="4076">
        <f ca="1"/>
        <v>40.802500000000002</v>
      </c>
      <c r="J342" vm="4077">
        <f ca="1"/>
        <v>69.47</v>
      </c>
      <c r="K342" vm="4078">
        <f ca="1"/>
        <v>5.6304999999999996</v>
      </c>
      <c r="L342" vm="4079">
        <f ca="1"/>
        <v>72.75</v>
      </c>
      <c r="M342" vm="4080">
        <f ca="1"/>
        <v>237.03</v>
      </c>
      <c r="N342" vm="4081">
        <f ca="1"/>
        <v>2666.94</v>
      </c>
    </row>
    <row r="343" spans="2:14" x14ac:dyDescent="0.35">
      <c r="B343" vm="4082">
        <f ca="1"/>
        <v>43217</v>
      </c>
      <c r="C343" vm="4083">
        <f ca="1"/>
        <v>51.572499999999998</v>
      </c>
      <c r="D343" vm="4084">
        <f ca="1"/>
        <v>78.631</v>
      </c>
      <c r="E343" vm="4085">
        <f ca="1"/>
        <v>40.549999999999997</v>
      </c>
      <c r="F343" vm="4086">
        <f ca="1"/>
        <v>421.15</v>
      </c>
      <c r="G343" vm="4087">
        <f ca="1"/>
        <v>140.67750000000001</v>
      </c>
      <c r="H343" vm="4088">
        <f ca="1"/>
        <v>175.94</v>
      </c>
      <c r="I343" vm="1352">
        <f ca="1"/>
        <v>40.99</v>
      </c>
      <c r="J343" vm="2339">
        <f ca="1"/>
        <v>69.08</v>
      </c>
      <c r="K343" vm="4089">
        <f ca="1"/>
        <v>5.6582999999999997</v>
      </c>
      <c r="L343" vm="4090">
        <f ca="1"/>
        <v>72.81</v>
      </c>
      <c r="M343" vm="4091">
        <f ca="1"/>
        <v>240.18</v>
      </c>
      <c r="N343" vm="4092">
        <f ca="1"/>
        <v>2669.91</v>
      </c>
    </row>
    <row r="344" spans="2:14" x14ac:dyDescent="0.35">
      <c r="B344" vm="4093">
        <f ca="1"/>
        <v>43220</v>
      </c>
      <c r="C344" vm="4094">
        <f ca="1"/>
        <v>50.929000000000002</v>
      </c>
      <c r="D344" vm="4095">
        <f ca="1"/>
        <v>78.3065</v>
      </c>
      <c r="E344" vm="3884">
        <f ca="1"/>
        <v>40.090000000000003</v>
      </c>
      <c r="F344" vm="4096">
        <f ca="1"/>
        <v>420.79</v>
      </c>
      <c r="G344" vm="4097">
        <f ca="1"/>
        <v>138.5232</v>
      </c>
      <c r="H344" vm="4098">
        <f ca="1"/>
        <v>178.27</v>
      </c>
      <c r="I344" vm="4099">
        <f ca="1"/>
        <v>40.977499999999999</v>
      </c>
      <c r="J344" vm="4100">
        <f ca="1"/>
        <v>68.56</v>
      </c>
      <c r="K344" vm="4101">
        <f ca="1"/>
        <v>5.6224999999999996</v>
      </c>
      <c r="L344" vm="4102">
        <f ca="1"/>
        <v>72.34</v>
      </c>
      <c r="M344" vm="4007">
        <f ca="1"/>
        <v>236.4</v>
      </c>
      <c r="N344" vm="4103">
        <f ca="1"/>
        <v>2648.05</v>
      </c>
    </row>
    <row r="345" spans="2:14" x14ac:dyDescent="0.35">
      <c r="B345" vm="4104">
        <f ca="1"/>
        <v>43221</v>
      </c>
      <c r="C345" vm="4105">
        <f ca="1"/>
        <v>52.037500000000001</v>
      </c>
      <c r="D345" vm="4106">
        <f ca="1"/>
        <v>79.113</v>
      </c>
      <c r="E345" vm="3907">
        <f ca="1"/>
        <v>39.26</v>
      </c>
      <c r="F345" vm="4107">
        <f ca="1"/>
        <v>423.03</v>
      </c>
      <c r="G345" vm="3848">
        <f ca="1"/>
        <v>138.3604</v>
      </c>
      <c r="H345" vm="4108">
        <f ca="1"/>
        <v>180.25</v>
      </c>
      <c r="I345" vm="3991">
        <f ca="1"/>
        <v>40.805</v>
      </c>
      <c r="J345" vm="4109">
        <f ca="1"/>
        <v>68.400000000000006</v>
      </c>
      <c r="K345" vm="4110">
        <f ca="1"/>
        <v>5.6784999999999997</v>
      </c>
      <c r="L345" vm="4111">
        <f ca="1"/>
        <v>71.959999999999994</v>
      </c>
      <c r="M345" vm="4112">
        <f ca="1"/>
        <v>236.85</v>
      </c>
      <c r="N345" vm="4113">
        <f ca="1"/>
        <v>2654.8</v>
      </c>
    </row>
    <row r="346" spans="2:14" x14ac:dyDescent="0.35">
      <c r="B346" vm="4114">
        <f ca="1"/>
        <v>43222</v>
      </c>
      <c r="C346" vm="4115">
        <f ca="1"/>
        <v>51.302500000000002</v>
      </c>
      <c r="D346" vm="4116">
        <f ca="1"/>
        <v>78.483999999999995</v>
      </c>
      <c r="E346" vm="3092">
        <f ca="1"/>
        <v>38.5</v>
      </c>
      <c r="F346" vm="4117">
        <f ca="1"/>
        <v>424.09</v>
      </c>
      <c r="G346" vm="4118">
        <f ca="1"/>
        <v>136.8955</v>
      </c>
      <c r="H346" vm="4119">
        <f ca="1"/>
        <v>185.82</v>
      </c>
      <c r="I346" vm="4120">
        <f ca="1"/>
        <v>40.862499999999997</v>
      </c>
      <c r="J346" vm="3992">
        <f ca="1"/>
        <v>68.66</v>
      </c>
      <c r="K346" vm="4121">
        <f ca="1"/>
        <v>5.6577999999999999</v>
      </c>
      <c r="L346" vm="1076">
        <f ca="1"/>
        <v>70.94</v>
      </c>
      <c r="M346" vm="4122">
        <f ca="1"/>
        <v>233.46</v>
      </c>
      <c r="N346" vm="4123">
        <f ca="1"/>
        <v>2635.67</v>
      </c>
    </row>
    <row r="347" spans="2:14" x14ac:dyDescent="0.35">
      <c r="B347" vm="4124">
        <f ca="1"/>
        <v>43223</v>
      </c>
      <c r="C347" vm="4125">
        <f ca="1"/>
        <v>51.314999999999998</v>
      </c>
      <c r="D347" vm="4126">
        <f ca="1"/>
        <v>78.603800000000007</v>
      </c>
      <c r="E347" vm="3113">
        <f ca="1"/>
        <v>37.92</v>
      </c>
      <c r="F347" vm="4127">
        <f ca="1"/>
        <v>398.13</v>
      </c>
      <c r="G347" vm="4128">
        <f ca="1"/>
        <v>137.2594</v>
      </c>
      <c r="H347" vm="4129">
        <f ca="1"/>
        <v>186.48</v>
      </c>
      <c r="I347" vm="4130">
        <f ca="1"/>
        <v>40.765000000000001</v>
      </c>
      <c r="J347" vm="4131">
        <f ca="1"/>
        <v>67.72</v>
      </c>
      <c r="K347" vm="4132">
        <f ca="1"/>
        <v>5.8247999999999998</v>
      </c>
      <c r="L347" vm="1255">
        <f ca="1"/>
        <v>71.36</v>
      </c>
      <c r="M347" vm="4133">
        <f ca="1"/>
        <v>234.15</v>
      </c>
      <c r="N347" vm="4134">
        <f ca="1"/>
        <v>2629.73</v>
      </c>
    </row>
    <row r="348" spans="2:14" x14ac:dyDescent="0.35">
      <c r="B348" vm="4135">
        <f ca="1"/>
        <v>43224</v>
      </c>
      <c r="C348" vm="4136">
        <f ca="1"/>
        <v>52.55</v>
      </c>
      <c r="D348" vm="4137">
        <f ca="1"/>
        <v>79.047499999999999</v>
      </c>
      <c r="E348" vm="2544">
        <f ca="1"/>
        <v>38.54</v>
      </c>
      <c r="F348" vm="4138">
        <f ca="1"/>
        <v>403.88</v>
      </c>
      <c r="G348" vm="4139">
        <f ca="1"/>
        <v>137.76679999999999</v>
      </c>
      <c r="H348" vm="4140">
        <f ca="1"/>
        <v>188.17</v>
      </c>
      <c r="I348" vm="4141">
        <f ca="1"/>
        <v>41.022500000000001</v>
      </c>
      <c r="J348" vm="4142">
        <f ca="1"/>
        <v>68.790000000000006</v>
      </c>
      <c r="K348" vm="4143">
        <f ca="1"/>
        <v>5.9764999999999997</v>
      </c>
      <c r="L348" vm="4144">
        <f ca="1"/>
        <v>72.430000000000007</v>
      </c>
      <c r="M348" vm="4145">
        <f ca="1"/>
        <v>235.9</v>
      </c>
      <c r="N348" vm="4146">
        <f ca="1"/>
        <v>2663.42</v>
      </c>
    </row>
    <row r="349" spans="2:14" x14ac:dyDescent="0.35">
      <c r="B349" vm="4147">
        <f ca="1"/>
        <v>43227</v>
      </c>
      <c r="C349" vm="4148">
        <f ca="1"/>
        <v>52.972999999999999</v>
      </c>
      <c r="D349" vm="4149">
        <f ca="1"/>
        <v>80.007000000000005</v>
      </c>
      <c r="E349" vm="4150">
        <f ca="1"/>
        <v>38.22</v>
      </c>
      <c r="F349" vm="4151">
        <f ca="1"/>
        <v>394.16</v>
      </c>
      <c r="G349" vm="2630">
        <f ca="1"/>
        <v>138.02529999999999</v>
      </c>
      <c r="H349" vm="4152">
        <f ca="1"/>
        <v>189.1</v>
      </c>
      <c r="I349" vm="4153">
        <f ca="1"/>
        <v>40.837499999999999</v>
      </c>
      <c r="J349" vm="4154">
        <f ca="1"/>
        <v>69.209999999999994</v>
      </c>
      <c r="K349" vm="4155">
        <f ca="1"/>
        <v>6.2169999999999996</v>
      </c>
      <c r="L349" vm="4156">
        <f ca="1"/>
        <v>71.98</v>
      </c>
      <c r="M349" vm="4157">
        <f ca="1"/>
        <v>233.78</v>
      </c>
      <c r="N349" vm="4158">
        <f ca="1"/>
        <v>2672.63</v>
      </c>
    </row>
    <row r="350" spans="2:14" x14ac:dyDescent="0.35">
      <c r="B350" vm="4159">
        <f ca="1"/>
        <v>43228</v>
      </c>
      <c r="C350" vm="4160">
        <f ca="1"/>
        <v>52.929499999999997</v>
      </c>
      <c r="D350" vm="4161">
        <f ca="1"/>
        <v>79.619500000000002</v>
      </c>
      <c r="E350" vm="4162">
        <f ca="1"/>
        <v>38.07</v>
      </c>
      <c r="F350" vm="4163">
        <f ca="1"/>
        <v>388.34</v>
      </c>
      <c r="G350" vm="4164">
        <f ca="1"/>
        <v>138.0924</v>
      </c>
      <c r="H350" vm="4165">
        <f ca="1"/>
        <v>190.53</v>
      </c>
      <c r="I350" vm="4166">
        <f ca="1"/>
        <v>39.977499999999999</v>
      </c>
      <c r="J350" vm="4167">
        <f ca="1"/>
        <v>69.540000000000006</v>
      </c>
      <c r="K350" vm="4168">
        <f ca="1"/>
        <v>6.26</v>
      </c>
      <c r="L350" vm="4169">
        <f ca="1"/>
        <v>71.44</v>
      </c>
      <c r="M350" vm="4170">
        <f ca="1"/>
        <v>232.03</v>
      </c>
      <c r="N350" vm="4171">
        <f ca="1"/>
        <v>2671.92</v>
      </c>
    </row>
    <row r="351" spans="2:14" x14ac:dyDescent="0.35">
      <c r="B351" vm="4172">
        <f ca="1"/>
        <v>43229</v>
      </c>
      <c r="C351" vm="4173">
        <f ca="1"/>
        <v>54.447499999999998</v>
      </c>
      <c r="D351" vm="4174">
        <f ca="1"/>
        <v>80.400000000000006</v>
      </c>
      <c r="E351" vm="3172">
        <f ca="1"/>
        <v>38.590000000000003</v>
      </c>
      <c r="F351" vm="4175">
        <f ca="1"/>
        <v>388.17</v>
      </c>
      <c r="G351" vm="4176">
        <f ca="1"/>
        <v>139.49019999999999</v>
      </c>
      <c r="H351" vm="4177">
        <f ca="1"/>
        <v>190.63</v>
      </c>
      <c r="I351" vm="4178">
        <f ca="1"/>
        <v>39.572499999999998</v>
      </c>
      <c r="J351" vm="4179">
        <f ca="1"/>
        <v>70.88</v>
      </c>
      <c r="K351" vm="4180">
        <f ca="1"/>
        <v>6.3944999999999999</v>
      </c>
      <c r="L351" vm="4181">
        <f ca="1"/>
        <v>72.37</v>
      </c>
      <c r="M351" vm="4182">
        <f ca="1"/>
        <v>229.21</v>
      </c>
      <c r="N351" vm="4183">
        <f ca="1"/>
        <v>2697.79</v>
      </c>
    </row>
    <row r="352" spans="2:14" x14ac:dyDescent="0.35">
      <c r="B352" vm="4184">
        <f ca="1"/>
        <v>43230</v>
      </c>
      <c r="C352" vm="4185">
        <f ca="1"/>
        <v>55.273499999999999</v>
      </c>
      <c r="D352" vm="4186">
        <f ca="1"/>
        <v>80.453999999999994</v>
      </c>
      <c r="E352" vm="4187">
        <f ca="1"/>
        <v>38.81</v>
      </c>
      <c r="F352" vm="4188">
        <f ca="1"/>
        <v>398.66</v>
      </c>
      <c r="G352" vm="4189">
        <f ca="1"/>
        <v>141.0317</v>
      </c>
      <c r="H352" vm="4190">
        <f ca="1"/>
        <v>193.05</v>
      </c>
      <c r="I352" vm="4191">
        <f ca="1"/>
        <v>40.057499999999997</v>
      </c>
      <c r="J352" vm="4192">
        <f ca="1"/>
        <v>71.12</v>
      </c>
      <c r="K352" vm="4193">
        <f ca="1"/>
        <v>6.5033000000000003</v>
      </c>
      <c r="L352" vm="4194">
        <f ca="1"/>
        <v>73.150000000000006</v>
      </c>
      <c r="M352" vm="4195">
        <f ca="1"/>
        <v>233.71</v>
      </c>
      <c r="N352" vm="4196">
        <f ca="1"/>
        <v>2723.07</v>
      </c>
    </row>
    <row r="353" spans="2:14" x14ac:dyDescent="0.35">
      <c r="B353" vm="4197">
        <f ca="1"/>
        <v>43231</v>
      </c>
      <c r="C353" vm="4198">
        <f ca="1"/>
        <v>55.168999999999997</v>
      </c>
      <c r="D353" vm="4199">
        <f ca="1"/>
        <v>80.145499999999998</v>
      </c>
      <c r="E353" vm="4200">
        <f ca="1"/>
        <v>38.549999999999997</v>
      </c>
      <c r="F353" vm="4201">
        <f ca="1"/>
        <v>401.89</v>
      </c>
      <c r="G353" vm="4202">
        <f ca="1"/>
        <v>141.08920000000001</v>
      </c>
      <c r="H353" vm="4203">
        <f ca="1"/>
        <v>193.35</v>
      </c>
      <c r="I353" vm="4204">
        <f ca="1"/>
        <v>40.185000000000002</v>
      </c>
      <c r="J353" vm="4205">
        <f ca="1"/>
        <v>71.08</v>
      </c>
      <c r="K353" vm="4206">
        <f ca="1"/>
        <v>6.3632999999999997</v>
      </c>
      <c r="L353" vm="4207">
        <f ca="1"/>
        <v>73.37</v>
      </c>
      <c r="M353" vm="4208">
        <f ca="1"/>
        <v>238.28</v>
      </c>
      <c r="N353" vm="4209">
        <f ca="1"/>
        <v>2727.72</v>
      </c>
    </row>
    <row r="354" spans="2:14" x14ac:dyDescent="0.35">
      <c r="B354" vm="4210">
        <f ca="1"/>
        <v>43234</v>
      </c>
      <c r="C354" vm="4211">
        <f ca="1"/>
        <v>55.33</v>
      </c>
      <c r="D354" vm="4212">
        <f ca="1"/>
        <v>80.076999999999998</v>
      </c>
      <c r="E354" vm="4213">
        <f ca="1"/>
        <v>38.36</v>
      </c>
      <c r="F354" vm="4214">
        <f ca="1"/>
        <v>397.95</v>
      </c>
      <c r="G354" vm="4189">
        <f ca="1"/>
        <v>141.0317</v>
      </c>
      <c r="H354" vm="4215">
        <f ca="1"/>
        <v>192.12</v>
      </c>
      <c r="I354" vm="1931">
        <f ca="1"/>
        <v>40.049999999999997</v>
      </c>
      <c r="J354" vm="4216">
        <f ca="1"/>
        <v>71.599999999999994</v>
      </c>
      <c r="K354" vm="4217">
        <f ca="1"/>
        <v>6.3840000000000003</v>
      </c>
      <c r="L354" vm="4218">
        <f ca="1"/>
        <v>73.28</v>
      </c>
      <c r="M354" vm="4219">
        <f ca="1"/>
        <v>242.9</v>
      </c>
      <c r="N354" vm="4220">
        <f ca="1"/>
        <v>2730.13</v>
      </c>
    </row>
    <row r="355" spans="2:14" x14ac:dyDescent="0.35">
      <c r="B355" vm="4221">
        <f ca="1"/>
        <v>43235</v>
      </c>
      <c r="C355" vm="4222">
        <f ca="1"/>
        <v>54.243499999999997</v>
      </c>
      <c r="D355" vm="4223">
        <f ca="1"/>
        <v>78.805999999999997</v>
      </c>
      <c r="E355" vm="4224">
        <f ca="1"/>
        <v>37.74</v>
      </c>
      <c r="F355" vm="4225">
        <f ca="1"/>
        <v>388.32</v>
      </c>
      <c r="G355" vm="4226">
        <f ca="1"/>
        <v>141.0796</v>
      </c>
      <c r="H355" vm="4227">
        <f ca="1"/>
        <v>192</v>
      </c>
      <c r="I355" vm="4228">
        <f ca="1"/>
        <v>39.712499999999999</v>
      </c>
      <c r="J355" vm="4216">
        <f ca="1"/>
        <v>71.599999999999994</v>
      </c>
      <c r="K355" vm="4229">
        <f ca="1"/>
        <v>6.1390000000000002</v>
      </c>
      <c r="L355" vm="4230">
        <f ca="1"/>
        <v>72.95</v>
      </c>
      <c r="M355" vm="4231">
        <f ca="1"/>
        <v>239.5</v>
      </c>
      <c r="N355" vm="4232">
        <f ca="1"/>
        <v>2711.45</v>
      </c>
    </row>
    <row r="356" spans="2:14" x14ac:dyDescent="0.35">
      <c r="B356" vm="4233">
        <f ca="1"/>
        <v>43236</v>
      </c>
      <c r="C356" vm="4234">
        <f ca="1"/>
        <v>54.204500000000003</v>
      </c>
      <c r="D356" vm="4235">
        <f ca="1"/>
        <v>79.364000000000004</v>
      </c>
      <c r="E356" vm="4236">
        <f ca="1"/>
        <v>38.15</v>
      </c>
      <c r="F356" vm="4237">
        <f ca="1"/>
        <v>385.76</v>
      </c>
      <c r="G356" vm="4238">
        <f ca="1"/>
        <v>141.27109999999999</v>
      </c>
      <c r="H356" vm="4239">
        <f ca="1"/>
        <v>192.38</v>
      </c>
      <c r="I356" vm="4240">
        <f ca="1"/>
        <v>39.292499999999997</v>
      </c>
      <c r="J356" vm="4241">
        <f ca="1"/>
        <v>73.11</v>
      </c>
      <c r="K356" vm="4242">
        <f ca="1"/>
        <v>6.1502999999999997</v>
      </c>
      <c r="L356" vm="4243">
        <f ca="1"/>
        <v>73.53</v>
      </c>
      <c r="M356" vm="4244">
        <f ca="1"/>
        <v>241.72</v>
      </c>
      <c r="N356" vm="4245">
        <f ca="1"/>
        <v>2722.46</v>
      </c>
    </row>
    <row r="357" spans="2:14" x14ac:dyDescent="0.35">
      <c r="B357" vm="4246">
        <f ca="1"/>
        <v>43237</v>
      </c>
      <c r="C357" vm="4247">
        <f ca="1"/>
        <v>54.063000000000002</v>
      </c>
      <c r="D357" vm="4248">
        <f ca="1"/>
        <v>79.087999999999994</v>
      </c>
      <c r="E357" vm="67">
        <f ca="1"/>
        <v>37.99</v>
      </c>
      <c r="F357" vm="4249">
        <f ca="1"/>
        <v>381.93</v>
      </c>
      <c r="G357" vm="4250">
        <f ca="1"/>
        <v>140.85939999999999</v>
      </c>
      <c r="H357" vm="4251">
        <f ca="1"/>
        <v>191.2</v>
      </c>
      <c r="I357" vm="4252">
        <f ca="1"/>
        <v>39.104999999999997</v>
      </c>
      <c r="J357" vm="4253">
        <f ca="1"/>
        <v>74.430000000000007</v>
      </c>
      <c r="K357" vm="3713">
        <f ca="1"/>
        <v>6.1928000000000001</v>
      </c>
      <c r="L357" vm="4254">
        <f ca="1"/>
        <v>73.959999999999994</v>
      </c>
      <c r="M357" vm="4255">
        <f ca="1"/>
        <v>242.96</v>
      </c>
      <c r="N357" vm="4256">
        <f ca="1"/>
        <v>2720.13</v>
      </c>
    </row>
    <row r="358" spans="2:14" x14ac:dyDescent="0.35">
      <c r="B358" vm="4257">
        <f ca="1"/>
        <v>43238</v>
      </c>
      <c r="C358" vm="4258">
        <f ca="1"/>
        <v>53.481999999999999</v>
      </c>
      <c r="D358" vm="4259">
        <f ca="1"/>
        <v>78.718500000000006</v>
      </c>
      <c r="E358" vm="3198">
        <f ca="1"/>
        <v>37.96</v>
      </c>
      <c r="F358" vm="4260">
        <f ca="1"/>
        <v>385.86</v>
      </c>
      <c r="G358" vm="4261">
        <f ca="1"/>
        <v>142.0275</v>
      </c>
      <c r="H358" vm="1791">
        <f ca="1"/>
        <v>190.4</v>
      </c>
      <c r="I358" vm="4262">
        <f ca="1"/>
        <v>39.112499999999997</v>
      </c>
      <c r="J358" vm="4263">
        <f ca="1"/>
        <v>74.290000000000006</v>
      </c>
      <c r="K358" vm="4264">
        <f ca="1"/>
        <v>6.1485000000000003</v>
      </c>
      <c r="L358" vm="4265">
        <f ca="1"/>
        <v>73.45</v>
      </c>
      <c r="M358" vm="4266">
        <f ca="1"/>
        <v>244.64</v>
      </c>
      <c r="N358" vm="4267">
        <f ca="1"/>
        <v>2712.97</v>
      </c>
    </row>
    <row r="359" spans="2:14" x14ac:dyDescent="0.35">
      <c r="B359" vm="4268">
        <f ca="1"/>
        <v>43241</v>
      </c>
      <c r="C359" vm="4269">
        <f ca="1"/>
        <v>54.200499999999998</v>
      </c>
      <c r="D359" vm="4270">
        <f ca="1"/>
        <v>79.272999999999996</v>
      </c>
      <c r="E359" vm="4271">
        <f ca="1"/>
        <v>38.020000000000003</v>
      </c>
      <c r="F359" vm="4272">
        <f ca="1"/>
        <v>388.75</v>
      </c>
      <c r="G359" vm="4273">
        <f ca="1"/>
        <v>144.08600000000001</v>
      </c>
      <c r="H359" vm="4251">
        <f ca="1"/>
        <v>191.2</v>
      </c>
      <c r="I359" vm="3967">
        <f ca="1"/>
        <v>40.055</v>
      </c>
      <c r="J359" vm="4274">
        <f ca="1"/>
        <v>75.03</v>
      </c>
      <c r="K359" vm="4275">
        <f ca="1"/>
        <v>6.1059999999999999</v>
      </c>
      <c r="L359" vm="4276">
        <f ca="1"/>
        <v>74.06</v>
      </c>
      <c r="M359" vm="4277">
        <f ca="1"/>
        <v>247.9</v>
      </c>
      <c r="N359" vm="4278">
        <f ca="1"/>
        <v>2733.01</v>
      </c>
    </row>
    <row r="360" spans="2:14" x14ac:dyDescent="0.35">
      <c r="B360" vm="4279">
        <f ca="1"/>
        <v>43242</v>
      </c>
      <c r="C360" vm="4280">
        <f ca="1"/>
        <v>53.765500000000003</v>
      </c>
      <c r="D360" vm="4281">
        <f ca="1"/>
        <v>79.069999999999993</v>
      </c>
      <c r="E360" vm="4213">
        <f ca="1"/>
        <v>38.36</v>
      </c>
      <c r="F360" vm="4282">
        <f ca="1"/>
        <v>383.19</v>
      </c>
      <c r="G360" vm="4283">
        <f ca="1"/>
        <v>144.44980000000001</v>
      </c>
      <c r="H360" vm="4284">
        <f ca="1"/>
        <v>191.62</v>
      </c>
      <c r="I360" vm="4285">
        <f ca="1"/>
        <v>39.857500000000002</v>
      </c>
      <c r="J360" vm="4286">
        <f ca="1"/>
        <v>73.73</v>
      </c>
      <c r="K360" vm="4287">
        <f ca="1"/>
        <v>6.0674999999999999</v>
      </c>
      <c r="L360" vm="4288">
        <f ca="1"/>
        <v>74.03</v>
      </c>
      <c r="M360" vm="3331">
        <f ca="1"/>
        <v>245.18</v>
      </c>
      <c r="N360" vm="4289">
        <f ca="1"/>
        <v>2724.44</v>
      </c>
    </row>
    <row r="361" spans="2:14" x14ac:dyDescent="0.35">
      <c r="B361" vm="4290">
        <f ca="1"/>
        <v>43243</v>
      </c>
      <c r="C361" vm="4291">
        <f ca="1"/>
        <v>54.298000000000002</v>
      </c>
      <c r="D361" vm="4292">
        <f ca="1"/>
        <v>80.093000000000004</v>
      </c>
      <c r="E361" vm="3159">
        <f ca="1"/>
        <v>38.35</v>
      </c>
      <c r="F361" vm="4293">
        <f ca="1"/>
        <v>384.42</v>
      </c>
      <c r="G361" vm="4294">
        <f ca="1"/>
        <v>144.88059999999999</v>
      </c>
      <c r="H361" vm="4295">
        <f ca="1"/>
        <v>192.99</v>
      </c>
      <c r="I361" vm="4296">
        <f ca="1"/>
        <v>40.07</v>
      </c>
      <c r="J361" vm="4265">
        <f ca="1"/>
        <v>73.45</v>
      </c>
      <c r="K361" vm="4297">
        <f ca="1"/>
        <v>6.1885000000000003</v>
      </c>
      <c r="L361" vm="4298">
        <f ca="1"/>
        <v>74.180000000000007</v>
      </c>
      <c r="M361" vm="4299">
        <f ca="1"/>
        <v>244.26</v>
      </c>
      <c r="N361" vm="4300">
        <f ca="1"/>
        <v>2733.29</v>
      </c>
    </row>
    <row r="362" spans="2:14" x14ac:dyDescent="0.35">
      <c r="B362" vm="4301">
        <f ca="1"/>
        <v>43244</v>
      </c>
      <c r="C362" vm="4302">
        <f ca="1"/>
        <v>54.272500000000001</v>
      </c>
      <c r="D362" vm="4303">
        <f ca="1"/>
        <v>80.153499999999994</v>
      </c>
      <c r="E362" vm="3159">
        <f ca="1"/>
        <v>38.35</v>
      </c>
      <c r="F362" vm="4304">
        <f ca="1"/>
        <v>387</v>
      </c>
      <c r="G362" vm="4305">
        <f ca="1"/>
        <v>144.65090000000001</v>
      </c>
      <c r="H362" vm="4306">
        <f ca="1"/>
        <v>191.91</v>
      </c>
      <c r="I362" vm="4307">
        <f ca="1"/>
        <v>40.299999999999997</v>
      </c>
      <c r="J362" vm="4308">
        <f ca="1"/>
        <v>71.22</v>
      </c>
      <c r="K362" vm="4309">
        <f ca="1"/>
        <v>6.1923000000000004</v>
      </c>
      <c r="L362" vm="4310">
        <f ca="1"/>
        <v>73.77</v>
      </c>
      <c r="M362" vm="4311">
        <f ca="1"/>
        <v>242.73</v>
      </c>
      <c r="N362" vm="4312">
        <f ca="1"/>
        <v>2727.76</v>
      </c>
    </row>
    <row r="363" spans="2:14" x14ac:dyDescent="0.35">
      <c r="B363" vm="4313">
        <f ca="1"/>
        <v>43245</v>
      </c>
      <c r="C363" vm="4314">
        <f ca="1"/>
        <v>54.204000000000001</v>
      </c>
      <c r="D363" vm="4315">
        <f ca="1"/>
        <v>80.507499999999993</v>
      </c>
      <c r="E363" vm="4316">
        <f ca="1"/>
        <v>38.369999999999997</v>
      </c>
      <c r="F363" vm="713">
        <f ca="1"/>
        <v>388.05</v>
      </c>
      <c r="G363" vm="4317">
        <f ca="1"/>
        <v>144.24870000000001</v>
      </c>
      <c r="H363" vm="4318">
        <f ca="1"/>
        <v>191.17</v>
      </c>
      <c r="I363" vm="4319">
        <f ca="1"/>
        <v>40.604999999999997</v>
      </c>
      <c r="J363" vm="1838">
        <f ca="1"/>
        <v>68.599999999999994</v>
      </c>
      <c r="K363" vm="4320">
        <f ca="1"/>
        <v>6.2320000000000002</v>
      </c>
      <c r="L363" vm="4321">
        <f ca="1"/>
        <v>74.31</v>
      </c>
      <c r="M363" vm="4322">
        <f ca="1"/>
        <v>244.95</v>
      </c>
      <c r="N363" vm="4323">
        <f ca="1"/>
        <v>2721.33</v>
      </c>
    </row>
    <row r="364" spans="2:14" x14ac:dyDescent="0.35">
      <c r="B364" vm="4324">
        <f ca="1"/>
        <v>43249</v>
      </c>
      <c r="C364" vm="4325">
        <f ca="1"/>
        <v>53.403500000000001</v>
      </c>
      <c r="D364" vm="4326">
        <f ca="1"/>
        <v>80.643500000000003</v>
      </c>
      <c r="E364" vm="4327">
        <f ca="1"/>
        <v>37.590000000000003</v>
      </c>
      <c r="F364" vm="4328">
        <f ca="1"/>
        <v>396.1</v>
      </c>
      <c r="G364" vm="4329">
        <f ca="1"/>
        <v>141.89340000000001</v>
      </c>
      <c r="H364" vm="4330">
        <f ca="1"/>
        <v>189.53</v>
      </c>
      <c r="I364" vm="4331">
        <f ca="1"/>
        <v>40.932499999999997</v>
      </c>
      <c r="J364" vm="4332">
        <f ca="1"/>
        <v>68.069999999999993</v>
      </c>
      <c r="K364" vm="4333">
        <f ca="1"/>
        <v>6.2148000000000003</v>
      </c>
      <c r="L364" vm="4334">
        <f ca="1"/>
        <v>74.05</v>
      </c>
      <c r="M364" vm="4335">
        <f ca="1"/>
        <v>242.17</v>
      </c>
      <c r="N364" vm="4336">
        <f ca="1"/>
        <v>2689.86</v>
      </c>
    </row>
    <row r="365" spans="2:14" x14ac:dyDescent="0.35">
      <c r="B365" vm="4337">
        <f ca="1"/>
        <v>43250</v>
      </c>
      <c r="C365" vm="4338">
        <f ca="1"/>
        <v>53.8735</v>
      </c>
      <c r="D365" vm="4339">
        <f ca="1"/>
        <v>81.244500000000002</v>
      </c>
      <c r="E365" vm="4340">
        <f ca="1"/>
        <v>37.67</v>
      </c>
      <c r="F365" vm="4341">
        <f ca="1"/>
        <v>401.29</v>
      </c>
      <c r="G365" vm="4342">
        <f ca="1"/>
        <v>144.03809999999999</v>
      </c>
      <c r="H365" vm="4343">
        <f ca="1"/>
        <v>191.76</v>
      </c>
      <c r="I365" vm="4344">
        <f ca="1"/>
        <v>41.317500000000003</v>
      </c>
      <c r="J365" vm="4345">
        <f ca="1"/>
        <v>69.48</v>
      </c>
      <c r="K365" vm="4346">
        <f ca="1"/>
        <v>6.3247999999999998</v>
      </c>
      <c r="L365" vm="4347">
        <f ca="1"/>
        <v>74.89</v>
      </c>
      <c r="M365" vm="4348">
        <f ca="1"/>
        <v>244.94</v>
      </c>
      <c r="N365" vm="4349">
        <f ca="1"/>
        <v>2724.01</v>
      </c>
    </row>
    <row r="366" spans="2:14" x14ac:dyDescent="0.35">
      <c r="B366" vm="4350">
        <f ca="1"/>
        <v>43251</v>
      </c>
      <c r="C366" vm="4351">
        <f ca="1"/>
        <v>55</v>
      </c>
      <c r="D366" vm="4352">
        <f ca="1"/>
        <v>81.480999999999995</v>
      </c>
      <c r="E366" vm="4353">
        <f ca="1"/>
        <v>36.950000000000003</v>
      </c>
      <c r="F366" vm="4354">
        <f ca="1"/>
        <v>396.85</v>
      </c>
      <c r="G366" vm="4355">
        <f ca="1"/>
        <v>141.61580000000001</v>
      </c>
      <c r="H366" vm="4356">
        <f ca="1"/>
        <v>190.12</v>
      </c>
      <c r="I366" vm="4357">
        <f ca="1"/>
        <v>41.452500000000001</v>
      </c>
      <c r="J366" vm="1370">
        <f ca="1"/>
        <v>68.67</v>
      </c>
      <c r="K366" vm="4358">
        <f ca="1"/>
        <v>6.3048000000000002</v>
      </c>
      <c r="L366" vm="4359">
        <f ca="1"/>
        <v>73.17</v>
      </c>
      <c r="M366" vm="4360">
        <f ca="1"/>
        <v>241.51</v>
      </c>
      <c r="N366" vm="4361">
        <f ca="1"/>
        <v>2705.27</v>
      </c>
    </row>
    <row r="367" spans="2:14" x14ac:dyDescent="0.35">
      <c r="B367" vm="4362">
        <f ca="1"/>
        <v>43252</v>
      </c>
      <c r="C367" vm="4363">
        <f ca="1"/>
        <v>56.75</v>
      </c>
      <c r="D367" vm="4364">
        <f ca="1"/>
        <v>82.076999999999998</v>
      </c>
      <c r="E367" vm="4365">
        <f ca="1"/>
        <v>36.76</v>
      </c>
      <c r="F367" vm="4366">
        <f ca="1"/>
        <v>399.21</v>
      </c>
      <c r="G367" vm="4367">
        <f ca="1"/>
        <v>143.703</v>
      </c>
      <c r="H367" vm="4368">
        <f ca="1"/>
        <v>195.37</v>
      </c>
      <c r="I367" vm="4369">
        <f ca="1"/>
        <v>40.770000000000003</v>
      </c>
      <c r="J367" vm="1331">
        <f ca="1"/>
        <v>68.959999999999994</v>
      </c>
      <c r="K367" vm="4370">
        <f ca="1"/>
        <v>6.4405000000000001</v>
      </c>
      <c r="L367" vm="4265">
        <f ca="1"/>
        <v>73.45</v>
      </c>
      <c r="M367" vm="3286">
        <f ca="1"/>
        <v>243.35</v>
      </c>
      <c r="N367" vm="4371">
        <f ca="1"/>
        <v>2734.62</v>
      </c>
    </row>
    <row r="368" spans="2:14" x14ac:dyDescent="0.35">
      <c r="B368" vm="4372">
        <f ca="1"/>
        <v>43255</v>
      </c>
      <c r="C368" vm="4373">
        <f ca="1"/>
        <v>57.652000000000001</v>
      </c>
      <c r="D368" vm="4374">
        <f ca="1"/>
        <v>83.263499999999993</v>
      </c>
      <c r="E368" vm="775">
        <f ca="1"/>
        <v>36.81</v>
      </c>
      <c r="F368" vm="4375">
        <f ca="1"/>
        <v>400.94</v>
      </c>
      <c r="G368" vm="4376">
        <f ca="1"/>
        <v>143.7509</v>
      </c>
      <c r="H368" vm="2233">
        <f ca="1"/>
        <v>197.73</v>
      </c>
      <c r="I368" vm="4377">
        <f ca="1"/>
        <v>40.292499999999997</v>
      </c>
      <c r="J368" vm="4378">
        <f ca="1"/>
        <v>69.069999999999993</v>
      </c>
      <c r="K368" vm="4379">
        <f ca="1"/>
        <v>6.6212999999999997</v>
      </c>
      <c r="L368" vm="4298">
        <f ca="1"/>
        <v>74.180000000000007</v>
      </c>
      <c r="M368" vm="4380">
        <f ca="1"/>
        <v>244.63</v>
      </c>
      <c r="N368" vm="4381">
        <f ca="1"/>
        <v>2746.87</v>
      </c>
    </row>
    <row r="369" spans="2:14" x14ac:dyDescent="0.35">
      <c r="B369" vm="4382">
        <f ca="1"/>
        <v>43256</v>
      </c>
      <c r="C369" vm="4383">
        <f ca="1"/>
        <v>57.551000000000002</v>
      </c>
      <c r="D369" vm="4384">
        <f ca="1"/>
        <v>84.817499999999995</v>
      </c>
      <c r="E369" vm="4385">
        <f ca="1"/>
        <v>36.65</v>
      </c>
      <c r="F369" vm="4386">
        <f ca="1"/>
        <v>395.57</v>
      </c>
      <c r="G369" vm="4387">
        <f ca="1"/>
        <v>143.4923</v>
      </c>
      <c r="H369" vm="4388">
        <f ca="1"/>
        <v>199.36</v>
      </c>
      <c r="I369" vm="4389">
        <f ca="1"/>
        <v>39.825000000000003</v>
      </c>
      <c r="J369" vm="1825">
        <f ca="1"/>
        <v>68.459999999999994</v>
      </c>
      <c r="K369" vm="4390">
        <f ca="1"/>
        <v>6.6268000000000002</v>
      </c>
      <c r="L369" vm="4391">
        <f ca="1"/>
        <v>73.97</v>
      </c>
      <c r="M369" vm="4392">
        <f ca="1"/>
        <v>244.43</v>
      </c>
      <c r="N369" vm="4393">
        <f ca="1"/>
        <v>2748.8</v>
      </c>
    </row>
    <row r="370" spans="2:14" x14ac:dyDescent="0.35">
      <c r="B370" vm="4394">
        <f ca="1"/>
        <v>43257</v>
      </c>
      <c r="C370" vm="4395">
        <f ca="1"/>
        <v>57.347499999999997</v>
      </c>
      <c r="D370" vm="4396">
        <f ca="1"/>
        <v>84.787499999999994</v>
      </c>
      <c r="E370" vm="4397">
        <f ca="1"/>
        <v>36.729999999999997</v>
      </c>
      <c r="F370" vm="4398">
        <f ca="1"/>
        <v>395.51</v>
      </c>
      <c r="G370" vm="4399">
        <f ca="1"/>
        <v>144.57429999999999</v>
      </c>
      <c r="H370" vm="4400">
        <f ca="1"/>
        <v>203.21</v>
      </c>
      <c r="I370" vm="4401">
        <f ca="1"/>
        <v>39.032499999999999</v>
      </c>
      <c r="J370" vm="4402">
        <f ca="1"/>
        <v>68.89</v>
      </c>
      <c r="K370" vm="4403">
        <f ca="1"/>
        <v>6.6288</v>
      </c>
      <c r="L370" vm="4404">
        <f ca="1"/>
        <v>74.349999999999994</v>
      </c>
      <c r="M370" vm="4405">
        <f ca="1"/>
        <v>248.65</v>
      </c>
      <c r="N370" vm="4406">
        <f ca="1"/>
        <v>2772.35</v>
      </c>
    </row>
    <row r="371" spans="2:14" x14ac:dyDescent="0.35">
      <c r="B371" vm="4407">
        <f ca="1"/>
        <v>43258</v>
      </c>
      <c r="C371" vm="3738">
        <f ca="1"/>
        <v>56.720999999999997</v>
      </c>
      <c r="D371" vm="4408">
        <f ca="1"/>
        <v>84.465000000000003</v>
      </c>
      <c r="E371" vm="4409">
        <f ca="1"/>
        <v>37.33</v>
      </c>
      <c r="F371" vm="4410">
        <f ca="1"/>
        <v>397.42</v>
      </c>
      <c r="G371" vm="4411">
        <f ca="1"/>
        <v>145.61789999999999</v>
      </c>
      <c r="H371" vm="4412">
        <f ca="1"/>
        <v>199.54</v>
      </c>
      <c r="I371" vm="4413">
        <f ca="1"/>
        <v>39.094999999999999</v>
      </c>
      <c r="J371" vm="4414">
        <f ca="1"/>
        <v>69.599999999999994</v>
      </c>
      <c r="K371" vm="4415">
        <f ca="1"/>
        <v>6.5724999999999998</v>
      </c>
      <c r="L371" vm="4416">
        <f ca="1"/>
        <v>75.760000000000005</v>
      </c>
      <c r="M371" vm="4417">
        <f ca="1"/>
        <v>248.98</v>
      </c>
      <c r="N371" vm="4418">
        <f ca="1"/>
        <v>2770.37</v>
      </c>
    </row>
    <row r="372" spans="2:14" x14ac:dyDescent="0.35">
      <c r="B372" vm="4419">
        <f ca="1"/>
        <v>43259</v>
      </c>
      <c r="C372" vm="4420">
        <f ca="1"/>
        <v>56.6355</v>
      </c>
      <c r="D372" vm="4421">
        <f ca="1"/>
        <v>84.1995</v>
      </c>
      <c r="E372" vm="3088">
        <f ca="1"/>
        <v>37.6</v>
      </c>
      <c r="F372" vm="4422">
        <f ca="1"/>
        <v>403.35</v>
      </c>
      <c r="G372" vm="4423">
        <f ca="1"/>
        <v>145.39769999999999</v>
      </c>
      <c r="H372" vm="4424">
        <f ca="1"/>
        <v>200.04</v>
      </c>
      <c r="I372" vm="4425">
        <f ca="1"/>
        <v>39.200000000000003</v>
      </c>
      <c r="J372" vm="4426">
        <f ca="1"/>
        <v>69.430000000000007</v>
      </c>
      <c r="K372" vm="4427">
        <f ca="1"/>
        <v>6.5570000000000004</v>
      </c>
      <c r="L372" vm="4428">
        <f ca="1"/>
        <v>77.180000000000007</v>
      </c>
      <c r="M372" vm="4429">
        <f ca="1"/>
        <v>250.68</v>
      </c>
      <c r="N372" vm="4430">
        <f ca="1"/>
        <v>2779.03</v>
      </c>
    </row>
    <row r="373" spans="2:14" x14ac:dyDescent="0.35">
      <c r="B373" vm="4431">
        <f ca="1"/>
        <v>43262</v>
      </c>
      <c r="C373" vm="4432">
        <f ca="1"/>
        <v>57.045000000000002</v>
      </c>
      <c r="D373" vm="4433">
        <f ca="1"/>
        <v>84.456000000000003</v>
      </c>
      <c r="E373" vm="80">
        <f ca="1"/>
        <v>37.81</v>
      </c>
      <c r="F373" vm="4434">
        <f ca="1"/>
        <v>404.23</v>
      </c>
      <c r="G373" vm="4435">
        <f ca="1"/>
        <v>145.40719999999999</v>
      </c>
      <c r="H373" vm="4436">
        <f ca="1"/>
        <v>198.49</v>
      </c>
      <c r="I373" vm="4437">
        <f ca="1"/>
        <v>38.85</v>
      </c>
      <c r="J373" vm="4438">
        <f ca="1"/>
        <v>69.87</v>
      </c>
      <c r="K373" vm="4439">
        <f ca="1"/>
        <v>6.5155000000000003</v>
      </c>
      <c r="L373" vm="4440">
        <f ca="1"/>
        <v>77.53</v>
      </c>
      <c r="M373" vm="4441">
        <f ca="1"/>
        <v>253.78</v>
      </c>
      <c r="N373" vm="4442">
        <f ca="1"/>
        <v>2782</v>
      </c>
    </row>
    <row r="374" spans="2:14" x14ac:dyDescent="0.35">
      <c r="B374" vm="4443">
        <f ca="1"/>
        <v>43263</v>
      </c>
      <c r="C374" vm="4444">
        <f ca="1"/>
        <v>57.409500000000001</v>
      </c>
      <c r="D374" vm="4445">
        <f ca="1"/>
        <v>84.9375</v>
      </c>
      <c r="E374" vm="4446">
        <f ca="1"/>
        <v>37.82</v>
      </c>
      <c r="F374" vm="4447">
        <f ca="1"/>
        <v>405.33</v>
      </c>
      <c r="G374" vm="4448">
        <f ca="1"/>
        <v>145.78059999999999</v>
      </c>
      <c r="H374" vm="4449">
        <f ca="1"/>
        <v>200.13</v>
      </c>
      <c r="I374" vm="4450">
        <f ca="1"/>
        <v>39.352499999999999</v>
      </c>
      <c r="J374" vm="1838">
        <f ca="1"/>
        <v>68.599999999999994</v>
      </c>
      <c r="K374" vm="4451">
        <f ca="1"/>
        <v>6.5644999999999998</v>
      </c>
      <c r="L374" vm="4452">
        <f ca="1"/>
        <v>77.239999999999995</v>
      </c>
      <c r="M374" vm="4453">
        <f ca="1"/>
        <v>253.58</v>
      </c>
      <c r="N374" vm="4454">
        <f ca="1"/>
        <v>2786.85</v>
      </c>
    </row>
    <row r="375" spans="2:14" x14ac:dyDescent="0.35">
      <c r="B375" vm="4455">
        <f ca="1"/>
        <v>43264</v>
      </c>
      <c r="C375" vm="4456">
        <f ca="1"/>
        <v>57.211500000000001</v>
      </c>
      <c r="D375" vm="4457">
        <f ca="1"/>
        <v>85.242999999999995</v>
      </c>
      <c r="E375" vm="4458">
        <f ca="1"/>
        <v>37.11</v>
      </c>
      <c r="F375" vm="4459">
        <f ca="1"/>
        <v>392.69</v>
      </c>
      <c r="G375" vm="4460">
        <f ca="1"/>
        <v>145.3689</v>
      </c>
      <c r="H375" vm="4461">
        <f ca="1"/>
        <v>199.41</v>
      </c>
      <c r="I375" vm="4462">
        <f ca="1"/>
        <v>39.284999999999997</v>
      </c>
      <c r="J375" vm="4463">
        <f ca="1"/>
        <v>67.97</v>
      </c>
      <c r="K375" vm="4464">
        <f ca="1"/>
        <v>6.56</v>
      </c>
      <c r="L375" vm="4465">
        <f ca="1"/>
        <v>76.47</v>
      </c>
      <c r="M375" vm="4466">
        <f ca="1"/>
        <v>252.87</v>
      </c>
      <c r="N375" vm="4467">
        <f ca="1"/>
        <v>2775.63</v>
      </c>
    </row>
    <row r="376" spans="2:14" x14ac:dyDescent="0.35">
      <c r="B376" vm="4468">
        <f ca="1"/>
        <v>43265</v>
      </c>
      <c r="C376" vm="4469">
        <f ca="1"/>
        <v>58.005499999999998</v>
      </c>
      <c r="D376" vm="4470">
        <f ca="1"/>
        <v>86.192999999999998</v>
      </c>
      <c r="E376" vm="4471">
        <f ca="1"/>
        <v>36.880000000000003</v>
      </c>
      <c r="F376" vm="4472">
        <f ca="1"/>
        <v>396.74</v>
      </c>
      <c r="G376" vm="4473">
        <f ca="1"/>
        <v>144.76580000000001</v>
      </c>
      <c r="H376" vm="2148">
        <f ca="1"/>
        <v>199.31</v>
      </c>
      <c r="I376" vm="4474">
        <f ca="1"/>
        <v>39.704999999999998</v>
      </c>
      <c r="J376" vm="2434">
        <f ca="1"/>
        <v>68.33</v>
      </c>
      <c r="K376" vm="4475">
        <f ca="1"/>
        <v>6.6727999999999996</v>
      </c>
      <c r="L376" vm="4476">
        <f ca="1"/>
        <v>75.989999999999995</v>
      </c>
      <c r="M376" vm="4477">
        <f ca="1"/>
        <v>255.33</v>
      </c>
      <c r="N376" vm="4478">
        <f ca="1"/>
        <v>2782.49</v>
      </c>
    </row>
    <row r="377" spans="2:14" x14ac:dyDescent="0.35">
      <c r="B377" vm="4479">
        <f ca="1"/>
        <v>43266</v>
      </c>
      <c r="C377" vm="4480">
        <f ca="1"/>
        <v>57.963500000000003</v>
      </c>
      <c r="D377" vm="4481">
        <f ca="1"/>
        <v>85.798500000000004</v>
      </c>
      <c r="E377" vm="4385">
        <f ca="1"/>
        <v>36.65</v>
      </c>
      <c r="F377" vm="4482">
        <f ca="1"/>
        <v>398.76</v>
      </c>
      <c r="G377" vm="4483">
        <f ca="1"/>
        <v>143.83699999999999</v>
      </c>
      <c r="H377" vm="4484">
        <f ca="1"/>
        <v>199.53</v>
      </c>
      <c r="I377" vm="4485">
        <f ca="1"/>
        <v>39.884999999999998</v>
      </c>
      <c r="J377" vm="1713">
        <f ca="1"/>
        <v>66.83</v>
      </c>
      <c r="K377" vm="4486">
        <f ca="1"/>
        <v>6.6315</v>
      </c>
      <c r="L377" vm="4487">
        <f ca="1"/>
        <v>77.38</v>
      </c>
      <c r="M377" vm="4488">
        <f ca="1"/>
        <v>255.98</v>
      </c>
      <c r="N377" vm="4489">
        <f ca="1"/>
        <v>2779.66</v>
      </c>
    </row>
    <row r="378" spans="2:14" x14ac:dyDescent="0.35">
      <c r="B378" vm="4490">
        <f ca="1"/>
        <v>43269</v>
      </c>
      <c r="C378" vm="4491">
        <f ca="1"/>
        <v>59.179000000000002</v>
      </c>
      <c r="D378" vm="4492">
        <f ca="1"/>
        <v>86.189499999999995</v>
      </c>
      <c r="E378" vm="4493">
        <f ca="1"/>
        <v>36.74</v>
      </c>
      <c r="F378" vm="4494">
        <f ca="1"/>
        <v>401.69</v>
      </c>
      <c r="G378" vm="4495">
        <f ca="1"/>
        <v>143.56890000000001</v>
      </c>
      <c r="H378" vm="4496">
        <f ca="1"/>
        <v>201.13</v>
      </c>
      <c r="I378" vm="4497">
        <f ca="1"/>
        <v>40.102499999999999</v>
      </c>
      <c r="J378" vm="4498">
        <f ca="1"/>
        <v>67.040000000000006</v>
      </c>
      <c r="K378" vm="4499">
        <f ca="1"/>
        <v>6.6273</v>
      </c>
      <c r="L378" vm="4500">
        <f ca="1"/>
        <v>75.84</v>
      </c>
      <c r="M378" vm="4501">
        <f ca="1"/>
        <v>254.87</v>
      </c>
      <c r="N378" vm="4502">
        <f ca="1"/>
        <v>2773.75</v>
      </c>
    </row>
    <row r="379" spans="2:14" x14ac:dyDescent="0.35">
      <c r="B379" vm="4503">
        <f ca="1"/>
        <v>43270</v>
      </c>
      <c r="C379" vm="4504">
        <f ca="1"/>
        <v>58.9345</v>
      </c>
      <c r="D379" vm="4505">
        <f ca="1"/>
        <v>86.739000000000004</v>
      </c>
      <c r="E379" vm="4506">
        <f ca="1"/>
        <v>35.97</v>
      </c>
      <c r="F379" vm="4507">
        <f ca="1"/>
        <v>401.76</v>
      </c>
      <c r="G379" vm="4508">
        <f ca="1"/>
        <v>141.01259999999999</v>
      </c>
      <c r="H379" vm="4509">
        <f ca="1"/>
        <v>199.69</v>
      </c>
      <c r="I379" vm="4510">
        <f ca="1"/>
        <v>40.75</v>
      </c>
      <c r="J379" vm="4511">
        <f ca="1"/>
        <v>65.7</v>
      </c>
      <c r="K379" vm="4512">
        <f ca="1"/>
        <v>6.5042999999999997</v>
      </c>
      <c r="L379" vm="4513">
        <f ca="1"/>
        <v>76.33</v>
      </c>
      <c r="M379" vm="4514">
        <f ca="1"/>
        <v>253.02</v>
      </c>
      <c r="N379" vm="4515">
        <f ca="1"/>
        <v>2762.59</v>
      </c>
    </row>
    <row r="380" spans="2:14" x14ac:dyDescent="0.35">
      <c r="B380" vm="4516">
        <f ca="1"/>
        <v>43271</v>
      </c>
      <c r="C380" vm="4517">
        <f ca="1"/>
        <v>59.203499999999998</v>
      </c>
      <c r="D380" vm="4518">
        <f ca="1"/>
        <v>87.504000000000005</v>
      </c>
      <c r="E380" vm="4519">
        <f ca="1"/>
        <v>35.72</v>
      </c>
      <c r="F380" vm="4520">
        <f ca="1"/>
        <v>410.72</v>
      </c>
      <c r="G380" vm="4521">
        <f ca="1"/>
        <v>140.30410000000001</v>
      </c>
      <c r="H380" vm="4522">
        <f ca="1"/>
        <v>201.54</v>
      </c>
      <c r="I380" vm="4523">
        <f ca="1"/>
        <v>40.674999999999997</v>
      </c>
      <c r="J380" vm="4524">
        <f ca="1"/>
        <v>65.55</v>
      </c>
      <c r="K380" vm="4525">
        <f ca="1"/>
        <v>6.5578000000000003</v>
      </c>
      <c r="L380" vm="4526">
        <f ca="1"/>
        <v>75.849999999999994</v>
      </c>
      <c r="M380" vm="4527">
        <f ca="1"/>
        <v>252.81</v>
      </c>
      <c r="N380" vm="4528">
        <f ca="1"/>
        <v>2767.32</v>
      </c>
    </row>
    <row r="381" spans="2:14" x14ac:dyDescent="0.35">
      <c r="B381" vm="4529">
        <f ca="1"/>
        <v>43272</v>
      </c>
      <c r="C381" vm="4530">
        <f ca="1"/>
        <v>58.472000000000001</v>
      </c>
      <c r="D381" vm="4531">
        <f ca="1"/>
        <v>86.510999999999996</v>
      </c>
      <c r="E381" vm="4532">
        <f ca="1"/>
        <v>35.28</v>
      </c>
      <c r="F381" vm="4533">
        <f ca="1"/>
        <v>419</v>
      </c>
      <c r="G381" vm="4534">
        <f ca="1"/>
        <v>137.8434</v>
      </c>
      <c r="H381" vm="4535">
        <f ca="1"/>
        <v>200.78</v>
      </c>
      <c r="I381" vm="4536">
        <f ca="1"/>
        <v>40.842500000000001</v>
      </c>
      <c r="J381" vm="3876">
        <f ca="1"/>
        <v>64.790000000000006</v>
      </c>
      <c r="K381" vm="4537">
        <f ca="1"/>
        <v>6.4278000000000004</v>
      </c>
      <c r="L381" vm="4538">
        <f ca="1"/>
        <v>76.44</v>
      </c>
      <c r="M381" vm="4539">
        <f ca="1"/>
        <v>251.89</v>
      </c>
      <c r="N381" vm="4540">
        <f ca="1"/>
        <v>2749.76</v>
      </c>
    </row>
    <row r="382" spans="2:14" x14ac:dyDescent="0.35">
      <c r="B382" vm="4541">
        <f ca="1"/>
        <v>43273</v>
      </c>
      <c r="C382" vm="4542">
        <f ca="1"/>
        <v>58.464500000000001</v>
      </c>
      <c r="D382" vm="4543">
        <f ca="1"/>
        <v>85.783500000000004</v>
      </c>
      <c r="E382" vm="4544">
        <f ca="1"/>
        <v>35.909999999999997</v>
      </c>
      <c r="F382" vm="4545">
        <f ca="1"/>
        <v>418.86</v>
      </c>
      <c r="G382" vm="4546">
        <f ca="1"/>
        <v>137.87209999999999</v>
      </c>
      <c r="H382" vm="4547">
        <f ca="1"/>
        <v>201.48</v>
      </c>
      <c r="I382" vm="4548">
        <f ca="1"/>
        <v>41.075000000000003</v>
      </c>
      <c r="J382" vm="4549">
        <f ca="1"/>
        <v>66.58</v>
      </c>
      <c r="K382" vm="4550">
        <f ca="1"/>
        <v>6.2737999999999996</v>
      </c>
      <c r="L382" vm="4551">
        <f ca="1"/>
        <v>77.430000000000007</v>
      </c>
      <c r="M382" vm="4552">
        <f ca="1"/>
        <v>254.37</v>
      </c>
      <c r="N382" vm="4553">
        <f ca="1"/>
        <v>2754.88</v>
      </c>
    </row>
    <row r="383" spans="2:14" x14ac:dyDescent="0.35">
      <c r="B383" vm="4554">
        <f ca="1"/>
        <v>43276</v>
      </c>
      <c r="C383" vm="4555">
        <f ca="1"/>
        <v>56.963999999999999</v>
      </c>
      <c r="D383" vm="4556">
        <f ca="1"/>
        <v>83.157499999999999</v>
      </c>
      <c r="E383" vm="4557">
        <f ca="1"/>
        <v>35.92</v>
      </c>
      <c r="F383" vm="4558">
        <f ca="1"/>
        <v>418.57</v>
      </c>
      <c r="G383" vm="4559">
        <f ca="1"/>
        <v>137.91040000000001</v>
      </c>
      <c r="H383" vm="4560">
        <f ca="1"/>
        <v>194.98</v>
      </c>
      <c r="I383" vm="4561">
        <f ca="1"/>
        <v>41.6</v>
      </c>
      <c r="J383" vm="4562">
        <f ca="1"/>
        <v>65.430000000000007</v>
      </c>
      <c r="K383" vm="4563">
        <f ca="1"/>
        <v>5.9779999999999998</v>
      </c>
      <c r="L383" vm="3828">
        <f ca="1"/>
        <v>77.790000000000006</v>
      </c>
      <c r="M383" vm="4564">
        <f ca="1"/>
        <v>250.71</v>
      </c>
      <c r="N383" vm="4565">
        <f ca="1"/>
        <v>2717.07</v>
      </c>
    </row>
    <row r="384" spans="2:14" x14ac:dyDescent="0.35">
      <c r="B384" vm="4566">
        <f ca="1"/>
        <v>43277</v>
      </c>
      <c r="C384" vm="4567">
        <f ca="1"/>
        <v>56.631</v>
      </c>
      <c r="D384" vm="4568">
        <f ca="1"/>
        <v>84.554500000000004</v>
      </c>
      <c r="E384" vm="4569">
        <f ca="1"/>
        <v>35.74</v>
      </c>
      <c r="F384" vm="4570">
        <f ca="1"/>
        <v>429</v>
      </c>
      <c r="G384" vm="4571">
        <f ca="1"/>
        <v>137.8817</v>
      </c>
      <c r="H384" vm="4572">
        <f ca="1"/>
        <v>196.46</v>
      </c>
      <c r="I384" vm="4573">
        <f ca="1"/>
        <v>41.692500000000003</v>
      </c>
      <c r="J384" vm="4574">
        <f ca="1"/>
        <v>66.02</v>
      </c>
      <c r="K384" vm="4575">
        <f ca="1"/>
        <v>6.0498000000000003</v>
      </c>
      <c r="L384" vm="4576">
        <f ca="1"/>
        <v>78</v>
      </c>
      <c r="M384" vm="4577">
        <f ca="1"/>
        <v>249.77</v>
      </c>
      <c r="N384" vm="4578">
        <f ca="1"/>
        <v>2723.06</v>
      </c>
    </row>
    <row r="385" spans="2:14" x14ac:dyDescent="0.35">
      <c r="B385" vm="4579">
        <f ca="1"/>
        <v>43278</v>
      </c>
      <c r="C385" vm="4580">
        <f ca="1"/>
        <v>55.847000000000001</v>
      </c>
      <c r="D385" vm="4581">
        <f ca="1"/>
        <v>83.025499999999994</v>
      </c>
      <c r="E385" vm="4582">
        <f ca="1"/>
        <v>35.26</v>
      </c>
      <c r="F385" vm="4583">
        <f ca="1"/>
        <v>425.57</v>
      </c>
      <c r="G385" vm="4584">
        <f ca="1"/>
        <v>137.0487</v>
      </c>
      <c r="H385" vm="4585">
        <f ca="1"/>
        <v>193.18</v>
      </c>
      <c r="I385" vm="1620">
        <f ca="1"/>
        <v>42.02</v>
      </c>
      <c r="J385" vm="4586">
        <f ca="1"/>
        <v>66.81</v>
      </c>
      <c r="K385" vm="4587">
        <f ca="1"/>
        <v>5.8929999999999998</v>
      </c>
      <c r="L385" vm="4588">
        <f ca="1"/>
        <v>77.69</v>
      </c>
      <c r="M385" vm="4589">
        <f ca="1"/>
        <v>248.17</v>
      </c>
      <c r="N385" vm="4590">
        <f ca="1"/>
        <v>2699.63</v>
      </c>
    </row>
    <row r="386" spans="2:14" x14ac:dyDescent="0.35">
      <c r="B386" vm="4591">
        <f ca="1"/>
        <v>43279</v>
      </c>
      <c r="C386" vm="4592">
        <f ca="1"/>
        <v>56.338999999999999</v>
      </c>
      <c r="D386" vm="4593">
        <f ca="1"/>
        <v>85.072500000000005</v>
      </c>
      <c r="E386" vm="4594">
        <f ca="1"/>
        <v>35.25</v>
      </c>
      <c r="F386" vm="4595">
        <f ca="1"/>
        <v>427.05</v>
      </c>
      <c r="G386" vm="4596">
        <f ca="1"/>
        <v>137.03919999999999</v>
      </c>
      <c r="H386" vm="4597">
        <f ca="1"/>
        <v>197.1</v>
      </c>
      <c r="I386" vm="4598">
        <f ca="1"/>
        <v>41.702500000000001</v>
      </c>
      <c r="J386" vm="1788">
        <f ca="1"/>
        <v>67.010000000000005</v>
      </c>
      <c r="K386" vm="4599">
        <f ca="1"/>
        <v>6.0214999999999996</v>
      </c>
      <c r="L386" vm="4600">
        <f ca="1"/>
        <v>78.05</v>
      </c>
      <c r="M386" vm="4601">
        <f ca="1"/>
        <v>244.9</v>
      </c>
      <c r="N386" vm="4602">
        <f ca="1"/>
        <v>2716.31</v>
      </c>
    </row>
    <row r="387" spans="2:14" x14ac:dyDescent="0.35">
      <c r="B387" vm="4603">
        <f ca="1"/>
        <v>43280</v>
      </c>
      <c r="C387" vm="4604">
        <f ca="1"/>
        <v>56.459499999999998</v>
      </c>
      <c r="D387" vm="4605">
        <f ca="1"/>
        <v>84.99</v>
      </c>
      <c r="E387" vm="4606">
        <f ca="1"/>
        <v>35.549999999999997</v>
      </c>
      <c r="F387" vm="4607">
        <f ca="1"/>
        <v>429.89</v>
      </c>
      <c r="G387" vm="4608">
        <f ca="1"/>
        <v>137.91999999999999</v>
      </c>
      <c r="H387" vm="4609">
        <f ca="1"/>
        <v>196.52</v>
      </c>
      <c r="I387" vm="4610">
        <f ca="1"/>
        <v>41.7575</v>
      </c>
      <c r="J387" vm="4611">
        <f ca="1"/>
        <v>67.03</v>
      </c>
      <c r="K387" vm="4612">
        <f ca="1"/>
        <v>5.9225000000000003</v>
      </c>
      <c r="L387" vm="4613">
        <f ca="1"/>
        <v>78.06</v>
      </c>
      <c r="M387" vm="4614">
        <f ca="1"/>
        <v>245.34</v>
      </c>
      <c r="N387" vm="4615">
        <f ca="1"/>
        <v>2718.37</v>
      </c>
    </row>
    <row r="388" spans="2:14" x14ac:dyDescent="0.35">
      <c r="B388" vm="4616">
        <f ca="1"/>
        <v>43283</v>
      </c>
      <c r="C388" vm="4617">
        <f ca="1"/>
        <v>57.105499999999999</v>
      </c>
      <c r="D388" vm="4618">
        <f ca="1"/>
        <v>85.688999999999993</v>
      </c>
      <c r="E388" vm="4619">
        <f ca="1"/>
        <v>35.76</v>
      </c>
      <c r="F388" vm="4620">
        <f ca="1"/>
        <v>428.21</v>
      </c>
      <c r="G388" vm="4621">
        <f ca="1"/>
        <v>138.64769999999999</v>
      </c>
      <c r="H388" vm="4622">
        <f ca="1"/>
        <v>197.67</v>
      </c>
      <c r="I388" vm="4623">
        <f ca="1"/>
        <v>42.252499999999998</v>
      </c>
      <c r="J388" vm="4624">
        <f ca="1"/>
        <v>65.209999999999994</v>
      </c>
      <c r="K388" vm="4625">
        <f ca="1"/>
        <v>6.056</v>
      </c>
      <c r="L388" vm="4626">
        <f ca="1"/>
        <v>78.13</v>
      </c>
      <c r="M388" vm="4627">
        <f ca="1"/>
        <v>247.48</v>
      </c>
      <c r="N388" vm="4628">
        <f ca="1"/>
        <v>2726.71</v>
      </c>
    </row>
    <row r="389" spans="2:14" x14ac:dyDescent="0.35">
      <c r="B389" vm="4629">
        <f ca="1"/>
        <v>43284</v>
      </c>
      <c r="C389" vm="4630">
        <f ca="1"/>
        <v>55.814</v>
      </c>
      <c r="D389" vm="4631">
        <f ca="1"/>
        <v>84.697999999999993</v>
      </c>
      <c r="E389" vm="857">
        <f ca="1"/>
        <v>36.11</v>
      </c>
      <c r="F389" vm="4632">
        <f ca="1"/>
        <v>426.24</v>
      </c>
      <c r="G389" vm="4633">
        <f ca="1"/>
        <v>138.77209999999999</v>
      </c>
      <c r="H389" vm="4634">
        <f ca="1"/>
        <v>196.29</v>
      </c>
      <c r="I389" vm="4635">
        <f ca="1"/>
        <v>42.14</v>
      </c>
      <c r="J389" vm="1587">
        <f ca="1"/>
        <v>65.84</v>
      </c>
      <c r="K389" vm="4636">
        <f ca="1"/>
        <v>5.9210000000000003</v>
      </c>
      <c r="L389" vm="4637">
        <f ca="1"/>
        <v>77.900000000000006</v>
      </c>
      <c r="M389" vm="4638">
        <f ca="1"/>
        <v>246.98</v>
      </c>
      <c r="N389" vm="4639">
        <f ca="1"/>
        <v>2713.22</v>
      </c>
    </row>
    <row r="390" spans="2:14" x14ac:dyDescent="0.35">
      <c r="B390" vm="4640">
        <f ca="1"/>
        <v>43286</v>
      </c>
      <c r="C390" vm="4641">
        <f ca="1"/>
        <v>57.064500000000002</v>
      </c>
      <c r="D390" vm="4642">
        <f ca="1"/>
        <v>84.986500000000007</v>
      </c>
      <c r="E390" vm="4643">
        <f ca="1"/>
        <v>36.450000000000003</v>
      </c>
      <c r="F390" vm="4644">
        <f ca="1"/>
        <v>440.15</v>
      </c>
      <c r="G390" vm="4645">
        <f ca="1"/>
        <v>138.75299999999999</v>
      </c>
      <c r="H390" vm="4646">
        <f ca="1"/>
        <v>198.87</v>
      </c>
      <c r="I390" vm="397">
        <f ca="1"/>
        <v>42.134999999999998</v>
      </c>
      <c r="J390" vm="2205">
        <f ca="1"/>
        <v>66.430000000000007</v>
      </c>
      <c r="K390" vm="4647">
        <f ca="1"/>
        <v>6.0682999999999998</v>
      </c>
      <c r="L390" vm="3306">
        <f ca="1"/>
        <v>79.209999999999994</v>
      </c>
      <c r="M390" vm="4648">
        <f ca="1"/>
        <v>250.5</v>
      </c>
      <c r="N390" vm="4649">
        <f ca="1"/>
        <v>2736.61</v>
      </c>
    </row>
    <row r="391" spans="2:14" x14ac:dyDescent="0.35">
      <c r="B391" vm="4650">
        <f ca="1"/>
        <v>43287</v>
      </c>
      <c r="C391" vm="4651">
        <f ca="1"/>
        <v>57.753999999999998</v>
      </c>
      <c r="D391" vm="4652">
        <f ca="1"/>
        <v>85.531499999999994</v>
      </c>
      <c r="E391" vm="388">
        <f ca="1"/>
        <v>36.869999999999997</v>
      </c>
      <c r="F391" vm="4653">
        <f ca="1"/>
        <v>445.7</v>
      </c>
      <c r="G391" vm="4654">
        <f ca="1"/>
        <v>139.5189</v>
      </c>
      <c r="H391" vm="4655">
        <f ca="1"/>
        <v>199.52</v>
      </c>
      <c r="I391" vm="4656">
        <f ca="1"/>
        <v>42.577500000000001</v>
      </c>
      <c r="J391" vm="4611">
        <f ca="1"/>
        <v>67.03</v>
      </c>
      <c r="K391" vm="4657">
        <f ca="1"/>
        <v>6.1833</v>
      </c>
      <c r="L391" vm="4658">
        <f ca="1"/>
        <v>79.31</v>
      </c>
      <c r="M391" vm="4659">
        <f ca="1"/>
        <v>250.76</v>
      </c>
      <c r="N391" vm="4660">
        <f ca="1"/>
        <v>2759.82</v>
      </c>
    </row>
    <row r="392" spans="2:14" x14ac:dyDescent="0.35">
      <c r="B392" vm="4661">
        <f ca="1"/>
        <v>43290</v>
      </c>
      <c r="C392" vm="4662">
        <f ca="1"/>
        <v>58.363999999999997</v>
      </c>
      <c r="D392" vm="4663">
        <f ca="1"/>
        <v>86.950999999999993</v>
      </c>
      <c r="E392" vm="4664">
        <f ca="1"/>
        <v>37.06</v>
      </c>
      <c r="F392" vm="4665">
        <f ca="1"/>
        <v>442.51</v>
      </c>
      <c r="G392" vm="4666">
        <f ca="1"/>
        <v>141.14660000000001</v>
      </c>
      <c r="H392" vm="4667">
        <f ca="1"/>
        <v>200.93</v>
      </c>
      <c r="I392" vm="4668">
        <f ca="1"/>
        <v>41.33</v>
      </c>
      <c r="J392" vm="2421">
        <f ca="1"/>
        <v>68.34</v>
      </c>
      <c r="K392" vm="4669">
        <f ca="1"/>
        <v>6.2313000000000001</v>
      </c>
      <c r="L392" vm="4670">
        <f ca="1"/>
        <v>77.86</v>
      </c>
      <c r="M392" vm="4671">
        <f ca="1"/>
        <v>253.67</v>
      </c>
      <c r="N392" vm="4672">
        <f ca="1"/>
        <v>2784.17</v>
      </c>
    </row>
    <row r="393" spans="2:14" x14ac:dyDescent="0.35">
      <c r="B393" vm="4673">
        <f ca="1"/>
        <v>43291</v>
      </c>
      <c r="C393" vm="4674">
        <f ca="1"/>
        <v>58.356999999999999</v>
      </c>
      <c r="D393" vm="4675">
        <f ca="1"/>
        <v>87.153499999999994</v>
      </c>
      <c r="E393" vm="4676">
        <f ca="1"/>
        <v>37.65</v>
      </c>
      <c r="F393" vm="4677">
        <f ca="1"/>
        <v>445.88</v>
      </c>
      <c r="G393" vm="4678">
        <f ca="1"/>
        <v>141.74019999999999</v>
      </c>
      <c r="H393" vm="4679">
        <f ca="1"/>
        <v>201.52</v>
      </c>
      <c r="I393" vm="4680">
        <f ca="1"/>
        <v>41.86</v>
      </c>
      <c r="J393" vm="4681">
        <f ca="1"/>
        <v>69.489999999999995</v>
      </c>
      <c r="K393" vm="4682">
        <f ca="1"/>
        <v>6.3312999999999997</v>
      </c>
      <c r="L393" vm="4683">
        <f ca="1"/>
        <v>79.819999999999993</v>
      </c>
      <c r="M393" vm="4684">
        <f ca="1"/>
        <v>255.54</v>
      </c>
      <c r="N393" vm="4685">
        <f ca="1"/>
        <v>2793.84</v>
      </c>
    </row>
    <row r="394" spans="2:14" x14ac:dyDescent="0.35">
      <c r="B394" vm="4686">
        <f ca="1"/>
        <v>43292</v>
      </c>
      <c r="C394" vm="4687">
        <f ca="1"/>
        <v>58.573</v>
      </c>
      <c r="D394" vm="4688">
        <f ca="1"/>
        <v>87.75</v>
      </c>
      <c r="E394" vm="3291">
        <f ca="1"/>
        <v>37.76</v>
      </c>
      <c r="F394" vm="4689">
        <f ca="1"/>
        <v>443.47</v>
      </c>
      <c r="G394" vm="2327">
        <f ca="1"/>
        <v>138.37</v>
      </c>
      <c r="H394" vm="4690">
        <f ca="1"/>
        <v>203.84</v>
      </c>
      <c r="I394" vm="4691">
        <f ca="1"/>
        <v>42.102499999999999</v>
      </c>
      <c r="J394" vm="2421">
        <f ca="1"/>
        <v>68.34</v>
      </c>
      <c r="K394" vm="4692">
        <f ca="1"/>
        <v>6.1882999999999999</v>
      </c>
      <c r="L394" vm="3666">
        <f ca="1"/>
        <v>79.16</v>
      </c>
      <c r="M394" vm="4693">
        <f ca="1"/>
        <v>254.59</v>
      </c>
      <c r="N394" vm="4694">
        <f ca="1"/>
        <v>2774.02</v>
      </c>
    </row>
    <row r="395" spans="2:14" x14ac:dyDescent="0.35">
      <c r="B395" vm="4695">
        <f ca="1"/>
        <v>43293</v>
      </c>
      <c r="C395" vm="4696">
        <f ca="1"/>
        <v>60.063000000000002</v>
      </c>
      <c r="D395" vm="4697">
        <f ca="1"/>
        <v>89.831000000000003</v>
      </c>
      <c r="E395" vm="3455">
        <f ca="1"/>
        <v>37.869999999999997</v>
      </c>
      <c r="F395" vm="4698">
        <f ca="1"/>
        <v>445.67</v>
      </c>
      <c r="G395" vm="4699">
        <f ca="1"/>
        <v>141.5966</v>
      </c>
      <c r="H395" vm="4700">
        <f ca="1"/>
        <v>207.78</v>
      </c>
      <c r="I395" vm="4701">
        <f ca="1"/>
        <v>42.122500000000002</v>
      </c>
      <c r="J395" vm="4702">
        <f ca="1"/>
        <v>67.47</v>
      </c>
      <c r="K395" vm="4703">
        <f ca="1"/>
        <v>6.2808000000000002</v>
      </c>
      <c r="L395" vm="4704">
        <f ca="1"/>
        <v>78.89</v>
      </c>
      <c r="M395" vm="4705">
        <f ca="1"/>
        <v>256.05</v>
      </c>
      <c r="N395" vm="4706">
        <f ca="1"/>
        <v>2798.29</v>
      </c>
    </row>
    <row r="396" spans="2:14" x14ac:dyDescent="0.35">
      <c r="B396" vm="4707">
        <f ca="1"/>
        <v>43294</v>
      </c>
      <c r="C396" vm="4708">
        <f ca="1"/>
        <v>60.220999999999997</v>
      </c>
      <c r="D396" vm="4709">
        <f ca="1"/>
        <v>90.651499999999999</v>
      </c>
      <c r="E396" vm="4710">
        <f ca="1"/>
        <v>37.619999999999997</v>
      </c>
      <c r="F396" vm="4711">
        <f ca="1"/>
        <v>443.43</v>
      </c>
      <c r="G396" vm="4712">
        <f ca="1"/>
        <v>141.22319999999999</v>
      </c>
      <c r="H396" vm="4713">
        <f ca="1"/>
        <v>205.91</v>
      </c>
      <c r="I396" vm="4714">
        <f ca="1"/>
        <v>42.38</v>
      </c>
      <c r="J396" vm="4715">
        <f ca="1"/>
        <v>68.08</v>
      </c>
      <c r="K396" vm="4716">
        <f ca="1"/>
        <v>6.2329999999999997</v>
      </c>
      <c r="L396" vm="4658">
        <f ca="1"/>
        <v>79.31</v>
      </c>
      <c r="M396" vm="4717">
        <f ca="1"/>
        <v>258.7</v>
      </c>
      <c r="N396" vm="4718">
        <f ca="1"/>
        <v>2801.31</v>
      </c>
    </row>
    <row r="397" spans="2:14" x14ac:dyDescent="0.35">
      <c r="B397" vm="4719">
        <f ca="1"/>
        <v>43297</v>
      </c>
      <c r="C397" vm="4720">
        <f ca="1"/>
        <v>59.825499999999998</v>
      </c>
      <c r="D397" vm="4721">
        <f ca="1"/>
        <v>91.124499999999998</v>
      </c>
      <c r="E397" vm="2049">
        <f ca="1"/>
        <v>37.409999999999997</v>
      </c>
      <c r="F397" vm="4722">
        <f ca="1"/>
        <v>439.78</v>
      </c>
      <c r="G397" vm="3898">
        <f ca="1"/>
        <v>140.16999999999999</v>
      </c>
      <c r="H397" vm="4723">
        <f ca="1"/>
        <v>204.08</v>
      </c>
      <c r="I397" vm="4724">
        <f ca="1"/>
        <v>42.375</v>
      </c>
      <c r="J397" vm="4725">
        <f ca="1"/>
        <v>67.42</v>
      </c>
      <c r="K397" vm="4726">
        <f ca="1"/>
        <v>6.2050000000000001</v>
      </c>
      <c r="L397" vm="4727">
        <f ca="1"/>
        <v>79.53</v>
      </c>
      <c r="M397" vm="4728">
        <f ca="1"/>
        <v>256.98</v>
      </c>
      <c r="N397" vm="4729">
        <f ca="1"/>
        <v>2798.43</v>
      </c>
    </row>
    <row r="398" spans="2:14" x14ac:dyDescent="0.35">
      <c r="B398" vm="4730">
        <f ca="1"/>
        <v>43298</v>
      </c>
      <c r="C398" vm="4731">
        <f ca="1"/>
        <v>60.654000000000003</v>
      </c>
      <c r="D398" vm="4732">
        <f ca="1"/>
        <v>92.1965</v>
      </c>
      <c r="E398" vm="4733">
        <f ca="1"/>
        <v>38.25</v>
      </c>
      <c r="F398" vm="4734">
        <f ca="1"/>
        <v>438.45</v>
      </c>
      <c r="G398" vm="4735">
        <f ca="1"/>
        <v>142.1711</v>
      </c>
      <c r="H398" vm="4736">
        <f ca="1"/>
        <v>206.37</v>
      </c>
      <c r="I398" vm="4737">
        <f ca="1"/>
        <v>42.552500000000002</v>
      </c>
      <c r="J398" vm="3676">
        <f ca="1"/>
        <v>66.739999999999995</v>
      </c>
      <c r="K398" vm="4738">
        <f ca="1"/>
        <v>6.3422999999999998</v>
      </c>
      <c r="L398" vm="4739">
        <f ca="1"/>
        <v>80.03</v>
      </c>
      <c r="M398" vm="4740">
        <f ca="1"/>
        <v>250.29</v>
      </c>
      <c r="N398" vm="4741">
        <f ca="1"/>
        <v>2809.55</v>
      </c>
    </row>
    <row r="399" spans="2:14" x14ac:dyDescent="0.35">
      <c r="B399" vm="4742">
        <f ca="1"/>
        <v>43299</v>
      </c>
      <c r="C399" vm="4743">
        <f ca="1"/>
        <v>60.645499999999998</v>
      </c>
      <c r="D399" vm="4744">
        <f ca="1"/>
        <v>92.146000000000001</v>
      </c>
      <c r="E399" vm="4745">
        <f ca="1"/>
        <v>38.08</v>
      </c>
      <c r="F399" vm="4746">
        <f ca="1"/>
        <v>434.55</v>
      </c>
      <c r="G399" vm="4747">
        <f ca="1"/>
        <v>142.803</v>
      </c>
      <c r="H399" vm="4748">
        <f ca="1"/>
        <v>208.36</v>
      </c>
      <c r="I399" vm="4749">
        <f ca="1"/>
        <v>42.354999999999997</v>
      </c>
      <c r="J399" vm="2708">
        <f ca="1"/>
        <v>67.06</v>
      </c>
      <c r="K399" vm="4750">
        <f ca="1"/>
        <v>6.2925000000000004</v>
      </c>
      <c r="L399" vm="3714">
        <f ca="1"/>
        <v>79.72</v>
      </c>
      <c r="M399" vm="4751">
        <f ca="1"/>
        <v>255.42</v>
      </c>
      <c r="N399" vm="4752">
        <f ca="1"/>
        <v>2815.62</v>
      </c>
    </row>
    <row r="400" spans="2:14" x14ac:dyDescent="0.35">
      <c r="B400" vm="4753">
        <f ca="1"/>
        <v>43300</v>
      </c>
      <c r="C400" vm="4754">
        <f ca="1"/>
        <v>59.954999999999998</v>
      </c>
      <c r="D400" vm="4755">
        <f ca="1"/>
        <v>90.648499999999999</v>
      </c>
      <c r="E400" vm="4756">
        <f ca="1"/>
        <v>38.270000000000003</v>
      </c>
      <c r="F400" vm="4757">
        <f ca="1"/>
        <v>437.19</v>
      </c>
      <c r="G400" vm="4758">
        <f ca="1"/>
        <v>141.26150000000001</v>
      </c>
      <c r="H400" vm="4759">
        <f ca="1"/>
        <v>206.06</v>
      </c>
      <c r="I400" vm="4760">
        <f ca="1"/>
        <v>42.5625</v>
      </c>
      <c r="J400" vm="2218">
        <f ca="1"/>
        <v>66.92</v>
      </c>
      <c r="K400" vm="4761">
        <f ca="1"/>
        <v>6.3007999999999997</v>
      </c>
      <c r="L400" vm="4762">
        <f ca="1"/>
        <v>78.73</v>
      </c>
      <c r="M400" vm="4763">
        <f ca="1"/>
        <v>252.93</v>
      </c>
      <c r="N400" vm="4764">
        <f ca="1"/>
        <v>2804.49</v>
      </c>
    </row>
    <row r="401" spans="2:14" x14ac:dyDescent="0.35">
      <c r="B401" vm="4765">
        <f ca="1"/>
        <v>43301</v>
      </c>
      <c r="C401" vm="4766">
        <f ca="1"/>
        <v>59.893999999999998</v>
      </c>
      <c r="D401" vm="4767">
        <f ca="1"/>
        <v>90.685000000000002</v>
      </c>
      <c r="E401" vm="4327">
        <f ca="1"/>
        <v>37.590000000000003</v>
      </c>
      <c r="F401" vm="4768">
        <f ca="1"/>
        <v>434.22</v>
      </c>
      <c r="G401" vm="4769">
        <f ca="1"/>
        <v>146.61359999999999</v>
      </c>
      <c r="H401" vm="4770">
        <f ca="1"/>
        <v>206.71</v>
      </c>
      <c r="I401" vm="523">
        <f ca="1"/>
        <v>42.4925</v>
      </c>
      <c r="J401" vm="4771">
        <f ca="1"/>
        <v>66.09</v>
      </c>
      <c r="K401" vm="4772">
        <f ca="1"/>
        <v>6.2723000000000004</v>
      </c>
      <c r="L401" vm="4773">
        <f ca="1"/>
        <v>78.680000000000007</v>
      </c>
      <c r="M401" vm="4774">
        <f ca="1"/>
        <v>252.7</v>
      </c>
      <c r="N401" vm="4775">
        <f ca="1"/>
        <v>2801.83</v>
      </c>
    </row>
    <row r="402" spans="2:14" x14ac:dyDescent="0.35">
      <c r="B402" vm="4776">
        <f ca="1"/>
        <v>43304</v>
      </c>
      <c r="C402" vm="4777">
        <f ca="1"/>
        <v>60.55</v>
      </c>
      <c r="D402" vm="2948">
        <f ca="1"/>
        <v>90.1</v>
      </c>
      <c r="E402" vm="2494">
        <f ca="1"/>
        <v>37.880000000000003</v>
      </c>
      <c r="F402" vm="4778">
        <f ca="1"/>
        <v>428.8</v>
      </c>
      <c r="G402" vm="4779">
        <f ca="1"/>
        <v>147.15940000000001</v>
      </c>
      <c r="H402" vm="4780">
        <f ca="1"/>
        <v>207.84</v>
      </c>
      <c r="I402" vm="4781">
        <f ca="1"/>
        <v>42.207500000000003</v>
      </c>
      <c r="J402" vm="1612">
        <f ca="1"/>
        <v>65.739999999999995</v>
      </c>
      <c r="K402" vm="4782">
        <f ca="1"/>
        <v>6.2352999999999996</v>
      </c>
      <c r="L402" vm="4783">
        <f ca="1"/>
        <v>78.510000000000005</v>
      </c>
      <c r="M402" vm="4784">
        <f ca="1"/>
        <v>252.74</v>
      </c>
      <c r="N402" vm="4785">
        <f ca="1"/>
        <v>2806.98</v>
      </c>
    </row>
    <row r="403" spans="2:14" x14ac:dyDescent="0.35">
      <c r="B403" vm="4786">
        <f ca="1"/>
        <v>43305</v>
      </c>
      <c r="C403" vm="4787">
        <f ca="1"/>
        <v>62.907499999999999</v>
      </c>
      <c r="D403" vm="4788">
        <f ca="1"/>
        <v>91.462000000000003</v>
      </c>
      <c r="E403" vm="259">
        <f ca="1"/>
        <v>38.130000000000003</v>
      </c>
      <c r="F403" vm="4789">
        <f ca="1"/>
        <v>428.73</v>
      </c>
      <c r="G403" vm="4790">
        <f ca="1"/>
        <v>148.55719999999999</v>
      </c>
      <c r="H403" vm="4791">
        <f ca="1"/>
        <v>209.58</v>
      </c>
      <c r="I403" vm="4737">
        <f ca="1"/>
        <v>42.552500000000002</v>
      </c>
      <c r="J403" vm="3789">
        <f ca="1"/>
        <v>65.52</v>
      </c>
      <c r="K403" vm="4792">
        <f ca="1"/>
        <v>6.2178000000000004</v>
      </c>
      <c r="L403" vm="4793">
        <f ca="1"/>
        <v>78.989999999999995</v>
      </c>
      <c r="M403" vm="4794">
        <f ca="1"/>
        <v>253.76</v>
      </c>
      <c r="N403" vm="4795">
        <f ca="1"/>
        <v>2820.4</v>
      </c>
    </row>
    <row r="404" spans="2:14" x14ac:dyDescent="0.35">
      <c r="B404" vm="4796">
        <f ca="1"/>
        <v>43306</v>
      </c>
      <c r="C404" vm="4797">
        <f ca="1"/>
        <v>63.796999999999997</v>
      </c>
      <c r="D404" vm="4798">
        <f ca="1"/>
        <v>93.180499999999995</v>
      </c>
      <c r="E404" vm="3336">
        <f ca="1"/>
        <v>38.119999999999997</v>
      </c>
      <c r="F404" vm="4799">
        <f ca="1"/>
        <v>432.64</v>
      </c>
      <c r="G404" vm="4800">
        <f ca="1"/>
        <v>151.2955</v>
      </c>
      <c r="H404" vm="4801">
        <f ca="1"/>
        <v>214.16</v>
      </c>
      <c r="I404" vm="4802">
        <f ca="1"/>
        <v>41.9375</v>
      </c>
      <c r="J404" vm="4803">
        <f ca="1"/>
        <v>65.78</v>
      </c>
      <c r="K404" vm="4804">
        <f ca="1"/>
        <v>6.2968000000000002</v>
      </c>
      <c r="L404" vm="4805">
        <f ca="1"/>
        <v>79.47</v>
      </c>
      <c r="M404" vm="4806">
        <f ca="1"/>
        <v>254.86</v>
      </c>
      <c r="N404" vm="4807">
        <f ca="1"/>
        <v>2846.07</v>
      </c>
    </row>
    <row r="405" spans="2:14" x14ac:dyDescent="0.35">
      <c r="B405" vm="4808">
        <f ca="1"/>
        <v>43307</v>
      </c>
      <c r="C405" vm="4809">
        <f ca="1"/>
        <v>64.275000000000006</v>
      </c>
      <c r="D405" vm="4810">
        <f ca="1"/>
        <v>90.4</v>
      </c>
      <c r="E405" vm="4200">
        <f ca="1"/>
        <v>38.549999999999997</v>
      </c>
      <c r="F405" vm="4811">
        <f ca="1"/>
        <v>435.2</v>
      </c>
      <c r="G405" vm="4812">
        <f ca="1"/>
        <v>152.34870000000001</v>
      </c>
      <c r="H405" vm="4813">
        <f ca="1"/>
        <v>207.37</v>
      </c>
      <c r="I405" vm="4814">
        <f ca="1"/>
        <v>42.04</v>
      </c>
      <c r="J405" vm="4815">
        <f ca="1"/>
        <v>66.86</v>
      </c>
      <c r="K405" vm="4816">
        <f ca="1"/>
        <v>6.3710000000000004</v>
      </c>
      <c r="L405" vm="4817">
        <f ca="1"/>
        <v>80.09</v>
      </c>
      <c r="M405" vm="4818">
        <f ca="1"/>
        <v>257</v>
      </c>
      <c r="N405" vm="4819">
        <f ca="1"/>
        <v>2837.44</v>
      </c>
    </row>
    <row r="406" spans="2:14" x14ac:dyDescent="0.35">
      <c r="B406" vm="4820">
        <f ca="1"/>
        <v>43308</v>
      </c>
      <c r="C406" vm="4821">
        <f ca="1"/>
        <v>62.644500000000001</v>
      </c>
      <c r="D406" vm="4822">
        <f ca="1"/>
        <v>90.863500000000002</v>
      </c>
      <c r="E406" vm="3797">
        <f ca="1"/>
        <v>38.770000000000003</v>
      </c>
      <c r="F406" vm="4823">
        <f ca="1"/>
        <v>443.2</v>
      </c>
      <c r="G406" vm="4824">
        <f ca="1"/>
        <v>152.55940000000001</v>
      </c>
      <c r="H406" vm="4825">
        <f ca="1"/>
        <v>202.94</v>
      </c>
      <c r="I406" vm="4826">
        <f ca="1"/>
        <v>41.744999999999997</v>
      </c>
      <c r="J406" vm="4498">
        <f ca="1"/>
        <v>67.040000000000006</v>
      </c>
      <c r="K406" vm="4827">
        <f ca="1"/>
        <v>6.3005000000000004</v>
      </c>
      <c r="L406" vm="4828">
        <f ca="1"/>
        <v>80.58</v>
      </c>
      <c r="M406" vm="4829">
        <f ca="1"/>
        <v>255.95</v>
      </c>
      <c r="N406" vm="4830">
        <f ca="1"/>
        <v>2818.82</v>
      </c>
    </row>
    <row r="407" spans="2:14" x14ac:dyDescent="0.35">
      <c r="B407" vm="4831">
        <f ca="1"/>
        <v>43311</v>
      </c>
      <c r="C407" vm="4832">
        <f ca="1"/>
        <v>61.502000000000002</v>
      </c>
      <c r="D407" vm="4833">
        <f ca="1"/>
        <v>88.960999999999999</v>
      </c>
      <c r="E407" vm="4834">
        <f ca="1"/>
        <v>38.58</v>
      </c>
      <c r="F407" vm="4835">
        <f ca="1"/>
        <v>432.66</v>
      </c>
      <c r="G407" vm="4836">
        <f ca="1"/>
        <v>150.2423</v>
      </c>
      <c r="H407" vm="4837">
        <f ca="1"/>
        <v>197.87</v>
      </c>
      <c r="I407" vm="4838">
        <f ca="1"/>
        <v>41.557499999999997</v>
      </c>
      <c r="J407" vm="4839">
        <f ca="1"/>
        <v>67.58</v>
      </c>
      <c r="K407" vm="4840">
        <f ca="1"/>
        <v>6.1032999999999999</v>
      </c>
      <c r="L407" vm="4841">
        <f ca="1"/>
        <v>80.2</v>
      </c>
      <c r="M407" vm="4842">
        <f ca="1"/>
        <v>253.84</v>
      </c>
      <c r="N407" vm="4843">
        <f ca="1"/>
        <v>2802.6</v>
      </c>
    </row>
    <row r="408" spans="2:14" x14ac:dyDescent="0.35">
      <c r="B408" vm="4844">
        <f ca="1"/>
        <v>43312</v>
      </c>
      <c r="C408" vm="4845">
        <f ca="1"/>
        <v>61.360999999999997</v>
      </c>
      <c r="D408" vm="4846">
        <f ca="1"/>
        <v>88.872</v>
      </c>
      <c r="E408" vm="4847">
        <f ca="1"/>
        <v>38.97</v>
      </c>
      <c r="F408" vm="4848">
        <f ca="1"/>
        <v>439.28</v>
      </c>
      <c r="G408" vm="3384">
        <f ca="1"/>
        <v>152.8562</v>
      </c>
      <c r="H408" vm="4849">
        <f ca="1"/>
        <v>198</v>
      </c>
      <c r="I408" vm="4850">
        <f ca="1"/>
        <v>41.884999999999998</v>
      </c>
      <c r="J408" vm="4851">
        <f ca="1"/>
        <v>67.52</v>
      </c>
      <c r="K408" vm="4852">
        <f ca="1"/>
        <v>6.1215000000000002</v>
      </c>
      <c r="L408" vm="4853">
        <f ca="1"/>
        <v>80.88</v>
      </c>
      <c r="M408" vm="4854">
        <f ca="1"/>
        <v>253.22</v>
      </c>
      <c r="N408" vm="4855">
        <f ca="1"/>
        <v>2816.29</v>
      </c>
    </row>
    <row r="409" spans="2:14" x14ac:dyDescent="0.35">
      <c r="B409" vm="4856">
        <f ca="1"/>
        <v>43313</v>
      </c>
      <c r="C409" vm="4857">
        <f ca="1"/>
        <v>61.649500000000003</v>
      </c>
      <c r="D409" vm="4858">
        <f ca="1"/>
        <v>89.858500000000006</v>
      </c>
      <c r="E409" vm="3429">
        <f ca="1"/>
        <v>39.33</v>
      </c>
      <c r="F409" vm="4859">
        <f ca="1"/>
        <v>445.13</v>
      </c>
      <c r="G409" vm="4860">
        <f ca="1"/>
        <v>150.21360000000001</v>
      </c>
      <c r="H409" vm="4861">
        <f ca="1"/>
        <v>201.2</v>
      </c>
      <c r="I409" vm="4862">
        <f ca="1"/>
        <v>41.975000000000001</v>
      </c>
      <c r="J409" vm="4863">
        <f ca="1"/>
        <v>66.66</v>
      </c>
      <c r="K409" vm="4864">
        <f ca="1"/>
        <v>6.1618000000000004</v>
      </c>
      <c r="L409" vm="428">
        <f ca="1"/>
        <v>80.650000000000006</v>
      </c>
      <c r="M409" vm="4865">
        <f ca="1"/>
        <v>253.37</v>
      </c>
      <c r="N409" vm="4866">
        <f ca="1"/>
        <v>2813.36</v>
      </c>
    </row>
    <row r="410" spans="2:14" x14ac:dyDescent="0.35">
      <c r="B410" vm="4867">
        <f ca="1"/>
        <v>43314</v>
      </c>
      <c r="C410" vm="4868">
        <f ca="1"/>
        <v>62.0565</v>
      </c>
      <c r="D410" vm="4869">
        <f ca="1"/>
        <v>91.716499999999996</v>
      </c>
      <c r="E410" vm="2238">
        <f ca="1"/>
        <v>40.53</v>
      </c>
      <c r="F410" vm="4870">
        <f ca="1"/>
        <v>447.89</v>
      </c>
      <c r="G410" vm="4871">
        <f ca="1"/>
        <v>149.26570000000001</v>
      </c>
      <c r="H410" vm="4872">
        <f ca="1"/>
        <v>202.01</v>
      </c>
      <c r="I410" vm="4873">
        <f ca="1"/>
        <v>42.362499999999997</v>
      </c>
      <c r="J410" vm="4874">
        <f ca="1"/>
        <v>65.94</v>
      </c>
      <c r="K410" vm="4875">
        <f ca="1"/>
        <v>6.2655000000000003</v>
      </c>
      <c r="L410" vm="4876">
        <f ca="1"/>
        <v>82</v>
      </c>
      <c r="M410" vm="4877">
        <f ca="1"/>
        <v>256.08</v>
      </c>
      <c r="N410" vm="4878">
        <f ca="1"/>
        <v>2827.22</v>
      </c>
    </row>
    <row r="411" spans="2:14" x14ac:dyDescent="0.35">
      <c r="B411" vm="4879">
        <f ca="1"/>
        <v>43315</v>
      </c>
      <c r="C411" vm="4880">
        <f ca="1"/>
        <v>61.908000000000001</v>
      </c>
      <c r="D411" vm="4881">
        <f ca="1"/>
        <v>91.164500000000004</v>
      </c>
      <c r="E411" vm="1313">
        <f ca="1"/>
        <v>41.42</v>
      </c>
      <c r="F411" vm="4882">
        <f ca="1"/>
        <v>455.43</v>
      </c>
      <c r="G411" vm="4883">
        <f ca="1"/>
        <v>148.44229999999999</v>
      </c>
      <c r="H411" vm="4861">
        <f ca="1"/>
        <v>201.2</v>
      </c>
      <c r="I411" vm="4884">
        <f ca="1"/>
        <v>42.787500000000001</v>
      </c>
      <c r="J411" vm="1537">
        <f ca="1"/>
        <v>65.89</v>
      </c>
      <c r="K411" vm="4885">
        <f ca="1"/>
        <v>6.3025000000000002</v>
      </c>
      <c r="L411" vm="4886">
        <f ca="1"/>
        <v>82.33</v>
      </c>
      <c r="M411" vm="4887">
        <f ca="1"/>
        <v>257.22000000000003</v>
      </c>
      <c r="N411" vm="4888">
        <f ca="1"/>
        <v>2840.35</v>
      </c>
    </row>
    <row r="412" spans="2:14" x14ac:dyDescent="0.35">
      <c r="B412" vm="4889">
        <f ca="1"/>
        <v>43318</v>
      </c>
      <c r="C412" vm="4890">
        <f ca="1"/>
        <v>61.883499999999998</v>
      </c>
      <c r="D412" vm="4891">
        <f ca="1"/>
        <v>92.387500000000003</v>
      </c>
      <c r="E412" vm="2680">
        <f ca="1"/>
        <v>41.45</v>
      </c>
      <c r="F412" vm="4892">
        <f ca="1"/>
        <v>452.87</v>
      </c>
      <c r="G412" vm="4893">
        <f ca="1"/>
        <v>148.37530000000001</v>
      </c>
      <c r="H412" vm="4522">
        <f ca="1"/>
        <v>201.54</v>
      </c>
      <c r="I412" vm="4894">
        <f ca="1"/>
        <v>42.752499999999998</v>
      </c>
      <c r="J412" vm="1612">
        <f ca="1"/>
        <v>65.739999999999995</v>
      </c>
      <c r="K412" vm="4895">
        <f ca="1"/>
        <v>6.3507999999999996</v>
      </c>
      <c r="L412" vm="4896">
        <f ca="1"/>
        <v>82.52</v>
      </c>
      <c r="M412" vm="4897">
        <f ca="1"/>
        <v>256.76</v>
      </c>
      <c r="N412" vm="4898">
        <f ca="1"/>
        <v>2850.4</v>
      </c>
    </row>
    <row r="413" spans="2:14" x14ac:dyDescent="0.35">
      <c r="B413" vm="4899">
        <f ca="1"/>
        <v>43319</v>
      </c>
      <c r="C413" vm="4900">
        <f ca="1"/>
        <v>62.792000000000002</v>
      </c>
      <c r="D413" vm="4901">
        <f ca="1"/>
        <v>93.123999999999995</v>
      </c>
      <c r="E413" vm="4902">
        <f ca="1"/>
        <v>41.74</v>
      </c>
      <c r="F413" vm="1821">
        <f ca="1"/>
        <v>447.9</v>
      </c>
      <c r="G413" vm="4903">
        <f ca="1"/>
        <v>149.7062</v>
      </c>
      <c r="H413" vm="4904">
        <f ca="1"/>
        <v>202.62</v>
      </c>
      <c r="I413" vm="4905">
        <f ca="1"/>
        <v>42.657499999999999</v>
      </c>
      <c r="J413" vm="4906">
        <f ca="1"/>
        <v>66.680000000000007</v>
      </c>
      <c r="K413" vm="4907">
        <f ca="1"/>
        <v>6.4238</v>
      </c>
      <c r="L413" vm="4908">
        <f ca="1"/>
        <v>82.64</v>
      </c>
      <c r="M413" vm="4909">
        <f ca="1"/>
        <v>257.64999999999998</v>
      </c>
      <c r="N413" vm="4910">
        <f ca="1"/>
        <v>2858.45</v>
      </c>
    </row>
    <row r="414" spans="2:14" x14ac:dyDescent="0.35">
      <c r="B414" vm="4911">
        <f ca="1"/>
        <v>43320</v>
      </c>
      <c r="C414" vm="4912">
        <f ca="1"/>
        <v>63.066499999999998</v>
      </c>
      <c r="D414" vm="4913">
        <f ca="1"/>
        <v>94.325999999999993</v>
      </c>
      <c r="E414" vm="4914">
        <f ca="1"/>
        <v>41.46</v>
      </c>
      <c r="F414" vm="4915">
        <f ca="1"/>
        <v>447.5</v>
      </c>
      <c r="G414" vm="4916">
        <f ca="1"/>
        <v>148.59549999999999</v>
      </c>
      <c r="H414" vm="4917">
        <f ca="1"/>
        <v>202.86</v>
      </c>
      <c r="I414" vm="1556">
        <f ca="1"/>
        <v>42.52</v>
      </c>
      <c r="J414" vm="4918">
        <f ca="1"/>
        <v>66.41</v>
      </c>
      <c r="K414" vm="4919">
        <f ca="1"/>
        <v>6.4604999999999997</v>
      </c>
      <c r="L414" vm="4920">
        <f ca="1"/>
        <v>82.35</v>
      </c>
      <c r="M414" vm="4921">
        <f ca="1"/>
        <v>258.81</v>
      </c>
      <c r="N414" vm="4922">
        <f ca="1"/>
        <v>2857.7</v>
      </c>
    </row>
    <row r="415" spans="2:14" x14ac:dyDescent="0.35">
      <c r="B415" vm="4923">
        <f ca="1"/>
        <v>43321</v>
      </c>
      <c r="C415" vm="4924">
        <f ca="1"/>
        <v>63.222999999999999</v>
      </c>
      <c r="D415" vm="4925">
        <f ca="1"/>
        <v>94.926000000000002</v>
      </c>
      <c r="E415" vm="3999">
        <f ca="1"/>
        <v>41.25</v>
      </c>
      <c r="F415" vm="4926">
        <f ca="1"/>
        <v>444.99</v>
      </c>
      <c r="G415" vm="4927">
        <f ca="1"/>
        <v>147.4083</v>
      </c>
      <c r="H415" vm="4928">
        <f ca="1"/>
        <v>203.6</v>
      </c>
      <c r="I415" vm="4929">
        <f ca="1"/>
        <v>42.712499999999999</v>
      </c>
      <c r="J415" vm="4930">
        <f ca="1"/>
        <v>65.400000000000006</v>
      </c>
      <c r="K415" vm="4931">
        <f ca="1"/>
        <v>6.4115000000000002</v>
      </c>
      <c r="L415" vm="4932">
        <f ca="1"/>
        <v>81.400000000000006</v>
      </c>
      <c r="M415" vm="4933">
        <f ca="1"/>
        <v>261.58999999999997</v>
      </c>
      <c r="N415" vm="4934">
        <f ca="1"/>
        <v>2853.58</v>
      </c>
    </row>
    <row r="416" spans="2:14" x14ac:dyDescent="0.35">
      <c r="B416" vm="4935">
        <f ca="1"/>
        <v>43322</v>
      </c>
      <c r="C416" vm="4936">
        <f ca="1"/>
        <v>62.625500000000002</v>
      </c>
      <c r="D416" vm="4937">
        <f ca="1"/>
        <v>94.314999999999998</v>
      </c>
      <c r="E416" vm="1250">
        <f ca="1"/>
        <v>40.32</v>
      </c>
      <c r="F416" vm="4938">
        <f ca="1"/>
        <v>437.24</v>
      </c>
      <c r="G416" vm="4939">
        <f ca="1"/>
        <v>146.5753</v>
      </c>
      <c r="H416" vm="4940">
        <f ca="1"/>
        <v>202.65</v>
      </c>
      <c r="I416" vm="4941">
        <f ca="1"/>
        <v>42.732500000000002</v>
      </c>
      <c r="J416" vm="4942">
        <f ca="1"/>
        <v>66.040000000000006</v>
      </c>
      <c r="K416" vm="4943">
        <f ca="1"/>
        <v>6.3697999999999997</v>
      </c>
      <c r="L416" vm="4944">
        <f ca="1"/>
        <v>81.430000000000007</v>
      </c>
      <c r="M416" vm="4945">
        <f ca="1"/>
        <v>260.36</v>
      </c>
      <c r="N416" vm="4946">
        <f ca="1"/>
        <v>2833.28</v>
      </c>
    </row>
    <row r="417" spans="2:14" x14ac:dyDescent="0.35">
      <c r="B417" vm="4947">
        <f ca="1"/>
        <v>43325</v>
      </c>
      <c r="C417" vm="4948">
        <f ca="1"/>
        <v>62.432000000000002</v>
      </c>
      <c r="D417" vm="4949">
        <f ca="1"/>
        <v>94.81</v>
      </c>
      <c r="E417" vm="4950">
        <f ca="1"/>
        <v>39.65</v>
      </c>
      <c r="F417" vm="4951">
        <f ca="1"/>
        <v>440.81</v>
      </c>
      <c r="G417" vm="4952">
        <f ca="1"/>
        <v>145.86680000000001</v>
      </c>
      <c r="H417" vm="4953">
        <f ca="1"/>
        <v>202.31</v>
      </c>
      <c r="I417" vm="4954">
        <f ca="1"/>
        <v>42.825000000000003</v>
      </c>
      <c r="J417" vm="4955">
        <f ca="1"/>
        <v>64.97</v>
      </c>
      <c r="K417" vm="4956">
        <f ca="1"/>
        <v>6.4029999999999996</v>
      </c>
      <c r="L417" vm="4957">
        <f ca="1"/>
        <v>81.52</v>
      </c>
      <c r="M417" vm="4958">
        <f ca="1"/>
        <v>260.91000000000003</v>
      </c>
      <c r="N417" vm="4959">
        <f ca="1"/>
        <v>2821.93</v>
      </c>
    </row>
    <row r="418" spans="2:14" x14ac:dyDescent="0.35">
      <c r="B418" vm="4960">
        <f ca="1"/>
        <v>43326</v>
      </c>
      <c r="C418" vm="4961">
        <f ca="1"/>
        <v>62.906999999999996</v>
      </c>
      <c r="D418" vm="4962">
        <f ca="1"/>
        <v>95.982500000000002</v>
      </c>
      <c r="E418" vm="4963">
        <f ca="1"/>
        <v>39.700000000000003</v>
      </c>
      <c r="F418" vm="4964">
        <f ca="1"/>
        <v>434.02</v>
      </c>
      <c r="G418" vm="3115">
        <f ca="1"/>
        <v>147.5711</v>
      </c>
      <c r="H418" vm="4965">
        <f ca="1"/>
        <v>203.88</v>
      </c>
      <c r="I418" vm="4966">
        <f ca="1"/>
        <v>42.984999999999999</v>
      </c>
      <c r="J418" vm="4967">
        <f ca="1"/>
        <v>64.8</v>
      </c>
      <c r="K418" vm="4968">
        <f ca="1"/>
        <v>6.5358000000000001</v>
      </c>
      <c r="L418" vm="4969">
        <f ca="1"/>
        <v>81.31</v>
      </c>
      <c r="M418" vm="4970">
        <f ca="1"/>
        <v>263.48</v>
      </c>
      <c r="N418" vm="4971">
        <f ca="1"/>
        <v>2839.96</v>
      </c>
    </row>
    <row r="419" spans="2:14" x14ac:dyDescent="0.35">
      <c r="B419" vm="4972">
        <f ca="1"/>
        <v>43327</v>
      </c>
      <c r="C419" vm="4973">
        <f ca="1"/>
        <v>61.610999999999997</v>
      </c>
      <c r="D419" vm="4974">
        <f ca="1"/>
        <v>94.131</v>
      </c>
      <c r="E419" vm="4975">
        <f ca="1"/>
        <v>40.11</v>
      </c>
      <c r="F419" vm="4976">
        <f ca="1"/>
        <v>436.41</v>
      </c>
      <c r="G419" vm="4977">
        <f ca="1"/>
        <v>146.66149999999999</v>
      </c>
      <c r="H419" vm="4978">
        <f ca="1"/>
        <v>200.24</v>
      </c>
      <c r="I419" vm="4979">
        <f ca="1"/>
        <v>43.192500000000003</v>
      </c>
      <c r="J419" vm="2865">
        <f ca="1"/>
        <v>62.29</v>
      </c>
      <c r="K419" vm="4980">
        <f ca="1"/>
        <v>6.4770000000000003</v>
      </c>
      <c r="L419" vm="4981">
        <f ca="1"/>
        <v>82.3</v>
      </c>
      <c r="M419" vm="4982">
        <f ca="1"/>
        <v>260.61</v>
      </c>
      <c r="N419" vm="4983">
        <f ca="1"/>
        <v>2818.37</v>
      </c>
    </row>
    <row r="420" spans="2:14" x14ac:dyDescent="0.35">
      <c r="B420" vm="4984">
        <f ca="1"/>
        <v>43328</v>
      </c>
      <c r="C420" vm="4985">
        <f ca="1"/>
        <v>61.203000000000003</v>
      </c>
      <c r="D420" vm="4913">
        <f ca="1"/>
        <v>94.325999999999993</v>
      </c>
      <c r="E420" vm="4307">
        <f ca="1"/>
        <v>40.299999999999997</v>
      </c>
      <c r="F420" vm="4986">
        <f ca="1"/>
        <v>443.6</v>
      </c>
      <c r="G420" vm="4987">
        <f ca="1"/>
        <v>147.54230000000001</v>
      </c>
      <c r="H420" vm="4928">
        <f ca="1"/>
        <v>203.6</v>
      </c>
      <c r="I420" vm="4988">
        <f ca="1"/>
        <v>43.697499999999998</v>
      </c>
      <c r="J420" vm="4989">
        <f ca="1"/>
        <v>62.49</v>
      </c>
      <c r="K420" vm="4990">
        <f ca="1"/>
        <v>6.4359999999999999</v>
      </c>
      <c r="L420" vm="4991">
        <f ca="1"/>
        <v>83.69</v>
      </c>
      <c r="M420" vm="4992">
        <f ca="1"/>
        <v>263.10000000000002</v>
      </c>
      <c r="N420" vm="4993">
        <f ca="1"/>
        <v>2840.69</v>
      </c>
    </row>
    <row r="421" spans="2:14" x14ac:dyDescent="0.35">
      <c r="B421" vm="4994">
        <f ca="1"/>
        <v>43329</v>
      </c>
      <c r="C421" vm="4995">
        <f ca="1"/>
        <v>60.792499999999997</v>
      </c>
      <c r="D421" vm="4996">
        <f ca="1"/>
        <v>94.111000000000004</v>
      </c>
      <c r="E421" vm="4997">
        <f ca="1"/>
        <v>40.659999999999997</v>
      </c>
      <c r="F421" vm="4998">
        <f ca="1"/>
        <v>438.77</v>
      </c>
      <c r="G421" vm="4999">
        <f ca="1"/>
        <v>148.5668</v>
      </c>
      <c r="H421" vm="4400">
        <f ca="1"/>
        <v>203.21</v>
      </c>
      <c r="I421" vm="5000">
        <f ca="1"/>
        <v>43.792499999999997</v>
      </c>
      <c r="J421" vm="5001">
        <f ca="1"/>
        <v>62.83</v>
      </c>
      <c r="K421" vm="5002">
        <f ca="1"/>
        <v>6.1204999999999998</v>
      </c>
      <c r="L421" vm="4991">
        <f ca="1"/>
        <v>83.69</v>
      </c>
      <c r="M421" vm="5003">
        <f ca="1"/>
        <v>262.33</v>
      </c>
      <c r="N421" vm="5004">
        <f ca="1"/>
        <v>2850.13</v>
      </c>
    </row>
    <row r="422" spans="2:14" x14ac:dyDescent="0.35">
      <c r="B422" vm="5005">
        <f ca="1"/>
        <v>43332</v>
      </c>
      <c r="C422" vm="5006">
        <f ca="1"/>
        <v>61.097499999999997</v>
      </c>
      <c r="D422" vm="5007">
        <f ca="1"/>
        <v>93.835499999999996</v>
      </c>
      <c r="E422" vm="4012">
        <f ca="1"/>
        <v>40.92</v>
      </c>
      <c r="F422" vm="5008">
        <f ca="1"/>
        <v>438.33</v>
      </c>
      <c r="G422" vm="5009">
        <f ca="1"/>
        <v>148.85400000000001</v>
      </c>
      <c r="H422" vm="5010">
        <f ca="1"/>
        <v>204.75</v>
      </c>
      <c r="I422" vm="5011">
        <f ca="1"/>
        <v>43.575000000000003</v>
      </c>
      <c r="J422" vm="2100">
        <f ca="1"/>
        <v>63.5</v>
      </c>
      <c r="K422" vm="5012">
        <f ca="1"/>
        <v>6.1959999999999997</v>
      </c>
      <c r="L422" vm="5013">
        <f ca="1"/>
        <v>83.64</v>
      </c>
      <c r="M422" vm="5014">
        <f ca="1"/>
        <v>262.39999999999998</v>
      </c>
      <c r="N422" vm="5015">
        <f ca="1"/>
        <v>2857.05</v>
      </c>
    </row>
    <row r="423" spans="2:14" x14ac:dyDescent="0.35">
      <c r="B423" vm="5016">
        <f ca="1"/>
        <v>43333</v>
      </c>
      <c r="C423" vm="5017">
        <f ca="1"/>
        <v>60.8705</v>
      </c>
      <c r="D423" vm="5018">
        <f ca="1"/>
        <v>94.171000000000006</v>
      </c>
      <c r="E423" vm="5019">
        <f ca="1"/>
        <v>41.07</v>
      </c>
      <c r="F423" vm="5020">
        <f ca="1"/>
        <v>432.61</v>
      </c>
      <c r="G423" vm="5021">
        <f ca="1"/>
        <v>150.2998</v>
      </c>
      <c r="H423" vm="5022">
        <f ca="1"/>
        <v>203.09</v>
      </c>
      <c r="I423" vm="5023">
        <f ca="1"/>
        <v>43.157499999999999</v>
      </c>
      <c r="J423" vm="5024">
        <f ca="1"/>
        <v>64.760000000000005</v>
      </c>
      <c r="K423" vm="5025">
        <f ca="1"/>
        <v>6.3330000000000002</v>
      </c>
      <c r="L423" vm="5026">
        <f ca="1"/>
        <v>83.9</v>
      </c>
      <c r="M423" vm="5027">
        <f ca="1"/>
        <v>261.69</v>
      </c>
      <c r="N423" vm="5028">
        <f ca="1"/>
        <v>2862.96</v>
      </c>
    </row>
    <row r="424" spans="2:14" x14ac:dyDescent="0.35">
      <c r="B424" vm="5029">
        <f ca="1"/>
        <v>43334</v>
      </c>
      <c r="C424" vm="5030">
        <f ca="1"/>
        <v>61.087499999999999</v>
      </c>
      <c r="D424" vm="5031">
        <f ca="1"/>
        <v>95.245000000000005</v>
      </c>
      <c r="E424" vm="4997">
        <f ca="1"/>
        <v>40.659999999999997</v>
      </c>
      <c r="F424" vm="5032">
        <f ca="1"/>
        <v>429.94</v>
      </c>
      <c r="G424" vm="5033">
        <f ca="1"/>
        <v>149.48599999999999</v>
      </c>
      <c r="H424" vm="5034">
        <f ca="1"/>
        <v>204.31</v>
      </c>
      <c r="I424" vm="5035">
        <f ca="1"/>
        <v>42.927500000000002</v>
      </c>
      <c r="J424" vm="5036">
        <f ca="1"/>
        <v>65.09</v>
      </c>
      <c r="K424" vm="5037">
        <f ca="1"/>
        <v>6.5705</v>
      </c>
      <c r="L424" vm="5038">
        <f ca="1"/>
        <v>83.39</v>
      </c>
      <c r="M424" vm="5039">
        <f ca="1"/>
        <v>260.74</v>
      </c>
      <c r="N424" vm="5040">
        <f ca="1"/>
        <v>2861.82</v>
      </c>
    </row>
    <row r="425" spans="2:14" x14ac:dyDescent="0.35">
      <c r="B425" vm="5041">
        <f ca="1"/>
        <v>43335</v>
      </c>
      <c r="C425" vm="5042">
        <f ca="1"/>
        <v>61.058</v>
      </c>
      <c r="D425" vm="5043">
        <f ca="1"/>
        <v>95.144999999999996</v>
      </c>
      <c r="E425" vm="5044">
        <f ca="1"/>
        <v>40.68</v>
      </c>
      <c r="F425" vm="5045">
        <f ca="1"/>
        <v>429.17</v>
      </c>
      <c r="G425" vm="5046">
        <f ca="1"/>
        <v>151.1902</v>
      </c>
      <c r="H425" vm="5047">
        <f ca="1"/>
        <v>205.22</v>
      </c>
      <c r="I425" vm="5048">
        <f ca="1"/>
        <v>42.907499999999999</v>
      </c>
      <c r="J425" vm="5049">
        <f ca="1"/>
        <v>64.650000000000006</v>
      </c>
      <c r="K425" vm="5050">
        <f ca="1"/>
        <v>6.6710000000000003</v>
      </c>
      <c r="L425" vm="5051">
        <f ca="1"/>
        <v>83.24</v>
      </c>
      <c r="M425" vm="5052">
        <f ca="1"/>
        <v>261.42</v>
      </c>
      <c r="N425" vm="5053">
        <f ca="1"/>
        <v>2856.98</v>
      </c>
    </row>
    <row r="426" spans="2:14" x14ac:dyDescent="0.35">
      <c r="B426" vm="5054">
        <f ca="1"/>
        <v>43336</v>
      </c>
      <c r="C426" vm="5055">
        <f ca="1"/>
        <v>61.837499999999999</v>
      </c>
      <c r="D426" vm="5056">
        <f ca="1"/>
        <v>95.269499999999994</v>
      </c>
      <c r="E426" vm="1908">
        <f ca="1"/>
        <v>41.09</v>
      </c>
      <c r="F426" vm="5057">
        <f ca="1"/>
        <v>430.02</v>
      </c>
      <c r="G426" vm="5058">
        <f ca="1"/>
        <v>150.80719999999999</v>
      </c>
      <c r="H426" vm="5059">
        <f ca="1"/>
        <v>209.4</v>
      </c>
      <c r="I426" vm="5060">
        <f ca="1"/>
        <v>43.174999999999997</v>
      </c>
      <c r="J426" vm="1561">
        <f ca="1"/>
        <v>65.25</v>
      </c>
      <c r="K426" vm="5061">
        <f ca="1"/>
        <v>6.8055000000000003</v>
      </c>
      <c r="L426" vm="5062">
        <f ca="1"/>
        <v>83.36</v>
      </c>
      <c r="M426" vm="5063">
        <f ca="1"/>
        <v>264.27999999999997</v>
      </c>
      <c r="N426" vm="5064">
        <f ca="1"/>
        <v>2874.69</v>
      </c>
    </row>
    <row r="427" spans="2:14" x14ac:dyDescent="0.35">
      <c r="B427" vm="5065">
        <f ca="1"/>
        <v>43339</v>
      </c>
      <c r="C427" vm="5066">
        <f ca="1"/>
        <v>62.813499999999998</v>
      </c>
      <c r="D427" vm="5067">
        <f ca="1"/>
        <v>96.384</v>
      </c>
      <c r="E427" vm="5068">
        <f ca="1"/>
        <v>41.85</v>
      </c>
      <c r="F427" vm="5069">
        <f ca="1"/>
        <v>432.55</v>
      </c>
      <c r="G427" vm="5070">
        <f ca="1"/>
        <v>152.56890000000001</v>
      </c>
      <c r="H427" vm="5071">
        <f ca="1"/>
        <v>211.53</v>
      </c>
      <c r="I427" vm="5072">
        <f ca="1"/>
        <v>42.865000000000002</v>
      </c>
      <c r="J427" vm="5073">
        <f ca="1"/>
        <v>64.849999999999994</v>
      </c>
      <c r="K427" vm="5074">
        <f ca="1"/>
        <v>6.8975</v>
      </c>
      <c r="L427" vm="5075">
        <f ca="1"/>
        <v>83.44</v>
      </c>
      <c r="M427" vm="5076">
        <f ca="1"/>
        <v>267.08</v>
      </c>
      <c r="N427" vm="5077">
        <f ca="1"/>
        <v>2896.74</v>
      </c>
    </row>
    <row r="428" spans="2:14" x14ac:dyDescent="0.35">
      <c r="B428" vm="5078">
        <f ca="1"/>
        <v>43340</v>
      </c>
      <c r="C428" vm="5079">
        <f ca="1"/>
        <v>62.292999999999999</v>
      </c>
      <c r="D428" vm="5080">
        <f ca="1"/>
        <v>96.641000000000005</v>
      </c>
      <c r="E428" vm="1506">
        <f ca="1"/>
        <v>41.67</v>
      </c>
      <c r="F428" vm="5081">
        <f ca="1"/>
        <v>435.68</v>
      </c>
      <c r="G428" vm="5082">
        <f ca="1"/>
        <v>153.28700000000001</v>
      </c>
      <c r="H428" vm="5083">
        <f ca="1"/>
        <v>212.63</v>
      </c>
      <c r="I428" vm="2615">
        <f ca="1"/>
        <v>42.64</v>
      </c>
      <c r="J428" vm="5084">
        <f ca="1"/>
        <v>64.069999999999993</v>
      </c>
      <c r="K428" vm="5085">
        <f ca="1"/>
        <v>6.8594999999999997</v>
      </c>
      <c r="L428" vm="5086">
        <f ca="1"/>
        <v>83.48</v>
      </c>
      <c r="M428" vm="5087">
        <f ca="1"/>
        <v>268.51</v>
      </c>
      <c r="N428" vm="5088">
        <f ca="1"/>
        <v>2897.52</v>
      </c>
    </row>
    <row r="429" spans="2:14" x14ac:dyDescent="0.35">
      <c r="B429" vm="5089">
        <f ca="1"/>
        <v>43341</v>
      </c>
      <c r="C429" vm="5090">
        <f ca="1"/>
        <v>63.232500000000002</v>
      </c>
      <c r="D429" vm="5091">
        <f ca="1"/>
        <v>99.905000000000001</v>
      </c>
      <c r="E429" vm="5092">
        <f ca="1"/>
        <v>41.84</v>
      </c>
      <c r="F429" vm="5093">
        <f ca="1"/>
        <v>436.11</v>
      </c>
      <c r="G429" vm="5094">
        <f ca="1"/>
        <v>153.4785</v>
      </c>
      <c r="H429" vm="5095">
        <f ca="1"/>
        <v>214.57</v>
      </c>
      <c r="I429" vm="5096">
        <f ca="1"/>
        <v>42.6325</v>
      </c>
      <c r="J429" vm="5097">
        <f ca="1"/>
        <v>64.489999999999995</v>
      </c>
      <c r="K429" vm="5098">
        <f ca="1"/>
        <v>6.9622999999999999</v>
      </c>
      <c r="L429" vm="87">
        <f ca="1"/>
        <v>83.49</v>
      </c>
      <c r="M429" vm="5099">
        <f ca="1"/>
        <v>269</v>
      </c>
      <c r="N429" vm="5100">
        <f ca="1"/>
        <v>2914.04</v>
      </c>
    </row>
    <row r="430" spans="2:14" x14ac:dyDescent="0.35">
      <c r="B430" vm="5101">
        <f ca="1"/>
        <v>43342</v>
      </c>
      <c r="C430" vm="5102">
        <f ca="1"/>
        <v>62.722000000000001</v>
      </c>
      <c r="D430" vm="5103">
        <f ca="1"/>
        <v>100.119</v>
      </c>
      <c r="E430" vm="5092">
        <f ca="1"/>
        <v>41.84</v>
      </c>
      <c r="F430" vm="5104">
        <f ca="1"/>
        <v>430.69</v>
      </c>
      <c r="G430" vm="5105">
        <f ca="1"/>
        <v>152.66470000000001</v>
      </c>
      <c r="H430" vm="5106">
        <f ca="1"/>
        <v>213.8</v>
      </c>
      <c r="I430" vm="5107">
        <f ca="1"/>
        <v>42.707500000000003</v>
      </c>
      <c r="J430" vm="5108">
        <f ca="1"/>
        <v>64.34</v>
      </c>
      <c r="K430" vm="5109">
        <f ca="1"/>
        <v>6.9452999999999996</v>
      </c>
      <c r="L430" vm="5110">
        <f ca="1"/>
        <v>83.41</v>
      </c>
      <c r="M430" vm="5111">
        <f ca="1"/>
        <v>268.39</v>
      </c>
      <c r="N430" vm="5112">
        <f ca="1"/>
        <v>2901.13</v>
      </c>
    </row>
    <row r="431" spans="2:14" x14ac:dyDescent="0.35">
      <c r="B431" vm="5113">
        <f ca="1"/>
        <v>43343</v>
      </c>
      <c r="C431" vm="5114">
        <f ca="1"/>
        <v>61.59</v>
      </c>
      <c r="D431" vm="5115">
        <f ca="1"/>
        <v>100.63549999999999</v>
      </c>
      <c r="E431" vm="1858">
        <f ca="1"/>
        <v>41.88</v>
      </c>
      <c r="F431" vm="5116">
        <f ca="1"/>
        <v>436.13</v>
      </c>
      <c r="G431" vm="5117">
        <f ca="1"/>
        <v>152.29130000000001</v>
      </c>
      <c r="H431" vm="5118">
        <f ca="1"/>
        <v>215.56</v>
      </c>
      <c r="I431" vm="575">
        <f ca="1"/>
        <v>42.524999999999999</v>
      </c>
      <c r="J431" vm="5119">
        <f ca="1"/>
        <v>63.16</v>
      </c>
      <c r="K431" vm="5120">
        <f ca="1"/>
        <v>7.0170000000000003</v>
      </c>
      <c r="L431" vm="5121">
        <f ca="1"/>
        <v>82.95</v>
      </c>
      <c r="M431" vm="5122">
        <f ca="1"/>
        <v>268.45999999999998</v>
      </c>
      <c r="N431" vm="5123">
        <f ca="1"/>
        <v>2901.52</v>
      </c>
    </row>
    <row r="432" spans="2:14" x14ac:dyDescent="0.35">
      <c r="B432" vm="5124">
        <f ca="1"/>
        <v>43347</v>
      </c>
      <c r="C432" vm="5125">
        <f ca="1"/>
        <v>60.5655</v>
      </c>
      <c r="D432" vm="5126">
        <f ca="1"/>
        <v>101.9755</v>
      </c>
      <c r="E432" vm="1313">
        <f ca="1"/>
        <v>41.42</v>
      </c>
      <c r="F432" vm="5127">
        <f ca="1"/>
        <v>428.39</v>
      </c>
      <c r="G432" vm="5128">
        <f ca="1"/>
        <v>152.8466</v>
      </c>
      <c r="H432" vm="5129">
        <f ca="1"/>
        <v>216.82</v>
      </c>
      <c r="I432" vm="5130">
        <f ca="1"/>
        <v>42.5075</v>
      </c>
      <c r="J432" vm="5131">
        <f ca="1"/>
        <v>61.92</v>
      </c>
      <c r="K432" vm="5132">
        <f ca="1"/>
        <v>7.0925000000000002</v>
      </c>
      <c r="L432" vm="5133">
        <f ca="1"/>
        <v>82.7</v>
      </c>
      <c r="M432" vm="5087">
        <f ca="1"/>
        <v>268.51</v>
      </c>
      <c r="N432" vm="5134">
        <f ca="1"/>
        <v>2896.72</v>
      </c>
    </row>
    <row r="433" spans="2:14" x14ac:dyDescent="0.35">
      <c r="B433" vm="5135">
        <f ca="1"/>
        <v>43348</v>
      </c>
      <c r="C433" vm="4754">
        <f ca="1"/>
        <v>59.954999999999998</v>
      </c>
      <c r="D433" vm="5136">
        <f ca="1"/>
        <v>99.741</v>
      </c>
      <c r="E433" vm="5137">
        <f ca="1"/>
        <v>41.95</v>
      </c>
      <c r="F433" vm="5138">
        <f ca="1"/>
        <v>430.21</v>
      </c>
      <c r="G433" vm="5139">
        <f ca="1"/>
        <v>154.9051</v>
      </c>
      <c r="H433" vm="5140">
        <f ca="1"/>
        <v>211.16</v>
      </c>
      <c r="I433" vm="5141">
        <f ca="1"/>
        <v>42.905000000000001</v>
      </c>
      <c r="J433" vm="5142">
        <f ca="1"/>
        <v>61.02</v>
      </c>
      <c r="K433" vm="5143">
        <f ca="1"/>
        <v>6.9604999999999997</v>
      </c>
      <c r="L433" vm="5144">
        <f ca="1"/>
        <v>83.29</v>
      </c>
      <c r="M433" vm="5145">
        <f ca="1"/>
        <v>267.64</v>
      </c>
      <c r="N433" vm="5146">
        <f ca="1"/>
        <v>2888.6</v>
      </c>
    </row>
    <row r="434" spans="2:14" x14ac:dyDescent="0.35">
      <c r="B434" vm="5147">
        <f ca="1"/>
        <v>43349</v>
      </c>
      <c r="C434" vm="5148">
        <f ca="1"/>
        <v>59.1995</v>
      </c>
      <c r="D434" vm="5149">
        <f ca="1"/>
        <v>97.915499999999994</v>
      </c>
      <c r="E434" vm="4635">
        <f ca="1"/>
        <v>42.14</v>
      </c>
      <c r="F434" vm="5150">
        <f ca="1"/>
        <v>431.65</v>
      </c>
      <c r="G434" vm="5151">
        <f ca="1"/>
        <v>157.03059999999999</v>
      </c>
      <c r="H434" vm="5152">
        <f ca="1"/>
        <v>212.77</v>
      </c>
      <c r="I434" vm="5153">
        <f ca="1"/>
        <v>43.454999999999998</v>
      </c>
      <c r="J434" vm="3146">
        <f ca="1"/>
        <v>60.21</v>
      </c>
      <c r="K434" vm="5154">
        <f ca="1"/>
        <v>6.8179999999999996</v>
      </c>
      <c r="L434" vm="5155">
        <f ca="1"/>
        <v>82.65</v>
      </c>
      <c r="M434" vm="5156">
        <f ca="1"/>
        <v>269.64999999999998</v>
      </c>
      <c r="N434" vm="5157">
        <f ca="1"/>
        <v>2878.05</v>
      </c>
    </row>
    <row r="435" spans="2:14" x14ac:dyDescent="0.35">
      <c r="B435" vm="5158">
        <f ca="1"/>
        <v>43350</v>
      </c>
      <c r="C435" vm="5159">
        <f ca="1"/>
        <v>58.8795</v>
      </c>
      <c r="D435" vm="5160">
        <f ca="1"/>
        <v>97.603499999999997</v>
      </c>
      <c r="E435" vm="1721">
        <f ca="1"/>
        <v>42.42</v>
      </c>
      <c r="F435" vm="5161">
        <f ca="1"/>
        <v>431.09</v>
      </c>
      <c r="G435" vm="5162">
        <f ca="1"/>
        <v>155.8817</v>
      </c>
      <c r="H435" vm="5163">
        <f ca="1"/>
        <v>211.09</v>
      </c>
      <c r="I435" vm="5164">
        <f ca="1"/>
        <v>43.024999999999999</v>
      </c>
      <c r="J435" vm="5165">
        <f ca="1"/>
        <v>59.7</v>
      </c>
      <c r="K435" vm="5166">
        <f ca="1"/>
        <v>6.7965</v>
      </c>
      <c r="L435" vm="5167">
        <f ca="1"/>
        <v>81.91</v>
      </c>
      <c r="M435" vm="5168">
        <f ca="1"/>
        <v>268.27999999999997</v>
      </c>
      <c r="N435" vm="5169">
        <f ca="1"/>
        <v>2871.68</v>
      </c>
    </row>
    <row r="436" spans="2:14" x14ac:dyDescent="0.35">
      <c r="B436" vm="5170">
        <f ca="1"/>
        <v>43353</v>
      </c>
      <c r="C436" vm="5171">
        <f ca="1"/>
        <v>58.753</v>
      </c>
      <c r="D436" vm="5172">
        <f ca="1"/>
        <v>96.950500000000005</v>
      </c>
      <c r="E436" vm="5173">
        <f ca="1"/>
        <v>43.18</v>
      </c>
      <c r="F436" vm="4964">
        <f ca="1"/>
        <v>434.02</v>
      </c>
      <c r="G436" vm="5174">
        <f ca="1"/>
        <v>156.4179</v>
      </c>
      <c r="H436" vm="5175">
        <f ca="1"/>
        <v>211.67</v>
      </c>
      <c r="I436" vm="5176">
        <f ca="1"/>
        <v>43.0075</v>
      </c>
      <c r="J436" vm="5177">
        <f ca="1"/>
        <v>59.98</v>
      </c>
      <c r="K436" vm="5178">
        <f ca="1"/>
        <v>6.8682999999999996</v>
      </c>
      <c r="L436" vm="3423">
        <f ca="1"/>
        <v>82.38</v>
      </c>
      <c r="M436" vm="5179">
        <f ca="1"/>
        <v>259.73</v>
      </c>
      <c r="N436" vm="5180">
        <f ca="1"/>
        <v>2877.13</v>
      </c>
    </row>
    <row r="437" spans="2:14" x14ac:dyDescent="0.35">
      <c r="B437" vm="5181">
        <f ca="1"/>
        <v>43354</v>
      </c>
      <c r="C437" vm="5182">
        <f ca="1"/>
        <v>59.499499999999998</v>
      </c>
      <c r="D437" vm="5183">
        <f ca="1"/>
        <v>99.357500000000002</v>
      </c>
      <c r="E437" vm="5184">
        <f ca="1"/>
        <v>42.79</v>
      </c>
      <c r="F437" vm="5185">
        <f ca="1"/>
        <v>434.66</v>
      </c>
      <c r="G437" vm="5186">
        <f ca="1"/>
        <v>156.12110000000001</v>
      </c>
      <c r="H437" vm="5187">
        <f ca="1"/>
        <v>213.45</v>
      </c>
      <c r="I437" vm="5188">
        <f ca="1"/>
        <v>43.037500000000001</v>
      </c>
      <c r="J437" vm="5189">
        <f ca="1"/>
        <v>60.32</v>
      </c>
      <c r="K437" vm="5190">
        <f ca="1"/>
        <v>6.82</v>
      </c>
      <c r="L437" vm="5191">
        <f ca="1"/>
        <v>82.01</v>
      </c>
      <c r="M437" vm="5192">
        <f ca="1"/>
        <v>261.04000000000002</v>
      </c>
      <c r="N437" vm="5193">
        <f ca="1"/>
        <v>2887.89</v>
      </c>
    </row>
    <row r="438" spans="2:14" x14ac:dyDescent="0.35">
      <c r="B438" vm="5194">
        <f ca="1"/>
        <v>43355</v>
      </c>
      <c r="C438" vm="5195">
        <f ca="1"/>
        <v>58.58</v>
      </c>
      <c r="D438" vm="5196">
        <f ca="1"/>
        <v>99.5</v>
      </c>
      <c r="E438" vm="5197">
        <f ca="1"/>
        <v>43.2</v>
      </c>
      <c r="F438" vm="5198">
        <f ca="1"/>
        <v>439.43</v>
      </c>
      <c r="G438" vm="5199">
        <f ca="1"/>
        <v>156.91569999999999</v>
      </c>
      <c r="H438" vm="5200">
        <f ca="1"/>
        <v>214.03</v>
      </c>
      <c r="I438" vm="5201">
        <f ca="1"/>
        <v>43.125</v>
      </c>
      <c r="J438" vm="5202">
        <f ca="1"/>
        <v>60.82</v>
      </c>
      <c r="K438" vm="5203">
        <f ca="1"/>
        <v>6.7050000000000001</v>
      </c>
      <c r="L438" vm="5204">
        <f ca="1"/>
        <v>83.11</v>
      </c>
      <c r="M438" vm="5205">
        <f ca="1"/>
        <v>262.67</v>
      </c>
      <c r="N438" vm="5206">
        <f ca="1"/>
        <v>2888.92</v>
      </c>
    </row>
    <row r="439" spans="2:14" x14ac:dyDescent="0.35">
      <c r="B439" vm="5207">
        <f ca="1"/>
        <v>43356</v>
      </c>
      <c r="C439" vm="3323">
        <f ca="1"/>
        <v>59.106999999999999</v>
      </c>
      <c r="D439" vm="5208">
        <f ca="1"/>
        <v>99.493499999999997</v>
      </c>
      <c r="E439" vm="5209">
        <f ca="1"/>
        <v>43.81</v>
      </c>
      <c r="F439" vm="5210">
        <f ca="1"/>
        <v>443.84</v>
      </c>
      <c r="G439" vm="5211">
        <f ca="1"/>
        <v>158.6583</v>
      </c>
      <c r="H439" vm="5212">
        <f ca="1"/>
        <v>217.22</v>
      </c>
      <c r="I439" vm="5213">
        <f ca="1"/>
        <v>43.65</v>
      </c>
      <c r="J439" vm="5142">
        <f ca="1"/>
        <v>61.02</v>
      </c>
      <c r="K439" vm="5214">
        <f ca="1"/>
        <v>6.7835000000000001</v>
      </c>
      <c r="L439" vm="5215">
        <f ca="1"/>
        <v>83.45</v>
      </c>
      <c r="M439" vm="5216">
        <f ca="1"/>
        <v>265.49</v>
      </c>
      <c r="N439" vm="5217">
        <f ca="1"/>
        <v>2904.18</v>
      </c>
    </row>
    <row r="440" spans="2:14" x14ac:dyDescent="0.35">
      <c r="B440" vm="5218">
        <f ca="1"/>
        <v>43357</v>
      </c>
      <c r="C440" vm="5219">
        <f ca="1"/>
        <v>58.899000000000001</v>
      </c>
      <c r="D440" vm="5220">
        <f ca="1"/>
        <v>98.509500000000003</v>
      </c>
      <c r="E440" vm="5221">
        <f ca="1"/>
        <v>44.14</v>
      </c>
      <c r="F440" vm="5222">
        <f ca="1"/>
        <v>448.14</v>
      </c>
      <c r="G440" vm="5223">
        <f ca="1"/>
        <v>158.0838</v>
      </c>
      <c r="H440" vm="3829">
        <f ca="1"/>
        <v>217.96</v>
      </c>
      <c r="I440" vm="5224">
        <f ca="1"/>
        <v>43.412500000000001</v>
      </c>
      <c r="J440" vm="5225">
        <f ca="1"/>
        <v>61.23</v>
      </c>
      <c r="K440" vm="5226">
        <f ca="1"/>
        <v>6.9108000000000001</v>
      </c>
      <c r="L440" vm="251">
        <f ca="1"/>
        <v>83.61</v>
      </c>
      <c r="M440" vm="5227">
        <f ca="1"/>
        <v>265.31</v>
      </c>
      <c r="N440" vm="5228">
        <f ca="1"/>
        <v>2904.98</v>
      </c>
    </row>
    <row r="441" spans="2:14" x14ac:dyDescent="0.35">
      <c r="B441" vm="5229">
        <f ca="1"/>
        <v>43360</v>
      </c>
      <c r="C441" vm="5230">
        <f ca="1"/>
        <v>57.991500000000002</v>
      </c>
      <c r="D441" vm="5231">
        <f ca="1"/>
        <v>95.401499999999999</v>
      </c>
      <c r="E441" vm="5221">
        <f ca="1"/>
        <v>44.14</v>
      </c>
      <c r="F441" vm="5232">
        <f ca="1"/>
        <v>447.3</v>
      </c>
      <c r="G441" vm="5233">
        <f ca="1"/>
        <v>158.69659999999999</v>
      </c>
      <c r="H441" vm="5234">
        <f ca="1"/>
        <v>216.47</v>
      </c>
      <c r="I441" vm="5235">
        <f ca="1"/>
        <v>43.465000000000003</v>
      </c>
      <c r="J441" vm="5236">
        <f ca="1"/>
        <v>60.97</v>
      </c>
      <c r="K441" vm="5237">
        <f ca="1"/>
        <v>6.8483000000000001</v>
      </c>
      <c r="L441" vm="3401">
        <f ca="1"/>
        <v>84.25</v>
      </c>
      <c r="M441" vm="5238">
        <f ca="1"/>
        <v>263.87</v>
      </c>
      <c r="N441" vm="5239">
        <f ca="1"/>
        <v>2888.8</v>
      </c>
    </row>
    <row r="442" spans="2:14" x14ac:dyDescent="0.35">
      <c r="B442" vm="5240">
        <f ca="1"/>
        <v>43361</v>
      </c>
      <c r="C442" vm="5241">
        <f ca="1"/>
        <v>58.355499999999999</v>
      </c>
      <c r="D442" vm="5242">
        <f ca="1"/>
        <v>97.052499999999995</v>
      </c>
      <c r="E442" vm="5243">
        <f ca="1"/>
        <v>44.92</v>
      </c>
      <c r="F442" vm="5244">
        <f ca="1"/>
        <v>445.21</v>
      </c>
      <c r="G442" vm="190">
        <f ca="1"/>
        <v>159.07</v>
      </c>
      <c r="H442" vm="5245">
        <f ca="1"/>
        <v>220.05</v>
      </c>
      <c r="I442" vm="5246">
        <f ca="1"/>
        <v>43.36</v>
      </c>
      <c r="J442" vm="5247">
        <f ca="1"/>
        <v>60.99</v>
      </c>
      <c r="K442" vm="5248">
        <f ca="1"/>
        <v>6.7755000000000001</v>
      </c>
      <c r="L442" vm="5249">
        <f ca="1"/>
        <v>84</v>
      </c>
      <c r="M442" vm="5250">
        <f ca="1"/>
        <v>263.29000000000002</v>
      </c>
      <c r="N442" vm="5251">
        <f ca="1"/>
        <v>2904.31</v>
      </c>
    </row>
    <row r="443" spans="2:14" x14ac:dyDescent="0.35">
      <c r="B443" vm="5252">
        <f ca="1"/>
        <v>43362</v>
      </c>
      <c r="C443" vm="5253">
        <f ca="1"/>
        <v>58.713500000000003</v>
      </c>
      <c r="D443" vm="5254">
        <f ca="1"/>
        <v>96.320999999999998</v>
      </c>
      <c r="E443" vm="5255">
        <f ca="1"/>
        <v>44.23</v>
      </c>
      <c r="F443" vm="5256">
        <f ca="1"/>
        <v>442.27</v>
      </c>
      <c r="G443" vm="5257">
        <f ca="1"/>
        <v>158.74449999999999</v>
      </c>
      <c r="H443" vm="5258">
        <f ca="1"/>
        <v>218.19</v>
      </c>
      <c r="I443" vm="5259">
        <f ca="1"/>
        <v>42.292499999999997</v>
      </c>
      <c r="J443" vm="5225">
        <f ca="1"/>
        <v>61.23</v>
      </c>
      <c r="K443" vm="5260">
        <f ca="1"/>
        <v>6.7995000000000001</v>
      </c>
      <c r="L443" vm="5249">
        <f ca="1"/>
        <v>84</v>
      </c>
      <c r="M443" vm="5261">
        <f ca="1"/>
        <v>265.33</v>
      </c>
      <c r="N443" vm="5262">
        <f ca="1"/>
        <v>2907.95</v>
      </c>
    </row>
    <row r="444" spans="2:14" x14ac:dyDescent="0.35">
      <c r="B444" vm="5263">
        <f ca="1"/>
        <v>43363</v>
      </c>
      <c r="C444" vm="5264">
        <f ca="1"/>
        <v>59.578499999999998</v>
      </c>
      <c r="D444" vm="5265">
        <f ca="1"/>
        <v>97.215000000000003</v>
      </c>
      <c r="E444" vm="5266">
        <f ca="1"/>
        <v>44.39</v>
      </c>
      <c r="F444" vm="5267">
        <f ca="1"/>
        <v>445.01</v>
      </c>
      <c r="G444" vm="5268">
        <f ca="1"/>
        <v>159.453</v>
      </c>
      <c r="H444" vm="5269">
        <f ca="1"/>
        <v>221.39</v>
      </c>
      <c r="I444" vm="5270">
        <f ca="1"/>
        <v>42.317500000000003</v>
      </c>
      <c r="J444" vm="5271">
        <f ca="1"/>
        <v>61.57</v>
      </c>
      <c r="K444" vm="5272">
        <f ca="1"/>
        <v>6.657</v>
      </c>
      <c r="L444" vm="5273">
        <f ca="1"/>
        <v>85.36</v>
      </c>
      <c r="M444" vm="5274">
        <f ca="1"/>
        <v>266.39</v>
      </c>
      <c r="N444" vm="5275">
        <f ca="1"/>
        <v>2930.75</v>
      </c>
    </row>
    <row r="445" spans="2:14" x14ac:dyDescent="0.35">
      <c r="B445" vm="5276">
        <f ca="1"/>
        <v>43364</v>
      </c>
      <c r="C445" vm="5277">
        <f ca="1"/>
        <v>58.606000000000002</v>
      </c>
      <c r="D445" vm="5278">
        <f ca="1"/>
        <v>95.750500000000002</v>
      </c>
      <c r="E445" vm="5279">
        <f ca="1"/>
        <v>44.57</v>
      </c>
      <c r="F445" vm="5280">
        <f ca="1"/>
        <v>441.68</v>
      </c>
      <c r="G445" vm="5281">
        <f ca="1"/>
        <v>160.21889999999999</v>
      </c>
      <c r="H445" vm="3949">
        <f ca="1"/>
        <v>221.9</v>
      </c>
      <c r="I445" vm="5282">
        <f ca="1"/>
        <v>42.69</v>
      </c>
      <c r="J445" vm="5283">
        <f ca="1"/>
        <v>61.13</v>
      </c>
      <c r="K445" vm="5284">
        <f ca="1"/>
        <v>6.5862999999999996</v>
      </c>
      <c r="L445" vm="5285">
        <f ca="1"/>
        <v>85.82</v>
      </c>
      <c r="M445" vm="5286">
        <f ca="1"/>
        <v>266.67</v>
      </c>
      <c r="N445" vm="5287">
        <f ca="1"/>
        <v>2929.67</v>
      </c>
    </row>
    <row r="446" spans="2:14" x14ac:dyDescent="0.35">
      <c r="B446" vm="5288">
        <f ca="1"/>
        <v>43367</v>
      </c>
      <c r="C446" vm="5289">
        <f ca="1"/>
        <v>58.978000000000002</v>
      </c>
      <c r="D446" vm="5290">
        <f ca="1"/>
        <v>96.718000000000004</v>
      </c>
      <c r="E446" vm="5291">
        <f ca="1"/>
        <v>44.86</v>
      </c>
      <c r="F446" vm="5292">
        <f ca="1"/>
        <v>431.97</v>
      </c>
      <c r="G446" vm="5293">
        <f ca="1"/>
        <v>158.41890000000001</v>
      </c>
      <c r="H446" vm="5294">
        <f ca="1"/>
        <v>221.35</v>
      </c>
      <c r="I446" vm="5295">
        <f ca="1"/>
        <v>42.202500000000001</v>
      </c>
      <c r="J446" vm="5296">
        <f ca="1"/>
        <v>61.6</v>
      </c>
      <c r="K446" vm="5297">
        <f ca="1"/>
        <v>6.6425000000000001</v>
      </c>
      <c r="L446" vm="187">
        <f ca="1"/>
        <v>84.27</v>
      </c>
      <c r="M446" vm="5298">
        <f ca="1"/>
        <v>267.36</v>
      </c>
      <c r="N446" vm="5299">
        <f ca="1"/>
        <v>2919.37</v>
      </c>
    </row>
    <row r="447" spans="2:14" x14ac:dyDescent="0.35">
      <c r="B447" vm="5300">
        <f ca="1"/>
        <v>43368</v>
      </c>
      <c r="C447" vm="5301">
        <f ca="1"/>
        <v>59.694499999999998</v>
      </c>
      <c r="D447" vm="5302">
        <f ca="1"/>
        <v>98.727500000000006</v>
      </c>
      <c r="E447" vm="5303">
        <f ca="1"/>
        <v>44.22</v>
      </c>
      <c r="F447" vm="5304">
        <f ca="1"/>
        <v>428.76</v>
      </c>
      <c r="G447" vm="5305">
        <f ca="1"/>
        <v>158.5147</v>
      </c>
      <c r="H447" vm="5306">
        <f ca="1"/>
        <v>222.12</v>
      </c>
      <c r="I447" vm="5307">
        <f ca="1"/>
        <v>41.712499999999999</v>
      </c>
      <c r="J447" vm="5308">
        <f ca="1"/>
        <v>62.53</v>
      </c>
      <c r="K447" vm="5309">
        <f ca="1"/>
        <v>6.7103000000000002</v>
      </c>
      <c r="L447" vm="5310">
        <f ca="1"/>
        <v>83.12</v>
      </c>
      <c r="M447" vm="5311">
        <f ca="1"/>
        <v>263.51</v>
      </c>
      <c r="N447" vm="5312">
        <f ca="1"/>
        <v>2915.56</v>
      </c>
    </row>
    <row r="448" spans="2:14" x14ac:dyDescent="0.35">
      <c r="B448" vm="5313">
        <f ca="1"/>
        <v>43369</v>
      </c>
      <c r="C448" vm="5314">
        <f ca="1"/>
        <v>59.703000000000003</v>
      </c>
      <c r="D448" vm="5315">
        <f ca="1"/>
        <v>98.742500000000007</v>
      </c>
      <c r="E448" vm="5316">
        <f ca="1"/>
        <v>44.3</v>
      </c>
      <c r="F448" vm="5317">
        <f ca="1"/>
        <v>423.13</v>
      </c>
      <c r="G448" vm="5318">
        <f ca="1"/>
        <v>158.7062</v>
      </c>
      <c r="H448" vm="5319">
        <f ca="1"/>
        <v>222.26</v>
      </c>
      <c r="I448" vm="5320">
        <f ca="1"/>
        <v>41.112499999999997</v>
      </c>
      <c r="J448" vm="5321">
        <f ca="1"/>
        <v>60.88</v>
      </c>
      <c r="K448" vm="5322">
        <f ca="1"/>
        <v>6.673</v>
      </c>
      <c r="L448" vm="5323">
        <f ca="1"/>
        <v>83.26</v>
      </c>
      <c r="M448" vm="5324">
        <f ca="1"/>
        <v>262.91000000000003</v>
      </c>
      <c r="N448" vm="5325">
        <f ca="1"/>
        <v>2905.97</v>
      </c>
    </row>
    <row r="449" spans="2:14" x14ac:dyDescent="0.35">
      <c r="B449" vm="5326">
        <f ca="1"/>
        <v>43370</v>
      </c>
      <c r="C449" vm="5327">
        <f ca="1"/>
        <v>60.368000000000002</v>
      </c>
      <c r="D449" vm="5328">
        <f ca="1"/>
        <v>100.649</v>
      </c>
      <c r="E449" vm="5221">
        <f ca="1"/>
        <v>44.14</v>
      </c>
      <c r="F449" vm="5329">
        <f ca="1"/>
        <v>430.15</v>
      </c>
      <c r="G449" vm="5330">
        <f ca="1"/>
        <v>158.32320000000001</v>
      </c>
      <c r="H449" vm="5331">
        <f ca="1"/>
        <v>222.31</v>
      </c>
      <c r="I449" vm="5332">
        <f ca="1"/>
        <v>41.397500000000001</v>
      </c>
      <c r="J449" vm="5333">
        <f ca="1"/>
        <v>61.17</v>
      </c>
      <c r="K449" vm="5334">
        <f ca="1"/>
        <v>6.6849999999999996</v>
      </c>
      <c r="L449" vm="5335">
        <f ca="1"/>
        <v>82.86</v>
      </c>
      <c r="M449" vm="5336">
        <f ca="1"/>
        <v>264.64999999999998</v>
      </c>
      <c r="N449" vm="5337">
        <f ca="1"/>
        <v>2914</v>
      </c>
    </row>
    <row r="450" spans="2:14" x14ac:dyDescent="0.35">
      <c r="B450" vm="5338">
        <f ca="1"/>
        <v>43371</v>
      </c>
      <c r="C450" vm="5339">
        <f ca="1"/>
        <v>60.353999999999999</v>
      </c>
      <c r="D450" vm="5340">
        <f ca="1"/>
        <v>100.15</v>
      </c>
      <c r="E450" vm="5341">
        <f ca="1"/>
        <v>43.99</v>
      </c>
      <c r="F450" vm="5342">
        <f ca="1"/>
        <v>432.89</v>
      </c>
      <c r="G450" vm="5343">
        <f ca="1"/>
        <v>159.31890000000001</v>
      </c>
      <c r="H450" vm="5344">
        <f ca="1"/>
        <v>222.61</v>
      </c>
      <c r="I450" vm="1833">
        <f ca="1"/>
        <v>41.9</v>
      </c>
      <c r="J450" vm="5345">
        <f ca="1"/>
        <v>60.92</v>
      </c>
      <c r="K450" vm="5346">
        <f ca="1"/>
        <v>7.0255000000000001</v>
      </c>
      <c r="L450" vm="5347">
        <f ca="1"/>
        <v>83.23</v>
      </c>
      <c r="M450" vm="5348">
        <f ca="1"/>
        <v>266.04000000000002</v>
      </c>
      <c r="N450" vm="5349">
        <f ca="1"/>
        <v>2913.98</v>
      </c>
    </row>
    <row r="451" spans="2:14" x14ac:dyDescent="0.35">
      <c r="B451" vm="5350">
        <f ca="1"/>
        <v>43374</v>
      </c>
      <c r="C451" vm="5351">
        <f ca="1"/>
        <v>60.426499999999997</v>
      </c>
      <c r="D451" vm="5352">
        <f ca="1"/>
        <v>100.218</v>
      </c>
      <c r="E451" vm="5353">
        <f ca="1"/>
        <v>43.88</v>
      </c>
      <c r="F451" vm="5354">
        <f ca="1"/>
        <v>431.35</v>
      </c>
      <c r="G451" vm="5355">
        <f ca="1"/>
        <v>161.1489</v>
      </c>
      <c r="H451" vm="5356">
        <f ca="1"/>
        <v>223.77</v>
      </c>
      <c r="I451" vm="5357">
        <f ca="1"/>
        <v>41.747500000000002</v>
      </c>
      <c r="J451" vm="5114">
        <f ca="1"/>
        <v>61.59</v>
      </c>
      <c r="K451" vm="5358">
        <f ca="1"/>
        <v>7.234</v>
      </c>
      <c r="L451" vm="5359">
        <f ca="1"/>
        <v>83.67</v>
      </c>
      <c r="M451" vm="5360">
        <f ca="1"/>
        <v>269.10000000000002</v>
      </c>
      <c r="N451" vm="5361">
        <f ca="1"/>
        <v>2924.59</v>
      </c>
    </row>
    <row r="452" spans="2:14" x14ac:dyDescent="0.35">
      <c r="B452" vm="5362">
        <f ca="1"/>
        <v>43375</v>
      </c>
      <c r="C452" vm="5363">
        <f ca="1"/>
        <v>60.381999999999998</v>
      </c>
      <c r="D452" vm="5364">
        <f ca="1"/>
        <v>98.5655</v>
      </c>
      <c r="E452" vm="5365">
        <f ca="1"/>
        <v>44.45</v>
      </c>
      <c r="F452" vm="5366">
        <f ca="1"/>
        <v>431.81</v>
      </c>
      <c r="G452" vm="5367">
        <f ca="1"/>
        <v>160.75190000000001</v>
      </c>
      <c r="H452" vm="5368">
        <f ca="1"/>
        <v>222.37</v>
      </c>
      <c r="I452" vm="5369">
        <f ca="1"/>
        <v>42.335000000000001</v>
      </c>
      <c r="J452" vm="5370">
        <f ca="1"/>
        <v>61.89</v>
      </c>
      <c r="K452" vm="5371">
        <f ca="1"/>
        <v>7.1619999999999999</v>
      </c>
      <c r="L452" vm="5372">
        <f ca="1"/>
        <v>84.36</v>
      </c>
      <c r="M452" vm="5373">
        <f ca="1"/>
        <v>270.63</v>
      </c>
      <c r="N452" vm="5374">
        <f ca="1"/>
        <v>2923.43</v>
      </c>
    </row>
    <row r="453" spans="2:14" x14ac:dyDescent="0.35">
      <c r="B453" vm="5375">
        <f ca="1"/>
        <v>43376</v>
      </c>
      <c r="C453" vm="5376">
        <f ca="1"/>
        <v>60.576500000000003</v>
      </c>
      <c r="D453" vm="5377">
        <f ca="1"/>
        <v>97.638000000000005</v>
      </c>
      <c r="E453" vm="5378">
        <f ca="1"/>
        <v>45.32</v>
      </c>
      <c r="F453" vm="5379">
        <f ca="1"/>
        <v>425.3</v>
      </c>
      <c r="G453" vm="5380">
        <f ca="1"/>
        <v>160.12260000000001</v>
      </c>
      <c r="H453" vm="5381">
        <f ca="1"/>
        <v>223.13</v>
      </c>
      <c r="I453" vm="2429">
        <f ca="1"/>
        <v>42.06</v>
      </c>
      <c r="J453" vm="5382">
        <f ca="1"/>
        <v>62.62</v>
      </c>
      <c r="K453" vm="5383">
        <f ca="1"/>
        <v>7.1683000000000003</v>
      </c>
      <c r="L453" vm="5384">
        <f ca="1"/>
        <v>83.03</v>
      </c>
      <c r="M453" vm="5385">
        <f ca="1"/>
        <v>270.89999999999998</v>
      </c>
      <c r="N453" vm="5386">
        <f ca="1"/>
        <v>2925.51</v>
      </c>
    </row>
    <row r="454" spans="2:14" x14ac:dyDescent="0.35">
      <c r="B454" vm="5387">
        <f ca="1"/>
        <v>43377</v>
      </c>
      <c r="C454" vm="5388">
        <f ca="1"/>
        <v>58.853499999999997</v>
      </c>
      <c r="D454" vm="5389">
        <f ca="1"/>
        <v>95.471000000000004</v>
      </c>
      <c r="E454" vm="5390">
        <f ca="1"/>
        <v>45.81</v>
      </c>
      <c r="F454" vm="5391">
        <f ca="1"/>
        <v>422.46</v>
      </c>
      <c r="G454" vm="5392">
        <f ca="1"/>
        <v>159.47389999999999</v>
      </c>
      <c r="H454" vm="5393">
        <f ca="1"/>
        <v>216.15</v>
      </c>
      <c r="I454" vm="5394">
        <f ca="1"/>
        <v>42.3125</v>
      </c>
      <c r="J454" vm="2888">
        <f ca="1"/>
        <v>62.85</v>
      </c>
      <c r="K454" vm="5395">
        <f ca="1"/>
        <v>6.9823000000000004</v>
      </c>
      <c r="L454" vm="5396">
        <f ca="1"/>
        <v>81.92</v>
      </c>
      <c r="M454" vm="5397">
        <f ca="1"/>
        <v>268.32</v>
      </c>
      <c r="N454" vm="5398">
        <f ca="1"/>
        <v>2901.61</v>
      </c>
    </row>
    <row r="455" spans="2:14" x14ac:dyDescent="0.35">
      <c r="B455" vm="5399">
        <f ca="1"/>
        <v>43378</v>
      </c>
      <c r="C455" vm="5400">
        <f ca="1"/>
        <v>58.391500000000001</v>
      </c>
      <c r="D455" vm="5401">
        <f ca="1"/>
        <v>94.482500000000002</v>
      </c>
      <c r="E455" vm="5402">
        <f ca="1"/>
        <v>45.93</v>
      </c>
      <c r="F455" vm="5403">
        <f ca="1"/>
        <v>417.32</v>
      </c>
      <c r="G455" vm="5404">
        <f ca="1"/>
        <v>158.85419999999999</v>
      </c>
      <c r="H455" vm="5405">
        <f ca="1"/>
        <v>213.26</v>
      </c>
      <c r="I455" vm="5406">
        <f ca="1"/>
        <v>43.092500000000001</v>
      </c>
      <c r="J455" vm="2024">
        <f ca="1"/>
        <v>63</v>
      </c>
      <c r="K455" vm="5407">
        <f ca="1"/>
        <v>6.7465000000000002</v>
      </c>
      <c r="L455" vm="5408">
        <f ca="1"/>
        <v>82.15</v>
      </c>
      <c r="M455" vm="5409">
        <f ca="1"/>
        <v>269.2</v>
      </c>
      <c r="N455" vm="5410">
        <f ca="1"/>
        <v>2885.57</v>
      </c>
    </row>
    <row r="456" spans="2:14" x14ac:dyDescent="0.35">
      <c r="B456" vm="5411">
        <f ca="1"/>
        <v>43381</v>
      </c>
      <c r="C456" vm="5412">
        <f ca="1"/>
        <v>57.795999999999999</v>
      </c>
      <c r="D456" vm="5413">
        <f ca="1"/>
        <v>93.221000000000004</v>
      </c>
      <c r="E456" vm="5414">
        <f ca="1"/>
        <v>46.35</v>
      </c>
      <c r="F456" vm="5415">
        <f ca="1"/>
        <v>418.94</v>
      </c>
      <c r="G456" vm="5416">
        <f ca="1"/>
        <v>159.6191</v>
      </c>
      <c r="H456" vm="5417">
        <f ca="1"/>
        <v>208.26</v>
      </c>
      <c r="I456" vm="5418">
        <f ca="1"/>
        <v>43.33</v>
      </c>
      <c r="J456" vm="5419">
        <f ca="1"/>
        <v>62.94</v>
      </c>
      <c r="K456" vm="5420">
        <f ca="1"/>
        <v>6.6443000000000003</v>
      </c>
      <c r="L456" vm="5421">
        <f ca="1"/>
        <v>82.4</v>
      </c>
      <c r="M456" vm="5422">
        <f ca="1"/>
        <v>269.01</v>
      </c>
      <c r="N456" vm="5423">
        <f ca="1"/>
        <v>2884.43</v>
      </c>
    </row>
    <row r="457" spans="2:14" x14ac:dyDescent="0.35">
      <c r="B457" vm="5424">
        <f ca="1"/>
        <v>43382</v>
      </c>
      <c r="C457" vm="5425">
        <f ca="1"/>
        <v>57.258499999999998</v>
      </c>
      <c r="D457" vm="5426">
        <f ca="1"/>
        <v>93.516000000000005</v>
      </c>
      <c r="E457" vm="5427">
        <f ca="1"/>
        <v>45.72</v>
      </c>
      <c r="F457" vm="5428">
        <f ca="1"/>
        <v>416.59</v>
      </c>
      <c r="G457" vm="5429">
        <f ca="1"/>
        <v>155.8237</v>
      </c>
      <c r="H457" vm="5430">
        <f ca="1"/>
        <v>209.76</v>
      </c>
      <c r="I457" vm="5431">
        <f ca="1"/>
        <v>43.432499999999997</v>
      </c>
      <c r="J457" vm="5432">
        <f ca="1"/>
        <v>63.11</v>
      </c>
      <c r="K457" vm="5433">
        <f ca="1"/>
        <v>6.6384999999999996</v>
      </c>
      <c r="L457" vm="5434">
        <f ca="1"/>
        <v>82.2</v>
      </c>
      <c r="M457" vm="5435">
        <f ca="1"/>
        <v>270.11</v>
      </c>
      <c r="N457" vm="5436">
        <f ca="1"/>
        <v>2880.34</v>
      </c>
    </row>
    <row r="458" spans="2:14" x14ac:dyDescent="0.35">
      <c r="B458" vm="5437">
        <f ca="1"/>
        <v>43383</v>
      </c>
      <c r="C458" vm="5438">
        <f ca="1"/>
        <v>54.607999999999997</v>
      </c>
      <c r="D458" vm="5439">
        <f ca="1"/>
        <v>87.762500000000003</v>
      </c>
      <c r="E458" vm="5440">
        <f ca="1"/>
        <v>43.86</v>
      </c>
      <c r="F458" vm="5441">
        <f ca="1"/>
        <v>410.08</v>
      </c>
      <c r="G458" vm="5442">
        <f ca="1"/>
        <v>151.64109999999999</v>
      </c>
      <c r="H458" vm="5443">
        <f ca="1"/>
        <v>196.69</v>
      </c>
      <c r="I458" vm="5444">
        <f ca="1"/>
        <v>43.1875</v>
      </c>
      <c r="J458" vm="5202">
        <f ca="1"/>
        <v>60.82</v>
      </c>
      <c r="K458" vm="5445">
        <f ca="1"/>
        <v>6.1422999999999996</v>
      </c>
      <c r="L458" vm="5446">
        <f ca="1"/>
        <v>81.44</v>
      </c>
      <c r="M458" vm="5447">
        <f ca="1"/>
        <v>263.08</v>
      </c>
      <c r="N458" vm="5448">
        <f ca="1"/>
        <v>2785.68</v>
      </c>
    </row>
    <row r="459" spans="2:14" x14ac:dyDescent="0.35">
      <c r="B459" vm="5449">
        <f ca="1"/>
        <v>43384</v>
      </c>
      <c r="C459" vm="5450">
        <f ca="1"/>
        <v>54.536999999999999</v>
      </c>
      <c r="D459" vm="5451">
        <f ca="1"/>
        <v>85.968000000000004</v>
      </c>
      <c r="E459" vm="5452">
        <f ca="1"/>
        <v>43.51</v>
      </c>
      <c r="F459" vm="5453">
        <f ca="1"/>
        <v>397.08</v>
      </c>
      <c r="G459" vm="5454">
        <f ca="1"/>
        <v>148.7364</v>
      </c>
      <c r="H459" vm="5455">
        <f ca="1"/>
        <v>194.51</v>
      </c>
      <c r="I459" vm="5456">
        <f ca="1"/>
        <v>42.272500000000001</v>
      </c>
      <c r="J459" vm="5457">
        <f ca="1"/>
        <v>59.12</v>
      </c>
      <c r="K459" vm="5458">
        <f ca="1"/>
        <v>5.8783000000000003</v>
      </c>
      <c r="L459" vm="5459">
        <f ca="1"/>
        <v>78.87</v>
      </c>
      <c r="M459" vm="5460">
        <f ca="1"/>
        <v>257.12</v>
      </c>
      <c r="N459" vm="5461">
        <f ca="1"/>
        <v>2728.37</v>
      </c>
    </row>
    <row r="460" spans="2:14" x14ac:dyDescent="0.35">
      <c r="B460" vm="5462">
        <f ca="1"/>
        <v>43385</v>
      </c>
      <c r="C460" vm="5463">
        <f ca="1"/>
        <v>56.027000000000001</v>
      </c>
      <c r="D460" vm="5464">
        <f ca="1"/>
        <v>89.430499999999995</v>
      </c>
      <c r="E460" vm="5465">
        <f ca="1"/>
        <v>44.16</v>
      </c>
      <c r="F460" vm="5466">
        <f ca="1"/>
        <v>395.94</v>
      </c>
      <c r="G460" vm="5467">
        <f ca="1"/>
        <v>151.23439999999999</v>
      </c>
      <c r="H460" vm="5468">
        <f ca="1"/>
        <v>204.22</v>
      </c>
      <c r="I460" vm="5469">
        <f ca="1"/>
        <v>42.34</v>
      </c>
      <c r="J460" vm="5470">
        <f ca="1"/>
        <v>59.33</v>
      </c>
      <c r="K460" vm="5471">
        <f ca="1"/>
        <v>6.1635</v>
      </c>
      <c r="L460" vm="5472">
        <f ca="1"/>
        <v>79.06</v>
      </c>
      <c r="M460" vm="5473">
        <f ca="1"/>
        <v>259.61</v>
      </c>
      <c r="N460" vm="5474">
        <f ca="1"/>
        <v>2767.13</v>
      </c>
    </row>
    <row r="461" spans="2:14" x14ac:dyDescent="0.35">
      <c r="B461" vm="5475">
        <f ca="1"/>
        <v>43388</v>
      </c>
      <c r="C461" vm="5476">
        <f ca="1"/>
        <v>55.122</v>
      </c>
      <c r="D461" vm="5477">
        <f ca="1"/>
        <v>88.047499999999999</v>
      </c>
      <c r="E461" vm="5478">
        <f ca="1"/>
        <v>44.6</v>
      </c>
      <c r="F461" vm="5479">
        <f ca="1"/>
        <v>396.59</v>
      </c>
      <c r="G461" vm="5480">
        <f ca="1"/>
        <v>151.2441</v>
      </c>
      <c r="H461" vm="5481">
        <f ca="1"/>
        <v>200.32</v>
      </c>
      <c r="I461" vm="1796">
        <f ca="1"/>
        <v>42.41</v>
      </c>
      <c r="J461" vm="5482">
        <f ca="1"/>
        <v>59.55</v>
      </c>
      <c r="K461" vm="5483">
        <f ca="1"/>
        <v>5.8845000000000001</v>
      </c>
      <c r="L461" vm="5484">
        <f ca="1"/>
        <v>80.13</v>
      </c>
      <c r="M461" vm="5485">
        <f ca="1"/>
        <v>260.25</v>
      </c>
      <c r="N461" vm="5486">
        <f ca="1"/>
        <v>2750.79</v>
      </c>
    </row>
    <row r="462" spans="2:14" x14ac:dyDescent="0.35">
      <c r="B462" vm="5487">
        <f ca="1"/>
        <v>43389</v>
      </c>
      <c r="C462" vm="5488">
        <f ca="1"/>
        <v>56.654000000000003</v>
      </c>
      <c r="D462" vm="5489">
        <f ca="1"/>
        <v>90.998000000000005</v>
      </c>
      <c r="E462" vm="5490">
        <f ca="1"/>
        <v>46.1</v>
      </c>
      <c r="F462" vm="5491">
        <f ca="1"/>
        <v>408.29</v>
      </c>
      <c r="G462" vm="5492">
        <f ca="1"/>
        <v>154.48759999999999</v>
      </c>
      <c r="H462" vm="4700">
        <f ca="1"/>
        <v>207.78</v>
      </c>
      <c r="I462" vm="5493">
        <f ca="1"/>
        <v>42.822499999999998</v>
      </c>
      <c r="J462" vm="2859">
        <f ca="1"/>
        <v>59.68</v>
      </c>
      <c r="K462" vm="5494">
        <f ca="1"/>
        <v>6.1458000000000004</v>
      </c>
      <c r="L462" vm="5495">
        <f ca="1"/>
        <v>81.010000000000005</v>
      </c>
      <c r="M462" vm="5496">
        <f ca="1"/>
        <v>272.57</v>
      </c>
      <c r="N462" vm="5497">
        <f ca="1"/>
        <v>2809.92</v>
      </c>
    </row>
    <row r="463" spans="2:14" x14ac:dyDescent="0.35">
      <c r="B463" vm="5498">
        <f ca="1"/>
        <v>43390</v>
      </c>
      <c r="C463" vm="5499">
        <f ca="1"/>
        <v>56.3795</v>
      </c>
      <c r="D463" vm="5500">
        <f ca="1"/>
        <v>91.586500000000001</v>
      </c>
      <c r="E463" vm="5501">
        <f ca="1"/>
        <v>46.2</v>
      </c>
      <c r="F463" vm="5502">
        <f ca="1"/>
        <v>410.44</v>
      </c>
      <c r="G463" vm="5503">
        <f ca="1"/>
        <v>153.0256</v>
      </c>
      <c r="H463" vm="5504">
        <f ca="1"/>
        <v>207.38</v>
      </c>
      <c r="I463" vm="5505">
        <f ca="1"/>
        <v>42.704999999999998</v>
      </c>
      <c r="J463" vm="5506">
        <f ca="1"/>
        <v>59.24</v>
      </c>
      <c r="K463" vm="5507">
        <f ca="1"/>
        <v>6.0765000000000002</v>
      </c>
      <c r="L463" vm="5508">
        <f ca="1"/>
        <v>81.86</v>
      </c>
      <c r="M463" vm="5509">
        <f ca="1"/>
        <v>267.3</v>
      </c>
      <c r="N463" vm="5510">
        <f ca="1"/>
        <v>2809.21</v>
      </c>
    </row>
    <row r="464" spans="2:14" x14ac:dyDescent="0.35">
      <c r="B464" vm="5511">
        <f ca="1"/>
        <v>43391</v>
      </c>
      <c r="C464" vm="5512">
        <f ca="1"/>
        <v>54.895499999999998</v>
      </c>
      <c r="D464" vm="5513">
        <f ca="1"/>
        <v>88.536000000000001</v>
      </c>
      <c r="E464" vm="5501">
        <f ca="1"/>
        <v>46.2</v>
      </c>
      <c r="F464" vm="5514">
        <f ca="1"/>
        <v>411.65</v>
      </c>
      <c r="G464" vm="5515">
        <f ca="1"/>
        <v>150.25649999999999</v>
      </c>
      <c r="H464" vm="5516">
        <f ca="1"/>
        <v>203.62</v>
      </c>
      <c r="I464" vm="5517">
        <f ca="1"/>
        <v>42.892499999999998</v>
      </c>
      <c r="J464" vm="5518">
        <f ca="1"/>
        <v>58.43</v>
      </c>
      <c r="K464" vm="5519">
        <f ca="1"/>
        <v>5.9882999999999997</v>
      </c>
      <c r="L464" vm="3545">
        <f ca="1"/>
        <v>80.239999999999995</v>
      </c>
      <c r="M464" vm="5520">
        <f ca="1"/>
        <v>266.81</v>
      </c>
      <c r="N464" vm="5521">
        <f ca="1"/>
        <v>2768.78</v>
      </c>
    </row>
    <row r="465" spans="2:14" x14ac:dyDescent="0.35">
      <c r="B465" vm="5522">
        <f ca="1"/>
        <v>43392</v>
      </c>
      <c r="C465" vm="5523">
        <f ca="1"/>
        <v>55.259</v>
      </c>
      <c r="D465" vm="5524">
        <f ca="1"/>
        <v>88.201499999999996</v>
      </c>
      <c r="E465" vm="5402">
        <f ca="1"/>
        <v>45.93</v>
      </c>
      <c r="F465" vm="5525">
        <f ca="1"/>
        <v>414.31</v>
      </c>
      <c r="G465" vm="5526">
        <f ca="1"/>
        <v>148.59119999999999</v>
      </c>
      <c r="H465" vm="5527">
        <f ca="1"/>
        <v>203.06</v>
      </c>
      <c r="I465" vm="5528">
        <f ca="1"/>
        <v>43.365000000000002</v>
      </c>
      <c r="J465" vm="5529">
        <f ca="1"/>
        <v>58.47</v>
      </c>
      <c r="K465" vm="5530">
        <f ca="1"/>
        <v>5.7293000000000003</v>
      </c>
      <c r="L465" vm="2560">
        <f ca="1"/>
        <v>87.3</v>
      </c>
      <c r="M465" vm="5531">
        <f ca="1"/>
        <v>265.3</v>
      </c>
      <c r="N465" vm="5532">
        <f ca="1"/>
        <v>2767.78</v>
      </c>
    </row>
    <row r="466" spans="2:14" x14ac:dyDescent="0.35">
      <c r="B466" vm="5533">
        <f ca="1"/>
        <v>43395</v>
      </c>
      <c r="C466" vm="5534">
        <f ca="1"/>
        <v>55.5685</v>
      </c>
      <c r="D466" vm="5535">
        <f ca="1"/>
        <v>89.465000000000003</v>
      </c>
      <c r="E466" vm="5536">
        <f ca="1"/>
        <v>45.13</v>
      </c>
      <c r="F466" vm="5537">
        <f ca="1"/>
        <v>411.73</v>
      </c>
      <c r="G466" vm="5538">
        <f ca="1"/>
        <v>147.7585</v>
      </c>
      <c r="H466" vm="5539">
        <f ca="1"/>
        <v>204.5</v>
      </c>
      <c r="I466" vm="5540">
        <f ca="1"/>
        <v>43.164999999999999</v>
      </c>
      <c r="J466" vm="5541">
        <f ca="1"/>
        <v>56.81</v>
      </c>
      <c r="K466" vm="5542">
        <f ca="1"/>
        <v>5.7805</v>
      </c>
      <c r="L466" vm="228">
        <f ca="1"/>
        <v>86.6</v>
      </c>
      <c r="M466" vm="5543">
        <f ca="1"/>
        <v>262.19</v>
      </c>
      <c r="N466" vm="5544">
        <f ca="1"/>
        <v>2755.88</v>
      </c>
    </row>
    <row r="467" spans="2:14" x14ac:dyDescent="0.35">
      <c r="B467" vm="5545">
        <f ca="1"/>
        <v>43396</v>
      </c>
      <c r="C467" vm="5546">
        <f ca="1"/>
        <v>55.7455</v>
      </c>
      <c r="D467" vm="5547">
        <f ca="1"/>
        <v>88.435000000000002</v>
      </c>
      <c r="E467" vm="5548">
        <f ca="1"/>
        <v>45.11</v>
      </c>
      <c r="F467" vm="5549">
        <f ca="1"/>
        <v>411.41</v>
      </c>
      <c r="G467" vm="5550">
        <f ca="1"/>
        <v>145.8124</v>
      </c>
      <c r="H467" vm="5551">
        <f ca="1"/>
        <v>202.43</v>
      </c>
      <c r="I467" vm="4905">
        <f ca="1"/>
        <v>42.657499999999999</v>
      </c>
      <c r="J467" vm="5552">
        <f ca="1"/>
        <v>55.09</v>
      </c>
      <c r="K467" vm="5553">
        <f ca="1"/>
        <v>5.5265000000000004</v>
      </c>
      <c r="L467" vm="215">
        <f ca="1"/>
        <v>87.16</v>
      </c>
      <c r="M467" vm="5554">
        <f ca="1"/>
        <v>264.86</v>
      </c>
      <c r="N467" vm="5555">
        <f ca="1"/>
        <v>2740.69</v>
      </c>
    </row>
    <row r="468" spans="2:14" x14ac:dyDescent="0.35">
      <c r="B468" vm="5556">
        <f ca="1"/>
        <v>43397</v>
      </c>
      <c r="C468" vm="5557">
        <f ca="1"/>
        <v>52.856000000000002</v>
      </c>
      <c r="D468" vm="5558">
        <f ca="1"/>
        <v>83.21</v>
      </c>
      <c r="E468" vm="5213">
        <f ca="1"/>
        <v>43.65</v>
      </c>
      <c r="F468" vm="5559">
        <f ca="1"/>
        <v>416.75</v>
      </c>
      <c r="G468" vm="5560">
        <f ca="1"/>
        <v>140.71960000000001</v>
      </c>
      <c r="H468" vm="5561">
        <f ca="1"/>
        <v>195.69</v>
      </c>
      <c r="I468" vm="5562">
        <f ca="1"/>
        <v>43.9</v>
      </c>
      <c r="J468" vm="3099">
        <f ca="1"/>
        <v>53.01</v>
      </c>
      <c r="K468" vm="5563">
        <f ca="1"/>
        <v>4.9852999999999996</v>
      </c>
      <c r="L468" vm="5564">
        <f ca="1"/>
        <v>89.46</v>
      </c>
      <c r="M468" vm="5565">
        <f ca="1"/>
        <v>256.32</v>
      </c>
      <c r="N468" vm="5566">
        <f ca="1"/>
        <v>2656.1</v>
      </c>
    </row>
    <row r="469" spans="2:14" x14ac:dyDescent="0.35">
      <c r="B469" vm="5567">
        <f ca="1"/>
        <v>43398</v>
      </c>
      <c r="C469" vm="3525">
        <f ca="1"/>
        <v>55.179499999999997</v>
      </c>
      <c r="D469" vm="5568">
        <f ca="1"/>
        <v>89.108500000000006</v>
      </c>
      <c r="E469" vm="5569">
        <f ca="1"/>
        <v>43.32</v>
      </c>
      <c r="F469" vm="5570">
        <f ca="1"/>
        <v>411.97</v>
      </c>
      <c r="G469" vm="5571">
        <f ca="1"/>
        <v>142.79159999999999</v>
      </c>
      <c r="H469" vm="5572">
        <f ca="1"/>
        <v>204.2</v>
      </c>
      <c r="I469" vm="5573">
        <f ca="1"/>
        <v>43.3</v>
      </c>
      <c r="J469" vm="5574">
        <f ca="1"/>
        <v>53.3</v>
      </c>
      <c r="K469" vm="5575">
        <f ca="1"/>
        <v>5.1959999999999997</v>
      </c>
      <c r="L469" vm="2744">
        <f ca="1"/>
        <v>89</v>
      </c>
      <c r="M469" vm="5576">
        <f ca="1"/>
        <v>264.24</v>
      </c>
      <c r="N469" vm="5577">
        <f ca="1"/>
        <v>2705.57</v>
      </c>
    </row>
    <row r="470" spans="2:14" x14ac:dyDescent="0.35">
      <c r="B470" vm="5578">
        <f ca="1"/>
        <v>43399</v>
      </c>
      <c r="C470" vm="5579">
        <f ca="1"/>
        <v>54.1875</v>
      </c>
      <c r="D470" vm="5580">
        <f ca="1"/>
        <v>82.140500000000003</v>
      </c>
      <c r="E470" vm="5581">
        <f ca="1"/>
        <v>43.39</v>
      </c>
      <c r="F470" vm="5582">
        <f ca="1"/>
        <v>385.22</v>
      </c>
      <c r="G470" vm="5583">
        <f ca="1"/>
        <v>141.3974</v>
      </c>
      <c r="H470" vm="5584">
        <f ca="1"/>
        <v>197.49</v>
      </c>
      <c r="I470" vm="5585">
        <f ca="1"/>
        <v>42.472499999999997</v>
      </c>
      <c r="J470" vm="5586">
        <f ca="1"/>
        <v>52.9</v>
      </c>
      <c r="K470" vm="5587">
        <f ca="1"/>
        <v>4.9573</v>
      </c>
      <c r="L470" vm="202">
        <f ca="1"/>
        <v>87.86</v>
      </c>
      <c r="M470" vm="5588">
        <f ca="1"/>
        <v>258.18</v>
      </c>
      <c r="N470" vm="5589">
        <f ca="1"/>
        <v>2658.69</v>
      </c>
    </row>
    <row r="471" spans="2:14" x14ac:dyDescent="0.35">
      <c r="B471" vm="5590">
        <f ca="1"/>
        <v>43402</v>
      </c>
      <c r="C471" vm="5591">
        <f ca="1"/>
        <v>51.736499999999999</v>
      </c>
      <c r="D471" vm="5592">
        <f ca="1"/>
        <v>76.944000000000003</v>
      </c>
      <c r="E471" vm="5593">
        <f ca="1"/>
        <v>43.87</v>
      </c>
      <c r="F471" vm="5594">
        <f ca="1"/>
        <v>379.91</v>
      </c>
      <c r="G471" vm="5595">
        <f ca="1"/>
        <v>141.06</v>
      </c>
      <c r="H471" vm="5596">
        <f ca="1"/>
        <v>191.04</v>
      </c>
      <c r="I471" vm="5597">
        <f ca="1"/>
        <v>43.195</v>
      </c>
      <c r="J471" vm="5598">
        <f ca="1"/>
        <v>51.45</v>
      </c>
      <c r="K471" vm="5599">
        <f ca="1"/>
        <v>4.6405000000000003</v>
      </c>
      <c r="L471" vm="1410">
        <f ca="1"/>
        <v>88.24</v>
      </c>
      <c r="M471" vm="5600">
        <f ca="1"/>
        <v>256.52</v>
      </c>
      <c r="N471" vm="5601">
        <f ca="1"/>
        <v>2641.25</v>
      </c>
    </row>
    <row r="472" spans="2:14" x14ac:dyDescent="0.35">
      <c r="B472" vm="5602">
        <f ca="1"/>
        <v>43403</v>
      </c>
      <c r="C472" vm="5603">
        <f ca="1"/>
        <v>52.475499999999997</v>
      </c>
      <c r="D472" vm="5604">
        <f ca="1"/>
        <v>76.521000000000001</v>
      </c>
      <c r="E472" vm="5605">
        <f ca="1"/>
        <v>44.97</v>
      </c>
      <c r="F472" vm="5606">
        <f ca="1"/>
        <v>376.79</v>
      </c>
      <c r="G472" vm="5607">
        <f ca="1"/>
        <v>142.96</v>
      </c>
      <c r="H472" vm="5608">
        <f ca="1"/>
        <v>187.73</v>
      </c>
      <c r="I472" vm="5609">
        <f ca="1"/>
        <v>43.387500000000003</v>
      </c>
      <c r="J472" vm="5610">
        <f ca="1"/>
        <v>52.32</v>
      </c>
      <c r="K472" vm="5611">
        <f ca="1"/>
        <v>5.0750000000000002</v>
      </c>
      <c r="L472" vm="5612">
        <f ca="1"/>
        <v>89.19</v>
      </c>
      <c r="M472" vm="5613">
        <f ca="1"/>
        <v>258.27999999999997</v>
      </c>
      <c r="N472" vm="5614">
        <f ca="1"/>
        <v>2682.63</v>
      </c>
    </row>
    <row r="473" spans="2:14" x14ac:dyDescent="0.35">
      <c r="B473" vm="5615">
        <f ca="1"/>
        <v>43404</v>
      </c>
      <c r="C473" vm="5616">
        <f ca="1"/>
        <v>54.529000000000003</v>
      </c>
      <c r="D473" vm="5617">
        <f ca="1"/>
        <v>79.900499999999994</v>
      </c>
      <c r="E473" vm="5618">
        <f ca="1"/>
        <v>44.8</v>
      </c>
      <c r="F473" vm="5619">
        <f ca="1"/>
        <v>378.74</v>
      </c>
      <c r="G473" vm="5620">
        <f ca="1"/>
        <v>144.82</v>
      </c>
      <c r="H473" vm="4622">
        <f ca="1"/>
        <v>197.67</v>
      </c>
      <c r="I473" vm="5201">
        <f ca="1"/>
        <v>43.125</v>
      </c>
      <c r="J473" vm="5621">
        <f ca="1"/>
        <v>51.31</v>
      </c>
      <c r="K473" vm="5622">
        <f ca="1"/>
        <v>5.2708000000000004</v>
      </c>
      <c r="L473" vm="5623">
        <f ca="1"/>
        <v>88.68</v>
      </c>
      <c r="M473" vm="5624">
        <f ca="1"/>
        <v>261.35000000000002</v>
      </c>
      <c r="N473" vm="5625">
        <f ca="1"/>
        <v>2711.74</v>
      </c>
    </row>
    <row r="474" spans="2:14" x14ac:dyDescent="0.35">
      <c r="B474" vm="5626">
        <f ca="1"/>
        <v>43405</v>
      </c>
      <c r="C474" vm="5627">
        <f ca="1"/>
        <v>54.298999999999999</v>
      </c>
      <c r="D474" vm="5628">
        <f ca="1"/>
        <v>83.276499999999999</v>
      </c>
      <c r="E474" vm="5629">
        <f ca="1"/>
        <v>47.62</v>
      </c>
      <c r="F474" vm="376">
        <f ca="1"/>
        <v>386.69</v>
      </c>
      <c r="G474" vm="5630">
        <f ca="1"/>
        <v>144.44999999999999</v>
      </c>
      <c r="H474" vm="5631">
        <f ca="1"/>
        <v>199.71</v>
      </c>
      <c r="I474" vm="5632">
        <f ca="1"/>
        <v>42.6175</v>
      </c>
      <c r="J474" vm="5633">
        <f ca="1"/>
        <v>51.66</v>
      </c>
      <c r="K474" vm="5634">
        <f ca="1"/>
        <v>5.4527999999999999</v>
      </c>
      <c r="L474" vm="5635">
        <f ca="1"/>
        <v>89.59</v>
      </c>
      <c r="M474" vm="5636">
        <f ca="1"/>
        <v>260.93</v>
      </c>
      <c r="N474" vm="5637">
        <f ca="1"/>
        <v>2740.37</v>
      </c>
    </row>
    <row r="475" spans="2:14" x14ac:dyDescent="0.35">
      <c r="B475" vm="5638">
        <f ca="1"/>
        <v>43406</v>
      </c>
      <c r="C475" vm="5639">
        <f ca="1"/>
        <v>53.5745</v>
      </c>
      <c r="D475" vm="5628">
        <f ca="1"/>
        <v>83.276499999999999</v>
      </c>
      <c r="E475" vm="5640">
        <f ca="1"/>
        <v>47.36</v>
      </c>
      <c r="F475" vm="5641">
        <f ca="1"/>
        <v>392.43</v>
      </c>
      <c r="G475" vm="5642">
        <f ca="1"/>
        <v>145.47999999999999</v>
      </c>
      <c r="H475" vm="5643">
        <f ca="1"/>
        <v>197.72</v>
      </c>
      <c r="I475" vm="5644">
        <f ca="1"/>
        <v>42.037500000000001</v>
      </c>
      <c r="J475" vm="5645">
        <f ca="1"/>
        <v>51.4</v>
      </c>
      <c r="K475" vm="5646">
        <f ca="1"/>
        <v>5.3730000000000002</v>
      </c>
      <c r="L475" vm="5647">
        <f ca="1"/>
        <v>89.81</v>
      </c>
      <c r="M475" vm="5648">
        <f ca="1"/>
        <v>261.01</v>
      </c>
      <c r="N475" vm="4578">
        <f ca="1"/>
        <v>2723.06</v>
      </c>
    </row>
    <row r="476" spans="2:14" x14ac:dyDescent="0.35">
      <c r="B476" vm="5649">
        <f ca="1"/>
        <v>43409</v>
      </c>
      <c r="C476" vm="5650">
        <f ca="1"/>
        <v>52.786499999999997</v>
      </c>
      <c r="D476" vm="5651">
        <f ca="1"/>
        <v>81.39</v>
      </c>
      <c r="E476" vm="5652">
        <f ca="1"/>
        <v>47.41</v>
      </c>
      <c r="F476" vm="5653">
        <f ca="1"/>
        <v>396.46</v>
      </c>
      <c r="G476" vm="5654">
        <f ca="1"/>
        <v>147.18</v>
      </c>
      <c r="H476" vm="5655">
        <f ca="1"/>
        <v>197.98</v>
      </c>
      <c r="I476" vm="5656">
        <f ca="1"/>
        <v>42.677500000000002</v>
      </c>
      <c r="J476" vm="5657">
        <f ca="1"/>
        <v>51.96</v>
      </c>
      <c r="K476" vm="5658">
        <f ca="1"/>
        <v>5.2942999999999998</v>
      </c>
      <c r="L476" vm="3263">
        <f ca="1"/>
        <v>91.2</v>
      </c>
      <c r="M476" vm="5648">
        <f ca="1"/>
        <v>261.01</v>
      </c>
      <c r="N476" vm="5659">
        <f ca="1"/>
        <v>2738.31</v>
      </c>
    </row>
    <row r="477" spans="2:14" x14ac:dyDescent="0.35">
      <c r="B477" vm="5660">
        <f ca="1"/>
        <v>43410</v>
      </c>
      <c r="C477" vm="5661">
        <f ca="1"/>
        <v>53.478499999999997</v>
      </c>
      <c r="D477" vm="5580">
        <f ca="1"/>
        <v>82.140500000000003</v>
      </c>
      <c r="E477" vm="5662">
        <f ca="1"/>
        <v>47.86</v>
      </c>
      <c r="F477" vm="5663">
        <f ca="1"/>
        <v>396.04</v>
      </c>
      <c r="G477" vm="5664">
        <f ca="1"/>
        <v>148.44999999999999</v>
      </c>
      <c r="H477" vm="5665">
        <f ca="1"/>
        <v>199.15</v>
      </c>
      <c r="I477" vm="5072">
        <f ca="1"/>
        <v>42.865000000000002</v>
      </c>
      <c r="J477" vm="5666">
        <f ca="1"/>
        <v>52.08</v>
      </c>
      <c r="K477" vm="5667">
        <f ca="1"/>
        <v>5.2765000000000004</v>
      </c>
      <c r="L477" vm="5668">
        <f ca="1"/>
        <v>91.51</v>
      </c>
      <c r="M477" vm="5669">
        <f ca="1"/>
        <v>263.54000000000002</v>
      </c>
      <c r="N477" vm="5670">
        <f ca="1"/>
        <v>2755.45</v>
      </c>
    </row>
    <row r="478" spans="2:14" x14ac:dyDescent="0.35">
      <c r="B478" vm="5671">
        <f ca="1"/>
        <v>43411</v>
      </c>
      <c r="C478" vm="5672">
        <f ca="1"/>
        <v>55.411999999999999</v>
      </c>
      <c r="D478" vm="5673">
        <f ca="1"/>
        <v>87.774500000000003</v>
      </c>
      <c r="E478" vm="5674">
        <f ca="1"/>
        <v>48.84</v>
      </c>
      <c r="F478" vm="5675">
        <f ca="1"/>
        <v>400</v>
      </c>
      <c r="G478" vm="5676">
        <f ca="1"/>
        <v>150.19999999999999</v>
      </c>
      <c r="H478" vm="5677">
        <f ca="1"/>
        <v>208.24</v>
      </c>
      <c r="I478" vm="5678">
        <f ca="1"/>
        <v>43.384999999999998</v>
      </c>
      <c r="J478" vm="5610">
        <f ca="1"/>
        <v>52.32</v>
      </c>
      <c r="K478" vm="5679">
        <f ca="1"/>
        <v>5.3448000000000002</v>
      </c>
      <c r="L478" vm="5680">
        <f ca="1"/>
        <v>91.29</v>
      </c>
      <c r="M478" vm="5681">
        <f ca="1"/>
        <v>274.63</v>
      </c>
      <c r="N478" vm="5682">
        <f ca="1"/>
        <v>2813.89</v>
      </c>
    </row>
    <row r="479" spans="2:14" x14ac:dyDescent="0.35">
      <c r="B479" vm="5683">
        <f ca="1"/>
        <v>43412</v>
      </c>
      <c r="C479" vm="5684">
        <f ca="1"/>
        <v>54.731499999999997</v>
      </c>
      <c r="D479" vm="5685">
        <f ca="1"/>
        <v>87.745500000000007</v>
      </c>
      <c r="E479" vm="5686">
        <f ca="1"/>
        <v>48.72</v>
      </c>
      <c r="F479" vm="5687">
        <f ca="1"/>
        <v>389.48</v>
      </c>
      <c r="G479" vm="5688">
        <f ca="1"/>
        <v>150.55000000000001</v>
      </c>
      <c r="H479" vm="5689">
        <f ca="1"/>
        <v>208.86</v>
      </c>
      <c r="I479" vm="5690">
        <f ca="1"/>
        <v>43.49</v>
      </c>
      <c r="J479" vm="5691">
        <f ca="1"/>
        <v>51.58</v>
      </c>
      <c r="K479" vm="5692">
        <f ca="1"/>
        <v>5.1497999999999999</v>
      </c>
      <c r="L479" vm="5693">
        <f ca="1"/>
        <v>91.36</v>
      </c>
      <c r="M479" vm="5694">
        <f ca="1"/>
        <v>276.64999999999998</v>
      </c>
      <c r="N479" vm="5695">
        <f ca="1"/>
        <v>2806.83</v>
      </c>
    </row>
    <row r="480" spans="2:14" x14ac:dyDescent="0.35">
      <c r="B480" vm="5696">
        <f ca="1"/>
        <v>43413</v>
      </c>
      <c r="C480" vm="5697">
        <f ca="1"/>
        <v>53.850999999999999</v>
      </c>
      <c r="D480" vm="5698">
        <f ca="1"/>
        <v>85.621499999999997</v>
      </c>
      <c r="E480" vm="5699">
        <f ca="1"/>
        <v>48.68</v>
      </c>
      <c r="F480" vm="5700">
        <f ca="1"/>
        <v>384.94</v>
      </c>
      <c r="G480" vm="5701">
        <f ca="1"/>
        <v>150.32</v>
      </c>
      <c r="H480" vm="5702">
        <f ca="1"/>
        <v>205.62</v>
      </c>
      <c r="I480" vm="5221">
        <f ca="1"/>
        <v>44.14</v>
      </c>
      <c r="J480" vm="5703">
        <f ca="1"/>
        <v>50.4</v>
      </c>
      <c r="K480" vm="5704">
        <f ca="1"/>
        <v>5.1417999999999999</v>
      </c>
      <c r="L480" vm="5705">
        <f ca="1"/>
        <v>92.41</v>
      </c>
      <c r="M480" vm="5706">
        <f ca="1"/>
        <v>276.55</v>
      </c>
      <c r="N480" vm="5707">
        <f ca="1"/>
        <v>2781.01</v>
      </c>
    </row>
    <row r="481" spans="2:14" x14ac:dyDescent="0.35">
      <c r="B481" vm="5708">
        <f ca="1"/>
        <v>43416</v>
      </c>
      <c r="C481" vm="5709">
        <f ca="1"/>
        <v>52.468000000000004</v>
      </c>
      <c r="D481" vm="5710">
        <f ca="1"/>
        <v>81.842500000000001</v>
      </c>
      <c r="E481" vm="5711">
        <f ca="1"/>
        <v>48.29</v>
      </c>
      <c r="F481" vm="3673">
        <f ca="1"/>
        <v>389.42</v>
      </c>
      <c r="G481" vm="5712">
        <f ca="1"/>
        <v>148.13</v>
      </c>
      <c r="H481" vm="5713">
        <f ca="1"/>
        <v>199.14</v>
      </c>
      <c r="I481" vm="5714">
        <f ca="1"/>
        <v>44.622500000000002</v>
      </c>
      <c r="J481" vm="5715">
        <f ca="1"/>
        <v>49.45</v>
      </c>
      <c r="K481" vm="5716">
        <f ca="1"/>
        <v>4.7385000000000002</v>
      </c>
      <c r="L481" vm="5717">
        <f ca="1"/>
        <v>92.7</v>
      </c>
      <c r="M481" vm="5718">
        <f ca="1"/>
        <v>272.38</v>
      </c>
      <c r="N481" vm="5719">
        <f ca="1"/>
        <v>2726.22</v>
      </c>
    </row>
    <row r="482" spans="2:14" x14ac:dyDescent="0.35">
      <c r="B482" vm="5720">
        <f ca="1"/>
        <v>43417</v>
      </c>
      <c r="C482" vm="5721">
        <f ca="1"/>
        <v>52.398499999999999</v>
      </c>
      <c r="D482" vm="5722">
        <f ca="1"/>
        <v>81.558499999999995</v>
      </c>
      <c r="E482" vm="5723">
        <f ca="1"/>
        <v>49.1</v>
      </c>
      <c r="F482" vm="5724">
        <f ca="1"/>
        <v>383.53</v>
      </c>
      <c r="G482" vm="5725">
        <f ca="1"/>
        <v>147.68</v>
      </c>
      <c r="H482" vm="2172">
        <f ca="1"/>
        <v>198.17</v>
      </c>
      <c r="I482" vm="5726">
        <f ca="1"/>
        <v>44.664999999999999</v>
      </c>
      <c r="J482" vm="5727">
        <f ca="1"/>
        <v>47.34</v>
      </c>
      <c r="K482" vm="5728">
        <f ca="1"/>
        <v>4.9828000000000001</v>
      </c>
      <c r="L482" vm="5729">
        <f ca="1"/>
        <v>93.47</v>
      </c>
      <c r="M482" vm="5730">
        <f ca="1"/>
        <v>269.22000000000003</v>
      </c>
      <c r="N482" vm="5731">
        <f ca="1"/>
        <v>2722.18</v>
      </c>
    </row>
    <row r="483" spans="2:14" x14ac:dyDescent="0.35">
      <c r="B483" vm="5732">
        <f ca="1"/>
        <v>43418</v>
      </c>
      <c r="C483" vm="5733">
        <f ca="1"/>
        <v>52.728999999999999</v>
      </c>
      <c r="D483" vm="5734">
        <f ca="1"/>
        <v>79.950500000000005</v>
      </c>
      <c r="E483" vm="5735">
        <f ca="1"/>
        <v>49.06</v>
      </c>
      <c r="F483" vm="5736">
        <f ca="1"/>
        <v>385.32</v>
      </c>
      <c r="G483" vm="5737">
        <f ca="1"/>
        <v>147.53</v>
      </c>
      <c r="H483" vm="5738">
        <f ca="1"/>
        <v>197.58</v>
      </c>
      <c r="I483" vm="5739">
        <f ca="1"/>
        <v>44.204999999999998</v>
      </c>
      <c r="J483" vm="5740">
        <f ca="1"/>
        <v>47.81</v>
      </c>
      <c r="K483" vm="5741">
        <f ca="1"/>
        <v>4.9298000000000002</v>
      </c>
      <c r="L483" vm="5742">
        <f ca="1"/>
        <v>93.49</v>
      </c>
      <c r="M483" vm="5743">
        <f ca="1"/>
        <v>264.95999999999998</v>
      </c>
      <c r="N483" vm="5744">
        <f ca="1"/>
        <v>2701.58</v>
      </c>
    </row>
    <row r="484" spans="2:14" x14ac:dyDescent="0.35">
      <c r="B484" vm="5745">
        <f ca="1"/>
        <v>43419</v>
      </c>
      <c r="C484" vm="5746">
        <f ca="1"/>
        <v>53.552500000000002</v>
      </c>
      <c r="D484" vm="5747">
        <f ca="1"/>
        <v>80.971999999999994</v>
      </c>
      <c r="E484" vm="5748">
        <f ca="1"/>
        <v>50.38</v>
      </c>
      <c r="F484" vm="5749">
        <f ca="1"/>
        <v>385.28</v>
      </c>
      <c r="G484" vm="5750">
        <f ca="1"/>
        <v>147.77000000000001</v>
      </c>
      <c r="H484" vm="5751">
        <f ca="1"/>
        <v>200.71</v>
      </c>
      <c r="I484" vm="5752">
        <f ca="1"/>
        <v>44.795000000000002</v>
      </c>
      <c r="J484" vm="5753">
        <f ca="1"/>
        <v>48.08</v>
      </c>
      <c r="K484" vm="5754">
        <f ca="1"/>
        <v>5.0598000000000001</v>
      </c>
      <c r="L484" vm="5755">
        <f ca="1"/>
        <v>93.83</v>
      </c>
      <c r="M484" vm="5756">
        <f ca="1"/>
        <v>264.94</v>
      </c>
      <c r="N484" vm="5757">
        <f ca="1"/>
        <v>2730.2</v>
      </c>
    </row>
    <row r="485" spans="2:14" x14ac:dyDescent="0.35">
      <c r="B485" vm="5758">
        <f ca="1"/>
        <v>43420</v>
      </c>
      <c r="C485" vm="5759">
        <f ca="1"/>
        <v>53.413499999999999</v>
      </c>
      <c r="D485" vm="5760">
        <f ca="1"/>
        <v>79.670500000000004</v>
      </c>
      <c r="E485" vm="5761">
        <f ca="1"/>
        <v>50.5</v>
      </c>
      <c r="F485" vm="5762">
        <f ca="1"/>
        <v>388.63</v>
      </c>
      <c r="G485" vm="5763">
        <f ca="1"/>
        <v>148.55000000000001</v>
      </c>
      <c r="H485" vm="5764">
        <f ca="1"/>
        <v>199.04</v>
      </c>
      <c r="I485" vm="5765">
        <f ca="1"/>
        <v>45.097499999999997</v>
      </c>
      <c r="J485" vm="5766">
        <f ca="1"/>
        <v>48.22</v>
      </c>
      <c r="K485" vm="5767">
        <f ca="1"/>
        <v>4.1108000000000002</v>
      </c>
      <c r="L485" vm="5768">
        <f ca="1"/>
        <v>93.82</v>
      </c>
      <c r="M485" vm="5769">
        <f ca="1"/>
        <v>271.11</v>
      </c>
      <c r="N485" vm="5770">
        <f ca="1"/>
        <v>2736.27</v>
      </c>
    </row>
    <row r="486" spans="2:14" x14ac:dyDescent="0.35">
      <c r="B486" vm="5771">
        <f ca="1"/>
        <v>43423</v>
      </c>
      <c r="C486" vm="5772">
        <f ca="1"/>
        <v>51.371000000000002</v>
      </c>
      <c r="D486" vm="5773">
        <f ca="1"/>
        <v>75.614500000000007</v>
      </c>
      <c r="E486" vm="5774">
        <f ca="1"/>
        <v>49.51</v>
      </c>
      <c r="F486" vm="5775">
        <f ca="1"/>
        <v>383.47</v>
      </c>
      <c r="G486" vm="5776">
        <f ca="1"/>
        <v>147.47</v>
      </c>
      <c r="H486" vm="5777">
        <f ca="1"/>
        <v>189.28</v>
      </c>
      <c r="I486" vm="5778">
        <f ca="1"/>
        <v>45.502499999999998</v>
      </c>
      <c r="J486" vm="5779">
        <f ca="1"/>
        <v>48.31</v>
      </c>
      <c r="K486" vm="5780">
        <f ca="1"/>
        <v>3.6175000000000002</v>
      </c>
      <c r="L486" vm="5781">
        <f ca="1"/>
        <v>93.29</v>
      </c>
      <c r="M486" vm="5782">
        <f ca="1"/>
        <v>266.05</v>
      </c>
      <c r="N486" vm="5783">
        <f ca="1"/>
        <v>2690.73</v>
      </c>
    </row>
    <row r="487" spans="2:14" x14ac:dyDescent="0.35">
      <c r="B487" vm="5784">
        <f ca="1"/>
        <v>43424</v>
      </c>
      <c r="C487" vm="5785">
        <f ca="1"/>
        <v>51.522500000000001</v>
      </c>
      <c r="D487" vm="5786">
        <f ca="1"/>
        <v>74.772999999999996</v>
      </c>
      <c r="E487" vm="5787">
        <f ca="1"/>
        <v>49.05</v>
      </c>
      <c r="F487" vm="5788">
        <f ca="1"/>
        <v>376.5</v>
      </c>
      <c r="G487" vm="5789">
        <f ca="1"/>
        <v>144.05000000000001</v>
      </c>
      <c r="H487" vm="5790">
        <f ca="1"/>
        <v>187.06</v>
      </c>
      <c r="I487" vm="5791">
        <f ca="1"/>
        <v>44.692500000000003</v>
      </c>
      <c r="J487" vm="5792">
        <f ca="1"/>
        <v>46.9</v>
      </c>
      <c r="K487" vm="5793">
        <f ca="1"/>
        <v>3.7269999999999999</v>
      </c>
      <c r="L487" vm="3107">
        <f ca="1"/>
        <v>92.1</v>
      </c>
      <c r="M487" vm="5794">
        <f ca="1"/>
        <v>261.5</v>
      </c>
      <c r="N487" vm="5795">
        <f ca="1"/>
        <v>2641.89</v>
      </c>
    </row>
    <row r="488" spans="2:14" x14ac:dyDescent="0.35">
      <c r="B488" vm="5796">
        <f ca="1"/>
        <v>43425</v>
      </c>
      <c r="C488" vm="5797">
        <f ca="1"/>
        <v>52.171500000000002</v>
      </c>
      <c r="D488" vm="5798">
        <f ca="1"/>
        <v>75.836500000000001</v>
      </c>
      <c r="E488" vm="5799">
        <f ca="1"/>
        <v>49.31</v>
      </c>
      <c r="F488" vm="5800">
        <f ca="1"/>
        <v>382.89</v>
      </c>
      <c r="G488" vm="5801">
        <f ca="1"/>
        <v>144.1</v>
      </c>
      <c r="H488" vm="5802">
        <f ca="1"/>
        <v>187.66</v>
      </c>
      <c r="I488" vm="5803">
        <f ca="1"/>
        <v>44.045000000000002</v>
      </c>
      <c r="J488" vm="5804">
        <f ca="1"/>
        <v>47.64</v>
      </c>
      <c r="K488" vm="5805">
        <f ca="1"/>
        <v>3.6177999999999999</v>
      </c>
      <c r="L488" vm="2914">
        <f ca="1"/>
        <v>91.41</v>
      </c>
      <c r="M488" vm="5806">
        <f ca="1"/>
        <v>260.55</v>
      </c>
      <c r="N488" vm="5807">
        <f ca="1"/>
        <v>2649.93</v>
      </c>
    </row>
    <row r="489" spans="2:14" x14ac:dyDescent="0.35">
      <c r="B489" vm="5808">
        <f ca="1"/>
        <v>43427</v>
      </c>
      <c r="C489" vm="5809">
        <f ca="1"/>
        <v>51.505000000000003</v>
      </c>
      <c r="D489" vm="5810">
        <f ca="1"/>
        <v>75.102999999999994</v>
      </c>
      <c r="E489" vm="5811">
        <f ca="1"/>
        <v>48.87</v>
      </c>
      <c r="F489" vm="5812">
        <f ca="1"/>
        <v>380.4</v>
      </c>
      <c r="G489" vm="5813">
        <f ca="1"/>
        <v>143.26</v>
      </c>
      <c r="H489" vm="5814">
        <f ca="1"/>
        <v>182.6</v>
      </c>
      <c r="I489" vm="5815">
        <f ca="1"/>
        <v>44.332500000000003</v>
      </c>
      <c r="J489" vm="5816">
        <f ca="1"/>
        <v>46.37</v>
      </c>
      <c r="K489" vm="5817">
        <f ca="1"/>
        <v>3.625</v>
      </c>
      <c r="L489" vm="5818">
        <f ca="1"/>
        <v>91.54</v>
      </c>
      <c r="M489" vm="5819">
        <f ca="1"/>
        <v>261.62</v>
      </c>
      <c r="N489" vm="5820">
        <f ca="1"/>
        <v>2632.56</v>
      </c>
    </row>
    <row r="490" spans="2:14" x14ac:dyDescent="0.35">
      <c r="B490" vm="5821">
        <f ca="1"/>
        <v>43430</v>
      </c>
      <c r="C490" vm="5822">
        <f ca="1"/>
        <v>52.796999999999997</v>
      </c>
      <c r="D490" vm="5823">
        <f ca="1"/>
        <v>79.066500000000005</v>
      </c>
      <c r="E490" vm="5723">
        <f ca="1"/>
        <v>49.1</v>
      </c>
      <c r="F490" vm="5824">
        <f ca="1"/>
        <v>382.17</v>
      </c>
      <c r="G490" vm="5825">
        <f ca="1"/>
        <v>143.22</v>
      </c>
      <c r="H490" vm="5826">
        <f ca="1"/>
        <v>191.85</v>
      </c>
      <c r="I490" vm="5827">
        <f ca="1"/>
        <v>44.2575</v>
      </c>
      <c r="J490" vm="5828">
        <f ca="1"/>
        <v>46.63</v>
      </c>
      <c r="K490" vm="5829">
        <f ca="1"/>
        <v>3.8262999999999998</v>
      </c>
      <c r="L490" vm="5830">
        <f ca="1"/>
        <v>91.94</v>
      </c>
      <c r="M490" vm="5831">
        <f ca="1"/>
        <v>266.16000000000003</v>
      </c>
      <c r="N490" vm="5832">
        <f ca="1"/>
        <v>2673.45</v>
      </c>
    </row>
    <row r="491" spans="2:14" x14ac:dyDescent="0.35">
      <c r="B491" vm="5833">
        <f ca="1"/>
        <v>43431</v>
      </c>
      <c r="C491" vm="5834">
        <f ca="1"/>
        <v>52.613999999999997</v>
      </c>
      <c r="D491" vm="5835">
        <f ca="1"/>
        <v>79.070999999999998</v>
      </c>
      <c r="E491" vm="5836">
        <f ca="1"/>
        <v>48.66</v>
      </c>
      <c r="F491" vm="5837">
        <f ca="1"/>
        <v>382.11</v>
      </c>
      <c r="G491" vm="5838">
        <f ca="1"/>
        <v>142.88999999999999</v>
      </c>
      <c r="H491" vm="5839">
        <f ca="1"/>
        <v>192.98</v>
      </c>
      <c r="I491" vm="5840">
        <f ca="1"/>
        <v>44.5</v>
      </c>
      <c r="J491" vm="5501">
        <f ca="1"/>
        <v>46.2</v>
      </c>
      <c r="K491" vm="5841">
        <f ca="1"/>
        <v>3.8433000000000002</v>
      </c>
      <c r="L491" vm="2147">
        <f ca="1"/>
        <v>92.72</v>
      </c>
      <c r="M491" vm="5842">
        <f ca="1"/>
        <v>271.14999999999998</v>
      </c>
      <c r="N491" vm="5843">
        <f ca="1"/>
        <v>2682.17</v>
      </c>
    </row>
    <row r="492" spans="2:14" x14ac:dyDescent="0.35">
      <c r="B492" vm="5844">
        <f ca="1"/>
        <v>43432</v>
      </c>
      <c r="C492" vm="5845">
        <f ca="1"/>
        <v>54.589500000000001</v>
      </c>
      <c r="D492" vm="5846">
        <f ca="1"/>
        <v>83.887500000000003</v>
      </c>
      <c r="E492" vm="5847">
        <f ca="1"/>
        <v>49.59</v>
      </c>
      <c r="F492" vm="5848">
        <f ca="1"/>
        <v>384.06</v>
      </c>
      <c r="G492" vm="5849">
        <f ca="1"/>
        <v>144.30000000000001</v>
      </c>
      <c r="H492" vm="5850">
        <f ca="1"/>
        <v>202.28</v>
      </c>
      <c r="I492" vm="5851">
        <f ca="1"/>
        <v>44.512500000000003</v>
      </c>
      <c r="J492" vm="5852">
        <f ca="1"/>
        <v>46.41</v>
      </c>
      <c r="K492" vm="5853">
        <f ca="1"/>
        <v>4.0018000000000002</v>
      </c>
      <c r="L492" vm="5854">
        <f ca="1"/>
        <v>93.01</v>
      </c>
      <c r="M492" vm="5855">
        <f ca="1"/>
        <v>280.95</v>
      </c>
      <c r="N492" vm="5856">
        <f ca="1"/>
        <v>2743.79</v>
      </c>
    </row>
    <row r="493" spans="2:14" x14ac:dyDescent="0.35">
      <c r="B493" vm="5857">
        <f ca="1"/>
        <v>43433</v>
      </c>
      <c r="C493" vm="5858">
        <f ca="1"/>
        <v>54.728999999999999</v>
      </c>
      <c r="D493" vm="5859">
        <f ca="1"/>
        <v>83.6785</v>
      </c>
      <c r="E493" vm="5860">
        <f ca="1"/>
        <v>49.57</v>
      </c>
      <c r="F493" vm="5861">
        <f ca="1"/>
        <v>384.11</v>
      </c>
      <c r="G493" vm="5862">
        <f ca="1"/>
        <v>145.74</v>
      </c>
      <c r="H493" vm="5863">
        <f ca="1"/>
        <v>196.66</v>
      </c>
      <c r="I493" vm="5864">
        <f ca="1"/>
        <v>44.28</v>
      </c>
      <c r="J493" vm="5865">
        <f ca="1"/>
        <v>45.9</v>
      </c>
      <c r="K493" vm="5866">
        <f ca="1"/>
        <v>3.9340000000000002</v>
      </c>
      <c r="L493" vm="5867">
        <f ca="1"/>
        <v>92.82</v>
      </c>
      <c r="M493" vm="5868">
        <f ca="1"/>
        <v>282.55</v>
      </c>
      <c r="N493" vm="5869">
        <f ca="1"/>
        <v>2737.76</v>
      </c>
    </row>
    <row r="494" spans="2:14" x14ac:dyDescent="0.35">
      <c r="B494" vm="5870">
        <f ca="1"/>
        <v>43434</v>
      </c>
      <c r="C494" vm="5871">
        <f ca="1"/>
        <v>55.482500000000002</v>
      </c>
      <c r="D494" vm="5872">
        <f ca="1"/>
        <v>84.508499999999998</v>
      </c>
      <c r="E494" vm="5873">
        <f ca="1"/>
        <v>49.11</v>
      </c>
      <c r="F494" vm="5749">
        <f ca="1"/>
        <v>385.28</v>
      </c>
      <c r="G494" vm="5874">
        <f ca="1"/>
        <v>146.75</v>
      </c>
      <c r="H494" vm="5875">
        <f ca="1"/>
        <v>201.07</v>
      </c>
      <c r="I494" vm="5876">
        <f ca="1"/>
        <v>45.427500000000002</v>
      </c>
      <c r="J494" vm="5877">
        <f ca="1"/>
        <v>45.1</v>
      </c>
      <c r="K494" vm="5878">
        <f ca="1"/>
        <v>4.0857999999999999</v>
      </c>
      <c r="L494" vm="5879">
        <f ca="1"/>
        <v>94.51</v>
      </c>
      <c r="M494" vm="5880">
        <f ca="1"/>
        <v>281.36</v>
      </c>
      <c r="N494" vm="5881">
        <f ca="1"/>
        <v>2760.17</v>
      </c>
    </row>
    <row r="495" spans="2:14" x14ac:dyDescent="0.35">
      <c r="B495" vm="5882">
        <f ca="1"/>
        <v>43437</v>
      </c>
      <c r="C495" vm="5883">
        <f ca="1"/>
        <v>55.817999999999998</v>
      </c>
      <c r="D495" vm="5884">
        <f ca="1"/>
        <v>88.617999999999995</v>
      </c>
      <c r="E495" vm="5885">
        <f ca="1"/>
        <v>49.79</v>
      </c>
      <c r="F495" vm="5886">
        <f ca="1"/>
        <v>391.11</v>
      </c>
      <c r="G495" vm="5887">
        <f ca="1"/>
        <v>148.97999999999999</v>
      </c>
      <c r="H495" vm="2769">
        <f ca="1"/>
        <v>209.86</v>
      </c>
      <c r="I495" vm="5888">
        <f ca="1"/>
        <v>45.622500000000002</v>
      </c>
      <c r="J495" vm="5889">
        <f ca="1"/>
        <v>46.3</v>
      </c>
      <c r="K495" vm="5890">
        <f ca="1"/>
        <v>4.2510000000000003</v>
      </c>
      <c r="L495" vm="5891">
        <f ca="1"/>
        <v>93.32</v>
      </c>
      <c r="M495" vm="5892">
        <f ca="1"/>
        <v>286.33</v>
      </c>
      <c r="N495" vm="5893">
        <f ca="1"/>
        <v>2790.37</v>
      </c>
    </row>
    <row r="496" spans="2:14" x14ac:dyDescent="0.35">
      <c r="B496" vm="5894">
        <f ca="1"/>
        <v>43438</v>
      </c>
      <c r="C496" vm="5895">
        <f ca="1"/>
        <v>53.1235</v>
      </c>
      <c r="D496" vm="5896">
        <f ca="1"/>
        <v>83.42</v>
      </c>
      <c r="E496" vm="2118">
        <f ca="1"/>
        <v>49.03</v>
      </c>
      <c r="F496" vm="5897">
        <f ca="1"/>
        <v>385.09</v>
      </c>
      <c r="G496" vm="5898">
        <f ca="1"/>
        <v>142.68</v>
      </c>
      <c r="H496" vm="5899">
        <f ca="1"/>
        <v>200.49</v>
      </c>
      <c r="I496" vm="5900">
        <f ca="1"/>
        <v>45.542499999999997</v>
      </c>
      <c r="J496" vm="5901">
        <f ca="1"/>
        <v>44.12</v>
      </c>
      <c r="K496" vm="5902">
        <f ca="1"/>
        <v>3.9278</v>
      </c>
      <c r="L496" vm="5903">
        <f ca="1"/>
        <v>93.31</v>
      </c>
      <c r="M496" vm="5904">
        <f ca="1"/>
        <v>278.55</v>
      </c>
      <c r="N496" vm="5905">
        <f ca="1"/>
        <v>2700.06</v>
      </c>
    </row>
    <row r="497" spans="2:14" x14ac:dyDescent="0.35">
      <c r="B497" vm="5906">
        <f ca="1"/>
        <v>43440</v>
      </c>
      <c r="C497" vm="5907">
        <f ca="1"/>
        <v>53.904000000000003</v>
      </c>
      <c r="D497" vm="5908">
        <f ca="1"/>
        <v>84.959500000000006</v>
      </c>
      <c r="E497" vm="5686">
        <f ca="1"/>
        <v>48.72</v>
      </c>
      <c r="F497" vm="5909">
        <f ca="1"/>
        <v>392.72</v>
      </c>
      <c r="G497" vm="5910">
        <f ca="1"/>
        <v>141.56</v>
      </c>
      <c r="H497" vm="5911">
        <f ca="1"/>
        <v>202.99</v>
      </c>
      <c r="I497" vm="5912">
        <f ca="1"/>
        <v>45.664999999999999</v>
      </c>
      <c r="J497" vm="5913">
        <f ca="1"/>
        <v>42.32</v>
      </c>
      <c r="K497" vm="5914">
        <f ca="1"/>
        <v>3.9573</v>
      </c>
      <c r="L497" vm="2220">
        <f ca="1"/>
        <v>93.55</v>
      </c>
      <c r="M497" vm="5915">
        <f ca="1"/>
        <v>276.85000000000002</v>
      </c>
      <c r="N497" vm="5916">
        <f ca="1"/>
        <v>2695.95</v>
      </c>
    </row>
    <row r="498" spans="2:14" x14ac:dyDescent="0.35">
      <c r="B498" vm="5917">
        <f ca="1"/>
        <v>43441</v>
      </c>
      <c r="C498" vm="5918">
        <f ca="1"/>
        <v>52.329000000000001</v>
      </c>
      <c r="D498" vm="5919">
        <f ca="1"/>
        <v>81.456500000000005</v>
      </c>
      <c r="E498" vm="2152">
        <f ca="1"/>
        <v>48.39</v>
      </c>
      <c r="F498" vm="5920">
        <f ca="1"/>
        <v>386.47</v>
      </c>
      <c r="G498" vm="5921">
        <f ca="1"/>
        <v>138.71</v>
      </c>
      <c r="H498" vm="5922">
        <f ca="1"/>
        <v>196.5</v>
      </c>
      <c r="I498" vm="5923">
        <f ca="1"/>
        <v>45.715000000000003</v>
      </c>
      <c r="J498" vm="5924">
        <f ca="1"/>
        <v>43.04</v>
      </c>
      <c r="K498" vm="5925">
        <f ca="1"/>
        <v>3.6903000000000001</v>
      </c>
      <c r="L498" vm="5926">
        <f ca="1"/>
        <v>92.45</v>
      </c>
      <c r="M498" vm="5927">
        <f ca="1"/>
        <v>269.18</v>
      </c>
      <c r="N498" vm="5928">
        <f ca="1"/>
        <v>2633.08</v>
      </c>
    </row>
    <row r="499" spans="2:14" x14ac:dyDescent="0.35">
      <c r="B499" vm="5929">
        <f ca="1"/>
        <v>43444</v>
      </c>
      <c r="C499" vm="5930">
        <f ca="1"/>
        <v>52.658999999999999</v>
      </c>
      <c r="D499" vm="5931">
        <f ca="1"/>
        <v>82.051500000000004</v>
      </c>
      <c r="E499" vm="5932">
        <f ca="1"/>
        <v>48.3</v>
      </c>
      <c r="F499" vm="5933">
        <f ca="1"/>
        <v>387.08</v>
      </c>
      <c r="G499" vm="5934">
        <f ca="1"/>
        <v>137.94999999999999</v>
      </c>
      <c r="H499" vm="2424">
        <f ca="1"/>
        <v>198.06</v>
      </c>
      <c r="I499" vm="5935">
        <f ca="1"/>
        <v>45.652500000000003</v>
      </c>
      <c r="J499" vm="5936">
        <f ca="1"/>
        <v>41.97</v>
      </c>
      <c r="K499" vm="5937">
        <f ca="1"/>
        <v>3.7965</v>
      </c>
      <c r="L499" vm="5938">
        <f ca="1"/>
        <v>93.03</v>
      </c>
      <c r="M499" vm="5939">
        <f ca="1"/>
        <v>266.52999999999997</v>
      </c>
      <c r="N499" vm="5940">
        <f ca="1"/>
        <v>2637.72</v>
      </c>
    </row>
    <row r="500" spans="2:14" x14ac:dyDescent="0.35">
      <c r="B500" vm="5941">
        <f ca="1"/>
        <v>43445</v>
      </c>
      <c r="C500" vm="5942">
        <f ca="1"/>
        <v>53.082500000000003</v>
      </c>
      <c r="D500" vm="5943">
        <f ca="1"/>
        <v>82.162000000000006</v>
      </c>
      <c r="E500" vm="5944">
        <f ca="1"/>
        <v>47.83</v>
      </c>
      <c r="F500" vm="5945">
        <f ca="1"/>
        <v>389.8</v>
      </c>
      <c r="G500" vm="5946">
        <f ca="1"/>
        <v>136.81</v>
      </c>
      <c r="H500" vm="5947">
        <f ca="1"/>
        <v>197.74</v>
      </c>
      <c r="I500" vm="5948">
        <f ca="1"/>
        <v>45.744999999999997</v>
      </c>
      <c r="J500" vm="5949">
        <f ca="1"/>
        <v>41.24</v>
      </c>
      <c r="K500" vm="5950">
        <f ca="1"/>
        <v>3.7048000000000001</v>
      </c>
      <c r="L500" vm="5951">
        <f ca="1"/>
        <v>93.91</v>
      </c>
      <c r="M500" vm="5952">
        <f ca="1"/>
        <v>267.22000000000003</v>
      </c>
      <c r="N500" vm="5953">
        <f ca="1"/>
        <v>2636.78</v>
      </c>
    </row>
    <row r="501" spans="2:14" x14ac:dyDescent="0.35">
      <c r="B501" vm="5954">
        <f ca="1"/>
        <v>43446</v>
      </c>
      <c r="C501" vm="5955">
        <f ca="1"/>
        <v>53.686500000000002</v>
      </c>
      <c r="D501" vm="5956">
        <f ca="1"/>
        <v>83.177000000000007</v>
      </c>
      <c r="E501" vm="5957">
        <f ca="1"/>
        <v>48.19</v>
      </c>
      <c r="F501" vm="5958">
        <f ca="1"/>
        <v>387.12</v>
      </c>
      <c r="G501" vm="5959">
        <f ca="1"/>
        <v>138.29</v>
      </c>
      <c r="H501" vm="5960">
        <f ca="1"/>
        <v>200.29</v>
      </c>
      <c r="I501" vm="5961">
        <f ca="1"/>
        <v>45.327500000000001</v>
      </c>
      <c r="J501" vm="5962">
        <f ca="1"/>
        <v>41.44</v>
      </c>
      <c r="K501" vm="5963">
        <f ca="1"/>
        <v>3.7225000000000001</v>
      </c>
      <c r="L501" vm="5964">
        <f ca="1"/>
        <v>94.03</v>
      </c>
      <c r="M501" vm="5965">
        <f ca="1"/>
        <v>270.64</v>
      </c>
      <c r="N501" vm="5966">
        <f ca="1"/>
        <v>2651.07</v>
      </c>
    </row>
    <row r="502" spans="2:14" x14ac:dyDescent="0.35">
      <c r="B502" vm="5967">
        <f ca="1"/>
        <v>43447</v>
      </c>
      <c r="C502" vm="5968">
        <f ca="1"/>
        <v>53.677</v>
      </c>
      <c r="D502" vm="5969">
        <f ca="1"/>
        <v>82.918999999999997</v>
      </c>
      <c r="E502" vm="5970">
        <f ca="1"/>
        <v>48.53</v>
      </c>
      <c r="F502" vm="5971">
        <f ca="1"/>
        <v>389.32</v>
      </c>
      <c r="G502" vm="5972">
        <f ca="1"/>
        <v>138.82</v>
      </c>
      <c r="H502" vm="5973">
        <f ca="1"/>
        <v>198.96</v>
      </c>
      <c r="I502" vm="5974">
        <f ca="1"/>
        <v>45.55</v>
      </c>
      <c r="J502" vm="3672">
        <f ca="1"/>
        <v>41.02</v>
      </c>
      <c r="K502" vm="5975">
        <f ca="1"/>
        <v>3.7223000000000002</v>
      </c>
      <c r="L502" vm="5976">
        <f ca="1"/>
        <v>96.49</v>
      </c>
      <c r="M502" vm="5977">
        <f ca="1"/>
        <v>272.14999999999998</v>
      </c>
      <c r="N502" vm="5978">
        <f ca="1"/>
        <v>2650.54</v>
      </c>
    </row>
    <row r="503" spans="2:14" x14ac:dyDescent="0.35">
      <c r="B503" vm="5979">
        <f ca="1"/>
        <v>43448</v>
      </c>
      <c r="C503" vm="5980">
        <f ca="1"/>
        <v>52.585500000000003</v>
      </c>
      <c r="D503" vm="5981">
        <f ca="1"/>
        <v>79.595500000000001</v>
      </c>
      <c r="E503" vm="5982">
        <f ca="1"/>
        <v>48.01</v>
      </c>
      <c r="F503" vm="5983">
        <f ca="1"/>
        <v>386.9</v>
      </c>
      <c r="G503" vm="5984">
        <f ca="1"/>
        <v>136.44</v>
      </c>
      <c r="H503" vm="5985">
        <f ca="1"/>
        <v>195.33</v>
      </c>
      <c r="I503" vm="5986">
        <f ca="1"/>
        <v>45.31</v>
      </c>
      <c r="J503" vm="5987">
        <f ca="1"/>
        <v>39.1</v>
      </c>
      <c r="K503" vm="5988">
        <f ca="1"/>
        <v>3.6613000000000002</v>
      </c>
      <c r="L503" vm="5989">
        <f ca="1"/>
        <v>96.64</v>
      </c>
      <c r="M503" vm="5990">
        <f ca="1"/>
        <v>265.02</v>
      </c>
      <c r="N503" vm="5991">
        <f ca="1"/>
        <v>2599.9499999999998</v>
      </c>
    </row>
    <row r="504" spans="2:14" x14ac:dyDescent="0.35">
      <c r="B504" vm="5992">
        <f ca="1"/>
        <v>43451</v>
      </c>
      <c r="C504" vm="5993">
        <f ca="1"/>
        <v>51.282499999999999</v>
      </c>
      <c r="D504" vm="5994">
        <f ca="1"/>
        <v>76.045500000000004</v>
      </c>
      <c r="E504" vm="5995">
        <f ca="1"/>
        <v>46.65</v>
      </c>
      <c r="F504" vm="5996">
        <f ca="1"/>
        <v>369.06</v>
      </c>
      <c r="G504" vm="5997">
        <f ca="1"/>
        <v>134.38</v>
      </c>
      <c r="H504" vm="5998">
        <f ca="1"/>
        <v>190.45</v>
      </c>
      <c r="I504" vm="5999">
        <f ca="1"/>
        <v>43.912500000000001</v>
      </c>
      <c r="J504" vm="6000">
        <f ca="1"/>
        <v>39.049999999999997</v>
      </c>
      <c r="K504" vm="6001">
        <f ca="1"/>
        <v>3.5895000000000001</v>
      </c>
      <c r="L504" vm="2523">
        <f ca="1"/>
        <v>92.77</v>
      </c>
      <c r="M504" vm="6002">
        <f ca="1"/>
        <v>258.07</v>
      </c>
      <c r="N504" vm="6003">
        <f ca="1"/>
        <v>2545.94</v>
      </c>
    </row>
    <row r="505" spans="2:14" x14ac:dyDescent="0.35">
      <c r="B505" vm="6004">
        <f ca="1"/>
        <v>43452</v>
      </c>
      <c r="C505" vm="6005">
        <f ca="1"/>
        <v>52.170499999999997</v>
      </c>
      <c r="D505" vm="6006">
        <f ca="1"/>
        <v>77.573999999999998</v>
      </c>
      <c r="E505" vm="6007">
        <f ca="1"/>
        <v>46.78</v>
      </c>
      <c r="F505" vm="6008">
        <f ca="1"/>
        <v>370.97</v>
      </c>
      <c r="G505" vm="6009">
        <f ca="1"/>
        <v>135.18</v>
      </c>
      <c r="H505" vm="6010">
        <f ca="1"/>
        <v>191.61</v>
      </c>
      <c r="I505" vm="6011">
        <f ca="1"/>
        <v>44</v>
      </c>
      <c r="J505" vm="6012">
        <f ca="1"/>
        <v>37.840000000000003</v>
      </c>
      <c r="K505" vm="6013">
        <f ca="1"/>
        <v>3.6735000000000002</v>
      </c>
      <c r="L505" vm="6014">
        <f ca="1"/>
        <v>92.49</v>
      </c>
      <c r="M505" vm="6015">
        <f ca="1"/>
        <v>252.97</v>
      </c>
      <c r="N505" vm="6016">
        <f ca="1"/>
        <v>2546.16</v>
      </c>
    </row>
    <row r="506" spans="2:14" x14ac:dyDescent="0.35">
      <c r="B506" vm="6017">
        <f ca="1"/>
        <v>43453</v>
      </c>
      <c r="C506" vm="6018">
        <f ca="1"/>
        <v>51.773000000000003</v>
      </c>
      <c r="D506" vm="6019">
        <f ca="1"/>
        <v>74.754000000000005</v>
      </c>
      <c r="E506" vm="6020">
        <f ca="1"/>
        <v>45.87</v>
      </c>
      <c r="F506" vm="6021">
        <f ca="1"/>
        <v>368.44</v>
      </c>
      <c r="G506" vm="6022">
        <f ca="1"/>
        <v>133.26</v>
      </c>
      <c r="H506" vm="6023">
        <f ca="1"/>
        <v>187.12</v>
      </c>
      <c r="I506" vm="6024">
        <f ca="1"/>
        <v>43.63</v>
      </c>
      <c r="J506" vm="6025">
        <f ca="1"/>
        <v>37.79</v>
      </c>
      <c r="K506" vm="6026">
        <f ca="1"/>
        <v>3.4628000000000001</v>
      </c>
      <c r="L506" vm="6027">
        <f ca="1"/>
        <v>91.76</v>
      </c>
      <c r="M506" vm="6028">
        <f ca="1"/>
        <v>250.31</v>
      </c>
      <c r="N506" vm="6029">
        <f ca="1"/>
        <v>2506.96</v>
      </c>
    </row>
    <row r="507" spans="2:14" x14ac:dyDescent="0.35">
      <c r="B507" vm="6030">
        <f ca="1"/>
        <v>43454</v>
      </c>
      <c r="C507" vm="6031">
        <f ca="1"/>
        <v>51.179000000000002</v>
      </c>
      <c r="D507" vm="6032">
        <f ca="1"/>
        <v>73.041499999999999</v>
      </c>
      <c r="E507" vm="5221">
        <f ca="1"/>
        <v>44.14</v>
      </c>
      <c r="F507" vm="6033">
        <f ca="1"/>
        <v>358.21</v>
      </c>
      <c r="G507" vm="6034">
        <f ca="1"/>
        <v>130.66999999999999</v>
      </c>
      <c r="H507" vm="6035">
        <f ca="1"/>
        <v>182.71</v>
      </c>
      <c r="I507" vm="6036">
        <f ca="1"/>
        <v>43.727499999999999</v>
      </c>
      <c r="J507" vm="832">
        <f ca="1"/>
        <v>36.200000000000003</v>
      </c>
      <c r="K507" vm="6037">
        <f ca="1"/>
        <v>3.3774999999999999</v>
      </c>
      <c r="L507" vm="2364">
        <f ca="1"/>
        <v>90.98</v>
      </c>
      <c r="M507" vm="6038">
        <f ca="1"/>
        <v>242.44</v>
      </c>
      <c r="N507" vm="6039">
        <f ca="1"/>
        <v>2467.42</v>
      </c>
    </row>
    <row r="508" spans="2:14" x14ac:dyDescent="0.35">
      <c r="B508" vm="6040">
        <f ca="1"/>
        <v>43455</v>
      </c>
      <c r="C508" vm="6041">
        <f ca="1"/>
        <v>49.5625</v>
      </c>
      <c r="D508" vm="6042">
        <f ca="1"/>
        <v>68.872500000000002</v>
      </c>
      <c r="E508" vm="6043">
        <f ca="1"/>
        <v>43.62</v>
      </c>
      <c r="F508" vm="6044">
        <f ca="1"/>
        <v>350.31</v>
      </c>
      <c r="G508" vm="6045">
        <f ca="1"/>
        <v>129.44</v>
      </c>
      <c r="H508" vm="6046">
        <f ca="1"/>
        <v>175.19</v>
      </c>
      <c r="I508" vm="6047">
        <f ca="1"/>
        <v>43.527500000000003</v>
      </c>
      <c r="J508" vm="6048">
        <f ca="1"/>
        <v>35.700000000000003</v>
      </c>
      <c r="K508" vm="6049">
        <f ca="1"/>
        <v>3.2393000000000001</v>
      </c>
      <c r="L508" vm="6050">
        <f ca="1"/>
        <v>90.97</v>
      </c>
      <c r="M508" vm="6051">
        <f ca="1"/>
        <v>238.34</v>
      </c>
      <c r="N508" vm="6052">
        <f ca="1"/>
        <v>2416.62</v>
      </c>
    </row>
    <row r="509" spans="2:14" x14ac:dyDescent="0.35">
      <c r="B509" vm="6053">
        <f ca="1"/>
        <v>43458</v>
      </c>
      <c r="C509" vm="6054">
        <f ca="1"/>
        <v>49.233499999999999</v>
      </c>
      <c r="D509" vm="6055">
        <f ca="1"/>
        <v>67.197999999999993</v>
      </c>
      <c r="E509" vm="2477">
        <f ca="1"/>
        <v>42.35</v>
      </c>
      <c r="F509" vm="6056">
        <f ca="1"/>
        <v>339.02</v>
      </c>
      <c r="G509" vm="6057">
        <f ca="1"/>
        <v>124.83</v>
      </c>
      <c r="H509" vm="6058">
        <f ca="1"/>
        <v>174.65</v>
      </c>
      <c r="I509" vm="1620">
        <f ca="1"/>
        <v>42.02</v>
      </c>
      <c r="J509" vm="6059">
        <f ca="1"/>
        <v>35.19</v>
      </c>
      <c r="K509" vm="6060">
        <f ca="1"/>
        <v>3.177</v>
      </c>
      <c r="L509" vm="6061">
        <f ca="1"/>
        <v>87.36</v>
      </c>
      <c r="M509" vm="6062">
        <f ca="1"/>
        <v>232.94</v>
      </c>
      <c r="N509" vm="6063">
        <f ca="1"/>
        <v>2351.1</v>
      </c>
    </row>
    <row r="510" spans="2:14" x14ac:dyDescent="0.35">
      <c r="B510" vm="6064">
        <f ca="1"/>
        <v>43460</v>
      </c>
      <c r="C510" vm="6065">
        <f ca="1"/>
        <v>52.392499999999998</v>
      </c>
      <c r="D510" vm="6066">
        <f ca="1"/>
        <v>73.545000000000002</v>
      </c>
      <c r="E510" vm="5690">
        <f ca="1"/>
        <v>43.49</v>
      </c>
      <c r="F510" vm="6067">
        <f ca="1"/>
        <v>349.27</v>
      </c>
      <c r="G510" vm="6068">
        <f ca="1"/>
        <v>129.57</v>
      </c>
      <c r="H510" vm="6069">
        <f ca="1"/>
        <v>186.43</v>
      </c>
      <c r="I510" vm="6070">
        <f ca="1"/>
        <v>42.585000000000001</v>
      </c>
      <c r="J510" vm="6071">
        <f ca="1"/>
        <v>36.61</v>
      </c>
      <c r="K510" vm="6072">
        <f ca="1"/>
        <v>3.3275000000000001</v>
      </c>
      <c r="L510" vm="6073">
        <f ca="1"/>
        <v>90.09</v>
      </c>
      <c r="M510" vm="3286">
        <f ca="1"/>
        <v>243.35</v>
      </c>
      <c r="N510" vm="6074">
        <f ca="1"/>
        <v>2467.6999999999998</v>
      </c>
    </row>
    <row r="511" spans="2:14" x14ac:dyDescent="0.35">
      <c r="B511" vm="6075">
        <f ca="1"/>
        <v>43461</v>
      </c>
      <c r="C511" vm="6076">
        <f ca="1"/>
        <v>52.645000000000003</v>
      </c>
      <c r="D511" vm="6077">
        <f ca="1"/>
        <v>73.081999999999994</v>
      </c>
      <c r="E511" vm="5365">
        <f ca="1"/>
        <v>44.45</v>
      </c>
      <c r="F511" vm="6078">
        <f ca="1"/>
        <v>346.39</v>
      </c>
      <c r="G511" vm="6079">
        <f ca="1"/>
        <v>131.57</v>
      </c>
      <c r="H511" vm="6080">
        <f ca="1"/>
        <v>188.69</v>
      </c>
      <c r="I511" vm="5924">
        <f ca="1"/>
        <v>43.04</v>
      </c>
      <c r="J511" vm="6081">
        <f ca="1"/>
        <v>36.33</v>
      </c>
      <c r="K511" vm="6082">
        <f ca="1"/>
        <v>3.2793000000000001</v>
      </c>
      <c r="L511" vm="6083">
        <f ca="1"/>
        <v>92.02</v>
      </c>
      <c r="M511" vm="6084">
        <f ca="1"/>
        <v>245.97</v>
      </c>
      <c r="N511" vm="6085">
        <f ca="1"/>
        <v>2488.83</v>
      </c>
    </row>
    <row r="512" spans="2:14" x14ac:dyDescent="0.35">
      <c r="B512" vm="6086">
        <f ca="1"/>
        <v>43462</v>
      </c>
      <c r="C512" vm="6087">
        <f ca="1"/>
        <v>52.334000000000003</v>
      </c>
      <c r="D512" vm="6088">
        <f ca="1"/>
        <v>73.900999999999996</v>
      </c>
      <c r="E512" vm="5618">
        <f ca="1"/>
        <v>44.8</v>
      </c>
      <c r="F512" vm="6089">
        <f ca="1"/>
        <v>352.85</v>
      </c>
      <c r="G512" vm="6090">
        <f ca="1"/>
        <v>130.76</v>
      </c>
      <c r="H512" vm="6091">
        <f ca="1"/>
        <v>186.16</v>
      </c>
      <c r="I512" vm="5173">
        <f ca="1"/>
        <v>43.18</v>
      </c>
      <c r="J512" vm="6092">
        <f ca="1"/>
        <v>36.6</v>
      </c>
      <c r="K512" vm="6093">
        <f ca="1"/>
        <v>3.3412999999999999</v>
      </c>
      <c r="L512" vm="3166">
        <f ca="1"/>
        <v>91.18</v>
      </c>
      <c r="M512" vm="6094">
        <f ca="1"/>
        <v>246.24</v>
      </c>
      <c r="N512" vm="6095">
        <f ca="1"/>
        <v>2485.7399999999998</v>
      </c>
    </row>
    <row r="513" spans="2:14" x14ac:dyDescent="0.35">
      <c r="B513" vm="6096">
        <f ca="1"/>
        <v>43465</v>
      </c>
      <c r="C513" vm="6097">
        <f ca="1"/>
        <v>52.247999999999998</v>
      </c>
      <c r="D513" vm="6098">
        <f ca="1"/>
        <v>75.098500000000001</v>
      </c>
      <c r="E513" vm="6099">
        <f ca="1"/>
        <v>45.98</v>
      </c>
      <c r="F513" vm="6100">
        <f ca="1"/>
        <v>352.56</v>
      </c>
      <c r="G513" vm="6101">
        <f ca="1"/>
        <v>132.12</v>
      </c>
      <c r="H513" vm="6102">
        <f ca="1"/>
        <v>188.65</v>
      </c>
      <c r="I513" vm="5153">
        <f ca="1"/>
        <v>43.454999999999998</v>
      </c>
      <c r="J513" vm="6103">
        <f ca="1"/>
        <v>36.08</v>
      </c>
      <c r="K513" vm="6104">
        <f ca="1"/>
        <v>3.3374999999999999</v>
      </c>
      <c r="L513" vm="1925">
        <f ca="1"/>
        <v>91.92</v>
      </c>
      <c r="M513" vm="6105">
        <f ca="1"/>
        <v>249.12</v>
      </c>
      <c r="N513" vm="6106">
        <f ca="1"/>
        <v>2506.85</v>
      </c>
    </row>
    <row r="514" spans="2:14" x14ac:dyDescent="0.35">
      <c r="B514" vm="6107">
        <f ca="1"/>
        <v>43467</v>
      </c>
      <c r="C514" vm="6108">
        <f ca="1"/>
        <v>52.734000000000002</v>
      </c>
      <c r="D514" vm="6109">
        <f ca="1"/>
        <v>76.956500000000005</v>
      </c>
      <c r="E514" vm="6110">
        <f ca="1"/>
        <v>44.67</v>
      </c>
      <c r="F514" vm="6111">
        <f ca="1"/>
        <v>350</v>
      </c>
      <c r="G514" vm="6112">
        <f ca="1"/>
        <v>131.83000000000001</v>
      </c>
      <c r="H514" vm="6113">
        <f ca="1"/>
        <v>189.74</v>
      </c>
      <c r="I514" vm="6114">
        <f ca="1"/>
        <v>42.457500000000003</v>
      </c>
      <c r="J514" vm="6115">
        <f ca="1"/>
        <v>37.200000000000003</v>
      </c>
      <c r="K514" vm="6116">
        <f ca="1"/>
        <v>3.4055</v>
      </c>
      <c r="L514" vm="6117">
        <f ca="1"/>
        <v>91.28</v>
      </c>
      <c r="M514" vm="6118">
        <f ca="1"/>
        <v>243.49</v>
      </c>
      <c r="N514" vm="6119">
        <f ca="1"/>
        <v>2510.0300000000002</v>
      </c>
    </row>
    <row r="515" spans="2:14" x14ac:dyDescent="0.35">
      <c r="B515" vm="6120">
        <f ca="1"/>
        <v>43468</v>
      </c>
      <c r="C515" vm="6121">
        <f ca="1"/>
        <v>51.273499999999999</v>
      </c>
      <c r="D515" vm="6122">
        <f ca="1"/>
        <v>75.013999999999996</v>
      </c>
      <c r="E515" vm="6123">
        <f ca="1"/>
        <v>44.26</v>
      </c>
      <c r="F515" vm="6124">
        <f ca="1"/>
        <v>345.94</v>
      </c>
      <c r="G515" vm="6125">
        <f ca="1"/>
        <v>130.07</v>
      </c>
      <c r="H515" vm="6126">
        <f ca="1"/>
        <v>181.18</v>
      </c>
      <c r="I515" vm="6127">
        <f ca="1"/>
        <v>42.352499999999999</v>
      </c>
      <c r="J515" vm="3088">
        <f ca="1"/>
        <v>37.6</v>
      </c>
      <c r="K515" vm="6128">
        <f ca="1"/>
        <v>3.1998000000000002</v>
      </c>
      <c r="L515" vm="6129">
        <f ca="1"/>
        <v>90.64</v>
      </c>
      <c r="M515" vm="4112">
        <f ca="1"/>
        <v>236.85</v>
      </c>
      <c r="N515" vm="6130">
        <f ca="1"/>
        <v>2447.89</v>
      </c>
    </row>
    <row r="516" spans="2:14" x14ac:dyDescent="0.35">
      <c r="B516" vm="6131">
        <f ca="1"/>
        <v>43469</v>
      </c>
      <c r="C516" vm="6132">
        <f ca="1"/>
        <v>53.903500000000001</v>
      </c>
      <c r="D516" vm="6133">
        <f ca="1"/>
        <v>78.769499999999994</v>
      </c>
      <c r="E516" vm="6134">
        <f ca="1"/>
        <v>45.59</v>
      </c>
      <c r="F516" vm="6135">
        <f ca="1"/>
        <v>353.79</v>
      </c>
      <c r="G516" vm="6136">
        <f ca="1"/>
        <v>134.62</v>
      </c>
      <c r="H516" vm="6137">
        <f ca="1"/>
        <v>189.76</v>
      </c>
      <c r="I516" vm="6138">
        <f ca="1"/>
        <v>43.1325</v>
      </c>
      <c r="J516" vm="6139">
        <f ca="1"/>
        <v>39.090000000000003</v>
      </c>
      <c r="K516" vm="6140">
        <f ca="1"/>
        <v>3.4047999999999998</v>
      </c>
      <c r="L516" vm="6014">
        <f ca="1"/>
        <v>92.49</v>
      </c>
      <c r="M516" vm="6141">
        <f ca="1"/>
        <v>239.62</v>
      </c>
      <c r="N516" vm="6142">
        <f ca="1"/>
        <v>2531.94</v>
      </c>
    </row>
    <row r="517" spans="2:14" x14ac:dyDescent="0.35">
      <c r="B517" vm="6143">
        <f ca="1"/>
        <v>43472</v>
      </c>
      <c r="C517" vm="6144">
        <f ca="1"/>
        <v>53.795999999999999</v>
      </c>
      <c r="D517" vm="6145">
        <f ca="1"/>
        <v>81.475499999999997</v>
      </c>
      <c r="E517" vm="6146">
        <f ca="1"/>
        <v>46.44</v>
      </c>
      <c r="F517" vm="6147">
        <f ca="1"/>
        <v>354.5</v>
      </c>
      <c r="G517" vm="6148">
        <f ca="1"/>
        <v>135.37</v>
      </c>
      <c r="H517" vm="6149">
        <f ca="1"/>
        <v>191.22</v>
      </c>
      <c r="I517" vm="6150">
        <f ca="1"/>
        <v>43.07</v>
      </c>
      <c r="J517" vm="6151">
        <f ca="1"/>
        <v>40.17</v>
      </c>
      <c r="K517" vm="6152">
        <f ca="1"/>
        <v>3.585</v>
      </c>
      <c r="L517" vm="2387">
        <f ca="1"/>
        <v>92.12</v>
      </c>
      <c r="M517" vm="6153">
        <f ca="1"/>
        <v>240.08</v>
      </c>
      <c r="N517" vm="6154">
        <f ca="1"/>
        <v>2549.69</v>
      </c>
    </row>
    <row r="518" spans="2:14" x14ac:dyDescent="0.35">
      <c r="B518" vm="6155">
        <f ca="1"/>
        <v>43473</v>
      </c>
      <c r="C518" vm="6156">
        <f ca="1"/>
        <v>54.268500000000003</v>
      </c>
      <c r="D518" vm="6157">
        <f ca="1"/>
        <v>82.828999999999994</v>
      </c>
      <c r="E518" vm="6158">
        <f ca="1"/>
        <v>46.91</v>
      </c>
      <c r="F518" vm="6159">
        <f ca="1"/>
        <v>361.86</v>
      </c>
      <c r="G518" vm="6160">
        <f ca="1"/>
        <v>135.09</v>
      </c>
      <c r="H518" vm="6161">
        <f ca="1"/>
        <v>192.28</v>
      </c>
      <c r="I518" vm="5678">
        <f ca="1"/>
        <v>43.384999999999998</v>
      </c>
      <c r="J518" vm="4025">
        <f ca="1"/>
        <v>40.67</v>
      </c>
      <c r="K518" vm="6162">
        <f ca="1"/>
        <v>3.4958</v>
      </c>
      <c r="L518" vm="6163">
        <f ca="1"/>
        <v>92.46</v>
      </c>
      <c r="M518" vm="6164">
        <f ca="1"/>
        <v>243.29</v>
      </c>
      <c r="N518" vm="6165">
        <f ca="1"/>
        <v>2574.41</v>
      </c>
    </row>
    <row r="519" spans="2:14" x14ac:dyDescent="0.35">
      <c r="B519" vm="6166">
        <f ca="1"/>
        <v>43474</v>
      </c>
      <c r="C519" vm="6167">
        <f ca="1"/>
        <v>54.082500000000003</v>
      </c>
      <c r="D519" vm="6168">
        <f ca="1"/>
        <v>82.971000000000004</v>
      </c>
      <c r="E519" vm="6169">
        <f ca="1"/>
        <v>47.09</v>
      </c>
      <c r="F519" vm="6170">
        <f ca="1"/>
        <v>357.32</v>
      </c>
      <c r="G519" vm="6171">
        <f ca="1"/>
        <v>135.72</v>
      </c>
      <c r="H519" vm="6172">
        <f ca="1"/>
        <v>195.77</v>
      </c>
      <c r="I519" vm="6173">
        <f ca="1"/>
        <v>43.197499999999998</v>
      </c>
      <c r="J519" vm="5949">
        <f ca="1"/>
        <v>41.24</v>
      </c>
      <c r="K519" vm="6174">
        <f ca="1"/>
        <v>3.5644999999999998</v>
      </c>
      <c r="L519" vm="6175">
        <f ca="1"/>
        <v>90.95</v>
      </c>
      <c r="M519" vm="6176">
        <f ca="1"/>
        <v>243.64</v>
      </c>
      <c r="N519" vm="6177">
        <f ca="1"/>
        <v>2584.96</v>
      </c>
    </row>
    <row r="520" spans="2:14" x14ac:dyDescent="0.35">
      <c r="B520" vm="6178">
        <f ca="1"/>
        <v>43475</v>
      </c>
      <c r="C520" vm="6179">
        <f ca="1"/>
        <v>53.941499999999998</v>
      </c>
      <c r="D520" vm="6180">
        <f ca="1"/>
        <v>82.811000000000007</v>
      </c>
      <c r="E520" vm="6181">
        <f ca="1"/>
        <v>47.65</v>
      </c>
      <c r="F520" vm="6182">
        <f ca="1"/>
        <v>370.68</v>
      </c>
      <c r="G520" vm="6183">
        <f ca="1"/>
        <v>137.75</v>
      </c>
      <c r="H520" vm="6184">
        <f ca="1"/>
        <v>196.95</v>
      </c>
      <c r="I520" vm="6185">
        <f ca="1"/>
        <v>43.847499999999997</v>
      </c>
      <c r="J520" vm="3696">
        <f ca="1"/>
        <v>41.65</v>
      </c>
      <c r="K520" vm="6186">
        <f ca="1"/>
        <v>3.6307999999999998</v>
      </c>
      <c r="L520" vm="6187">
        <f ca="1"/>
        <v>91.17</v>
      </c>
      <c r="M520" vm="6188">
        <f ca="1"/>
        <v>244.87</v>
      </c>
      <c r="N520" vm="6189">
        <f ca="1"/>
        <v>2596.64</v>
      </c>
    </row>
    <row r="521" spans="2:14" x14ac:dyDescent="0.35">
      <c r="B521" vm="6190">
        <f ca="1"/>
        <v>43476</v>
      </c>
      <c r="C521" vm="6191">
        <f ca="1"/>
        <v>53.223500000000001</v>
      </c>
      <c r="D521" vm="6192">
        <f ca="1"/>
        <v>82.028000000000006</v>
      </c>
      <c r="E521" vm="6193">
        <f ca="1"/>
        <v>48.12</v>
      </c>
      <c r="F521" vm="6194">
        <f ca="1"/>
        <v>371.43</v>
      </c>
      <c r="G521" vm="6195">
        <f ca="1"/>
        <v>137.36000000000001</v>
      </c>
      <c r="H521" vm="6196">
        <f ca="1"/>
        <v>195.9</v>
      </c>
      <c r="I521" vm="6197">
        <f ca="1"/>
        <v>43.927500000000002</v>
      </c>
      <c r="J521" vm="4902">
        <f ca="1"/>
        <v>41.74</v>
      </c>
      <c r="K521" vm="6198">
        <f ca="1"/>
        <v>3.7208000000000001</v>
      </c>
      <c r="L521" vm="2374">
        <f ca="1"/>
        <v>91.77</v>
      </c>
      <c r="M521" vm="6199">
        <f ca="1"/>
        <v>247.67</v>
      </c>
      <c r="N521" vm="6200">
        <f ca="1"/>
        <v>2596.2600000000002</v>
      </c>
    </row>
    <row r="522" spans="2:14" x14ac:dyDescent="0.35">
      <c r="B522" vm="6201">
        <f ca="1"/>
        <v>43479</v>
      </c>
      <c r="C522" vm="6202">
        <f ca="1"/>
        <v>52.575499999999998</v>
      </c>
      <c r="D522" vm="6203">
        <f ca="1"/>
        <v>80.860500000000002</v>
      </c>
      <c r="E522" vm="6204">
        <f ca="1"/>
        <v>48.47</v>
      </c>
      <c r="F522" vm="6205">
        <f ca="1"/>
        <v>376.58</v>
      </c>
      <c r="G522" vm="6206">
        <f ca="1"/>
        <v>137.61000000000001</v>
      </c>
      <c r="H522" vm="6207">
        <f ca="1"/>
        <v>195.43</v>
      </c>
      <c r="I522" vm="6208">
        <f ca="1"/>
        <v>42.807499999999997</v>
      </c>
      <c r="J522" vm="6209">
        <f ca="1"/>
        <v>41.32</v>
      </c>
      <c r="K522" vm="6210">
        <f ca="1"/>
        <v>3.7610000000000001</v>
      </c>
      <c r="L522" vm="6211">
        <f ca="1"/>
        <v>91.15</v>
      </c>
      <c r="M522" vm="6212">
        <f ca="1"/>
        <v>248.06</v>
      </c>
      <c r="N522" vm="6213">
        <f ca="1"/>
        <v>2582.61</v>
      </c>
    </row>
    <row r="523" spans="2:14" x14ac:dyDescent="0.35">
      <c r="B523" vm="6214">
        <f ca="1"/>
        <v>43480</v>
      </c>
      <c r="C523" vm="6215">
        <f ca="1"/>
        <v>54.325499999999998</v>
      </c>
      <c r="D523" vm="6216">
        <f ca="1"/>
        <v>83.727999999999994</v>
      </c>
      <c r="E523" vm="6217">
        <f ca="1"/>
        <v>49.3</v>
      </c>
      <c r="F523" vm="6218">
        <f ca="1"/>
        <v>382.98</v>
      </c>
      <c r="G523" vm="6219">
        <f ca="1"/>
        <v>137.77000000000001</v>
      </c>
      <c r="H523" vm="4609">
        <f ca="1"/>
        <v>196.52</v>
      </c>
      <c r="I523" vm="6220">
        <f ca="1"/>
        <v>43.68</v>
      </c>
      <c r="J523" vm="1682">
        <f ca="1"/>
        <v>41.72</v>
      </c>
      <c r="K523" vm="6221">
        <f ca="1"/>
        <v>3.7467999999999999</v>
      </c>
      <c r="L523" vm="6222">
        <f ca="1"/>
        <v>92.01</v>
      </c>
      <c r="M523" vm="6223">
        <f ca="1"/>
        <v>256.87</v>
      </c>
      <c r="N523" vm="6224">
        <f ca="1"/>
        <v>2610.3000000000002</v>
      </c>
    </row>
    <row r="524" spans="2:14" x14ac:dyDescent="0.35">
      <c r="B524" vm="6225">
        <f ca="1"/>
        <v>43481</v>
      </c>
      <c r="C524" vm="6226">
        <f ca="1"/>
        <v>54.475499999999997</v>
      </c>
      <c r="D524" vm="6227">
        <f ca="1"/>
        <v>84.188999999999993</v>
      </c>
      <c r="E524" vm="6228">
        <f ca="1"/>
        <v>48.44</v>
      </c>
      <c r="F524" vm="6229">
        <f ca="1"/>
        <v>381.11</v>
      </c>
      <c r="G524" vm="6230">
        <f ca="1"/>
        <v>138.02000000000001</v>
      </c>
      <c r="H524" vm="6231">
        <f ca="1"/>
        <v>197.77</v>
      </c>
      <c r="I524" vm="6232">
        <f ca="1"/>
        <v>43.67</v>
      </c>
      <c r="J524" vm="3999">
        <f ca="1"/>
        <v>41.25</v>
      </c>
      <c r="K524" vm="6233">
        <f ca="1"/>
        <v>3.7210000000000001</v>
      </c>
      <c r="L524" vm="6234">
        <f ca="1"/>
        <v>91.37</v>
      </c>
      <c r="M524" vm="6235">
        <f ca="1"/>
        <v>261.45999999999998</v>
      </c>
      <c r="N524" vm="6236">
        <f ca="1"/>
        <v>2616.1</v>
      </c>
    </row>
    <row r="525" spans="2:14" x14ac:dyDescent="0.35">
      <c r="B525" vm="6237">
        <f ca="1"/>
        <v>43482</v>
      </c>
      <c r="C525" vm="6238">
        <f ca="1"/>
        <v>54.956000000000003</v>
      </c>
      <c r="D525" vm="6239">
        <f ca="1"/>
        <v>84.661000000000001</v>
      </c>
      <c r="E525" vm="6240">
        <f ca="1"/>
        <v>49.5</v>
      </c>
      <c r="F525" vm="6241">
        <f ca="1"/>
        <v>381.83</v>
      </c>
      <c r="G525" vm="6242">
        <f ca="1"/>
        <v>139.88</v>
      </c>
      <c r="H525" vm="2148">
        <f ca="1"/>
        <v>199.31</v>
      </c>
      <c r="I525" vm="6243">
        <f ca="1"/>
        <v>43.872500000000002</v>
      </c>
      <c r="J525" vm="6244">
        <f ca="1"/>
        <v>41.37</v>
      </c>
      <c r="K525" vm="1435">
        <f ca="1"/>
        <v>3.7930000000000001</v>
      </c>
      <c r="L525" vm="6129">
        <f ca="1"/>
        <v>90.64</v>
      </c>
      <c r="M525" vm="6245">
        <f ca="1"/>
        <v>259.77</v>
      </c>
      <c r="N525" vm="6246">
        <f ca="1"/>
        <v>2635.96</v>
      </c>
    </row>
    <row r="526" spans="2:14" x14ac:dyDescent="0.35">
      <c r="B526" vm="6247">
        <f ca="1"/>
        <v>43483</v>
      </c>
      <c r="C526" vm="6248">
        <f ca="1"/>
        <v>55.365000000000002</v>
      </c>
      <c r="D526" vm="6249">
        <f ca="1"/>
        <v>84.81</v>
      </c>
      <c r="E526" vm="6250">
        <f ca="1"/>
        <v>50.26</v>
      </c>
      <c r="F526" vm="6251">
        <f ca="1"/>
        <v>374.67</v>
      </c>
      <c r="G526" vm="6252">
        <f ca="1"/>
        <v>141.85</v>
      </c>
      <c r="H526" vm="6253">
        <f ca="1"/>
        <v>202</v>
      </c>
      <c r="I526" vm="6254">
        <f ca="1"/>
        <v>44.022500000000001</v>
      </c>
      <c r="J526" vm="6255">
        <f ca="1"/>
        <v>44.73</v>
      </c>
      <c r="K526" vm="6256">
        <f ca="1"/>
        <v>3.9232999999999998</v>
      </c>
      <c r="L526" vm="6257">
        <f ca="1"/>
        <v>91.42</v>
      </c>
      <c r="M526" vm="6258">
        <f ca="1"/>
        <v>265.5</v>
      </c>
      <c r="N526" vm="6259">
        <f ca="1"/>
        <v>2670.71</v>
      </c>
    </row>
    <row r="527" spans="2:14" x14ac:dyDescent="0.35">
      <c r="B527" vm="6260">
        <f ca="1"/>
        <v>43487</v>
      </c>
      <c r="C527" vm="6261">
        <f ca="1"/>
        <v>53.9315</v>
      </c>
      <c r="D527" vm="6262">
        <f ca="1"/>
        <v>81.608500000000006</v>
      </c>
      <c r="E527" vm="6263">
        <f ca="1"/>
        <v>50.72</v>
      </c>
      <c r="F527" vm="6264">
        <f ca="1"/>
        <v>371.01</v>
      </c>
      <c r="G527" vm="6265">
        <f ca="1"/>
        <v>139.82</v>
      </c>
      <c r="H527" vm="6266">
        <f ca="1"/>
        <v>199.46</v>
      </c>
      <c r="I527" vm="6267">
        <f ca="1"/>
        <v>44.344999999999999</v>
      </c>
      <c r="J527" vm="6268">
        <f ca="1"/>
        <v>43.96</v>
      </c>
      <c r="K527" vm="6269">
        <f ca="1"/>
        <v>3.7193000000000001</v>
      </c>
      <c r="L527" vm="6270">
        <f ca="1"/>
        <v>90.44</v>
      </c>
      <c r="M527" vm="6271">
        <f ca="1"/>
        <v>265.69</v>
      </c>
      <c r="N527" vm="6272">
        <f ca="1"/>
        <v>2632.9</v>
      </c>
    </row>
    <row r="528" spans="2:14" x14ac:dyDescent="0.35">
      <c r="B528" vm="6273">
        <f ca="1"/>
        <v>43488</v>
      </c>
      <c r="C528" vm="6274">
        <f ca="1"/>
        <v>54.220500000000001</v>
      </c>
      <c r="D528" vm="6275">
        <f ca="1"/>
        <v>82.001000000000005</v>
      </c>
      <c r="E528" vm="6276">
        <f ca="1"/>
        <v>50.78</v>
      </c>
      <c r="F528" vm="6277">
        <f ca="1"/>
        <v>365.26</v>
      </c>
      <c r="G528" vm="6278">
        <f ca="1"/>
        <v>140.74</v>
      </c>
      <c r="H528" vm="6279">
        <f ca="1"/>
        <v>198.35</v>
      </c>
      <c r="I528" vm="6280">
        <f ca="1"/>
        <v>44.844999999999999</v>
      </c>
      <c r="J528" vm="6281">
        <f ca="1"/>
        <v>43.31</v>
      </c>
      <c r="K528" vm="6282">
        <f ca="1"/>
        <v>3.7323</v>
      </c>
      <c r="L528" vm="6283">
        <f ca="1"/>
        <v>94.84</v>
      </c>
      <c r="M528" vm="6284">
        <f ca="1"/>
        <v>267.02</v>
      </c>
      <c r="N528" vm="6285">
        <f ca="1"/>
        <v>2638.7</v>
      </c>
    </row>
    <row r="529" spans="2:14" x14ac:dyDescent="0.35">
      <c r="B529" vm="6286">
        <f ca="1"/>
        <v>43489</v>
      </c>
      <c r="C529" vm="6287">
        <f ca="1"/>
        <v>54.2</v>
      </c>
      <c r="D529" vm="6288">
        <f ca="1"/>
        <v>82.746499999999997</v>
      </c>
      <c r="E529" vm="6289">
        <f ca="1"/>
        <v>50.86</v>
      </c>
      <c r="F529" vm="6290">
        <f ca="1"/>
        <v>371.28</v>
      </c>
      <c r="G529" vm="6291">
        <f ca="1"/>
        <v>141.18</v>
      </c>
      <c r="H529" vm="6292">
        <f ca="1"/>
        <v>199.79</v>
      </c>
      <c r="I529" vm="6293">
        <f ca="1"/>
        <v>45.07</v>
      </c>
      <c r="J529" vm="6294">
        <f ca="1"/>
        <v>43.56</v>
      </c>
      <c r="K529" vm="6295">
        <f ca="1"/>
        <v>3.9460000000000002</v>
      </c>
      <c r="L529" vm="6296">
        <f ca="1"/>
        <v>94.3</v>
      </c>
      <c r="M529" vm="6297">
        <f ca="1"/>
        <v>266.13</v>
      </c>
      <c r="N529" vm="6298">
        <f ca="1"/>
        <v>2642.33</v>
      </c>
    </row>
    <row r="530" spans="2:14" x14ac:dyDescent="0.35">
      <c r="B530" vm="6299">
        <f ca="1"/>
        <v>43490</v>
      </c>
      <c r="C530" vm="6300">
        <f ca="1"/>
        <v>55.075499999999998</v>
      </c>
      <c r="D530" vm="6301">
        <f ca="1"/>
        <v>83.528499999999994</v>
      </c>
      <c r="E530" vm="6302">
        <f ca="1"/>
        <v>51.75</v>
      </c>
      <c r="F530" vm="6303">
        <f ca="1"/>
        <v>369.44</v>
      </c>
      <c r="G530" vm="6304">
        <f ca="1"/>
        <v>141.71</v>
      </c>
      <c r="H530" vm="4825">
        <f ca="1"/>
        <v>202.94</v>
      </c>
      <c r="I530" vm="6305">
        <f ca="1"/>
        <v>43.55</v>
      </c>
      <c r="J530" vm="6306">
        <f ca="1"/>
        <v>45</v>
      </c>
      <c r="K530" vm="6307">
        <f ca="1"/>
        <v>4.0038</v>
      </c>
      <c r="L530" vm="6308">
        <f ca="1"/>
        <v>93.6</v>
      </c>
      <c r="M530" vm="6309">
        <f ca="1"/>
        <v>268.05</v>
      </c>
      <c r="N530" vm="6310">
        <f ca="1"/>
        <v>2664.76</v>
      </c>
    </row>
    <row r="531" spans="2:14" x14ac:dyDescent="0.35">
      <c r="B531" vm="6311">
        <f ca="1"/>
        <v>43493</v>
      </c>
      <c r="C531" vm="6312">
        <f ca="1"/>
        <v>53.993000000000002</v>
      </c>
      <c r="D531" vm="6313">
        <f ca="1"/>
        <v>81.894499999999994</v>
      </c>
      <c r="E531" vm="6314">
        <f ca="1"/>
        <v>50.79</v>
      </c>
      <c r="F531" vm="6315">
        <f ca="1"/>
        <v>377.11</v>
      </c>
      <c r="G531" vm="6316">
        <f ca="1"/>
        <v>140.47999999999999</v>
      </c>
      <c r="H531" vm="6317">
        <f ca="1"/>
        <v>200.16</v>
      </c>
      <c r="I531" vm="6318">
        <f ca="1"/>
        <v>43.1175</v>
      </c>
      <c r="J531" vm="6319">
        <f ca="1"/>
        <v>44.24</v>
      </c>
      <c r="K531" vm="6320">
        <f ca="1"/>
        <v>3.4502999999999999</v>
      </c>
      <c r="L531" vm="6321">
        <f ca="1"/>
        <v>93.52</v>
      </c>
      <c r="M531" vm="6322">
        <f ca="1"/>
        <v>266.77</v>
      </c>
      <c r="N531" vm="6323">
        <f ca="1"/>
        <v>2643.85</v>
      </c>
    </row>
    <row r="532" spans="2:14" x14ac:dyDescent="0.35">
      <c r="B532" vm="6324">
        <f ca="1"/>
        <v>43494</v>
      </c>
      <c r="C532" vm="6325">
        <f ca="1"/>
        <v>53.503</v>
      </c>
      <c r="D532" vm="6326">
        <f ca="1"/>
        <v>79.694000000000003</v>
      </c>
      <c r="E532" vm="6327">
        <f ca="1"/>
        <v>51.32</v>
      </c>
      <c r="F532" vm="6328">
        <f ca="1"/>
        <v>379.29</v>
      </c>
      <c r="G532" vm="6329">
        <f ca="1"/>
        <v>141.74</v>
      </c>
      <c r="H532" vm="6330">
        <f ca="1"/>
        <v>199.24</v>
      </c>
      <c r="I532" vm="6331">
        <f ca="1"/>
        <v>43.215000000000003</v>
      </c>
      <c r="J532" vm="6011">
        <f ca="1"/>
        <v>44</v>
      </c>
      <c r="K532" vm="6332">
        <f ca="1"/>
        <v>3.29</v>
      </c>
      <c r="L532" vm="6333">
        <f ca="1"/>
        <v>93.54</v>
      </c>
      <c r="M532" vm="6334">
        <f ca="1"/>
        <v>267.33999999999997</v>
      </c>
      <c r="N532" vm="6335">
        <f ca="1"/>
        <v>2640</v>
      </c>
    </row>
    <row r="533" spans="2:14" x14ac:dyDescent="0.35">
      <c r="B533" vm="6336">
        <f ca="1"/>
        <v>43495</v>
      </c>
      <c r="C533" vm="6337">
        <f ca="1"/>
        <v>54.899500000000003</v>
      </c>
      <c r="D533" vm="6338">
        <f ca="1"/>
        <v>83.521500000000003</v>
      </c>
      <c r="E533" vm="6339">
        <f ca="1"/>
        <v>51.18</v>
      </c>
      <c r="F533" vm="6340">
        <f ca="1"/>
        <v>383.01</v>
      </c>
      <c r="G533" vm="6341">
        <f ca="1"/>
        <v>143.28</v>
      </c>
      <c r="H533" vm="6342">
        <f ca="1"/>
        <v>204.02</v>
      </c>
      <c r="I533" vm="6343">
        <f ca="1"/>
        <v>43.397500000000001</v>
      </c>
      <c r="J533" vm="6306">
        <f ca="1"/>
        <v>45</v>
      </c>
      <c r="K533" vm="6344">
        <f ca="1"/>
        <v>3.4348000000000001</v>
      </c>
      <c r="L533" vm="6345">
        <f ca="1"/>
        <v>94.52</v>
      </c>
      <c r="M533" vm="6346">
        <f ca="1"/>
        <v>270.37</v>
      </c>
      <c r="N533" vm="6347">
        <f ca="1"/>
        <v>2681.05</v>
      </c>
    </row>
    <row r="534" spans="2:14" x14ac:dyDescent="0.35">
      <c r="B534" vm="6348">
        <f ca="1"/>
        <v>43496</v>
      </c>
      <c r="C534" vm="6349">
        <f ca="1"/>
        <v>56.294499999999999</v>
      </c>
      <c r="D534" vm="6350">
        <f ca="1"/>
        <v>85.936499999999995</v>
      </c>
      <c r="E534" vm="6351">
        <f ca="1"/>
        <v>52.28</v>
      </c>
      <c r="F534" vm="763">
        <f ca="1"/>
        <v>394</v>
      </c>
      <c r="G534" vm="6352">
        <f ca="1"/>
        <v>143.63</v>
      </c>
      <c r="H534" vm="2782">
        <f ca="1"/>
        <v>211.13</v>
      </c>
      <c r="I534" vm="6353">
        <f ca="1"/>
        <v>44.744999999999997</v>
      </c>
      <c r="J534" vm="6354">
        <f ca="1"/>
        <v>44.21</v>
      </c>
      <c r="K534" vm="6355">
        <f ca="1"/>
        <v>3.5937999999999999</v>
      </c>
      <c r="L534" vm="6356">
        <f ca="1"/>
        <v>96.47</v>
      </c>
      <c r="M534" vm="6357">
        <f ca="1"/>
        <v>270.2</v>
      </c>
      <c r="N534" vm="6358">
        <f ca="1"/>
        <v>2704.1</v>
      </c>
    </row>
    <row r="535" spans="2:14" x14ac:dyDescent="0.35">
      <c r="B535" vm="6359">
        <f ca="1"/>
        <v>43497</v>
      </c>
      <c r="C535" vm="6360">
        <f ca="1"/>
        <v>55.930999999999997</v>
      </c>
      <c r="D535" vm="6361">
        <f ca="1"/>
        <v>81.311499999999995</v>
      </c>
      <c r="E535" vm="6362">
        <f ca="1"/>
        <v>52.03</v>
      </c>
      <c r="F535" vm="6363">
        <f ca="1"/>
        <v>396.38</v>
      </c>
      <c r="G535" vm="6364">
        <f ca="1"/>
        <v>144.71</v>
      </c>
      <c r="H535" vm="6365">
        <f ca="1"/>
        <v>213.77</v>
      </c>
      <c r="I535" vm="6366">
        <f ca="1"/>
        <v>44.454999999999998</v>
      </c>
      <c r="J535" vm="6367">
        <f ca="1"/>
        <v>44.56</v>
      </c>
      <c r="K535" vm="6368">
        <f ca="1"/>
        <v>3.6183000000000001</v>
      </c>
      <c r="L535" vm="6369">
        <f ca="1"/>
        <v>97.47</v>
      </c>
      <c r="M535" vm="6370">
        <f ca="1"/>
        <v>268.72000000000003</v>
      </c>
      <c r="N535" vm="6371">
        <f ca="1"/>
        <v>2706.53</v>
      </c>
    </row>
    <row r="536" spans="2:14" x14ac:dyDescent="0.35">
      <c r="B536" vm="6372">
        <f ca="1"/>
        <v>43500</v>
      </c>
      <c r="C536" vm="6373">
        <f ca="1"/>
        <v>57.070999999999998</v>
      </c>
      <c r="D536" vm="6374">
        <f ca="1"/>
        <v>81.665499999999994</v>
      </c>
      <c r="E536" vm="6375">
        <f ca="1"/>
        <v>51.98</v>
      </c>
      <c r="F536" vm="6376">
        <f ca="1"/>
        <v>395.29</v>
      </c>
      <c r="G536" vm="6377">
        <f ca="1"/>
        <v>147.93</v>
      </c>
      <c r="H536" vm="6378">
        <f ca="1"/>
        <v>214.91</v>
      </c>
      <c r="I536" vm="6379">
        <f ca="1"/>
        <v>44.524999999999999</v>
      </c>
      <c r="J536" vm="5478">
        <f ca="1"/>
        <v>44.6</v>
      </c>
      <c r="K536" vm="6380">
        <f ca="1"/>
        <v>3.7294999999999998</v>
      </c>
      <c r="L536" vm="6381">
        <f ca="1"/>
        <v>98.03</v>
      </c>
      <c r="M536" vm="6382">
        <f ca="1"/>
        <v>268.20999999999998</v>
      </c>
      <c r="N536" vm="6383">
        <f ca="1"/>
        <v>2724.87</v>
      </c>
    </row>
    <row r="537" spans="2:14" x14ac:dyDescent="0.35">
      <c r="B537" vm="6384">
        <f ca="1"/>
        <v>43501</v>
      </c>
      <c r="C537" vm="6385">
        <f ca="1"/>
        <v>57.593499999999999</v>
      </c>
      <c r="D537" vm="6386">
        <f ca="1"/>
        <v>82.9405</v>
      </c>
      <c r="E537" vm="6387">
        <f ca="1"/>
        <v>53</v>
      </c>
      <c r="F537" vm="6388">
        <f ca="1"/>
        <v>395.79</v>
      </c>
      <c r="G537" vm="6389">
        <f ca="1"/>
        <v>148.69</v>
      </c>
      <c r="H537" vm="6390">
        <f ca="1"/>
        <v>215.86</v>
      </c>
      <c r="I537" vm="6391">
        <f ca="1"/>
        <v>44.542499999999997</v>
      </c>
      <c r="J537" vm="6392">
        <f ca="1"/>
        <v>45.14</v>
      </c>
      <c r="K537" vm="6393">
        <f ca="1"/>
        <v>3.7488000000000001</v>
      </c>
      <c r="L537" vm="6394">
        <f ca="1"/>
        <v>97.44</v>
      </c>
      <c r="M537" vm="6395">
        <f ca="1"/>
        <v>266.31</v>
      </c>
      <c r="N537" vm="6396">
        <f ca="1"/>
        <v>2737.7</v>
      </c>
    </row>
    <row r="538" spans="2:14" x14ac:dyDescent="0.35">
      <c r="B538" vm="6397">
        <f ca="1"/>
        <v>43502</v>
      </c>
      <c r="C538" vm="6398">
        <f ca="1"/>
        <v>56.144500000000001</v>
      </c>
      <c r="D538" vm="6399">
        <f ca="1"/>
        <v>82.013000000000005</v>
      </c>
      <c r="E538" vm="6400">
        <f ca="1"/>
        <v>53.21</v>
      </c>
      <c r="F538" vm="6401">
        <f ca="1"/>
        <v>390.1</v>
      </c>
      <c r="G538" vm="6402">
        <f ca="1"/>
        <v>148.9</v>
      </c>
      <c r="H538" vm="6403">
        <f ca="1"/>
        <v>215.3</v>
      </c>
      <c r="I538" vm="6379">
        <f ca="1"/>
        <v>44.524999999999999</v>
      </c>
      <c r="J538" vm="6293">
        <f ca="1"/>
        <v>45.07</v>
      </c>
      <c r="K538" vm="6404">
        <f ca="1"/>
        <v>3.8250000000000002</v>
      </c>
      <c r="L538" vm="6405">
        <f ca="1"/>
        <v>97.92</v>
      </c>
      <c r="M538" vm="6406">
        <f ca="1"/>
        <v>269.5</v>
      </c>
      <c r="N538" vm="6407">
        <f ca="1"/>
        <v>2731.61</v>
      </c>
    </row>
    <row r="539" spans="2:14" x14ac:dyDescent="0.35">
      <c r="B539" vm="6408">
        <f ca="1"/>
        <v>43503</v>
      </c>
      <c r="C539" vm="6409">
        <f ca="1"/>
        <v>55.295499999999997</v>
      </c>
      <c r="D539" vm="6410">
        <f ca="1"/>
        <v>80.718500000000006</v>
      </c>
      <c r="E539" vm="6411">
        <f ca="1"/>
        <v>53.26</v>
      </c>
      <c r="F539" vm="6412">
        <f ca="1"/>
        <v>389.79</v>
      </c>
      <c r="G539" vm="6413">
        <f ca="1"/>
        <v>148.15</v>
      </c>
      <c r="H539" vm="6414">
        <f ca="1"/>
        <v>213.97</v>
      </c>
      <c r="I539" vm="6415">
        <f ca="1"/>
        <v>45.337499999999999</v>
      </c>
      <c r="J539" vm="6416">
        <f ca="1"/>
        <v>43.46</v>
      </c>
      <c r="K539" vm="6417">
        <f ca="1"/>
        <v>3.6855000000000002</v>
      </c>
      <c r="L539" vm="6418">
        <f ca="1"/>
        <v>97.14</v>
      </c>
      <c r="M539" vm="5099">
        <f ca="1"/>
        <v>269</v>
      </c>
      <c r="N539" vm="6419">
        <f ca="1"/>
        <v>2706.05</v>
      </c>
    </row>
    <row r="540" spans="2:14" x14ac:dyDescent="0.35">
      <c r="B540" vm="6420">
        <f ca="1"/>
        <v>43504</v>
      </c>
      <c r="C540" vm="6421">
        <f ca="1"/>
        <v>55.119</v>
      </c>
      <c r="D540" vm="6422">
        <f ca="1"/>
        <v>79.411000000000001</v>
      </c>
      <c r="E540" vm="6423">
        <f ca="1"/>
        <v>53.9</v>
      </c>
      <c r="F540" vm="6424">
        <f ca="1"/>
        <v>395.82</v>
      </c>
      <c r="G540" vm="6425">
        <f ca="1"/>
        <v>148.61000000000001</v>
      </c>
      <c r="H540" vm="6426">
        <f ca="1"/>
        <v>216.58</v>
      </c>
      <c r="I540" vm="6427">
        <f ca="1"/>
        <v>45.752499999999998</v>
      </c>
      <c r="J540" vm="6428">
        <f ca="1"/>
        <v>42.78</v>
      </c>
      <c r="K540" vm="6429">
        <f ca="1"/>
        <v>3.7042999999999999</v>
      </c>
      <c r="L540" vm="6430">
        <f ca="1"/>
        <v>97.71</v>
      </c>
      <c r="M540" vm="6431">
        <f ca="1"/>
        <v>261.89999999999998</v>
      </c>
      <c r="N540" vm="6432">
        <f ca="1"/>
        <v>2707.88</v>
      </c>
    </row>
    <row r="541" spans="2:14" x14ac:dyDescent="0.35">
      <c r="B541" vm="6433">
        <f ca="1"/>
        <v>43507</v>
      </c>
      <c r="C541" vm="6434">
        <f ca="1"/>
        <v>55.106000000000002</v>
      </c>
      <c r="D541" vm="669">
        <f ca="1"/>
        <v>79.55</v>
      </c>
      <c r="E541" vm="6435">
        <f ca="1"/>
        <v>53.85</v>
      </c>
      <c r="F541" vm="6436">
        <f ca="1"/>
        <v>400.07</v>
      </c>
      <c r="G541" vm="6437">
        <f ca="1"/>
        <v>148.47999999999999</v>
      </c>
      <c r="H541" vm="6438">
        <f ca="1"/>
        <v>217.1</v>
      </c>
      <c r="I541" vm="6427">
        <f ca="1"/>
        <v>45.752499999999998</v>
      </c>
      <c r="J541" vm="6439">
        <f ca="1"/>
        <v>43.69</v>
      </c>
      <c r="K541" vm="5988">
        <f ca="1"/>
        <v>3.6613000000000002</v>
      </c>
      <c r="L541" vm="6440">
        <f ca="1"/>
        <v>98.27</v>
      </c>
      <c r="M541" vm="6441">
        <f ca="1"/>
        <v>257.14</v>
      </c>
      <c r="N541" vm="6442">
        <f ca="1"/>
        <v>2709.8</v>
      </c>
    </row>
    <row r="542" spans="2:14" x14ac:dyDescent="0.35">
      <c r="B542" vm="6443">
        <f ca="1"/>
        <v>43508</v>
      </c>
      <c r="C542" vm="6444">
        <f ca="1"/>
        <v>56.378999999999998</v>
      </c>
      <c r="D542" vm="6445">
        <f ca="1"/>
        <v>81.900499999999994</v>
      </c>
      <c r="E542" vm="6446">
        <f ca="1"/>
        <v>54.9</v>
      </c>
      <c r="F542" vm="6447">
        <f ca="1"/>
        <v>397.48</v>
      </c>
      <c r="G542" vm="6448">
        <f ca="1"/>
        <v>150.36000000000001</v>
      </c>
      <c r="H542" vm="6449">
        <f ca="1"/>
        <v>218.91</v>
      </c>
      <c r="I542" vm="6450">
        <f ca="1"/>
        <v>45.817500000000003</v>
      </c>
      <c r="J542" vm="6451">
        <f ca="1"/>
        <v>44.06</v>
      </c>
      <c r="K542" vm="6452">
        <f ca="1"/>
        <v>3.7793000000000001</v>
      </c>
      <c r="L542" vm="6453">
        <f ca="1"/>
        <v>99.26</v>
      </c>
      <c r="M542" vm="6454">
        <f ca="1"/>
        <v>263.5</v>
      </c>
      <c r="N542" vm="6455">
        <f ca="1"/>
        <v>2744.73</v>
      </c>
    </row>
    <row r="543" spans="2:14" x14ac:dyDescent="0.35">
      <c r="B543" vm="6456">
        <f ca="1"/>
        <v>43509</v>
      </c>
      <c r="C543" vm="6457">
        <f ca="1"/>
        <v>56.4315</v>
      </c>
      <c r="D543" vm="4876">
        <f ca="1"/>
        <v>82</v>
      </c>
      <c r="E543" vm="6458">
        <f ca="1"/>
        <v>55.2</v>
      </c>
      <c r="F543" vm="6459">
        <f ca="1"/>
        <v>391.91</v>
      </c>
      <c r="G543" vm="6460">
        <f ca="1"/>
        <v>151.47999999999999</v>
      </c>
      <c r="H543" vm="6461">
        <f ca="1"/>
        <v>220.54</v>
      </c>
      <c r="I543" vm="6462">
        <f ca="1"/>
        <v>45.712499999999999</v>
      </c>
      <c r="J543" vm="6463">
        <f ca="1"/>
        <v>44.42</v>
      </c>
      <c r="K543" vm="6464">
        <f ca="1"/>
        <v>3.8220000000000001</v>
      </c>
      <c r="L543" vm="6465">
        <f ca="1"/>
        <v>99.24</v>
      </c>
      <c r="M543" vm="6466">
        <f ca="1"/>
        <v>263.8</v>
      </c>
      <c r="N543" vm="6467">
        <f ca="1"/>
        <v>2753.03</v>
      </c>
    </row>
    <row r="544" spans="2:14" x14ac:dyDescent="0.35">
      <c r="B544" vm="6468">
        <f ca="1"/>
        <v>43510</v>
      </c>
      <c r="C544" vm="6469">
        <f ca="1"/>
        <v>56.46</v>
      </c>
      <c r="D544" vm="6470">
        <f ca="1"/>
        <v>81.132499999999993</v>
      </c>
      <c r="E544" vm="6471">
        <f ca="1"/>
        <v>54.95</v>
      </c>
      <c r="F544" vm="6472">
        <f ca="1"/>
        <v>420.59</v>
      </c>
      <c r="G544" vm="6473">
        <f ca="1"/>
        <v>150.52000000000001</v>
      </c>
      <c r="H544" vm="6474">
        <f ca="1"/>
        <v>219.81</v>
      </c>
      <c r="I544" vm="5935">
        <f ca="1"/>
        <v>45.652500000000003</v>
      </c>
      <c r="J544" vm="5221">
        <f ca="1"/>
        <v>44.14</v>
      </c>
      <c r="K544" vm="6475">
        <f ca="1"/>
        <v>3.8633000000000002</v>
      </c>
      <c r="L544" vm="6476">
        <f ca="1"/>
        <v>98.46</v>
      </c>
      <c r="M544" vm="5261">
        <f ca="1"/>
        <v>265.33</v>
      </c>
      <c r="N544" vm="6477">
        <f ca="1"/>
        <v>2745.73</v>
      </c>
    </row>
    <row r="545" spans="2:14" x14ac:dyDescent="0.35">
      <c r="B545" vm="6478">
        <f ca="1"/>
        <v>43511</v>
      </c>
      <c r="C545" vm="6479">
        <f ca="1"/>
        <v>55.981499999999997</v>
      </c>
      <c r="D545" vm="6480">
        <f ca="1"/>
        <v>80.397499999999994</v>
      </c>
      <c r="E545" vm="6481">
        <f ca="1"/>
        <v>54.13</v>
      </c>
      <c r="F545" vm="6482">
        <f ca="1"/>
        <v>421.39</v>
      </c>
      <c r="G545" vm="6483">
        <f ca="1"/>
        <v>153.32</v>
      </c>
      <c r="H545" vm="6484">
        <f ca="1"/>
        <v>222.11</v>
      </c>
      <c r="I545" vm="6485">
        <f ca="1"/>
        <v>46.01</v>
      </c>
      <c r="J545" vm="6486">
        <f ca="1"/>
        <v>44.95</v>
      </c>
      <c r="K545" vm="6487">
        <f ca="1"/>
        <v>3.9335</v>
      </c>
      <c r="L545" vm="6488">
        <f ca="1"/>
        <v>98.48</v>
      </c>
      <c r="M545" vm="6489">
        <f ca="1"/>
        <v>271.13</v>
      </c>
      <c r="N545" vm="6490">
        <f ca="1"/>
        <v>2775.6</v>
      </c>
    </row>
    <row r="546" spans="2:14" x14ac:dyDescent="0.35">
      <c r="B546" vm="6491">
        <f ca="1"/>
        <v>43515</v>
      </c>
      <c r="C546" vm="6492">
        <f ca="1"/>
        <v>56.325499999999998</v>
      </c>
      <c r="D546" vm="6493">
        <f ca="1"/>
        <v>81.379000000000005</v>
      </c>
      <c r="E546" vm="6494">
        <f ca="1"/>
        <v>54.06</v>
      </c>
      <c r="F546" vm="6495">
        <f ca="1"/>
        <v>430.59</v>
      </c>
      <c r="G546" vm="6496">
        <f ca="1"/>
        <v>153.28</v>
      </c>
      <c r="H546" vm="6497">
        <f ca="1"/>
        <v>220.59</v>
      </c>
      <c r="I546" vm="6498">
        <f ca="1"/>
        <v>46.342500000000001</v>
      </c>
      <c r="J546" vm="6499">
        <f ca="1"/>
        <v>45.54</v>
      </c>
      <c r="K546" vm="6500">
        <f ca="1"/>
        <v>3.9159999999999999</v>
      </c>
      <c r="L546" vm="6501">
        <f ca="1"/>
        <v>99.99</v>
      </c>
      <c r="M546" vm="6502">
        <f ca="1"/>
        <v>270.41000000000003</v>
      </c>
      <c r="N546" vm="6503">
        <f ca="1"/>
        <v>2779.76</v>
      </c>
    </row>
    <row r="547" spans="2:14" x14ac:dyDescent="0.35">
      <c r="B547" vm="6504">
        <f ca="1"/>
        <v>43516</v>
      </c>
      <c r="C547" vm="6505">
        <f ca="1"/>
        <v>56.029499999999999</v>
      </c>
      <c r="D547" vm="6506">
        <f ca="1"/>
        <v>81.105000000000004</v>
      </c>
      <c r="E547" vm="6507">
        <f ca="1"/>
        <v>54.4</v>
      </c>
      <c r="F547" vm="6508">
        <f ca="1"/>
        <v>431.53</v>
      </c>
      <c r="G547" vm="6509">
        <f ca="1"/>
        <v>154.58000000000001</v>
      </c>
      <c r="H547" vm="6510">
        <f ca="1"/>
        <v>221.11</v>
      </c>
      <c r="I547" vm="5852">
        <f ca="1"/>
        <v>46.41</v>
      </c>
      <c r="J547" vm="5865">
        <f ca="1"/>
        <v>45.9</v>
      </c>
      <c r="K547" vm="6511">
        <f ca="1"/>
        <v>3.9638</v>
      </c>
      <c r="L547" vm="6512">
        <f ca="1"/>
        <v>99.28</v>
      </c>
      <c r="M547" vm="6513">
        <f ca="1"/>
        <v>269.51</v>
      </c>
      <c r="N547" vm="6514">
        <f ca="1"/>
        <v>2784.7</v>
      </c>
    </row>
    <row r="548" spans="2:14" x14ac:dyDescent="0.35">
      <c r="B548" vm="6515">
        <f ca="1"/>
        <v>43517</v>
      </c>
      <c r="C548" vm="6516">
        <f ca="1"/>
        <v>55.210500000000003</v>
      </c>
      <c r="D548" vm="5747">
        <f ca="1"/>
        <v>80.971999999999994</v>
      </c>
      <c r="E548" vm="6517">
        <f ca="1"/>
        <v>54.48</v>
      </c>
      <c r="F548" vm="6518">
        <f ca="1"/>
        <v>425.86</v>
      </c>
      <c r="G548" vm="6519">
        <f ca="1"/>
        <v>152.61000000000001</v>
      </c>
      <c r="H548" vm="6520">
        <f ca="1"/>
        <v>219.31</v>
      </c>
      <c r="I548" vm="6521">
        <f ca="1"/>
        <v>46.64</v>
      </c>
      <c r="J548" vm="6522">
        <f ca="1"/>
        <v>44.72</v>
      </c>
      <c r="K548" vm="6523">
        <f ca="1"/>
        <v>3.8942999999999999</v>
      </c>
      <c r="L548" vm="6524">
        <f ca="1"/>
        <v>99.78</v>
      </c>
      <c r="M548" vm="6525">
        <f ca="1"/>
        <v>266.39999999999998</v>
      </c>
      <c r="N548" vm="6526">
        <f ca="1"/>
        <v>2774.88</v>
      </c>
    </row>
    <row r="549" spans="2:14" x14ac:dyDescent="0.35">
      <c r="B549" vm="6527">
        <f ca="1"/>
        <v>43518</v>
      </c>
      <c r="C549" vm="6528">
        <f ca="1"/>
        <v>55.828000000000003</v>
      </c>
      <c r="D549" vm="6529">
        <f ca="1"/>
        <v>81.578000000000003</v>
      </c>
      <c r="E549" vm="6530">
        <f ca="1"/>
        <v>55.26</v>
      </c>
      <c r="F549" vm="6531">
        <f ca="1"/>
        <v>428.54</v>
      </c>
      <c r="G549" vm="6532">
        <f ca="1"/>
        <v>153.19999999999999</v>
      </c>
      <c r="H549" vm="6533">
        <f ca="1"/>
        <v>223.32</v>
      </c>
      <c r="I549" vm="6534">
        <f ca="1"/>
        <v>47.032499999999999</v>
      </c>
      <c r="J549" vm="6535">
        <f ca="1"/>
        <v>44.36</v>
      </c>
      <c r="K549" vm="6536">
        <f ca="1"/>
        <v>3.9798</v>
      </c>
      <c r="L549" vm="6537">
        <f ca="1"/>
        <v>100.25</v>
      </c>
      <c r="M549" vm="6538">
        <f ca="1"/>
        <v>267.11</v>
      </c>
      <c r="N549" vm="6539">
        <f ca="1"/>
        <v>2792.67</v>
      </c>
    </row>
    <row r="550" spans="2:14" x14ac:dyDescent="0.35">
      <c r="B550" vm="6540">
        <f ca="1"/>
        <v>43521</v>
      </c>
      <c r="C550" vm="6541">
        <f ca="1"/>
        <v>55.866500000000002</v>
      </c>
      <c r="D550" vm="6542">
        <f ca="1"/>
        <v>81.650000000000006</v>
      </c>
      <c r="E550" vm="6543">
        <f ca="1"/>
        <v>54.88</v>
      </c>
      <c r="F550" vm="6544">
        <f ca="1"/>
        <v>428.98</v>
      </c>
      <c r="G550" vm="6545">
        <f ca="1"/>
        <v>154.06</v>
      </c>
      <c r="H550" vm="6533">
        <f ca="1"/>
        <v>223.32</v>
      </c>
      <c r="I550" vm="6546">
        <f ca="1"/>
        <v>46.97</v>
      </c>
      <c r="J550" vm="6547">
        <f ca="1"/>
        <v>44.79</v>
      </c>
      <c r="K550" vm="6548">
        <f ca="1"/>
        <v>3.9672999999999998</v>
      </c>
      <c r="L550" vm="6549">
        <f ca="1"/>
        <v>99.57</v>
      </c>
      <c r="M550" vm="6550">
        <f ca="1"/>
        <v>264.60000000000002</v>
      </c>
      <c r="N550" vm="6551">
        <f ca="1"/>
        <v>2796.11</v>
      </c>
    </row>
    <row r="551" spans="2:14" x14ac:dyDescent="0.35">
      <c r="B551" vm="6552">
        <f ca="1"/>
        <v>43522</v>
      </c>
      <c r="C551" vm="6553">
        <f ca="1"/>
        <v>56.100499999999997</v>
      </c>
      <c r="D551" vm="380">
        <f ca="1"/>
        <v>81.819999999999993</v>
      </c>
      <c r="E551" vm="6554">
        <f ca="1"/>
        <v>54.67</v>
      </c>
      <c r="F551" vm="6555">
        <f ca="1"/>
        <v>425.84</v>
      </c>
      <c r="G551" vm="6556">
        <f ca="1"/>
        <v>153.91999999999999</v>
      </c>
      <c r="H551" vm="6557">
        <f ca="1"/>
        <v>224</v>
      </c>
      <c r="I551" vm="6558">
        <f ca="1"/>
        <v>47.057499999999997</v>
      </c>
      <c r="J551" vm="6559">
        <f ca="1"/>
        <v>44.31</v>
      </c>
      <c r="K551" vm="6560">
        <f ca="1"/>
        <v>3.9275000000000002</v>
      </c>
      <c r="L551" vm="6561">
        <f ca="1"/>
        <v>99.83</v>
      </c>
      <c r="M551" vm="6562">
        <f ca="1"/>
        <v>262.98</v>
      </c>
      <c r="N551" vm="6563">
        <f ca="1"/>
        <v>2793.9</v>
      </c>
    </row>
    <row r="552" spans="2:14" x14ac:dyDescent="0.35">
      <c r="B552" vm="6564">
        <f ca="1"/>
        <v>43523</v>
      </c>
      <c r="C552" vm="6398">
        <f ca="1"/>
        <v>56.144500000000001</v>
      </c>
      <c r="D552" vm="6565">
        <f ca="1"/>
        <v>82.054500000000004</v>
      </c>
      <c r="E552" vm="6566">
        <f ca="1"/>
        <v>55.5</v>
      </c>
      <c r="F552" vm="6567">
        <f ca="1"/>
        <v>418.15</v>
      </c>
      <c r="G552" vm="6568">
        <f ca="1"/>
        <v>154.6</v>
      </c>
      <c r="H552" vm="6569">
        <f ca="1"/>
        <v>224.57</v>
      </c>
      <c r="I552" vm="6570">
        <f ca="1"/>
        <v>46.702500000000001</v>
      </c>
      <c r="J552" vm="6571">
        <f ca="1"/>
        <v>44.35</v>
      </c>
      <c r="K552" vm="6572">
        <f ca="1"/>
        <v>3.8853</v>
      </c>
      <c r="L552" vm="6573">
        <f ca="1"/>
        <v>98.91</v>
      </c>
      <c r="M552" vm="6574">
        <f ca="1"/>
        <v>250.08</v>
      </c>
      <c r="N552" vm="6575">
        <f ca="1"/>
        <v>2792.38</v>
      </c>
    </row>
    <row r="553" spans="2:14" x14ac:dyDescent="0.35">
      <c r="B553" vm="6576">
        <f ca="1"/>
        <v>43524</v>
      </c>
      <c r="C553" vm="6577">
        <f ca="1"/>
        <v>56.327500000000001</v>
      </c>
      <c r="D553" vm="6578">
        <f ca="1"/>
        <v>81.991500000000002</v>
      </c>
      <c r="E553" vm="6579">
        <f ca="1"/>
        <v>54.78</v>
      </c>
      <c r="F553" vm="6580">
        <f ca="1"/>
        <v>423.5</v>
      </c>
      <c r="G553" vm="6581">
        <f ca="1"/>
        <v>154.07</v>
      </c>
      <c r="H553" vm="6582">
        <f ca="1"/>
        <v>224.77</v>
      </c>
      <c r="I553" vm="2323">
        <f ca="1"/>
        <v>46.93</v>
      </c>
      <c r="J553" vm="6451">
        <f ca="1"/>
        <v>44.06</v>
      </c>
      <c r="K553" vm="6583">
        <f ca="1"/>
        <v>3.8565</v>
      </c>
      <c r="L553" vm="6584">
        <f ca="1"/>
        <v>98.55</v>
      </c>
      <c r="M553" vm="6585">
        <f ca="1"/>
        <v>242.22</v>
      </c>
      <c r="N553" vm="6586">
        <f ca="1"/>
        <v>2784.49</v>
      </c>
    </row>
    <row r="554" spans="2:14" x14ac:dyDescent="0.35">
      <c r="B554" vm="6587">
        <f ca="1"/>
        <v>43525</v>
      </c>
      <c r="C554" vm="6588">
        <f ca="1"/>
        <v>57.426000000000002</v>
      </c>
      <c r="D554" vm="6589">
        <f ca="1"/>
        <v>83.586500000000001</v>
      </c>
      <c r="E554" vm="6590">
        <f ca="1"/>
        <v>55.21</v>
      </c>
      <c r="F554" vm="6591">
        <f ca="1"/>
        <v>432.79</v>
      </c>
      <c r="G554" vm="6592">
        <f ca="1"/>
        <v>155.72</v>
      </c>
      <c r="H554" vm="6593">
        <f ca="1"/>
        <v>227.25</v>
      </c>
      <c r="I554" vm="6594">
        <f ca="1"/>
        <v>46.89</v>
      </c>
      <c r="J554" vm="6595">
        <f ca="1"/>
        <v>45.19</v>
      </c>
      <c r="K554" vm="6596">
        <f ca="1"/>
        <v>3.9113000000000002</v>
      </c>
      <c r="L554" vm="6597">
        <f ca="1"/>
        <v>98.44</v>
      </c>
      <c r="M554" vm="6598">
        <f ca="1"/>
        <v>246.15</v>
      </c>
      <c r="N554" vm="6599">
        <f ca="1"/>
        <v>2803.69</v>
      </c>
    </row>
    <row r="555" spans="2:14" x14ac:dyDescent="0.35">
      <c r="B555" vm="6600">
        <f ca="1"/>
        <v>43528</v>
      </c>
      <c r="C555" vm="6601">
        <f ca="1"/>
        <v>57.670999999999999</v>
      </c>
      <c r="D555" vm="6602">
        <f ca="1"/>
        <v>84.808499999999995</v>
      </c>
      <c r="E555" vm="6603">
        <f ca="1"/>
        <v>55.25</v>
      </c>
      <c r="F555" vm="6604">
        <f ca="1"/>
        <v>426.98</v>
      </c>
      <c r="G555" vm="6605">
        <f ca="1"/>
        <v>154.5</v>
      </c>
      <c r="H555" vm="6606">
        <f ca="1"/>
        <v>226.29</v>
      </c>
      <c r="I555" vm="6607">
        <f ca="1"/>
        <v>47.06</v>
      </c>
      <c r="J555" vm="6608">
        <f ca="1"/>
        <v>45.24</v>
      </c>
      <c r="K555" vm="6609">
        <f ca="1"/>
        <v>3.9195000000000002</v>
      </c>
      <c r="L555" vm="6610">
        <f ca="1"/>
        <v>98.87</v>
      </c>
      <c r="M555" vm="6611">
        <f ca="1"/>
        <v>236.02</v>
      </c>
      <c r="N555" vm="6612">
        <f ca="1"/>
        <v>2792.81</v>
      </c>
    </row>
    <row r="556" spans="2:14" x14ac:dyDescent="0.35">
      <c r="B556" vm="6613">
        <f ca="1"/>
        <v>43529</v>
      </c>
      <c r="C556" vm="6614">
        <f ca="1"/>
        <v>58.459499999999998</v>
      </c>
      <c r="D556" vm="6615">
        <f ca="1"/>
        <v>84.621499999999997</v>
      </c>
      <c r="E556" vm="3393">
        <f ca="1"/>
        <v>55.96</v>
      </c>
      <c r="F556" vm="6616">
        <f ca="1"/>
        <v>426.92</v>
      </c>
      <c r="G556" vm="6617">
        <f ca="1"/>
        <v>154.15</v>
      </c>
      <c r="H556" vm="6618">
        <f ca="1"/>
        <v>226.22</v>
      </c>
      <c r="I556" vm="6619">
        <f ca="1"/>
        <v>47.08</v>
      </c>
      <c r="J556" vm="6547">
        <f ca="1"/>
        <v>44.79</v>
      </c>
      <c r="K556" vm="6620">
        <f ca="1"/>
        <v>3.9129999999999998</v>
      </c>
      <c r="L556" vm="6621">
        <f ca="1"/>
        <v>99.09</v>
      </c>
      <c r="M556" vm="6622">
        <f ca="1"/>
        <v>241.43</v>
      </c>
      <c r="N556" vm="6623">
        <f ca="1"/>
        <v>2789.65</v>
      </c>
    </row>
    <row r="557" spans="2:14" x14ac:dyDescent="0.35">
      <c r="B557" vm="6624">
        <f ca="1"/>
        <v>43530</v>
      </c>
      <c r="C557" vm="6625">
        <f ca="1"/>
        <v>58.247</v>
      </c>
      <c r="D557" vm="6626">
        <f ca="1"/>
        <v>83.447500000000005</v>
      </c>
      <c r="E557" vm="6627">
        <f ca="1"/>
        <v>55.42</v>
      </c>
      <c r="F557" vm="6628">
        <f ca="1"/>
        <v>424.66</v>
      </c>
      <c r="G557" vm="6629">
        <f ca="1"/>
        <v>153.74</v>
      </c>
      <c r="H557" vm="6630">
        <f ca="1"/>
        <v>224.47</v>
      </c>
      <c r="I557" vm="6631">
        <f ca="1"/>
        <v>46.892499999999998</v>
      </c>
      <c r="J557" vm="6632">
        <f ca="1"/>
        <v>43.37</v>
      </c>
      <c r="K557" vm="6633">
        <f ca="1"/>
        <v>3.8012999999999999</v>
      </c>
      <c r="L557" vm="6634">
        <f ca="1"/>
        <v>98.93</v>
      </c>
      <c r="M557" vm="6635">
        <f ca="1"/>
        <v>239.07</v>
      </c>
      <c r="N557" vm="6636">
        <f ca="1"/>
        <v>2771.45</v>
      </c>
    </row>
    <row r="558" spans="2:14" x14ac:dyDescent="0.35">
      <c r="B558" vm="6637">
        <f ca="1"/>
        <v>43531</v>
      </c>
      <c r="C558" vm="6638">
        <f ca="1"/>
        <v>57.542499999999997</v>
      </c>
      <c r="D558" vm="6639">
        <f ca="1"/>
        <v>81.297499999999999</v>
      </c>
      <c r="E558" vm="6640">
        <f ca="1"/>
        <v>54.68</v>
      </c>
      <c r="F558" vm="6641">
        <f ca="1"/>
        <v>426.75</v>
      </c>
      <c r="G558" vm="6642">
        <f ca="1"/>
        <v>152.47999999999999</v>
      </c>
      <c r="H558" vm="6643">
        <f ca="1"/>
        <v>222.41</v>
      </c>
      <c r="I558" vm="6644">
        <f ca="1"/>
        <v>46.982500000000002</v>
      </c>
      <c r="J558" vm="698">
        <f ca="1"/>
        <v>42.49</v>
      </c>
      <c r="K558" vm="6645">
        <f ca="1"/>
        <v>3.7315</v>
      </c>
      <c r="L558" vm="6584">
        <f ca="1"/>
        <v>98.55</v>
      </c>
      <c r="M558" vm="6646">
        <f ca="1"/>
        <v>236.7</v>
      </c>
      <c r="N558" vm="6647">
        <f ca="1"/>
        <v>2748.93</v>
      </c>
    </row>
    <row r="559" spans="2:14" x14ac:dyDescent="0.35">
      <c r="B559" vm="6648">
        <f ca="1"/>
        <v>43532</v>
      </c>
      <c r="C559" vm="6649">
        <f ca="1"/>
        <v>57.4985</v>
      </c>
      <c r="D559" vm="6650">
        <f ca="1"/>
        <v>81.040000000000006</v>
      </c>
      <c r="E559" vm="6651">
        <f ca="1"/>
        <v>55.01</v>
      </c>
      <c r="F559" vm="6652">
        <f ca="1"/>
        <v>430.38</v>
      </c>
      <c r="G559" vm="6653">
        <f ca="1"/>
        <v>151.59</v>
      </c>
      <c r="H559" vm="6654">
        <f ca="1"/>
        <v>221.87</v>
      </c>
      <c r="I559" vm="6655">
        <f ca="1"/>
        <v>47.174999999999997</v>
      </c>
      <c r="J559" vm="6656">
        <f ca="1"/>
        <v>41.29</v>
      </c>
      <c r="K559" vm="6657">
        <f ca="1"/>
        <v>3.766</v>
      </c>
      <c r="L559" vm="6658">
        <f ca="1"/>
        <v>98.41</v>
      </c>
      <c r="M559" vm="6659">
        <f ca="1"/>
        <v>237.29</v>
      </c>
      <c r="N559" vm="6660">
        <f ca="1"/>
        <v>2743.07</v>
      </c>
    </row>
    <row r="560" spans="2:14" x14ac:dyDescent="0.35">
      <c r="B560" vm="6661">
        <f ca="1"/>
        <v>43535</v>
      </c>
      <c r="C560" vm="6662">
        <f ca="1"/>
        <v>58.963000000000001</v>
      </c>
      <c r="D560" vm="6663">
        <f ca="1"/>
        <v>83.531000000000006</v>
      </c>
      <c r="E560" vm="6664">
        <f ca="1"/>
        <v>55.6</v>
      </c>
      <c r="F560" vm="5008">
        <f ca="1"/>
        <v>438.33</v>
      </c>
      <c r="G560" vm="6665">
        <f ca="1"/>
        <v>153.19</v>
      </c>
      <c r="H560" vm="6666">
        <f ca="1"/>
        <v>225.64</v>
      </c>
      <c r="I560" vm="6667">
        <f ca="1"/>
        <v>47.375</v>
      </c>
      <c r="J560" vm="6668">
        <f ca="1"/>
        <v>42.08</v>
      </c>
      <c r="K560" vm="6669">
        <f ca="1"/>
        <v>4.0285000000000002</v>
      </c>
      <c r="L560" vm="6670">
        <f ca="1"/>
        <v>99.58</v>
      </c>
      <c r="M560" vm="6671">
        <f ca="1"/>
        <v>243.15</v>
      </c>
      <c r="N560" vm="6672">
        <f ca="1"/>
        <v>2783.3</v>
      </c>
    </row>
    <row r="561" spans="2:14" x14ac:dyDescent="0.35">
      <c r="B561" vm="6673">
        <f ca="1"/>
        <v>43536</v>
      </c>
      <c r="C561" vm="6674">
        <f ca="1"/>
        <v>59.862499999999997</v>
      </c>
      <c r="D561" vm="6675">
        <f ca="1"/>
        <v>83.655000000000001</v>
      </c>
      <c r="E561" vm="6676">
        <f ca="1"/>
        <v>56.63</v>
      </c>
      <c r="F561" vm="6677">
        <f ca="1"/>
        <v>438.5</v>
      </c>
      <c r="G561" vm="6678">
        <f ca="1"/>
        <v>153.5</v>
      </c>
      <c r="H561" vm="3715">
        <f ca="1"/>
        <v>226.94</v>
      </c>
      <c r="I561" vm="6679">
        <f ca="1"/>
        <v>47.722499999999997</v>
      </c>
      <c r="J561" vm="6680">
        <f ca="1"/>
        <v>42.59</v>
      </c>
      <c r="K561" vm="6681">
        <f ca="1"/>
        <v>4.0629999999999997</v>
      </c>
      <c r="L561" vm="6682">
        <f ca="1"/>
        <v>100.05</v>
      </c>
      <c r="M561" vm="6683">
        <f ca="1"/>
        <v>245.88</v>
      </c>
      <c r="N561" vm="6684">
        <f ca="1"/>
        <v>2791.52</v>
      </c>
    </row>
    <row r="562" spans="2:14" x14ac:dyDescent="0.35">
      <c r="B562" vm="6685">
        <f ca="1"/>
        <v>43537</v>
      </c>
      <c r="C562" vm="6686">
        <f ca="1"/>
        <v>59.953000000000003</v>
      </c>
      <c r="D562" vm="6687">
        <f ca="1"/>
        <v>84.540499999999994</v>
      </c>
      <c r="E562" vm="6688">
        <f ca="1"/>
        <v>57.11</v>
      </c>
      <c r="F562" vm="6689">
        <f ca="1"/>
        <v>438.87</v>
      </c>
      <c r="G562" vm="6690">
        <f ca="1"/>
        <v>155.04</v>
      </c>
      <c r="H562" vm="6691">
        <f ca="1"/>
        <v>228.5</v>
      </c>
      <c r="I562" vm="6692">
        <f ca="1"/>
        <v>47.7425</v>
      </c>
      <c r="J562" vm="6693">
        <f ca="1"/>
        <v>43.15</v>
      </c>
      <c r="K562" vm="6694">
        <f ca="1"/>
        <v>4.2154999999999996</v>
      </c>
      <c r="L562" vm="6695">
        <f ca="1"/>
        <v>101.18</v>
      </c>
      <c r="M562" vm="6696">
        <f ca="1"/>
        <v>252.25</v>
      </c>
      <c r="N562" vm="6697">
        <f ca="1"/>
        <v>2810.92</v>
      </c>
    </row>
    <row r="563" spans="2:14" x14ac:dyDescent="0.35">
      <c r="B563" vm="6698">
        <f ca="1"/>
        <v>43538</v>
      </c>
      <c r="C563" vm="6699">
        <f ca="1"/>
        <v>59.6265</v>
      </c>
      <c r="D563" vm="6700">
        <f ca="1"/>
        <v>84.311000000000007</v>
      </c>
      <c r="E563" vm="6701">
        <f ca="1"/>
        <v>57.27</v>
      </c>
      <c r="F563" vm="6702">
        <f ca="1"/>
        <v>440.48</v>
      </c>
      <c r="G563" vm="6703">
        <f ca="1"/>
        <v>155.25</v>
      </c>
      <c r="H563" vm="6704">
        <f ca="1"/>
        <v>229.51</v>
      </c>
      <c r="I563" vm="6705">
        <f ca="1"/>
        <v>47.744999999999997</v>
      </c>
      <c r="J563" vm="6706">
        <f ca="1"/>
        <v>43.09</v>
      </c>
      <c r="K563" vm="6707">
        <f ca="1"/>
        <v>4.1390000000000002</v>
      </c>
      <c r="L563" vm="6708">
        <f ca="1"/>
        <v>101.32</v>
      </c>
      <c r="M563" vm="6709">
        <f ca="1"/>
        <v>253.27</v>
      </c>
      <c r="N563" vm="6710">
        <f ca="1"/>
        <v>2808.48</v>
      </c>
    </row>
    <row r="564" spans="2:14" x14ac:dyDescent="0.35">
      <c r="B564" vm="6711">
        <f ca="1"/>
        <v>43539</v>
      </c>
      <c r="C564" vm="6712">
        <f ca="1"/>
        <v>59.515000000000001</v>
      </c>
      <c r="D564" vm="6713">
        <f ca="1"/>
        <v>85.617999999999995</v>
      </c>
      <c r="E564" vm="6714">
        <f ca="1"/>
        <v>57.5</v>
      </c>
      <c r="F564" vm="6715">
        <f ca="1"/>
        <v>441.61</v>
      </c>
      <c r="G564" vm="6716">
        <f ca="1"/>
        <v>155.35</v>
      </c>
      <c r="H564" vm="6717">
        <f ca="1"/>
        <v>231.17</v>
      </c>
      <c r="I564" vm="5740">
        <f ca="1"/>
        <v>47.81</v>
      </c>
      <c r="J564" vm="785">
        <f ca="1"/>
        <v>42.39</v>
      </c>
      <c r="K564" vm="6718">
        <f ca="1"/>
        <v>4.2453000000000003</v>
      </c>
      <c r="L564" vm="6719">
        <f ca="1"/>
        <v>102.44</v>
      </c>
      <c r="M564" vm="6720">
        <f ca="1"/>
        <v>251.4</v>
      </c>
      <c r="N564" vm="6721">
        <f ca="1"/>
        <v>2822.48</v>
      </c>
    </row>
    <row r="565" spans="2:14" x14ac:dyDescent="0.35">
      <c r="B565" vm="6722">
        <f ca="1"/>
        <v>43542</v>
      </c>
      <c r="C565" vm="6723">
        <f ca="1"/>
        <v>59.427500000000002</v>
      </c>
      <c r="D565" vm="6724">
        <f ca="1"/>
        <v>87.107500000000002</v>
      </c>
      <c r="E565" vm="6725">
        <f ca="1"/>
        <v>57.88</v>
      </c>
      <c r="F565" vm="6726">
        <f ca="1"/>
        <v>444.1</v>
      </c>
      <c r="G565" vm="6727">
        <f ca="1"/>
        <v>156.93</v>
      </c>
      <c r="H565" vm="6728">
        <f ca="1"/>
        <v>230.39</v>
      </c>
      <c r="I565" vm="6729">
        <f ca="1"/>
        <v>47.717500000000001</v>
      </c>
      <c r="J565" vm="5246">
        <f ca="1"/>
        <v>43.36</v>
      </c>
      <c r="K565" vm="6730">
        <f ca="1"/>
        <v>4.2237999999999998</v>
      </c>
      <c r="L565" vm="6731">
        <f ca="1"/>
        <v>101.51</v>
      </c>
      <c r="M565" vm="6732">
        <f ca="1"/>
        <v>255</v>
      </c>
      <c r="N565" vm="6733">
        <f ca="1"/>
        <v>2832.94</v>
      </c>
    </row>
    <row r="566" spans="2:14" x14ac:dyDescent="0.35">
      <c r="B566" vm="6734">
        <f ca="1"/>
        <v>43543</v>
      </c>
      <c r="C566" vm="6735">
        <f ca="1"/>
        <v>60.122999999999998</v>
      </c>
      <c r="D566" vm="6736">
        <f ca="1"/>
        <v>88.092500000000001</v>
      </c>
      <c r="E566" vm="6737">
        <f ca="1"/>
        <v>58.06</v>
      </c>
      <c r="F566" vm="6738">
        <f ca="1"/>
        <v>443.55</v>
      </c>
      <c r="G566" vm="6739">
        <f ca="1"/>
        <v>157.24</v>
      </c>
      <c r="H566" vm="6740">
        <f ca="1"/>
        <v>231.01</v>
      </c>
      <c r="I566" vm="6741">
        <f ca="1"/>
        <v>47.125</v>
      </c>
      <c r="J566" vm="6742">
        <f ca="1"/>
        <v>43.25</v>
      </c>
      <c r="K566" vm="6743">
        <f ca="1"/>
        <v>4.3928000000000003</v>
      </c>
      <c r="L566" vm="6744">
        <f ca="1"/>
        <v>101.9</v>
      </c>
      <c r="M566" vm="6745">
        <f ca="1"/>
        <v>257.13</v>
      </c>
      <c r="N566" vm="6746">
        <f ca="1"/>
        <v>2832.57</v>
      </c>
    </row>
    <row r="567" spans="2:14" x14ac:dyDescent="0.35">
      <c r="B567" vm="6747">
        <f ca="1"/>
        <v>43544</v>
      </c>
      <c r="C567" vm="6748">
        <f ca="1"/>
        <v>61.3215</v>
      </c>
      <c r="D567" vm="6749">
        <f ca="1"/>
        <v>89.863500000000002</v>
      </c>
      <c r="E567" vm="6750">
        <f ca="1"/>
        <v>58.12</v>
      </c>
      <c r="F567" vm="6751">
        <f ca="1"/>
        <v>448.08</v>
      </c>
      <c r="G567" vm="6752">
        <f ca="1"/>
        <v>156.29</v>
      </c>
      <c r="H567" vm="6753">
        <f ca="1"/>
        <v>229.89</v>
      </c>
      <c r="I567" vm="6754">
        <f ca="1"/>
        <v>47.467500000000001</v>
      </c>
      <c r="J567" vm="6755">
        <f ca="1"/>
        <v>44.29</v>
      </c>
      <c r="K567" vm="6756">
        <f ca="1"/>
        <v>4.3600000000000003</v>
      </c>
      <c r="L567" vm="6757">
        <f ca="1"/>
        <v>101.72</v>
      </c>
      <c r="M567" vm="4648">
        <f ca="1"/>
        <v>250.5</v>
      </c>
      <c r="N567" vm="6758">
        <f ca="1"/>
        <v>2824.23</v>
      </c>
    </row>
    <row r="568" spans="2:14" x14ac:dyDescent="0.35">
      <c r="B568" vm="6759">
        <f ca="1"/>
        <v>43545</v>
      </c>
      <c r="C568" vm="6760">
        <f ca="1"/>
        <v>61.8065</v>
      </c>
      <c r="D568" vm="6761">
        <f ca="1"/>
        <v>90.962999999999994</v>
      </c>
      <c r="E568" vm="6762">
        <f ca="1"/>
        <v>58.84</v>
      </c>
      <c r="F568" vm="6763">
        <f ca="1"/>
        <v>458.29</v>
      </c>
      <c r="G568" vm="6764">
        <f ca="1"/>
        <v>158.44999999999999</v>
      </c>
      <c r="H568" vm="6765">
        <f ca="1"/>
        <v>235.87</v>
      </c>
      <c r="I568" vm="6766">
        <f ca="1"/>
        <v>47.977499999999999</v>
      </c>
      <c r="J568" vm="5303">
        <f ca="1"/>
        <v>44.22</v>
      </c>
      <c r="K568" vm="6767">
        <f ca="1"/>
        <v>4.5984999999999996</v>
      </c>
      <c r="L568" vm="6768">
        <f ca="1"/>
        <v>102.49</v>
      </c>
      <c r="M568" vm="6769">
        <f ca="1"/>
        <v>252.02</v>
      </c>
      <c r="N568" vm="6770">
        <f ca="1"/>
        <v>2854.88</v>
      </c>
    </row>
    <row r="569" spans="2:14" x14ac:dyDescent="0.35">
      <c r="B569" vm="6771">
        <f ca="1"/>
        <v>43546</v>
      </c>
      <c r="C569" vm="6772">
        <f ca="1"/>
        <v>60.3825</v>
      </c>
      <c r="D569" vm="6773">
        <f ca="1"/>
        <v>88.238500000000002</v>
      </c>
      <c r="E569" vm="6774">
        <f ca="1"/>
        <v>57.94</v>
      </c>
      <c r="F569" vm="6775">
        <f ca="1"/>
        <v>451.5</v>
      </c>
      <c r="G569" vm="6776">
        <f ca="1"/>
        <v>155.83000000000001</v>
      </c>
      <c r="H569" vm="6777">
        <f ca="1"/>
        <v>230.76</v>
      </c>
      <c r="I569" vm="6778">
        <f ca="1"/>
        <v>48.482500000000002</v>
      </c>
      <c r="J569" vm="1595">
        <f ca="1"/>
        <v>42.47</v>
      </c>
      <c r="K569" vm="6779">
        <f ca="1"/>
        <v>4.4375</v>
      </c>
      <c r="L569" vm="6780">
        <f ca="1"/>
        <v>101.66</v>
      </c>
      <c r="M569" vm="6781">
        <f ca="1"/>
        <v>247.09</v>
      </c>
      <c r="N569" vm="6782">
        <f ca="1"/>
        <v>2800.71</v>
      </c>
    </row>
    <row r="570" spans="2:14" x14ac:dyDescent="0.35">
      <c r="B570" vm="6783">
        <f ca="1"/>
        <v>43549</v>
      </c>
      <c r="C570" vm="6784">
        <f ca="1"/>
        <v>59.869</v>
      </c>
      <c r="D570" vm="6785">
        <f ca="1"/>
        <v>88.712999999999994</v>
      </c>
      <c r="E570" vm="6786">
        <f ca="1"/>
        <v>58.11</v>
      </c>
      <c r="F570" vm="6787">
        <f ca="1"/>
        <v>446.18</v>
      </c>
      <c r="G570" vm="6788">
        <f ca="1"/>
        <v>155.93</v>
      </c>
      <c r="H570" vm="6789">
        <f ca="1"/>
        <v>230.42</v>
      </c>
      <c r="I570" vm="6790">
        <f ca="1"/>
        <v>48.402500000000003</v>
      </c>
      <c r="J570" vm="1595">
        <f ca="1"/>
        <v>42.47</v>
      </c>
      <c r="K570" vm="6791">
        <f ca="1"/>
        <v>4.3445</v>
      </c>
      <c r="L570" vm="6792">
        <f ca="1"/>
        <v>101.96</v>
      </c>
      <c r="M570" vm="6793">
        <f ca="1"/>
        <v>246.86</v>
      </c>
      <c r="N570" vm="6794">
        <f ca="1"/>
        <v>2798.36</v>
      </c>
    </row>
    <row r="571" spans="2:14" x14ac:dyDescent="0.35">
      <c r="B571" vm="6795">
        <f ca="1"/>
        <v>43550</v>
      </c>
      <c r="C571" vm="6796">
        <f ca="1"/>
        <v>59.491999999999997</v>
      </c>
      <c r="D571" vm="6797">
        <f ca="1"/>
        <v>89.188000000000002</v>
      </c>
      <c r="E571" vm="6798">
        <f ca="1"/>
        <v>58.25</v>
      </c>
      <c r="F571" vm="6799">
        <f ca="1"/>
        <v>447.67</v>
      </c>
      <c r="G571" vm="6800">
        <f ca="1"/>
        <v>157.47999999999999</v>
      </c>
      <c r="H571" vm="6801">
        <f ca="1"/>
        <v>233.29</v>
      </c>
      <c r="I571" vm="6802">
        <f ca="1"/>
        <v>48.75</v>
      </c>
      <c r="J571" vm="6803">
        <f ca="1"/>
        <v>43.05</v>
      </c>
      <c r="K571" vm="6804">
        <f ca="1"/>
        <v>4.4218000000000002</v>
      </c>
      <c r="L571" vm="6805">
        <f ca="1"/>
        <v>103.02</v>
      </c>
      <c r="M571" vm="6806">
        <f ca="1"/>
        <v>243.39</v>
      </c>
      <c r="N571" vm="6807">
        <f ca="1"/>
        <v>2818.46</v>
      </c>
    </row>
    <row r="572" spans="2:14" x14ac:dyDescent="0.35">
      <c r="B572" vm="6808">
        <f ca="1"/>
        <v>43551</v>
      </c>
      <c r="C572" vm="6809">
        <f ca="1"/>
        <v>58.900500000000001</v>
      </c>
      <c r="D572" vm="6810">
        <f ca="1"/>
        <v>88.284999999999997</v>
      </c>
      <c r="E572" vm="6811">
        <f ca="1"/>
        <v>58.19</v>
      </c>
      <c r="F572" vm="6751">
        <f ca="1"/>
        <v>448.08</v>
      </c>
      <c r="G572" vm="6812">
        <f ca="1"/>
        <v>157.11000000000001</v>
      </c>
      <c r="H572" vm="3596">
        <f ca="1"/>
        <v>232.52</v>
      </c>
      <c r="I572" vm="6813">
        <f ca="1"/>
        <v>48.48</v>
      </c>
      <c r="J572" vm="1770">
        <f ca="1"/>
        <v>42.68</v>
      </c>
      <c r="K572" vm="6814">
        <f ca="1"/>
        <v>4.4124999999999996</v>
      </c>
      <c r="L572" vm="6815">
        <f ca="1"/>
        <v>102.9</v>
      </c>
      <c r="M572" vm="6816">
        <f ca="1"/>
        <v>241.71</v>
      </c>
      <c r="N572" vm="6817">
        <f ca="1"/>
        <v>2805.37</v>
      </c>
    </row>
    <row r="573" spans="2:14" x14ac:dyDescent="0.35">
      <c r="B573" vm="6818">
        <f ca="1"/>
        <v>43552</v>
      </c>
      <c r="C573" vm="6819">
        <f ca="1"/>
        <v>58.613500000000002</v>
      </c>
      <c r="D573" vm="6820">
        <f ca="1"/>
        <v>88.671000000000006</v>
      </c>
      <c r="E573" vm="6774">
        <f ca="1"/>
        <v>57.94</v>
      </c>
      <c r="F573" vm="6821">
        <f ca="1"/>
        <v>449.96</v>
      </c>
      <c r="G573" vm="6822">
        <f ca="1"/>
        <v>158.54</v>
      </c>
      <c r="H573" vm="6823">
        <f ca="1"/>
        <v>234.86</v>
      </c>
      <c r="I573" vm="6824">
        <f ca="1"/>
        <v>47.98</v>
      </c>
      <c r="J573" vm="6043">
        <f ca="1"/>
        <v>43.62</v>
      </c>
      <c r="K573" vm="6825">
        <f ca="1"/>
        <v>4.4313000000000002</v>
      </c>
      <c r="L573" vm="6826">
        <f ca="1"/>
        <v>103.55</v>
      </c>
      <c r="M573" vm="6827">
        <f ca="1"/>
        <v>242.23</v>
      </c>
      <c r="N573" vm="6828">
        <f ca="1"/>
        <v>2815.44</v>
      </c>
    </row>
    <row r="574" spans="2:14" x14ac:dyDescent="0.35">
      <c r="B574" vm="6829">
        <f ca="1"/>
        <v>43553</v>
      </c>
      <c r="C574" vm="6830">
        <f ca="1"/>
        <v>58.844499999999996</v>
      </c>
      <c r="D574" vm="6831">
        <f ca="1"/>
        <v>89.037499999999994</v>
      </c>
      <c r="E574" vm="6832">
        <f ca="1"/>
        <v>57.86</v>
      </c>
      <c r="F574" vm="6833">
        <f ca="1"/>
        <v>453.16</v>
      </c>
      <c r="G574" vm="6834">
        <f ca="1"/>
        <v>158.91999999999999</v>
      </c>
      <c r="H574" vm="6835">
        <f ca="1"/>
        <v>235.45</v>
      </c>
      <c r="I574" vm="6836">
        <f ca="1"/>
        <v>48.33</v>
      </c>
      <c r="J574" vm="6837">
        <f ca="1"/>
        <v>43.57</v>
      </c>
      <c r="K574" vm="6838">
        <f ca="1"/>
        <v>4.4889999999999999</v>
      </c>
      <c r="L574" vm="6839">
        <f ca="1"/>
        <v>104.05</v>
      </c>
      <c r="M574" vm="6840">
        <f ca="1"/>
        <v>247.26</v>
      </c>
      <c r="N574" vm="6841">
        <f ca="1"/>
        <v>2834.4</v>
      </c>
    </row>
    <row r="575" spans="2:14" x14ac:dyDescent="0.35">
      <c r="B575" vm="6842">
        <f ca="1"/>
        <v>43556</v>
      </c>
      <c r="C575" vm="6843">
        <f ca="1"/>
        <v>59.948999999999998</v>
      </c>
      <c r="D575" vm="6844">
        <f ca="1"/>
        <v>90.709500000000006</v>
      </c>
      <c r="E575" vm="6845">
        <f ca="1"/>
        <v>58.4</v>
      </c>
      <c r="F575" vm="6846">
        <f ca="1"/>
        <v>456.3</v>
      </c>
      <c r="G575" vm="6847">
        <f ca="1"/>
        <v>161.47</v>
      </c>
      <c r="H575" vm="6848">
        <f ca="1"/>
        <v>239.05</v>
      </c>
      <c r="I575" vm="2056">
        <f ca="1"/>
        <v>47.622500000000002</v>
      </c>
      <c r="J575" vm="6849">
        <f ca="1"/>
        <v>44.76</v>
      </c>
      <c r="K575" vm="6850">
        <f ca="1"/>
        <v>4.5570000000000004</v>
      </c>
      <c r="L575" vm="6851">
        <f ca="1"/>
        <v>103.64</v>
      </c>
      <c r="M575" vm="6852">
        <f ca="1"/>
        <v>245.54</v>
      </c>
      <c r="N575" vm="6853">
        <f ca="1"/>
        <v>2867.19</v>
      </c>
    </row>
    <row r="576" spans="2:14" x14ac:dyDescent="0.35">
      <c r="B576" vm="6854">
        <f ca="1"/>
        <v>43557</v>
      </c>
      <c r="C576" vm="6855">
        <f ca="1"/>
        <v>60.277000000000001</v>
      </c>
      <c r="D576" vm="6856">
        <f ca="1"/>
        <v>90.698999999999998</v>
      </c>
      <c r="E576" vm="6857">
        <f ca="1"/>
        <v>57.98</v>
      </c>
      <c r="F576" vm="6858">
        <f ca="1"/>
        <v>460.44</v>
      </c>
      <c r="G576" vm="6859">
        <f ca="1"/>
        <v>161.04</v>
      </c>
      <c r="H576" vm="6860">
        <f ca="1"/>
        <v>239.26</v>
      </c>
      <c r="I576" vm="6861">
        <f ca="1"/>
        <v>47.37</v>
      </c>
      <c r="J576" vm="6862">
        <f ca="1"/>
        <v>44.49</v>
      </c>
      <c r="K576" vm="6863">
        <f ca="1"/>
        <v>4.5750000000000002</v>
      </c>
      <c r="L576" vm="6864">
        <f ca="1"/>
        <v>103.75</v>
      </c>
      <c r="M576" vm="6865">
        <f ca="1"/>
        <v>244.41</v>
      </c>
      <c r="N576" vm="6866">
        <f ca="1"/>
        <v>2867.24</v>
      </c>
    </row>
    <row r="577" spans="2:14" x14ac:dyDescent="0.35">
      <c r="B577" vm="6867">
        <f ca="1"/>
        <v>43558</v>
      </c>
      <c r="C577" vm="6868">
        <f ca="1"/>
        <v>60.540500000000002</v>
      </c>
      <c r="D577" vm="6869">
        <f ca="1"/>
        <v>91.034999999999997</v>
      </c>
      <c r="E577" vm="6870">
        <f ca="1"/>
        <v>58.02</v>
      </c>
      <c r="F577" vm="6871">
        <f ca="1"/>
        <v>462.01</v>
      </c>
      <c r="G577" vm="6872">
        <f ca="1"/>
        <v>160.29</v>
      </c>
      <c r="H577" vm="6873">
        <f ca="1"/>
        <v>238.93</v>
      </c>
      <c r="I577" vm="6874">
        <f ca="1"/>
        <v>47.327500000000001</v>
      </c>
      <c r="J577" vm="6875">
        <f ca="1"/>
        <v>43.59</v>
      </c>
      <c r="K577" vm="6876">
        <f ca="1"/>
        <v>4.7154999999999996</v>
      </c>
      <c r="L577" vm="6877">
        <f ca="1"/>
        <v>103.69</v>
      </c>
      <c r="M577" vm="6878">
        <f ca="1"/>
        <v>245.84</v>
      </c>
      <c r="N577" vm="6879">
        <f ca="1"/>
        <v>2873.4</v>
      </c>
    </row>
    <row r="578" spans="2:14" x14ac:dyDescent="0.35">
      <c r="B578" vm="6880">
        <f ca="1"/>
        <v>43559</v>
      </c>
      <c r="C578" vm="6881">
        <f ca="1"/>
        <v>60.972499999999997</v>
      </c>
      <c r="D578" vm="6882">
        <f ca="1"/>
        <v>90.942999999999998</v>
      </c>
      <c r="E578" vm="6883">
        <f ca="1"/>
        <v>58</v>
      </c>
      <c r="F578" vm="6884">
        <f ca="1"/>
        <v>461.44</v>
      </c>
      <c r="G578" vm="6885">
        <f ca="1"/>
        <v>161.07</v>
      </c>
      <c r="H578" vm="6886">
        <f ca="1"/>
        <v>236.06</v>
      </c>
      <c r="I578" vm="6887">
        <f ca="1"/>
        <v>47.1</v>
      </c>
      <c r="J578" vm="6888">
        <f ca="1"/>
        <v>44.1</v>
      </c>
      <c r="K578" vm="6889">
        <f ca="1"/>
        <v>4.7065000000000001</v>
      </c>
      <c r="L578" vm="6890">
        <f ca="1"/>
        <v>103.43</v>
      </c>
      <c r="M578" vm="6891">
        <f ca="1"/>
        <v>247.39</v>
      </c>
      <c r="N578" vm="6892">
        <f ca="1"/>
        <v>2879.39</v>
      </c>
    </row>
    <row r="579" spans="2:14" x14ac:dyDescent="0.35">
      <c r="B579" vm="6893">
        <f ca="1"/>
        <v>43560</v>
      </c>
      <c r="C579" vm="6894">
        <f ca="1"/>
        <v>60.572499999999998</v>
      </c>
      <c r="D579" vm="6895">
        <f ca="1"/>
        <v>91.864000000000004</v>
      </c>
      <c r="E579" vm="6786">
        <f ca="1"/>
        <v>58.11</v>
      </c>
      <c r="F579" vm="6896">
        <f ca="1"/>
        <v>466.62</v>
      </c>
      <c r="G579" vm="6897">
        <f ca="1"/>
        <v>161.69999999999999</v>
      </c>
      <c r="H579" vm="6898">
        <f ca="1"/>
        <v>236.63</v>
      </c>
      <c r="I579" vm="6899">
        <f ca="1"/>
        <v>47.52</v>
      </c>
      <c r="J579" vm="6306">
        <f ca="1"/>
        <v>45</v>
      </c>
      <c r="K579" vm="6900">
        <f ca="1"/>
        <v>4.7737999999999996</v>
      </c>
      <c r="L579" vm="6901">
        <f ca="1"/>
        <v>103.65</v>
      </c>
      <c r="M579" vm="6902">
        <f ca="1"/>
        <v>248.78</v>
      </c>
      <c r="N579" vm="6903">
        <f ca="1"/>
        <v>2892.74</v>
      </c>
    </row>
    <row r="580" spans="2:14" x14ac:dyDescent="0.35">
      <c r="B580" vm="6904">
        <f ca="1"/>
        <v>43563</v>
      </c>
      <c r="C580" vm="6905">
        <f ca="1"/>
        <v>60.414000000000001</v>
      </c>
      <c r="D580" vm="6906">
        <f ca="1"/>
        <v>92.492999999999995</v>
      </c>
      <c r="E580" vm="6907">
        <f ca="1"/>
        <v>58.2</v>
      </c>
      <c r="F580" vm="6908">
        <f ca="1"/>
        <v>463.41</v>
      </c>
      <c r="G580" vm="6909">
        <f ca="1"/>
        <v>162.06</v>
      </c>
      <c r="H580" vm="6910">
        <f ca="1"/>
        <v>236.27</v>
      </c>
      <c r="I580" vm="6911">
        <f ca="1"/>
        <v>47.16</v>
      </c>
      <c r="J580" vm="6912">
        <f ca="1"/>
        <v>46.17</v>
      </c>
      <c r="K580" vm="6913">
        <f ca="1"/>
        <v>4.7946999999999997</v>
      </c>
      <c r="L580" vm="6914">
        <f ca="1"/>
        <v>104.97</v>
      </c>
      <c r="M580" vm="6915">
        <f ca="1"/>
        <v>248.75</v>
      </c>
      <c r="N580" vm="6916">
        <f ca="1"/>
        <v>2895.77</v>
      </c>
    </row>
    <row r="581" spans="2:14" x14ac:dyDescent="0.35">
      <c r="B581" vm="6917">
        <f ca="1"/>
        <v>43564</v>
      </c>
      <c r="C581" vm="6918">
        <f ca="1"/>
        <v>60.134500000000003</v>
      </c>
      <c r="D581" vm="6919">
        <f ca="1"/>
        <v>91.792000000000002</v>
      </c>
      <c r="E581" vm="6920">
        <f ca="1"/>
        <v>57.64</v>
      </c>
      <c r="F581" vm="6921">
        <f ca="1"/>
        <v>460.11</v>
      </c>
      <c r="G581" vm="6922">
        <f ca="1"/>
        <v>160.85</v>
      </c>
      <c r="H581" vm="6923">
        <f ca="1"/>
        <v>235.91</v>
      </c>
      <c r="I581" vm="6924">
        <f ca="1"/>
        <v>47.427500000000002</v>
      </c>
      <c r="J581" vm="6925">
        <f ca="1"/>
        <v>45.58</v>
      </c>
      <c r="K581" vm="2936">
        <f ca="1"/>
        <v>4.7314999999999996</v>
      </c>
      <c r="L581" vm="6926">
        <f ca="1"/>
        <v>104.66</v>
      </c>
      <c r="M581" vm="6927">
        <f ca="1"/>
        <v>248.79</v>
      </c>
      <c r="N581" vm="6928">
        <f ca="1"/>
        <v>2878.2</v>
      </c>
    </row>
    <row r="582" spans="2:14" x14ac:dyDescent="0.35">
      <c r="B582" vm="6929">
        <f ca="1"/>
        <v>43565</v>
      </c>
      <c r="C582" vm="6930">
        <f ca="1"/>
        <v>60.322499999999998</v>
      </c>
      <c r="D582" vm="6931">
        <f ca="1"/>
        <v>92.366500000000002</v>
      </c>
      <c r="E582" vm="6798">
        <f ca="1"/>
        <v>58.25</v>
      </c>
      <c r="F582" vm="6932">
        <f ca="1"/>
        <v>461.21</v>
      </c>
      <c r="G582" vm="6933">
        <f ca="1"/>
        <v>159.97</v>
      </c>
      <c r="H582" vm="6934">
        <f ca="1"/>
        <v>237.06</v>
      </c>
      <c r="I582" vm="6935">
        <f ca="1"/>
        <v>47.155000000000001</v>
      </c>
      <c r="J582" vm="5974">
        <f ca="1"/>
        <v>45.55</v>
      </c>
      <c r="K582" vm="6936">
        <f ca="1"/>
        <v>4.8025000000000002</v>
      </c>
      <c r="L582" vm="6937">
        <f ca="1"/>
        <v>104.65</v>
      </c>
      <c r="M582" vm="6938">
        <f ca="1"/>
        <v>246.03</v>
      </c>
      <c r="N582" vm="6939">
        <f ca="1"/>
        <v>2888.21</v>
      </c>
    </row>
    <row r="583" spans="2:14" x14ac:dyDescent="0.35">
      <c r="B583" vm="6940">
        <f ca="1"/>
        <v>43566</v>
      </c>
      <c r="C583" vm="3158">
        <f ca="1"/>
        <v>60.479500000000002</v>
      </c>
      <c r="D583" vm="6941">
        <f ca="1"/>
        <v>92.203500000000005</v>
      </c>
      <c r="E583" vm="6942">
        <f ca="1"/>
        <v>58.62</v>
      </c>
      <c r="F583" vm="6943">
        <f ca="1"/>
        <v>460.67</v>
      </c>
      <c r="G583" vm="6944">
        <f ca="1"/>
        <v>160.9</v>
      </c>
      <c r="H583" vm="6945">
        <f ca="1"/>
        <v>236.04</v>
      </c>
      <c r="I583" vm="6946">
        <f ca="1"/>
        <v>47.51</v>
      </c>
      <c r="J583" vm="5986">
        <f ca="1"/>
        <v>45.31</v>
      </c>
      <c r="K583" vm="6947">
        <f ca="1"/>
        <v>4.7885</v>
      </c>
      <c r="L583" vm="6948">
        <f ca="1"/>
        <v>104.75</v>
      </c>
      <c r="M583" vm="6949">
        <f ca="1"/>
        <v>235.42</v>
      </c>
      <c r="N583" vm="6950">
        <f ca="1"/>
        <v>2888.32</v>
      </c>
    </row>
    <row r="584" spans="2:14" x14ac:dyDescent="0.35">
      <c r="B584" vm="6951">
        <f ca="1"/>
        <v>43567</v>
      </c>
      <c r="C584" vm="6952">
        <f ca="1"/>
        <v>61.136499999999998</v>
      </c>
      <c r="D584" vm="6953">
        <f ca="1"/>
        <v>92.153000000000006</v>
      </c>
      <c r="E584" vm="6954">
        <f ca="1"/>
        <v>58.03</v>
      </c>
      <c r="F584" vm="6955">
        <f ca="1"/>
        <v>463.38</v>
      </c>
      <c r="G584" vm="6956">
        <f ca="1"/>
        <v>162.47</v>
      </c>
      <c r="H584" vm="6957">
        <f ca="1"/>
        <v>238.83</v>
      </c>
      <c r="I584" vm="6958">
        <f ca="1"/>
        <v>47.712499999999999</v>
      </c>
      <c r="J584" vm="6959">
        <f ca="1"/>
        <v>45.65</v>
      </c>
      <c r="K584" vm="6960">
        <f ca="1"/>
        <v>4.7503000000000002</v>
      </c>
      <c r="L584" vm="6961">
        <f ca="1"/>
        <v>105.06</v>
      </c>
      <c r="M584" vm="6962">
        <f ca="1"/>
        <v>223.22</v>
      </c>
      <c r="N584" vm="6963">
        <f ca="1"/>
        <v>2907.41</v>
      </c>
    </row>
    <row r="585" spans="2:14" x14ac:dyDescent="0.35">
      <c r="B585" vm="6964">
        <f ca="1"/>
        <v>43570</v>
      </c>
      <c r="C585" vm="6965">
        <f ca="1"/>
        <v>61.326500000000003</v>
      </c>
      <c r="D585" vm="6966">
        <f ca="1"/>
        <v>92.243499999999997</v>
      </c>
      <c r="E585" vm="6967">
        <f ca="1"/>
        <v>58.34</v>
      </c>
      <c r="F585" vm="6968">
        <f ca="1"/>
        <v>460</v>
      </c>
      <c r="G585" vm="6969">
        <f ca="1"/>
        <v>162</v>
      </c>
      <c r="H585" vm="6970">
        <f ca="1"/>
        <v>239.15</v>
      </c>
      <c r="I585" vm="6971">
        <f ca="1"/>
        <v>47.79</v>
      </c>
      <c r="J585" vm="6972">
        <f ca="1"/>
        <v>46.4</v>
      </c>
      <c r="K585" vm="6973">
        <f ca="1"/>
        <v>4.6174999999999997</v>
      </c>
      <c r="L585" vm="6974">
        <f ca="1"/>
        <v>105.73</v>
      </c>
      <c r="M585" vm="6975">
        <f ca="1"/>
        <v>230.2</v>
      </c>
      <c r="N585" vm="6976">
        <f ca="1"/>
        <v>2905.58</v>
      </c>
    </row>
    <row r="586" spans="2:14" x14ac:dyDescent="0.35">
      <c r="B586" vm="6977">
        <f ca="1"/>
        <v>43571</v>
      </c>
      <c r="C586" vm="6978">
        <f ca="1"/>
        <v>61.595500000000001</v>
      </c>
      <c r="D586" vm="6979">
        <f ca="1"/>
        <v>93.152000000000001</v>
      </c>
      <c r="E586" vm="6980">
        <f ca="1"/>
        <v>57.56</v>
      </c>
      <c r="F586" vm="6981">
        <f ca="1"/>
        <v>452.66</v>
      </c>
      <c r="G586" vm="6982">
        <f ca="1"/>
        <v>162.86000000000001</v>
      </c>
      <c r="H586" vm="6983">
        <f ca="1"/>
        <v>240.09</v>
      </c>
      <c r="I586" vm="6984">
        <f ca="1"/>
        <v>47.38</v>
      </c>
      <c r="J586" vm="5727">
        <f ca="1"/>
        <v>47.34</v>
      </c>
      <c r="K586" vm="6985">
        <f ca="1"/>
        <v>4.7053000000000003</v>
      </c>
      <c r="L586" vm="6986">
        <f ca="1"/>
        <v>106.42</v>
      </c>
      <c r="M586" vm="3462">
        <f ca="1"/>
        <v>220.96</v>
      </c>
      <c r="N586" vm="6987">
        <f ca="1"/>
        <v>2907.06</v>
      </c>
    </row>
    <row r="587" spans="2:14" x14ac:dyDescent="0.35">
      <c r="B587" vm="6988">
        <f ca="1"/>
        <v>43572</v>
      </c>
      <c r="C587" vm="6989">
        <f ca="1"/>
        <v>62.006999999999998</v>
      </c>
      <c r="D587" vm="6990">
        <f ca="1"/>
        <v>93.241</v>
      </c>
      <c r="E587" vm="6991">
        <f ca="1"/>
        <v>57.05</v>
      </c>
      <c r="F587" vm="6992">
        <f ca="1"/>
        <v>447.52</v>
      </c>
      <c r="G587" vm="6993">
        <f ca="1"/>
        <v>162.88999999999999</v>
      </c>
      <c r="H587" vm="6994">
        <f ca="1"/>
        <v>241</v>
      </c>
      <c r="I587" vm="6995">
        <f ca="1"/>
        <v>47.412500000000001</v>
      </c>
      <c r="J587" vm="5652">
        <f ca="1"/>
        <v>47.41</v>
      </c>
      <c r="K587" vm="6996">
        <f ca="1"/>
        <v>4.6822999999999997</v>
      </c>
      <c r="L587" vm="6997">
        <f ca="1"/>
        <v>105.85</v>
      </c>
      <c r="M587" vm="6998">
        <f ca="1"/>
        <v>216.84</v>
      </c>
      <c r="N587" vm="6999">
        <f ca="1"/>
        <v>2900.45</v>
      </c>
    </row>
    <row r="588" spans="2:14" x14ac:dyDescent="0.35">
      <c r="B588" vm="7000">
        <f ca="1"/>
        <v>43573</v>
      </c>
      <c r="C588" vm="7001">
        <f ca="1"/>
        <v>62.073500000000003</v>
      </c>
      <c r="D588" vm="7002">
        <f ca="1"/>
        <v>93.084500000000006</v>
      </c>
      <c r="E588" vm="7003">
        <f ca="1"/>
        <v>58.51</v>
      </c>
      <c r="F588" vm="7004">
        <f ca="1"/>
        <v>446.44</v>
      </c>
      <c r="G588" vm="634">
        <f ca="1"/>
        <v>169.06</v>
      </c>
      <c r="H588" vm="7005">
        <f ca="1"/>
        <v>240.89</v>
      </c>
      <c r="I588" vm="5727">
        <f ca="1"/>
        <v>47.34</v>
      </c>
      <c r="J588" vm="7006">
        <f ca="1"/>
        <v>45.56</v>
      </c>
      <c r="K588" vm="7007">
        <f ca="1"/>
        <v>4.6574999999999998</v>
      </c>
      <c r="L588" vm="7008">
        <f ca="1"/>
        <v>106.05</v>
      </c>
      <c r="M588" vm="7009">
        <f ca="1"/>
        <v>221.75</v>
      </c>
      <c r="N588" vm="7010">
        <f ca="1"/>
        <v>2905.03</v>
      </c>
    </row>
    <row r="589" spans="2:14" x14ac:dyDescent="0.35">
      <c r="B589" vm="7011">
        <f ca="1"/>
        <v>43577</v>
      </c>
      <c r="C589" vm="7012">
        <f ca="1"/>
        <v>62.688000000000002</v>
      </c>
      <c r="D589" vm="7013">
        <f ca="1"/>
        <v>94.365499999999997</v>
      </c>
      <c r="E589" vm="7014">
        <f ca="1"/>
        <v>58.71</v>
      </c>
      <c r="F589" vm="7015">
        <f ca="1"/>
        <v>447.23</v>
      </c>
      <c r="G589" vm="7016">
        <f ca="1"/>
        <v>168.24</v>
      </c>
      <c r="H589" vm="7017">
        <f ca="1"/>
        <v>243.05</v>
      </c>
      <c r="I589" vm="7018">
        <f ca="1"/>
        <v>47.594999999999999</v>
      </c>
      <c r="J589" vm="7019">
        <f ca="1"/>
        <v>45.85</v>
      </c>
      <c r="K589" vm="7020">
        <f ca="1"/>
        <v>4.7118000000000002</v>
      </c>
      <c r="L589" vm="7021">
        <f ca="1"/>
        <v>106.01</v>
      </c>
      <c r="M589" vm="7022">
        <f ca="1"/>
        <v>227.11</v>
      </c>
      <c r="N589" vm="7023">
        <f ca="1"/>
        <v>2907.97</v>
      </c>
    </row>
    <row r="590" spans="2:14" x14ac:dyDescent="0.35">
      <c r="B590" vm="7024">
        <f ca="1"/>
        <v>43578</v>
      </c>
      <c r="C590" vm="7025">
        <f ca="1"/>
        <v>63.529499999999999</v>
      </c>
      <c r="D590" vm="7026">
        <f ca="1"/>
        <v>96.188500000000005</v>
      </c>
      <c r="E590" vm="7027">
        <f ca="1"/>
        <v>59.5</v>
      </c>
      <c r="F590" vm="2978">
        <f ca="1"/>
        <v>450.21</v>
      </c>
      <c r="G590" vm="1156">
        <f ca="1"/>
        <v>171.81</v>
      </c>
      <c r="H590" vm="6118">
        <f ca="1"/>
        <v>243.49</v>
      </c>
      <c r="I590" vm="1122">
        <f ca="1"/>
        <v>47.447499999999998</v>
      </c>
      <c r="J590" vm="7028">
        <f ca="1"/>
        <v>45.89</v>
      </c>
      <c r="K590" vm="7029">
        <f ca="1"/>
        <v>4.7667999999999999</v>
      </c>
      <c r="L590" vm="7030">
        <f ca="1"/>
        <v>103.16</v>
      </c>
      <c r="M590" vm="7031">
        <f ca="1"/>
        <v>230.58</v>
      </c>
      <c r="N590" vm="7032">
        <f ca="1"/>
        <v>2933.68</v>
      </c>
    </row>
    <row r="591" spans="2:14" x14ac:dyDescent="0.35">
      <c r="B591" vm="7033">
        <f ca="1"/>
        <v>43579</v>
      </c>
      <c r="C591" vm="7034">
        <f ca="1"/>
        <v>63.002499999999998</v>
      </c>
      <c r="D591" vm="7035">
        <f ca="1"/>
        <v>95.087500000000006</v>
      </c>
      <c r="E591" vm="7036">
        <f ca="1"/>
        <v>58.9</v>
      </c>
      <c r="F591" vm="7037">
        <f ca="1"/>
        <v>453.46</v>
      </c>
      <c r="G591" vm="7038">
        <f ca="1"/>
        <v>171.29</v>
      </c>
      <c r="H591" vm="7039">
        <f ca="1"/>
        <v>245.29</v>
      </c>
      <c r="I591" vm="7040">
        <f ca="1"/>
        <v>47.515000000000001</v>
      </c>
      <c r="J591" vm="6319">
        <f ca="1"/>
        <v>44.24</v>
      </c>
      <c r="K591" vm="7041">
        <f ca="1"/>
        <v>4.7793000000000001</v>
      </c>
      <c r="L591" vm="6877">
        <f ca="1"/>
        <v>103.69</v>
      </c>
      <c r="M591" vm="7042">
        <f ca="1"/>
        <v>230.35</v>
      </c>
      <c r="N591" vm="7043">
        <f ca="1"/>
        <v>2927.25</v>
      </c>
    </row>
    <row r="592" spans="2:14" x14ac:dyDescent="0.35">
      <c r="B592" vm="7044">
        <f ca="1"/>
        <v>43580</v>
      </c>
      <c r="C592" vm="7045">
        <f ca="1"/>
        <v>63.366999999999997</v>
      </c>
      <c r="D592" vm="7046">
        <f ca="1"/>
        <v>95.112499999999997</v>
      </c>
      <c r="E592" vm="7047">
        <f ca="1"/>
        <v>58.96</v>
      </c>
      <c r="F592" vm="7048">
        <f ca="1"/>
        <v>453.89</v>
      </c>
      <c r="G592" vm="7049">
        <f ca="1"/>
        <v>170.42</v>
      </c>
      <c r="H592" vm="7050">
        <f ca="1"/>
        <v>245.61</v>
      </c>
      <c r="I592" vm="5629">
        <f ca="1"/>
        <v>47.62</v>
      </c>
      <c r="J592" vm="5573">
        <f ca="1"/>
        <v>43.3</v>
      </c>
      <c r="K592" vm="7051">
        <f ca="1"/>
        <v>4.6727999999999996</v>
      </c>
      <c r="L592" vm="7052">
        <f ca="1"/>
        <v>103.28</v>
      </c>
      <c r="M592" vm="7053">
        <f ca="1"/>
        <v>230.79</v>
      </c>
      <c r="N592" vm="7054">
        <f ca="1"/>
        <v>2926.17</v>
      </c>
    </row>
    <row r="593" spans="2:14" x14ac:dyDescent="0.35">
      <c r="B593" vm="7055">
        <f ca="1"/>
        <v>43581</v>
      </c>
      <c r="C593" vm="7056">
        <f ca="1"/>
        <v>63.871000000000002</v>
      </c>
      <c r="D593" vm="7057">
        <f ca="1"/>
        <v>97.531499999999994</v>
      </c>
      <c r="E593" vm="5165">
        <f ca="1"/>
        <v>59.7</v>
      </c>
      <c r="F593" vm="7058">
        <f ca="1"/>
        <v>453.05</v>
      </c>
      <c r="G593" vm="7059">
        <f ca="1"/>
        <v>172.25</v>
      </c>
      <c r="H593" vm="7060">
        <f ca="1"/>
        <v>246.68</v>
      </c>
      <c r="I593" vm="7061">
        <f ca="1"/>
        <v>47.927500000000002</v>
      </c>
      <c r="J593" vm="5573">
        <f ca="1"/>
        <v>43.3</v>
      </c>
      <c r="K593" vm="7062">
        <f ca="1"/>
        <v>4.4523000000000001</v>
      </c>
      <c r="L593" vm="7063">
        <f ca="1"/>
        <v>105.86</v>
      </c>
      <c r="M593" vm="7064">
        <f ca="1"/>
        <v>237</v>
      </c>
      <c r="N593" vm="7065">
        <f ca="1"/>
        <v>2939.88</v>
      </c>
    </row>
    <row r="594" spans="2:14" x14ac:dyDescent="0.35">
      <c r="B594" vm="7066">
        <f ca="1"/>
        <v>43584</v>
      </c>
      <c r="C594" vm="3889">
        <f ca="1"/>
        <v>64.81</v>
      </c>
      <c r="D594" vm="7067">
        <f ca="1"/>
        <v>96.921499999999995</v>
      </c>
      <c r="E594" vm="7068">
        <f ca="1"/>
        <v>59.63</v>
      </c>
      <c r="F594" vm="7069">
        <f ca="1"/>
        <v>448.81</v>
      </c>
      <c r="G594" vm="7070">
        <f ca="1"/>
        <v>172.55</v>
      </c>
      <c r="H594" vm="7071">
        <f ca="1"/>
        <v>247.13</v>
      </c>
      <c r="I594" vm="7072">
        <f ca="1"/>
        <v>47.942500000000003</v>
      </c>
      <c r="J594" vm="7073">
        <f ca="1"/>
        <v>43.43</v>
      </c>
      <c r="K594" vm="7074">
        <f ca="1"/>
        <v>4.4832999999999998</v>
      </c>
      <c r="L594" vm="7075">
        <f ca="1"/>
        <v>104.78</v>
      </c>
      <c r="M594" vm="7076">
        <f ca="1"/>
        <v>237.45</v>
      </c>
      <c r="N594" vm="7077">
        <f ca="1"/>
        <v>2943.03</v>
      </c>
    </row>
    <row r="595" spans="2:14" x14ac:dyDescent="0.35">
      <c r="B595" vm="7078">
        <f ca="1"/>
        <v>43585</v>
      </c>
      <c r="C595" vm="7079">
        <f ca="1"/>
        <v>59.948</v>
      </c>
      <c r="D595" vm="7080">
        <f ca="1"/>
        <v>96.325999999999993</v>
      </c>
      <c r="E595" vm="7081">
        <f ca="1"/>
        <v>59.94</v>
      </c>
      <c r="F595" vm="7082">
        <f ca="1"/>
        <v>454.7</v>
      </c>
      <c r="G595" vm="7083">
        <f ca="1"/>
        <v>173.63</v>
      </c>
      <c r="H595" vm="7084">
        <f ca="1"/>
        <v>254.24</v>
      </c>
      <c r="I595" vm="7085">
        <f ca="1"/>
        <v>48.61</v>
      </c>
      <c r="J595" vm="1770">
        <f ca="1"/>
        <v>42.68</v>
      </c>
      <c r="K595" vm="7086">
        <f ca="1"/>
        <v>4.5250000000000004</v>
      </c>
      <c r="L595" vm="7087">
        <f ca="1"/>
        <v>106.48</v>
      </c>
      <c r="M595" vm="7088">
        <f ca="1"/>
        <v>233.07</v>
      </c>
      <c r="N595" vm="7089">
        <f ca="1"/>
        <v>2945.83</v>
      </c>
    </row>
    <row r="596" spans="2:14" x14ac:dyDescent="0.35">
      <c r="B596" vm="7090">
        <f ca="1"/>
        <v>43586</v>
      </c>
      <c r="C596" vm="7091">
        <f ca="1"/>
        <v>58.665999999999997</v>
      </c>
      <c r="D596" vm="7092">
        <f ca="1"/>
        <v>95.575999999999993</v>
      </c>
      <c r="E596" vm="7093">
        <f ca="1"/>
        <v>58.67</v>
      </c>
      <c r="F596" vm="7094">
        <f ca="1"/>
        <v>450.01</v>
      </c>
      <c r="G596" vm="7095">
        <f ca="1"/>
        <v>170.94</v>
      </c>
      <c r="H596" vm="6915">
        <f ca="1"/>
        <v>248.75</v>
      </c>
      <c r="I596" vm="7096">
        <f ca="1"/>
        <v>48.317500000000003</v>
      </c>
      <c r="J596" vm="6244">
        <f ca="1"/>
        <v>41.37</v>
      </c>
      <c r="K596" vm="7097">
        <f ca="1"/>
        <v>4.5118</v>
      </c>
      <c r="L596" vm="7098">
        <f ca="1"/>
        <v>104.93</v>
      </c>
      <c r="M596" vm="7099">
        <f ca="1"/>
        <v>231.95</v>
      </c>
      <c r="N596" vm="7100">
        <f ca="1"/>
        <v>2923.73</v>
      </c>
    </row>
    <row r="597" spans="2:14" x14ac:dyDescent="0.35">
      <c r="B597" vm="7101">
        <f ca="1"/>
        <v>43587</v>
      </c>
      <c r="C597" vm="7102">
        <f ca="1"/>
        <v>58.325499999999998</v>
      </c>
      <c r="D597" vm="7103">
        <f ca="1"/>
        <v>95.040999999999997</v>
      </c>
      <c r="E597" vm="7104">
        <f ca="1"/>
        <v>60</v>
      </c>
      <c r="F597" vm="7105">
        <f ca="1"/>
        <v>465.01</v>
      </c>
      <c r="G597" vm="7106">
        <f ca="1"/>
        <v>171.38</v>
      </c>
      <c r="H597" vm="7107">
        <f ca="1"/>
        <v>247.19</v>
      </c>
      <c r="I597" vm="7108">
        <f ca="1"/>
        <v>47.93</v>
      </c>
      <c r="J597" vm="7109">
        <f ca="1"/>
        <v>41.12</v>
      </c>
      <c r="K597" vm="7110">
        <f ca="1"/>
        <v>4.5797999999999996</v>
      </c>
      <c r="L597" vm="7111">
        <f ca="1"/>
        <v>105.56</v>
      </c>
      <c r="M597" vm="7112">
        <f ca="1"/>
        <v>232.45</v>
      </c>
      <c r="N597" vm="7113">
        <f ca="1"/>
        <v>2917.52</v>
      </c>
    </row>
    <row r="598" spans="2:14" x14ac:dyDescent="0.35">
      <c r="B598" vm="7114">
        <f ca="1"/>
        <v>43588</v>
      </c>
      <c r="C598" vm="7115">
        <f ca="1"/>
        <v>59.477499999999999</v>
      </c>
      <c r="D598" vm="7116">
        <f ca="1"/>
        <v>98.123000000000005</v>
      </c>
      <c r="E598" vm="7117">
        <f ca="1"/>
        <v>61.54</v>
      </c>
      <c r="F598" vm="7118">
        <f ca="1"/>
        <v>476.99</v>
      </c>
      <c r="G598" vm="7119">
        <f ca="1"/>
        <v>173.54</v>
      </c>
      <c r="H598" vm="7120">
        <f ca="1"/>
        <v>247.95</v>
      </c>
      <c r="I598" vm="7121">
        <f ca="1"/>
        <v>48.102499999999999</v>
      </c>
      <c r="J598" vm="1429">
        <f ca="1"/>
        <v>41.28</v>
      </c>
      <c r="K598" vm="7122">
        <f ca="1"/>
        <v>4.5751999999999997</v>
      </c>
      <c r="L598" vm="7123">
        <f ca="1"/>
        <v>106.08</v>
      </c>
      <c r="M598" vm="7099">
        <f ca="1"/>
        <v>231.95</v>
      </c>
      <c r="N598" vm="7124">
        <f ca="1"/>
        <v>2945.64</v>
      </c>
    </row>
    <row r="599" spans="2:14" x14ac:dyDescent="0.35">
      <c r="B599" vm="7125">
        <f ca="1"/>
        <v>43591</v>
      </c>
      <c r="C599" vm="7126">
        <f ca="1"/>
        <v>59.673000000000002</v>
      </c>
      <c r="D599" vm="7127">
        <f ca="1"/>
        <v>97.527500000000003</v>
      </c>
      <c r="E599" vm="7128">
        <f ca="1"/>
        <v>61.95</v>
      </c>
      <c r="F599" vm="7129">
        <f ca="1"/>
        <v>478.53</v>
      </c>
      <c r="G599" vm="7130">
        <f ca="1"/>
        <v>172.61</v>
      </c>
      <c r="H599" vm="7131">
        <f ca="1"/>
        <v>248.64</v>
      </c>
      <c r="I599" vm="7132">
        <f ca="1"/>
        <v>47.725000000000001</v>
      </c>
      <c r="J599" vm="5949">
        <f ca="1"/>
        <v>41.24</v>
      </c>
      <c r="K599" vm="7133">
        <f ca="1"/>
        <v>4.4962999999999997</v>
      </c>
      <c r="L599" vm="7134">
        <f ca="1"/>
        <v>105.68</v>
      </c>
      <c r="M599" vm="7135">
        <f ca="1"/>
        <v>240.5</v>
      </c>
      <c r="N599" vm="7136">
        <f ca="1"/>
        <v>2932.47</v>
      </c>
    </row>
    <row r="600" spans="2:14" x14ac:dyDescent="0.35">
      <c r="B600" vm="7137">
        <f ca="1"/>
        <v>43592</v>
      </c>
      <c r="C600" vm="7138">
        <f ca="1"/>
        <v>58.942999999999998</v>
      </c>
      <c r="D600" vm="7139">
        <f ca="1"/>
        <v>96.05</v>
      </c>
      <c r="E600" vm="7140">
        <f ca="1"/>
        <v>61.97</v>
      </c>
      <c r="F600" vm="7141">
        <f ca="1"/>
        <v>474.93</v>
      </c>
      <c r="G600" vm="7142">
        <f ca="1"/>
        <v>169.85</v>
      </c>
      <c r="H600" vm="7143">
        <f ca="1"/>
        <v>245.06</v>
      </c>
      <c r="I600" vm="7144">
        <f ca="1"/>
        <v>47.4375</v>
      </c>
      <c r="J600" vm="3740">
        <f ca="1"/>
        <v>40.6</v>
      </c>
      <c r="K600" vm="7145">
        <f ca="1"/>
        <v>4.3277999999999999</v>
      </c>
      <c r="L600" vm="7146">
        <f ca="1"/>
        <v>104.7</v>
      </c>
      <c r="M600" vm="7147">
        <f ca="1"/>
        <v>238.05</v>
      </c>
      <c r="N600" vm="7148">
        <f ca="1"/>
        <v>2884.05</v>
      </c>
    </row>
    <row r="601" spans="2:14" x14ac:dyDescent="0.35">
      <c r="B601" vm="7149">
        <f ca="1"/>
        <v>43593</v>
      </c>
      <c r="C601" vm="7150">
        <f ca="1"/>
        <v>58.539000000000001</v>
      </c>
      <c r="D601" vm="7151">
        <f ca="1"/>
        <v>95.888499999999993</v>
      </c>
      <c r="E601" vm="7128">
        <f ca="1"/>
        <v>61.95</v>
      </c>
      <c r="F601" vm="7152">
        <f ca="1"/>
        <v>478.98</v>
      </c>
      <c r="G601" vm="7153">
        <f ca="1"/>
        <v>170.36</v>
      </c>
      <c r="H601" vm="7154">
        <f ca="1"/>
        <v>245.33</v>
      </c>
      <c r="I601" vm="6546">
        <f ca="1"/>
        <v>46.97</v>
      </c>
      <c r="J601" vm="1994">
        <f ca="1"/>
        <v>40.270000000000003</v>
      </c>
      <c r="K601" vm="7155">
        <f ca="1"/>
        <v>4.3479999999999999</v>
      </c>
      <c r="L601" vm="7156">
        <f ca="1"/>
        <v>105.07</v>
      </c>
      <c r="M601" vm="6970">
        <f ca="1"/>
        <v>239.15</v>
      </c>
      <c r="N601" vm="7157">
        <f ca="1"/>
        <v>2879.42</v>
      </c>
    </row>
    <row r="602" spans="2:14" x14ac:dyDescent="0.35">
      <c r="B602" vm="7158">
        <f ca="1"/>
        <v>43594</v>
      </c>
      <c r="C602" vm="7159">
        <f ca="1"/>
        <v>58.398499999999999</v>
      </c>
      <c r="D602" vm="7160">
        <f ca="1"/>
        <v>94.993499999999997</v>
      </c>
      <c r="E602" vm="3007">
        <f ca="1"/>
        <v>62.37</v>
      </c>
      <c r="F602" vm="7161">
        <f ca="1"/>
        <v>476.59</v>
      </c>
      <c r="G602" vm="7162">
        <f ca="1"/>
        <v>170.39</v>
      </c>
      <c r="H602" vm="7163">
        <f ca="1"/>
        <v>245.31</v>
      </c>
      <c r="I602" vm="7164">
        <f ca="1"/>
        <v>47.152500000000003</v>
      </c>
      <c r="J602" vm="1994">
        <f ca="1"/>
        <v>40.270000000000003</v>
      </c>
      <c r="K602" vm="7165">
        <f ca="1"/>
        <v>4.2548000000000004</v>
      </c>
      <c r="L602" vm="7166">
        <f ca="1"/>
        <v>104.24</v>
      </c>
      <c r="M602" vm="7167">
        <f ca="1"/>
        <v>237.97</v>
      </c>
      <c r="N602" vm="7168">
        <f ca="1"/>
        <v>2870.72</v>
      </c>
    </row>
    <row r="603" spans="2:14" x14ac:dyDescent="0.35">
      <c r="B603" vm="7169">
        <f ca="1"/>
        <v>43595</v>
      </c>
      <c r="C603" vm="7170">
        <f ca="1"/>
        <v>58.381999999999998</v>
      </c>
      <c r="D603" vm="7171">
        <f ca="1"/>
        <v>94.498999999999995</v>
      </c>
      <c r="E603" vm="7172">
        <f ca="1"/>
        <v>64.31</v>
      </c>
      <c r="F603" vm="7173">
        <f ca="1"/>
        <v>479.82</v>
      </c>
      <c r="G603" vm="7174">
        <f ca="1"/>
        <v>171.63</v>
      </c>
      <c r="H603" vm="7175">
        <f ca="1"/>
        <v>247.43</v>
      </c>
      <c r="I603" vm="7176">
        <f ca="1"/>
        <v>47.94</v>
      </c>
      <c r="J603" vm="2872">
        <f ca="1"/>
        <v>39.56</v>
      </c>
      <c r="K603" vm="7177">
        <f ca="1"/>
        <v>4.2205000000000004</v>
      </c>
      <c r="L603" vm="7021">
        <f ca="1"/>
        <v>106.01</v>
      </c>
      <c r="M603" vm="7178">
        <f ca="1"/>
        <v>240.59</v>
      </c>
      <c r="N603" vm="7179">
        <f ca="1"/>
        <v>2881.4</v>
      </c>
    </row>
    <row r="604" spans="2:14" x14ac:dyDescent="0.35">
      <c r="B604" vm="7180">
        <f ca="1"/>
        <v>43598</v>
      </c>
      <c r="C604" vm="7181">
        <f ca="1"/>
        <v>56.829500000000003</v>
      </c>
      <c r="D604" vm="7182">
        <f ca="1"/>
        <v>91.134</v>
      </c>
      <c r="E604" vm="7183">
        <f ca="1"/>
        <v>64.41</v>
      </c>
      <c r="F604" vm="7184">
        <f ca="1"/>
        <v>476.24</v>
      </c>
      <c r="G604" vm="7185">
        <f ca="1"/>
        <v>166.82</v>
      </c>
      <c r="H604" vm="7186">
        <f ca="1"/>
        <v>241.38</v>
      </c>
      <c r="I604" vm="7187">
        <f ca="1"/>
        <v>48.732500000000002</v>
      </c>
      <c r="J604" vm="7188">
        <f ca="1"/>
        <v>38.159999999999997</v>
      </c>
      <c r="K604" vm="7189">
        <f ca="1"/>
        <v>3.9613</v>
      </c>
      <c r="L604" vm="7190">
        <f ca="1"/>
        <v>106.11</v>
      </c>
      <c r="M604" vm="7191">
        <f ca="1"/>
        <v>239.55</v>
      </c>
      <c r="N604" vm="7192">
        <f ca="1"/>
        <v>2811.87</v>
      </c>
    </row>
    <row r="605" spans="2:14" x14ac:dyDescent="0.35">
      <c r="B605" vm="7193">
        <f ca="1"/>
        <v>43599</v>
      </c>
      <c r="C605" vm="7194">
        <f ca="1"/>
        <v>56.243000000000002</v>
      </c>
      <c r="D605" vm="7195">
        <f ca="1"/>
        <v>92.006</v>
      </c>
      <c r="E605" vm="1973">
        <f ca="1"/>
        <v>63.44</v>
      </c>
      <c r="F605" vm="7196">
        <f ca="1"/>
        <v>484</v>
      </c>
      <c r="G605" vm="7197">
        <f ca="1"/>
        <v>168.16</v>
      </c>
      <c r="H605" vm="7198">
        <f ca="1"/>
        <v>245.94</v>
      </c>
      <c r="I605" vm="7199">
        <f ca="1"/>
        <v>48.725000000000001</v>
      </c>
      <c r="J605" vm="7200">
        <f ca="1"/>
        <v>39</v>
      </c>
      <c r="K605" vm="7201">
        <f ca="1"/>
        <v>4.0510000000000002</v>
      </c>
      <c r="L605" vm="7202">
        <f ca="1"/>
        <v>105.6</v>
      </c>
      <c r="M605" vm="7203">
        <f ca="1"/>
        <v>236.43</v>
      </c>
      <c r="N605" vm="7204">
        <f ca="1"/>
        <v>2834.41</v>
      </c>
    </row>
    <row r="606" spans="2:14" x14ac:dyDescent="0.35">
      <c r="B606" vm="7205">
        <f ca="1"/>
        <v>43600</v>
      </c>
      <c r="C606" vm="7206">
        <f ca="1"/>
        <v>58.54</v>
      </c>
      <c r="D606" vm="7207">
        <f ca="1"/>
        <v>93.557500000000005</v>
      </c>
      <c r="E606" vm="7208">
        <f ca="1"/>
        <v>62.51</v>
      </c>
      <c r="F606" vm="7209">
        <f ca="1"/>
        <v>486.62</v>
      </c>
      <c r="G606" vm="7210">
        <f ca="1"/>
        <v>169.38</v>
      </c>
      <c r="H606" vm="7211">
        <f ca="1"/>
        <v>249.15</v>
      </c>
      <c r="I606" vm="7212">
        <f ca="1"/>
        <v>48.715000000000003</v>
      </c>
      <c r="J606" vm="3429">
        <f ca="1"/>
        <v>39.33</v>
      </c>
      <c r="K606" vm="7213">
        <f ca="1"/>
        <v>3.9895</v>
      </c>
      <c r="L606" vm="7214">
        <f ca="1"/>
        <v>106.7</v>
      </c>
      <c r="M606" vm="7215">
        <f ca="1"/>
        <v>236.08</v>
      </c>
      <c r="N606" vm="7216">
        <f ca="1"/>
        <v>2850.96</v>
      </c>
    </row>
    <row r="607" spans="2:14" x14ac:dyDescent="0.35">
      <c r="B607" vm="7217">
        <f ca="1"/>
        <v>43601</v>
      </c>
      <c r="C607" vm="7218">
        <f ca="1"/>
        <v>59.225000000000001</v>
      </c>
      <c r="D607" vm="7219">
        <f ca="1"/>
        <v>95.378500000000003</v>
      </c>
      <c r="E607" vm="7220">
        <f ca="1"/>
        <v>62.57</v>
      </c>
      <c r="F607" vm="7221">
        <f ca="1"/>
        <v>491.76</v>
      </c>
      <c r="G607" vm="7222">
        <f ca="1"/>
        <v>170.79</v>
      </c>
      <c r="H607" vm="7223">
        <f ca="1"/>
        <v>253.42</v>
      </c>
      <c r="I607" vm="7224">
        <f ca="1"/>
        <v>49.277500000000003</v>
      </c>
      <c r="J607" vm="7225">
        <f ca="1"/>
        <v>39.86</v>
      </c>
      <c r="K607" vm="7226">
        <f ca="1"/>
        <v>4.0048000000000004</v>
      </c>
      <c r="L607" vm="7227">
        <f ca="1"/>
        <v>108.11</v>
      </c>
      <c r="M607" vm="7228">
        <f ca="1"/>
        <v>236.79</v>
      </c>
      <c r="N607" vm="7229">
        <f ca="1"/>
        <v>2876.32</v>
      </c>
    </row>
    <row r="608" spans="2:14" x14ac:dyDescent="0.35">
      <c r="B608" vm="7230">
        <f ca="1"/>
        <v>43602</v>
      </c>
      <c r="C608" vm="7231">
        <f ca="1"/>
        <v>58.439</v>
      </c>
      <c r="D608" vm="7232">
        <f ca="1"/>
        <v>93.45</v>
      </c>
      <c r="E608" vm="7220">
        <f ca="1"/>
        <v>62.57</v>
      </c>
      <c r="F608" vm="7233">
        <f ca="1"/>
        <v>490.28</v>
      </c>
      <c r="G608" vm="7234">
        <f ca="1"/>
        <v>169.95</v>
      </c>
      <c r="H608" vm="7235">
        <f ca="1"/>
        <v>252.55</v>
      </c>
      <c r="I608" vm="7236">
        <f ca="1"/>
        <v>49.744999999999997</v>
      </c>
      <c r="J608" vm="7237">
        <f ca="1"/>
        <v>39.020000000000003</v>
      </c>
      <c r="K608" vm="7238">
        <f ca="1"/>
        <v>3.9133</v>
      </c>
      <c r="L608" vm="7239">
        <f ca="1"/>
        <v>107.45</v>
      </c>
      <c r="M608" vm="7186">
        <f ca="1"/>
        <v>241.38</v>
      </c>
      <c r="N608" vm="7240">
        <f ca="1"/>
        <v>2859.53</v>
      </c>
    </row>
    <row r="609" spans="2:14" x14ac:dyDescent="0.35">
      <c r="B609" vm="7241">
        <f ca="1"/>
        <v>43605</v>
      </c>
      <c r="C609" vm="7242">
        <f ca="1"/>
        <v>57.232999999999997</v>
      </c>
      <c r="D609" vm="7243">
        <f ca="1"/>
        <v>92.948499999999996</v>
      </c>
      <c r="E609" vm="7244">
        <f ca="1"/>
        <v>62.04</v>
      </c>
      <c r="F609" vm="7245">
        <f ca="1"/>
        <v>480.12</v>
      </c>
      <c r="G609" vm="7246">
        <f ca="1"/>
        <v>168.62</v>
      </c>
      <c r="H609" vm="7247">
        <f ca="1"/>
        <v>253.49</v>
      </c>
      <c r="I609" vm="7248">
        <f ca="1"/>
        <v>49.837499999999999</v>
      </c>
      <c r="J609" vm="3501">
        <f ca="1"/>
        <v>39.119999999999997</v>
      </c>
      <c r="K609" vm="1562">
        <f ca="1"/>
        <v>3.7938000000000001</v>
      </c>
      <c r="L609" vm="7249">
        <f ca="1"/>
        <v>107.33</v>
      </c>
      <c r="M609" vm="7250">
        <f ca="1"/>
        <v>245.99</v>
      </c>
      <c r="N609" vm="7251">
        <f ca="1"/>
        <v>2840.23</v>
      </c>
    </row>
    <row r="610" spans="2:14" x14ac:dyDescent="0.35">
      <c r="B610" vm="7252">
        <f ca="1"/>
        <v>43606</v>
      </c>
      <c r="C610" vm="7253">
        <f ca="1"/>
        <v>57.722000000000001</v>
      </c>
      <c r="D610" vm="7254">
        <f ca="1"/>
        <v>92.876000000000005</v>
      </c>
      <c r="E610" vm="7255">
        <f ca="1"/>
        <v>62.4</v>
      </c>
      <c r="F610" vm="7256">
        <f ca="1"/>
        <v>484.45</v>
      </c>
      <c r="G610" vm="7257">
        <f ca="1"/>
        <v>169.6</v>
      </c>
      <c r="H610" vm="7258">
        <f ca="1"/>
        <v>255.36</v>
      </c>
      <c r="I610" vm="7259">
        <f ca="1"/>
        <v>49.725000000000001</v>
      </c>
      <c r="J610" vm="3613">
        <f ca="1"/>
        <v>39.5</v>
      </c>
      <c r="K610" vm="7260">
        <f ca="1"/>
        <v>3.8765000000000001</v>
      </c>
      <c r="L610" vm="7261">
        <f ca="1"/>
        <v>106.37</v>
      </c>
      <c r="M610" vm="7262">
        <f ca="1"/>
        <v>249.94</v>
      </c>
      <c r="N610" vm="7263">
        <f ca="1"/>
        <v>2864.36</v>
      </c>
    </row>
    <row r="611" spans="2:14" x14ac:dyDescent="0.35">
      <c r="B611" vm="7264">
        <f ca="1"/>
        <v>43607</v>
      </c>
      <c r="C611" vm="7265">
        <f ca="1"/>
        <v>57.792499999999997</v>
      </c>
      <c r="D611" vm="7266">
        <f ca="1"/>
        <v>92.983999999999995</v>
      </c>
      <c r="E611" vm="7267">
        <f ca="1"/>
        <v>61.5</v>
      </c>
      <c r="F611" vm="7268">
        <f ca="1"/>
        <v>493.99</v>
      </c>
      <c r="G611" vm="7269">
        <f ca="1"/>
        <v>169.31</v>
      </c>
      <c r="H611" vm="7270">
        <f ca="1"/>
        <v>256.89999999999998</v>
      </c>
      <c r="I611" vm="7271">
        <f ca="1"/>
        <v>50.482500000000002</v>
      </c>
      <c r="J611" vm="7272">
        <f ca="1"/>
        <v>38.340000000000003</v>
      </c>
      <c r="K611" vm="7273">
        <f ca="1"/>
        <v>3.8050000000000002</v>
      </c>
      <c r="L611" vm="340">
        <f ca="1"/>
        <v>106.72</v>
      </c>
      <c r="M611" vm="7274">
        <f ca="1"/>
        <v>249.34</v>
      </c>
      <c r="N611" vm="7275">
        <f ca="1"/>
        <v>2856.27</v>
      </c>
    </row>
    <row r="612" spans="2:14" x14ac:dyDescent="0.35">
      <c r="B612" vm="7276">
        <f ca="1"/>
        <v>43608</v>
      </c>
      <c r="C612" vm="7277">
        <f ca="1"/>
        <v>57.267000000000003</v>
      </c>
      <c r="D612" vm="7278">
        <f ca="1"/>
        <v>90.774000000000001</v>
      </c>
      <c r="E612" vm="7279">
        <f ca="1"/>
        <v>61.05</v>
      </c>
      <c r="F612" vm="7280">
        <f ca="1"/>
        <v>496.26</v>
      </c>
      <c r="G612" vm="7281">
        <f ca="1"/>
        <v>166.44</v>
      </c>
      <c r="H612" vm="7282">
        <f ca="1"/>
        <v>249.73</v>
      </c>
      <c r="I612" vm="7283">
        <f ca="1"/>
        <v>50.8825</v>
      </c>
      <c r="J612" vm="169">
        <f ca="1"/>
        <v>37.49</v>
      </c>
      <c r="K612" vm="7284">
        <f ca="1"/>
        <v>3.6829999999999998</v>
      </c>
      <c r="L612" vm="7285">
        <f ca="1"/>
        <v>106.76</v>
      </c>
      <c r="M612" vm="7286">
        <f ca="1"/>
        <v>246.5</v>
      </c>
      <c r="N612" vm="7287">
        <f ca="1"/>
        <v>2822.24</v>
      </c>
    </row>
    <row r="613" spans="2:14" x14ac:dyDescent="0.35">
      <c r="B613" vm="7288">
        <f ca="1"/>
        <v>43609</v>
      </c>
      <c r="C613" vm="7289">
        <f ca="1"/>
        <v>56.930500000000002</v>
      </c>
      <c r="D613" vm="7290">
        <f ca="1"/>
        <v>91.164000000000001</v>
      </c>
      <c r="E613" vm="7291">
        <f ca="1"/>
        <v>61.35</v>
      </c>
      <c r="F613" vm="7292">
        <f ca="1"/>
        <v>496.52</v>
      </c>
      <c r="G613" vm="7293">
        <f ca="1"/>
        <v>166.68</v>
      </c>
      <c r="H613" vm="7294">
        <f ca="1"/>
        <v>251.48</v>
      </c>
      <c r="I613" vm="7295">
        <f ca="1"/>
        <v>50.842500000000001</v>
      </c>
      <c r="J613" vm="749">
        <f ca="1"/>
        <v>37</v>
      </c>
      <c r="K613" vm="7296">
        <f ca="1"/>
        <v>3.6288</v>
      </c>
      <c r="L613" vm="7297">
        <f ca="1"/>
        <v>106.69</v>
      </c>
      <c r="M613" vm="7298">
        <f ca="1"/>
        <v>247.63</v>
      </c>
      <c r="N613" vm="7299">
        <f ca="1"/>
        <v>2826.06</v>
      </c>
    </row>
    <row r="614" spans="2:14" x14ac:dyDescent="0.35">
      <c r="B614" vm="7300">
        <f ca="1"/>
        <v>43613</v>
      </c>
      <c r="C614" vm="7301">
        <f ca="1"/>
        <v>56.978000000000002</v>
      </c>
      <c r="D614" vm="7302">
        <f ca="1"/>
        <v>91.8215</v>
      </c>
      <c r="E614" vm="7303">
        <f ca="1"/>
        <v>61.2</v>
      </c>
      <c r="F614" vm="7304">
        <f ca="1"/>
        <v>491.23</v>
      </c>
      <c r="G614" vm="7305">
        <f ca="1"/>
        <v>165.26</v>
      </c>
      <c r="H614" vm="7306">
        <f ca="1"/>
        <v>253.43</v>
      </c>
      <c r="I614" vm="7307">
        <f ca="1"/>
        <v>50.292499999999997</v>
      </c>
      <c r="J614" vm="7308">
        <f ca="1"/>
        <v>36.5</v>
      </c>
      <c r="K614" vm="7309">
        <f ca="1"/>
        <v>3.5832999999999999</v>
      </c>
      <c r="L614" vm="7310">
        <f ca="1"/>
        <v>104.46</v>
      </c>
      <c r="M614" vm="7311">
        <f ca="1"/>
        <v>242.06</v>
      </c>
      <c r="N614" vm="7312">
        <f ca="1"/>
        <v>2802.39</v>
      </c>
    </row>
    <row r="615" spans="2:14" x14ac:dyDescent="0.35">
      <c r="B615" vm="7313">
        <f ca="1"/>
        <v>43614</v>
      </c>
      <c r="C615" vm="7314">
        <f ca="1"/>
        <v>55.997</v>
      </c>
      <c r="D615" vm="7315">
        <f ca="1"/>
        <v>90.959500000000006</v>
      </c>
      <c r="E615" vm="7316">
        <f ca="1"/>
        <v>60.5</v>
      </c>
      <c r="F615" vm="7317">
        <f ca="1"/>
        <v>482.55</v>
      </c>
      <c r="G615" vm="7318">
        <f ca="1"/>
        <v>164.37</v>
      </c>
      <c r="H615" vm="7319">
        <f ca="1"/>
        <v>253.56</v>
      </c>
      <c r="I615" vm="7320">
        <f ca="1"/>
        <v>49.68</v>
      </c>
      <c r="J615" vm="7321">
        <f ca="1"/>
        <v>36.18</v>
      </c>
      <c r="K615" vm="7322">
        <f ca="1"/>
        <v>3.5085000000000002</v>
      </c>
      <c r="L615" vm="7323">
        <f ca="1"/>
        <v>104.19</v>
      </c>
      <c r="M615" vm="7324">
        <f ca="1"/>
        <v>242.4</v>
      </c>
      <c r="N615" vm="3703">
        <f ca="1"/>
        <v>2783.02</v>
      </c>
    </row>
    <row r="616" spans="2:14" x14ac:dyDescent="0.35">
      <c r="B616" vm="7325">
        <f ca="1"/>
        <v>43615</v>
      </c>
      <c r="C616" vm="7326">
        <f ca="1"/>
        <v>56.070500000000003</v>
      </c>
      <c r="D616" vm="7327">
        <f ca="1"/>
        <v>90.816000000000003</v>
      </c>
      <c r="E616" vm="7328">
        <f ca="1"/>
        <v>61.04</v>
      </c>
      <c r="F616" vm="7329">
        <f ca="1"/>
        <v>487.31</v>
      </c>
      <c r="G616" vm="7330">
        <f ca="1"/>
        <v>165.45</v>
      </c>
      <c r="H616" vm="7331">
        <f ca="1"/>
        <v>254.19</v>
      </c>
      <c r="I616" vm="7332">
        <f ca="1"/>
        <v>49.734999999999999</v>
      </c>
      <c r="J616" vm="7333">
        <f ca="1"/>
        <v>35.18</v>
      </c>
      <c r="K616" vm="7334">
        <f ca="1"/>
        <v>3.4777999999999998</v>
      </c>
      <c r="L616" vm="7335">
        <f ca="1"/>
        <v>105.33</v>
      </c>
      <c r="M616" vm="7336">
        <f ca="1"/>
        <v>243.5</v>
      </c>
      <c r="N616" vm="7337">
        <f ca="1"/>
        <v>2788.86</v>
      </c>
    </row>
    <row r="617" spans="2:14" x14ac:dyDescent="0.35">
      <c r="B617" vm="7338">
        <f ca="1"/>
        <v>43616</v>
      </c>
      <c r="C617" vm="7339">
        <f ca="1"/>
        <v>55.325000000000003</v>
      </c>
      <c r="D617" vm="7340">
        <f ca="1"/>
        <v>88.753500000000003</v>
      </c>
      <c r="E617" vm="7341">
        <f ca="1"/>
        <v>61.39</v>
      </c>
      <c r="F617" vm="7342">
        <f ca="1"/>
        <v>485.79</v>
      </c>
      <c r="G617" vm="7343">
        <f ca="1"/>
        <v>164.31</v>
      </c>
      <c r="H617" vm="7344">
        <f ca="1"/>
        <v>251.49</v>
      </c>
      <c r="I617" vm="7345">
        <f ca="1"/>
        <v>49.552500000000002</v>
      </c>
      <c r="J617" vm="7346">
        <f ca="1"/>
        <v>34.69</v>
      </c>
      <c r="K617" vm="7347">
        <f ca="1"/>
        <v>3.3864999999999998</v>
      </c>
      <c r="L617" vm="7348">
        <f ca="1"/>
        <v>102.91</v>
      </c>
      <c r="M617" vm="7349">
        <f ca="1"/>
        <v>241.8</v>
      </c>
      <c r="N617" vm="7350">
        <f ca="1"/>
        <v>2752.06</v>
      </c>
    </row>
    <row r="618" spans="2:14" x14ac:dyDescent="0.35">
      <c r="B618" vm="7351">
        <f ca="1"/>
        <v>43619</v>
      </c>
      <c r="C618" vm="7352">
        <f ca="1"/>
        <v>51.936999999999998</v>
      </c>
      <c r="D618" vm="7353">
        <f ca="1"/>
        <v>84.634500000000003</v>
      </c>
      <c r="E618" vm="7354">
        <f ca="1"/>
        <v>62.05</v>
      </c>
      <c r="F618" vm="7355">
        <f ca="1"/>
        <v>485.58</v>
      </c>
      <c r="G618" vm="7356">
        <f ca="1"/>
        <v>166.47</v>
      </c>
      <c r="H618" vm="7357">
        <f ca="1"/>
        <v>242.26</v>
      </c>
      <c r="I618" vm="7358">
        <f ca="1"/>
        <v>49.895000000000003</v>
      </c>
      <c r="J618" vm="1485">
        <f ca="1"/>
        <v>35.49</v>
      </c>
      <c r="K618" vm="7359">
        <f ca="1"/>
        <v>3.3445</v>
      </c>
      <c r="L618" vm="7360">
        <f ca="1"/>
        <v>103.8</v>
      </c>
      <c r="M618" vm="7361">
        <f ca="1"/>
        <v>236.56</v>
      </c>
      <c r="N618" vm="7362">
        <f ca="1"/>
        <v>2744.45</v>
      </c>
    </row>
    <row r="619" spans="2:14" x14ac:dyDescent="0.35">
      <c r="B619" vm="7363">
        <f ca="1"/>
        <v>43620</v>
      </c>
      <c r="C619" vm="7364">
        <f ca="1"/>
        <v>52.724499999999999</v>
      </c>
      <c r="D619" vm="7365">
        <f ca="1"/>
        <v>86.477999999999994</v>
      </c>
      <c r="E619" vm="7366">
        <f ca="1"/>
        <v>63.09</v>
      </c>
      <c r="F619" vm="2750">
        <f ca="1"/>
        <v>481.05</v>
      </c>
      <c r="G619" vm="7367">
        <f ca="1"/>
        <v>168.15</v>
      </c>
      <c r="H619" vm="7368">
        <f ca="1"/>
        <v>249.18</v>
      </c>
      <c r="I619" vm="7369">
        <f ca="1"/>
        <v>49.844999999999999</v>
      </c>
      <c r="J619" vm="7370">
        <f ca="1"/>
        <v>35.729999999999997</v>
      </c>
      <c r="K619" vm="7371">
        <f ca="1"/>
        <v>3.5750000000000002</v>
      </c>
      <c r="L619" vm="7372">
        <f ca="1"/>
        <v>104.68</v>
      </c>
      <c r="M619" vm="7373">
        <f ca="1"/>
        <v>240.76</v>
      </c>
      <c r="N619" vm="7374">
        <f ca="1"/>
        <v>2803.27</v>
      </c>
    </row>
    <row r="620" spans="2:14" x14ac:dyDescent="0.35">
      <c r="B620" vm="7375">
        <f ca="1"/>
        <v>43621</v>
      </c>
      <c r="C620" vm="7376">
        <f ca="1"/>
        <v>52.231999999999999</v>
      </c>
      <c r="D620" vm="7377">
        <f ca="1"/>
        <v>86.924999999999997</v>
      </c>
      <c r="E620" vm="7378">
        <f ca="1"/>
        <v>64.45</v>
      </c>
      <c r="F620" vm="7379">
        <f ca="1"/>
        <v>495.29</v>
      </c>
      <c r="G620" vm="7380">
        <f ca="1"/>
        <v>169.41</v>
      </c>
      <c r="H620" vm="7381">
        <f ca="1"/>
        <v>256.26</v>
      </c>
      <c r="I620" vm="7382">
        <f ca="1"/>
        <v>51.162500000000001</v>
      </c>
      <c r="J620" vm="7383">
        <f ca="1"/>
        <v>34.94</v>
      </c>
      <c r="K620" vm="7384">
        <f ca="1"/>
        <v>3.532</v>
      </c>
      <c r="L620" vm="7385">
        <f ca="1"/>
        <v>106.73</v>
      </c>
      <c r="M620" vm="7386">
        <f ca="1"/>
        <v>242.77</v>
      </c>
      <c r="N620" vm="7387">
        <f ca="1"/>
        <v>2826.15</v>
      </c>
    </row>
    <row r="621" spans="2:14" x14ac:dyDescent="0.35">
      <c r="B621" vm="7388">
        <f ca="1"/>
        <v>43622</v>
      </c>
      <c r="C621" vm="7389">
        <f ca="1"/>
        <v>52.387999999999998</v>
      </c>
      <c r="D621" vm="7390">
        <f ca="1"/>
        <v>87.718000000000004</v>
      </c>
      <c r="E621" vm="7391">
        <f ca="1"/>
        <v>65.66</v>
      </c>
      <c r="F621" vm="7392">
        <f ca="1"/>
        <v>494.66</v>
      </c>
      <c r="G621" vm="7393">
        <f ca="1"/>
        <v>170.26</v>
      </c>
      <c r="H621" vm="7394">
        <f ca="1"/>
        <v>257.83</v>
      </c>
      <c r="I621" vm="7395">
        <f ca="1"/>
        <v>51.44</v>
      </c>
      <c r="J621" vm="7396">
        <f ca="1"/>
        <v>35.049999999999997</v>
      </c>
      <c r="K621" vm="7397">
        <f ca="1"/>
        <v>3.5945</v>
      </c>
      <c r="L621" vm="7398">
        <f ca="1"/>
        <v>107.38</v>
      </c>
      <c r="M621" vm="7399">
        <f ca="1"/>
        <v>241.82</v>
      </c>
      <c r="N621" vm="7400">
        <f ca="1"/>
        <v>2843.49</v>
      </c>
    </row>
    <row r="622" spans="2:14" x14ac:dyDescent="0.35">
      <c r="B622" vm="7401">
        <f ca="1"/>
        <v>43623</v>
      </c>
      <c r="C622" vm="7402">
        <f ca="1"/>
        <v>53.418500000000002</v>
      </c>
      <c r="D622" vm="7403">
        <f ca="1"/>
        <v>90.201499999999996</v>
      </c>
      <c r="E622" vm="7404">
        <f ca="1"/>
        <v>65.900000000000006</v>
      </c>
      <c r="F622" vm="7405">
        <f ca="1"/>
        <v>499.6</v>
      </c>
      <c r="G622" vm="7406">
        <f ca="1"/>
        <v>172.26</v>
      </c>
      <c r="H622" vm="7407">
        <f ca="1"/>
        <v>265.8</v>
      </c>
      <c r="I622" vm="7408">
        <f ca="1"/>
        <v>51.097499999999997</v>
      </c>
      <c r="J622" vm="7409">
        <f ca="1"/>
        <v>35.6</v>
      </c>
      <c r="K622" vm="7410">
        <f ca="1"/>
        <v>3.6375000000000002</v>
      </c>
      <c r="L622" vm="7411">
        <f ca="1"/>
        <v>108.77</v>
      </c>
      <c r="M622" vm="7412">
        <f ca="1"/>
        <v>246.77</v>
      </c>
      <c r="N622" vm="7413">
        <f ca="1"/>
        <v>2873.34</v>
      </c>
    </row>
    <row r="623" spans="2:14" x14ac:dyDescent="0.35">
      <c r="B623" vm="7414">
        <f ca="1"/>
        <v>43626</v>
      </c>
      <c r="C623" vm="7415">
        <f ca="1"/>
        <v>54.137999999999998</v>
      </c>
      <c r="D623" vm="7416">
        <f ca="1"/>
        <v>93.031499999999994</v>
      </c>
      <c r="E623" vm="7417">
        <f ca="1"/>
        <v>66.319999999999993</v>
      </c>
      <c r="F623" vm="7418">
        <f ca="1"/>
        <v>506.02</v>
      </c>
      <c r="G623" vm="7419">
        <f ca="1"/>
        <v>171.28</v>
      </c>
      <c r="H623" vm="7420">
        <f ca="1"/>
        <v>266.10000000000002</v>
      </c>
      <c r="I623" vm="7421">
        <f ca="1"/>
        <v>50.854999999999997</v>
      </c>
      <c r="J623" vm="7422">
        <f ca="1"/>
        <v>35.47</v>
      </c>
      <c r="K623" vm="7423">
        <f ca="1"/>
        <v>3.7107999999999999</v>
      </c>
      <c r="L623" vm="7424">
        <f ca="1"/>
        <v>108.72</v>
      </c>
      <c r="M623" vm="7425">
        <f ca="1"/>
        <v>248.14</v>
      </c>
      <c r="N623" vm="7426">
        <f ca="1"/>
        <v>2886.73</v>
      </c>
    </row>
    <row r="624" spans="2:14" x14ac:dyDescent="0.35">
      <c r="B624" vm="7427">
        <f ca="1"/>
        <v>43627</v>
      </c>
      <c r="C624" vm="7428">
        <f ca="1"/>
        <v>54.052</v>
      </c>
      <c r="D624" vm="7429">
        <f ca="1"/>
        <v>93.185000000000002</v>
      </c>
      <c r="E624" vm="7430">
        <f ca="1"/>
        <v>66.44</v>
      </c>
      <c r="F624" vm="7431">
        <f ca="1"/>
        <v>504.24</v>
      </c>
      <c r="G624" vm="7432">
        <f ca="1"/>
        <v>171.65</v>
      </c>
      <c r="H624" vm="7433">
        <f ca="1"/>
        <v>263.66000000000003</v>
      </c>
      <c r="I624" vm="7434">
        <f ca="1"/>
        <v>50.4925</v>
      </c>
      <c r="J624" vm="7435">
        <f ca="1"/>
        <v>36.69</v>
      </c>
      <c r="K624" vm="7436">
        <f ca="1"/>
        <v>3.7688000000000001</v>
      </c>
      <c r="L624" vm="224">
        <f ca="1"/>
        <v>109.38</v>
      </c>
      <c r="M624" vm="7437">
        <f ca="1"/>
        <v>245.87</v>
      </c>
      <c r="N624" vm="7438">
        <f ca="1"/>
        <v>2885.72</v>
      </c>
    </row>
    <row r="625" spans="2:14" x14ac:dyDescent="0.35">
      <c r="B625" vm="7439">
        <f ca="1"/>
        <v>43628</v>
      </c>
      <c r="C625" vm="7440">
        <f ca="1"/>
        <v>53.954999999999998</v>
      </c>
      <c r="D625" vm="7441">
        <f ca="1"/>
        <v>92.766000000000005</v>
      </c>
      <c r="E625" vm="7442">
        <f ca="1"/>
        <v>66.599999999999994</v>
      </c>
      <c r="F625" vm="7443">
        <f ca="1"/>
        <v>503.67</v>
      </c>
      <c r="G625" vm="7444">
        <f ca="1"/>
        <v>172.9</v>
      </c>
      <c r="H625" vm="7445">
        <f ca="1"/>
        <v>263.85000000000002</v>
      </c>
      <c r="I625" vm="7446">
        <f ca="1"/>
        <v>51.137500000000003</v>
      </c>
      <c r="J625" vm="7447">
        <f ca="1"/>
        <v>35.58</v>
      </c>
      <c r="K625" vm="7448">
        <f ca="1"/>
        <v>3.6549999999999998</v>
      </c>
      <c r="L625" vm="7449">
        <f ca="1"/>
        <v>109.68</v>
      </c>
      <c r="M625" vm="7450">
        <f ca="1"/>
        <v>244.5</v>
      </c>
      <c r="N625" vm="7451">
        <f ca="1"/>
        <v>2879.84</v>
      </c>
    </row>
    <row r="626" spans="2:14" x14ac:dyDescent="0.35">
      <c r="B626" vm="7452">
        <f ca="1"/>
        <v>43629</v>
      </c>
      <c r="C626" vm="7453">
        <f ca="1"/>
        <v>54.5505</v>
      </c>
      <c r="D626" vm="7454">
        <f ca="1"/>
        <v>93.515000000000001</v>
      </c>
      <c r="E626" vm="7455">
        <f ca="1"/>
        <v>64.92</v>
      </c>
      <c r="F626" vm="7456">
        <f ca="1"/>
        <v>507.3</v>
      </c>
      <c r="G626" vm="7457">
        <f ca="1"/>
        <v>173.19</v>
      </c>
      <c r="H626" vm="7458">
        <f ca="1"/>
        <v>261.2</v>
      </c>
      <c r="I626" vm="7459">
        <f ca="1"/>
        <v>51.192500000000003</v>
      </c>
      <c r="J626" vm="7460">
        <f ca="1"/>
        <v>36.79</v>
      </c>
      <c r="K626" vm="7461">
        <f ca="1"/>
        <v>3.7065000000000001</v>
      </c>
      <c r="L626" vm="7462">
        <f ca="1"/>
        <v>110.91</v>
      </c>
      <c r="M626" vm="7463">
        <f ca="1"/>
        <v>244.96</v>
      </c>
      <c r="N626" vm="7464">
        <f ca="1"/>
        <v>2891.64</v>
      </c>
    </row>
    <row r="627" spans="2:14" x14ac:dyDescent="0.35">
      <c r="B627" vm="7465">
        <f ca="1"/>
        <v>43630</v>
      </c>
      <c r="C627" vm="7466">
        <f ca="1"/>
        <v>54.314999999999998</v>
      </c>
      <c r="D627" vm="7467">
        <f ca="1"/>
        <v>93.483500000000006</v>
      </c>
      <c r="E627" vm="7468">
        <f ca="1"/>
        <v>65.41</v>
      </c>
      <c r="F627" vm="7469">
        <f ca="1"/>
        <v>509.92</v>
      </c>
      <c r="G627" vm="7470">
        <f ca="1"/>
        <v>172.81</v>
      </c>
      <c r="H627" vm="7471">
        <f ca="1"/>
        <v>260.10000000000002</v>
      </c>
      <c r="I627" vm="7472">
        <f ca="1"/>
        <v>51.74</v>
      </c>
      <c r="J627" vm="7473">
        <f ca="1"/>
        <v>35.93</v>
      </c>
      <c r="K627" vm="7474">
        <f ca="1"/>
        <v>3.6160000000000001</v>
      </c>
      <c r="L627" vm="7475">
        <f ca="1"/>
        <v>111.2</v>
      </c>
      <c r="M627" vm="7476">
        <f ca="1"/>
        <v>245.37</v>
      </c>
      <c r="N627" vm="7477">
        <f ca="1"/>
        <v>2886.98</v>
      </c>
    </row>
    <row r="628" spans="2:14" x14ac:dyDescent="0.35">
      <c r="B628" vm="7478">
        <f ca="1"/>
        <v>43633</v>
      </c>
      <c r="C628" vm="7479">
        <f ca="1"/>
        <v>54.694499999999998</v>
      </c>
      <c r="D628" vm="7480">
        <f ca="1"/>
        <v>94.301500000000004</v>
      </c>
      <c r="E628" vm="7481">
        <f ca="1"/>
        <v>65.319999999999993</v>
      </c>
      <c r="F628" vm="7482">
        <f ca="1"/>
        <v>511.48</v>
      </c>
      <c r="G628" vm="3946">
        <f ca="1"/>
        <v>172.36</v>
      </c>
      <c r="H628" vm="7483">
        <f ca="1"/>
        <v>259.2</v>
      </c>
      <c r="I628" vm="7484">
        <f ca="1"/>
        <v>51.592500000000001</v>
      </c>
      <c r="J628" vm="285">
        <f ca="1"/>
        <v>36.659999999999997</v>
      </c>
      <c r="K628" vm="7485">
        <f ca="1"/>
        <v>3.6257999999999999</v>
      </c>
      <c r="L628" vm="7486">
        <f ca="1"/>
        <v>110.99</v>
      </c>
      <c r="M628" vm="6084">
        <f ca="1"/>
        <v>245.97</v>
      </c>
      <c r="N628" vm="7487">
        <f ca="1"/>
        <v>2889.67</v>
      </c>
    </row>
    <row r="629" spans="2:14" x14ac:dyDescent="0.35">
      <c r="B629" vm="7488">
        <f ca="1"/>
        <v>43634</v>
      </c>
      <c r="C629" vm="7489">
        <f ca="1"/>
        <v>55.262</v>
      </c>
      <c r="D629" vm="7490">
        <f ca="1"/>
        <v>95.0685</v>
      </c>
      <c r="E629" vm="7491">
        <f ca="1"/>
        <v>66.45</v>
      </c>
      <c r="F629" vm="7492">
        <f ca="1"/>
        <v>503.23</v>
      </c>
      <c r="G629" vm="7493">
        <f ca="1"/>
        <v>175.75</v>
      </c>
      <c r="H629" vm="4921">
        <f ca="1"/>
        <v>258.81</v>
      </c>
      <c r="I629" vm="7494">
        <f ca="1"/>
        <v>51.354999999999997</v>
      </c>
      <c r="J629" vm="1935">
        <f ca="1"/>
        <v>36.93</v>
      </c>
      <c r="K629" vm="6464">
        <f ca="1"/>
        <v>3.8220000000000001</v>
      </c>
      <c r="L629" vm="7495">
        <f ca="1"/>
        <v>109.6</v>
      </c>
      <c r="M629" vm="7496">
        <f ca="1"/>
        <v>245.7</v>
      </c>
      <c r="N629" vm="7497">
        <f ca="1"/>
        <v>2917.75</v>
      </c>
    </row>
    <row r="630" spans="2:14" x14ac:dyDescent="0.35">
      <c r="B630" vm="7498">
        <f ca="1"/>
        <v>43635</v>
      </c>
      <c r="C630" vm="7499">
        <f ca="1"/>
        <v>55.225499999999997</v>
      </c>
      <c r="D630" vm="7500">
        <f ca="1"/>
        <v>95.439499999999995</v>
      </c>
      <c r="E630" vm="4863">
        <f ca="1"/>
        <v>66.66</v>
      </c>
      <c r="F630" vm="7501">
        <f ca="1"/>
        <v>511.17</v>
      </c>
      <c r="G630" vm="7502">
        <f ca="1"/>
        <v>175.41</v>
      </c>
      <c r="H630" vm="7503">
        <f ca="1"/>
        <v>259.87</v>
      </c>
      <c r="I630" vm="7504">
        <f ca="1"/>
        <v>51.56</v>
      </c>
      <c r="J630" vm="3406">
        <f ca="1"/>
        <v>36.51</v>
      </c>
      <c r="K630" vm="7505">
        <f ca="1"/>
        <v>3.8279999999999998</v>
      </c>
      <c r="L630" vm="7506">
        <f ca="1"/>
        <v>110.42</v>
      </c>
      <c r="M630" vm="7507">
        <f ca="1"/>
        <v>250.19</v>
      </c>
      <c r="N630" vm="7508">
        <f ca="1"/>
        <v>2926.46</v>
      </c>
    </row>
    <row r="631" spans="2:14" x14ac:dyDescent="0.35">
      <c r="B631" vm="7509">
        <f ca="1"/>
        <v>43636</v>
      </c>
      <c r="C631" vm="7510">
        <f ca="1"/>
        <v>55.66</v>
      </c>
      <c r="D631" vm="7511">
        <f ca="1"/>
        <v>95.909499999999994</v>
      </c>
      <c r="E631" vm="7512">
        <f ca="1"/>
        <v>67.25</v>
      </c>
      <c r="F631" vm="7513">
        <f ca="1"/>
        <v>508.37</v>
      </c>
      <c r="G631" vm="7514">
        <f ca="1"/>
        <v>176.29</v>
      </c>
      <c r="H631" vm="7515">
        <f ca="1"/>
        <v>266.79000000000002</v>
      </c>
      <c r="I631" vm="7516">
        <f ca="1"/>
        <v>51.594999999999999</v>
      </c>
      <c r="J631" vm="4733">
        <f ca="1"/>
        <v>38.25</v>
      </c>
      <c r="K631" vm="7517">
        <f ca="1"/>
        <v>3.8525</v>
      </c>
      <c r="L631" vm="540">
        <f ca="1"/>
        <v>111.74</v>
      </c>
      <c r="M631" vm="7518">
        <f ca="1"/>
        <v>247.76</v>
      </c>
      <c r="N631" vm="7519">
        <f ca="1"/>
        <v>2954.18</v>
      </c>
    </row>
    <row r="632" spans="2:14" x14ac:dyDescent="0.35">
      <c r="B632" vm="7520">
        <f ca="1"/>
        <v>43637</v>
      </c>
      <c r="C632" vm="7521">
        <f ca="1"/>
        <v>56.268500000000003</v>
      </c>
      <c r="D632" vm="7522">
        <f ca="1"/>
        <v>95.564999999999998</v>
      </c>
      <c r="E632" vm="2685">
        <f ca="1"/>
        <v>67.08</v>
      </c>
      <c r="F632" vm="7523">
        <f ca="1"/>
        <v>508.09</v>
      </c>
      <c r="G632" vm="7524">
        <f ca="1"/>
        <v>174.31</v>
      </c>
      <c r="H632" vm="7525">
        <f ca="1"/>
        <v>264.47000000000003</v>
      </c>
      <c r="I632" vm="7526">
        <f ca="1"/>
        <v>51.887500000000003</v>
      </c>
      <c r="J632" vm="7527">
        <f ca="1"/>
        <v>38.880000000000003</v>
      </c>
      <c r="K632" vm="7528">
        <f ca="1"/>
        <v>3.794</v>
      </c>
      <c r="L632" vm="7475">
        <f ca="1"/>
        <v>111.2</v>
      </c>
      <c r="M632" vm="7529">
        <f ca="1"/>
        <v>252.28</v>
      </c>
      <c r="N632" vm="7530">
        <f ca="1"/>
        <v>2950.46</v>
      </c>
    </row>
    <row r="633" spans="2:14" x14ac:dyDescent="0.35">
      <c r="B633" vm="7531">
        <f ca="1"/>
        <v>43640</v>
      </c>
      <c r="C633" vm="7532">
        <f ca="1"/>
        <v>55.835000000000001</v>
      </c>
      <c r="D633" vm="7533">
        <f ca="1"/>
        <v>95.694999999999993</v>
      </c>
      <c r="E633" vm="7534">
        <f ca="1"/>
        <v>67.180000000000007</v>
      </c>
      <c r="F633" vm="7535">
        <f ca="1"/>
        <v>510.04</v>
      </c>
      <c r="G633" vm="7536">
        <f ca="1"/>
        <v>174.61</v>
      </c>
      <c r="H633" vm="5531">
        <f ca="1"/>
        <v>265.3</v>
      </c>
      <c r="I633" vm="7537">
        <f ca="1"/>
        <v>52.05</v>
      </c>
      <c r="J633" vm="7538">
        <f ca="1"/>
        <v>38.65</v>
      </c>
      <c r="K633" vm="7539">
        <f ca="1"/>
        <v>3.8165</v>
      </c>
      <c r="L633" vm="7540">
        <f ca="1"/>
        <v>112.33</v>
      </c>
      <c r="M633" vm="7541">
        <f ca="1"/>
        <v>249.64</v>
      </c>
      <c r="N633" vm="7542">
        <f ca="1"/>
        <v>2945.35</v>
      </c>
    </row>
    <row r="634" spans="2:14" x14ac:dyDescent="0.35">
      <c r="B634" vm="7543">
        <f ca="1"/>
        <v>43641</v>
      </c>
      <c r="C634" vm="7544">
        <f ca="1"/>
        <v>54.378999999999998</v>
      </c>
      <c r="D634" vm="7545">
        <f ca="1"/>
        <v>93.913499999999999</v>
      </c>
      <c r="E634" vm="7546">
        <f ca="1"/>
        <v>68.06</v>
      </c>
      <c r="F634" vm="7547">
        <f ca="1"/>
        <v>500.05</v>
      </c>
      <c r="G634" vm="7548">
        <f ca="1"/>
        <v>173.94</v>
      </c>
      <c r="H634" vm="5179">
        <f ca="1"/>
        <v>259.73</v>
      </c>
      <c r="I634" vm="7549">
        <f ca="1"/>
        <v>51.555</v>
      </c>
      <c r="J634" vm="4834">
        <f ca="1"/>
        <v>38.58</v>
      </c>
      <c r="K634" vm="7550">
        <f ca="1"/>
        <v>3.7869999999999999</v>
      </c>
      <c r="L634" vm="7551">
        <f ca="1"/>
        <v>111.72</v>
      </c>
      <c r="M634" vm="7552">
        <f ca="1"/>
        <v>247.66</v>
      </c>
      <c r="N634" vm="7553">
        <f ca="1"/>
        <v>2917.38</v>
      </c>
    </row>
    <row r="635" spans="2:14" x14ac:dyDescent="0.35">
      <c r="B635" vm="7554">
        <f ca="1"/>
        <v>43642</v>
      </c>
      <c r="C635" vm="7555">
        <f ca="1"/>
        <v>54.015999999999998</v>
      </c>
      <c r="D635" vm="7556">
        <f ca="1"/>
        <v>94.891499999999994</v>
      </c>
      <c r="E635" vm="7557">
        <f ca="1"/>
        <v>67.75</v>
      </c>
      <c r="F635" vm="7233">
        <f ca="1"/>
        <v>490.28</v>
      </c>
      <c r="G635" vm="7558">
        <f ca="1"/>
        <v>173.59</v>
      </c>
      <c r="H635" vm="7559">
        <f ca="1"/>
        <v>261.3</v>
      </c>
      <c r="I635" vm="7560">
        <f ca="1"/>
        <v>50.767499999999998</v>
      </c>
      <c r="J635" vm="7237">
        <f ca="1"/>
        <v>39.020000000000003</v>
      </c>
      <c r="K635" vm="7561">
        <f ca="1"/>
        <v>3.9815</v>
      </c>
      <c r="L635" vm="7562">
        <f ca="1"/>
        <v>109.73</v>
      </c>
      <c r="M635" vm="7563">
        <f ca="1"/>
        <v>243.47</v>
      </c>
      <c r="N635" vm="7564">
        <f ca="1"/>
        <v>2913.78</v>
      </c>
    </row>
    <row r="636" spans="2:14" x14ac:dyDescent="0.35">
      <c r="B636" vm="7565">
        <f ca="1"/>
        <v>43643</v>
      </c>
      <c r="C636" vm="7566">
        <f ca="1"/>
        <v>53.831499999999998</v>
      </c>
      <c r="D636" vm="7567">
        <f ca="1"/>
        <v>95.213999999999999</v>
      </c>
      <c r="E636" vm="1473">
        <f ca="1"/>
        <v>68.099999999999994</v>
      </c>
      <c r="F636" vm="7568">
        <f ca="1"/>
        <v>498.19</v>
      </c>
      <c r="G636" vm="7569">
        <f ca="1"/>
        <v>173.84</v>
      </c>
      <c r="H636" vm="7570">
        <f ca="1"/>
        <v>261.10000000000002</v>
      </c>
      <c r="I636" vm="7446">
        <f ca="1"/>
        <v>51.137500000000003</v>
      </c>
      <c r="J636" vm="7571">
        <f ca="1"/>
        <v>39.11</v>
      </c>
      <c r="K636" vm="7572">
        <f ca="1"/>
        <v>4.0808</v>
      </c>
      <c r="L636" vm="7573">
        <f ca="1"/>
        <v>109.78</v>
      </c>
      <c r="M636" vm="7574">
        <f ca="1"/>
        <v>246.34</v>
      </c>
      <c r="N636" vm="7575">
        <f ca="1"/>
        <v>2924.92</v>
      </c>
    </row>
    <row r="637" spans="2:14" x14ac:dyDescent="0.35">
      <c r="B637" vm="7576">
        <f ca="1"/>
        <v>43644</v>
      </c>
      <c r="C637" vm="7577">
        <f ca="1"/>
        <v>54.14</v>
      </c>
      <c r="D637" vm="7578">
        <f ca="1"/>
        <v>94.6815</v>
      </c>
      <c r="E637" vm="7579">
        <f ca="1"/>
        <v>69.989999999999995</v>
      </c>
      <c r="F637" vm="7580">
        <f ca="1"/>
        <v>504.29</v>
      </c>
      <c r="G637" vm="1041">
        <f ca="1"/>
        <v>174.59</v>
      </c>
      <c r="H637" vm="7581">
        <f ca="1"/>
        <v>264.52999999999997</v>
      </c>
      <c r="I637" vm="7582">
        <f ca="1"/>
        <v>51.215000000000003</v>
      </c>
      <c r="J637" vm="2799">
        <f ca="1"/>
        <v>39.74</v>
      </c>
      <c r="K637" vm="7583">
        <f ca="1"/>
        <v>4.1056999999999997</v>
      </c>
      <c r="L637" vm="7584">
        <f ca="1"/>
        <v>109.65</v>
      </c>
      <c r="M637" vm="7585">
        <f ca="1"/>
        <v>244.01</v>
      </c>
      <c r="N637" vm="7586">
        <f ca="1"/>
        <v>2941.76</v>
      </c>
    </row>
    <row r="638" spans="2:14" x14ac:dyDescent="0.35">
      <c r="B638" vm="7587">
        <f ca="1"/>
        <v>43647</v>
      </c>
      <c r="C638" vm="4351">
        <f ca="1"/>
        <v>55</v>
      </c>
      <c r="D638" vm="7588">
        <f ca="1"/>
        <v>96.109499999999997</v>
      </c>
      <c r="E638" vm="7589">
        <f ca="1"/>
        <v>70.260000000000005</v>
      </c>
      <c r="F638" vm="7590">
        <f ca="1"/>
        <v>504.94</v>
      </c>
      <c r="G638" vm="7591">
        <f ca="1"/>
        <v>176.81</v>
      </c>
      <c r="H638" vm="6322">
        <f ca="1"/>
        <v>266.77</v>
      </c>
      <c r="I638" vm="7592">
        <f ca="1"/>
        <v>51.005000000000003</v>
      </c>
      <c r="J638" vm="7593">
        <f ca="1"/>
        <v>39.32</v>
      </c>
      <c r="K638" vm="7594">
        <f ca="1"/>
        <v>4.1543000000000001</v>
      </c>
      <c r="L638" vm="629">
        <f ca="1"/>
        <v>110.49</v>
      </c>
      <c r="M638" vm="7595">
        <f ca="1"/>
        <v>242.64</v>
      </c>
      <c r="N638" vm="7596">
        <f ca="1"/>
        <v>2964.33</v>
      </c>
    </row>
    <row r="639" spans="2:14" x14ac:dyDescent="0.35">
      <c r="B639" vm="7597">
        <f ca="1"/>
        <v>43648</v>
      </c>
      <c r="C639" vm="7598">
        <f ca="1"/>
        <v>55.63</v>
      </c>
      <c r="D639" vm="7599">
        <f ca="1"/>
        <v>96.715500000000006</v>
      </c>
      <c r="E639" vm="7600">
        <f ca="1"/>
        <v>71.56</v>
      </c>
      <c r="F639" vm="7601">
        <f ca="1"/>
        <v>514.94000000000005</v>
      </c>
      <c r="G639" vm="7602">
        <f ca="1"/>
        <v>176.62</v>
      </c>
      <c r="H639" vm="7603">
        <f ca="1"/>
        <v>270.57</v>
      </c>
      <c r="I639" vm="7604">
        <f ca="1"/>
        <v>51.914999999999999</v>
      </c>
      <c r="J639" vm="7605">
        <f ca="1"/>
        <v>39.18</v>
      </c>
      <c r="K639" vm="7606">
        <f ca="1"/>
        <v>4.0557999999999996</v>
      </c>
      <c r="L639" vm="7607">
        <f ca="1"/>
        <v>111.48</v>
      </c>
      <c r="M639" vm="7608">
        <f ca="1"/>
        <v>243.97</v>
      </c>
      <c r="N639" vm="7609">
        <f ca="1"/>
        <v>2973.01</v>
      </c>
    </row>
    <row r="640" spans="2:14" x14ac:dyDescent="0.35">
      <c r="B640" vm="7610">
        <f ca="1"/>
        <v>43649</v>
      </c>
      <c r="C640" vm="7611">
        <f ca="1"/>
        <v>56.149500000000003</v>
      </c>
      <c r="D640" vm="7612">
        <f ca="1"/>
        <v>96.95</v>
      </c>
      <c r="E640" vm="7613">
        <f ca="1"/>
        <v>72.25</v>
      </c>
      <c r="F640" vm="7614">
        <f ca="1"/>
        <v>518.95000000000005</v>
      </c>
      <c r="G640" vm="7615">
        <f ca="1"/>
        <v>178.4</v>
      </c>
      <c r="H640" vm="7616">
        <f ca="1"/>
        <v>273.08</v>
      </c>
      <c r="I640" vm="7617">
        <f ca="1"/>
        <v>52.182499999999997</v>
      </c>
      <c r="J640" vm="7618">
        <f ca="1"/>
        <v>39.49</v>
      </c>
      <c r="K640" vm="7619">
        <f ca="1"/>
        <v>4.0688000000000004</v>
      </c>
      <c r="L640" vm="7620">
        <f ca="1"/>
        <v>114.08</v>
      </c>
      <c r="M640" vm="3309">
        <f ca="1"/>
        <v>245.21</v>
      </c>
      <c r="N640" vm="7621">
        <f ca="1"/>
        <v>2995.82</v>
      </c>
    </row>
    <row r="641" spans="2:14" x14ac:dyDescent="0.35">
      <c r="B641" vm="7622">
        <f ca="1"/>
        <v>43651</v>
      </c>
      <c r="C641" vm="7623">
        <f ca="1"/>
        <v>56.633299999999998</v>
      </c>
      <c r="D641" vm="7624">
        <f ca="1"/>
        <v>97.145499999999998</v>
      </c>
      <c r="E641" vm="7625">
        <f ca="1"/>
        <v>71.77</v>
      </c>
      <c r="F641" vm="7626">
        <f ca="1"/>
        <v>518.17999999999995</v>
      </c>
      <c r="G641" vm="1295">
        <f ca="1"/>
        <v>176.59</v>
      </c>
      <c r="H641" vm="7627">
        <f ca="1"/>
        <v>272.14</v>
      </c>
      <c r="I641" vm="7628">
        <f ca="1"/>
        <v>52.027500000000003</v>
      </c>
      <c r="J641" vm="7629">
        <f ca="1"/>
        <v>39.57</v>
      </c>
      <c r="K641" vm="7630">
        <f ca="1"/>
        <v>4.0057999999999998</v>
      </c>
      <c r="L641" vm="7631">
        <f ca="1"/>
        <v>113.15</v>
      </c>
      <c r="M641" vm="7632">
        <f ca="1"/>
        <v>246.99</v>
      </c>
      <c r="N641" vm="7633">
        <f ca="1"/>
        <v>2990.41</v>
      </c>
    </row>
    <row r="642" spans="2:14" x14ac:dyDescent="0.35">
      <c r="B642" vm="7634">
        <f ca="1"/>
        <v>43654</v>
      </c>
      <c r="C642" vm="7635">
        <f ca="1"/>
        <v>55.839500000000001</v>
      </c>
      <c r="D642" vm="7636">
        <f ca="1"/>
        <v>97.616</v>
      </c>
      <c r="E642" vm="7637">
        <f ca="1"/>
        <v>70.599999999999994</v>
      </c>
      <c r="F642" vm="7638">
        <f ca="1"/>
        <v>519.16</v>
      </c>
      <c r="G642" vm="7639">
        <f ca="1"/>
        <v>175.67</v>
      </c>
      <c r="H642" vm="7640">
        <f ca="1"/>
        <v>271.23</v>
      </c>
      <c r="I642" vm="7641">
        <f ca="1"/>
        <v>52.282499999999999</v>
      </c>
      <c r="J642" vm="3765">
        <f ca="1"/>
        <v>39.89</v>
      </c>
      <c r="K642" vm="7642">
        <f ca="1"/>
        <v>3.9302999999999999</v>
      </c>
      <c r="L642" vm="7643">
        <f ca="1"/>
        <v>114.05</v>
      </c>
      <c r="M642" vm="7644">
        <f ca="1"/>
        <v>247.84</v>
      </c>
      <c r="N642" vm="7645">
        <f ca="1"/>
        <v>2975.95</v>
      </c>
    </row>
    <row r="643" spans="2:14" x14ac:dyDescent="0.35">
      <c r="B643" vm="7646">
        <f ca="1"/>
        <v>43655</v>
      </c>
      <c r="C643" vm="7647">
        <f ca="1"/>
        <v>56.214500000000001</v>
      </c>
      <c r="D643" vm="7648">
        <f ca="1"/>
        <v>99.415000000000006</v>
      </c>
      <c r="E643" vm="7649">
        <f ca="1"/>
        <v>70.92</v>
      </c>
      <c r="F643" vm="7650">
        <f ca="1"/>
        <v>521.5</v>
      </c>
      <c r="G643" vm="3787">
        <f ca="1"/>
        <v>175.52</v>
      </c>
      <c r="H643" vm="7651">
        <f ca="1"/>
        <v>273.33999999999997</v>
      </c>
      <c r="I643" vm="7652">
        <f ca="1"/>
        <v>52.04</v>
      </c>
      <c r="J643" vm="7653">
        <f ca="1"/>
        <v>40.200000000000003</v>
      </c>
      <c r="K643" vm="7654">
        <f ca="1"/>
        <v>3.9327999999999999</v>
      </c>
      <c r="L643" vm="7655">
        <f ca="1"/>
        <v>112.91</v>
      </c>
      <c r="M643" vm="7656">
        <f ca="1"/>
        <v>246</v>
      </c>
      <c r="N643" vm="7657">
        <f ca="1"/>
        <v>2979.63</v>
      </c>
    </row>
    <row r="644" spans="2:14" x14ac:dyDescent="0.35">
      <c r="B644" vm="7658">
        <f ca="1"/>
        <v>43656</v>
      </c>
      <c r="C644" vm="7659">
        <f ca="1"/>
        <v>57.045499999999997</v>
      </c>
      <c r="D644" vm="7660">
        <f ca="1"/>
        <v>100.87050000000001</v>
      </c>
      <c r="E644" vm="7661">
        <f ca="1"/>
        <v>70.430000000000007</v>
      </c>
      <c r="F644" vm="7662">
        <f ca="1"/>
        <v>527.16</v>
      </c>
      <c r="G644" vm="7663">
        <f ca="1"/>
        <v>174.46</v>
      </c>
      <c r="H644" vm="7664">
        <f ca="1"/>
        <v>275.38</v>
      </c>
      <c r="I644" vm="7665">
        <f ca="1"/>
        <v>52.37</v>
      </c>
      <c r="J644" vm="7666">
        <f ca="1"/>
        <v>40.619999999999997</v>
      </c>
      <c r="K644" vm="7667">
        <f ca="1"/>
        <v>4.0015000000000001</v>
      </c>
      <c r="L644" vm="7668">
        <f ca="1"/>
        <v>113.75</v>
      </c>
      <c r="M644" vm="4627">
        <f ca="1"/>
        <v>247.48</v>
      </c>
      <c r="N644" vm="7669">
        <f ca="1"/>
        <v>2993.07</v>
      </c>
    </row>
    <row r="645" spans="2:14" x14ac:dyDescent="0.35">
      <c r="B645" vm="7670">
        <f ca="1"/>
        <v>43657</v>
      </c>
      <c r="C645" vm="7671">
        <f ca="1"/>
        <v>57.204000000000001</v>
      </c>
      <c r="D645" vm="7672">
        <f ca="1"/>
        <v>100.0535</v>
      </c>
      <c r="E645" vm="7673">
        <f ca="1"/>
        <v>71.150000000000006</v>
      </c>
      <c r="F645" vm="7674">
        <f ca="1"/>
        <v>523.88</v>
      </c>
      <c r="G645" vm="7675">
        <f ca="1"/>
        <v>174.54</v>
      </c>
      <c r="H645" vm="7676">
        <f ca="1"/>
        <v>278.32</v>
      </c>
      <c r="I645" vm="7677">
        <f ca="1"/>
        <v>52.6</v>
      </c>
      <c r="J645" vm="2324">
        <f ca="1"/>
        <v>40.97</v>
      </c>
      <c r="K645" vm="7678">
        <f ca="1"/>
        <v>4.157</v>
      </c>
      <c r="L645" vm="7679">
        <f ca="1"/>
        <v>114.38</v>
      </c>
      <c r="M645" vm="7680">
        <f ca="1"/>
        <v>261.16000000000003</v>
      </c>
      <c r="N645" vm="7681">
        <f ca="1"/>
        <v>2999.91</v>
      </c>
    </row>
    <row r="646" spans="2:14" x14ac:dyDescent="0.35">
      <c r="B646" vm="7682">
        <f ca="1"/>
        <v>43658</v>
      </c>
      <c r="C646" vm="7277">
        <f ca="1"/>
        <v>57.267000000000003</v>
      </c>
      <c r="D646" vm="7683">
        <f ca="1"/>
        <v>100.55</v>
      </c>
      <c r="E646" vm="7684">
        <f ca="1"/>
        <v>70</v>
      </c>
      <c r="F646" vm="7685">
        <f ca="1"/>
        <v>518.01</v>
      </c>
      <c r="G646" vm="7686">
        <f ca="1"/>
        <v>177.14</v>
      </c>
      <c r="H646" vm="7687">
        <f ca="1"/>
        <v>279.54000000000002</v>
      </c>
      <c r="I646" vm="7617">
        <f ca="1"/>
        <v>52.182499999999997</v>
      </c>
      <c r="J646" vm="2312">
        <f ca="1"/>
        <v>40.81</v>
      </c>
      <c r="K646" vm="7688">
        <f ca="1"/>
        <v>4.1902999999999997</v>
      </c>
      <c r="L646" vm="7689">
        <f ca="1"/>
        <v>114.99</v>
      </c>
      <c r="M646" vm="7690">
        <f ca="1"/>
        <v>265.89999999999998</v>
      </c>
      <c r="N646" vm="7691">
        <f ca="1"/>
        <v>3013.77</v>
      </c>
    </row>
    <row r="647" spans="2:14" x14ac:dyDescent="0.35">
      <c r="B647" vm="7692">
        <f ca="1"/>
        <v>43661</v>
      </c>
      <c r="C647" vm="7693">
        <f ca="1"/>
        <v>57.525500000000001</v>
      </c>
      <c r="D647" vm="7694">
        <f ca="1"/>
        <v>101.04949999999999</v>
      </c>
      <c r="E647" vm="7695">
        <f ca="1"/>
        <v>69.290000000000006</v>
      </c>
      <c r="F647" vm="7696">
        <f ca="1"/>
        <v>516.99</v>
      </c>
      <c r="G647" vm="7697">
        <f ca="1"/>
        <v>175.01</v>
      </c>
      <c r="H647" vm="7698">
        <f ca="1"/>
        <v>279.37</v>
      </c>
      <c r="I647" vm="7699">
        <f ca="1"/>
        <v>52.212499999999999</v>
      </c>
      <c r="J647" vm="7700">
        <f ca="1"/>
        <v>40.47</v>
      </c>
      <c r="K647" vm="7701">
        <f ca="1"/>
        <v>4.1818</v>
      </c>
      <c r="L647" vm="7702">
        <f ca="1"/>
        <v>115.48</v>
      </c>
      <c r="M647" vm="7703">
        <f ca="1"/>
        <v>265.95999999999998</v>
      </c>
      <c r="N647" vm="7704">
        <f ca="1"/>
        <v>3014.3</v>
      </c>
    </row>
    <row r="648" spans="2:14" x14ac:dyDescent="0.35">
      <c r="B648" vm="7705">
        <f ca="1"/>
        <v>43662</v>
      </c>
      <c r="C648" vm="7706">
        <f ca="1"/>
        <v>57.673000000000002</v>
      </c>
      <c r="D648" vm="7707">
        <f ca="1"/>
        <v>100.495</v>
      </c>
      <c r="E648" vm="4378">
        <f ca="1"/>
        <v>69.069999999999993</v>
      </c>
      <c r="F648" vm="7708">
        <f ca="1"/>
        <v>514.22</v>
      </c>
      <c r="G648" vm="7709">
        <f ca="1"/>
        <v>174.78</v>
      </c>
      <c r="H648" vm="7710">
        <f ca="1"/>
        <v>276.62</v>
      </c>
      <c r="I648" vm="7711">
        <f ca="1"/>
        <v>51.97</v>
      </c>
      <c r="J648" vm="4296">
        <f ca="1"/>
        <v>40.07</v>
      </c>
      <c r="K648" vm="7712">
        <f ca="1"/>
        <v>4.1769999999999996</v>
      </c>
      <c r="L648" vm="7713">
        <f ca="1"/>
        <v>115.89</v>
      </c>
      <c r="M648" vm="7714">
        <f ca="1"/>
        <v>264.66000000000003</v>
      </c>
      <c r="N648" vm="7715">
        <f ca="1"/>
        <v>3004.04</v>
      </c>
    </row>
    <row r="649" spans="2:14" x14ac:dyDescent="0.35">
      <c r="B649" vm="7716">
        <f ca="1"/>
        <v>43663</v>
      </c>
      <c r="C649" vm="7717">
        <f ca="1"/>
        <v>57.337000000000003</v>
      </c>
      <c r="D649" vm="7718">
        <f ca="1"/>
        <v>99.601500000000001</v>
      </c>
      <c r="E649" vm="7719">
        <f ca="1"/>
        <v>68.510000000000005</v>
      </c>
      <c r="F649" vm="7720">
        <f ca="1"/>
        <v>512.17999999999995</v>
      </c>
      <c r="G649" vm="7246">
        <f ca="1"/>
        <v>168.62</v>
      </c>
      <c r="H649" vm="7721">
        <f ca="1"/>
        <v>275.27999999999997</v>
      </c>
      <c r="I649" vm="7722">
        <f ca="1"/>
        <v>52.477499999999999</v>
      </c>
      <c r="J649" vm="3134">
        <f ca="1"/>
        <v>38.630000000000003</v>
      </c>
      <c r="K649" vm="7723">
        <f ca="1"/>
        <v>4.2427999999999999</v>
      </c>
      <c r="L649" vm="7724">
        <f ca="1"/>
        <v>115.94</v>
      </c>
      <c r="M649" vm="7725">
        <f ca="1"/>
        <v>266.64999999999998</v>
      </c>
      <c r="N649" vm="7726">
        <f ca="1"/>
        <v>2984.42</v>
      </c>
    </row>
    <row r="650" spans="2:14" x14ac:dyDescent="0.35">
      <c r="B650" vm="7727">
        <f ca="1"/>
        <v>43664</v>
      </c>
      <c r="C650" vm="7728">
        <f ca="1"/>
        <v>57.362000000000002</v>
      </c>
      <c r="D650" vm="7729">
        <f ca="1"/>
        <v>98.894999999999996</v>
      </c>
      <c r="E650" vm="7730">
        <f ca="1"/>
        <v>70.900000000000006</v>
      </c>
      <c r="F650" vm="7731">
        <f ca="1"/>
        <v>512.16999999999996</v>
      </c>
      <c r="G650" vm="7732">
        <f ca="1"/>
        <v>173.88</v>
      </c>
      <c r="H650" vm="7733">
        <f ca="1"/>
        <v>276.77999999999997</v>
      </c>
      <c r="I650" vm="7734">
        <f ca="1"/>
        <v>53.09</v>
      </c>
      <c r="J650" vm="7735">
        <f ca="1"/>
        <v>38.78</v>
      </c>
      <c r="K650" vm="7736">
        <f ca="1"/>
        <v>4.2545000000000002</v>
      </c>
      <c r="L650" vm="7737">
        <f ca="1"/>
        <v>115.44</v>
      </c>
      <c r="M650" vm="7738">
        <f ca="1"/>
        <v>260.60000000000002</v>
      </c>
      <c r="N650" vm="7739">
        <f ca="1"/>
        <v>2995.11</v>
      </c>
    </row>
    <row r="651" spans="2:14" x14ac:dyDescent="0.35">
      <c r="B651" vm="7740">
        <f ca="1"/>
        <v>43665</v>
      </c>
      <c r="C651" vm="7741">
        <f ca="1"/>
        <v>56.577500000000001</v>
      </c>
      <c r="D651" vm="7742">
        <f ca="1"/>
        <v>98.225999999999999</v>
      </c>
      <c r="E651" vm="7743">
        <f ca="1"/>
        <v>70.7</v>
      </c>
      <c r="F651" vm="7744">
        <f ca="1"/>
        <v>506.61</v>
      </c>
      <c r="G651" vm="7745">
        <f ca="1"/>
        <v>172.99</v>
      </c>
      <c r="H651" vm="7746">
        <f ca="1"/>
        <v>275.60000000000002</v>
      </c>
      <c r="I651" vm="7747">
        <f ca="1"/>
        <v>52.432499999999997</v>
      </c>
      <c r="J651" vm="7748">
        <f ca="1"/>
        <v>38.71</v>
      </c>
      <c r="K651" vm="7749">
        <f ca="1"/>
        <v>4.2110000000000003</v>
      </c>
      <c r="L651" vm="7750">
        <f ca="1"/>
        <v>115.01</v>
      </c>
      <c r="M651" vm="7751">
        <f ca="1"/>
        <v>256.64999999999998</v>
      </c>
      <c r="N651" vm="7752">
        <f ca="1"/>
        <v>2976.61</v>
      </c>
    </row>
    <row r="652" spans="2:14" x14ac:dyDescent="0.35">
      <c r="B652" vm="7753">
        <f ca="1"/>
        <v>43668</v>
      </c>
      <c r="C652" vm="7754">
        <f ca="1"/>
        <v>56.960500000000003</v>
      </c>
      <c r="D652" vm="7755">
        <f ca="1"/>
        <v>99.281499999999994</v>
      </c>
      <c r="E652" vm="7756">
        <f ca="1"/>
        <v>71.11</v>
      </c>
      <c r="F652" vm="7757">
        <f ca="1"/>
        <v>506.4</v>
      </c>
      <c r="G652" vm="7758">
        <f ca="1"/>
        <v>173.58</v>
      </c>
      <c r="H652" vm="7759">
        <f ca="1"/>
        <v>278.61</v>
      </c>
      <c r="I652" vm="7760">
        <f ca="1"/>
        <v>52.34</v>
      </c>
      <c r="J652" vm="7618">
        <f ca="1"/>
        <v>39.49</v>
      </c>
      <c r="K652" vm="7761">
        <f ca="1"/>
        <v>4.2830000000000004</v>
      </c>
      <c r="L652" vm="7762">
        <f ca="1"/>
        <v>115.3</v>
      </c>
      <c r="M652" vm="7763">
        <f ca="1"/>
        <v>255.32</v>
      </c>
      <c r="N652" vm="7764">
        <f ca="1"/>
        <v>2985.03</v>
      </c>
    </row>
    <row r="653" spans="2:14" x14ac:dyDescent="0.35">
      <c r="B653" vm="7765">
        <f ca="1"/>
        <v>43669</v>
      </c>
      <c r="C653" vm="7766">
        <f ca="1"/>
        <v>57.402500000000003</v>
      </c>
      <c r="D653" vm="7767">
        <f ca="1"/>
        <v>99.724500000000006</v>
      </c>
      <c r="E653" vm="1140">
        <f ca="1"/>
        <v>71.78</v>
      </c>
      <c r="F653" vm="7768">
        <f ca="1"/>
        <v>507.33</v>
      </c>
      <c r="G653" vm="7769">
        <f ca="1"/>
        <v>174.86</v>
      </c>
      <c r="H653" vm="7770">
        <f ca="1"/>
        <v>278.97000000000003</v>
      </c>
      <c r="I653" vm="3928">
        <f ca="1"/>
        <v>51.825000000000003</v>
      </c>
      <c r="J653" vm="1200">
        <f ca="1"/>
        <v>39.75</v>
      </c>
      <c r="K653" vm="7771">
        <f ca="1"/>
        <v>4.3914999999999997</v>
      </c>
      <c r="L653" vm="7772">
        <f ca="1"/>
        <v>113.85</v>
      </c>
      <c r="M653" vm="7773">
        <f ca="1"/>
        <v>255.01</v>
      </c>
      <c r="N653" vm="7774">
        <f ca="1"/>
        <v>3005.47</v>
      </c>
    </row>
    <row r="654" spans="2:14" x14ac:dyDescent="0.35">
      <c r="B654" vm="7775">
        <f ca="1"/>
        <v>43670</v>
      </c>
      <c r="C654" vm="7776">
        <f ca="1"/>
        <v>56.986499999999999</v>
      </c>
      <c r="D654" vm="7777">
        <f ca="1"/>
        <v>100.04049999999999</v>
      </c>
      <c r="E654" vm="7778">
        <f ca="1"/>
        <v>72.03</v>
      </c>
      <c r="F654" vm="7779">
        <f ca="1"/>
        <v>508.32</v>
      </c>
      <c r="G654" vm="7780">
        <f ca="1"/>
        <v>173.96</v>
      </c>
      <c r="H654" vm="7781">
        <f ca="1"/>
        <v>280.25</v>
      </c>
      <c r="I654" vm="2810">
        <f ca="1"/>
        <v>52.515000000000001</v>
      </c>
      <c r="J654" vm="7782">
        <f ca="1"/>
        <v>40.33</v>
      </c>
      <c r="K654" vm="7783">
        <f ca="1"/>
        <v>4.4664999999999999</v>
      </c>
      <c r="L654" vm="7784">
        <f ca="1"/>
        <v>112.6</v>
      </c>
      <c r="M654" vm="7785">
        <f ca="1"/>
        <v>251.13</v>
      </c>
      <c r="N654" vm="7786">
        <f ca="1"/>
        <v>3019.56</v>
      </c>
    </row>
    <row r="655" spans="2:14" x14ac:dyDescent="0.35">
      <c r="B655" vm="7787">
        <f ca="1"/>
        <v>43671</v>
      </c>
      <c r="C655" vm="7788">
        <f ca="1"/>
        <v>56.796999999999997</v>
      </c>
      <c r="D655" vm="7789">
        <f ca="1"/>
        <v>98.691000000000003</v>
      </c>
      <c r="E655" vm="7790">
        <f ca="1"/>
        <v>71.290000000000006</v>
      </c>
      <c r="F655" vm="7791">
        <f ca="1"/>
        <v>490.48</v>
      </c>
      <c r="G655" vm="7792">
        <f ca="1"/>
        <v>173.77</v>
      </c>
      <c r="H655" vm="7793">
        <f ca="1"/>
        <v>279.35000000000002</v>
      </c>
      <c r="I655" vm="7794">
        <f ca="1"/>
        <v>51.907499999999999</v>
      </c>
      <c r="J655" vm="3601">
        <f ca="1"/>
        <v>39.950000000000003</v>
      </c>
      <c r="K655" vm="7795">
        <f ca="1"/>
        <v>4.3345000000000002</v>
      </c>
      <c r="L655" vm="7796">
        <f ca="1"/>
        <v>112.77</v>
      </c>
      <c r="M655" vm="7797">
        <f ca="1"/>
        <v>248.7</v>
      </c>
      <c r="N655" vm="7798">
        <f ca="1"/>
        <v>3003.67</v>
      </c>
    </row>
    <row r="656" spans="2:14" x14ac:dyDescent="0.35">
      <c r="B656" vm="7799">
        <f ca="1"/>
        <v>43672</v>
      </c>
      <c r="C656" vm="7800">
        <f ca="1"/>
        <v>62.261000000000003</v>
      </c>
      <c r="D656" vm="7801">
        <f ca="1"/>
        <v>97.152500000000003</v>
      </c>
      <c r="E656" vm="7802">
        <f ca="1"/>
        <v>72.14</v>
      </c>
      <c r="F656" vm="7803">
        <f ca="1"/>
        <v>488.81</v>
      </c>
      <c r="G656" vm="7804">
        <f ca="1"/>
        <v>173.61</v>
      </c>
      <c r="H656" vm="7805">
        <f ca="1"/>
        <v>282.07</v>
      </c>
      <c r="I656" vm="7806">
        <f ca="1"/>
        <v>52.292499999999997</v>
      </c>
      <c r="J656" vm="3589">
        <f ca="1"/>
        <v>40.01</v>
      </c>
      <c r="K656" vm="7807">
        <f ca="1"/>
        <v>4.3768000000000002</v>
      </c>
      <c r="L656" vm="7808">
        <f ca="1"/>
        <v>114.73</v>
      </c>
      <c r="M656" vm="7809">
        <f ca="1"/>
        <v>252.94</v>
      </c>
      <c r="N656" vm="7810">
        <f ca="1"/>
        <v>3025.86</v>
      </c>
    </row>
    <row r="657" spans="2:14" x14ac:dyDescent="0.35">
      <c r="B657" vm="7811">
        <f ca="1"/>
        <v>43675</v>
      </c>
      <c r="C657" vm="7812">
        <f ca="1"/>
        <v>62.091999999999999</v>
      </c>
      <c r="D657" vm="7813">
        <f ca="1"/>
        <v>95.622500000000002</v>
      </c>
      <c r="E657" vm="1115">
        <f ca="1"/>
        <v>72.28</v>
      </c>
      <c r="F657" vm="7814">
        <f ca="1"/>
        <v>486.58</v>
      </c>
      <c r="G657" vm="7815">
        <f ca="1"/>
        <v>174.53</v>
      </c>
      <c r="H657" vm="7816">
        <f ca="1"/>
        <v>281.44</v>
      </c>
      <c r="I657" vm="7817">
        <f ca="1"/>
        <v>52.844999999999999</v>
      </c>
      <c r="J657" vm="2057">
        <f ca="1"/>
        <v>39.21</v>
      </c>
      <c r="K657" vm="7818">
        <f ca="1"/>
        <v>4.3704999999999998</v>
      </c>
      <c r="L657" vm="7819">
        <f ca="1"/>
        <v>116</v>
      </c>
      <c r="M657" vm="7820">
        <f ca="1"/>
        <v>253.82</v>
      </c>
      <c r="N657" vm="7821">
        <f ca="1"/>
        <v>3020.97</v>
      </c>
    </row>
    <row r="658" spans="2:14" x14ac:dyDescent="0.35">
      <c r="B658" vm="7822">
        <f ca="1"/>
        <v>43676</v>
      </c>
      <c r="C658" vm="7823">
        <f ca="1"/>
        <v>61.4</v>
      </c>
      <c r="D658" vm="7824">
        <f ca="1"/>
        <v>94.926500000000004</v>
      </c>
      <c r="E658" vm="7825">
        <f ca="1"/>
        <v>72.78</v>
      </c>
      <c r="F658" vm="7826">
        <f ca="1"/>
        <v>498.82</v>
      </c>
      <c r="G658" vm="7827">
        <f ca="1"/>
        <v>173.91</v>
      </c>
      <c r="H658" vm="7828">
        <f ca="1"/>
        <v>278.16000000000003</v>
      </c>
      <c r="I658" vm="7829">
        <f ca="1"/>
        <v>52.347499999999997</v>
      </c>
      <c r="J658" vm="3551">
        <f ca="1"/>
        <v>39.549999999999997</v>
      </c>
      <c r="K658" vm="7830">
        <f ca="1"/>
        <v>4.3861999999999997</v>
      </c>
      <c r="L658" vm="7831">
        <f ca="1"/>
        <v>120.41</v>
      </c>
      <c r="M658" vm="7832">
        <f ca="1"/>
        <v>254.93</v>
      </c>
      <c r="N658" vm="7833">
        <f ca="1"/>
        <v>3013.18</v>
      </c>
    </row>
    <row r="659" spans="2:14" x14ac:dyDescent="0.35">
      <c r="B659" vm="7834">
        <f ca="1"/>
        <v>43677</v>
      </c>
      <c r="C659" vm="7835">
        <f ca="1"/>
        <v>60.91</v>
      </c>
      <c r="D659" vm="7836">
        <f ca="1"/>
        <v>93.338999999999999</v>
      </c>
      <c r="E659" vm="7837">
        <f ca="1"/>
        <v>71.48</v>
      </c>
      <c r="F659" vm="7838">
        <f ca="1"/>
        <v>502.1</v>
      </c>
      <c r="G659" vm="7839">
        <f ca="1"/>
        <v>172.46</v>
      </c>
      <c r="H659" vm="7840">
        <f ca="1"/>
        <v>272.27</v>
      </c>
      <c r="I659" vm="7841">
        <f ca="1"/>
        <v>51.792499999999997</v>
      </c>
      <c r="J659" vm="7842">
        <f ca="1"/>
        <v>39.97</v>
      </c>
      <c r="K659" vm="7843">
        <f ca="1"/>
        <v>4.218</v>
      </c>
      <c r="L659" vm="7844">
        <f ca="1"/>
        <v>118.04</v>
      </c>
      <c r="M659" vm="7845">
        <f ca="1"/>
        <v>249.01</v>
      </c>
      <c r="N659" vm="7846">
        <f ca="1"/>
        <v>2980.38</v>
      </c>
    </row>
    <row r="660" spans="2:14" x14ac:dyDescent="0.35">
      <c r="B660" vm="7847">
        <f ca="1"/>
        <v>43678</v>
      </c>
      <c r="C660" vm="7848">
        <f ca="1"/>
        <v>60.588999999999999</v>
      </c>
      <c r="D660" vm="7441">
        <f ca="1"/>
        <v>92.766000000000005</v>
      </c>
      <c r="E660" vm="7849">
        <f ca="1"/>
        <v>74.739999999999995</v>
      </c>
      <c r="F660" vm="7850">
        <f ca="1"/>
        <v>522.75</v>
      </c>
      <c r="G660" vm="7851">
        <f ca="1"/>
        <v>169.55</v>
      </c>
      <c r="H660" vm="7852">
        <f ca="1"/>
        <v>274.16000000000003</v>
      </c>
      <c r="I660" vm="7853">
        <f ca="1"/>
        <v>52.564999999999998</v>
      </c>
      <c r="J660" vm="7854">
        <f ca="1"/>
        <v>38.51</v>
      </c>
      <c r="K660" vm="7855">
        <f ca="1"/>
        <v>4.1230000000000002</v>
      </c>
      <c r="L660" vm="7856">
        <f ca="1"/>
        <v>116.73</v>
      </c>
      <c r="M660" vm="7857">
        <f ca="1"/>
        <v>249.25</v>
      </c>
      <c r="N660" vm="7858">
        <f ca="1"/>
        <v>2953.56</v>
      </c>
    </row>
    <row r="661" spans="2:14" x14ac:dyDescent="0.35">
      <c r="B661" vm="7859">
        <f ca="1"/>
        <v>43679</v>
      </c>
      <c r="C661" vm="7860">
        <f ca="1"/>
        <v>59.816000000000003</v>
      </c>
      <c r="D661" vm="7861">
        <f ca="1"/>
        <v>91.162000000000006</v>
      </c>
      <c r="E661" vm="7862">
        <f ca="1"/>
        <v>74.73</v>
      </c>
      <c r="F661" vm="7863">
        <f ca="1"/>
        <v>524.09</v>
      </c>
      <c r="G661" vm="597">
        <f ca="1"/>
        <v>168.01</v>
      </c>
      <c r="H661" vm="7864">
        <f ca="1"/>
        <v>269.45</v>
      </c>
      <c r="I661" vm="7865">
        <f ca="1"/>
        <v>52.852499999999999</v>
      </c>
      <c r="J661" vm="7866">
        <f ca="1"/>
        <v>37.42</v>
      </c>
      <c r="K661" vm="7867">
        <f ca="1"/>
        <v>4.0297999999999998</v>
      </c>
      <c r="L661" vm="7868">
        <f ca="1"/>
        <v>116.44</v>
      </c>
      <c r="M661" vm="7869">
        <f ca="1"/>
        <v>250.05</v>
      </c>
      <c r="N661" vm="7870">
        <f ca="1"/>
        <v>2932.05</v>
      </c>
    </row>
    <row r="662" spans="2:14" x14ac:dyDescent="0.35">
      <c r="B662" vm="7871">
        <f ca="1"/>
        <v>43682</v>
      </c>
      <c r="C662" vm="7872">
        <f ca="1"/>
        <v>57.737499999999997</v>
      </c>
      <c r="D662" vm="7873">
        <f ca="1"/>
        <v>88.256500000000003</v>
      </c>
      <c r="E662" vm="7874">
        <f ca="1"/>
        <v>73.25</v>
      </c>
      <c r="F662" vm="7875">
        <f ca="1"/>
        <v>512.67999999999995</v>
      </c>
      <c r="G662" vm="7876">
        <f ca="1"/>
        <v>162.01</v>
      </c>
      <c r="H662" vm="7877">
        <f ca="1"/>
        <v>256.83999999999997</v>
      </c>
      <c r="I662" vm="7878">
        <f ca="1"/>
        <v>52.012500000000003</v>
      </c>
      <c r="J662" vm="7879">
        <f ca="1"/>
        <v>35.99</v>
      </c>
      <c r="K662" vm="7880">
        <f ca="1"/>
        <v>3.7698</v>
      </c>
      <c r="L662" vm="7881">
        <f ca="1"/>
        <v>113.08</v>
      </c>
      <c r="M662" vm="7143">
        <f ca="1"/>
        <v>245.06</v>
      </c>
      <c r="N662" vm="7882">
        <f ca="1"/>
        <v>2844.74</v>
      </c>
    </row>
    <row r="663" spans="2:14" x14ac:dyDescent="0.35">
      <c r="B663" vm="7883">
        <f ca="1"/>
        <v>43683</v>
      </c>
      <c r="C663" vm="7884">
        <f ca="1"/>
        <v>58.554000000000002</v>
      </c>
      <c r="D663" vm="7885">
        <f ca="1"/>
        <v>89.391499999999994</v>
      </c>
      <c r="E663" vm="7886">
        <f ca="1"/>
        <v>73.95</v>
      </c>
      <c r="F663" vm="7887">
        <f ca="1"/>
        <v>519.86</v>
      </c>
      <c r="G663" vm="7888">
        <f ca="1"/>
        <v>164.52</v>
      </c>
      <c r="H663" vm="7889">
        <f ca="1"/>
        <v>264.68</v>
      </c>
      <c r="I663" vm="7890">
        <f ca="1"/>
        <v>52.85</v>
      </c>
      <c r="J663" vm="7891">
        <f ca="1"/>
        <v>35.46</v>
      </c>
      <c r="K663" vm="7892">
        <f ca="1"/>
        <v>3.8088000000000002</v>
      </c>
      <c r="L663" vm="7893">
        <f ca="1"/>
        <v>114.28</v>
      </c>
      <c r="M663" vm="7894">
        <f ca="1"/>
        <v>248.28</v>
      </c>
      <c r="N663" vm="7895">
        <f ca="1"/>
        <v>2881.77</v>
      </c>
    </row>
    <row r="664" spans="2:14" x14ac:dyDescent="0.35">
      <c r="B664" vm="7896">
        <f ca="1"/>
        <v>43684</v>
      </c>
      <c r="C664" vm="7897">
        <f ca="1"/>
        <v>58.795499999999997</v>
      </c>
      <c r="D664" vm="7898">
        <f ca="1"/>
        <v>89.67</v>
      </c>
      <c r="E664" vm="7899">
        <f ca="1"/>
        <v>75.290000000000006</v>
      </c>
      <c r="F664" vm="7900">
        <f ca="1"/>
        <v>533.09</v>
      </c>
      <c r="G664" vm="7901">
        <f ca="1"/>
        <v>163.38999999999999</v>
      </c>
      <c r="H664" vm="7902">
        <f ca="1"/>
        <v>269.31</v>
      </c>
      <c r="I664" vm="7903">
        <f ca="1"/>
        <v>53.217500000000001</v>
      </c>
      <c r="J664" vm="1241">
        <f ca="1"/>
        <v>34.74</v>
      </c>
      <c r="K664" vm="7904">
        <f ca="1"/>
        <v>3.8473000000000002</v>
      </c>
      <c r="L664" vm="7905">
        <f ca="1"/>
        <v>115.52</v>
      </c>
      <c r="M664" vm="7906">
        <f ca="1"/>
        <v>246.45</v>
      </c>
      <c r="N664" vm="7907">
        <f ca="1"/>
        <v>2883.98</v>
      </c>
    </row>
    <row r="665" spans="2:14" x14ac:dyDescent="0.35">
      <c r="B665" vm="7908">
        <f ca="1"/>
        <v>43685</v>
      </c>
      <c r="C665" vm="7909">
        <f ca="1"/>
        <v>60.3095</v>
      </c>
      <c r="D665" vm="7910">
        <f ca="1"/>
        <v>91.644499999999994</v>
      </c>
      <c r="E665" vm="7911">
        <f ca="1"/>
        <v>76.08</v>
      </c>
      <c r="F665" vm="7912">
        <f ca="1"/>
        <v>549.24</v>
      </c>
      <c r="G665" vm="3316">
        <f ca="1"/>
        <v>167.01</v>
      </c>
      <c r="H665" vm="7913">
        <f ca="1"/>
        <v>278.04000000000002</v>
      </c>
      <c r="I665" vm="7914">
        <f ca="1"/>
        <v>53.805</v>
      </c>
      <c r="J665" vm="7915">
        <f ca="1"/>
        <v>35.21</v>
      </c>
      <c r="K665" vm="7916">
        <f ca="1"/>
        <v>3.9565000000000001</v>
      </c>
      <c r="L665" vm="7917">
        <f ca="1"/>
        <v>117.44</v>
      </c>
      <c r="M665" vm="7918">
        <f ca="1"/>
        <v>247.62</v>
      </c>
      <c r="N665" vm="7919">
        <f ca="1"/>
        <v>2938.09</v>
      </c>
    </row>
    <row r="666" spans="2:14" x14ac:dyDescent="0.35">
      <c r="B666" vm="7920">
        <f ca="1"/>
        <v>43686</v>
      </c>
      <c r="C666" vm="7921">
        <f ca="1"/>
        <v>59.445</v>
      </c>
      <c r="D666" vm="7922">
        <f ca="1"/>
        <v>90.379000000000005</v>
      </c>
      <c r="E666" vm="7923">
        <f ca="1"/>
        <v>77.459999999999994</v>
      </c>
      <c r="F666" vm="7924">
        <f ca="1"/>
        <v>552.41999999999996</v>
      </c>
      <c r="G666" vm="7925">
        <f ca="1"/>
        <v>166.67</v>
      </c>
      <c r="H666" vm="7926">
        <f ca="1"/>
        <v>274.95</v>
      </c>
      <c r="I666" vm="7927">
        <f ca="1"/>
        <v>54.12</v>
      </c>
      <c r="J666" vm="7928">
        <f ca="1"/>
        <v>34.53</v>
      </c>
      <c r="K666" vm="7929">
        <f ca="1"/>
        <v>3.8544999999999998</v>
      </c>
      <c r="L666" vm="7930">
        <f ca="1"/>
        <v>116.78</v>
      </c>
      <c r="M666" vm="7931">
        <f ca="1"/>
        <v>248.63</v>
      </c>
      <c r="N666" vm="7932">
        <f ca="1"/>
        <v>2918.65</v>
      </c>
    </row>
    <row r="667" spans="2:14" x14ac:dyDescent="0.35">
      <c r="B667" vm="7933">
        <f ca="1"/>
        <v>43689</v>
      </c>
      <c r="C667" vm="7934">
        <f ca="1"/>
        <v>58.725000000000001</v>
      </c>
      <c r="D667" vm="7935">
        <f ca="1"/>
        <v>89.245999999999995</v>
      </c>
      <c r="E667" vm="7936">
        <f ca="1"/>
        <v>76.84</v>
      </c>
      <c r="F667" vm="7937">
        <f ca="1"/>
        <v>553.29999999999995</v>
      </c>
      <c r="G667" vm="7938">
        <f ca="1"/>
        <v>164.69</v>
      </c>
      <c r="H667" vm="7939">
        <f ca="1"/>
        <v>270</v>
      </c>
      <c r="I667" vm="7940">
        <f ca="1"/>
        <v>53.862499999999997</v>
      </c>
      <c r="J667" vm="7941">
        <f ca="1"/>
        <v>34.270000000000003</v>
      </c>
      <c r="K667" vm="7942">
        <f ca="1"/>
        <v>3.7863000000000002</v>
      </c>
      <c r="L667" vm="7943">
        <f ca="1"/>
        <v>116.03</v>
      </c>
      <c r="M667" vm="7944">
        <f ca="1"/>
        <v>243.2</v>
      </c>
      <c r="N667" vm="7945">
        <f ca="1"/>
        <v>2883.75</v>
      </c>
    </row>
    <row r="668" spans="2:14" x14ac:dyDescent="0.35">
      <c r="B668" vm="7946">
        <f ca="1"/>
        <v>43690</v>
      </c>
      <c r="C668" vm="7947">
        <f ca="1"/>
        <v>59.836500000000001</v>
      </c>
      <c r="D668" vm="7948">
        <f ca="1"/>
        <v>91.216999999999999</v>
      </c>
      <c r="E668" vm="7949">
        <f ca="1"/>
        <v>79.290000000000006</v>
      </c>
      <c r="F668" vm="7950">
        <f ca="1"/>
        <v>548.38</v>
      </c>
      <c r="G668" vm="7951">
        <f ca="1"/>
        <v>167.98</v>
      </c>
      <c r="H668" vm="7952">
        <f ca="1"/>
        <v>274.52999999999997</v>
      </c>
      <c r="I668" vm="7953">
        <f ca="1"/>
        <v>53.905000000000001</v>
      </c>
      <c r="J668" vm="7954">
        <f ca="1"/>
        <v>34.630000000000003</v>
      </c>
      <c r="K668" vm="7955">
        <f ca="1"/>
        <v>3.9013</v>
      </c>
      <c r="L668" vm="7956">
        <f ca="1"/>
        <v>117.25</v>
      </c>
      <c r="M668" vm="7957">
        <f ca="1"/>
        <v>249.22</v>
      </c>
      <c r="N668" vm="7958">
        <f ca="1"/>
        <v>2926.32</v>
      </c>
    </row>
    <row r="669" spans="2:14" x14ac:dyDescent="0.35">
      <c r="B669" vm="7959">
        <f ca="1"/>
        <v>43691</v>
      </c>
      <c r="C669" vm="7960">
        <f ca="1"/>
        <v>58.212499999999999</v>
      </c>
      <c r="D669" vm="7961">
        <f ca="1"/>
        <v>88.147999999999996</v>
      </c>
      <c r="E669" vm="7962">
        <f ca="1"/>
        <v>76.849999999999994</v>
      </c>
      <c r="F669" vm="7963">
        <f ca="1"/>
        <v>539.88</v>
      </c>
      <c r="G669" vm="7964">
        <f ca="1"/>
        <v>164.04</v>
      </c>
      <c r="H669" vm="7965">
        <f ca="1"/>
        <v>267.14999999999998</v>
      </c>
      <c r="I669" vm="7966">
        <f ca="1"/>
        <v>53.74</v>
      </c>
      <c r="J669" vm="7967">
        <f ca="1"/>
        <v>32.340000000000003</v>
      </c>
      <c r="K669" vm="7968">
        <f ca="1"/>
        <v>3.7517999999999998</v>
      </c>
      <c r="L669" vm="7969">
        <f ca="1"/>
        <v>115.79</v>
      </c>
      <c r="M669" vm="7944">
        <f ca="1"/>
        <v>243.2</v>
      </c>
      <c r="N669" vm="7970">
        <f ca="1"/>
        <v>2840.6</v>
      </c>
    </row>
    <row r="670" spans="2:14" x14ac:dyDescent="0.35">
      <c r="B670" vm="7971">
        <f ca="1"/>
        <v>43692</v>
      </c>
      <c r="C670" vm="7972">
        <f ca="1"/>
        <v>58.466000000000001</v>
      </c>
      <c r="D670" vm="7973">
        <f ca="1"/>
        <v>88.805999999999997</v>
      </c>
      <c r="E670" vm="4576">
        <f ca="1"/>
        <v>78</v>
      </c>
      <c r="F670" vm="7974">
        <f ca="1"/>
        <v>546.34</v>
      </c>
      <c r="G670" vm="7975">
        <f ca="1"/>
        <v>162.27000000000001</v>
      </c>
      <c r="H670" vm="7976">
        <f ca="1"/>
        <v>271.89</v>
      </c>
      <c r="I670" vm="7977">
        <f ca="1"/>
        <v>54.287500000000001</v>
      </c>
      <c r="J670" vm="7978">
        <f ca="1"/>
        <v>31.65</v>
      </c>
      <c r="K670" vm="6269">
        <f ca="1"/>
        <v>3.7193000000000001</v>
      </c>
      <c r="L670" vm="7979">
        <f ca="1"/>
        <v>117.39</v>
      </c>
      <c r="M670" vm="7980">
        <f ca="1"/>
        <v>244.25</v>
      </c>
      <c r="N670" vm="7981">
        <f ca="1"/>
        <v>2847.6</v>
      </c>
    </row>
    <row r="671" spans="2:14" x14ac:dyDescent="0.35">
      <c r="B671" vm="7982">
        <f ca="1"/>
        <v>43693</v>
      </c>
      <c r="C671" vm="7983">
        <f ca="1"/>
        <v>58.960500000000003</v>
      </c>
      <c r="D671" vm="7984">
        <f ca="1"/>
        <v>89.628500000000003</v>
      </c>
      <c r="E671" vm="7985">
        <f ca="1"/>
        <v>79.63</v>
      </c>
      <c r="F671" vm="7986">
        <f ca="1"/>
        <v>551.80999999999995</v>
      </c>
      <c r="G671" vm="7987">
        <f ca="1"/>
        <v>165.03</v>
      </c>
      <c r="H671" vm="7988">
        <f ca="1"/>
        <v>274.36</v>
      </c>
      <c r="I671" vm="7989">
        <f ca="1"/>
        <v>54.3825</v>
      </c>
      <c r="J671" vm="7990">
        <f ca="1"/>
        <v>32.72</v>
      </c>
      <c r="K671" vm="7991">
        <f ca="1"/>
        <v>3.9889999999999999</v>
      </c>
      <c r="L671" vm="7992">
        <f ca="1"/>
        <v>119.18</v>
      </c>
      <c r="M671" vm="7993">
        <f ca="1"/>
        <v>245.69</v>
      </c>
      <c r="N671" vm="7994">
        <f ca="1"/>
        <v>2888.68</v>
      </c>
    </row>
    <row r="672" spans="2:14" x14ac:dyDescent="0.35">
      <c r="B672" vm="7995">
        <f ca="1"/>
        <v>43696</v>
      </c>
      <c r="C672" vm="7996">
        <f ca="1"/>
        <v>60.021999999999998</v>
      </c>
      <c r="D672" vm="7997">
        <f ca="1"/>
        <v>90.805999999999997</v>
      </c>
      <c r="E672" vm="7998">
        <f ca="1"/>
        <v>79.739999999999995</v>
      </c>
      <c r="F672" vm="7999">
        <f ca="1"/>
        <v>555.73</v>
      </c>
      <c r="G672" vm="8000">
        <f ca="1"/>
        <v>165.86</v>
      </c>
      <c r="H672" vm="8001">
        <f ca="1"/>
        <v>278.07</v>
      </c>
      <c r="I672" vm="8002">
        <f ca="1"/>
        <v>54.74</v>
      </c>
      <c r="J672" vm="8003">
        <f ca="1"/>
        <v>34.1</v>
      </c>
      <c r="K672" vm="8004">
        <f ca="1"/>
        <v>4.2694999999999999</v>
      </c>
      <c r="L672" vm="8005">
        <f ca="1"/>
        <v>120.24</v>
      </c>
      <c r="M672" vm="8006">
        <f ca="1"/>
        <v>244.71</v>
      </c>
      <c r="N672" vm="8007">
        <f ca="1"/>
        <v>2923.65</v>
      </c>
    </row>
    <row r="673" spans="2:14" x14ac:dyDescent="0.35">
      <c r="B673" vm="8008">
        <f ca="1"/>
        <v>43697</v>
      </c>
      <c r="C673" vm="8009">
        <f ca="1"/>
        <v>59.176499999999997</v>
      </c>
      <c r="D673" vm="8010">
        <f ca="1"/>
        <v>90.069000000000003</v>
      </c>
      <c r="E673" vm="8011">
        <f ca="1"/>
        <v>79.19</v>
      </c>
      <c r="F673" vm="8012">
        <f ca="1"/>
        <v>547</v>
      </c>
      <c r="G673" vm="8013">
        <f ca="1"/>
        <v>163.47</v>
      </c>
      <c r="H673" vm="8014">
        <f ca="1"/>
        <v>277.04000000000002</v>
      </c>
      <c r="I673" vm="8015">
        <f ca="1"/>
        <v>54.782499999999999</v>
      </c>
      <c r="J673" vm="8016">
        <f ca="1"/>
        <v>33.9</v>
      </c>
      <c r="K673" vm="8017">
        <f ca="1"/>
        <v>4.1967999999999996</v>
      </c>
      <c r="L673" vm="8018">
        <f ca="1"/>
        <v>118.9</v>
      </c>
      <c r="M673" vm="8019">
        <f ca="1"/>
        <v>240.16</v>
      </c>
      <c r="N673" vm="8020">
        <f ca="1"/>
        <v>2900.51</v>
      </c>
    </row>
    <row r="674" spans="2:14" x14ac:dyDescent="0.35">
      <c r="B674" vm="8021">
        <f ca="1"/>
        <v>43698</v>
      </c>
      <c r="C674" vm="8022">
        <f ca="1"/>
        <v>59.579000000000001</v>
      </c>
      <c r="D674" vm="8023">
        <f ca="1"/>
        <v>91.177000000000007</v>
      </c>
      <c r="E674" vm="8024">
        <f ca="1"/>
        <v>79.73</v>
      </c>
      <c r="F674" vm="8025">
        <f ca="1"/>
        <v>552.1</v>
      </c>
      <c r="G674" vm="8026">
        <f ca="1"/>
        <v>163.79</v>
      </c>
      <c r="H674" vm="8027">
        <f ca="1"/>
        <v>282.01</v>
      </c>
      <c r="I674" vm="8028">
        <f ca="1"/>
        <v>55.314999999999998</v>
      </c>
      <c r="J674" vm="8029">
        <f ca="1"/>
        <v>33.69</v>
      </c>
      <c r="K674" vm="8030">
        <f ca="1"/>
        <v>4.2808000000000002</v>
      </c>
      <c r="L674" vm="8031">
        <f ca="1"/>
        <v>119.2</v>
      </c>
      <c r="M674" vm="8032">
        <f ca="1"/>
        <v>240.35</v>
      </c>
      <c r="N674" vm="8033">
        <f ca="1"/>
        <v>2924.43</v>
      </c>
    </row>
    <row r="675" spans="2:14" x14ac:dyDescent="0.35">
      <c r="B675" vm="8034">
        <f ca="1"/>
        <v>43699</v>
      </c>
      <c r="C675" vm="8035">
        <f ca="1"/>
        <v>59.576000000000001</v>
      </c>
      <c r="D675" vm="8036">
        <f ca="1"/>
        <v>90.28</v>
      </c>
      <c r="E675" vm="8037">
        <f ca="1"/>
        <v>79.760000000000005</v>
      </c>
      <c r="F675" vm="8038">
        <f ca="1"/>
        <v>554.41999999999996</v>
      </c>
      <c r="G675" vm="8039">
        <f ca="1"/>
        <v>162.9</v>
      </c>
      <c r="H675" vm="8040">
        <f ca="1"/>
        <v>280.77</v>
      </c>
      <c r="I675" vm="8041">
        <f ca="1"/>
        <v>55.405000000000001</v>
      </c>
      <c r="J675" vm="8042">
        <f ca="1"/>
        <v>33.71</v>
      </c>
      <c r="K675" vm="8043">
        <f ca="1"/>
        <v>4.2869999999999999</v>
      </c>
      <c r="L675" vm="8044">
        <f ca="1"/>
        <v>119.42</v>
      </c>
      <c r="M675" vm="6062">
        <f ca="1"/>
        <v>232.94</v>
      </c>
      <c r="N675" vm="8045">
        <f ca="1"/>
        <v>2922.95</v>
      </c>
    </row>
    <row r="676" spans="2:14" x14ac:dyDescent="0.35">
      <c r="B676" vm="8046">
        <f ca="1"/>
        <v>43700</v>
      </c>
      <c r="C676" vm="8047">
        <f ca="1"/>
        <v>57.679000000000002</v>
      </c>
      <c r="D676" vm="8048">
        <f ca="1"/>
        <v>87.480999999999995</v>
      </c>
      <c r="E676" vm="4006">
        <f ca="1"/>
        <v>78.2</v>
      </c>
      <c r="F676" vm="8049">
        <f ca="1"/>
        <v>549.41999999999996</v>
      </c>
      <c r="G676" vm="8050">
        <f ca="1"/>
        <v>156.49</v>
      </c>
      <c r="H676" vm="7976">
        <f ca="1"/>
        <v>271.89</v>
      </c>
      <c r="I676" vm="8051">
        <f ca="1"/>
        <v>55.475000000000001</v>
      </c>
      <c r="J676" vm="8052">
        <f ca="1"/>
        <v>32.03</v>
      </c>
      <c r="K676" vm="8053">
        <f ca="1"/>
        <v>4.0609999999999999</v>
      </c>
      <c r="L676" vm="8054">
        <f ca="1"/>
        <v>117.32</v>
      </c>
      <c r="M676" vm="8055">
        <f ca="1"/>
        <v>230.66</v>
      </c>
      <c r="N676" vm="8056">
        <f ca="1"/>
        <v>2847.11</v>
      </c>
    </row>
    <row r="677" spans="2:14" x14ac:dyDescent="0.35">
      <c r="B677" vm="8057">
        <f ca="1"/>
        <v>43703</v>
      </c>
      <c r="C677" vm="8058">
        <f ca="1"/>
        <v>58.558999999999997</v>
      </c>
      <c r="D677" vm="8059">
        <f ca="1"/>
        <v>88.4435</v>
      </c>
      <c r="E677" vm="8060">
        <f ca="1"/>
        <v>78.760000000000005</v>
      </c>
      <c r="F677" vm="8061">
        <f ca="1"/>
        <v>558.67999999999995</v>
      </c>
      <c r="G677" vm="8062">
        <f ca="1"/>
        <v>156.91</v>
      </c>
      <c r="H677" vm="8063">
        <f ca="1"/>
        <v>276.43</v>
      </c>
      <c r="I677" vm="8064">
        <f ca="1"/>
        <v>55.905000000000001</v>
      </c>
      <c r="J677" vm="8065">
        <f ca="1"/>
        <v>31.59</v>
      </c>
      <c r="K677" vm="8066">
        <f ca="1"/>
        <v>4.1361999999999997</v>
      </c>
      <c r="L677" vm="8067">
        <f ca="1"/>
        <v>119.32</v>
      </c>
      <c r="M677" vm="8068">
        <f ca="1"/>
        <v>231.08</v>
      </c>
      <c r="N677" vm="8069">
        <f ca="1"/>
        <v>2878.38</v>
      </c>
    </row>
    <row r="678" spans="2:14" x14ac:dyDescent="0.35">
      <c r="B678" vm="8070">
        <f ca="1"/>
        <v>43704</v>
      </c>
      <c r="C678" vm="8071">
        <f ca="1"/>
        <v>58.540999999999997</v>
      </c>
      <c r="D678" vm="8072">
        <f ca="1"/>
        <v>88.091499999999996</v>
      </c>
      <c r="E678" vm="8073">
        <f ca="1"/>
        <v>79.02</v>
      </c>
      <c r="F678" vm="8074">
        <f ca="1"/>
        <v>557.52</v>
      </c>
      <c r="G678" vm="6800">
        <f ca="1"/>
        <v>157.47999999999999</v>
      </c>
      <c r="H678" vm="8075">
        <f ca="1"/>
        <v>276.64</v>
      </c>
      <c r="I678" vm="8076">
        <f ca="1"/>
        <v>56.002499999999998</v>
      </c>
      <c r="J678" vm="8077">
        <f ca="1"/>
        <v>31.25</v>
      </c>
      <c r="K678" vm="8078">
        <f ca="1"/>
        <v>4.0449999999999999</v>
      </c>
      <c r="L678" vm="8079">
        <f ca="1"/>
        <v>120.55</v>
      </c>
      <c r="M678" vm="8080">
        <f ca="1"/>
        <v>222.93</v>
      </c>
      <c r="N678" vm="8081">
        <f ca="1"/>
        <v>2869.16</v>
      </c>
    </row>
    <row r="679" spans="2:14" x14ac:dyDescent="0.35">
      <c r="B679" vm="8082">
        <f ca="1"/>
        <v>43705</v>
      </c>
      <c r="C679" vm="8083">
        <f ca="1"/>
        <v>58.6875</v>
      </c>
      <c r="D679" vm="8084">
        <f ca="1"/>
        <v>88.212500000000006</v>
      </c>
      <c r="E679" vm="8085">
        <f ca="1"/>
        <v>79.27</v>
      </c>
      <c r="F679" vm="8086">
        <f ca="1"/>
        <v>553.53</v>
      </c>
      <c r="G679" vm="8087">
        <f ca="1"/>
        <v>159.55000000000001</v>
      </c>
      <c r="H679" vm="8088">
        <f ca="1"/>
        <v>278.24</v>
      </c>
      <c r="I679" vm="8089">
        <f ca="1"/>
        <v>55.297499999999999</v>
      </c>
      <c r="J679" vm="8090">
        <f ca="1"/>
        <v>31.62</v>
      </c>
      <c r="K679" vm="8091">
        <f ca="1"/>
        <v>4.0305</v>
      </c>
      <c r="L679" vm="8092">
        <f ca="1"/>
        <v>121.4</v>
      </c>
      <c r="M679" vm="8093">
        <f ca="1"/>
        <v>227.35</v>
      </c>
      <c r="N679" vm="8094">
        <f ca="1"/>
        <v>2887.94</v>
      </c>
    </row>
    <row r="680" spans="2:14" x14ac:dyDescent="0.35">
      <c r="B680" vm="8095">
        <f ca="1"/>
        <v>43706</v>
      </c>
      <c r="C680" vm="8096">
        <f ca="1"/>
        <v>59.712000000000003</v>
      </c>
      <c r="D680" vm="8097">
        <f ca="1"/>
        <v>89.32</v>
      </c>
      <c r="E680" vm="8098">
        <f ca="1"/>
        <v>80.430000000000007</v>
      </c>
      <c r="F680" vm="8099">
        <f ca="1"/>
        <v>557.72</v>
      </c>
      <c r="G680" vm="8100">
        <f ca="1"/>
        <v>163.6</v>
      </c>
      <c r="H680" vm="8101">
        <f ca="1"/>
        <v>281.38</v>
      </c>
      <c r="I680" vm="8102">
        <f ca="1"/>
        <v>55.28</v>
      </c>
      <c r="J680" vm="8103">
        <f ca="1"/>
        <v>32.26</v>
      </c>
      <c r="K680" vm="8104">
        <f ca="1"/>
        <v>4.1749999999999998</v>
      </c>
      <c r="L680" vm="8105">
        <f ca="1"/>
        <v>121.18</v>
      </c>
      <c r="M680" vm="8106">
        <f ca="1"/>
        <v>230.62</v>
      </c>
      <c r="N680" vm="8107">
        <f ca="1"/>
        <v>2924.58</v>
      </c>
    </row>
    <row r="681" spans="2:14" x14ac:dyDescent="0.35">
      <c r="B681" vm="8108">
        <f ca="1"/>
        <v>43707</v>
      </c>
      <c r="C681" vm="8109">
        <f ca="1"/>
        <v>59.526499999999999</v>
      </c>
      <c r="D681" vm="8110">
        <f ca="1"/>
        <v>88.814499999999995</v>
      </c>
      <c r="E681" vm="8111">
        <f ca="1"/>
        <v>80.41</v>
      </c>
      <c r="F681" vm="8112">
        <f ca="1"/>
        <v>556.28</v>
      </c>
      <c r="G681" vm="8113">
        <f ca="1"/>
        <v>164.62</v>
      </c>
      <c r="H681" vm="8114">
        <f ca="1"/>
        <v>281.37</v>
      </c>
      <c r="I681" vm="8115">
        <f ca="1"/>
        <v>54.77</v>
      </c>
      <c r="J681" vm="8116">
        <f ca="1"/>
        <v>32.43</v>
      </c>
      <c r="K681" vm="8117">
        <f ca="1"/>
        <v>4.1878000000000002</v>
      </c>
      <c r="L681" vm="8118">
        <f ca="1"/>
        <v>120.23</v>
      </c>
      <c r="M681" vm="8119">
        <f ca="1"/>
        <v>234</v>
      </c>
      <c r="N681" vm="7508">
        <f ca="1"/>
        <v>2926.46</v>
      </c>
    </row>
    <row r="682" spans="2:14" x14ac:dyDescent="0.35">
      <c r="B682" vm="8120">
        <f ca="1"/>
        <v>43711</v>
      </c>
      <c r="C682" vm="8121">
        <f ca="1"/>
        <v>58.477499999999999</v>
      </c>
      <c r="D682" vm="8122">
        <f ca="1"/>
        <v>89.492000000000004</v>
      </c>
      <c r="E682" vm="8123">
        <f ca="1"/>
        <v>79.930000000000007</v>
      </c>
      <c r="F682" vm="8124">
        <f ca="1"/>
        <v>565.91</v>
      </c>
      <c r="G682" vm="8125">
        <f ca="1"/>
        <v>163.53</v>
      </c>
      <c r="H682" vm="8126">
        <f ca="1"/>
        <v>280.11</v>
      </c>
      <c r="I682" vm="8127">
        <f ca="1"/>
        <v>56.39</v>
      </c>
      <c r="J682" vm="8128">
        <f ca="1"/>
        <v>31.72</v>
      </c>
      <c r="K682" vm="8129">
        <f ca="1"/>
        <v>4.1041999999999996</v>
      </c>
      <c r="L682" vm="8130">
        <f ca="1"/>
        <v>121.36</v>
      </c>
      <c r="M682" vm="8106">
        <f ca="1"/>
        <v>230.62</v>
      </c>
      <c r="N682" vm="8131">
        <f ca="1"/>
        <v>2906.27</v>
      </c>
    </row>
    <row r="683" spans="2:14" x14ac:dyDescent="0.35">
      <c r="B683" vm="8132">
        <f ca="1"/>
        <v>43712</v>
      </c>
      <c r="C683" vm="8133">
        <f ca="1"/>
        <v>59.113500000000002</v>
      </c>
      <c r="D683" vm="8134">
        <f ca="1"/>
        <v>90.031000000000006</v>
      </c>
      <c r="E683" vm="8135">
        <f ca="1"/>
        <v>80.78</v>
      </c>
      <c r="F683" vm="8136">
        <f ca="1"/>
        <v>558.49</v>
      </c>
      <c r="G683" vm="8137">
        <f ca="1"/>
        <v>167.14</v>
      </c>
      <c r="H683" vm="8138">
        <f ca="1"/>
        <v>286.10000000000002</v>
      </c>
      <c r="I683" vm="8139">
        <f ca="1"/>
        <v>56.03</v>
      </c>
      <c r="J683" vm="8140">
        <f ca="1"/>
        <v>32.979999999999997</v>
      </c>
      <c r="K683" vm="8141">
        <f ca="1"/>
        <v>4.2190000000000003</v>
      </c>
      <c r="L683" vm="8142">
        <f ca="1"/>
        <v>123.21</v>
      </c>
      <c r="M683" vm="8143">
        <f ca="1"/>
        <v>226.73</v>
      </c>
      <c r="N683" vm="8144">
        <f ca="1"/>
        <v>2937.78</v>
      </c>
    </row>
    <row r="684" spans="2:14" x14ac:dyDescent="0.35">
      <c r="B684" vm="8145">
        <f ca="1"/>
        <v>43713</v>
      </c>
      <c r="C684" vm="8146">
        <f ca="1"/>
        <v>60.609499999999997</v>
      </c>
      <c r="D684" vm="8147">
        <f ca="1"/>
        <v>92.036000000000001</v>
      </c>
      <c r="E684" vm="862">
        <f ca="1"/>
        <v>78.709999999999994</v>
      </c>
      <c r="F684" vm="8148">
        <f ca="1"/>
        <v>551</v>
      </c>
      <c r="G684" vm="8149">
        <f ca="1"/>
        <v>170.37</v>
      </c>
      <c r="H684" vm="8150">
        <f ca="1"/>
        <v>292.08</v>
      </c>
      <c r="I684" vm="8151">
        <f ca="1"/>
        <v>54.952500000000001</v>
      </c>
      <c r="J684" vm="8152">
        <f ca="1"/>
        <v>34.06</v>
      </c>
      <c r="K684" vm="8153">
        <f ca="1"/>
        <v>4.4935</v>
      </c>
      <c r="L684" vm="8154">
        <f ca="1"/>
        <v>122.76</v>
      </c>
      <c r="M684" vm="8155">
        <f ca="1"/>
        <v>229.59</v>
      </c>
      <c r="N684" vm="8156">
        <f ca="1"/>
        <v>2976</v>
      </c>
    </row>
    <row r="685" spans="2:14" x14ac:dyDescent="0.35">
      <c r="B685" vm="8157">
        <f ca="1"/>
        <v>43714</v>
      </c>
      <c r="C685" vm="8158">
        <f ca="1"/>
        <v>60.316000000000003</v>
      </c>
      <c r="D685" vm="8159">
        <f ca="1"/>
        <v>91.6755</v>
      </c>
      <c r="E685" vm="824">
        <f ca="1"/>
        <v>78.3</v>
      </c>
      <c r="F685" vm="8160">
        <f ca="1"/>
        <v>554.09</v>
      </c>
      <c r="G685" vm="965">
        <f ca="1"/>
        <v>171.16</v>
      </c>
      <c r="H685" vm="8161">
        <f ca="1"/>
        <v>291.38</v>
      </c>
      <c r="I685" vm="8162">
        <f ca="1"/>
        <v>55.034999999999997</v>
      </c>
      <c r="J685" vm="8163">
        <f ca="1"/>
        <v>34.200000000000003</v>
      </c>
      <c r="K685" vm="8164">
        <f ca="1"/>
        <v>4.4663000000000004</v>
      </c>
      <c r="L685" vm="8165">
        <f ca="1"/>
        <v>122.87</v>
      </c>
      <c r="M685" vm="8166">
        <f ca="1"/>
        <v>229</v>
      </c>
      <c r="N685" vm="8167">
        <f ca="1"/>
        <v>2978.71</v>
      </c>
    </row>
    <row r="686" spans="2:14" x14ac:dyDescent="0.35">
      <c r="B686" vm="8168">
        <f ca="1"/>
        <v>43717</v>
      </c>
      <c r="C686" vm="8169">
        <f ca="1"/>
        <v>60.263500000000001</v>
      </c>
      <c r="D686" vm="8170">
        <f ca="1"/>
        <v>91.567499999999995</v>
      </c>
      <c r="E686" vm="8171">
        <f ca="1"/>
        <v>75.069999999999993</v>
      </c>
      <c r="F686" vm="8172">
        <f ca="1"/>
        <v>538.21</v>
      </c>
      <c r="G686" vm="8173">
        <f ca="1"/>
        <v>169.66</v>
      </c>
      <c r="H686" vm="8174">
        <f ca="1"/>
        <v>283.36</v>
      </c>
      <c r="I686" vm="8175">
        <f ca="1"/>
        <v>54.972499999999997</v>
      </c>
      <c r="J686" vm="8176">
        <f ca="1"/>
        <v>36.229999999999997</v>
      </c>
      <c r="K686" vm="8177">
        <f ca="1"/>
        <v>4.5125000000000002</v>
      </c>
      <c r="L686" vm="8178">
        <f ca="1"/>
        <v>122.17</v>
      </c>
      <c r="M686" vm="8179">
        <f ca="1"/>
        <v>230.68</v>
      </c>
      <c r="N686" vm="8180">
        <f ca="1"/>
        <v>2978.43</v>
      </c>
    </row>
    <row r="687" spans="2:14" x14ac:dyDescent="0.35">
      <c r="B687" vm="8181">
        <f ca="1"/>
        <v>43718</v>
      </c>
      <c r="C687" vm="8182">
        <f ca="1"/>
        <v>60.284999999999997</v>
      </c>
      <c r="D687" vm="8183">
        <f ca="1"/>
        <v>91.027500000000003</v>
      </c>
      <c r="E687" vm="1229">
        <f ca="1"/>
        <v>71.89</v>
      </c>
      <c r="F687" vm="8184">
        <f ca="1"/>
        <v>531.44000000000005</v>
      </c>
      <c r="G687" vm="8185">
        <f ca="1"/>
        <v>169.61</v>
      </c>
      <c r="H687" vm="8186">
        <f ca="1"/>
        <v>272.33</v>
      </c>
      <c r="I687" vm="8187">
        <f ca="1"/>
        <v>54.53</v>
      </c>
      <c r="J687" vm="3395">
        <f ca="1"/>
        <v>37.46</v>
      </c>
      <c r="K687" vm="8188">
        <f ca="1"/>
        <v>4.5795000000000003</v>
      </c>
      <c r="L687" vm="8189">
        <f ca="1"/>
        <v>119.88</v>
      </c>
      <c r="M687" vm="8190">
        <f ca="1"/>
        <v>232.46</v>
      </c>
      <c r="N687" vm="8191">
        <f ca="1"/>
        <v>2979.39</v>
      </c>
    </row>
    <row r="688" spans="2:14" x14ac:dyDescent="0.35">
      <c r="B688" vm="8192">
        <f ca="1"/>
        <v>43719</v>
      </c>
      <c r="C688" vm="8193">
        <f ca="1"/>
        <v>61</v>
      </c>
      <c r="D688" vm="8194">
        <f ca="1"/>
        <v>91.149500000000003</v>
      </c>
      <c r="E688" vm="8195">
        <f ca="1"/>
        <v>71.88</v>
      </c>
      <c r="F688" vm="8196">
        <f ca="1"/>
        <v>528.44000000000005</v>
      </c>
      <c r="G688" vm="7419">
        <f ca="1"/>
        <v>171.28</v>
      </c>
      <c r="H688" vm="8197">
        <f ca="1"/>
        <v>269.95</v>
      </c>
      <c r="I688" vm="8198">
        <f ca="1"/>
        <v>55.015000000000001</v>
      </c>
      <c r="J688" vm="8199">
        <f ca="1"/>
        <v>37.32</v>
      </c>
      <c r="K688" vm="8200">
        <f ca="1"/>
        <v>4.6082999999999998</v>
      </c>
      <c r="L688" vm="8201">
        <f ca="1"/>
        <v>121.27</v>
      </c>
      <c r="M688" vm="8202">
        <f ca="1"/>
        <v>234.21</v>
      </c>
      <c r="N688" vm="8203">
        <f ca="1"/>
        <v>3000.93</v>
      </c>
    </row>
    <row r="689" spans="2:14" x14ac:dyDescent="0.35">
      <c r="B689" vm="8204">
        <f ca="1"/>
        <v>43720</v>
      </c>
      <c r="C689" vm="8205">
        <f ca="1"/>
        <v>61.7485</v>
      </c>
      <c r="D689" vm="8206">
        <f ca="1"/>
        <v>92.177499999999995</v>
      </c>
      <c r="E689" vm="8207">
        <f ca="1"/>
        <v>73.36</v>
      </c>
      <c r="F689" vm="8208">
        <f ca="1"/>
        <v>538.88</v>
      </c>
      <c r="G689" vm="8209">
        <f ca="1"/>
        <v>168.63</v>
      </c>
      <c r="H689" vm="8210">
        <f ca="1"/>
        <v>276.39999999999998</v>
      </c>
      <c r="I689" vm="8211">
        <f ca="1"/>
        <v>55.185000000000002</v>
      </c>
      <c r="J689" vm="8212">
        <f ca="1"/>
        <v>36.9</v>
      </c>
      <c r="K689" vm="8213">
        <f ca="1"/>
        <v>4.6067999999999998</v>
      </c>
      <c r="L689" vm="8214">
        <f ca="1"/>
        <v>122.77</v>
      </c>
      <c r="M689" vm="8215">
        <f ca="1"/>
        <v>230.1</v>
      </c>
      <c r="N689" vm="8216">
        <f ca="1"/>
        <v>3009.57</v>
      </c>
    </row>
    <row r="690" spans="2:14" x14ac:dyDescent="0.35">
      <c r="B690" vm="8217">
        <f ca="1"/>
        <v>43721</v>
      </c>
      <c r="C690" vm="8218">
        <f ca="1"/>
        <v>62.0015</v>
      </c>
      <c r="D690" vm="8219">
        <f ca="1"/>
        <v>91.966999999999999</v>
      </c>
      <c r="E690" vm="8220">
        <f ca="1"/>
        <v>72.73</v>
      </c>
      <c r="F690" vm="8221">
        <f ca="1"/>
        <v>536.79999999999995</v>
      </c>
      <c r="G690" vm="8222">
        <f ca="1"/>
        <v>167.71</v>
      </c>
      <c r="H690" vm="8223">
        <f ca="1"/>
        <v>276.32</v>
      </c>
      <c r="I690" vm="8224">
        <f ca="1"/>
        <v>54.622500000000002</v>
      </c>
      <c r="J690" vm="4409">
        <f ca="1"/>
        <v>37.33</v>
      </c>
      <c r="K690" vm="8225">
        <f ca="1"/>
        <v>4.5484999999999998</v>
      </c>
      <c r="L690" vm="8226">
        <f ca="1"/>
        <v>122.12</v>
      </c>
      <c r="M690" vm="8227">
        <f ca="1"/>
        <v>233.61</v>
      </c>
      <c r="N690" vm="8228">
        <f ca="1"/>
        <v>3007.39</v>
      </c>
    </row>
    <row r="691" spans="2:14" x14ac:dyDescent="0.35">
      <c r="B691" vm="8229">
        <f ca="1"/>
        <v>43724</v>
      </c>
      <c r="C691" vm="8230">
        <f ca="1"/>
        <v>61.581499999999998</v>
      </c>
      <c r="D691" vm="8231">
        <f ca="1"/>
        <v>90.391999999999996</v>
      </c>
      <c r="E691" vm="8232">
        <f ca="1"/>
        <v>72.2</v>
      </c>
      <c r="F691" vm="8233">
        <f ca="1"/>
        <v>549.92999999999995</v>
      </c>
      <c r="G691" vm="8234">
        <f ca="1"/>
        <v>166.21</v>
      </c>
      <c r="H691" vm="8235">
        <f ca="1"/>
        <v>274.08</v>
      </c>
      <c r="I691" vm="8236">
        <f ca="1"/>
        <v>54.577500000000001</v>
      </c>
      <c r="J691" vm="3810">
        <f ca="1"/>
        <v>39.31</v>
      </c>
      <c r="K691" vm="8237">
        <f ca="1"/>
        <v>4.5053000000000001</v>
      </c>
      <c r="L691" vm="8238">
        <f ca="1"/>
        <v>119.75</v>
      </c>
      <c r="M691" vm="8239">
        <f ca="1"/>
        <v>234.43</v>
      </c>
      <c r="N691" vm="8240">
        <f ca="1"/>
        <v>2997.96</v>
      </c>
    </row>
    <row r="692" spans="2:14" x14ac:dyDescent="0.35">
      <c r="B692" vm="8241">
        <f ca="1"/>
        <v>43725</v>
      </c>
      <c r="C692" vm="8242">
        <f ca="1"/>
        <v>61.494</v>
      </c>
      <c r="D692" vm="8243">
        <f ca="1"/>
        <v>91.127499999999998</v>
      </c>
      <c r="E692" vm="3563">
        <f ca="1"/>
        <v>75</v>
      </c>
      <c r="F692" vm="8244">
        <f ca="1"/>
        <v>558.91</v>
      </c>
      <c r="G692" vm="8245">
        <f ca="1"/>
        <v>166.46</v>
      </c>
      <c r="H692" vm="8246">
        <f ca="1"/>
        <v>276.25</v>
      </c>
      <c r="I692" vm="8247">
        <f ca="1"/>
        <v>55.555</v>
      </c>
      <c r="J692" vm="8248">
        <f ca="1"/>
        <v>38.17</v>
      </c>
      <c r="K692" vm="8249">
        <f ca="1"/>
        <v>4.5267999999999997</v>
      </c>
      <c r="L692" vm="8250">
        <f ca="1"/>
        <v>121.16</v>
      </c>
      <c r="M692" vm="3596">
        <f ca="1"/>
        <v>232.52</v>
      </c>
      <c r="N692" vm="8251">
        <f ca="1"/>
        <v>3005.7</v>
      </c>
    </row>
    <row r="693" spans="2:14" x14ac:dyDescent="0.35">
      <c r="B693" vm="8252">
        <f ca="1"/>
        <v>43726</v>
      </c>
      <c r="C693" vm="8253">
        <f ca="1"/>
        <v>61.6325</v>
      </c>
      <c r="D693" vm="8254">
        <f ca="1"/>
        <v>90.873000000000005</v>
      </c>
      <c r="E693" vm="8255">
        <f ca="1"/>
        <v>74.510000000000005</v>
      </c>
      <c r="F693" vm="8256">
        <f ca="1"/>
        <v>561</v>
      </c>
      <c r="G693" vm="8257">
        <f ca="1"/>
        <v>167.97</v>
      </c>
      <c r="H693" vm="8258">
        <f ca="1"/>
        <v>275.10000000000002</v>
      </c>
      <c r="I693" vm="8259">
        <f ca="1"/>
        <v>55.975000000000001</v>
      </c>
      <c r="J693" vm="8260">
        <f ca="1"/>
        <v>38.03</v>
      </c>
      <c r="K693" vm="8261">
        <f ca="1"/>
        <v>4.4995000000000003</v>
      </c>
      <c r="L693" vm="8262">
        <f ca="1"/>
        <v>121.41</v>
      </c>
      <c r="M693" vm="8263">
        <f ca="1"/>
        <v>230.61</v>
      </c>
      <c r="N693" vm="8264">
        <f ca="1"/>
        <v>3006.73</v>
      </c>
    </row>
    <row r="694" spans="2:14" x14ac:dyDescent="0.35">
      <c r="B694" vm="8265">
        <f ca="1"/>
        <v>43727</v>
      </c>
      <c r="C694" vm="8266">
        <f ca="1"/>
        <v>61.9375</v>
      </c>
      <c r="D694" vm="8267">
        <f ca="1"/>
        <v>91.075000000000003</v>
      </c>
      <c r="E694" vm="8268">
        <f ca="1"/>
        <v>74.28</v>
      </c>
      <c r="F694" vm="8269">
        <f ca="1"/>
        <v>569.03</v>
      </c>
      <c r="G694" vm="8270">
        <f ca="1"/>
        <v>166.77</v>
      </c>
      <c r="H694" vm="8271">
        <f ca="1"/>
        <v>275.91000000000003</v>
      </c>
      <c r="I694" vm="8272">
        <f ca="1"/>
        <v>56.225000000000001</v>
      </c>
      <c r="J694" vm="3291">
        <f ca="1"/>
        <v>37.76</v>
      </c>
      <c r="K694" vm="8273">
        <f ca="1"/>
        <v>4.4234999999999998</v>
      </c>
      <c r="L694" vm="8274">
        <f ca="1"/>
        <v>121.9</v>
      </c>
      <c r="M694" vm="8275">
        <f ca="1"/>
        <v>232.85</v>
      </c>
      <c r="N694" vm="8276">
        <f ca="1"/>
        <v>3006.79</v>
      </c>
    </row>
    <row r="695" spans="2:14" x14ac:dyDescent="0.35">
      <c r="B695" vm="8277">
        <f ca="1"/>
        <v>43728</v>
      </c>
      <c r="C695" vm="8278">
        <f ca="1"/>
        <v>61.491999999999997</v>
      </c>
      <c r="D695" vm="8279">
        <f ca="1"/>
        <v>89.707999999999998</v>
      </c>
      <c r="E695" vm="8280">
        <f ca="1"/>
        <v>73.84</v>
      </c>
      <c r="F695" vm="8281">
        <f ca="1"/>
        <v>566.45000000000005</v>
      </c>
      <c r="G695" vm="8282">
        <f ca="1"/>
        <v>168.31</v>
      </c>
      <c r="H695" vm="8283">
        <f ca="1"/>
        <v>271.17</v>
      </c>
      <c r="I695" vm="8284">
        <f ca="1"/>
        <v>56.43</v>
      </c>
      <c r="J695" vm="8285">
        <f ca="1"/>
        <v>37.299999999999997</v>
      </c>
      <c r="K695" vm="8286">
        <f ca="1"/>
        <v>4.3173000000000004</v>
      </c>
      <c r="L695" vm="8287">
        <f ca="1"/>
        <v>122.24</v>
      </c>
      <c r="M695" vm="8288">
        <f ca="1"/>
        <v>232.89</v>
      </c>
      <c r="N695" vm="8289">
        <f ca="1"/>
        <v>2992.07</v>
      </c>
    </row>
    <row r="696" spans="2:14" x14ac:dyDescent="0.35">
      <c r="B696" vm="8290">
        <f ca="1"/>
        <v>43731</v>
      </c>
      <c r="C696" vm="8291">
        <f ca="1"/>
        <v>61.734499999999997</v>
      </c>
      <c r="D696" vm="8292">
        <f ca="1"/>
        <v>89.265000000000001</v>
      </c>
      <c r="E696" vm="8293">
        <f ca="1"/>
        <v>74.48</v>
      </c>
      <c r="F696" vm="8294">
        <f ca="1"/>
        <v>581.71</v>
      </c>
      <c r="G696" vm="8137">
        <f ca="1"/>
        <v>167.14</v>
      </c>
      <c r="H696" vm="8295">
        <f ca="1"/>
        <v>273.14999999999998</v>
      </c>
      <c r="I696" vm="8296">
        <f ca="1"/>
        <v>56.32</v>
      </c>
      <c r="J696" vm="4409">
        <f ca="1"/>
        <v>37.33</v>
      </c>
      <c r="K696" vm="8297">
        <f ca="1"/>
        <v>4.3710000000000004</v>
      </c>
      <c r="L696" vm="8298">
        <f ca="1"/>
        <v>123.22</v>
      </c>
      <c r="M696" vm="8299">
        <f ca="1"/>
        <v>228.77</v>
      </c>
      <c r="N696" vm="8300">
        <f ca="1"/>
        <v>2991.78</v>
      </c>
    </row>
    <row r="697" spans="2:14" x14ac:dyDescent="0.35">
      <c r="B697" vm="8301">
        <f ca="1"/>
        <v>43732</v>
      </c>
      <c r="C697" vm="8302">
        <f ca="1"/>
        <v>60.916499999999999</v>
      </c>
      <c r="D697" vm="8303">
        <f ca="1"/>
        <v>87.080500000000001</v>
      </c>
      <c r="E697" vm="8304">
        <f ca="1"/>
        <v>74.72</v>
      </c>
      <c r="F697" vm="8305">
        <f ca="1"/>
        <v>572.04</v>
      </c>
      <c r="G697" vm="8306">
        <f ca="1"/>
        <v>165.76</v>
      </c>
      <c r="H697" vm="8307">
        <f ca="1"/>
        <v>271.12</v>
      </c>
      <c r="I697" vm="8308">
        <f ca="1"/>
        <v>57.127499999999998</v>
      </c>
      <c r="J697" vm="8309">
        <f ca="1"/>
        <v>35.56</v>
      </c>
      <c r="K697" vm="8310">
        <f ca="1"/>
        <v>4.3132999999999999</v>
      </c>
      <c r="L697" vm="8311">
        <f ca="1"/>
        <v>123.61</v>
      </c>
      <c r="M697" vm="8312">
        <f ca="1"/>
        <v>225</v>
      </c>
      <c r="N697" vm="8313">
        <f ca="1"/>
        <v>2966.6</v>
      </c>
    </row>
    <row r="698" spans="2:14" x14ac:dyDescent="0.35">
      <c r="B698" vm="8314">
        <f ca="1"/>
        <v>43733</v>
      </c>
      <c r="C698" vm="8315">
        <f ca="1"/>
        <v>62.296999999999997</v>
      </c>
      <c r="D698" vm="8316">
        <f ca="1"/>
        <v>88.416499999999999</v>
      </c>
      <c r="E698" vm="8317">
        <f ca="1"/>
        <v>73.5</v>
      </c>
      <c r="F698" vm="8318">
        <f ca="1"/>
        <v>579.25</v>
      </c>
      <c r="G698" vm="8319">
        <f ca="1"/>
        <v>166.93</v>
      </c>
      <c r="H698" vm="8320">
        <f ca="1"/>
        <v>272.75</v>
      </c>
      <c r="I698" vm="8321">
        <f ca="1"/>
        <v>57.342500000000001</v>
      </c>
      <c r="J698" vm="8322">
        <f ca="1"/>
        <v>35.24</v>
      </c>
      <c r="K698" vm="8323">
        <f ca="1"/>
        <v>4.4558</v>
      </c>
      <c r="L698" vm="8324">
        <f ca="1"/>
        <v>123.02</v>
      </c>
      <c r="M698" vm="8325">
        <f ca="1"/>
        <v>222.17</v>
      </c>
      <c r="N698" vm="8326">
        <f ca="1"/>
        <v>2984.87</v>
      </c>
    </row>
    <row r="699" spans="2:14" x14ac:dyDescent="0.35">
      <c r="B699" vm="8327">
        <f ca="1"/>
        <v>43734</v>
      </c>
      <c r="C699" vm="8328">
        <f ca="1"/>
        <v>62.1145</v>
      </c>
      <c r="D699" vm="8329">
        <f ca="1"/>
        <v>86.992000000000004</v>
      </c>
      <c r="E699" vm="8330">
        <f ca="1"/>
        <v>74.47</v>
      </c>
      <c r="F699" vm="8331">
        <f ca="1"/>
        <v>583.02</v>
      </c>
      <c r="G699" vm="707">
        <f ca="1"/>
        <v>167.03</v>
      </c>
      <c r="H699" vm="8332">
        <f ca="1"/>
        <v>273.89</v>
      </c>
      <c r="I699" vm="8333">
        <f ca="1"/>
        <v>57.93</v>
      </c>
      <c r="J699" vm="8334">
        <f ca="1"/>
        <v>34.54</v>
      </c>
      <c r="K699" vm="8335">
        <f ca="1"/>
        <v>4.4335000000000004</v>
      </c>
      <c r="L699" vm="8336">
        <f ca="1"/>
        <v>124.31</v>
      </c>
      <c r="M699" vm="8337">
        <f ca="1"/>
        <v>215.48</v>
      </c>
      <c r="N699" vm="8338">
        <f ca="1"/>
        <v>2977.62</v>
      </c>
    </row>
    <row r="700" spans="2:14" x14ac:dyDescent="0.35">
      <c r="B700" vm="8339">
        <f ca="1"/>
        <v>43735</v>
      </c>
      <c r="C700" vm="8340">
        <f ca="1"/>
        <v>61.297499999999999</v>
      </c>
      <c r="D700" vm="8341">
        <f ca="1"/>
        <v>86.272499999999994</v>
      </c>
      <c r="E700" vm="8342">
        <f ca="1"/>
        <v>72.790000000000006</v>
      </c>
      <c r="F700" vm="8343">
        <f ca="1"/>
        <v>576.62</v>
      </c>
      <c r="G700" vm="8344">
        <f ca="1"/>
        <v>168.04</v>
      </c>
      <c r="H700" vm="8345">
        <f ca="1"/>
        <v>269.13</v>
      </c>
      <c r="I700" vm="8346">
        <f ca="1"/>
        <v>57.814999999999998</v>
      </c>
      <c r="J700" vm="8347">
        <f ca="1"/>
        <v>34.33</v>
      </c>
      <c r="K700" vm="8348">
        <f ca="1"/>
        <v>4.2939999999999996</v>
      </c>
      <c r="L700" vm="8349">
        <f ca="1"/>
        <v>124.57</v>
      </c>
      <c r="M700" vm="8350">
        <f ca="1"/>
        <v>215.26</v>
      </c>
      <c r="N700" vm="8351">
        <f ca="1"/>
        <v>2961.79</v>
      </c>
    </row>
    <row r="701" spans="2:14" x14ac:dyDescent="0.35">
      <c r="B701" vm="8352">
        <f ca="1"/>
        <v>43738</v>
      </c>
      <c r="C701" vm="8353">
        <f ca="1"/>
        <v>61.057000000000002</v>
      </c>
      <c r="D701" vm="8354">
        <f ca="1"/>
        <v>86.795500000000004</v>
      </c>
      <c r="E701" vm="4090">
        <f ca="1"/>
        <v>72.81</v>
      </c>
      <c r="F701" vm="8355">
        <f ca="1"/>
        <v>576.79999999999995</v>
      </c>
      <c r="G701" vm="8356">
        <f ca="1"/>
        <v>169.2</v>
      </c>
      <c r="H701" vm="8357">
        <f ca="1"/>
        <v>271.57</v>
      </c>
      <c r="I701" vm="8358">
        <f ca="1"/>
        <v>58.247500000000002</v>
      </c>
      <c r="J701" vm="8359">
        <f ca="1"/>
        <v>34.17</v>
      </c>
      <c r="K701" vm="8360">
        <f ca="1"/>
        <v>4.3517999999999999</v>
      </c>
      <c r="L701" vm="8361">
        <f ca="1"/>
        <v>124.38</v>
      </c>
      <c r="M701" vm="8362">
        <f ca="1"/>
        <v>217.32</v>
      </c>
      <c r="N701" vm="8363">
        <f ca="1"/>
        <v>2976.74</v>
      </c>
    </row>
    <row r="702" spans="2:14" x14ac:dyDescent="0.35">
      <c r="B702" vm="8364">
        <f ca="1"/>
        <v>43739</v>
      </c>
      <c r="C702" vm="8365">
        <f ca="1"/>
        <v>60.3</v>
      </c>
      <c r="D702" vm="8366">
        <f ca="1"/>
        <v>86.782499999999999</v>
      </c>
      <c r="E702" vm="8367">
        <f ca="1"/>
        <v>72.11</v>
      </c>
      <c r="F702" vm="8368">
        <f ca="1"/>
        <v>569.59</v>
      </c>
      <c r="G702" vm="8369">
        <f ca="1"/>
        <v>164.19</v>
      </c>
      <c r="H702" vm="8370">
        <f ca="1"/>
        <v>270.94</v>
      </c>
      <c r="I702" vm="8371">
        <f ca="1"/>
        <v>58.0075</v>
      </c>
      <c r="J702" vm="541">
        <f ca="1"/>
        <v>32.700000000000003</v>
      </c>
      <c r="K702" vm="8372">
        <f ca="1"/>
        <v>4.3499999999999996</v>
      </c>
      <c r="L702" vm="8373">
        <f ca="1"/>
        <v>123.85</v>
      </c>
      <c r="M702" vm="8374">
        <f ca="1"/>
        <v>217.21</v>
      </c>
      <c r="N702" vm="8375">
        <f ca="1"/>
        <v>2940.25</v>
      </c>
    </row>
    <row r="703" spans="2:14" x14ac:dyDescent="0.35">
      <c r="B703" vm="8376">
        <f ca="1"/>
        <v>43740</v>
      </c>
      <c r="C703" vm="8377">
        <f ca="1"/>
        <v>58.896000000000001</v>
      </c>
      <c r="D703" vm="8378">
        <f ca="1"/>
        <v>85.661500000000004</v>
      </c>
      <c r="E703" vm="8379">
        <f ca="1"/>
        <v>70.819999999999993</v>
      </c>
      <c r="F703" vm="8380">
        <f ca="1"/>
        <v>561.52</v>
      </c>
      <c r="G703" vm="8381">
        <f ca="1"/>
        <v>161.08000000000001</v>
      </c>
      <c r="H703" vm="8382">
        <f ca="1"/>
        <v>264.48</v>
      </c>
      <c r="I703" vm="8383">
        <f ca="1"/>
        <v>57.277500000000003</v>
      </c>
      <c r="J703" vm="8384">
        <f ca="1"/>
        <v>31.76</v>
      </c>
      <c r="K703" vm="8385">
        <f ca="1"/>
        <v>4.3259999999999996</v>
      </c>
      <c r="L703" vm="8386">
        <f ca="1"/>
        <v>121.08</v>
      </c>
      <c r="M703" vm="8387">
        <f ca="1"/>
        <v>216.75</v>
      </c>
      <c r="N703" vm="8388">
        <f ca="1"/>
        <v>2887.61</v>
      </c>
    </row>
    <row r="704" spans="2:14" x14ac:dyDescent="0.35">
      <c r="B704" vm="8389">
        <f ca="1"/>
        <v>43741</v>
      </c>
      <c r="C704" vm="8390">
        <f ca="1"/>
        <v>59.471499999999999</v>
      </c>
      <c r="D704" vm="8391">
        <f ca="1"/>
        <v>86.221000000000004</v>
      </c>
      <c r="E704" vm="8392">
        <f ca="1"/>
        <v>71.64</v>
      </c>
      <c r="F704" vm="8393">
        <f ca="1"/>
        <v>575.75</v>
      </c>
      <c r="G704" vm="8394">
        <f ca="1"/>
        <v>161.52000000000001</v>
      </c>
      <c r="H704" vm="8395">
        <f ca="1"/>
        <v>268.29000000000002</v>
      </c>
      <c r="I704" vm="6638">
        <f ca="1"/>
        <v>57.542499999999997</v>
      </c>
      <c r="J704" vm="8396">
        <f ca="1"/>
        <v>32.049999999999997</v>
      </c>
      <c r="K704" vm="8397">
        <f ca="1"/>
        <v>4.5327999999999999</v>
      </c>
      <c r="L704" vm="8398">
        <f ca="1"/>
        <v>121.74</v>
      </c>
      <c r="M704" vm="8399">
        <f ca="1"/>
        <v>215.36</v>
      </c>
      <c r="N704" vm="8400">
        <f ca="1"/>
        <v>2910.63</v>
      </c>
    </row>
    <row r="705" spans="2:14" x14ac:dyDescent="0.35">
      <c r="B705" vm="8401">
        <f ca="1"/>
        <v>43742</v>
      </c>
      <c r="C705" vm="8402">
        <f ca="1"/>
        <v>60.548000000000002</v>
      </c>
      <c r="D705" vm="8403">
        <f ca="1"/>
        <v>86.982500000000002</v>
      </c>
      <c r="E705" vm="8220">
        <f ca="1"/>
        <v>72.73</v>
      </c>
      <c r="F705" vm="8404">
        <f ca="1"/>
        <v>581.65</v>
      </c>
      <c r="G705" vm="8405">
        <f ca="1"/>
        <v>163.63</v>
      </c>
      <c r="H705" vm="8406">
        <f ca="1"/>
        <v>274.06</v>
      </c>
      <c r="I705" vm="8407">
        <f ca="1"/>
        <v>58.397500000000001</v>
      </c>
      <c r="J705" vm="8408">
        <f ca="1"/>
        <v>31.88</v>
      </c>
      <c r="K705" vm="8409">
        <f ca="1"/>
        <v>4.5492999999999997</v>
      </c>
      <c r="L705" vm="8410">
        <f ca="1"/>
        <v>124</v>
      </c>
      <c r="M705" vm="8411">
        <f ca="1"/>
        <v>219.8</v>
      </c>
      <c r="N705" vm="8412">
        <f ca="1"/>
        <v>2952.01</v>
      </c>
    </row>
    <row r="706" spans="2:14" x14ac:dyDescent="0.35">
      <c r="B706" vm="8413">
        <f ca="1"/>
        <v>43745</v>
      </c>
      <c r="C706" vm="8414">
        <f ca="1"/>
        <v>60.412500000000001</v>
      </c>
      <c r="D706" vm="8415">
        <f ca="1"/>
        <v>86.632999999999996</v>
      </c>
      <c r="E706" vm="8416">
        <f ca="1"/>
        <v>72.45</v>
      </c>
      <c r="F706" vm="8417">
        <f ca="1"/>
        <v>577.30999999999995</v>
      </c>
      <c r="G706" vm="8418">
        <f ca="1"/>
        <v>163.18</v>
      </c>
      <c r="H706" vm="8419">
        <f ca="1"/>
        <v>272.19</v>
      </c>
      <c r="I706" vm="8420">
        <f ca="1"/>
        <v>58.137500000000003</v>
      </c>
      <c r="J706" vm="8421">
        <f ca="1"/>
        <v>31.8</v>
      </c>
      <c r="K706" vm="8200">
        <f ca="1"/>
        <v>4.6082999999999998</v>
      </c>
      <c r="L706" vm="8422">
        <f ca="1"/>
        <v>122.84</v>
      </c>
      <c r="M706" vm="8423">
        <f ca="1"/>
        <v>221.24</v>
      </c>
      <c r="N706" vm="8424">
        <f ca="1"/>
        <v>2938.79</v>
      </c>
    </row>
    <row r="707" spans="2:14" x14ac:dyDescent="0.35">
      <c r="B707" vm="8425">
        <f ca="1"/>
        <v>43746</v>
      </c>
      <c r="C707" vm="8426">
        <f ca="1"/>
        <v>59.506500000000003</v>
      </c>
      <c r="D707" vm="8427">
        <f ca="1"/>
        <v>85.275499999999994</v>
      </c>
      <c r="E707" vm="8428">
        <f ca="1"/>
        <v>71.41</v>
      </c>
      <c r="F707" vm="8429">
        <f ca="1"/>
        <v>569.5</v>
      </c>
      <c r="G707" vm="8430">
        <f ca="1"/>
        <v>158.62</v>
      </c>
      <c r="H707" vm="8431">
        <f ca="1"/>
        <v>267.07</v>
      </c>
      <c r="I707" vm="8432">
        <f ca="1"/>
        <v>57.4925</v>
      </c>
      <c r="J707" vm="8433">
        <f ca="1"/>
        <v>30.71</v>
      </c>
      <c r="K707" vm="8434">
        <f ca="1"/>
        <v>4.4307999999999996</v>
      </c>
      <c r="L707" vm="8435">
        <f ca="1"/>
        <v>120.93</v>
      </c>
      <c r="M707" vm="8436">
        <f ca="1"/>
        <v>220.11</v>
      </c>
      <c r="N707" vm="8437">
        <f ca="1"/>
        <v>2893.06</v>
      </c>
    </row>
    <row r="708" spans="2:14" x14ac:dyDescent="0.35">
      <c r="B708" vm="8438">
        <f ca="1"/>
        <v>43747</v>
      </c>
      <c r="C708" vm="8439">
        <f ca="1"/>
        <v>60.12</v>
      </c>
      <c r="D708" vm="8440">
        <f ca="1"/>
        <v>86.099500000000006</v>
      </c>
      <c r="E708" vm="8441">
        <f ca="1"/>
        <v>72.27</v>
      </c>
      <c r="F708" vm="8442">
        <f ca="1"/>
        <v>575</v>
      </c>
      <c r="G708" vm="8443">
        <f ca="1"/>
        <v>159.84</v>
      </c>
      <c r="H708" vm="8444">
        <f ca="1"/>
        <v>272.24</v>
      </c>
      <c r="I708" vm="6967">
        <f ca="1"/>
        <v>58.34</v>
      </c>
      <c r="J708" vm="8445">
        <f ca="1"/>
        <v>30.9</v>
      </c>
      <c r="K708" vm="8446">
        <f ca="1"/>
        <v>4.5178000000000003</v>
      </c>
      <c r="L708" vm="1610">
        <f ca="1"/>
        <v>121.98</v>
      </c>
      <c r="M708" vm="8447">
        <f ca="1"/>
        <v>222.08</v>
      </c>
      <c r="N708" vm="8448">
        <f ca="1"/>
        <v>2919.4</v>
      </c>
    </row>
    <row r="709" spans="2:14" x14ac:dyDescent="0.35">
      <c r="B709" vm="8449">
        <f ca="1"/>
        <v>43748</v>
      </c>
      <c r="C709" vm="8450">
        <f ca="1"/>
        <v>60.473500000000001</v>
      </c>
      <c r="D709" vm="8451">
        <f ca="1"/>
        <v>86.013000000000005</v>
      </c>
      <c r="E709" vm="1013">
        <f ca="1"/>
        <v>72.84</v>
      </c>
      <c r="F709" vm="8452">
        <f ca="1"/>
        <v>572.20000000000005</v>
      </c>
      <c r="G709" vm="8453">
        <f ca="1"/>
        <v>160.97</v>
      </c>
      <c r="H709" vm="8454">
        <f ca="1"/>
        <v>273.83</v>
      </c>
      <c r="I709" vm="6883">
        <f ca="1"/>
        <v>58</v>
      </c>
      <c r="J709" vm="8455">
        <f ca="1"/>
        <v>31.07</v>
      </c>
      <c r="K709" vm="8456">
        <f ca="1"/>
        <v>4.5758000000000001</v>
      </c>
      <c r="L709" vm="8457">
        <f ca="1"/>
        <v>121.94</v>
      </c>
      <c r="M709" vm="8458">
        <f ca="1"/>
        <v>223.73</v>
      </c>
      <c r="N709" vm="8459">
        <f ca="1"/>
        <v>2938.13</v>
      </c>
    </row>
    <row r="710" spans="2:14" x14ac:dyDescent="0.35">
      <c r="B710" vm="8460">
        <f ca="1"/>
        <v>43749</v>
      </c>
      <c r="C710" vm="8461">
        <f ca="1"/>
        <v>60.785499999999999</v>
      </c>
      <c r="D710" vm="8462">
        <f ca="1"/>
        <v>86.596000000000004</v>
      </c>
      <c r="E710" vm="8463">
        <f ca="1"/>
        <v>72.61</v>
      </c>
      <c r="F710" vm="8464">
        <f ca="1"/>
        <v>566.61</v>
      </c>
      <c r="G710" vm="8125">
        <f ca="1"/>
        <v>163.53</v>
      </c>
      <c r="H710" vm="8271">
        <f ca="1"/>
        <v>275.91000000000003</v>
      </c>
      <c r="I710" vm="8465">
        <f ca="1"/>
        <v>57.384999999999998</v>
      </c>
      <c r="J710" vm="8466">
        <f ca="1"/>
        <v>32.479999999999997</v>
      </c>
      <c r="K710" vm="8467">
        <f ca="1"/>
        <v>4.6497999999999999</v>
      </c>
      <c r="L710" vm="8468">
        <f ca="1"/>
        <v>121.09</v>
      </c>
      <c r="M710" vm="8469">
        <f ca="1"/>
        <v>222.07</v>
      </c>
      <c r="N710" vm="8470">
        <f ca="1"/>
        <v>2970.27</v>
      </c>
    </row>
    <row r="711" spans="2:14" x14ac:dyDescent="0.35">
      <c r="B711" vm="8471">
        <f ca="1"/>
        <v>43752</v>
      </c>
      <c r="C711" vm="8472">
        <f ca="1"/>
        <v>60.888500000000001</v>
      </c>
      <c r="D711" vm="8473">
        <f ca="1"/>
        <v>86.8215</v>
      </c>
      <c r="E711" vm="8474">
        <f ca="1"/>
        <v>72.92</v>
      </c>
      <c r="F711" vm="8475">
        <f ca="1"/>
        <v>567.5</v>
      </c>
      <c r="G711" vm="8476">
        <f ca="1"/>
        <v>162.97999999999999</v>
      </c>
      <c r="H711" vm="8477">
        <f ca="1"/>
        <v>276.38</v>
      </c>
      <c r="I711" vm="8478">
        <f ca="1"/>
        <v>57.225000000000001</v>
      </c>
      <c r="J711" vm="8479">
        <f ca="1"/>
        <v>32.57</v>
      </c>
      <c r="K711" vm="8480">
        <f ca="1"/>
        <v>4.6632999999999996</v>
      </c>
      <c r="L711" vm="8481">
        <f ca="1"/>
        <v>120.05</v>
      </c>
      <c r="M711" vm="6497">
        <f ca="1"/>
        <v>220.59</v>
      </c>
      <c r="N711" vm="8482">
        <f ca="1"/>
        <v>2966.15</v>
      </c>
    </row>
    <row r="712" spans="2:14" x14ac:dyDescent="0.35">
      <c r="B712" vm="8483">
        <f ca="1"/>
        <v>43753</v>
      </c>
      <c r="C712" vm="8484">
        <f ca="1"/>
        <v>62.112000000000002</v>
      </c>
      <c r="D712" vm="8485">
        <f ca="1"/>
        <v>88.369</v>
      </c>
      <c r="E712" vm="8486">
        <f ca="1"/>
        <v>72.16</v>
      </c>
      <c r="F712" vm="8487">
        <f ca="1"/>
        <v>571.65</v>
      </c>
      <c r="G712" vm="8488">
        <f ca="1"/>
        <v>163.63999999999999</v>
      </c>
      <c r="H712" vm="8489">
        <f ca="1"/>
        <v>278.56</v>
      </c>
      <c r="I712" vm="8490">
        <f ca="1"/>
        <v>56.884999999999998</v>
      </c>
      <c r="J712" vm="8491">
        <f ca="1"/>
        <v>32.81</v>
      </c>
      <c r="K712" vm="8492">
        <f ca="1"/>
        <v>4.9093</v>
      </c>
      <c r="L712" vm="8493">
        <f ca="1"/>
        <v>117.2</v>
      </c>
      <c r="M712" vm="8494">
        <f ca="1"/>
        <v>238.59</v>
      </c>
      <c r="N712" vm="8495">
        <f ca="1"/>
        <v>2995.68</v>
      </c>
    </row>
    <row r="713" spans="2:14" x14ac:dyDescent="0.35">
      <c r="B713" vm="8496">
        <f ca="1"/>
        <v>43754</v>
      </c>
      <c r="C713" vm="2877">
        <f ca="1"/>
        <v>62.15</v>
      </c>
      <c r="D713" vm="8497">
        <f ca="1"/>
        <v>88.871499999999997</v>
      </c>
      <c r="E713" vm="8498">
        <f ca="1"/>
        <v>72.58</v>
      </c>
      <c r="F713" vm="8499">
        <f ca="1"/>
        <v>567.89</v>
      </c>
      <c r="G713" vm="8405">
        <f ca="1"/>
        <v>163.63</v>
      </c>
      <c r="H713" vm="8500">
        <f ca="1"/>
        <v>278.27</v>
      </c>
      <c r="I713" vm="8501">
        <f ca="1"/>
        <v>57.477499999999999</v>
      </c>
      <c r="J713" vm="8502">
        <f ca="1"/>
        <v>31.95</v>
      </c>
      <c r="K713" vm="8503">
        <f ca="1"/>
        <v>4.8552999999999997</v>
      </c>
      <c r="L713" vm="8504">
        <f ca="1"/>
        <v>117.53</v>
      </c>
      <c r="M713" vm="8505">
        <f ca="1"/>
        <v>236.99</v>
      </c>
      <c r="N713" vm="8506">
        <f ca="1"/>
        <v>2989.69</v>
      </c>
    </row>
    <row r="714" spans="2:14" x14ac:dyDescent="0.35">
      <c r="B714" vm="8507">
        <f ca="1"/>
        <v>43755</v>
      </c>
      <c r="C714" vm="8508">
        <f ca="1"/>
        <v>62.64</v>
      </c>
      <c r="D714" vm="8509">
        <f ca="1"/>
        <v>89.373999999999995</v>
      </c>
      <c r="E714" vm="8510">
        <f ca="1"/>
        <v>73.87</v>
      </c>
      <c r="F714" vm="8511">
        <f ca="1"/>
        <v>571.84</v>
      </c>
      <c r="G714" vm="8512">
        <f ca="1"/>
        <v>167.52</v>
      </c>
      <c r="H714" vm="8513">
        <f ca="1"/>
        <v>276.51</v>
      </c>
      <c r="I714" vm="8514">
        <f ca="1"/>
        <v>57.772500000000001</v>
      </c>
      <c r="J714" vm="8515">
        <f ca="1"/>
        <v>31.89</v>
      </c>
      <c r="K714" vm="8516">
        <f ca="1"/>
        <v>4.8573000000000004</v>
      </c>
      <c r="L714" vm="8517">
        <f ca="1"/>
        <v>116.63</v>
      </c>
      <c r="M714" vm="8518">
        <f ca="1"/>
        <v>243.67</v>
      </c>
      <c r="N714" vm="8519">
        <f ca="1"/>
        <v>2997.95</v>
      </c>
    </row>
    <row r="715" spans="2:14" x14ac:dyDescent="0.35">
      <c r="B715" vm="8520">
        <f ca="1"/>
        <v>43756</v>
      </c>
      <c r="C715" vm="8521">
        <f ca="1"/>
        <v>62.220500000000001</v>
      </c>
      <c r="D715" vm="8522">
        <f ca="1"/>
        <v>87.875500000000002</v>
      </c>
      <c r="E715" vm="1000">
        <f ca="1"/>
        <v>74.11</v>
      </c>
      <c r="F715" vm="8523">
        <f ca="1"/>
        <v>576.41</v>
      </c>
      <c r="G715" vm="8524">
        <f ca="1"/>
        <v>165.57</v>
      </c>
      <c r="H715" vm="5373">
        <f ca="1"/>
        <v>270.63</v>
      </c>
      <c r="I715" vm="6750">
        <f ca="1"/>
        <v>58.12</v>
      </c>
      <c r="J715" vm="8525">
        <f ca="1"/>
        <v>32.31</v>
      </c>
      <c r="K715" vm="8526">
        <f ca="1"/>
        <v>4.7622999999999998</v>
      </c>
      <c r="L715" vm="8527">
        <f ca="1"/>
        <v>117.47</v>
      </c>
      <c r="M715" vm="4614">
        <f ca="1"/>
        <v>245.34</v>
      </c>
      <c r="N715" vm="8528">
        <f ca="1"/>
        <v>2986.2</v>
      </c>
    </row>
    <row r="716" spans="2:14" x14ac:dyDescent="0.35">
      <c r="B716" vm="8529">
        <f ca="1"/>
        <v>43759</v>
      </c>
      <c r="C716" vm="8530">
        <f ca="1"/>
        <v>62.213999999999999</v>
      </c>
      <c r="D716" vm="8531">
        <f ca="1"/>
        <v>89.283000000000001</v>
      </c>
      <c r="E716" vm="8532">
        <f ca="1"/>
        <v>72.290000000000006</v>
      </c>
      <c r="F716" vm="8533">
        <f ca="1"/>
        <v>577.35</v>
      </c>
      <c r="G716" vm="8534">
        <f ca="1"/>
        <v>168.94</v>
      </c>
      <c r="H716" vm="8535">
        <f ca="1"/>
        <v>274.3</v>
      </c>
      <c r="I716" vm="6907">
        <f ca="1"/>
        <v>58.2</v>
      </c>
      <c r="J716" vm="8536">
        <f ca="1"/>
        <v>33.590000000000003</v>
      </c>
      <c r="K716" vm="8537">
        <f ca="1"/>
        <v>4.9002999999999997</v>
      </c>
      <c r="L716" vm="8538">
        <f ca="1"/>
        <v>119.08</v>
      </c>
      <c r="M716" vm="8539">
        <f ca="1"/>
        <v>243.92</v>
      </c>
      <c r="N716" vm="8540">
        <f ca="1"/>
        <v>3006.72</v>
      </c>
    </row>
    <row r="717" spans="2:14" x14ac:dyDescent="0.35">
      <c r="B717" vm="8541">
        <f ca="1"/>
        <v>43760</v>
      </c>
      <c r="C717" vm="8542">
        <f ca="1"/>
        <v>62.06</v>
      </c>
      <c r="D717" vm="8543">
        <f ca="1"/>
        <v>88.286500000000004</v>
      </c>
      <c r="E717" vm="8544">
        <f ca="1"/>
        <v>70.849999999999994</v>
      </c>
      <c r="F717" vm="8545">
        <f ca="1"/>
        <v>569.92999999999995</v>
      </c>
      <c r="G717" vm="8534">
        <f ca="1"/>
        <v>168.94</v>
      </c>
      <c r="H717" vm="8546">
        <f ca="1"/>
        <v>261.26</v>
      </c>
      <c r="I717" vm="8547">
        <f ca="1"/>
        <v>59.06</v>
      </c>
      <c r="J717" vm="8548">
        <f ca="1"/>
        <v>34.82</v>
      </c>
      <c r="K717" vm="8549">
        <f ca="1"/>
        <v>4.8902999999999999</v>
      </c>
      <c r="L717" vm="8550">
        <f ca="1"/>
        <v>122.18</v>
      </c>
      <c r="M717" vm="8551">
        <f ca="1"/>
        <v>249.48</v>
      </c>
      <c r="N717" vm="8552">
        <f ca="1"/>
        <v>2995.99</v>
      </c>
    </row>
    <row r="718" spans="2:14" x14ac:dyDescent="0.35">
      <c r="B718" vm="8553">
        <f ca="1"/>
        <v>43761</v>
      </c>
      <c r="C718" vm="8554">
        <f ca="1"/>
        <v>62.881500000000003</v>
      </c>
      <c r="D718" vm="8555">
        <f ca="1"/>
        <v>88.108500000000006</v>
      </c>
      <c r="E718" vm="4205">
        <f ca="1"/>
        <v>71.08</v>
      </c>
      <c r="F718" vm="8556">
        <f ca="1"/>
        <v>566.62</v>
      </c>
      <c r="G718" vm="7142">
        <f ca="1"/>
        <v>169.85</v>
      </c>
      <c r="H718" vm="8557">
        <f ca="1"/>
        <v>260.85000000000002</v>
      </c>
      <c r="I718" vm="8558">
        <f ca="1"/>
        <v>59</v>
      </c>
      <c r="J718" vm="8559">
        <f ca="1"/>
        <v>35.33</v>
      </c>
      <c r="K718" vm="8560">
        <f ca="1"/>
        <v>4.8773</v>
      </c>
      <c r="L718" vm="8561">
        <f ca="1"/>
        <v>123</v>
      </c>
      <c r="M718" vm="8562">
        <f ca="1"/>
        <v>247.8</v>
      </c>
      <c r="N718" vm="8563">
        <f ca="1"/>
        <v>3004.52</v>
      </c>
    </row>
    <row r="719" spans="2:14" x14ac:dyDescent="0.35">
      <c r="B719" vm="8564">
        <f ca="1"/>
        <v>43762</v>
      </c>
      <c r="C719" vm="8565">
        <f ca="1"/>
        <v>62.955500000000001</v>
      </c>
      <c r="D719" vm="8566">
        <f ca="1"/>
        <v>89.039000000000001</v>
      </c>
      <c r="E719" vm="8567">
        <f ca="1"/>
        <v>71.8</v>
      </c>
      <c r="F719" vm="8568">
        <f ca="1"/>
        <v>563.34</v>
      </c>
      <c r="G719" vm="8569">
        <f ca="1"/>
        <v>171.46</v>
      </c>
      <c r="H719" vm="8570">
        <f ca="1"/>
        <v>268.75</v>
      </c>
      <c r="I719" vm="8571">
        <f ca="1"/>
        <v>59.387500000000003</v>
      </c>
      <c r="J719" vm="8572">
        <f ca="1"/>
        <v>35.11</v>
      </c>
      <c r="K719" vm="8573">
        <f ca="1"/>
        <v>4.9215</v>
      </c>
      <c r="L719" vm="8574">
        <f ca="1"/>
        <v>124.79</v>
      </c>
      <c r="M719" vm="8575">
        <f ca="1"/>
        <v>244.51</v>
      </c>
      <c r="N719" vm="8576">
        <f ca="1"/>
        <v>3010.29</v>
      </c>
    </row>
    <row r="720" spans="2:14" x14ac:dyDescent="0.35">
      <c r="B720" vm="8577">
        <f ca="1"/>
        <v>43763</v>
      </c>
      <c r="C720" vm="8578">
        <f ca="1"/>
        <v>63.215000000000003</v>
      </c>
      <c r="D720" vm="8579">
        <f ca="1"/>
        <v>88.066500000000005</v>
      </c>
      <c r="E720" vm="8580">
        <f ca="1"/>
        <v>71.91</v>
      </c>
      <c r="F720" vm="8581">
        <f ca="1"/>
        <v>565.74</v>
      </c>
      <c r="G720" vm="7174">
        <f ca="1"/>
        <v>171.63</v>
      </c>
      <c r="H720" vm="8582">
        <f ca="1"/>
        <v>270.19</v>
      </c>
      <c r="I720" vm="8583">
        <f ca="1"/>
        <v>59.22</v>
      </c>
      <c r="J720" vm="8584">
        <f ca="1"/>
        <v>35.090000000000003</v>
      </c>
      <c r="K720" vm="8585">
        <f ca="1"/>
        <v>5.1135000000000002</v>
      </c>
      <c r="L720" vm="8586">
        <f ca="1"/>
        <v>123.25</v>
      </c>
      <c r="M720" vm="8587">
        <f ca="1"/>
        <v>244.91</v>
      </c>
      <c r="N720" vm="8588">
        <f ca="1"/>
        <v>3022.55</v>
      </c>
    </row>
    <row r="721" spans="2:14" x14ac:dyDescent="0.35">
      <c r="B721" vm="8589">
        <f ca="1"/>
        <v>43766</v>
      </c>
      <c r="C721" vm="8590">
        <f ca="1"/>
        <v>64.448999999999998</v>
      </c>
      <c r="D721" vm="8591">
        <f ca="1"/>
        <v>88.853999999999999</v>
      </c>
      <c r="E721" vm="8592">
        <f ca="1"/>
        <v>71.34</v>
      </c>
      <c r="F721" vm="8593">
        <f ca="1"/>
        <v>567.13</v>
      </c>
      <c r="G721" vm="8594">
        <f ca="1"/>
        <v>172.68</v>
      </c>
      <c r="H721" vm="8595">
        <f ca="1"/>
        <v>275.93</v>
      </c>
      <c r="I721" vm="8596">
        <f ca="1"/>
        <v>58.307499999999997</v>
      </c>
      <c r="J721" vm="8597">
        <f ca="1"/>
        <v>35.020000000000003</v>
      </c>
      <c r="K721" vm="8598">
        <f ca="1"/>
        <v>5.1698000000000004</v>
      </c>
      <c r="L721" vm="8599">
        <f ca="1"/>
        <v>123.48</v>
      </c>
      <c r="M721" vm="8600">
        <f ca="1"/>
        <v>247.05</v>
      </c>
      <c r="N721" vm="8601">
        <f ca="1"/>
        <v>3039.42</v>
      </c>
    </row>
    <row r="722" spans="2:14" x14ac:dyDescent="0.35">
      <c r="B722" vm="8602">
        <f ca="1"/>
        <v>43767</v>
      </c>
      <c r="C722" vm="8603">
        <f ca="1"/>
        <v>63.033000000000001</v>
      </c>
      <c r="D722" vm="8604">
        <f ca="1"/>
        <v>88.135499999999993</v>
      </c>
      <c r="E722" vm="8605">
        <f ca="1"/>
        <v>72.739999999999995</v>
      </c>
      <c r="F722" vm="8606">
        <f ca="1"/>
        <v>567.52</v>
      </c>
      <c r="G722" vm="8607">
        <f ca="1"/>
        <v>173.16</v>
      </c>
      <c r="H722" vm="8608">
        <f ca="1"/>
        <v>274.29000000000002</v>
      </c>
      <c r="I722" vm="8609">
        <f ca="1"/>
        <v>58.15</v>
      </c>
      <c r="J722" vm="8610">
        <f ca="1"/>
        <v>34.79</v>
      </c>
      <c r="K722" vm="8611">
        <f ca="1"/>
        <v>5.0730000000000004</v>
      </c>
      <c r="L722" vm="8612">
        <f ca="1"/>
        <v>123.6</v>
      </c>
      <c r="M722" vm="8613">
        <f ca="1"/>
        <v>252.29</v>
      </c>
      <c r="N722" vm="8614">
        <f ca="1"/>
        <v>3036.89</v>
      </c>
    </row>
    <row r="723" spans="2:14" x14ac:dyDescent="0.35">
      <c r="B723" vm="8615">
        <f ca="1"/>
        <v>43768</v>
      </c>
      <c r="C723" vm="8616">
        <f ca="1"/>
        <v>63.034999999999997</v>
      </c>
      <c r="D723" vm="8617">
        <f ca="1"/>
        <v>88.999499999999998</v>
      </c>
      <c r="E723" vm="4254">
        <f ca="1"/>
        <v>73.959999999999994</v>
      </c>
      <c r="F723" vm="8618">
        <f ca="1"/>
        <v>571.16</v>
      </c>
      <c r="G723" vm="8619">
        <f ca="1"/>
        <v>174.6</v>
      </c>
      <c r="H723" vm="8620">
        <f ca="1"/>
        <v>277.14999999999998</v>
      </c>
      <c r="I723" vm="8621">
        <f ca="1"/>
        <v>58.865000000000002</v>
      </c>
      <c r="J723" vm="8622">
        <f ca="1"/>
        <v>33.1</v>
      </c>
      <c r="K723" vm="5611">
        <f ca="1"/>
        <v>5.0750000000000002</v>
      </c>
      <c r="L723" vm="8623">
        <f ca="1"/>
        <v>124.94</v>
      </c>
      <c r="M723" vm="8624">
        <f ca="1"/>
        <v>254.8</v>
      </c>
      <c r="N723" vm="8625">
        <f ca="1"/>
        <v>3046.77</v>
      </c>
    </row>
    <row r="724" spans="2:14" x14ac:dyDescent="0.35">
      <c r="B724" vm="8626">
        <f ca="1"/>
        <v>43769</v>
      </c>
      <c r="C724" vm="5419">
        <f ca="1"/>
        <v>62.94</v>
      </c>
      <c r="D724" vm="8627">
        <f ca="1"/>
        <v>88.832999999999998</v>
      </c>
      <c r="E724" vm="1357">
        <f ca="1"/>
        <v>69.97</v>
      </c>
      <c r="F724" vm="8628">
        <f ca="1"/>
        <v>566.78</v>
      </c>
      <c r="G724" vm="8629">
        <f ca="1"/>
        <v>172.73</v>
      </c>
      <c r="H724" vm="8630">
        <f ca="1"/>
        <v>276.81</v>
      </c>
      <c r="I724" vm="8631">
        <f ca="1"/>
        <v>59.585000000000001</v>
      </c>
      <c r="J724" vm="8632">
        <f ca="1"/>
        <v>32.69</v>
      </c>
      <c r="K724" vm="8633">
        <f ca="1"/>
        <v>5.0255000000000001</v>
      </c>
      <c r="L724" vm="8634">
        <f ca="1"/>
        <v>124.51</v>
      </c>
      <c r="M724" vm="4774">
        <f ca="1"/>
        <v>252.7</v>
      </c>
      <c r="N724" vm="8635">
        <f ca="1"/>
        <v>3037.56</v>
      </c>
    </row>
    <row r="725" spans="2:14" x14ac:dyDescent="0.35">
      <c r="B725" vm="8636">
        <f ca="1"/>
        <v>43770</v>
      </c>
      <c r="C725" vm="8637">
        <f ca="1"/>
        <v>63.612499999999997</v>
      </c>
      <c r="D725" vm="8638">
        <f ca="1"/>
        <v>89.572000000000003</v>
      </c>
      <c r="E725" vm="8639">
        <f ca="1"/>
        <v>68.36</v>
      </c>
      <c r="F725" vm="8640">
        <f ca="1"/>
        <v>562.24</v>
      </c>
      <c r="G725" vm="8641">
        <f ca="1"/>
        <v>176.12</v>
      </c>
      <c r="H725" vm="8642">
        <f ca="1"/>
        <v>279.05</v>
      </c>
      <c r="I725" vm="8643">
        <f ca="1"/>
        <v>58.927500000000002</v>
      </c>
      <c r="J725" vm="8644">
        <f ca="1"/>
        <v>34.44</v>
      </c>
      <c r="K725" vm="8645">
        <f ca="1"/>
        <v>5.0648</v>
      </c>
      <c r="L725" vm="8646">
        <f ca="1"/>
        <v>123.87</v>
      </c>
      <c r="M725" vm="8647">
        <f ca="1"/>
        <v>252.21</v>
      </c>
      <c r="N725" vm="8648">
        <f ca="1"/>
        <v>3066.91</v>
      </c>
    </row>
    <row r="726" spans="2:14" x14ac:dyDescent="0.35">
      <c r="B726" vm="8649">
        <f ca="1"/>
        <v>43773</v>
      </c>
      <c r="C726" vm="8650">
        <f ca="1"/>
        <v>64.480500000000006</v>
      </c>
      <c r="D726" vm="8651">
        <f ca="1"/>
        <v>90.233000000000004</v>
      </c>
      <c r="E726" vm="1901">
        <f ca="1"/>
        <v>66.55</v>
      </c>
      <c r="F726" vm="8652">
        <f ca="1"/>
        <v>543.20000000000005</v>
      </c>
      <c r="G726" vm="8653">
        <f ca="1"/>
        <v>180</v>
      </c>
      <c r="H726" vm="8654">
        <f ca="1"/>
        <v>276.33</v>
      </c>
      <c r="I726" vm="8655">
        <f ca="1"/>
        <v>57.4</v>
      </c>
      <c r="J726" vm="8656">
        <f ca="1"/>
        <v>36.24</v>
      </c>
      <c r="K726" vm="8657">
        <f ca="1"/>
        <v>5.2625000000000002</v>
      </c>
      <c r="L726" vm="8658">
        <f ca="1"/>
        <v>119.07</v>
      </c>
      <c r="M726" vm="8659">
        <f ca="1"/>
        <v>251.25</v>
      </c>
      <c r="N726" vm="8660">
        <f ca="1"/>
        <v>3078.27</v>
      </c>
    </row>
    <row r="727" spans="2:14" x14ac:dyDescent="0.35">
      <c r="B727" vm="8661">
        <f ca="1"/>
        <v>43774</v>
      </c>
      <c r="C727" vm="8662">
        <f ca="1"/>
        <v>64.572000000000003</v>
      </c>
      <c r="D727" vm="8663">
        <f ca="1"/>
        <v>90.085499999999996</v>
      </c>
      <c r="E727" vm="8664">
        <f ca="1"/>
        <v>64.709999999999994</v>
      </c>
      <c r="F727" vm="8665">
        <f ca="1"/>
        <v>527.19000000000005</v>
      </c>
      <c r="G727" vm="8666">
        <f ca="1"/>
        <v>180.68</v>
      </c>
      <c r="H727" vm="5099">
        <f ca="1"/>
        <v>269</v>
      </c>
      <c r="I727" vm="8667">
        <f ca="1"/>
        <v>56.777500000000003</v>
      </c>
      <c r="J727" vm="449">
        <f ca="1"/>
        <v>36.72</v>
      </c>
      <c r="K727" vm="8668">
        <f ca="1"/>
        <v>5.2403000000000004</v>
      </c>
      <c r="L727" vm="8018">
        <f ca="1"/>
        <v>118.9</v>
      </c>
      <c r="M727" vm="8669">
        <f ca="1"/>
        <v>250.3</v>
      </c>
      <c r="N727" vm="8670">
        <f ca="1"/>
        <v>3074.62</v>
      </c>
    </row>
    <row r="728" spans="2:14" x14ac:dyDescent="0.35">
      <c r="B728" vm="8671">
        <f ca="1"/>
        <v>43775</v>
      </c>
      <c r="C728" vm="8672">
        <f ca="1"/>
        <v>64.5505</v>
      </c>
      <c r="D728" vm="8673">
        <f ca="1"/>
        <v>89.788499999999999</v>
      </c>
      <c r="E728" vm="4863">
        <f ca="1"/>
        <v>66.66</v>
      </c>
      <c r="F728" vm="8674">
        <f ca="1"/>
        <v>531.88</v>
      </c>
      <c r="G728" vm="8675">
        <f ca="1"/>
        <v>180.81</v>
      </c>
      <c r="H728" vm="8676">
        <f ca="1"/>
        <v>269.86</v>
      </c>
      <c r="I728" vm="8677">
        <f ca="1"/>
        <v>56.872500000000002</v>
      </c>
      <c r="J728" vm="8309">
        <f ca="1"/>
        <v>35.56</v>
      </c>
      <c r="K728" vm="8678">
        <f ca="1"/>
        <v>5.1908000000000003</v>
      </c>
      <c r="L728" vm="8679">
        <f ca="1"/>
        <v>120.32</v>
      </c>
      <c r="M728" vm="8680">
        <f ca="1"/>
        <v>250.52</v>
      </c>
      <c r="N728" vm="8681">
        <f ca="1"/>
        <v>3076.78</v>
      </c>
    </row>
    <row r="729" spans="2:14" x14ac:dyDescent="0.35">
      <c r="B729" vm="8682">
        <f ca="1"/>
        <v>43776</v>
      </c>
      <c r="C729" vm="8683">
        <f ca="1"/>
        <v>65.346999999999994</v>
      </c>
      <c r="D729" vm="8684">
        <f ca="1"/>
        <v>89.41</v>
      </c>
      <c r="E729" vm="8685">
        <f ca="1"/>
        <v>65.069999999999993</v>
      </c>
      <c r="F729" vm="8686">
        <f ca="1"/>
        <v>522.5</v>
      </c>
      <c r="G729" vm="8687">
        <f ca="1"/>
        <v>179.66</v>
      </c>
      <c r="H729" vm="8688">
        <f ca="1"/>
        <v>272.79000000000002</v>
      </c>
      <c r="I729" vm="8689">
        <f ca="1"/>
        <v>55.772500000000001</v>
      </c>
      <c r="J729" vm="6103">
        <f ca="1"/>
        <v>36.08</v>
      </c>
      <c r="K729" vm="8690">
        <f ca="1"/>
        <v>5.2084999999999999</v>
      </c>
      <c r="L729" vm="8691">
        <f ca="1"/>
        <v>119.62</v>
      </c>
      <c r="M729" vm="8692">
        <f ca="1"/>
        <v>256.45999999999998</v>
      </c>
      <c r="N729" vm="8693">
        <f ca="1"/>
        <v>3085.18</v>
      </c>
    </row>
    <row r="730" spans="2:14" x14ac:dyDescent="0.35">
      <c r="B730" vm="8694">
        <f ca="1"/>
        <v>43777</v>
      </c>
      <c r="C730" vm="8695">
        <f ca="1"/>
        <v>65.45</v>
      </c>
      <c r="D730" vm="8696">
        <f ca="1"/>
        <v>89.293999999999997</v>
      </c>
      <c r="E730" vm="5049">
        <f ca="1"/>
        <v>64.650000000000006</v>
      </c>
      <c r="F730" vm="8697">
        <f ca="1"/>
        <v>530.30999999999995</v>
      </c>
      <c r="G730" vm="8698">
        <f ca="1"/>
        <v>181.21</v>
      </c>
      <c r="H730" vm="8699">
        <f ca="1"/>
        <v>274.89</v>
      </c>
      <c r="I730" vm="8700">
        <f ca="1"/>
        <v>55.52</v>
      </c>
      <c r="J730" vm="576">
        <f ca="1"/>
        <v>36.340000000000003</v>
      </c>
      <c r="K730" vm="8701">
        <f ca="1"/>
        <v>5.1944999999999997</v>
      </c>
      <c r="L730" vm="8702">
        <f ca="1"/>
        <v>119.7</v>
      </c>
      <c r="M730" vm="8703">
        <f ca="1"/>
        <v>256.97000000000003</v>
      </c>
      <c r="N730" vm="8704">
        <f ca="1"/>
        <v>3093.08</v>
      </c>
    </row>
    <row r="731" spans="2:14" x14ac:dyDescent="0.35">
      <c r="B731" vm="8705">
        <f ca="1"/>
        <v>43780</v>
      </c>
      <c r="C731" vm="8706">
        <f ca="1"/>
        <v>64.914000000000001</v>
      </c>
      <c r="D731" vm="8707">
        <f ca="1"/>
        <v>88.582499999999996</v>
      </c>
      <c r="E731" vm="8708">
        <f ca="1"/>
        <v>64.540000000000006</v>
      </c>
      <c r="F731" vm="8709">
        <f ca="1"/>
        <v>535</v>
      </c>
      <c r="G731" vm="8710">
        <f ca="1"/>
        <v>180.83</v>
      </c>
      <c r="H731" vm="8711">
        <f ca="1"/>
        <v>277</v>
      </c>
      <c r="I731" vm="8247">
        <f ca="1"/>
        <v>55.555</v>
      </c>
      <c r="J731" vm="8712">
        <f ca="1"/>
        <v>36.409999999999997</v>
      </c>
      <c r="K731" vm="8713">
        <f ca="1"/>
        <v>5.2045000000000003</v>
      </c>
      <c r="L731" vm="8714">
        <f ca="1"/>
        <v>119.33</v>
      </c>
      <c r="M731" vm="8715">
        <f ca="1"/>
        <v>254.09</v>
      </c>
      <c r="N731" vm="8716">
        <f ca="1"/>
        <v>3087.01</v>
      </c>
    </row>
    <row r="732" spans="2:14" x14ac:dyDescent="0.35">
      <c r="B732" vm="8717">
        <f ca="1"/>
        <v>43781</v>
      </c>
      <c r="C732" vm="8718">
        <f ca="1"/>
        <v>64.860500000000002</v>
      </c>
      <c r="D732" vm="8719">
        <f ca="1"/>
        <v>88.9</v>
      </c>
      <c r="E732" vm="8720">
        <f ca="1"/>
        <v>64.37</v>
      </c>
      <c r="F732" vm="8721">
        <f ca="1"/>
        <v>531.24</v>
      </c>
      <c r="G732" vm="8722">
        <f ca="1"/>
        <v>182.01</v>
      </c>
      <c r="H732" vm="8723">
        <f ca="1"/>
        <v>277.14</v>
      </c>
      <c r="I732" vm="8724">
        <f ca="1"/>
        <v>55.805</v>
      </c>
      <c r="J732" vm="8725">
        <f ca="1"/>
        <v>36.21</v>
      </c>
      <c r="K732" vm="8668">
        <f ca="1"/>
        <v>5.2403000000000004</v>
      </c>
      <c r="L732" vm="8726">
        <f ca="1"/>
        <v>119.27</v>
      </c>
      <c r="M732" vm="8727">
        <f ca="1"/>
        <v>255.25</v>
      </c>
      <c r="N732" vm="8728">
        <f ca="1"/>
        <v>3091.84</v>
      </c>
    </row>
    <row r="733" spans="2:14" x14ac:dyDescent="0.35">
      <c r="B733" vm="8729">
        <f ca="1"/>
        <v>43782</v>
      </c>
      <c r="C733" vm="8730">
        <f ca="1"/>
        <v>64.808999999999997</v>
      </c>
      <c r="D733" vm="8731">
        <f ca="1"/>
        <v>87.655500000000004</v>
      </c>
      <c r="E733" vm="1625">
        <f ca="1"/>
        <v>65.13</v>
      </c>
      <c r="F733" vm="8732">
        <f ca="1"/>
        <v>540.73</v>
      </c>
      <c r="G733" vm="8733">
        <f ca="1"/>
        <v>181.95</v>
      </c>
      <c r="H733" vm="8001">
        <f ca="1"/>
        <v>278.07</v>
      </c>
      <c r="I733" vm="8734">
        <f ca="1"/>
        <v>56.977499999999999</v>
      </c>
      <c r="J733" vm="8735">
        <f ca="1"/>
        <v>35.03</v>
      </c>
      <c r="K733" vm="8736">
        <f ca="1"/>
        <v>5.2142999999999997</v>
      </c>
      <c r="L733" vm="8737">
        <f ca="1"/>
        <v>120.65</v>
      </c>
      <c r="M733" vm="8738">
        <f ca="1"/>
        <v>253.57</v>
      </c>
      <c r="N733" vm="8739">
        <f ca="1"/>
        <v>3094.04</v>
      </c>
    </row>
    <row r="734" spans="2:14" x14ac:dyDescent="0.35">
      <c r="B734" vm="8740">
        <f ca="1"/>
        <v>43783</v>
      </c>
      <c r="C734" vm="8741">
        <f ca="1"/>
        <v>65.457499999999996</v>
      </c>
      <c r="D734" vm="3343">
        <f ca="1"/>
        <v>87.73</v>
      </c>
      <c r="E734" vm="1612">
        <f ca="1"/>
        <v>65.739999999999995</v>
      </c>
      <c r="F734" vm="8742">
        <f ca="1"/>
        <v>544.71</v>
      </c>
      <c r="G734" vm="8743">
        <f ca="1"/>
        <v>179.65</v>
      </c>
      <c r="H734" vm="8744">
        <f ca="1"/>
        <v>279.63</v>
      </c>
      <c r="I734" vm="8745">
        <f ca="1"/>
        <v>57.467500000000001</v>
      </c>
      <c r="J734" vm="8746">
        <f ca="1"/>
        <v>34.71</v>
      </c>
      <c r="K734" vm="8747">
        <f ca="1"/>
        <v>5.2447999999999997</v>
      </c>
      <c r="L734" vm="8748">
        <f ca="1"/>
        <v>120.5</v>
      </c>
      <c r="M734" vm="8749">
        <f ca="1"/>
        <v>255.83</v>
      </c>
      <c r="N734" vm="8750">
        <f ca="1"/>
        <v>3096.63</v>
      </c>
    </row>
    <row r="735" spans="2:14" x14ac:dyDescent="0.35">
      <c r="B735" vm="8751">
        <f ca="1"/>
        <v>43784</v>
      </c>
      <c r="C735" vm="8752">
        <f ca="1"/>
        <v>66.677000000000007</v>
      </c>
      <c r="D735" vm="8753">
        <f ca="1"/>
        <v>86.974500000000006</v>
      </c>
      <c r="E735" vm="8754">
        <f ca="1"/>
        <v>65.599999999999994</v>
      </c>
      <c r="F735" vm="8755">
        <f ca="1"/>
        <v>550.41</v>
      </c>
      <c r="G735" vm="8756">
        <f ca="1"/>
        <v>181.75</v>
      </c>
      <c r="H735" vm="8757">
        <f ca="1"/>
        <v>280.77999999999997</v>
      </c>
      <c r="I735" vm="8758">
        <f ca="1"/>
        <v>57.854999999999997</v>
      </c>
      <c r="J735" vm="1304">
        <f ca="1"/>
        <v>35.36</v>
      </c>
      <c r="K735" vm="8759">
        <f ca="1"/>
        <v>5.1048</v>
      </c>
      <c r="L735" vm="8760">
        <f ca="1"/>
        <v>120.54</v>
      </c>
      <c r="M735" vm="8761">
        <f ca="1"/>
        <v>269.39999999999998</v>
      </c>
      <c r="N735" vm="8762">
        <f ca="1"/>
        <v>3120.46</v>
      </c>
    </row>
    <row r="736" spans="2:14" x14ac:dyDescent="0.35">
      <c r="B736" vm="8763">
        <f ca="1"/>
        <v>43787</v>
      </c>
      <c r="C736" vm="8764">
        <f ca="1"/>
        <v>65.992000000000004</v>
      </c>
      <c r="D736" vm="8765">
        <f ca="1"/>
        <v>87.626499999999993</v>
      </c>
      <c r="E736" vm="8766">
        <f ca="1"/>
        <v>67.59</v>
      </c>
      <c r="F736" vm="8767">
        <f ca="1"/>
        <v>558.21</v>
      </c>
      <c r="G736" vm="8768">
        <f ca="1"/>
        <v>179.8</v>
      </c>
      <c r="H736" vm="8769">
        <f ca="1"/>
        <v>280.86</v>
      </c>
      <c r="I736" vm="8770">
        <f ca="1"/>
        <v>58.04</v>
      </c>
      <c r="J736" vm="7346">
        <f ca="1"/>
        <v>34.69</v>
      </c>
      <c r="K736" vm="8771">
        <f ca="1"/>
        <v>5.3070000000000004</v>
      </c>
      <c r="L736" vm="8772">
        <f ca="1"/>
        <v>121.89</v>
      </c>
      <c r="M736" vm="8773">
        <f ca="1"/>
        <v>272.93</v>
      </c>
      <c r="N736" vm="8774">
        <f ca="1"/>
        <v>3122.03</v>
      </c>
    </row>
    <row r="737" spans="2:14" x14ac:dyDescent="0.35">
      <c r="B737" vm="8775">
        <f ca="1"/>
        <v>43788</v>
      </c>
      <c r="C737" vm="8776">
        <f ca="1"/>
        <v>65.629499999999993</v>
      </c>
      <c r="D737" vm="8777">
        <f ca="1"/>
        <v>87.639499999999998</v>
      </c>
      <c r="E737" vm="7512">
        <f ca="1"/>
        <v>67.25</v>
      </c>
      <c r="F737" vm="8778">
        <f ca="1"/>
        <v>564.96</v>
      </c>
      <c r="G737" vm="3721">
        <f ca="1"/>
        <v>180.12</v>
      </c>
      <c r="H737" vm="8779">
        <f ca="1"/>
        <v>285.31</v>
      </c>
      <c r="I737" vm="8780">
        <f ca="1"/>
        <v>58.164999999999999</v>
      </c>
      <c r="J737" vm="8781">
        <f ca="1"/>
        <v>34.31</v>
      </c>
      <c r="K737" vm="8782">
        <f ca="1"/>
        <v>5.1997999999999998</v>
      </c>
      <c r="L737" vm="1445">
        <f ca="1"/>
        <v>121.42</v>
      </c>
      <c r="M737" vm="8783">
        <f ca="1"/>
        <v>274.23</v>
      </c>
      <c r="N737" vm="8784">
        <f ca="1"/>
        <v>3120.18</v>
      </c>
    </row>
    <row r="738" spans="2:14" x14ac:dyDescent="0.35">
      <c r="B738" vm="8785">
        <f ca="1"/>
        <v>43789</v>
      </c>
      <c r="C738" vm="8786">
        <f ca="1"/>
        <v>65.093000000000004</v>
      </c>
      <c r="D738" vm="8787">
        <f ca="1"/>
        <v>87.276499999999999</v>
      </c>
      <c r="E738" vm="1739">
        <f ca="1"/>
        <v>67.44</v>
      </c>
      <c r="F738" vm="8788">
        <f ca="1"/>
        <v>568.76</v>
      </c>
      <c r="G738" vm="8789">
        <f ca="1"/>
        <v>177.22</v>
      </c>
      <c r="H738" vm="8790">
        <f ca="1"/>
        <v>285.38</v>
      </c>
      <c r="I738" vm="8791">
        <f ca="1"/>
        <v>58.805</v>
      </c>
      <c r="J738" vm="563">
        <f ca="1"/>
        <v>36.14</v>
      </c>
      <c r="K738" vm="8792">
        <f ca="1"/>
        <v>5.2794999999999996</v>
      </c>
      <c r="L738" vm="8793">
        <f ca="1"/>
        <v>122.29</v>
      </c>
      <c r="M738" vm="8794">
        <f ca="1"/>
        <v>275.56</v>
      </c>
      <c r="N738" vm="8795">
        <f ca="1"/>
        <v>3108.46</v>
      </c>
    </row>
    <row r="739" spans="2:14" x14ac:dyDescent="0.35">
      <c r="B739" vm="8796">
        <f ca="1"/>
        <v>43790</v>
      </c>
      <c r="C739" vm="8797">
        <f ca="1"/>
        <v>65.007000000000005</v>
      </c>
      <c r="D739" vm="8798">
        <f ca="1"/>
        <v>86.735500000000002</v>
      </c>
      <c r="E739" vm="3640">
        <f ca="1"/>
        <v>66.16</v>
      </c>
      <c r="F739" vm="8799">
        <f ca="1"/>
        <v>560.16999999999996</v>
      </c>
      <c r="G739" vm="8800">
        <f ca="1"/>
        <v>176.53</v>
      </c>
      <c r="H739" vm="8801">
        <f ca="1"/>
        <v>284.45</v>
      </c>
      <c r="I739" vm="8802">
        <f ca="1"/>
        <v>58.784999999999997</v>
      </c>
      <c r="J739" vm="8803">
        <f ca="1"/>
        <v>36.619999999999997</v>
      </c>
      <c r="K739" vm="8804">
        <f ca="1"/>
        <v>5.2545000000000002</v>
      </c>
      <c r="L739" vm="8805">
        <f ca="1"/>
        <v>120.34</v>
      </c>
      <c r="M739" vm="5706">
        <f ca="1"/>
        <v>276.55</v>
      </c>
      <c r="N739" vm="8806">
        <f ca="1"/>
        <v>3103.54</v>
      </c>
    </row>
    <row r="740" spans="2:14" x14ac:dyDescent="0.35">
      <c r="B740" vm="8807">
        <f ca="1"/>
        <v>43791</v>
      </c>
      <c r="C740" vm="8808">
        <f ca="1"/>
        <v>64.683499999999995</v>
      </c>
      <c r="D740" vm="8809">
        <f ca="1"/>
        <v>87.286000000000001</v>
      </c>
      <c r="E740" vm="8810">
        <f ca="1"/>
        <v>65.73</v>
      </c>
      <c r="F740" vm="8811">
        <f ca="1"/>
        <v>557.58000000000004</v>
      </c>
      <c r="G740" vm="8812">
        <f ca="1"/>
        <v>176.79</v>
      </c>
      <c r="H740" vm="8813">
        <f ca="1"/>
        <v>282.57</v>
      </c>
      <c r="I740" vm="8814">
        <f ca="1"/>
        <v>58.344999999999999</v>
      </c>
      <c r="J740" vm="6071">
        <f ca="1"/>
        <v>36.61</v>
      </c>
      <c r="K740" vm="8815">
        <f ca="1"/>
        <v>5.2723000000000004</v>
      </c>
      <c r="L740" vm="8816">
        <f ca="1"/>
        <v>120.29</v>
      </c>
      <c r="M740" vm="8817">
        <f ca="1"/>
        <v>276.83999999999997</v>
      </c>
      <c r="N740" vm="8818">
        <f ca="1"/>
        <v>3110.29</v>
      </c>
    </row>
    <row r="741" spans="2:14" x14ac:dyDescent="0.35">
      <c r="B741" vm="8819">
        <f ca="1"/>
        <v>43794</v>
      </c>
      <c r="C741" vm="8820">
        <f ca="1"/>
        <v>65.281999999999996</v>
      </c>
      <c r="D741" vm="8821">
        <f ca="1"/>
        <v>88.691999999999993</v>
      </c>
      <c r="E741" vm="4955">
        <f ca="1"/>
        <v>64.97</v>
      </c>
      <c r="F741" vm="8822">
        <f ca="1"/>
        <v>553.85</v>
      </c>
      <c r="G741" vm="8823">
        <f ca="1"/>
        <v>176.51</v>
      </c>
      <c r="H741" vm="8824">
        <f ca="1"/>
        <v>287.61</v>
      </c>
      <c r="I741" vm="8825">
        <f ca="1"/>
        <v>58.14</v>
      </c>
      <c r="J741" vm="8826">
        <f ca="1"/>
        <v>37.08</v>
      </c>
      <c r="K741" vm="8827">
        <f ca="1"/>
        <v>5.5303000000000004</v>
      </c>
      <c r="L741" vm="8828">
        <f ca="1"/>
        <v>120.51</v>
      </c>
      <c r="M741" vm="8829">
        <f ca="1"/>
        <v>282.67</v>
      </c>
      <c r="N741" vm="8830">
        <f ca="1"/>
        <v>3133.64</v>
      </c>
    </row>
    <row r="742" spans="2:14" x14ac:dyDescent="0.35">
      <c r="B742" vm="8831">
        <f ca="1"/>
        <v>43795</v>
      </c>
      <c r="C742" vm="8832">
        <f ca="1"/>
        <v>65.650000000000006</v>
      </c>
      <c r="D742" vm="8833">
        <f ca="1"/>
        <v>89.846999999999994</v>
      </c>
      <c r="E742" vm="8834">
        <f ca="1"/>
        <v>66.7</v>
      </c>
      <c r="F742" vm="8835">
        <f ca="1"/>
        <v>554.67999999999995</v>
      </c>
      <c r="G742" vm="8836">
        <f ca="1"/>
        <v>178.52</v>
      </c>
      <c r="H742" vm="8837">
        <f ca="1"/>
        <v>289.38</v>
      </c>
      <c r="I742" vm="8838">
        <f ca="1"/>
        <v>58.73</v>
      </c>
      <c r="J742" vm="8839">
        <f ca="1"/>
        <v>36.39</v>
      </c>
      <c r="K742" vm="8840">
        <f ca="1"/>
        <v>5.4249999999999998</v>
      </c>
      <c r="L742" vm="8841">
        <f ca="1"/>
        <v>122.26</v>
      </c>
      <c r="M742" vm="8842">
        <f ca="1"/>
        <v>281.39999999999998</v>
      </c>
      <c r="N742" vm="8843">
        <f ca="1"/>
        <v>3140.52</v>
      </c>
    </row>
    <row r="743" spans="2:14" x14ac:dyDescent="0.35">
      <c r="B743" vm="8844">
        <f ca="1"/>
        <v>43796</v>
      </c>
      <c r="C743" vm="8845">
        <f ca="1"/>
        <v>65.606499999999997</v>
      </c>
      <c r="D743" vm="8846">
        <f ca="1"/>
        <v>90.9255</v>
      </c>
      <c r="E743" vm="1901">
        <f ca="1"/>
        <v>66.55</v>
      </c>
      <c r="F743" vm="8847">
        <f ca="1"/>
        <v>565.19000000000005</v>
      </c>
      <c r="G743" vm="8848">
        <f ca="1"/>
        <v>179.42</v>
      </c>
      <c r="H743" vm="8849">
        <f ca="1"/>
        <v>291.7</v>
      </c>
      <c r="I743" vm="8850">
        <f ca="1"/>
        <v>58.267499999999998</v>
      </c>
      <c r="J743" vm="8851">
        <f ca="1"/>
        <v>36.770000000000003</v>
      </c>
      <c r="K743" vm="8852">
        <f ca="1"/>
        <v>5.4560000000000004</v>
      </c>
      <c r="L743" vm="8853">
        <f ca="1"/>
        <v>121.76</v>
      </c>
      <c r="M743" vm="8854">
        <f ca="1"/>
        <v>280.67</v>
      </c>
      <c r="N743" vm="8855">
        <f ca="1"/>
        <v>3153.63</v>
      </c>
    </row>
    <row r="744" spans="2:14" x14ac:dyDescent="0.35">
      <c r="B744" vm="8856">
        <f ca="1"/>
        <v>43798</v>
      </c>
      <c r="C744" vm="8857">
        <f ca="1"/>
        <v>65.204499999999996</v>
      </c>
      <c r="D744" vm="8858">
        <f ca="1"/>
        <v>90.04</v>
      </c>
      <c r="E744" vm="8859">
        <f ca="1"/>
        <v>66.06</v>
      </c>
      <c r="F744" vm="8860">
        <f ca="1"/>
        <v>566.85</v>
      </c>
      <c r="G744" vm="8861">
        <f ca="1"/>
        <v>178.55</v>
      </c>
      <c r="H744" vm="8862">
        <f ca="1"/>
        <v>292.23</v>
      </c>
      <c r="I744" vm="8863">
        <f ca="1"/>
        <v>58.454999999999998</v>
      </c>
      <c r="J744" vm="832">
        <f ca="1"/>
        <v>36.200000000000003</v>
      </c>
      <c r="K744" vm="8864">
        <f ca="1"/>
        <v>5.4184999999999999</v>
      </c>
      <c r="L744" vm="8865">
        <f ca="1"/>
        <v>122.06</v>
      </c>
      <c r="M744" vm="8866">
        <f ca="1"/>
        <v>279.87</v>
      </c>
      <c r="N744" vm="8867">
        <f ca="1"/>
        <v>3140.98</v>
      </c>
    </row>
    <row r="745" spans="2:14" x14ac:dyDescent="0.35">
      <c r="B745" vm="8868">
        <f ca="1"/>
        <v>43801</v>
      </c>
      <c r="C745" vm="8869">
        <f ca="1"/>
        <v>64.442999999999998</v>
      </c>
      <c r="D745" vm="8870">
        <f ca="1"/>
        <v>89.08</v>
      </c>
      <c r="E745" vm="1662">
        <f ca="1"/>
        <v>65.790000000000006</v>
      </c>
      <c r="F745" vm="8871">
        <f ca="1"/>
        <v>549.74</v>
      </c>
      <c r="G745" vm="8872">
        <f ca="1"/>
        <v>174.32</v>
      </c>
      <c r="H745" vm="8873">
        <f ca="1"/>
        <v>286.47000000000003</v>
      </c>
      <c r="I745" vm="8874">
        <f ca="1"/>
        <v>57.8125</v>
      </c>
      <c r="J745" vm="8875">
        <f ca="1"/>
        <v>36.36</v>
      </c>
      <c r="K745" vm="8876">
        <f ca="1"/>
        <v>5.2313000000000001</v>
      </c>
      <c r="L745" vm="8877">
        <f ca="1"/>
        <v>122.72</v>
      </c>
      <c r="M745" vm="8878">
        <f ca="1"/>
        <v>279.66000000000003</v>
      </c>
      <c r="N745" vm="8879">
        <f ca="1"/>
        <v>3113.87</v>
      </c>
    </row>
    <row r="746" spans="2:14" x14ac:dyDescent="0.35">
      <c r="B746" vm="8880">
        <f ca="1"/>
        <v>43802</v>
      </c>
      <c r="C746" vm="8881">
        <f ca="1"/>
        <v>64.736999999999995</v>
      </c>
      <c r="D746" vm="8882">
        <f ca="1"/>
        <v>88.498000000000005</v>
      </c>
      <c r="E746" vm="7430">
        <f ca="1"/>
        <v>66.44</v>
      </c>
      <c r="F746" vm="8883">
        <f ca="1"/>
        <v>552.6</v>
      </c>
      <c r="G746" vm="7070">
        <f ca="1"/>
        <v>172.55</v>
      </c>
      <c r="H746" vm="8884">
        <f ca="1"/>
        <v>287.08999999999997</v>
      </c>
      <c r="I746" vm="8885">
        <f ca="1"/>
        <v>58.057499999999997</v>
      </c>
      <c r="J746" vm="8886">
        <f ca="1"/>
        <v>34.99</v>
      </c>
      <c r="K746" vm="8887">
        <f ca="1"/>
        <v>5.1914999999999996</v>
      </c>
      <c r="L746" vm="8888">
        <f ca="1"/>
        <v>122.95</v>
      </c>
      <c r="M746" vm="8889">
        <f ca="1"/>
        <v>276.89999999999998</v>
      </c>
      <c r="N746" vm="8890">
        <f ca="1"/>
        <v>3093.2</v>
      </c>
    </row>
    <row r="747" spans="2:14" x14ac:dyDescent="0.35">
      <c r="B747" vm="8891">
        <f ca="1"/>
        <v>43803</v>
      </c>
      <c r="C747" vm="8892">
        <f ca="1"/>
        <v>65.947000000000003</v>
      </c>
      <c r="D747" vm="8893">
        <f ca="1"/>
        <v>88.034499999999994</v>
      </c>
      <c r="E747" vm="8894">
        <f ca="1"/>
        <v>65.75</v>
      </c>
      <c r="F747" vm="8895">
        <f ca="1"/>
        <v>562.92999999999995</v>
      </c>
      <c r="G747" vm="8896">
        <f ca="1"/>
        <v>173.21</v>
      </c>
      <c r="H747" vm="8897">
        <f ca="1"/>
        <v>286.83999999999997</v>
      </c>
      <c r="I747" vm="8898">
        <f ca="1"/>
        <v>58.564999999999998</v>
      </c>
      <c r="J747" vm="8899">
        <f ca="1"/>
        <v>36.19</v>
      </c>
      <c r="K747" vm="8900">
        <f ca="1"/>
        <v>5.2355</v>
      </c>
      <c r="L747" vm="8901">
        <f ca="1"/>
        <v>124.53</v>
      </c>
      <c r="M747" vm="8902">
        <f ca="1"/>
        <v>279.32</v>
      </c>
      <c r="N747" vm="8903">
        <f ca="1"/>
        <v>3112.76</v>
      </c>
    </row>
    <row r="748" spans="2:14" x14ac:dyDescent="0.35">
      <c r="B748" vm="8904">
        <f ca="1"/>
        <v>43804</v>
      </c>
      <c r="C748" vm="8905">
        <f ca="1"/>
        <v>66.347999999999999</v>
      </c>
      <c r="D748" vm="8906">
        <f ca="1"/>
        <v>87.024000000000001</v>
      </c>
      <c r="E748" vm="8907">
        <f ca="1"/>
        <v>66.14</v>
      </c>
      <c r="F748" vm="8908">
        <f ca="1"/>
        <v>560.05999999999995</v>
      </c>
      <c r="G748" vm="8909">
        <f ca="1"/>
        <v>174.01</v>
      </c>
      <c r="H748" vm="8910">
        <f ca="1"/>
        <v>289.85000000000002</v>
      </c>
      <c r="I748" vm="8911">
        <f ca="1"/>
        <v>58.64</v>
      </c>
      <c r="J748" vm="8912">
        <f ca="1"/>
        <v>35.85</v>
      </c>
      <c r="K748" vm="8913">
        <f ca="1"/>
        <v>5.2184999999999997</v>
      </c>
      <c r="L748" vm="8914">
        <f ca="1"/>
        <v>124.62</v>
      </c>
      <c r="M748" vm="8915">
        <f ca="1"/>
        <v>282</v>
      </c>
      <c r="N748" vm="8916">
        <f ca="1"/>
        <v>3117.43</v>
      </c>
    </row>
    <row r="749" spans="2:14" x14ac:dyDescent="0.35">
      <c r="B749" vm="8917">
        <f ca="1"/>
        <v>43805</v>
      </c>
      <c r="C749" vm="8918">
        <f ca="1"/>
        <v>66.969499999999996</v>
      </c>
      <c r="D749" vm="2710">
        <f ca="1"/>
        <v>87.58</v>
      </c>
      <c r="E749" vm="2607">
        <f ca="1"/>
        <v>63.55</v>
      </c>
      <c r="F749" vm="8919">
        <f ca="1"/>
        <v>559.19000000000005</v>
      </c>
      <c r="G749" vm="8920">
        <f ca="1"/>
        <v>175.46</v>
      </c>
      <c r="H749" vm="8921">
        <f ca="1"/>
        <v>290.39999999999998</v>
      </c>
      <c r="I749" vm="8922">
        <f ca="1"/>
        <v>58.597499999999997</v>
      </c>
      <c r="J749" vm="8923">
        <f ca="1"/>
        <v>36.89</v>
      </c>
      <c r="K749" vm="8924">
        <f ca="1"/>
        <v>5.3042999999999996</v>
      </c>
      <c r="L749" vm="8925">
        <f ca="1"/>
        <v>124.19</v>
      </c>
      <c r="M749" vm="8926">
        <f ca="1"/>
        <v>280.19</v>
      </c>
      <c r="N749" vm="8927">
        <f ca="1"/>
        <v>3145.91</v>
      </c>
    </row>
    <row r="750" spans="2:14" x14ac:dyDescent="0.35">
      <c r="B750" vm="8928">
        <f ca="1"/>
        <v>43808</v>
      </c>
      <c r="C750" vm="8929">
        <f ca="1"/>
        <v>67.149500000000003</v>
      </c>
      <c r="D750" vm="8930">
        <f ca="1"/>
        <v>87.475499999999997</v>
      </c>
      <c r="E750" vm="8931">
        <f ca="1"/>
        <v>64.13</v>
      </c>
      <c r="F750" vm="8932">
        <f ca="1"/>
        <v>560.72</v>
      </c>
      <c r="G750" vm="8933">
        <f ca="1"/>
        <v>174.49</v>
      </c>
      <c r="H750" vm="8934">
        <f ca="1"/>
        <v>289.06</v>
      </c>
      <c r="I750" vm="8935">
        <f ca="1"/>
        <v>58.567500000000003</v>
      </c>
      <c r="J750" vm="613">
        <f ca="1"/>
        <v>37.159999999999997</v>
      </c>
      <c r="K750" vm="8924">
        <f ca="1"/>
        <v>5.3042999999999996</v>
      </c>
      <c r="L750" vm="1202">
        <f ca="1"/>
        <v>124.87</v>
      </c>
      <c r="M750" vm="8936">
        <f ca="1"/>
        <v>277.54000000000002</v>
      </c>
      <c r="N750" vm="8937">
        <f ca="1"/>
        <v>3135.96</v>
      </c>
    </row>
    <row r="751" spans="2:14" x14ac:dyDescent="0.35">
      <c r="B751" vm="8938">
        <f ca="1"/>
        <v>43809</v>
      </c>
      <c r="C751" vm="8939">
        <f ca="1"/>
        <v>67.144499999999994</v>
      </c>
      <c r="D751" vm="8940">
        <f ca="1"/>
        <v>86.960499999999996</v>
      </c>
      <c r="E751" vm="8941">
        <f ca="1"/>
        <v>63.91</v>
      </c>
      <c r="F751" vm="8942">
        <f ca="1"/>
        <v>557.73</v>
      </c>
      <c r="G751" vm="990">
        <f ca="1"/>
        <v>174.04</v>
      </c>
      <c r="H751" vm="8943">
        <f ca="1"/>
        <v>288.61</v>
      </c>
      <c r="I751" vm="8944">
        <f ca="1"/>
        <v>58.612499999999997</v>
      </c>
      <c r="J751" vm="8945">
        <f ca="1"/>
        <v>37.340000000000003</v>
      </c>
      <c r="K751" vm="8946">
        <f ca="1"/>
        <v>5.3494999999999999</v>
      </c>
      <c r="L751" vm="8947">
        <f ca="1"/>
        <v>124.27</v>
      </c>
      <c r="M751" vm="8948">
        <f ca="1"/>
        <v>279.52</v>
      </c>
      <c r="N751" vm="8949">
        <f ca="1"/>
        <v>3132.52</v>
      </c>
    </row>
    <row r="752" spans="2:14" x14ac:dyDescent="0.35">
      <c r="B752" vm="8950">
        <f ca="1"/>
        <v>43810</v>
      </c>
      <c r="C752" vm="8951">
        <f ca="1"/>
        <v>67.212500000000006</v>
      </c>
      <c r="D752" vm="8952">
        <f ca="1"/>
        <v>87.436000000000007</v>
      </c>
      <c r="E752" vm="8953">
        <f ca="1"/>
        <v>63.87</v>
      </c>
      <c r="F752" vm="8954">
        <f ca="1"/>
        <v>559.14</v>
      </c>
      <c r="G752" vm="8955">
        <f ca="1"/>
        <v>176.01</v>
      </c>
      <c r="H752" vm="8956">
        <f ca="1"/>
        <v>290.05</v>
      </c>
      <c r="I752" vm="8957">
        <f ca="1"/>
        <v>58.945</v>
      </c>
      <c r="J752" vm="1046">
        <f ca="1"/>
        <v>38.4</v>
      </c>
      <c r="K752" vm="8958">
        <f ca="1"/>
        <v>5.4335000000000004</v>
      </c>
      <c r="L752" vm="8959">
        <f ca="1"/>
        <v>124.66</v>
      </c>
      <c r="M752" vm="8960">
        <f ca="1"/>
        <v>280.5</v>
      </c>
      <c r="N752" vm="8961">
        <f ca="1"/>
        <v>3141.63</v>
      </c>
    </row>
    <row r="753" spans="2:14" x14ac:dyDescent="0.35">
      <c r="B753" vm="8962">
        <f ca="1"/>
        <v>43811</v>
      </c>
      <c r="C753" vm="8963">
        <f ca="1"/>
        <v>67.424499999999995</v>
      </c>
      <c r="D753" vm="8964">
        <f ca="1"/>
        <v>88.016499999999994</v>
      </c>
      <c r="E753" vm="8965">
        <f ca="1"/>
        <v>63.41</v>
      </c>
      <c r="F753" vm="8966">
        <f ca="1"/>
        <v>547.79999999999995</v>
      </c>
      <c r="G753" vm="8967">
        <f ca="1"/>
        <v>177.39</v>
      </c>
      <c r="H753" vm="8968">
        <f ca="1"/>
        <v>292.20999999999998</v>
      </c>
      <c r="I753" vm="8969">
        <f ca="1"/>
        <v>58.475000000000001</v>
      </c>
      <c r="J753" vm="8970">
        <f ca="1"/>
        <v>39.07</v>
      </c>
      <c r="K753" vm="8971">
        <f ca="1"/>
        <v>5.6017999999999999</v>
      </c>
      <c r="L753" vm="8349">
        <f ca="1"/>
        <v>124.57</v>
      </c>
      <c r="M753" vm="8972">
        <f ca="1"/>
        <v>283.61</v>
      </c>
      <c r="N753" vm="8973">
        <f ca="1"/>
        <v>3168.57</v>
      </c>
    </row>
    <row r="754" spans="2:14" x14ac:dyDescent="0.35">
      <c r="B754" vm="8974">
        <f ca="1"/>
        <v>43812</v>
      </c>
      <c r="C754" vm="8975">
        <f ca="1"/>
        <v>67.343500000000006</v>
      </c>
      <c r="D754" vm="8976">
        <f ca="1"/>
        <v>88.046999999999997</v>
      </c>
      <c r="E754" vm="8977">
        <f ca="1"/>
        <v>63.34</v>
      </c>
      <c r="F754" vm="8978">
        <f ca="1"/>
        <v>551.84</v>
      </c>
      <c r="G754" vm="8979">
        <f ca="1"/>
        <v>176.98</v>
      </c>
      <c r="H754" vm="8980">
        <f ca="1"/>
        <v>296.08999999999997</v>
      </c>
      <c r="I754" vm="8981">
        <f ca="1"/>
        <v>59.237499999999997</v>
      </c>
      <c r="J754" vm="7200">
        <f ca="1"/>
        <v>39</v>
      </c>
      <c r="K754" vm="8982">
        <f ca="1"/>
        <v>5.5998000000000001</v>
      </c>
      <c r="L754" vm="1685">
        <f ca="1"/>
        <v>125.47</v>
      </c>
      <c r="M754" vm="8983">
        <f ca="1"/>
        <v>285.48</v>
      </c>
      <c r="N754" vm="8984">
        <f ca="1"/>
        <v>3168.8</v>
      </c>
    </row>
    <row r="755" spans="2:14" x14ac:dyDescent="0.35">
      <c r="B755" vm="8985">
        <f ca="1"/>
        <v>43815</v>
      </c>
      <c r="C755" vm="8986">
        <f ca="1"/>
        <v>68.034999999999997</v>
      </c>
      <c r="D755" vm="8987">
        <f ca="1"/>
        <v>88.460499999999996</v>
      </c>
      <c r="E755" vm="8988">
        <f ca="1"/>
        <v>63.97</v>
      </c>
      <c r="F755" vm="8989">
        <f ca="1"/>
        <v>562.79999999999995</v>
      </c>
      <c r="G755" vm="8990">
        <f ca="1"/>
        <v>176.4</v>
      </c>
      <c r="H755" vm="8991">
        <f ca="1"/>
        <v>296.95999999999998</v>
      </c>
      <c r="I755" vm="8992">
        <f ca="1"/>
        <v>59.8675</v>
      </c>
      <c r="J755" vm="3014">
        <f ca="1"/>
        <v>39.4</v>
      </c>
      <c r="K755" vm="8993">
        <f ca="1"/>
        <v>5.6288</v>
      </c>
      <c r="L755" vm="8994">
        <f ca="1"/>
        <v>125.56</v>
      </c>
      <c r="M755" vm="8995">
        <f ca="1"/>
        <v>292.02999999999997</v>
      </c>
      <c r="N755" vm="8996">
        <f ca="1"/>
        <v>3191.45</v>
      </c>
    </row>
    <row r="756" spans="2:14" x14ac:dyDescent="0.35">
      <c r="B756" vm="8997">
        <f ca="1"/>
        <v>43816</v>
      </c>
      <c r="C756" vm="8998">
        <f ca="1"/>
        <v>67.744500000000002</v>
      </c>
      <c r="D756" vm="8999">
        <f ca="1"/>
        <v>89.533000000000001</v>
      </c>
      <c r="E756" vm="9000">
        <f ca="1"/>
        <v>64.19</v>
      </c>
      <c r="F756" vm="8074">
        <f ca="1"/>
        <v>557.52</v>
      </c>
      <c r="G756" vm="9001">
        <f ca="1"/>
        <v>176.7</v>
      </c>
      <c r="H756" vm="9002">
        <f ca="1"/>
        <v>296</v>
      </c>
      <c r="I756" vm="4754">
        <f ca="1"/>
        <v>59.954999999999998</v>
      </c>
      <c r="J756" vm="9003">
        <f ca="1"/>
        <v>39.46</v>
      </c>
      <c r="K756" vm="9004">
        <f ca="1"/>
        <v>5.7073</v>
      </c>
      <c r="L756" vm="9005">
        <f ca="1"/>
        <v>125.31</v>
      </c>
      <c r="M756" vm="9006">
        <f ca="1"/>
        <v>290.47000000000003</v>
      </c>
      <c r="N756" vm="9007">
        <f ca="1"/>
        <v>3192.52</v>
      </c>
    </row>
    <row r="757" spans="2:14" x14ac:dyDescent="0.35">
      <c r="B757" vm="9008">
        <f ca="1"/>
        <v>43817</v>
      </c>
      <c r="C757" vm="9009">
        <f ca="1"/>
        <v>67.595500000000001</v>
      </c>
      <c r="D757" vm="9010">
        <f ca="1"/>
        <v>89.201499999999996</v>
      </c>
      <c r="E757" vm="1936">
        <f ca="1"/>
        <v>64.400000000000006</v>
      </c>
      <c r="F757" vm="9011">
        <f ca="1"/>
        <v>565.45000000000005</v>
      </c>
      <c r="G757" vm="9012">
        <f ca="1"/>
        <v>174.64</v>
      </c>
      <c r="H757" vm="9013">
        <f ca="1"/>
        <v>294.74</v>
      </c>
      <c r="I757" vm="9014">
        <f ca="1"/>
        <v>60.072499999999998</v>
      </c>
      <c r="J757" vm="3514">
        <f ca="1"/>
        <v>39.619999999999997</v>
      </c>
      <c r="K757" vm="9015">
        <f ca="1"/>
        <v>5.7378</v>
      </c>
      <c r="L757" vm="1522">
        <f ca="1"/>
        <v>124.01</v>
      </c>
      <c r="M757" vm="9016">
        <f ca="1"/>
        <v>292.89999999999998</v>
      </c>
      <c r="N757" vm="9017">
        <f ca="1"/>
        <v>3191.14</v>
      </c>
    </row>
    <row r="758" spans="2:14" x14ac:dyDescent="0.35">
      <c r="B758" vm="9018">
        <f ca="1"/>
        <v>43818</v>
      </c>
      <c r="C758" vm="9019">
        <f ca="1"/>
        <v>67.822000000000003</v>
      </c>
      <c r="D758" vm="9020">
        <f ca="1"/>
        <v>89.614000000000004</v>
      </c>
      <c r="E758" vm="9021">
        <f ca="1"/>
        <v>63.72</v>
      </c>
      <c r="F758" vm="9022">
        <f ca="1"/>
        <v>575.91999999999996</v>
      </c>
      <c r="G758" vm="9023">
        <f ca="1"/>
        <v>176.5</v>
      </c>
      <c r="H758" vm="9024">
        <f ca="1"/>
        <v>297.52999999999997</v>
      </c>
      <c r="I758" vm="9025">
        <f ca="1"/>
        <v>60.162500000000001</v>
      </c>
      <c r="J758" vm="9026">
        <f ca="1"/>
        <v>39.61</v>
      </c>
      <c r="K758" vm="9027">
        <f ca="1"/>
        <v>5.8864999999999998</v>
      </c>
      <c r="L758" vm="9028">
        <f ca="1"/>
        <v>124.92</v>
      </c>
      <c r="M758" vm="9029">
        <f ca="1"/>
        <v>294.62</v>
      </c>
      <c r="N758" vm="9030">
        <f ca="1"/>
        <v>3205.37</v>
      </c>
    </row>
    <row r="759" spans="2:14" x14ac:dyDescent="0.35">
      <c r="B759" vm="9031">
        <f ca="1"/>
        <v>43819</v>
      </c>
      <c r="C759" vm="9032">
        <f ca="1"/>
        <v>67.561000000000007</v>
      </c>
      <c r="D759" vm="9033">
        <f ca="1"/>
        <v>89.325000000000003</v>
      </c>
      <c r="E759" vm="9034">
        <f ca="1"/>
        <v>65.180000000000007</v>
      </c>
      <c r="F759" vm="9035">
        <f ca="1"/>
        <v>577.71</v>
      </c>
      <c r="G759" vm="9036">
        <f ca="1"/>
        <v>176.41</v>
      </c>
      <c r="H759" vm="9037">
        <f ca="1"/>
        <v>298.57</v>
      </c>
      <c r="I759" vm="9038">
        <f ca="1"/>
        <v>60.677500000000002</v>
      </c>
      <c r="J759" vm="9039">
        <f ca="1"/>
        <v>39.43</v>
      </c>
      <c r="K759" vm="9040">
        <f ca="1"/>
        <v>5.9843000000000002</v>
      </c>
      <c r="L759" vm="9041">
        <f ca="1"/>
        <v>125.36</v>
      </c>
      <c r="M759" vm="9042">
        <f ca="1"/>
        <v>292.58999999999997</v>
      </c>
      <c r="N759" vm="9043">
        <f ca="1"/>
        <v>3221.22</v>
      </c>
    </row>
    <row r="760" spans="2:14" x14ac:dyDescent="0.35">
      <c r="B760" vm="9044">
        <f ca="1"/>
        <v>43822</v>
      </c>
      <c r="C760" vm="9045">
        <f ca="1"/>
        <v>67.531499999999994</v>
      </c>
      <c r="D760" vm="9046">
        <f ca="1"/>
        <v>89.65</v>
      </c>
      <c r="E760" vm="1561">
        <f ca="1"/>
        <v>65.25</v>
      </c>
      <c r="F760" vm="9047">
        <f ca="1"/>
        <v>571.64</v>
      </c>
      <c r="G760" vm="9048">
        <f ca="1"/>
        <v>176.43</v>
      </c>
      <c r="H760" vm="9049">
        <f ca="1"/>
        <v>297.27</v>
      </c>
      <c r="I760" vm="9050">
        <f ca="1"/>
        <v>59.695</v>
      </c>
      <c r="J760" vm="2920">
        <f ca="1"/>
        <v>40.79</v>
      </c>
      <c r="K760" vm="9051">
        <f ca="1"/>
        <v>5.9705000000000004</v>
      </c>
      <c r="L760" vm="9052">
        <f ca="1"/>
        <v>124.9</v>
      </c>
      <c r="M760" vm="9053">
        <f ca="1"/>
        <v>295.08999999999997</v>
      </c>
      <c r="N760" vm="9054">
        <f ca="1"/>
        <v>3224.01</v>
      </c>
    </row>
    <row r="761" spans="2:14" x14ac:dyDescent="0.35">
      <c r="B761" vm="9055">
        <f ca="1"/>
        <v>43823</v>
      </c>
      <c r="C761" vm="9056">
        <f ca="1"/>
        <v>67.221500000000006</v>
      </c>
      <c r="D761" vm="9057">
        <f ca="1"/>
        <v>89.460499999999996</v>
      </c>
      <c r="E761" vm="9058">
        <f ca="1"/>
        <v>65.23</v>
      </c>
      <c r="F761" vm="9059">
        <f ca="1"/>
        <v>573.24</v>
      </c>
      <c r="G761" vm="9060">
        <f ca="1"/>
        <v>176.31</v>
      </c>
      <c r="H761" vm="9061">
        <f ca="1"/>
        <v>297.48</v>
      </c>
      <c r="I761" vm="9062">
        <f ca="1"/>
        <v>60.127499999999998</v>
      </c>
      <c r="J761" vm="2907">
        <f ca="1"/>
        <v>40.65</v>
      </c>
      <c r="K761" vm="9063">
        <f ca="1"/>
        <v>5.9654999999999996</v>
      </c>
      <c r="L761" vm="9064">
        <f ca="1"/>
        <v>125.22</v>
      </c>
      <c r="M761" vm="9065">
        <f ca="1"/>
        <v>294.54000000000002</v>
      </c>
      <c r="N761" vm="9066">
        <f ca="1"/>
        <v>3223.38</v>
      </c>
    </row>
    <row r="762" spans="2:14" x14ac:dyDescent="0.35">
      <c r="B762" vm="9067">
        <f ca="1"/>
        <v>43825</v>
      </c>
      <c r="C762" vm="9068">
        <f ca="1"/>
        <v>68.123500000000007</v>
      </c>
      <c r="D762" vm="9069">
        <f ca="1"/>
        <v>93.438500000000005</v>
      </c>
      <c r="E762" vm="9070">
        <f ca="1"/>
        <v>64.91</v>
      </c>
      <c r="F762" vm="9071">
        <f ca="1"/>
        <v>579.51</v>
      </c>
      <c r="G762" vm="9072">
        <f ca="1"/>
        <v>176.88</v>
      </c>
      <c r="H762" vm="9073">
        <f ca="1"/>
        <v>299.2</v>
      </c>
      <c r="I762" vm="9074">
        <f ca="1"/>
        <v>60.49</v>
      </c>
      <c r="J762" vm="4296">
        <f ca="1"/>
        <v>40.07</v>
      </c>
      <c r="K762" vm="9075">
        <f ca="1"/>
        <v>5.9798</v>
      </c>
      <c r="L762" vm="9064">
        <f ca="1"/>
        <v>125.22</v>
      </c>
      <c r="M762" vm="9076">
        <f ca="1"/>
        <v>295.64999999999998</v>
      </c>
      <c r="N762" vm="9077">
        <f ca="1"/>
        <v>3239.91</v>
      </c>
    </row>
    <row r="763" spans="2:14" x14ac:dyDescent="0.35">
      <c r="B763" vm="9078">
        <f ca="1"/>
        <v>43826</v>
      </c>
      <c r="C763" vm="9079">
        <f ca="1"/>
        <v>67.731999999999999</v>
      </c>
      <c r="D763" vm="5742">
        <f ca="1"/>
        <v>93.49</v>
      </c>
      <c r="E763" vm="9080">
        <f ca="1"/>
        <v>64.69</v>
      </c>
      <c r="F763" vm="9081">
        <f ca="1"/>
        <v>582.5</v>
      </c>
      <c r="G763" vm="9082">
        <f ca="1"/>
        <v>176.48</v>
      </c>
      <c r="H763" vm="9083">
        <f ca="1"/>
        <v>300.74</v>
      </c>
      <c r="I763" vm="9084">
        <f ca="1"/>
        <v>60.627499999999998</v>
      </c>
      <c r="J763" vm="1135">
        <f ca="1"/>
        <v>40</v>
      </c>
      <c r="K763" vm="9085">
        <f ca="1"/>
        <v>5.9218000000000002</v>
      </c>
      <c r="L763" vm="9086">
        <f ca="1"/>
        <v>126.09</v>
      </c>
      <c r="M763" vm="9087">
        <f ca="1"/>
        <v>295.97000000000003</v>
      </c>
      <c r="N763" vm="9088">
        <f ca="1"/>
        <v>3240.02</v>
      </c>
    </row>
    <row r="764" spans="2:14" x14ac:dyDescent="0.35">
      <c r="B764" vm="9089">
        <f ca="1"/>
        <v>43829</v>
      </c>
      <c r="C764" vm="9090">
        <f ca="1"/>
        <v>66.985500000000002</v>
      </c>
      <c r="D764" vm="9091">
        <f ca="1"/>
        <v>92.344499999999996</v>
      </c>
      <c r="E764" vm="9092">
        <f ca="1"/>
        <v>64.44</v>
      </c>
      <c r="F764" vm="9093">
        <f ca="1"/>
        <v>580.24</v>
      </c>
      <c r="G764" vm="9094">
        <f ca="1"/>
        <v>176.42</v>
      </c>
      <c r="H764" vm="9095">
        <f ca="1"/>
        <v>297.72000000000003</v>
      </c>
      <c r="I764" vm="6930">
        <f ca="1"/>
        <v>60.322499999999998</v>
      </c>
      <c r="J764" vm="9096">
        <f ca="1"/>
        <v>40.4</v>
      </c>
      <c r="K764" vm="9097">
        <f ca="1"/>
        <v>5.8079999999999998</v>
      </c>
      <c r="L764" vm="9098">
        <f ca="1"/>
        <v>124.47</v>
      </c>
      <c r="M764" vm="9099">
        <f ca="1"/>
        <v>293.85000000000002</v>
      </c>
      <c r="N764" vm="9100">
        <f ca="1"/>
        <v>3221.29</v>
      </c>
    </row>
    <row r="765" spans="2:14" x14ac:dyDescent="0.35">
      <c r="B765" vm="9101">
        <f ca="1"/>
        <v>43830</v>
      </c>
      <c r="C765" vm="8918">
        <f ca="1"/>
        <v>66.969499999999996</v>
      </c>
      <c r="D765" vm="9102">
        <f ca="1"/>
        <v>92.391999999999996</v>
      </c>
      <c r="E765" vm="9103">
        <f ca="1"/>
        <v>64.67</v>
      </c>
      <c r="F765" vm="9104">
        <f ca="1"/>
        <v>583.70000000000005</v>
      </c>
      <c r="G765" vm="9105">
        <f ca="1"/>
        <v>177</v>
      </c>
      <c r="H765" vm="9106">
        <f ca="1"/>
        <v>298.58999999999997</v>
      </c>
      <c r="I765" vm="9107">
        <f ca="1"/>
        <v>60.54</v>
      </c>
      <c r="J765" vm="7653">
        <f ca="1"/>
        <v>40.200000000000003</v>
      </c>
      <c r="K765" vm="9108">
        <f ca="1"/>
        <v>5.8825000000000003</v>
      </c>
      <c r="L765" vm="9052">
        <f ca="1"/>
        <v>124.9</v>
      </c>
      <c r="M765" vm="9109">
        <f ca="1"/>
        <v>293.98</v>
      </c>
      <c r="N765" vm="9110">
        <f ca="1"/>
        <v>3230.78</v>
      </c>
    </row>
    <row r="766" spans="2:14" x14ac:dyDescent="0.35">
      <c r="B766" vm="9111">
        <f ca="1"/>
        <v>43832</v>
      </c>
      <c r="C766" vm="9112">
        <f ca="1"/>
        <v>68.433999999999997</v>
      </c>
      <c r="D766" vm="9113">
        <f ca="1"/>
        <v>94.900499999999994</v>
      </c>
      <c r="E766" vm="2075">
        <f ca="1"/>
        <v>63.88</v>
      </c>
      <c r="F766" vm="9114">
        <f ca="1"/>
        <v>579.35</v>
      </c>
      <c r="G766" vm="9115">
        <f ca="1"/>
        <v>180.79</v>
      </c>
      <c r="H766" vm="9116">
        <f ca="1"/>
        <v>303.39</v>
      </c>
      <c r="I766" vm="9117">
        <f ca="1"/>
        <v>59.655000000000001</v>
      </c>
      <c r="J766" vm="6151">
        <f ca="1"/>
        <v>40.17</v>
      </c>
      <c r="K766" vm="9118">
        <f ca="1"/>
        <v>5.9977999999999998</v>
      </c>
      <c r="L766" vm="9119">
        <f ca="1"/>
        <v>123.41</v>
      </c>
      <c r="M766" vm="9120">
        <f ca="1"/>
        <v>292.5</v>
      </c>
      <c r="N766" vm="9121">
        <f ca="1"/>
        <v>3257.85</v>
      </c>
    </row>
    <row r="767" spans="2:14" x14ac:dyDescent="0.35">
      <c r="B767" vm="9122">
        <f ca="1"/>
        <v>43833</v>
      </c>
      <c r="C767" vm="9123">
        <f ca="1"/>
        <v>68.075999999999993</v>
      </c>
      <c r="D767" vm="9124">
        <f ca="1"/>
        <v>93.748500000000007</v>
      </c>
      <c r="E767" vm="9125">
        <f ca="1"/>
        <v>64.77</v>
      </c>
      <c r="F767" vm="9126">
        <f ca="1"/>
        <v>585.12</v>
      </c>
      <c r="G767" vm="9127">
        <f ca="1"/>
        <v>178.86</v>
      </c>
      <c r="H767" vm="9128">
        <f ca="1"/>
        <v>300.43</v>
      </c>
      <c r="I767" vm="9129">
        <f ca="1"/>
        <v>60.08</v>
      </c>
      <c r="J767" vm="1883">
        <f ca="1"/>
        <v>40.56</v>
      </c>
      <c r="K767" vm="9130">
        <f ca="1"/>
        <v>5.9017999999999997</v>
      </c>
      <c r="L767" vm="9131">
        <f ca="1"/>
        <v>122.58</v>
      </c>
      <c r="M767" vm="9132">
        <f ca="1"/>
        <v>289.54000000000002</v>
      </c>
      <c r="N767" vm="9133">
        <f ca="1"/>
        <v>3234.85</v>
      </c>
    </row>
    <row r="768" spans="2:14" x14ac:dyDescent="0.35">
      <c r="B768" vm="9134">
        <f ca="1"/>
        <v>43836</v>
      </c>
      <c r="C768" vm="9135">
        <f ca="1"/>
        <v>69.890500000000003</v>
      </c>
      <c r="D768" vm="9136">
        <f ca="1"/>
        <v>95.144000000000005</v>
      </c>
      <c r="E768" vm="9137">
        <f ca="1"/>
        <v>64.17</v>
      </c>
      <c r="F768" vm="9138">
        <f ca="1"/>
        <v>584.48</v>
      </c>
      <c r="G768" vm="9139">
        <f ca="1"/>
        <v>177.51</v>
      </c>
      <c r="H768" vm="9140">
        <f ca="1"/>
        <v>301.23</v>
      </c>
      <c r="I768" vm="9141">
        <f ca="1"/>
        <v>60.38</v>
      </c>
      <c r="J768" vm="1981">
        <f ca="1"/>
        <v>40.82</v>
      </c>
      <c r="K768" vm="9142">
        <f ca="1"/>
        <v>5.9264999999999999</v>
      </c>
      <c r="L768" vm="9143">
        <f ca="1"/>
        <v>122.75</v>
      </c>
      <c r="M768" vm="9144">
        <f ca="1"/>
        <v>291.55</v>
      </c>
      <c r="N768" vm="9145">
        <f ca="1"/>
        <v>3246.28</v>
      </c>
    </row>
    <row r="769" spans="2:14" x14ac:dyDescent="0.35">
      <c r="B769" vm="9146">
        <f ca="1"/>
        <v>43837</v>
      </c>
      <c r="C769" vm="9147">
        <f ca="1"/>
        <v>69.755499999999998</v>
      </c>
      <c r="D769" vm="9148">
        <f ca="1"/>
        <v>95.343000000000004</v>
      </c>
      <c r="E769" vm="9149">
        <f ca="1"/>
        <v>63.92</v>
      </c>
      <c r="F769" vm="9150">
        <f ca="1"/>
        <v>581.88</v>
      </c>
      <c r="G769" vm="9151">
        <f ca="1"/>
        <v>177.61</v>
      </c>
      <c r="H769" vm="9152">
        <f ca="1"/>
        <v>300.20999999999998</v>
      </c>
      <c r="I769" vm="9153">
        <f ca="1"/>
        <v>60.327500000000001</v>
      </c>
      <c r="J769" vm="1870">
        <f ca="1"/>
        <v>40.61</v>
      </c>
      <c r="K769" vm="9154">
        <f ca="1"/>
        <v>5.9983000000000004</v>
      </c>
      <c r="L769" vm="9155">
        <f ca="1"/>
        <v>121.99</v>
      </c>
      <c r="M769" vm="9156">
        <f ca="1"/>
        <v>289.79000000000002</v>
      </c>
      <c r="N769" vm="9157">
        <f ca="1"/>
        <v>3237.18</v>
      </c>
    </row>
    <row r="770" spans="2:14" x14ac:dyDescent="0.35">
      <c r="B770" vm="9158">
        <f ca="1"/>
        <v>43838</v>
      </c>
      <c r="C770" vm="9159">
        <f ca="1"/>
        <v>70.251999999999995</v>
      </c>
      <c r="D770" vm="9160">
        <f ca="1"/>
        <v>94.598500000000001</v>
      </c>
      <c r="E770" vm="9161">
        <f ca="1"/>
        <v>64.47</v>
      </c>
      <c r="F770" vm="9162">
        <f ca="1"/>
        <v>583.79999999999995</v>
      </c>
      <c r="G770" vm="9163">
        <f ca="1"/>
        <v>177.76</v>
      </c>
      <c r="H770" vm="9164">
        <f ca="1"/>
        <v>305.10000000000002</v>
      </c>
      <c r="I770" vm="8365">
        <f ca="1"/>
        <v>60.3</v>
      </c>
      <c r="J770" vm="9165">
        <f ca="1"/>
        <v>39.409999999999997</v>
      </c>
      <c r="K770" vm="9166">
        <f ca="1"/>
        <v>6.0095000000000001</v>
      </c>
      <c r="L770" vm="9167">
        <f ca="1"/>
        <v>122.51</v>
      </c>
      <c r="M770" vm="9168">
        <f ca="1"/>
        <v>295.89999999999998</v>
      </c>
      <c r="N770" vm="9169">
        <f ca="1"/>
        <v>3253.05</v>
      </c>
    </row>
    <row r="771" spans="2:14" x14ac:dyDescent="0.35">
      <c r="B771" vm="9170">
        <f ca="1"/>
        <v>43839</v>
      </c>
      <c r="C771" vm="9171">
        <f ca="1"/>
        <v>70.989500000000007</v>
      </c>
      <c r="D771" vm="9172">
        <f ca="1"/>
        <v>95.052499999999995</v>
      </c>
      <c r="E771" vm="9173">
        <f ca="1"/>
        <v>66.72</v>
      </c>
      <c r="F771" vm="9174">
        <f ca="1"/>
        <v>588.99</v>
      </c>
      <c r="G771" vm="9175">
        <f ca="1"/>
        <v>179.07</v>
      </c>
      <c r="H771" vm="9176">
        <f ca="1"/>
        <v>309.10000000000002</v>
      </c>
      <c r="I771" vm="9177">
        <f ca="1"/>
        <v>60.772500000000001</v>
      </c>
      <c r="J771" vm="7225">
        <f ca="1"/>
        <v>39.86</v>
      </c>
      <c r="K771" vm="9178">
        <f ca="1"/>
        <v>6.0754999999999999</v>
      </c>
      <c r="L771" vm="8373">
        <f ca="1"/>
        <v>123.85</v>
      </c>
      <c r="M771" vm="9179">
        <f ca="1"/>
        <v>294.22000000000003</v>
      </c>
      <c r="N771" vm="9180">
        <f ca="1"/>
        <v>3274.7</v>
      </c>
    </row>
    <row r="772" spans="2:14" x14ac:dyDescent="0.35">
      <c r="B772" vm="9181">
        <f ca="1"/>
        <v>43840</v>
      </c>
      <c r="C772" vm="9182">
        <f ca="1"/>
        <v>71.447999999999993</v>
      </c>
      <c r="D772" vm="9183">
        <f ca="1"/>
        <v>94.158000000000001</v>
      </c>
      <c r="E772" vm="9184">
        <f ca="1"/>
        <v>66.27</v>
      </c>
      <c r="F772" vm="9185">
        <f ca="1"/>
        <v>594</v>
      </c>
      <c r="G772" vm="9186">
        <f ca="1"/>
        <v>178.68</v>
      </c>
      <c r="H772" vm="9187">
        <f ca="1"/>
        <v>311.17</v>
      </c>
      <c r="I772" vm="9188">
        <f ca="1"/>
        <v>60.887500000000003</v>
      </c>
      <c r="J772" vm="9189">
        <f ca="1"/>
        <v>39.83</v>
      </c>
      <c r="K772" vm="9190">
        <f ca="1"/>
        <v>6.1079999999999997</v>
      </c>
      <c r="L772" vm="9191">
        <f ca="1"/>
        <v>123.97</v>
      </c>
      <c r="M772" vm="9192">
        <f ca="1"/>
        <v>295.13</v>
      </c>
      <c r="N772" vm="9193">
        <f ca="1"/>
        <v>3265.35</v>
      </c>
    </row>
    <row r="773" spans="2:14" x14ac:dyDescent="0.35">
      <c r="B773" vm="9194">
        <f ca="1"/>
        <v>43843</v>
      </c>
      <c r="C773" vm="9195">
        <f ca="1"/>
        <v>72.001499999999993</v>
      </c>
      <c r="D773" vm="9196">
        <f ca="1"/>
        <v>94.564999999999998</v>
      </c>
      <c r="E773" vm="9197">
        <f ca="1"/>
        <v>67.5</v>
      </c>
      <c r="F773" vm="9198">
        <f ca="1"/>
        <v>594.96</v>
      </c>
      <c r="G773" vm="9199">
        <f ca="1"/>
        <v>181.27</v>
      </c>
      <c r="H773" vm="9200">
        <f ca="1"/>
        <v>315.20999999999998</v>
      </c>
      <c r="I773" vm="5296">
        <f ca="1"/>
        <v>61.6</v>
      </c>
      <c r="J773" vm="9201">
        <f ca="1"/>
        <v>39.229999999999997</v>
      </c>
      <c r="K773" vm="9202">
        <f ca="1"/>
        <v>6.2995000000000001</v>
      </c>
      <c r="L773" vm="9203">
        <f ca="1"/>
        <v>124.88</v>
      </c>
      <c r="M773" vm="9204">
        <f ca="1"/>
        <v>285.85000000000002</v>
      </c>
      <c r="N773" vm="9205">
        <f ca="1"/>
        <v>3288.13</v>
      </c>
    </row>
    <row r="774" spans="2:14" x14ac:dyDescent="0.35">
      <c r="B774" vm="9206">
        <f ca="1"/>
        <v>43844</v>
      </c>
      <c r="C774" vm="9207">
        <f ca="1"/>
        <v>71.529499999999999</v>
      </c>
      <c r="D774" vm="9208">
        <f ca="1"/>
        <v>93.471999999999994</v>
      </c>
      <c r="E774" vm="1901">
        <f ca="1"/>
        <v>66.55</v>
      </c>
      <c r="F774" vm="9209">
        <f ca="1"/>
        <v>586.5</v>
      </c>
      <c r="G774" vm="9210">
        <f ca="1"/>
        <v>180.45</v>
      </c>
      <c r="H774" vm="9211">
        <f ca="1"/>
        <v>310.64</v>
      </c>
      <c r="I774" vm="9212">
        <f ca="1"/>
        <v>61.932499999999997</v>
      </c>
      <c r="J774" vm="9213">
        <f ca="1"/>
        <v>39.53</v>
      </c>
      <c r="K774" vm="9214">
        <f ca="1"/>
        <v>6.1820000000000004</v>
      </c>
      <c r="L774" vm="9215">
        <f ca="1"/>
        <v>124.69</v>
      </c>
      <c r="M774" vm="9216">
        <f ca="1"/>
        <v>288.24</v>
      </c>
      <c r="N774" vm="9217">
        <f ca="1"/>
        <v>3283.15</v>
      </c>
    </row>
    <row r="775" spans="2:14" x14ac:dyDescent="0.35">
      <c r="B775" vm="9218">
        <f ca="1"/>
        <v>43845</v>
      </c>
      <c r="C775" vm="4111">
        <f ca="1"/>
        <v>71.959999999999994</v>
      </c>
      <c r="D775" vm="9219">
        <f ca="1"/>
        <v>93.100999999999999</v>
      </c>
      <c r="E775" vm="9220">
        <f ca="1"/>
        <v>68.209999999999994</v>
      </c>
      <c r="F775" vm="9221">
        <f ca="1"/>
        <v>586.24</v>
      </c>
      <c r="G775" vm="9222">
        <f ca="1"/>
        <v>180.73</v>
      </c>
      <c r="H775" vm="9223">
        <f ca="1"/>
        <v>314.25</v>
      </c>
      <c r="I775" vm="9224">
        <f ca="1"/>
        <v>62.895000000000003</v>
      </c>
      <c r="J775" vm="9225">
        <f ca="1"/>
        <v>38.33</v>
      </c>
      <c r="K775" vm="9226">
        <f ca="1"/>
        <v>6.1393000000000004</v>
      </c>
      <c r="L775" vm="9227">
        <f ca="1"/>
        <v>125.96</v>
      </c>
      <c r="M775" vm="9228">
        <f ca="1"/>
        <v>296.41000000000003</v>
      </c>
      <c r="N775" vm="9229">
        <f ca="1"/>
        <v>3289.29</v>
      </c>
    </row>
    <row r="776" spans="2:14" x14ac:dyDescent="0.35">
      <c r="B776" vm="9230">
        <f ca="1"/>
        <v>43846</v>
      </c>
      <c r="C776" vm="9231">
        <f ca="1"/>
        <v>72.507999999999996</v>
      </c>
      <c r="D776" vm="9232">
        <f ca="1"/>
        <v>93.897000000000006</v>
      </c>
      <c r="E776" vm="9233">
        <f ca="1"/>
        <v>69.180000000000007</v>
      </c>
      <c r="F776" vm="9234">
        <f ca="1"/>
        <v>595.12</v>
      </c>
      <c r="G776" vm="9235">
        <f ca="1"/>
        <v>182.26</v>
      </c>
      <c r="H776" vm="9236">
        <f ca="1"/>
        <v>320.3</v>
      </c>
      <c r="I776" vm="9237">
        <f ca="1"/>
        <v>63.067500000000003</v>
      </c>
      <c r="J776" vm="7735">
        <f ca="1"/>
        <v>38.78</v>
      </c>
      <c r="K776" vm="9238">
        <f ca="1"/>
        <v>6.2233000000000001</v>
      </c>
      <c r="L776" vm="9239">
        <f ca="1"/>
        <v>126.07</v>
      </c>
      <c r="M776" vm="9083">
        <f ca="1"/>
        <v>300.74</v>
      </c>
      <c r="N776" vm="9240">
        <f ca="1"/>
        <v>3316.81</v>
      </c>
    </row>
    <row r="777" spans="2:14" x14ac:dyDescent="0.35">
      <c r="B777" vm="9241">
        <f ca="1"/>
        <v>43847</v>
      </c>
      <c r="C777" vm="9242">
        <f ca="1"/>
        <v>73.975999999999999</v>
      </c>
      <c r="D777" vm="9243">
        <f ca="1"/>
        <v>93.236000000000004</v>
      </c>
      <c r="E777" vm="9244">
        <f ca="1"/>
        <v>69.239999999999995</v>
      </c>
      <c r="F777" vm="9245">
        <f ca="1"/>
        <v>588</v>
      </c>
      <c r="G777" vm="9246">
        <f ca="1"/>
        <v>183.23</v>
      </c>
      <c r="H777" vm="9247">
        <f ca="1"/>
        <v>323.66000000000003</v>
      </c>
      <c r="I777" vm="2037">
        <f ca="1"/>
        <v>63.35</v>
      </c>
      <c r="J777" vm="4316">
        <f ca="1"/>
        <v>38.369999999999997</v>
      </c>
      <c r="K777" vm="4320">
        <f ca="1"/>
        <v>6.2320000000000002</v>
      </c>
      <c r="L777" vm="9248">
        <f ca="1"/>
        <v>126.41</v>
      </c>
      <c r="M777" vm="9249">
        <f ca="1"/>
        <v>298.47000000000003</v>
      </c>
      <c r="N777" vm="9250">
        <f ca="1"/>
        <v>3329.62</v>
      </c>
    </row>
    <row r="778" spans="2:14" x14ac:dyDescent="0.35">
      <c r="B778" vm="9251">
        <f ca="1"/>
        <v>43851</v>
      </c>
      <c r="C778" vm="9252">
        <f ca="1"/>
        <v>74.112499999999997</v>
      </c>
      <c r="D778" vm="9253">
        <f ca="1"/>
        <v>94.6</v>
      </c>
      <c r="E778" vm="9254">
        <f ca="1"/>
        <v>69.260000000000005</v>
      </c>
      <c r="F778" vm="9255">
        <f ca="1"/>
        <v>590</v>
      </c>
      <c r="G778" vm="9256">
        <f ca="1"/>
        <v>180.93</v>
      </c>
      <c r="H778" vm="9257">
        <f ca="1"/>
        <v>321.93</v>
      </c>
      <c r="I778" vm="9258">
        <f ca="1"/>
        <v>64.222499999999997</v>
      </c>
      <c r="J778" vm="4353">
        <f ca="1"/>
        <v>36.950000000000003</v>
      </c>
      <c r="K778" vm="9259">
        <f ca="1"/>
        <v>6.1985000000000001</v>
      </c>
      <c r="L778" vm="9086">
        <f ca="1"/>
        <v>126.09</v>
      </c>
      <c r="M778" vm="9260">
        <f ca="1"/>
        <v>300.52999999999997</v>
      </c>
      <c r="N778" vm="9261">
        <f ca="1"/>
        <v>3320.79</v>
      </c>
    </row>
    <row r="779" spans="2:14" x14ac:dyDescent="0.35">
      <c r="B779" vm="9262">
        <f ca="1"/>
        <v>43852</v>
      </c>
      <c r="C779" vm="9263">
        <f ca="1"/>
        <v>74.208500000000001</v>
      </c>
      <c r="D779" vm="9264">
        <f ca="1"/>
        <v>94.373000000000005</v>
      </c>
      <c r="E779" vm="9265">
        <f ca="1"/>
        <v>71.849999999999994</v>
      </c>
      <c r="F779" vm="9266">
        <f ca="1"/>
        <v>591.66999999999996</v>
      </c>
      <c r="G779" vm="9267">
        <f ca="1"/>
        <v>180.05</v>
      </c>
      <c r="H779" vm="9268">
        <f ca="1"/>
        <v>324.31</v>
      </c>
      <c r="I779" vm="9269">
        <f ca="1"/>
        <v>64.974999999999994</v>
      </c>
      <c r="J779" vm="9270">
        <f ca="1"/>
        <v>36.68</v>
      </c>
      <c r="K779" vm="9271">
        <f ca="1"/>
        <v>6.2512999999999996</v>
      </c>
      <c r="L779" vm="9272">
        <f ca="1"/>
        <v>126.31</v>
      </c>
      <c r="M779" vm="9273">
        <f ca="1"/>
        <v>300.58999999999997</v>
      </c>
      <c r="N779" vm="9274">
        <f ca="1"/>
        <v>3321.75</v>
      </c>
    </row>
    <row r="780" spans="2:14" x14ac:dyDescent="0.35">
      <c r="B780" vm="9275">
        <f ca="1"/>
        <v>43853</v>
      </c>
      <c r="C780" vm="9276">
        <f ca="1"/>
        <v>74.234499999999997</v>
      </c>
      <c r="D780" vm="9277">
        <f ca="1"/>
        <v>94.228999999999999</v>
      </c>
      <c r="E780" vm="9278">
        <f ca="1"/>
        <v>71.87</v>
      </c>
      <c r="F780" vm="9279">
        <f ca="1"/>
        <v>596.01</v>
      </c>
      <c r="G780" vm="1321">
        <f ca="1"/>
        <v>179.58</v>
      </c>
      <c r="H780" vm="9280">
        <f ca="1"/>
        <v>324.98</v>
      </c>
      <c r="I780" vm="9281">
        <f ca="1"/>
        <v>65.02</v>
      </c>
      <c r="J780" vm="9282">
        <f ca="1"/>
        <v>36.43</v>
      </c>
      <c r="K780" vm="9283">
        <f ca="1"/>
        <v>6.3215000000000003</v>
      </c>
      <c r="L780" vm="9284">
        <f ca="1"/>
        <v>124.99</v>
      </c>
      <c r="M780" vm="9285">
        <f ca="1"/>
        <v>299.45999999999998</v>
      </c>
      <c r="N780" vm="9286">
        <f ca="1"/>
        <v>3325.54</v>
      </c>
    </row>
    <row r="781" spans="2:14" x14ac:dyDescent="0.35">
      <c r="B781" vm="9287">
        <f ca="1"/>
        <v>43854</v>
      </c>
      <c r="C781" vm="9288">
        <f ca="1"/>
        <v>73.308499999999995</v>
      </c>
      <c r="D781" vm="9289">
        <f ca="1"/>
        <v>93.081999999999994</v>
      </c>
      <c r="E781" vm="9290">
        <f ca="1"/>
        <v>71.930000000000007</v>
      </c>
      <c r="F781" vm="9291">
        <f ca="1"/>
        <v>591.96</v>
      </c>
      <c r="G781" vm="9292">
        <f ca="1"/>
        <v>177.13</v>
      </c>
      <c r="H781" vm="9293">
        <f ca="1"/>
        <v>323.67</v>
      </c>
      <c r="I781" vm="1524">
        <f ca="1"/>
        <v>65.930000000000007</v>
      </c>
      <c r="J781" vm="9294">
        <f ca="1"/>
        <v>35.770000000000003</v>
      </c>
      <c r="K781" vm="3745">
        <f ca="1"/>
        <v>6.2619999999999996</v>
      </c>
      <c r="L781" vm="9295">
        <f ca="1"/>
        <v>125.14</v>
      </c>
      <c r="M781" vm="9296">
        <f ca="1"/>
        <v>292.81</v>
      </c>
      <c r="N781" vm="9297">
        <f ca="1"/>
        <v>3295.47</v>
      </c>
    </row>
    <row r="782" spans="2:14" x14ac:dyDescent="0.35">
      <c r="B782" vm="9298">
        <f ca="1"/>
        <v>43857</v>
      </c>
      <c r="C782" vm="9299">
        <f ca="1"/>
        <v>71.586500000000001</v>
      </c>
      <c r="D782" vm="9300">
        <f ca="1"/>
        <v>91.417000000000002</v>
      </c>
      <c r="E782" vm="4254">
        <f ca="1"/>
        <v>73.959999999999994</v>
      </c>
      <c r="F782" vm="9301">
        <f ca="1"/>
        <v>593.95000000000005</v>
      </c>
      <c r="G782" vm="7119">
        <f ca="1"/>
        <v>173.54</v>
      </c>
      <c r="H782" vm="9302">
        <f ca="1"/>
        <v>315.77</v>
      </c>
      <c r="I782" vm="9303">
        <f ca="1"/>
        <v>66.685000000000002</v>
      </c>
      <c r="J782" vm="9304">
        <f ca="1"/>
        <v>33.96</v>
      </c>
      <c r="K782" vm="9305">
        <f ca="1"/>
        <v>6.0049999999999999</v>
      </c>
      <c r="L782" vm="9306">
        <f ca="1"/>
        <v>125.69</v>
      </c>
      <c r="M782" vm="9307">
        <f ca="1"/>
        <v>284.08999999999997</v>
      </c>
      <c r="N782" vm="9308">
        <f ca="1"/>
        <v>3243.63</v>
      </c>
    </row>
    <row r="783" spans="2:14" x14ac:dyDescent="0.35">
      <c r="B783" vm="9309">
        <f ca="1"/>
        <v>43858</v>
      </c>
      <c r="C783" vm="9310">
        <f ca="1"/>
        <v>72.525000000000006</v>
      </c>
      <c r="D783" vm="9311">
        <f ca="1"/>
        <v>92.662499999999994</v>
      </c>
      <c r="E783" vm="1128">
        <f ca="1"/>
        <v>72.67</v>
      </c>
      <c r="F783" vm="9312">
        <f ca="1"/>
        <v>602.57000000000005</v>
      </c>
      <c r="G783" vm="8920">
        <f ca="1"/>
        <v>175.46</v>
      </c>
      <c r="H783" vm="9313">
        <f ca="1"/>
        <v>320.27</v>
      </c>
      <c r="I783" vm="9314">
        <f ca="1"/>
        <v>66.452500000000001</v>
      </c>
      <c r="J783" vm="9304">
        <f ca="1"/>
        <v>33.96</v>
      </c>
      <c r="K783" vm="9315">
        <f ca="1"/>
        <v>6.1993</v>
      </c>
      <c r="L783" vm="9316">
        <f ca="1"/>
        <v>126.03</v>
      </c>
      <c r="M783" vm="9317">
        <f ca="1"/>
        <v>285.87</v>
      </c>
      <c r="N783" vm="9318">
        <f ca="1"/>
        <v>3276.24</v>
      </c>
    </row>
    <row r="784" spans="2:14" x14ac:dyDescent="0.35">
      <c r="B784" vm="9319">
        <f ca="1"/>
        <v>43859</v>
      </c>
      <c r="C784" vm="9320">
        <f ca="1"/>
        <v>72.834999999999994</v>
      </c>
      <c r="D784" vm="9321">
        <f ca="1"/>
        <v>92.9</v>
      </c>
      <c r="E784" vm="1026">
        <f ca="1"/>
        <v>72.59</v>
      </c>
      <c r="F784" vm="9322">
        <f ca="1"/>
        <v>602.67999999999995</v>
      </c>
      <c r="G784" vm="7639">
        <f ca="1"/>
        <v>175.67</v>
      </c>
      <c r="H784" vm="9323">
        <f ca="1"/>
        <v>320.32</v>
      </c>
      <c r="I784" vm="7430">
        <f ca="1"/>
        <v>66.44</v>
      </c>
      <c r="J784" vm="9324">
        <f ca="1"/>
        <v>33.729999999999997</v>
      </c>
      <c r="K784" vm="9325">
        <f ca="1"/>
        <v>6.1384999999999996</v>
      </c>
      <c r="L784" vm="9326">
        <f ca="1"/>
        <v>125.06</v>
      </c>
      <c r="M784" vm="9327">
        <f ca="1"/>
        <v>282.89999999999998</v>
      </c>
      <c r="N784" vm="9328">
        <f ca="1"/>
        <v>3273.4</v>
      </c>
    </row>
    <row r="785" spans="2:14" x14ac:dyDescent="0.35">
      <c r="B785" vm="9329">
        <f ca="1"/>
        <v>43860</v>
      </c>
      <c r="C785" vm="9330">
        <f ca="1"/>
        <v>72.712500000000006</v>
      </c>
      <c r="D785" vm="9331">
        <f ca="1"/>
        <v>93.534000000000006</v>
      </c>
      <c r="E785" vm="3164">
        <f ca="1"/>
        <v>73.099999999999994</v>
      </c>
      <c r="F785" vm="9332">
        <f ca="1"/>
        <v>603</v>
      </c>
      <c r="G785" vm="3990">
        <f ca="1"/>
        <v>178.34</v>
      </c>
      <c r="H785" vm="9333">
        <f ca="1"/>
        <v>324.45999999999998</v>
      </c>
      <c r="I785" vm="9334">
        <f ca="1"/>
        <v>67.482500000000002</v>
      </c>
      <c r="J785" vm="9335">
        <f ca="1"/>
        <v>34.04</v>
      </c>
      <c r="K785" vm="9336">
        <f ca="1"/>
        <v>6.1452999999999998</v>
      </c>
      <c r="L785" vm="9337">
        <f ca="1"/>
        <v>125.95</v>
      </c>
      <c r="M785" vm="9338">
        <f ca="1"/>
        <v>280.98</v>
      </c>
      <c r="N785" vm="9339">
        <f ca="1"/>
        <v>3283.66</v>
      </c>
    </row>
    <row r="786" spans="2:14" x14ac:dyDescent="0.35">
      <c r="B786" vm="9340">
        <f ca="1"/>
        <v>43861</v>
      </c>
      <c r="C786" vm="9341">
        <f ca="1"/>
        <v>71.638999999999996</v>
      </c>
      <c r="D786" vm="9342">
        <f ca="1"/>
        <v>100.43600000000001</v>
      </c>
      <c r="E786" vm="9343">
        <f ca="1"/>
        <v>72.180000000000007</v>
      </c>
      <c r="F786" vm="9344">
        <f ca="1"/>
        <v>589.73</v>
      </c>
      <c r="G786" vm="9345">
        <f ca="1"/>
        <v>173.22</v>
      </c>
      <c r="H786" vm="9346">
        <f ca="1"/>
        <v>315.94</v>
      </c>
      <c r="I786" vm="9347">
        <f ca="1"/>
        <v>67.05</v>
      </c>
      <c r="J786" vm="9348">
        <f ca="1"/>
        <v>33.51</v>
      </c>
      <c r="K786" vm="9349">
        <f ca="1"/>
        <v>5.9108000000000001</v>
      </c>
      <c r="L786" vm="8914">
        <f ca="1"/>
        <v>124.62</v>
      </c>
      <c r="M786" vm="9350">
        <f ca="1"/>
        <v>272.45</v>
      </c>
      <c r="N786" vm="9351">
        <f ca="1"/>
        <v>3225.52</v>
      </c>
    </row>
    <row r="787" spans="2:14" x14ac:dyDescent="0.35">
      <c r="B787" vm="9352">
        <f ca="1"/>
        <v>43864</v>
      </c>
      <c r="C787" vm="9353">
        <f ca="1"/>
        <v>74.13</v>
      </c>
      <c r="D787" vm="9354">
        <f ca="1"/>
        <v>100.21</v>
      </c>
      <c r="E787" vm="9355">
        <f ca="1"/>
        <v>74.150000000000006</v>
      </c>
      <c r="F787" vm="9356">
        <f ca="1"/>
        <v>603.6</v>
      </c>
      <c r="G787" vm="9357">
        <f ca="1"/>
        <v>171.32</v>
      </c>
      <c r="H787" vm="9358">
        <f ca="1"/>
        <v>324.52</v>
      </c>
      <c r="I787" vm="9359">
        <f ca="1"/>
        <v>66.702500000000001</v>
      </c>
      <c r="J787" vm="9360">
        <f ca="1"/>
        <v>33.46</v>
      </c>
      <c r="K787" vm="9361">
        <f ca="1"/>
        <v>6.0083000000000002</v>
      </c>
      <c r="L787" vm="9362">
        <f ca="1"/>
        <v>125.11</v>
      </c>
      <c r="M787" vm="9363">
        <f ca="1"/>
        <v>274.02</v>
      </c>
      <c r="N787" vm="9364">
        <f ca="1"/>
        <v>3248.92</v>
      </c>
    </row>
    <row r="788" spans="2:14" x14ac:dyDescent="0.35">
      <c r="B788" vm="9365">
        <f ca="1"/>
        <v>43865</v>
      </c>
      <c r="C788" vm="9366">
        <f ca="1"/>
        <v>72.270499999999998</v>
      </c>
      <c r="D788" vm="9367">
        <f ca="1"/>
        <v>102.48350000000001</v>
      </c>
      <c r="E788" vm="9368">
        <f ca="1"/>
        <v>75.010000000000005</v>
      </c>
      <c r="F788" vm="9369">
        <f ca="1"/>
        <v>607.85</v>
      </c>
      <c r="G788" vm="9370">
        <f ca="1"/>
        <v>175.21</v>
      </c>
      <c r="H788" vm="9371">
        <f ca="1"/>
        <v>329.12</v>
      </c>
      <c r="I788" vm="9372">
        <f ca="1"/>
        <v>66.135000000000005</v>
      </c>
      <c r="J788" vm="9373">
        <f ca="1"/>
        <v>34.07</v>
      </c>
      <c r="K788" vm="9374">
        <f ca="1"/>
        <v>6.1783000000000001</v>
      </c>
      <c r="L788" vm="9375">
        <f ca="1"/>
        <v>125.66</v>
      </c>
      <c r="M788" vm="9376">
        <f ca="1"/>
        <v>280.83999999999997</v>
      </c>
      <c r="N788" vm="9377">
        <f ca="1"/>
        <v>3297.59</v>
      </c>
    </row>
    <row r="789" spans="2:14" x14ac:dyDescent="0.35">
      <c r="B789" vm="9378">
        <f ca="1"/>
        <v>43866</v>
      </c>
      <c r="C789" vm="9379">
        <f ca="1"/>
        <v>72.302499999999995</v>
      </c>
      <c r="D789" vm="9380">
        <f ca="1"/>
        <v>101.9935</v>
      </c>
      <c r="E789" vm="9381">
        <f ca="1"/>
        <v>76.63</v>
      </c>
      <c r="F789" vm="9382">
        <f ca="1"/>
        <v>601.26</v>
      </c>
      <c r="G789" vm="9383">
        <f ca="1"/>
        <v>176.9</v>
      </c>
      <c r="H789" vm="9384">
        <f ca="1"/>
        <v>328.32</v>
      </c>
      <c r="I789" vm="9385">
        <f ca="1"/>
        <v>66.677499999999995</v>
      </c>
      <c r="J789" vm="9386">
        <f ca="1"/>
        <v>35.07</v>
      </c>
      <c r="K789" vm="9387">
        <f ca="1"/>
        <v>6.2690000000000001</v>
      </c>
      <c r="L789" vm="9388">
        <f ca="1"/>
        <v>126.81</v>
      </c>
      <c r="M789" vm="9389">
        <f ca="1"/>
        <v>295.73</v>
      </c>
      <c r="N789" vm="9390">
        <f ca="1"/>
        <v>3334.69</v>
      </c>
    </row>
    <row r="790" spans="2:14" x14ac:dyDescent="0.35">
      <c r="B790" vm="9391">
        <f ca="1"/>
        <v>43867</v>
      </c>
      <c r="C790" vm="9392">
        <f ca="1"/>
        <v>73.798500000000004</v>
      </c>
      <c r="D790" vm="9393">
        <f ca="1"/>
        <v>102.5115</v>
      </c>
      <c r="E790" vm="4576">
        <f ca="1"/>
        <v>78</v>
      </c>
      <c r="F790" vm="9394">
        <f ca="1"/>
        <v>603.73</v>
      </c>
      <c r="G790" vm="9395">
        <f ca="1"/>
        <v>176.35</v>
      </c>
      <c r="H790" vm="9396">
        <f ca="1"/>
        <v>329.3</v>
      </c>
      <c r="I790" vm="9397">
        <f ca="1"/>
        <v>67.082499999999996</v>
      </c>
      <c r="J790" vm="9398">
        <f ca="1"/>
        <v>34.51</v>
      </c>
      <c r="K790" vm="9399">
        <f ca="1"/>
        <v>6.3560999999999996</v>
      </c>
      <c r="L790" vm="9400">
        <f ca="1"/>
        <v>127.14</v>
      </c>
      <c r="M790" vm="9401">
        <f ca="1"/>
        <v>292.45999999999998</v>
      </c>
      <c r="N790" vm="9402">
        <f ca="1"/>
        <v>3345.78</v>
      </c>
    </row>
    <row r="791" spans="2:14" x14ac:dyDescent="0.35">
      <c r="B791" vm="9403">
        <f ca="1"/>
        <v>43868</v>
      </c>
      <c r="C791" vm="9404">
        <f ca="1"/>
        <v>73.955500000000001</v>
      </c>
      <c r="D791" vm="9405">
        <f ca="1"/>
        <v>103.964</v>
      </c>
      <c r="E791" vm="9406">
        <f ca="1"/>
        <v>76.92</v>
      </c>
      <c r="F791" vm="9407">
        <f ca="1"/>
        <v>606</v>
      </c>
      <c r="G791" vm="9408">
        <f ca="1"/>
        <v>175.28</v>
      </c>
      <c r="H791" vm="9409">
        <f ca="1"/>
        <v>327</v>
      </c>
      <c r="I791" vm="9410">
        <f ca="1"/>
        <v>67.385000000000005</v>
      </c>
      <c r="J791" vm="9411">
        <f ca="1"/>
        <v>34.42</v>
      </c>
      <c r="K791" vm="9412">
        <f ca="1"/>
        <v>6.2897999999999996</v>
      </c>
      <c r="L791" vm="9413">
        <f ca="1"/>
        <v>126.08</v>
      </c>
      <c r="M791" vm="9414">
        <f ca="1"/>
        <v>289.22000000000003</v>
      </c>
      <c r="N791" vm="9415">
        <f ca="1"/>
        <v>3327.71</v>
      </c>
    </row>
    <row r="792" spans="2:14" x14ac:dyDescent="0.35">
      <c r="B792" vm="9416">
        <f ca="1"/>
        <v>43871</v>
      </c>
      <c r="C792" vm="9417">
        <f ca="1"/>
        <v>75.433000000000007</v>
      </c>
      <c r="D792" vm="9418">
        <f ca="1"/>
        <v>106.6955</v>
      </c>
      <c r="E792" vm="9419">
        <f ca="1"/>
        <v>76.72</v>
      </c>
      <c r="F792" vm="9420">
        <f ca="1"/>
        <v>612.03</v>
      </c>
      <c r="G792" vm="9421">
        <f ca="1"/>
        <v>176.95</v>
      </c>
      <c r="H792" vm="9422">
        <f ca="1"/>
        <v>330.28</v>
      </c>
      <c r="I792" vm="9423">
        <f ca="1"/>
        <v>67.935000000000002</v>
      </c>
      <c r="J792" vm="9424">
        <f ca="1"/>
        <v>34.35</v>
      </c>
      <c r="K792" vm="9425">
        <f ca="1"/>
        <v>6.5743</v>
      </c>
      <c r="L792" vm="9426">
        <f ca="1"/>
        <v>126.17</v>
      </c>
      <c r="M792" vm="9427">
        <f ca="1"/>
        <v>287.02999999999997</v>
      </c>
      <c r="N792" vm="9428">
        <f ca="1"/>
        <v>3352.09</v>
      </c>
    </row>
    <row r="793" spans="2:14" x14ac:dyDescent="0.35">
      <c r="B793" vm="9429">
        <f ca="1"/>
        <v>43872</v>
      </c>
      <c r="C793" vm="9430">
        <f ca="1"/>
        <v>75.503</v>
      </c>
      <c r="D793" vm="9431">
        <f ca="1"/>
        <v>107.54</v>
      </c>
      <c r="E793" vm="9432">
        <f ca="1"/>
        <v>77.64</v>
      </c>
      <c r="F793" vm="9433">
        <f ca="1"/>
        <v>613.57000000000005</v>
      </c>
      <c r="G793" vm="9434">
        <f ca="1"/>
        <v>179.15</v>
      </c>
      <c r="H793" vm="9435">
        <f ca="1"/>
        <v>330.92</v>
      </c>
      <c r="I793" vm="9436">
        <f ca="1"/>
        <v>68.037499999999994</v>
      </c>
      <c r="J793" vm="9437">
        <f ca="1"/>
        <v>34.29</v>
      </c>
      <c r="K793" vm="9438">
        <f ca="1"/>
        <v>6.6973000000000003</v>
      </c>
      <c r="L793" vm="9439">
        <f ca="1"/>
        <v>124.16</v>
      </c>
      <c r="M793" vm="9440">
        <f ca="1"/>
        <v>290.79000000000002</v>
      </c>
      <c r="N793" vm="9441">
        <f ca="1"/>
        <v>3357.75</v>
      </c>
    </row>
    <row r="794" spans="2:14" x14ac:dyDescent="0.35">
      <c r="B794" vm="9442">
        <f ca="1"/>
        <v>43873</v>
      </c>
      <c r="C794" vm="9443">
        <f ca="1"/>
        <v>75.9315</v>
      </c>
      <c r="D794" vm="9444">
        <f ca="1"/>
        <v>108</v>
      </c>
      <c r="E794" vm="9445">
        <f ca="1"/>
        <v>76.53</v>
      </c>
      <c r="F794" vm="9446">
        <f ca="1"/>
        <v>623.14</v>
      </c>
      <c r="G794" vm="6126">
        <f ca="1"/>
        <v>181.18</v>
      </c>
      <c r="H794" vm="9447">
        <f ca="1"/>
        <v>334.16</v>
      </c>
      <c r="I794" vm="9448">
        <f ca="1"/>
        <v>67.564999999999998</v>
      </c>
      <c r="J794" vm="7396">
        <f ca="1"/>
        <v>35.049999999999997</v>
      </c>
      <c r="K794" vm="9449">
        <f ca="1"/>
        <v>6.8135000000000003</v>
      </c>
      <c r="L794" vm="9450">
        <f ca="1"/>
        <v>123.45</v>
      </c>
      <c r="M794" vm="9451">
        <f ca="1"/>
        <v>303.48</v>
      </c>
      <c r="N794" vm="9452">
        <f ca="1"/>
        <v>3379.45</v>
      </c>
    </row>
    <row r="795" spans="2:14" x14ac:dyDescent="0.35">
      <c r="B795" vm="9453">
        <f ca="1"/>
        <v>43874</v>
      </c>
      <c r="C795" vm="9454">
        <f ca="1"/>
        <v>75.669499999999999</v>
      </c>
      <c r="D795" vm="9455">
        <f ca="1"/>
        <v>107.4935</v>
      </c>
      <c r="E795" vm="3249">
        <f ca="1"/>
        <v>77.17</v>
      </c>
      <c r="F795" vm="9456">
        <f ca="1"/>
        <v>635.75</v>
      </c>
      <c r="G795" vm="3721">
        <f ca="1"/>
        <v>180.12</v>
      </c>
      <c r="H795" vm="9457">
        <f ca="1"/>
        <v>335.84</v>
      </c>
      <c r="I795" vm="9458">
        <f ca="1"/>
        <v>68.867500000000007</v>
      </c>
      <c r="J795" vm="9459">
        <f ca="1"/>
        <v>34.67</v>
      </c>
      <c r="K795" vm="9460">
        <f ca="1"/>
        <v>6.7694999999999999</v>
      </c>
      <c r="L795" vm="9461">
        <f ca="1"/>
        <v>124.96</v>
      </c>
      <c r="M795" vm="9462">
        <f ca="1"/>
        <v>302.2</v>
      </c>
      <c r="N795" vm="9463">
        <f ca="1"/>
        <v>3373.94</v>
      </c>
    </row>
    <row r="796" spans="2:14" x14ac:dyDescent="0.35">
      <c r="B796" vm="9464">
        <f ca="1"/>
        <v>43875</v>
      </c>
      <c r="C796" vm="9465">
        <f ca="1"/>
        <v>75.936499999999995</v>
      </c>
      <c r="D796" vm="9466">
        <f ca="1"/>
        <v>106.7435</v>
      </c>
      <c r="E796" vm="9467">
        <f ca="1"/>
        <v>77.22</v>
      </c>
      <c r="F796" vm="9468">
        <f ca="1"/>
        <v>648.65</v>
      </c>
      <c r="G796" vm="8675">
        <f ca="1"/>
        <v>180.81</v>
      </c>
      <c r="H796" vm="9469">
        <f ca="1"/>
        <v>340.95</v>
      </c>
      <c r="I796" vm="9470">
        <f ca="1"/>
        <v>69.63</v>
      </c>
      <c r="J796" vm="9411">
        <f ca="1"/>
        <v>34.42</v>
      </c>
      <c r="K796" vm="9471">
        <f ca="1"/>
        <v>7.2447999999999997</v>
      </c>
      <c r="L796" vm="9472">
        <f ca="1"/>
        <v>126.14</v>
      </c>
      <c r="M796" vm="9473">
        <f ca="1"/>
        <v>298.77999999999997</v>
      </c>
      <c r="N796" vm="9474">
        <f ca="1"/>
        <v>3380.16</v>
      </c>
    </row>
    <row r="797" spans="2:14" x14ac:dyDescent="0.35">
      <c r="B797" vm="9475">
        <f ca="1"/>
        <v>43879</v>
      </c>
      <c r="C797" vm="9476">
        <f ca="1"/>
        <v>75.971999999999994</v>
      </c>
      <c r="D797" vm="9477">
        <f ca="1"/>
        <v>107.7835</v>
      </c>
      <c r="E797" vm="9478">
        <f ca="1"/>
        <v>78.040000000000006</v>
      </c>
      <c r="F797" vm="9479">
        <f ca="1"/>
        <v>643.58500000000004</v>
      </c>
      <c r="G797" vm="8848">
        <f ca="1"/>
        <v>179.42</v>
      </c>
      <c r="H797" vm="9480">
        <f ca="1"/>
        <v>341.24</v>
      </c>
      <c r="I797" vm="9481">
        <f ca="1"/>
        <v>70.510000000000005</v>
      </c>
      <c r="J797" vm="9482">
        <f ca="1"/>
        <v>33.65</v>
      </c>
      <c r="K797" vm="9483">
        <f ca="1"/>
        <v>7.4142999999999999</v>
      </c>
      <c r="L797" vm="1202">
        <f ca="1"/>
        <v>124.87</v>
      </c>
      <c r="M797" vm="9484">
        <f ca="1"/>
        <v>302.14</v>
      </c>
      <c r="N797" vm="9485">
        <f ca="1"/>
        <v>3370.29</v>
      </c>
    </row>
    <row r="798" spans="2:14" x14ac:dyDescent="0.35">
      <c r="B798" vm="9486">
        <f ca="1"/>
        <v>43880</v>
      </c>
      <c r="C798" vm="9487">
        <f ca="1"/>
        <v>76.243499999999997</v>
      </c>
      <c r="D798" vm="9488">
        <f ca="1"/>
        <v>108.511</v>
      </c>
      <c r="E798" vm="9489">
        <f ca="1"/>
        <v>77.010000000000005</v>
      </c>
      <c r="F798" vm="9490">
        <f ca="1"/>
        <v>643.72</v>
      </c>
      <c r="G798" vm="9491">
        <f ca="1"/>
        <v>180.86</v>
      </c>
      <c r="H798" vm="9492">
        <f ca="1"/>
        <v>344.56</v>
      </c>
      <c r="I798" vm="9493">
        <f ca="1"/>
        <v>68.667500000000004</v>
      </c>
      <c r="J798" vm="9437">
        <f ca="1"/>
        <v>34.29</v>
      </c>
      <c r="K798" vm="9494">
        <f ca="1"/>
        <v>7.8674999999999997</v>
      </c>
      <c r="L798" vm="9495">
        <f ca="1"/>
        <v>125.44</v>
      </c>
      <c r="M798" vm="9496">
        <f ca="1"/>
        <v>305.31</v>
      </c>
      <c r="N798" vm="9497">
        <f ca="1"/>
        <v>3386.15</v>
      </c>
    </row>
    <row r="799" spans="2:14" x14ac:dyDescent="0.35">
      <c r="B799" vm="9498">
        <f ca="1"/>
        <v>43881</v>
      </c>
      <c r="C799" vm="9499">
        <f ca="1"/>
        <v>75.849500000000006</v>
      </c>
      <c r="D799" vm="9500">
        <f ca="1"/>
        <v>107.655</v>
      </c>
      <c r="E799" vm="9501">
        <f ca="1"/>
        <v>76.599999999999994</v>
      </c>
      <c r="F799" vm="9502">
        <f ca="1"/>
        <v>648.39</v>
      </c>
      <c r="G799" vm="9503">
        <f ca="1"/>
        <v>180.7</v>
      </c>
      <c r="H799" vm="9504">
        <f ca="1"/>
        <v>344.45</v>
      </c>
      <c r="I799" vm="9505">
        <f ca="1"/>
        <v>69.257499999999993</v>
      </c>
      <c r="J799" vm="9506">
        <f ca="1"/>
        <v>33.83</v>
      </c>
      <c r="K799" vm="9507">
        <f ca="1"/>
        <v>7.7175000000000002</v>
      </c>
      <c r="L799" vm="9508">
        <f ca="1"/>
        <v>126.58</v>
      </c>
      <c r="M799" vm="9509">
        <f ca="1"/>
        <v>302.13</v>
      </c>
      <c r="N799" vm="9510">
        <f ca="1"/>
        <v>3373.23</v>
      </c>
    </row>
    <row r="800" spans="2:14" x14ac:dyDescent="0.35">
      <c r="B800" vm="9511">
        <f ca="1"/>
        <v>43882</v>
      </c>
      <c r="C800" vm="9512">
        <f ca="1"/>
        <v>74.173000000000002</v>
      </c>
      <c r="D800" vm="9513">
        <f ca="1"/>
        <v>104.7985</v>
      </c>
      <c r="E800" vm="9514">
        <f ca="1"/>
        <v>76.86</v>
      </c>
      <c r="F800" vm="9515">
        <f ca="1"/>
        <v>655.99</v>
      </c>
      <c r="G800" vm="9516">
        <f ca="1"/>
        <v>179.88</v>
      </c>
      <c r="H800" vm="9517">
        <f ca="1"/>
        <v>339.7</v>
      </c>
      <c r="I800" vm="9518">
        <f ca="1"/>
        <v>69.397499999999994</v>
      </c>
      <c r="J800" vm="1025">
        <f ca="1"/>
        <v>33.39</v>
      </c>
      <c r="K800" vm="9519">
        <f ca="1"/>
        <v>7.3517999999999999</v>
      </c>
      <c r="L800" vm="9520">
        <f ca="1"/>
        <v>126.7</v>
      </c>
      <c r="M800" vm="9521">
        <f ca="1"/>
        <v>301.43</v>
      </c>
      <c r="N800" vm="9522">
        <f ca="1"/>
        <v>3337.75</v>
      </c>
    </row>
    <row r="801" spans="2:14" x14ac:dyDescent="0.35">
      <c r="B801" vm="9523">
        <f ca="1"/>
        <v>43885</v>
      </c>
      <c r="C801" vm="9524">
        <f ca="1"/>
        <v>70.992999999999995</v>
      </c>
      <c r="D801" vm="9525">
        <f ca="1"/>
        <v>100.4645</v>
      </c>
      <c r="E801" vm="3272">
        <f ca="1"/>
        <v>76.37</v>
      </c>
      <c r="F801" vm="9526">
        <f ca="1"/>
        <v>644.9</v>
      </c>
      <c r="G801" vm="9527">
        <f ca="1"/>
        <v>175.27</v>
      </c>
      <c r="H801" vm="9528">
        <f ca="1"/>
        <v>324.67</v>
      </c>
      <c r="I801" vm="9529">
        <f ca="1"/>
        <v>68.484999999999999</v>
      </c>
      <c r="J801" vm="263">
        <f ca="1"/>
        <v>30.93</v>
      </c>
      <c r="K801" vm="9530">
        <f ca="1"/>
        <v>6.8319999999999999</v>
      </c>
      <c r="L801" vm="1509">
        <f ca="1"/>
        <v>123.3</v>
      </c>
      <c r="M801" vm="9531">
        <f ca="1"/>
        <v>277.79000000000002</v>
      </c>
      <c r="N801" vm="9532">
        <f ca="1"/>
        <v>3225.89</v>
      </c>
    </row>
    <row r="802" spans="2:14" x14ac:dyDescent="0.35">
      <c r="B802" vm="9533">
        <f ca="1"/>
        <v>43886</v>
      </c>
      <c r="C802" vm="9534">
        <f ca="1"/>
        <v>69.316000000000003</v>
      </c>
      <c r="D802" vm="9535">
        <f ca="1"/>
        <v>98.637</v>
      </c>
      <c r="E802" vm="9536">
        <f ca="1"/>
        <v>74.53</v>
      </c>
      <c r="F802" vm="9537">
        <f ca="1"/>
        <v>631.98</v>
      </c>
      <c r="G802" vm="9538">
        <f ca="1"/>
        <v>167.8</v>
      </c>
      <c r="H802" vm="9539">
        <f ca="1"/>
        <v>302.89</v>
      </c>
      <c r="I802" vm="9540">
        <f ca="1"/>
        <v>67.582499999999996</v>
      </c>
      <c r="J802" vm="9541">
        <f ca="1"/>
        <v>29.34</v>
      </c>
      <c r="K802" vm="9542">
        <f ca="1"/>
        <v>6.5513000000000003</v>
      </c>
      <c r="L802" vm="9543">
        <f ca="1"/>
        <v>121.43</v>
      </c>
      <c r="M802" vm="9544">
        <f ca="1"/>
        <v>263.39</v>
      </c>
      <c r="N802" vm="9545">
        <f ca="1"/>
        <v>3128.21</v>
      </c>
    </row>
    <row r="803" spans="2:14" x14ac:dyDescent="0.35">
      <c r="B803" vm="9546">
        <f ca="1"/>
        <v>43887</v>
      </c>
      <c r="C803" vm="9547">
        <f ca="1"/>
        <v>69.523499999999999</v>
      </c>
      <c r="D803" vm="9548">
        <f ca="1"/>
        <v>98.979500000000002</v>
      </c>
      <c r="E803" vm="9549">
        <f ca="1"/>
        <v>75.67</v>
      </c>
      <c r="F803" vm="9550">
        <f ca="1"/>
        <v>629.84</v>
      </c>
      <c r="G803" vm="915">
        <f ca="1"/>
        <v>167.18</v>
      </c>
      <c r="H803" vm="9551">
        <f ca="1"/>
        <v>298.04000000000002</v>
      </c>
      <c r="I803" vm="9552">
        <f ca="1"/>
        <v>67.367500000000007</v>
      </c>
      <c r="J803" vm="9553">
        <f ca="1"/>
        <v>28.38</v>
      </c>
      <c r="K803" vm="9554">
        <f ca="1"/>
        <v>6.6913</v>
      </c>
      <c r="L803" vm="9555">
        <f ca="1"/>
        <v>120.16</v>
      </c>
      <c r="M803" vm="9556">
        <f ca="1"/>
        <v>263</v>
      </c>
      <c r="N803" vm="9557">
        <f ca="1"/>
        <v>3116.39</v>
      </c>
    </row>
    <row r="804" spans="2:14" x14ac:dyDescent="0.35">
      <c r="B804" vm="9558">
        <f ca="1"/>
        <v>43888</v>
      </c>
      <c r="C804" vm="9559">
        <f ca="1"/>
        <v>65.747500000000002</v>
      </c>
      <c r="D804" vm="9560">
        <f ca="1"/>
        <v>94.215000000000003</v>
      </c>
      <c r="E804" vm="9561">
        <f ca="1"/>
        <v>72.010000000000005</v>
      </c>
      <c r="F804" vm="9562">
        <f ca="1"/>
        <v>597.49</v>
      </c>
      <c r="G804" vm="8087">
        <f ca="1"/>
        <v>159.55000000000001</v>
      </c>
      <c r="H804" vm="9563">
        <f ca="1"/>
        <v>285.82</v>
      </c>
      <c r="I804" vm="9564">
        <f ca="1"/>
        <v>63.962499999999999</v>
      </c>
      <c r="J804" vm="9565">
        <f ca="1"/>
        <v>26.84</v>
      </c>
      <c r="K804" vm="9566">
        <f ca="1"/>
        <v>6.3150000000000004</v>
      </c>
      <c r="L804" vm="9567">
        <f ca="1"/>
        <v>113.5</v>
      </c>
      <c r="M804" vm="9568">
        <f ca="1"/>
        <v>253.92</v>
      </c>
      <c r="N804" vm="9569">
        <f ca="1"/>
        <v>2978.76</v>
      </c>
    </row>
    <row r="805" spans="2:14" x14ac:dyDescent="0.35">
      <c r="B805" vm="9570">
        <f ca="1"/>
        <v>43889</v>
      </c>
      <c r="C805" vm="9571">
        <f ca="1"/>
        <v>66.962500000000006</v>
      </c>
      <c r="D805" vm="9572">
        <f ca="1"/>
        <v>94.1875</v>
      </c>
      <c r="E805" vm="9573">
        <f ca="1"/>
        <v>70.459999999999994</v>
      </c>
      <c r="F805" vm="9574">
        <f ca="1"/>
        <v>572.79999999999995</v>
      </c>
      <c r="G805" vm="9575">
        <f ca="1"/>
        <v>162.16999999999999</v>
      </c>
      <c r="H805" vm="9576">
        <f ca="1"/>
        <v>290.25</v>
      </c>
      <c r="I805" vm="2050">
        <f ca="1"/>
        <v>63.19</v>
      </c>
      <c r="J805" vm="9577">
        <f ca="1"/>
        <v>27.09</v>
      </c>
      <c r="K805" vm="9578">
        <f ca="1"/>
        <v>6.7518000000000002</v>
      </c>
      <c r="L805" vm="9579">
        <f ca="1"/>
        <v>113.23</v>
      </c>
      <c r="M805" vm="9580">
        <f ca="1"/>
        <v>254.96</v>
      </c>
      <c r="N805" vm="9581">
        <f ca="1"/>
        <v>2954.22</v>
      </c>
    </row>
    <row r="806" spans="2:14" x14ac:dyDescent="0.35">
      <c r="B806" vm="9582">
        <f ca="1"/>
        <v>43892</v>
      </c>
      <c r="C806" vm="9534">
        <f ca="1"/>
        <v>69.316000000000003</v>
      </c>
      <c r="D806" vm="9583">
        <f ca="1"/>
        <v>97.697500000000005</v>
      </c>
      <c r="E806" vm="9584">
        <f ca="1"/>
        <v>75.17</v>
      </c>
      <c r="F806" vm="9585">
        <f ca="1"/>
        <v>618.88</v>
      </c>
      <c r="G806" vm="9586">
        <f ca="1"/>
        <v>164.24</v>
      </c>
      <c r="H806" vm="9587">
        <f ca="1"/>
        <v>306.74</v>
      </c>
      <c r="I806" vm="9588">
        <f ca="1"/>
        <v>67.087500000000006</v>
      </c>
      <c r="J806" vm="9589">
        <f ca="1"/>
        <v>27.79</v>
      </c>
      <c r="K806" vm="5226">
        <f ca="1"/>
        <v>6.9108000000000001</v>
      </c>
      <c r="L806" vm="9590">
        <f ca="1"/>
        <v>119.56</v>
      </c>
      <c r="M806" vm="9591">
        <f ca="1"/>
        <v>273.11</v>
      </c>
      <c r="N806" vm="9592">
        <f ca="1"/>
        <v>3090.23</v>
      </c>
    </row>
    <row r="807" spans="2:14" x14ac:dyDescent="0.35">
      <c r="B807" vm="9593">
        <f ca="1"/>
        <v>43893</v>
      </c>
      <c r="C807" vm="9594">
        <f ca="1"/>
        <v>66.885999999999996</v>
      </c>
      <c r="D807" vm="9595">
        <f ca="1"/>
        <v>95.4495</v>
      </c>
      <c r="E807" vm="9596">
        <f ca="1"/>
        <v>76.150000000000006</v>
      </c>
      <c r="F807" vm="9597">
        <f ca="1"/>
        <v>615.16</v>
      </c>
      <c r="G807" vm="100">
        <f ca="1"/>
        <v>161.88999999999999</v>
      </c>
      <c r="H807" vm="9598">
        <f ca="1"/>
        <v>292</v>
      </c>
      <c r="I807" vm="9599">
        <f ca="1"/>
        <v>66.287499999999994</v>
      </c>
      <c r="J807" vm="9600">
        <f ca="1"/>
        <v>26.81</v>
      </c>
      <c r="K807" vm="9601">
        <f ca="1"/>
        <v>6.6473000000000004</v>
      </c>
      <c r="L807" vm="9602">
        <f ca="1"/>
        <v>118.17</v>
      </c>
      <c r="M807" vm="9603">
        <f ca="1"/>
        <v>261.39999999999998</v>
      </c>
      <c r="N807" vm="9604">
        <f ca="1"/>
        <v>3003.37</v>
      </c>
    </row>
    <row r="808" spans="2:14" x14ac:dyDescent="0.35">
      <c r="B808" vm="9605">
        <f ca="1"/>
        <v>43894</v>
      </c>
      <c r="C808" vm="2339">
        <f ca="1"/>
        <v>69.08</v>
      </c>
      <c r="D808" vm="9606">
        <f ca="1"/>
        <v>98.791499999999999</v>
      </c>
      <c r="E808" vm="9607">
        <f ca="1"/>
        <v>78.56</v>
      </c>
      <c r="F808" vm="9608">
        <f ca="1"/>
        <v>645.49</v>
      </c>
      <c r="G808" vm="9609">
        <f ca="1"/>
        <v>171.19</v>
      </c>
      <c r="H808" vm="9610">
        <f ca="1"/>
        <v>302.36</v>
      </c>
      <c r="I808" vm="9611">
        <f ca="1"/>
        <v>70.555000000000007</v>
      </c>
      <c r="J808" vm="9612">
        <f ca="1"/>
        <v>27.08</v>
      </c>
      <c r="K808" vm="9613">
        <f ca="1"/>
        <v>7.1128</v>
      </c>
      <c r="L808" vm="9614">
        <f ca="1"/>
        <v>124.5</v>
      </c>
      <c r="M808" vm="9615">
        <f ca="1"/>
        <v>289.42</v>
      </c>
      <c r="N808" vm="9616">
        <f ca="1"/>
        <v>3130.12</v>
      </c>
    </row>
    <row r="809" spans="2:14" x14ac:dyDescent="0.35">
      <c r="B809" vm="9617">
        <f ca="1"/>
        <v>43895</v>
      </c>
      <c r="C809" vm="9618">
        <f ca="1"/>
        <v>65.738</v>
      </c>
      <c r="D809" vm="9619">
        <f ca="1"/>
        <v>96.201499999999996</v>
      </c>
      <c r="E809" vm="9620">
        <f ca="1"/>
        <v>77.03</v>
      </c>
      <c r="F809" vm="9621">
        <f ca="1"/>
        <v>616.66999999999996</v>
      </c>
      <c r="G809" vm="9622">
        <f ca="1"/>
        <v>164.92</v>
      </c>
      <c r="H809" vm="9623">
        <f ca="1"/>
        <v>290.73</v>
      </c>
      <c r="I809" vm="9624">
        <f ca="1"/>
        <v>69.040000000000006</v>
      </c>
      <c r="J809" vm="9625">
        <f ca="1"/>
        <v>25.83</v>
      </c>
      <c r="K809" vm="9626">
        <f ca="1"/>
        <v>6.8323</v>
      </c>
      <c r="L809" vm="1278">
        <f ca="1"/>
        <v>121.63</v>
      </c>
      <c r="M809" vm="9627">
        <f ca="1"/>
        <v>282.95999999999998</v>
      </c>
      <c r="N809" vm="9628">
        <f ca="1"/>
        <v>3023.94</v>
      </c>
    </row>
    <row r="810" spans="2:14" x14ac:dyDescent="0.35">
      <c r="B810" vm="9629">
        <f ca="1"/>
        <v>43896</v>
      </c>
      <c r="C810" vm="9630">
        <f ca="1"/>
        <v>64.787000000000006</v>
      </c>
      <c r="D810" vm="9631">
        <f ca="1"/>
        <v>95.054500000000004</v>
      </c>
      <c r="E810" vm="9632">
        <f ca="1"/>
        <v>76.05</v>
      </c>
      <c r="F810" vm="9633">
        <f ca="1"/>
        <v>608.66999999999996</v>
      </c>
      <c r="G810" vm="9634">
        <f ca="1"/>
        <v>164.03</v>
      </c>
      <c r="H810" vm="9635">
        <f ca="1"/>
        <v>287.01</v>
      </c>
      <c r="I810" vm="9636">
        <f ca="1"/>
        <v>67.954999999999998</v>
      </c>
      <c r="J810" vm="9637">
        <f ca="1"/>
        <v>23.85</v>
      </c>
      <c r="K810" vm="9638">
        <f ca="1"/>
        <v>6.6509999999999998</v>
      </c>
      <c r="L810" vm="9639">
        <f ca="1"/>
        <v>121.66</v>
      </c>
      <c r="M810" vm="9640">
        <f ca="1"/>
        <v>283.87</v>
      </c>
      <c r="N810" vm="9641">
        <f ca="1"/>
        <v>2972.37</v>
      </c>
    </row>
    <row r="811" spans="2:14" x14ac:dyDescent="0.35">
      <c r="B811" vm="9642">
        <f ca="1"/>
        <v>43899</v>
      </c>
      <c r="C811" vm="9643">
        <f ca="1"/>
        <v>60.789499999999997</v>
      </c>
      <c r="D811" vm="9644">
        <f ca="1"/>
        <v>90.030500000000004</v>
      </c>
      <c r="E811" vm="9645">
        <f ca="1"/>
        <v>72.510000000000005</v>
      </c>
      <c r="F811" vm="9646">
        <f ca="1"/>
        <v>574.05999999999995</v>
      </c>
      <c r="G811" vm="9647">
        <f ca="1"/>
        <v>152.86000000000001</v>
      </c>
      <c r="H811" vm="9648">
        <f ca="1"/>
        <v>262.01</v>
      </c>
      <c r="I811" vm="7481">
        <f ca="1"/>
        <v>65.319999999999993</v>
      </c>
      <c r="J811" vm="9649">
        <f ca="1"/>
        <v>17.309999999999999</v>
      </c>
      <c r="K811" vm="9650">
        <f ca="1"/>
        <v>6.1360000000000001</v>
      </c>
      <c r="L811" vm="9651">
        <f ca="1"/>
        <v>116.06</v>
      </c>
      <c r="M811" vm="9652">
        <f ca="1"/>
        <v>273.44</v>
      </c>
      <c r="N811" vm="9653">
        <f ca="1"/>
        <v>2746.56</v>
      </c>
    </row>
    <row r="812" spans="2:14" x14ac:dyDescent="0.35">
      <c r="B812" vm="9654">
        <f ca="1"/>
        <v>43900</v>
      </c>
      <c r="C812" vm="9655">
        <f ca="1"/>
        <v>63.758499999999998</v>
      </c>
      <c r="D812" vm="9656">
        <f ca="1"/>
        <v>94.590999999999994</v>
      </c>
      <c r="E812" vm="9657">
        <f ca="1"/>
        <v>72.959999999999994</v>
      </c>
      <c r="F812" vm="9658">
        <f ca="1"/>
        <v>610.28</v>
      </c>
      <c r="G812" vm="9659">
        <f ca="1"/>
        <v>161.69</v>
      </c>
      <c r="H812" vm="9660">
        <f ca="1"/>
        <v>280.57</v>
      </c>
      <c r="I812" vm="9661">
        <f ca="1"/>
        <v>63.932499999999997</v>
      </c>
      <c r="J812" vm="9662">
        <f ca="1"/>
        <v>18.190000000000001</v>
      </c>
      <c r="K812" vm="9663">
        <f ca="1"/>
        <v>6.5270000000000001</v>
      </c>
      <c r="L812" vm="8079">
        <f ca="1"/>
        <v>120.55</v>
      </c>
      <c r="M812" vm="9664">
        <f ca="1"/>
        <v>280</v>
      </c>
      <c r="N812" vm="9665">
        <f ca="1"/>
        <v>2882.23</v>
      </c>
    </row>
    <row r="813" spans="2:14" x14ac:dyDescent="0.35">
      <c r="B813" vm="9666">
        <f ca="1"/>
        <v>43901</v>
      </c>
      <c r="C813" vm="9667">
        <f ca="1"/>
        <v>60.545000000000002</v>
      </c>
      <c r="D813" vm="9668">
        <f ca="1"/>
        <v>91.043000000000006</v>
      </c>
      <c r="E813" vm="2362">
        <f ca="1"/>
        <v>69.760000000000005</v>
      </c>
      <c r="F813" vm="9669">
        <f ca="1"/>
        <v>598.79999999999995</v>
      </c>
      <c r="G813" vm="9670">
        <f ca="1"/>
        <v>153.38999999999999</v>
      </c>
      <c r="H813" vm="9671">
        <f ca="1"/>
        <v>269.76</v>
      </c>
      <c r="I813" vm="9672">
        <f ca="1"/>
        <v>60.314999999999998</v>
      </c>
      <c r="J813" vm="9673">
        <f ca="1"/>
        <v>17.38</v>
      </c>
      <c r="K813" vm="4864">
        <f ca="1"/>
        <v>6.1618000000000004</v>
      </c>
      <c r="L813" vm="9674">
        <f ca="1"/>
        <v>111.59</v>
      </c>
      <c r="M813" vm="9675">
        <f ca="1"/>
        <v>277.77999999999997</v>
      </c>
      <c r="N813" vm="9676">
        <f ca="1"/>
        <v>2741.38</v>
      </c>
    </row>
    <row r="814" spans="2:14" x14ac:dyDescent="0.35">
      <c r="B814" vm="9677">
        <f ca="1"/>
        <v>43902</v>
      </c>
      <c r="C814" vm="9678">
        <f ca="1"/>
        <v>55.577500000000001</v>
      </c>
      <c r="D814" vm="9679">
        <f ca="1"/>
        <v>83.830500000000001</v>
      </c>
      <c r="E814" vm="9680">
        <f ca="1"/>
        <v>63.18</v>
      </c>
      <c r="F814" vm="9681">
        <f ca="1"/>
        <v>565.13</v>
      </c>
      <c r="G814" vm="9682">
        <f ca="1"/>
        <v>134.85</v>
      </c>
      <c r="H814" vm="9683">
        <f ca="1"/>
        <v>241.5</v>
      </c>
      <c r="I814" vm="9684">
        <f ca="1"/>
        <v>52.222499999999997</v>
      </c>
      <c r="J814" vm="9685">
        <f ca="1"/>
        <v>14.42</v>
      </c>
      <c r="K814" vm="9686">
        <f ca="1"/>
        <v>5.4077999999999999</v>
      </c>
      <c r="L814" vm="9687">
        <f ca="1"/>
        <v>101.84</v>
      </c>
      <c r="M814" vm="9688">
        <f ca="1"/>
        <v>250.41</v>
      </c>
      <c r="N814" vm="9689">
        <f ca="1"/>
        <v>2480.64</v>
      </c>
    </row>
    <row r="815" spans="2:14" x14ac:dyDescent="0.35">
      <c r="B815" vm="9690">
        <f ca="1"/>
        <v>43903</v>
      </c>
      <c r="C815" vm="9691">
        <f ca="1"/>
        <v>60.713500000000003</v>
      </c>
      <c r="D815" vm="2781">
        <f ca="1"/>
        <v>89.25</v>
      </c>
      <c r="E815" vm="9692">
        <f ca="1"/>
        <v>63.84</v>
      </c>
      <c r="F815" vm="9693">
        <f ca="1"/>
        <v>621.09</v>
      </c>
      <c r="G815" vm="9694">
        <f ca="1"/>
        <v>149.41</v>
      </c>
      <c r="H815" vm="9695">
        <f ca="1"/>
        <v>270.01</v>
      </c>
      <c r="I815" vm="9696">
        <f ca="1"/>
        <v>55.39</v>
      </c>
      <c r="J815" vm="9697">
        <f ca="1"/>
        <v>16.16</v>
      </c>
      <c r="K815" vm="9698">
        <f ca="1"/>
        <v>6.0209999999999999</v>
      </c>
      <c r="L815" vm="9699">
        <f ca="1"/>
        <v>114.07</v>
      </c>
      <c r="M815" vm="9700">
        <f ca="1"/>
        <v>272.04000000000002</v>
      </c>
      <c r="N815" vm="9701">
        <f ca="1"/>
        <v>2711.02</v>
      </c>
    </row>
    <row r="816" spans="2:14" x14ac:dyDescent="0.35">
      <c r="B816" vm="9702">
        <f ca="1"/>
        <v>43906</v>
      </c>
      <c r="C816" vm="9703">
        <f ca="1"/>
        <v>53.65</v>
      </c>
      <c r="D816" vm="9704">
        <f ca="1"/>
        <v>84.457499999999996</v>
      </c>
      <c r="E816" vm="5518">
        <f ca="1"/>
        <v>58.43</v>
      </c>
      <c r="F816" vm="9705">
        <f ca="1"/>
        <v>542.42999999999995</v>
      </c>
      <c r="G816" vm="9706">
        <f ca="1"/>
        <v>135.27000000000001</v>
      </c>
      <c r="H816" vm="9707">
        <f ca="1"/>
        <v>235.65</v>
      </c>
      <c r="I816" vm="9708">
        <f ca="1"/>
        <v>50.342500000000001</v>
      </c>
      <c r="J816" vm="9709">
        <f ca="1"/>
        <v>14.41</v>
      </c>
      <c r="K816" vm="9710">
        <f ca="1"/>
        <v>4.91</v>
      </c>
      <c r="L816" vm="9711">
        <f ca="1"/>
        <v>108.5</v>
      </c>
      <c r="M816" vm="9712">
        <f ca="1"/>
        <v>225.04</v>
      </c>
      <c r="N816" vm="9713">
        <f ca="1"/>
        <v>2386.13</v>
      </c>
    </row>
    <row r="817" spans="2:14" x14ac:dyDescent="0.35">
      <c r="B817" vm="9714">
        <f ca="1"/>
        <v>43907</v>
      </c>
      <c r="C817" vm="9715">
        <f ca="1"/>
        <v>55.902999999999999</v>
      </c>
      <c r="D817" vm="8231">
        <f ca="1"/>
        <v>90.391999999999996</v>
      </c>
      <c r="E817" vm="9716">
        <f ca="1"/>
        <v>64.63</v>
      </c>
      <c r="F817" vm="9717">
        <f ca="1"/>
        <v>575.17999999999995</v>
      </c>
      <c r="G817" vm="9718">
        <f ca="1"/>
        <v>131.80000000000001</v>
      </c>
      <c r="H817" vm="9719">
        <f ca="1"/>
        <v>237.88</v>
      </c>
      <c r="I817" vm="9720">
        <f ca="1"/>
        <v>55.44</v>
      </c>
      <c r="J817" vm="9721">
        <f ca="1"/>
        <v>14</v>
      </c>
      <c r="K817" vm="9722">
        <f ca="1"/>
        <v>5.4318</v>
      </c>
      <c r="L817" vm="9723">
        <f ca="1"/>
        <v>118.24</v>
      </c>
      <c r="M817" vm="9724">
        <f ca="1"/>
        <v>244.22</v>
      </c>
      <c r="N817" vm="9725">
        <f ca="1"/>
        <v>2529.19</v>
      </c>
    </row>
    <row r="818" spans="2:14" x14ac:dyDescent="0.35">
      <c r="B818" vm="9726">
        <f ca="1"/>
        <v>43908</v>
      </c>
      <c r="C818" vm="9727">
        <f ca="1"/>
        <v>54.5595</v>
      </c>
      <c r="D818" vm="9728">
        <f ca="1"/>
        <v>91.5</v>
      </c>
      <c r="E818" vm="7378">
        <f ca="1"/>
        <v>64.45</v>
      </c>
      <c r="F818" vm="9729">
        <f ca="1"/>
        <v>572.14</v>
      </c>
      <c r="G818" vm="9730">
        <f ca="1"/>
        <v>119.61</v>
      </c>
      <c r="H818" vm="9731">
        <f ca="1"/>
        <v>227.93</v>
      </c>
      <c r="I818" vm="9732">
        <f ca="1"/>
        <v>52.66</v>
      </c>
      <c r="J818" vm="9733">
        <f ca="1"/>
        <v>12.05</v>
      </c>
      <c r="K818" vm="9734">
        <f ca="1"/>
        <v>5.0705</v>
      </c>
      <c r="L818" vm="9735">
        <f ca="1"/>
        <v>117.45</v>
      </c>
      <c r="M818" vm="9736">
        <f ca="1"/>
        <v>217.06</v>
      </c>
      <c r="N818" vm="9737">
        <f ca="1"/>
        <v>2398.1</v>
      </c>
    </row>
    <row r="819" spans="2:14" x14ac:dyDescent="0.35">
      <c r="B819" vm="9738">
        <f ca="1"/>
        <v>43909</v>
      </c>
      <c r="C819" vm="9739">
        <f ca="1"/>
        <v>55.583500000000001</v>
      </c>
      <c r="D819" vm="9740">
        <f ca="1"/>
        <v>94.046499999999995</v>
      </c>
      <c r="E819" vm="9741">
        <f ca="1"/>
        <v>60.11</v>
      </c>
      <c r="F819" vm="9742">
        <f ca="1"/>
        <v>550</v>
      </c>
      <c r="G819" vm="9743">
        <f ca="1"/>
        <v>118.96</v>
      </c>
      <c r="H819" vm="9744">
        <f ca="1"/>
        <v>227.15</v>
      </c>
      <c r="I819" vm="9745">
        <f ca="1"/>
        <v>51.774999999999999</v>
      </c>
      <c r="J819" vm="9746">
        <f ca="1"/>
        <v>13.87</v>
      </c>
      <c r="K819" vm="9747">
        <f ca="1"/>
        <v>5.3243</v>
      </c>
      <c r="L819" vm="9748">
        <f ca="1"/>
        <v>110.83</v>
      </c>
      <c r="M819" vm="8411">
        <f ca="1"/>
        <v>219.8</v>
      </c>
      <c r="N819" vm="9749">
        <f ca="1"/>
        <v>2409.39</v>
      </c>
    </row>
    <row r="820" spans="2:14" x14ac:dyDescent="0.35">
      <c r="B820" vm="9750">
        <f ca="1"/>
        <v>43910</v>
      </c>
      <c r="C820" vm="9751">
        <f ca="1"/>
        <v>53.410499999999999</v>
      </c>
      <c r="D820" vm="9752">
        <f ca="1"/>
        <v>92.304500000000004</v>
      </c>
      <c r="E820" vm="9753">
        <f ca="1"/>
        <v>54.89</v>
      </c>
      <c r="F820" vm="9754">
        <f ca="1"/>
        <v>506.52</v>
      </c>
      <c r="G820" vm="9755">
        <f ca="1"/>
        <v>112.5</v>
      </c>
      <c r="H820" vm="9756">
        <f ca="1"/>
        <v>211.42</v>
      </c>
      <c r="I820" vm="9757">
        <f ca="1"/>
        <v>47.9375</v>
      </c>
      <c r="J820" vm="9758">
        <f ca="1"/>
        <v>14.28</v>
      </c>
      <c r="K820" vm="9759">
        <f ca="1"/>
        <v>5.1437999999999997</v>
      </c>
      <c r="L820" vm="9760">
        <f ca="1"/>
        <v>102.43</v>
      </c>
      <c r="M820" vm="9761">
        <f ca="1"/>
        <v>206.59</v>
      </c>
      <c r="N820" vm="9762">
        <f ca="1"/>
        <v>2304.92</v>
      </c>
    </row>
    <row r="821" spans="2:14" x14ac:dyDescent="0.35">
      <c r="B821" vm="9763">
        <f ca="1"/>
        <v>43913</v>
      </c>
      <c r="C821" vm="9764">
        <f ca="1"/>
        <v>52.706499999999998</v>
      </c>
      <c r="D821" vm="9765">
        <f ca="1"/>
        <v>95.141499999999994</v>
      </c>
      <c r="E821" vm="9766">
        <f ca="1"/>
        <v>51.94</v>
      </c>
      <c r="F821" vm="9767">
        <f ca="1"/>
        <v>489.14</v>
      </c>
      <c r="G821" vm="9768">
        <f ca="1"/>
        <v>103.86</v>
      </c>
      <c r="H821" vm="9769">
        <f ca="1"/>
        <v>203.3</v>
      </c>
      <c r="I821" vm="9770">
        <f ca="1"/>
        <v>45.414999999999999</v>
      </c>
      <c r="J821" vm="9771">
        <f ca="1"/>
        <v>12.83</v>
      </c>
      <c r="K821" vm="9772">
        <f ca="1"/>
        <v>5.3173000000000004</v>
      </c>
      <c r="L821" vm="9773">
        <f ca="1"/>
        <v>97.7</v>
      </c>
      <c r="M821" vm="9774">
        <f ca="1"/>
        <v>194.86</v>
      </c>
      <c r="N821" vm="9775">
        <f ca="1"/>
        <v>2237.4</v>
      </c>
    </row>
    <row r="822" spans="2:14" x14ac:dyDescent="0.35">
      <c r="B822" vm="9776">
        <f ca="1"/>
        <v>43914</v>
      </c>
      <c r="C822" vm="9777">
        <f ca="1"/>
        <v>56.500500000000002</v>
      </c>
      <c r="D822" vm="9778">
        <f ca="1"/>
        <v>97.004999999999995</v>
      </c>
      <c r="E822" vm="9779">
        <f ca="1"/>
        <v>58.22</v>
      </c>
      <c r="F822" vm="9780">
        <f ca="1"/>
        <v>545.89</v>
      </c>
      <c r="G822" vm="9781">
        <f ca="1"/>
        <v>119.51</v>
      </c>
      <c r="H822" vm="9782">
        <f ca="1"/>
        <v>237.07</v>
      </c>
      <c r="I822" vm="9783">
        <f ca="1"/>
        <v>51.6325</v>
      </c>
      <c r="J822" vm="9784">
        <f ca="1"/>
        <v>14.65</v>
      </c>
      <c r="K822" vm="9785">
        <f ca="1"/>
        <v>6.2294999999999998</v>
      </c>
      <c r="L822" vm="9786">
        <f ca="1"/>
        <v>103.27</v>
      </c>
      <c r="M822" vm="8411">
        <f ca="1"/>
        <v>219.8</v>
      </c>
      <c r="N822" vm="9787">
        <f ca="1"/>
        <v>2447.33</v>
      </c>
    </row>
    <row r="823" spans="2:14" x14ac:dyDescent="0.35">
      <c r="B823" vm="9788">
        <f ca="1"/>
        <v>43915</v>
      </c>
      <c r="C823" vm="9789">
        <f ca="1"/>
        <v>55.081000000000003</v>
      </c>
      <c r="D823" vm="9790">
        <f ca="1"/>
        <v>94.292000000000002</v>
      </c>
      <c r="E823" vm="9791">
        <f ca="1"/>
        <v>56.02</v>
      </c>
      <c r="F823" vm="9792">
        <f ca="1"/>
        <v>553.91999999999996</v>
      </c>
      <c r="G823" vm="9793">
        <f ca="1"/>
        <v>129.65</v>
      </c>
      <c r="H823" vm="9794">
        <f ca="1"/>
        <v>256.48</v>
      </c>
      <c r="I823" vm="9795">
        <f ca="1"/>
        <v>52.567500000000003</v>
      </c>
      <c r="J823" vm="9796">
        <f ca="1"/>
        <v>14.6</v>
      </c>
      <c r="K823" vm="9797">
        <f ca="1"/>
        <v>6.1405000000000003</v>
      </c>
      <c r="L823" vm="9798">
        <f ca="1"/>
        <v>100.92</v>
      </c>
      <c r="M823" vm="9799">
        <f ca="1"/>
        <v>234.49</v>
      </c>
      <c r="N823" vm="9800">
        <f ca="1"/>
        <v>2475.56</v>
      </c>
    </row>
    <row r="824" spans="2:14" x14ac:dyDescent="0.35">
      <c r="B824" vm="9801">
        <f ca="1"/>
        <v>43916</v>
      </c>
      <c r="C824" vm="9802">
        <f ca="1"/>
        <v>58.146000000000001</v>
      </c>
      <c r="D824" vm="9803">
        <f ca="1"/>
        <v>97.774500000000003</v>
      </c>
      <c r="E824" vm="9804">
        <f ca="1"/>
        <v>62.56</v>
      </c>
      <c r="F824" vm="9805">
        <f ca="1"/>
        <v>587.58000000000004</v>
      </c>
      <c r="G824" vm="9806">
        <f ca="1"/>
        <v>137.4</v>
      </c>
      <c r="H824" vm="9807">
        <f ca="1"/>
        <v>263.18</v>
      </c>
      <c r="I824" vm="9808">
        <f ca="1"/>
        <v>57.774999999999999</v>
      </c>
      <c r="J824" vm="9809">
        <f ca="1"/>
        <v>15.52</v>
      </c>
      <c r="K824" vm="9810">
        <f ca="1"/>
        <v>6.431</v>
      </c>
      <c r="L824" vm="7398">
        <f ca="1"/>
        <v>107.38</v>
      </c>
      <c r="M824" vm="9811">
        <f ca="1"/>
        <v>255.39</v>
      </c>
      <c r="N824" vm="9812">
        <f ca="1"/>
        <v>2630.07</v>
      </c>
    </row>
    <row r="825" spans="2:14" x14ac:dyDescent="0.35">
      <c r="B825" vm="9813">
        <f ca="1"/>
        <v>43917</v>
      </c>
      <c r="C825" vm="9814">
        <f ca="1"/>
        <v>55.512999999999998</v>
      </c>
      <c r="D825" vm="9815">
        <f ca="1"/>
        <v>95.004999999999995</v>
      </c>
      <c r="E825" vm="9816">
        <f ca="1"/>
        <v>64.38</v>
      </c>
      <c r="F825" vm="9817">
        <f ca="1"/>
        <v>594.27</v>
      </c>
      <c r="G825" vm="9818">
        <f ca="1"/>
        <v>131.27000000000001</v>
      </c>
      <c r="H825" vm="9819">
        <f ca="1"/>
        <v>247.65</v>
      </c>
      <c r="I825" vm="9820">
        <f ca="1"/>
        <v>57.987499999999997</v>
      </c>
      <c r="J825" vm="9821">
        <f ca="1"/>
        <v>13.76</v>
      </c>
      <c r="K825" vm="9822">
        <f ca="1"/>
        <v>6.3182999999999998</v>
      </c>
      <c r="L825" vm="9823">
        <f ca="1"/>
        <v>110.17</v>
      </c>
      <c r="M825" vm="9824">
        <f ca="1"/>
        <v>242.45</v>
      </c>
      <c r="N825" vm="9825">
        <f ca="1"/>
        <v>2541.4699999999998</v>
      </c>
    </row>
    <row r="826" spans="2:14" x14ac:dyDescent="0.35">
      <c r="B826" vm="9826">
        <f ca="1"/>
        <v>43920</v>
      </c>
      <c r="C826" vm="9827">
        <f ca="1"/>
        <v>57.3155</v>
      </c>
      <c r="D826" vm="9828">
        <f ca="1"/>
        <v>98.197500000000005</v>
      </c>
      <c r="E826" vm="9829">
        <f ca="1"/>
        <v>65.989999999999995</v>
      </c>
      <c r="F826" vm="9830">
        <f ca="1"/>
        <v>644.87</v>
      </c>
      <c r="G826" vm="9831">
        <f ca="1"/>
        <v>131.75</v>
      </c>
      <c r="H826" vm="9832">
        <f ca="1"/>
        <v>253.25</v>
      </c>
      <c r="I826" vm="9833">
        <f ca="1"/>
        <v>61.502499999999998</v>
      </c>
      <c r="J826" vm="9834">
        <f ca="1"/>
        <v>13.28</v>
      </c>
      <c r="K826" vm="9835">
        <f ca="1"/>
        <v>6.6398000000000001</v>
      </c>
      <c r="L826" vm="9836">
        <f ca="1"/>
        <v>115</v>
      </c>
      <c r="M826" vm="9837">
        <f ca="1"/>
        <v>251.28</v>
      </c>
      <c r="N826" vm="9838">
        <f ca="1"/>
        <v>2626.65</v>
      </c>
    </row>
    <row r="827" spans="2:14" x14ac:dyDescent="0.35">
      <c r="B827" vm="9839">
        <f ca="1"/>
        <v>43921</v>
      </c>
      <c r="C827" vm="9840">
        <f ca="1"/>
        <v>58.097499999999997</v>
      </c>
      <c r="D827" vm="9841">
        <f ca="1"/>
        <v>97.486000000000004</v>
      </c>
      <c r="E827" vm="9842">
        <f ca="1"/>
        <v>64.66</v>
      </c>
      <c r="F827" vm="9843">
        <f ca="1"/>
        <v>624.57000000000005</v>
      </c>
      <c r="G827" vm="9844">
        <f ca="1"/>
        <v>133.79</v>
      </c>
      <c r="H827" vm="9845">
        <f ca="1"/>
        <v>241.56</v>
      </c>
      <c r="I827" vm="9846">
        <f ca="1"/>
        <v>60.155000000000001</v>
      </c>
      <c r="J827" vm="9847">
        <f ca="1"/>
        <v>13.49</v>
      </c>
      <c r="K827" vm="9848">
        <f ca="1"/>
        <v>6.59</v>
      </c>
      <c r="L827" vm="9849">
        <f ca="1"/>
        <v>110</v>
      </c>
      <c r="M827" vm="9850">
        <f ca="1"/>
        <v>249.38</v>
      </c>
      <c r="N827" vm="9851">
        <f ca="1"/>
        <v>2584.59</v>
      </c>
    </row>
    <row r="828" spans="2:14" x14ac:dyDescent="0.35">
      <c r="B828" vm="9852">
        <f ca="1"/>
        <v>43922</v>
      </c>
      <c r="C828" vm="9853">
        <f ca="1"/>
        <v>55.104999999999997</v>
      </c>
      <c r="D828" vm="9854">
        <f ca="1"/>
        <v>95.385000000000005</v>
      </c>
      <c r="E828" vm="9137">
        <f ca="1"/>
        <v>64.17</v>
      </c>
      <c r="F828" vm="9855">
        <f ca="1"/>
        <v>595.46</v>
      </c>
      <c r="G828" vm="9856">
        <f ca="1"/>
        <v>129.71</v>
      </c>
      <c r="H828" vm="9857">
        <f ca="1"/>
        <v>228.61</v>
      </c>
      <c r="I828" vm="9858">
        <f ca="1"/>
        <v>54.557499999999997</v>
      </c>
      <c r="J828" vm="9859">
        <f ca="1"/>
        <v>12.59</v>
      </c>
      <c r="K828" vm="9860">
        <f ca="1"/>
        <v>6.0768000000000004</v>
      </c>
      <c r="L828" vm="9861">
        <f ca="1"/>
        <v>109.33</v>
      </c>
      <c r="M828" vm="9862">
        <f ca="1"/>
        <v>237.32</v>
      </c>
      <c r="N828" vm="9863">
        <f ca="1"/>
        <v>2470.5</v>
      </c>
    </row>
    <row r="829" spans="2:14" x14ac:dyDescent="0.35">
      <c r="B829" vm="9864">
        <f ca="1"/>
        <v>43923</v>
      </c>
      <c r="C829" vm="9865">
        <f ca="1"/>
        <v>55.851500000000001</v>
      </c>
      <c r="D829" vm="9866">
        <f ca="1"/>
        <v>95.941500000000005</v>
      </c>
      <c r="E829" vm="2969">
        <f ca="1"/>
        <v>64.56</v>
      </c>
      <c r="F829" vm="9867">
        <f ca="1"/>
        <v>626.15</v>
      </c>
      <c r="G829" vm="9868">
        <f ca="1"/>
        <v>132.81</v>
      </c>
      <c r="H829" vm="9869">
        <f ca="1"/>
        <v>238.88</v>
      </c>
      <c r="I829" vm="9870">
        <f ca="1"/>
        <v>56.612499999999997</v>
      </c>
      <c r="J829" vm="9871">
        <f ca="1"/>
        <v>13.88</v>
      </c>
      <c r="K829" vm="9872">
        <f ca="1"/>
        <v>6.3868</v>
      </c>
      <c r="L829" vm="9873">
        <f ca="1"/>
        <v>114.4</v>
      </c>
      <c r="M829" vm="9874">
        <f ca="1"/>
        <v>240.44</v>
      </c>
      <c r="N829" vm="9875">
        <f ca="1"/>
        <v>2526.9</v>
      </c>
    </row>
    <row r="830" spans="2:14" x14ac:dyDescent="0.35">
      <c r="B830" vm="9876">
        <f ca="1"/>
        <v>43924</v>
      </c>
      <c r="C830" vm="9877">
        <f ca="1"/>
        <v>54.634999999999998</v>
      </c>
      <c r="D830" vm="9878">
        <f ca="1"/>
        <v>95.329499999999996</v>
      </c>
      <c r="E830" vm="9879">
        <f ca="1"/>
        <v>62.17</v>
      </c>
      <c r="F830" vm="9880">
        <f ca="1"/>
        <v>624.69000000000005</v>
      </c>
      <c r="G830" vm="9881">
        <f ca="1"/>
        <v>127.45</v>
      </c>
      <c r="H830" vm="4080">
        <f ca="1"/>
        <v>237.03</v>
      </c>
      <c r="I830" vm="9882">
        <f ca="1"/>
        <v>55.41</v>
      </c>
      <c r="J830" vm="9883">
        <f ca="1"/>
        <v>14.29</v>
      </c>
      <c r="K830" vm="9884">
        <f ca="1"/>
        <v>6.0978000000000003</v>
      </c>
      <c r="L830" vm="9885">
        <f ca="1"/>
        <v>115.08</v>
      </c>
      <c r="M830" vm="9886">
        <f ca="1"/>
        <v>229.49</v>
      </c>
      <c r="N830" vm="9887">
        <f ca="1"/>
        <v>2488.65</v>
      </c>
    </row>
    <row r="831" spans="2:14" x14ac:dyDescent="0.35">
      <c r="B831" vm="9888">
        <f ca="1"/>
        <v>43927</v>
      </c>
      <c r="C831" vm="9889">
        <f ca="1"/>
        <v>59.159500000000001</v>
      </c>
      <c r="D831" vm="9890">
        <f ca="1"/>
        <v>99.879499999999993</v>
      </c>
      <c r="E831" vm="9891">
        <f ca="1"/>
        <v>65.62</v>
      </c>
      <c r="F831" vm="9892">
        <f ca="1"/>
        <v>652.22</v>
      </c>
      <c r="G831" vm="9893">
        <f ca="1"/>
        <v>134</v>
      </c>
      <c r="H831" vm="9894">
        <f ca="1"/>
        <v>265.94</v>
      </c>
      <c r="I831" vm="9895">
        <f ca="1"/>
        <v>58.627499999999998</v>
      </c>
      <c r="J831" vm="9896">
        <f ca="1"/>
        <v>15.67</v>
      </c>
      <c r="K831" vm="9897">
        <f ca="1"/>
        <v>6.71</v>
      </c>
      <c r="L831" vm="9898">
        <f ca="1"/>
        <v>117.81</v>
      </c>
      <c r="M831" vm="9899">
        <f ca="1"/>
        <v>248.34</v>
      </c>
      <c r="N831" vm="9900">
        <f ca="1"/>
        <v>2663.68</v>
      </c>
    </row>
    <row r="832" spans="2:14" x14ac:dyDescent="0.35">
      <c r="B832" vm="9901">
        <f ca="1"/>
        <v>43928</v>
      </c>
      <c r="C832" vm="9902">
        <f ca="1"/>
        <v>59.128</v>
      </c>
      <c r="D832" vm="9903">
        <f ca="1"/>
        <v>100.58</v>
      </c>
      <c r="E832" vm="9904">
        <f ca="1"/>
        <v>65.86</v>
      </c>
      <c r="F832" vm="9905">
        <f ca="1"/>
        <v>623.62</v>
      </c>
      <c r="G832" vm="9906">
        <f ca="1"/>
        <v>135.24</v>
      </c>
      <c r="H832" vm="9907">
        <f ca="1"/>
        <v>259.08</v>
      </c>
      <c r="I832" vm="9908">
        <f ca="1"/>
        <v>57.122500000000002</v>
      </c>
      <c r="J832" vm="9909">
        <f ca="1"/>
        <v>16.47</v>
      </c>
      <c r="K832" vm="9910">
        <f ca="1"/>
        <v>6.4757999999999996</v>
      </c>
      <c r="L832" vm="7796">
        <f ca="1"/>
        <v>112.77</v>
      </c>
      <c r="M832" vm="9911">
        <f ca="1"/>
        <v>248.04</v>
      </c>
      <c r="N832" vm="9912">
        <f ca="1"/>
        <v>2659.41</v>
      </c>
    </row>
    <row r="833" spans="2:14" x14ac:dyDescent="0.35">
      <c r="B833" vm="9913">
        <f ca="1"/>
        <v>43929</v>
      </c>
      <c r="C833" vm="9914">
        <f ca="1"/>
        <v>60.35</v>
      </c>
      <c r="D833" vm="9915">
        <f ca="1"/>
        <v>102.15</v>
      </c>
      <c r="E833" vm="8766">
        <f ca="1"/>
        <v>67.59</v>
      </c>
      <c r="F833" vm="9916">
        <f ca="1"/>
        <v>664.26</v>
      </c>
      <c r="G833" vm="9917">
        <f ca="1"/>
        <v>139.25</v>
      </c>
      <c r="H833" vm="9918">
        <f ca="1"/>
        <v>270.95</v>
      </c>
      <c r="I833" vm="9919">
        <f ca="1"/>
        <v>58.375</v>
      </c>
      <c r="J833" vm="9920">
        <f ca="1"/>
        <v>17.28</v>
      </c>
      <c r="K833" vm="9921">
        <f ca="1"/>
        <v>6.6738</v>
      </c>
      <c r="L833" vm="9922">
        <f ca="1"/>
        <v>115.1</v>
      </c>
      <c r="M833" vm="9923">
        <f ca="1"/>
        <v>267.83</v>
      </c>
      <c r="N833" vm="9924">
        <f ca="1"/>
        <v>2749.98</v>
      </c>
    </row>
    <row r="834" spans="2:14" x14ac:dyDescent="0.35">
      <c r="B834" vm="9925">
        <f ca="1"/>
        <v>43930</v>
      </c>
      <c r="C834" vm="9926">
        <f ca="1"/>
        <v>60.328499999999998</v>
      </c>
      <c r="D834" vm="9927">
        <f ca="1"/>
        <v>102.13800000000001</v>
      </c>
      <c r="E834" vm="9928">
        <f ca="1"/>
        <v>69.94</v>
      </c>
      <c r="F834" vm="9929">
        <f ca="1"/>
        <v>686.94</v>
      </c>
      <c r="G834" vm="2910">
        <f ca="1"/>
        <v>143.43</v>
      </c>
      <c r="H834" vm="8761">
        <f ca="1"/>
        <v>269.39999999999998</v>
      </c>
      <c r="I834" vm="9930">
        <f ca="1"/>
        <v>61.32</v>
      </c>
      <c r="J834" vm="9909">
        <f ca="1"/>
        <v>16.47</v>
      </c>
      <c r="K834" vm="9931">
        <f ca="1"/>
        <v>6.5738000000000003</v>
      </c>
      <c r="L834" vm="9932">
        <f ca="1"/>
        <v>114.66</v>
      </c>
      <c r="M834" vm="9933">
        <f ca="1"/>
        <v>264.13</v>
      </c>
      <c r="N834" vm="9934">
        <f ca="1"/>
        <v>2789.82</v>
      </c>
    </row>
    <row r="835" spans="2:14" x14ac:dyDescent="0.35">
      <c r="B835" vm="9935">
        <f ca="1"/>
        <v>43934</v>
      </c>
      <c r="C835" vm="9936">
        <f ca="1"/>
        <v>60.520499999999998</v>
      </c>
      <c r="D835" vm="9937">
        <f ca="1"/>
        <v>108.4435</v>
      </c>
      <c r="E835" vm="9938">
        <f ca="1"/>
        <v>67.319999999999993</v>
      </c>
      <c r="F835" vm="9939">
        <f ca="1"/>
        <v>657.19</v>
      </c>
      <c r="G835" vm="9940">
        <f ca="1"/>
        <v>137.94</v>
      </c>
      <c r="H835" vm="9941">
        <f ca="1"/>
        <v>263.33999999999997</v>
      </c>
      <c r="I835" vm="9942">
        <f ca="1"/>
        <v>59.052500000000002</v>
      </c>
      <c r="J835" vm="9943">
        <f ca="1"/>
        <v>15.95</v>
      </c>
      <c r="K835" vm="9944">
        <f ca="1"/>
        <v>6.7462999999999997</v>
      </c>
      <c r="L835" vm="9945">
        <f ca="1"/>
        <v>115.95</v>
      </c>
      <c r="M835" vm="5311">
        <f ca="1"/>
        <v>263.51</v>
      </c>
      <c r="N835" vm="9946">
        <f ca="1"/>
        <v>2761.63</v>
      </c>
    </row>
    <row r="836" spans="2:14" x14ac:dyDescent="0.35">
      <c r="B836" vm="9947">
        <f ca="1"/>
        <v>43935</v>
      </c>
      <c r="C836" vm="9948">
        <f ca="1"/>
        <v>63.261499999999998</v>
      </c>
      <c r="D836" vm="9949">
        <f ca="1"/>
        <v>114.166</v>
      </c>
      <c r="E836" vm="9950">
        <f ca="1"/>
        <v>67.959999999999994</v>
      </c>
      <c r="F836" vm="9951">
        <f ca="1"/>
        <v>688.89</v>
      </c>
      <c r="G836" vm="9952">
        <f ca="1"/>
        <v>140.59</v>
      </c>
      <c r="H836" vm="9953">
        <f ca="1"/>
        <v>270.72000000000003</v>
      </c>
      <c r="I836" vm="9954">
        <f ca="1"/>
        <v>60.594999999999999</v>
      </c>
      <c r="J836" vm="9955">
        <f ca="1"/>
        <v>15.54</v>
      </c>
      <c r="K836" vm="9956">
        <f ca="1"/>
        <v>7.0987999999999998</v>
      </c>
      <c r="L836" vm="9957">
        <f ca="1"/>
        <v>120.96</v>
      </c>
      <c r="M836" vm="9958">
        <f ca="1"/>
        <v>270.5</v>
      </c>
      <c r="N836" vm="9959">
        <f ca="1"/>
        <v>2846.06</v>
      </c>
    </row>
    <row r="837" spans="2:14" x14ac:dyDescent="0.35">
      <c r="B837" vm="9960">
        <f ca="1"/>
        <v>43936</v>
      </c>
      <c r="C837" vm="9961">
        <f ca="1"/>
        <v>62.865000000000002</v>
      </c>
      <c r="D837" vm="9962">
        <f ca="1"/>
        <v>115.384</v>
      </c>
      <c r="E837" vm="9963">
        <f ca="1"/>
        <v>67.64</v>
      </c>
      <c r="F837" vm="9964">
        <f ca="1"/>
        <v>675.53</v>
      </c>
      <c r="G837" vm="9965">
        <f ca="1"/>
        <v>134.84</v>
      </c>
      <c r="H837" vm="6441">
        <f ca="1"/>
        <v>257.14</v>
      </c>
      <c r="I837" vm="3112">
        <f ca="1"/>
        <v>59.305</v>
      </c>
      <c r="J837" vm="9966">
        <f ca="1"/>
        <v>14.73</v>
      </c>
      <c r="K837" vm="9967">
        <f ca="1"/>
        <v>7.0209999999999999</v>
      </c>
      <c r="L837" vm="9968">
        <f ca="1"/>
        <v>121.22</v>
      </c>
      <c r="M837" vm="9969">
        <f ca="1"/>
        <v>281.68</v>
      </c>
      <c r="N837" vm="9970">
        <f ca="1"/>
        <v>2783.36</v>
      </c>
    </row>
    <row r="838" spans="2:14" x14ac:dyDescent="0.35">
      <c r="B838" vm="9971">
        <f ca="1"/>
        <v>43937</v>
      </c>
      <c r="C838" vm="9972">
        <f ca="1"/>
        <v>62.871499999999997</v>
      </c>
      <c r="D838" vm="9973">
        <f ca="1"/>
        <v>120.40949999999999</v>
      </c>
      <c r="E838" vm="9974">
        <f ca="1"/>
        <v>67.8</v>
      </c>
      <c r="F838" vm="9975">
        <f ca="1"/>
        <v>682.74</v>
      </c>
      <c r="G838" vm="9976">
        <f ca="1"/>
        <v>132.33000000000001</v>
      </c>
      <c r="H838" vm="9977">
        <f ca="1"/>
        <v>246.76</v>
      </c>
      <c r="I838" vm="9978">
        <f ca="1"/>
        <v>59.37</v>
      </c>
      <c r="J838" vm="9979">
        <f ca="1"/>
        <v>14.05</v>
      </c>
      <c r="K838" vm="9980">
        <f ca="1"/>
        <v>7.3674999999999997</v>
      </c>
      <c r="L838" vm="9981">
        <f ca="1"/>
        <v>121.5</v>
      </c>
      <c r="M838" vm="9982">
        <f ca="1"/>
        <v>298.43</v>
      </c>
      <c r="N838" vm="9983">
        <f ca="1"/>
        <v>2799.55</v>
      </c>
    </row>
    <row r="839" spans="2:14" x14ac:dyDescent="0.35">
      <c r="B839" vm="9984">
        <f ca="1"/>
        <v>43938</v>
      </c>
      <c r="C839" vm="1961">
        <f ca="1"/>
        <v>63.95</v>
      </c>
      <c r="D839" vm="9985">
        <f ca="1"/>
        <v>118.75</v>
      </c>
      <c r="E839" vm="9986">
        <f ca="1"/>
        <v>70.2</v>
      </c>
      <c r="F839" vm="9987">
        <f ca="1"/>
        <v>694.95</v>
      </c>
      <c r="G839" vm="9988">
        <f ca="1"/>
        <v>138.32</v>
      </c>
      <c r="H839" vm="9989">
        <f ca="1"/>
        <v>259.97000000000003</v>
      </c>
      <c r="I839" vm="9990">
        <f ca="1"/>
        <v>61.564999999999998</v>
      </c>
      <c r="J839" vm="9991">
        <f ca="1"/>
        <v>15.28</v>
      </c>
      <c r="K839" vm="9992">
        <f ca="1"/>
        <v>7.3079999999999998</v>
      </c>
      <c r="L839" vm="9215">
        <f ca="1"/>
        <v>124.69</v>
      </c>
      <c r="M839" vm="9993">
        <f ca="1"/>
        <v>290.56</v>
      </c>
      <c r="N839" vm="9994">
        <f ca="1"/>
        <v>2874.56</v>
      </c>
    </row>
    <row r="840" spans="2:14" x14ac:dyDescent="0.35">
      <c r="B840" vm="9995">
        <f ca="1"/>
        <v>43941</v>
      </c>
      <c r="C840" vm="9996">
        <f ca="1"/>
        <v>63.057499999999997</v>
      </c>
      <c r="D840" vm="9997">
        <f ca="1"/>
        <v>119.68049999999999</v>
      </c>
      <c r="E840" vm="9998">
        <f ca="1"/>
        <v>68.540000000000006</v>
      </c>
      <c r="F840" vm="9999">
        <f ca="1"/>
        <v>670.75</v>
      </c>
      <c r="G840" vm="10000">
        <f ca="1"/>
        <v>135.69999999999999</v>
      </c>
      <c r="H840" vm="10001">
        <f ca="1"/>
        <v>251.73</v>
      </c>
      <c r="I840" vm="10002">
        <f ca="1"/>
        <v>59.402500000000003</v>
      </c>
      <c r="J840" vm="10003">
        <f ca="1"/>
        <v>15.21</v>
      </c>
      <c r="K840" vm="10004">
        <f ca="1"/>
        <v>7.1763000000000003</v>
      </c>
      <c r="L840" vm="10005">
        <f ca="1"/>
        <v>120.6</v>
      </c>
      <c r="M840" vm="10006">
        <f ca="1"/>
        <v>282.14</v>
      </c>
      <c r="N840" vm="10007">
        <f ca="1"/>
        <v>2823.16</v>
      </c>
    </row>
    <row r="841" spans="2:14" x14ac:dyDescent="0.35">
      <c r="B841" vm="10008">
        <f ca="1"/>
        <v>43942</v>
      </c>
      <c r="C841" vm="10009">
        <f ca="1"/>
        <v>60.607999999999997</v>
      </c>
      <c r="D841" vm="10010">
        <f ca="1"/>
        <v>116.40600000000001</v>
      </c>
      <c r="E841" vm="10011">
        <f ca="1"/>
        <v>65.540000000000006</v>
      </c>
      <c r="F841" vm="10012">
        <f ca="1"/>
        <v>672.2</v>
      </c>
      <c r="G841" vm="10013">
        <f ca="1"/>
        <v>132</v>
      </c>
      <c r="H841" vm="10014">
        <f ca="1"/>
        <v>245.35</v>
      </c>
      <c r="I841" vm="10015">
        <f ca="1"/>
        <v>58.854999999999997</v>
      </c>
      <c r="J841" vm="10016">
        <f ca="1"/>
        <v>14.69</v>
      </c>
      <c r="K841" vm="10017">
        <f ca="1"/>
        <v>6.7378</v>
      </c>
      <c r="L841" vm="10018">
        <f ca="1"/>
        <v>119.68</v>
      </c>
      <c r="M841" vm="10019">
        <f ca="1"/>
        <v>274.19</v>
      </c>
      <c r="N841" vm="10020">
        <f ca="1"/>
        <v>2736.56</v>
      </c>
    </row>
    <row r="842" spans="2:14" x14ac:dyDescent="0.35">
      <c r="B842" vm="10021">
        <f ca="1"/>
        <v>43943</v>
      </c>
      <c r="C842" vm="10022">
        <f ca="1"/>
        <v>62.920499999999997</v>
      </c>
      <c r="D842" vm="10023">
        <f ca="1"/>
        <v>118.17449999999999</v>
      </c>
      <c r="E842" vm="10024">
        <f ca="1"/>
        <v>66.62</v>
      </c>
      <c r="F842" vm="10025">
        <f ca="1"/>
        <v>684.79</v>
      </c>
      <c r="G842" vm="10026">
        <f ca="1"/>
        <v>133.03</v>
      </c>
      <c r="H842" vm="10027">
        <f ca="1"/>
        <v>256.91000000000003</v>
      </c>
      <c r="I842" vm="10028">
        <f ca="1"/>
        <v>61.792499999999997</v>
      </c>
      <c r="J842" vm="10029">
        <f ca="1"/>
        <v>15.34</v>
      </c>
      <c r="K842" vm="10030">
        <f ca="1"/>
        <v>7.1538000000000004</v>
      </c>
      <c r="L842" vm="10031">
        <f ca="1"/>
        <v>119.4</v>
      </c>
      <c r="M842" vm="10032">
        <f ca="1"/>
        <v>277.02</v>
      </c>
      <c r="N842" vm="10033">
        <f ca="1"/>
        <v>2799.31</v>
      </c>
    </row>
    <row r="843" spans="2:14" x14ac:dyDescent="0.35">
      <c r="B843" vm="10034">
        <f ca="1"/>
        <v>43944</v>
      </c>
      <c r="C843" vm="10035">
        <f ca="1"/>
        <v>63.558500000000002</v>
      </c>
      <c r="D843" vm="10036">
        <f ca="1"/>
        <v>119.9725</v>
      </c>
      <c r="E843" vm="10037">
        <f ca="1"/>
        <v>64.900000000000006</v>
      </c>
      <c r="F843" vm="10038">
        <f ca="1"/>
        <v>685.49</v>
      </c>
      <c r="G843" vm="10039">
        <f ca="1"/>
        <v>134.68</v>
      </c>
      <c r="H843" vm="10040">
        <f ca="1"/>
        <v>255.86</v>
      </c>
      <c r="I843" vm="8182">
        <f ca="1"/>
        <v>60.284999999999997</v>
      </c>
      <c r="J843" vm="10041">
        <f ca="1"/>
        <v>16.52</v>
      </c>
      <c r="K843" vm="10042">
        <f ca="1"/>
        <v>7.1002999999999998</v>
      </c>
      <c r="L843" vm="10031">
        <f ca="1"/>
        <v>119.4</v>
      </c>
      <c r="M843" vm="10043">
        <f ca="1"/>
        <v>285.33</v>
      </c>
      <c r="N843" vm="10044">
        <f ca="1"/>
        <v>2797.8</v>
      </c>
    </row>
    <row r="844" spans="2:14" x14ac:dyDescent="0.35">
      <c r="B844" vm="10045">
        <f ca="1"/>
        <v>43945</v>
      </c>
      <c r="C844" vm="1949">
        <f ca="1"/>
        <v>63.83</v>
      </c>
      <c r="D844" vm="10046">
        <f ca="1"/>
        <v>120.511</v>
      </c>
      <c r="E844" vm="10047">
        <f ca="1"/>
        <v>65.27</v>
      </c>
      <c r="F844" vm="10048">
        <f ca="1"/>
        <v>685.1</v>
      </c>
      <c r="G844" vm="10049">
        <f ca="1"/>
        <v>135.52000000000001</v>
      </c>
      <c r="H844" vm="10050">
        <f ca="1"/>
        <v>258.76</v>
      </c>
      <c r="I844" vm="10051">
        <f ca="1"/>
        <v>59.924999999999997</v>
      </c>
      <c r="J844" vm="10052">
        <f ca="1"/>
        <v>16.11</v>
      </c>
      <c r="K844" vm="10053">
        <f ca="1"/>
        <v>7.2397999999999998</v>
      </c>
      <c r="L844" vm="10054">
        <f ca="1"/>
        <v>118.78</v>
      </c>
      <c r="M844" vm="10055">
        <f ca="1"/>
        <v>291.29000000000002</v>
      </c>
      <c r="N844" vm="10056">
        <f ca="1"/>
        <v>2836.74</v>
      </c>
    </row>
    <row r="845" spans="2:14" x14ac:dyDescent="0.35">
      <c r="B845" vm="10057">
        <f ca="1"/>
        <v>43948</v>
      </c>
      <c r="C845" vm="10058">
        <f ca="1"/>
        <v>63.542999999999999</v>
      </c>
      <c r="D845" vm="10059">
        <f ca="1"/>
        <v>118.8</v>
      </c>
      <c r="E845" vm="10060">
        <f ca="1"/>
        <v>67.569999999999993</v>
      </c>
      <c r="F845" vm="10061">
        <f ca="1"/>
        <v>702</v>
      </c>
      <c r="G845" vm="6242">
        <f ca="1"/>
        <v>139.88</v>
      </c>
      <c r="H845" vm="10062">
        <f ca="1"/>
        <v>265.12</v>
      </c>
      <c r="I845" vm="10063">
        <f ca="1"/>
        <v>60.9</v>
      </c>
      <c r="J845" vm="10064">
        <f ca="1"/>
        <v>16.05</v>
      </c>
      <c r="K845" vm="10065">
        <f ca="1"/>
        <v>7.4269999999999996</v>
      </c>
      <c r="L845" vm="9735">
        <f ca="1"/>
        <v>117.45</v>
      </c>
      <c r="M845" vm="9109">
        <f ca="1"/>
        <v>293.98</v>
      </c>
      <c r="N845" vm="10066">
        <f ca="1"/>
        <v>2878.48</v>
      </c>
    </row>
    <row r="846" spans="2:14" x14ac:dyDescent="0.35">
      <c r="B846" vm="10067">
        <f ca="1"/>
        <v>43949</v>
      </c>
      <c r="C846" vm="10068">
        <f ca="1"/>
        <v>61.6295</v>
      </c>
      <c r="D846" vm="10069">
        <f ca="1"/>
        <v>115.70399999999999</v>
      </c>
      <c r="E846" vm="1788">
        <f ca="1"/>
        <v>67.010000000000005</v>
      </c>
      <c r="F846" vm="10070">
        <f ca="1"/>
        <v>683.76</v>
      </c>
      <c r="G846" vm="10071">
        <f ca="1"/>
        <v>142.76</v>
      </c>
      <c r="H846" vm="6550">
        <f ca="1"/>
        <v>264.60000000000002</v>
      </c>
      <c r="I846" vm="10072">
        <f ca="1"/>
        <v>59.825000000000003</v>
      </c>
      <c r="J846" vm="10073">
        <f ca="1"/>
        <v>16.149999999999999</v>
      </c>
      <c r="K846" vm="10074">
        <f ca="1"/>
        <v>7.2839999999999998</v>
      </c>
      <c r="L846" vm="10075">
        <f ca="1"/>
        <v>116.89</v>
      </c>
      <c r="M846" vm="10076">
        <f ca="1"/>
        <v>288.36</v>
      </c>
      <c r="N846" vm="10077">
        <f ca="1"/>
        <v>2863.39</v>
      </c>
    </row>
    <row r="847" spans="2:14" x14ac:dyDescent="0.35">
      <c r="B847" vm="10078">
        <f ca="1"/>
        <v>43950</v>
      </c>
      <c r="C847" vm="10079">
        <f ca="1"/>
        <v>67.108999999999995</v>
      </c>
      <c r="D847" vm="10080">
        <f ca="1"/>
        <v>118.63549999999999</v>
      </c>
      <c r="E847" vm="4586">
        <f ca="1"/>
        <v>66.81</v>
      </c>
      <c r="F847" vm="10081">
        <f ca="1"/>
        <v>679.32</v>
      </c>
      <c r="G847" vm="10082">
        <f ca="1"/>
        <v>146.16</v>
      </c>
      <c r="H847" vm="10083">
        <f ca="1"/>
        <v>283.69</v>
      </c>
      <c r="I847" vm="10084">
        <f ca="1"/>
        <v>58.782499999999999</v>
      </c>
      <c r="J847" vm="10085">
        <f ca="1"/>
        <v>18.2</v>
      </c>
      <c r="K847" vm="10086">
        <f ca="1"/>
        <v>7.4615</v>
      </c>
      <c r="L847" vm="10087">
        <f ca="1"/>
        <v>117.08</v>
      </c>
      <c r="M847" vm="10088">
        <f ca="1"/>
        <v>287.64999999999998</v>
      </c>
      <c r="N847" vm="10089">
        <f ca="1"/>
        <v>2939.51</v>
      </c>
    </row>
    <row r="848" spans="2:14" x14ac:dyDescent="0.35">
      <c r="B848" vm="10090">
        <f ca="1"/>
        <v>43951</v>
      </c>
      <c r="C848" vm="10091">
        <f ca="1"/>
        <v>67.334999999999994</v>
      </c>
      <c r="D848" vm="10092">
        <f ca="1"/>
        <v>123.7</v>
      </c>
      <c r="E848" vm="10093">
        <f ca="1"/>
        <v>65.59</v>
      </c>
      <c r="F848" vm="10094">
        <f ca="1"/>
        <v>675.2</v>
      </c>
      <c r="G848" vm="10095">
        <f ca="1"/>
        <v>141.9</v>
      </c>
      <c r="H848" vm="10096">
        <f ca="1"/>
        <v>274.97000000000003</v>
      </c>
      <c r="I848" vm="10097">
        <f ca="1"/>
        <v>57.78</v>
      </c>
      <c r="J848" vm="10098">
        <f ca="1"/>
        <v>16.82</v>
      </c>
      <c r="K848" vm="10099">
        <f ca="1"/>
        <v>7.3070000000000004</v>
      </c>
      <c r="L848" vm="10100">
        <f ca="1"/>
        <v>117.87</v>
      </c>
      <c r="M848" vm="10101">
        <f ca="1"/>
        <v>292.47000000000003</v>
      </c>
      <c r="N848" vm="10102">
        <f ca="1"/>
        <v>2912.43</v>
      </c>
    </row>
    <row r="849" spans="2:14" x14ac:dyDescent="0.35">
      <c r="B849" vm="10103">
        <f ca="1"/>
        <v>43952</v>
      </c>
      <c r="C849" vm="10104">
        <f ca="1"/>
        <v>65.866</v>
      </c>
      <c r="D849" vm="10105">
        <f ca="1"/>
        <v>114.30200000000001</v>
      </c>
      <c r="E849" vm="3531">
        <f ca="1"/>
        <v>65.61</v>
      </c>
      <c r="F849" vm="10106">
        <f ca="1"/>
        <v>670.85</v>
      </c>
      <c r="G849" vm="10107">
        <f ca="1"/>
        <v>137.25</v>
      </c>
      <c r="H849" vm="10108">
        <f ca="1"/>
        <v>268.74</v>
      </c>
      <c r="I849" vm="10109">
        <f ca="1"/>
        <v>56.762500000000003</v>
      </c>
      <c r="J849" vm="10110">
        <f ca="1"/>
        <v>15.75</v>
      </c>
      <c r="K849" vm="10111">
        <f ca="1"/>
        <v>7.0694999999999997</v>
      </c>
      <c r="L849" vm="10112">
        <f ca="1"/>
        <v>116.82</v>
      </c>
      <c r="M849" vm="10113">
        <f ca="1"/>
        <v>284.51</v>
      </c>
      <c r="N849" vm="10114">
        <f ca="1"/>
        <v>2830.71</v>
      </c>
    </row>
    <row r="850" spans="2:14" x14ac:dyDescent="0.35">
      <c r="B850" vm="10115">
        <f ca="1"/>
        <v>43955</v>
      </c>
      <c r="C850" vm="10116">
        <f ca="1"/>
        <v>66.144999999999996</v>
      </c>
      <c r="D850" vm="10117">
        <f ca="1"/>
        <v>115.79949999999999</v>
      </c>
      <c r="E850" vm="10118">
        <f ca="1"/>
        <v>66.150000000000006</v>
      </c>
      <c r="F850" vm="10119">
        <f ca="1"/>
        <v>675.97</v>
      </c>
      <c r="G850" vm="10120">
        <f ca="1"/>
        <v>135.19999999999999</v>
      </c>
      <c r="H850" vm="10121">
        <f ca="1"/>
        <v>269.26</v>
      </c>
      <c r="I850" vm="10122">
        <f ca="1"/>
        <v>57.522500000000001</v>
      </c>
      <c r="J850" vm="10123">
        <f ca="1"/>
        <v>16.23</v>
      </c>
      <c r="K850" vm="10124">
        <f ca="1"/>
        <v>7.2820999999999998</v>
      </c>
      <c r="L850" vm="10125">
        <f ca="1"/>
        <v>115.77</v>
      </c>
      <c r="M850" vm="10126">
        <f ca="1"/>
        <v>287.54000000000002</v>
      </c>
      <c r="N850" vm="10127">
        <f ca="1"/>
        <v>2842.74</v>
      </c>
    </row>
    <row r="851" spans="2:14" x14ac:dyDescent="0.35">
      <c r="B851" vm="10128">
        <f ca="1"/>
        <v>43956</v>
      </c>
      <c r="C851" vm="10129">
        <f ca="1"/>
        <v>67.450999999999993</v>
      </c>
      <c r="D851" vm="7713">
        <f ca="1"/>
        <v>115.89</v>
      </c>
      <c r="E851" vm="10130">
        <f ca="1"/>
        <v>66.260000000000005</v>
      </c>
      <c r="F851" vm="10131">
        <f ca="1"/>
        <v>686.39</v>
      </c>
      <c r="G851" vm="10132">
        <f ca="1"/>
        <v>134.87</v>
      </c>
      <c r="H851" vm="10133">
        <f ca="1"/>
        <v>273.98</v>
      </c>
      <c r="I851" vm="10134">
        <f ca="1"/>
        <v>57.524999999999999</v>
      </c>
      <c r="J851" vm="10135">
        <f ca="1"/>
        <v>16.25</v>
      </c>
      <c r="K851" vm="10136">
        <f ca="1"/>
        <v>7.3434999999999997</v>
      </c>
      <c r="L851" vm="10137">
        <f ca="1"/>
        <v>116.01</v>
      </c>
      <c r="M851" vm="10138">
        <f ca="1"/>
        <v>293.04000000000002</v>
      </c>
      <c r="N851" vm="10139">
        <f ca="1"/>
        <v>2868.44</v>
      </c>
    </row>
    <row r="852" spans="2:14" x14ac:dyDescent="0.35">
      <c r="B852" vm="10140">
        <f ca="1"/>
        <v>43957</v>
      </c>
      <c r="C852" vm="10141">
        <f ca="1"/>
        <v>67.271500000000003</v>
      </c>
      <c r="D852" vm="10142">
        <f ca="1"/>
        <v>117.563</v>
      </c>
      <c r="E852" vm="2157">
        <f ca="1"/>
        <v>65.72</v>
      </c>
      <c r="F852" vm="10143">
        <f ca="1"/>
        <v>684.19</v>
      </c>
      <c r="G852" vm="10144">
        <f ca="1"/>
        <v>133.04</v>
      </c>
      <c r="H852" vm="10145">
        <f ca="1"/>
        <v>272.44</v>
      </c>
      <c r="I852" vm="10146">
        <f ca="1"/>
        <v>55.664999999999999</v>
      </c>
      <c r="J852" vm="10147">
        <f ca="1"/>
        <v>15.82</v>
      </c>
      <c r="K852" vm="10148">
        <f ca="1"/>
        <v>7.4447999999999999</v>
      </c>
      <c r="L852" vm="10149">
        <f ca="1"/>
        <v>113.1</v>
      </c>
      <c r="M852" vm="10150">
        <f ca="1"/>
        <v>288.77</v>
      </c>
      <c r="N852" vm="10151">
        <f ca="1"/>
        <v>2848.42</v>
      </c>
    </row>
    <row r="853" spans="2:14" x14ac:dyDescent="0.35">
      <c r="B853" vm="10152">
        <f ca="1"/>
        <v>43958</v>
      </c>
      <c r="C853" vm="10153">
        <f ca="1"/>
        <v>68.463999999999999</v>
      </c>
      <c r="D853" vm="10154">
        <f ca="1"/>
        <v>118.3805</v>
      </c>
      <c r="E853" vm="1537">
        <f ca="1"/>
        <v>65.89</v>
      </c>
      <c r="F853" vm="10155">
        <f ca="1"/>
        <v>675.34</v>
      </c>
      <c r="G853" vm="10156">
        <f ca="1"/>
        <v>132.79</v>
      </c>
      <c r="H853" vm="10157">
        <f ca="1"/>
        <v>278.47000000000003</v>
      </c>
      <c r="I853" vm="10158">
        <f ca="1"/>
        <v>56.12</v>
      </c>
      <c r="J853" vm="10159">
        <f ca="1"/>
        <v>16.73</v>
      </c>
      <c r="K853" vm="10160">
        <f ca="1"/>
        <v>7.6218000000000004</v>
      </c>
      <c r="L853" vm="10161">
        <f ca="1"/>
        <v>112.17</v>
      </c>
      <c r="M853" vm="10162">
        <f ca="1"/>
        <v>285</v>
      </c>
      <c r="N853" vm="10163">
        <f ca="1"/>
        <v>2881.19</v>
      </c>
    </row>
    <row r="854" spans="2:14" x14ac:dyDescent="0.35">
      <c r="B854" vm="10164">
        <f ca="1"/>
        <v>43959</v>
      </c>
      <c r="C854" vm="10165">
        <f ca="1"/>
        <v>69.216999999999999</v>
      </c>
      <c r="D854" vm="10166">
        <f ca="1"/>
        <v>118.98050000000001</v>
      </c>
      <c r="E854" vm="2969">
        <f ca="1"/>
        <v>64.56</v>
      </c>
      <c r="F854" vm="10167">
        <f ca="1"/>
        <v>678.16</v>
      </c>
      <c r="G854" vm="10168">
        <f ca="1"/>
        <v>136.91</v>
      </c>
      <c r="H854" vm="10169">
        <f ca="1"/>
        <v>282.44</v>
      </c>
      <c r="I854" vm="10170">
        <f ca="1"/>
        <v>57.432499999999997</v>
      </c>
      <c r="J854" vm="10171">
        <f ca="1"/>
        <v>18.05</v>
      </c>
      <c r="K854" vm="10172">
        <f ca="1"/>
        <v>7.8125</v>
      </c>
      <c r="L854" vm="9945">
        <f ca="1"/>
        <v>115.95</v>
      </c>
      <c r="M854" vm="10173">
        <f ca="1"/>
        <v>287</v>
      </c>
      <c r="N854" vm="10174">
        <f ca="1"/>
        <v>2929.8</v>
      </c>
    </row>
    <row r="855" spans="2:14" x14ac:dyDescent="0.35">
      <c r="B855" vm="10175">
        <f ca="1"/>
        <v>43962</v>
      </c>
      <c r="C855" vm="10176">
        <f ca="1"/>
        <v>70.179500000000004</v>
      </c>
      <c r="D855" vm="10177">
        <f ca="1"/>
        <v>120.45</v>
      </c>
      <c r="E855" vm="2594">
        <f ca="1"/>
        <v>63.37</v>
      </c>
      <c r="F855" vm="10178">
        <f ca="1"/>
        <v>678</v>
      </c>
      <c r="G855" vm="10179">
        <f ca="1"/>
        <v>134.28</v>
      </c>
      <c r="H855" vm="10180">
        <f ca="1"/>
        <v>281.23</v>
      </c>
      <c r="I855" vm="10181">
        <f ca="1"/>
        <v>56.844999999999999</v>
      </c>
      <c r="J855" vm="10182">
        <f ca="1"/>
        <v>17.36</v>
      </c>
      <c r="K855" vm="10183">
        <f ca="1"/>
        <v>8.0655000000000001</v>
      </c>
      <c r="L855" vm="10184">
        <f ca="1"/>
        <v>115.31</v>
      </c>
      <c r="M855" vm="10185">
        <f ca="1"/>
        <v>288.69</v>
      </c>
      <c r="N855" vm="10186">
        <f ca="1"/>
        <v>2930.32</v>
      </c>
    </row>
    <row r="856" spans="2:14" x14ac:dyDescent="0.35">
      <c r="B856" vm="10187">
        <f ca="1"/>
        <v>43963</v>
      </c>
      <c r="C856" vm="10188">
        <f ca="1"/>
        <v>68.759</v>
      </c>
      <c r="D856" vm="10189">
        <f ca="1"/>
        <v>117.8475</v>
      </c>
      <c r="E856" vm="2840">
        <f ca="1"/>
        <v>61.93</v>
      </c>
      <c r="F856" vm="10190">
        <f ca="1"/>
        <v>663.65</v>
      </c>
      <c r="G856" vm="10191">
        <f ca="1"/>
        <v>127.59</v>
      </c>
      <c r="H856" vm="10192">
        <f ca="1"/>
        <v>272.11</v>
      </c>
      <c r="I856" vm="10193">
        <f ca="1"/>
        <v>56.982500000000002</v>
      </c>
      <c r="J856" vm="10194">
        <f ca="1"/>
        <v>17.079999999999998</v>
      </c>
      <c r="K856" vm="10195">
        <f ca="1"/>
        <v>7.8025000000000002</v>
      </c>
      <c r="L856" vm="10196">
        <f ca="1"/>
        <v>114.55</v>
      </c>
      <c r="M856" vm="10197">
        <f ca="1"/>
        <v>287.7</v>
      </c>
      <c r="N856" vm="10198">
        <f ca="1"/>
        <v>2870.12</v>
      </c>
    </row>
    <row r="857" spans="2:14" x14ac:dyDescent="0.35">
      <c r="B857" vm="10199">
        <f ca="1"/>
        <v>43964</v>
      </c>
      <c r="C857" vm="10200">
        <f ca="1"/>
        <v>67.416499999999999</v>
      </c>
      <c r="D857" vm="10201">
        <f ca="1"/>
        <v>118.396</v>
      </c>
      <c r="E857" vm="5333">
        <f ca="1"/>
        <v>61.17</v>
      </c>
      <c r="F857" vm="10202">
        <f ca="1"/>
        <v>678.8</v>
      </c>
      <c r="G857" vm="10203">
        <f ca="1"/>
        <v>122.97</v>
      </c>
      <c r="H857" vm="10204">
        <f ca="1"/>
        <v>269.16000000000003</v>
      </c>
      <c r="I857" vm="10205">
        <f ca="1"/>
        <v>57.53</v>
      </c>
      <c r="J857" vm="10206">
        <f ca="1"/>
        <v>15.85</v>
      </c>
      <c r="K857" vm="10207">
        <f ca="1"/>
        <v>7.78</v>
      </c>
      <c r="L857" vm="10208">
        <f ca="1"/>
        <v>113.92</v>
      </c>
      <c r="M857" vm="10209">
        <f ca="1"/>
        <v>278</v>
      </c>
      <c r="N857" vm="10210">
        <f ca="1"/>
        <v>2820</v>
      </c>
    </row>
    <row r="858" spans="2:14" x14ac:dyDescent="0.35">
      <c r="B858" vm="10211">
        <f ca="1"/>
        <v>43965</v>
      </c>
      <c r="C858" vm="10212">
        <f ca="1"/>
        <v>67.843000000000004</v>
      </c>
      <c r="D858" vm="10213">
        <f ca="1"/>
        <v>119.4425</v>
      </c>
      <c r="E858" vm="7244">
        <f ca="1"/>
        <v>62.04</v>
      </c>
      <c r="F858" vm="10214">
        <f ca="1"/>
        <v>659.26</v>
      </c>
      <c r="G858" vm="10215">
        <f ca="1"/>
        <v>127.05</v>
      </c>
      <c r="H858" vm="10216">
        <f ca="1"/>
        <v>277.31</v>
      </c>
      <c r="I858" vm="8885">
        <f ca="1"/>
        <v>58.057499999999997</v>
      </c>
      <c r="J858" vm="10217">
        <f ca="1"/>
        <v>16.100000000000001</v>
      </c>
      <c r="K858" vm="10218">
        <f ca="1"/>
        <v>8.0305</v>
      </c>
      <c r="L858" vm="10219">
        <f ca="1"/>
        <v>113.81</v>
      </c>
      <c r="M858" vm="10220">
        <f ca="1"/>
        <v>290.61</v>
      </c>
      <c r="N858" vm="10221">
        <f ca="1"/>
        <v>2852.5</v>
      </c>
    </row>
    <row r="859" spans="2:14" x14ac:dyDescent="0.35">
      <c r="B859" vm="10222">
        <f ca="1"/>
        <v>43966</v>
      </c>
      <c r="C859" vm="10223">
        <f ca="1"/>
        <v>68.653000000000006</v>
      </c>
      <c r="D859" vm="10224">
        <f ca="1"/>
        <v>120.489</v>
      </c>
      <c r="E859" vm="10225">
        <f ca="1"/>
        <v>62.23</v>
      </c>
      <c r="F859" vm="10226">
        <f ca="1"/>
        <v>658.66</v>
      </c>
      <c r="G859" vm="10227">
        <f ca="1"/>
        <v>125.41</v>
      </c>
      <c r="H859" vm="10228">
        <f ca="1"/>
        <v>278.94</v>
      </c>
      <c r="I859" vm="10229">
        <f ca="1"/>
        <v>56.962499999999999</v>
      </c>
      <c r="J859" vm="9943">
        <f ca="1"/>
        <v>15.95</v>
      </c>
      <c r="K859" vm="10230">
        <f ca="1"/>
        <v>8.4908000000000001</v>
      </c>
      <c r="L859" vm="10231">
        <f ca="1"/>
        <v>114.61</v>
      </c>
      <c r="M859" vm="10232">
        <f ca="1"/>
        <v>290.95999999999998</v>
      </c>
      <c r="N859" vm="10233">
        <f ca="1"/>
        <v>2863.7</v>
      </c>
    </row>
    <row r="860" spans="2:14" x14ac:dyDescent="0.35">
      <c r="B860" vm="10234">
        <f ca="1"/>
        <v>43969</v>
      </c>
      <c r="C860" vm="10235">
        <f ca="1"/>
        <v>69.259</v>
      </c>
      <c r="D860" vm="10236">
        <f ca="1"/>
        <v>121.313</v>
      </c>
      <c r="E860" vm="10237">
        <f ca="1"/>
        <v>64.349999999999994</v>
      </c>
      <c r="F860" vm="10238">
        <f ca="1"/>
        <v>662.38</v>
      </c>
      <c r="G860" vm="10239">
        <f ca="1"/>
        <v>136.04</v>
      </c>
      <c r="H860" vm="10240">
        <f ca="1"/>
        <v>289.89999999999998</v>
      </c>
      <c r="I860" vm="10241">
        <f ca="1"/>
        <v>58.862499999999997</v>
      </c>
      <c r="J860" vm="10242">
        <f ca="1"/>
        <v>17.95</v>
      </c>
      <c r="K860" vm="10243">
        <f ca="1"/>
        <v>8.7502999999999993</v>
      </c>
      <c r="L860" vm="10244">
        <f ca="1"/>
        <v>116.21</v>
      </c>
      <c r="M860" vm="10245">
        <f ca="1"/>
        <v>293.36</v>
      </c>
      <c r="N860" vm="10246">
        <f ca="1"/>
        <v>2953.91</v>
      </c>
    </row>
    <row r="861" spans="2:14" x14ac:dyDescent="0.35">
      <c r="B861" vm="10247">
        <f ca="1"/>
        <v>43970</v>
      </c>
      <c r="C861" vm="10248">
        <f ca="1"/>
        <v>68.72</v>
      </c>
      <c r="D861" vm="10249">
        <f ca="1"/>
        <v>122.4665</v>
      </c>
      <c r="E861" vm="2646">
        <f ca="1"/>
        <v>64.28</v>
      </c>
      <c r="F861" vm="10250">
        <f ca="1"/>
        <v>650.13</v>
      </c>
      <c r="G861" vm="10251">
        <f ca="1"/>
        <v>131.94999999999999</v>
      </c>
      <c r="H861" vm="9623">
        <f ca="1"/>
        <v>290.73</v>
      </c>
      <c r="I861" vm="10252">
        <f ca="1"/>
        <v>57.625</v>
      </c>
      <c r="J861" vm="10253">
        <f ca="1"/>
        <v>17.11</v>
      </c>
      <c r="K861" vm="10254">
        <f ca="1"/>
        <v>8.8055000000000003</v>
      </c>
      <c r="L861" vm="10255">
        <f ca="1"/>
        <v>112.44</v>
      </c>
      <c r="M861" vm="10256">
        <f ca="1"/>
        <v>289.05</v>
      </c>
      <c r="N861" vm="10257">
        <f ca="1"/>
        <v>2922.94</v>
      </c>
    </row>
    <row r="862" spans="2:14" x14ac:dyDescent="0.35">
      <c r="B862" vm="10258">
        <f ca="1"/>
        <v>43971</v>
      </c>
      <c r="C862" vm="10259">
        <f ca="1"/>
        <v>70.457999999999998</v>
      </c>
      <c r="D862" vm="10260">
        <f ca="1"/>
        <v>124.89700000000001</v>
      </c>
      <c r="E862" vm="9000">
        <f ca="1"/>
        <v>64.19</v>
      </c>
      <c r="F862" vm="10261">
        <f ca="1"/>
        <v>655.48</v>
      </c>
      <c r="G862" vm="10262">
        <f ca="1"/>
        <v>136.03</v>
      </c>
      <c r="H862" vm="10263">
        <f ca="1"/>
        <v>298.8</v>
      </c>
      <c r="I862" vm="10264">
        <f ca="1"/>
        <v>58.197499999999998</v>
      </c>
      <c r="J862" vm="10265">
        <f ca="1"/>
        <v>18.21</v>
      </c>
      <c r="K862" vm="10266">
        <f ca="1"/>
        <v>8.9700000000000006</v>
      </c>
      <c r="L862" vm="10267">
        <f ca="1"/>
        <v>113.28</v>
      </c>
      <c r="M862" vm="10268">
        <f ca="1"/>
        <v>287.99</v>
      </c>
      <c r="N862" vm="10269">
        <f ca="1"/>
        <v>2971.61</v>
      </c>
    </row>
    <row r="863" spans="2:14" x14ac:dyDescent="0.35">
      <c r="B863" vm="10270">
        <f ca="1"/>
        <v>43972</v>
      </c>
      <c r="C863" vm="10271">
        <f ca="1"/>
        <v>70.337500000000006</v>
      </c>
      <c r="D863" vm="10272">
        <f ca="1"/>
        <v>122.337</v>
      </c>
      <c r="E863" vm="10273">
        <f ca="1"/>
        <v>64.040000000000006</v>
      </c>
      <c r="F863" vm="10274">
        <f ca="1"/>
        <v>644.4</v>
      </c>
      <c r="G863" vm="10275">
        <f ca="1"/>
        <v>137.69</v>
      </c>
      <c r="H863" vm="10276">
        <f ca="1"/>
        <v>294.26</v>
      </c>
      <c r="I863" vm="8478">
        <f ca="1"/>
        <v>57.225000000000001</v>
      </c>
      <c r="J863" vm="10277">
        <f ca="1"/>
        <v>17.79</v>
      </c>
      <c r="K863" vm="10278">
        <f ca="1"/>
        <v>8.7752999999999997</v>
      </c>
      <c r="L863" vm="10279">
        <f ca="1"/>
        <v>111.62</v>
      </c>
      <c r="M863" vm="10280">
        <f ca="1"/>
        <v>286.91000000000003</v>
      </c>
      <c r="N863" vm="10281">
        <f ca="1"/>
        <v>2948.51</v>
      </c>
    </row>
    <row r="864" spans="2:14" x14ac:dyDescent="0.35">
      <c r="B864" vm="10282">
        <f ca="1"/>
        <v>43973</v>
      </c>
      <c r="C864" vm="10283">
        <f ca="1"/>
        <v>70.662000000000006</v>
      </c>
      <c r="D864" vm="10284">
        <f ca="1"/>
        <v>121.84399999999999</v>
      </c>
      <c r="E864" vm="10285">
        <f ca="1"/>
        <v>64.510000000000005</v>
      </c>
      <c r="F864" vm="10286">
        <f ca="1"/>
        <v>670.02</v>
      </c>
      <c r="G864" vm="10287">
        <f ca="1"/>
        <v>139.18</v>
      </c>
      <c r="H864" vm="10288">
        <f ca="1"/>
        <v>294.91000000000003</v>
      </c>
      <c r="I864" vm="10289">
        <f ca="1"/>
        <v>58.462499999999999</v>
      </c>
      <c r="J864" vm="10290">
        <f ca="1"/>
        <v>17.579999999999998</v>
      </c>
      <c r="K864" vm="10291">
        <f ca="1"/>
        <v>9.0263000000000009</v>
      </c>
      <c r="L864" vm="7784">
        <f ca="1"/>
        <v>112.6</v>
      </c>
      <c r="M864" vm="10292">
        <f ca="1"/>
        <v>289.94</v>
      </c>
      <c r="N864" vm="10293">
        <f ca="1"/>
        <v>2955.45</v>
      </c>
    </row>
    <row r="865" spans="2:14" x14ac:dyDescent="0.35">
      <c r="B865" vm="10294">
        <f ca="1"/>
        <v>43977</v>
      </c>
      <c r="C865" vm="10295">
        <f ca="1"/>
        <v>71.0685</v>
      </c>
      <c r="D865" vm="10296">
        <f ca="1"/>
        <v>121.093</v>
      </c>
      <c r="E865" vm="10297">
        <f ca="1"/>
        <v>66.540000000000006</v>
      </c>
      <c r="F865" vm="10298">
        <f ca="1"/>
        <v>658.01</v>
      </c>
      <c r="G865" vm="10299">
        <f ca="1"/>
        <v>144.94</v>
      </c>
      <c r="H865" vm="10300">
        <f ca="1"/>
        <v>303.33</v>
      </c>
      <c r="I865" vm="10301">
        <f ca="1"/>
        <v>58.577500000000001</v>
      </c>
      <c r="J865" vm="10302">
        <f ca="1"/>
        <v>18.399999999999999</v>
      </c>
      <c r="K865" vm="10303">
        <f ca="1"/>
        <v>8.7178000000000004</v>
      </c>
      <c r="L865" vm="10304">
        <f ca="1"/>
        <v>112.03</v>
      </c>
      <c r="M865" vm="10305">
        <f ca="1"/>
        <v>294.89</v>
      </c>
      <c r="N865" vm="10306">
        <f ca="1"/>
        <v>2991.77</v>
      </c>
    </row>
    <row r="866" spans="2:14" x14ac:dyDescent="0.35">
      <c r="B866" vm="10307">
        <f ca="1"/>
        <v>43978</v>
      </c>
      <c r="C866" vm="10308">
        <f ca="1"/>
        <v>71.013999999999996</v>
      </c>
      <c r="D866" vm="10309">
        <f ca="1"/>
        <v>120.51949999999999</v>
      </c>
      <c r="E866" vm="1838">
        <f ca="1"/>
        <v>68.599999999999994</v>
      </c>
      <c r="F866" vm="10310">
        <f ca="1"/>
        <v>675.54</v>
      </c>
      <c r="G866" vm="10311">
        <f ca="1"/>
        <v>148.59</v>
      </c>
      <c r="H866" vm="10312">
        <f ca="1"/>
        <v>299.77</v>
      </c>
      <c r="I866" vm="10313">
        <f ca="1"/>
        <v>60.282499999999999</v>
      </c>
      <c r="J866" vm="10314">
        <f ca="1"/>
        <v>19.05</v>
      </c>
      <c r="K866" vm="10315">
        <f ca="1"/>
        <v>8.5252999999999997</v>
      </c>
      <c r="L866" vm="10316">
        <f ca="1"/>
        <v>113.89</v>
      </c>
      <c r="M866" vm="10317">
        <f ca="1"/>
        <v>303.77</v>
      </c>
      <c r="N866" vm="10318">
        <f ca="1"/>
        <v>3036.13</v>
      </c>
    </row>
    <row r="867" spans="2:14" x14ac:dyDescent="0.35">
      <c r="B867" vm="10319">
        <f ca="1"/>
        <v>43979</v>
      </c>
      <c r="C867" vm="10320">
        <f ca="1"/>
        <v>70.912000000000006</v>
      </c>
      <c r="D867" vm="10321">
        <f ca="1"/>
        <v>120.05500000000001</v>
      </c>
      <c r="E867" vm="10322">
        <f ca="1"/>
        <v>70.55</v>
      </c>
      <c r="F867" vm="10323">
        <f ca="1"/>
        <v>693.35</v>
      </c>
      <c r="G867" vm="10324">
        <f ca="1"/>
        <v>147.56</v>
      </c>
      <c r="H867" vm="10325">
        <f ca="1"/>
        <v>302.3</v>
      </c>
      <c r="I867" vm="10326">
        <f ca="1"/>
        <v>62.84</v>
      </c>
      <c r="J867" vm="10327">
        <f ca="1"/>
        <v>18.79</v>
      </c>
      <c r="K867" vm="10328">
        <f ca="1"/>
        <v>8.4870000000000001</v>
      </c>
      <c r="L867" vm="9651">
        <f ca="1"/>
        <v>116.06</v>
      </c>
      <c r="M867" vm="10329">
        <f ca="1"/>
        <v>303.97000000000003</v>
      </c>
      <c r="N867" vm="10330">
        <f ca="1"/>
        <v>3029.73</v>
      </c>
    </row>
    <row r="868" spans="2:14" x14ac:dyDescent="0.35">
      <c r="B868" vm="10331">
        <f ca="1"/>
        <v>43980</v>
      </c>
      <c r="C868" vm="10332">
        <f ca="1"/>
        <v>71.676000000000002</v>
      </c>
      <c r="D868" vm="10333">
        <f ca="1"/>
        <v>122.1185</v>
      </c>
      <c r="E868" vm="10334">
        <f ca="1"/>
        <v>71.260000000000005</v>
      </c>
      <c r="F868" vm="10335">
        <f ca="1"/>
        <v>697.63</v>
      </c>
      <c r="G868" vm="10336">
        <f ca="1"/>
        <v>145.85</v>
      </c>
      <c r="H868" vm="10337">
        <f ca="1"/>
        <v>300.89</v>
      </c>
      <c r="I868" vm="10338">
        <f ca="1"/>
        <v>63.89</v>
      </c>
      <c r="J868" vm="10339">
        <f ca="1"/>
        <v>18.47</v>
      </c>
      <c r="K868" vm="10340">
        <f ca="1"/>
        <v>8.8755000000000006</v>
      </c>
      <c r="L868" vm="10341">
        <f ca="1"/>
        <v>115.92</v>
      </c>
      <c r="M868" vm="10342">
        <f ca="1"/>
        <v>304.85000000000002</v>
      </c>
      <c r="N868" vm="10343">
        <f ca="1"/>
        <v>3044.31</v>
      </c>
    </row>
    <row r="869" spans="2:14" x14ac:dyDescent="0.35">
      <c r="B869" vm="10344">
        <f ca="1"/>
        <v>43983</v>
      </c>
      <c r="C869" vm="10345">
        <f ca="1"/>
        <v>71.743499999999997</v>
      </c>
      <c r="D869" vm="10346">
        <f ca="1"/>
        <v>123.55200000000001</v>
      </c>
      <c r="E869" vm="10347">
        <f ca="1"/>
        <v>71.17</v>
      </c>
      <c r="F869" vm="10348">
        <f ca="1"/>
        <v>710.17</v>
      </c>
      <c r="G869" vm="10349">
        <f ca="1"/>
        <v>146.18</v>
      </c>
      <c r="H869" vm="10350">
        <f ca="1"/>
        <v>301.39999999999998</v>
      </c>
      <c r="I869" vm="10351">
        <f ca="1"/>
        <v>63.912500000000001</v>
      </c>
      <c r="J869" vm="10352">
        <f ca="1"/>
        <v>18.43</v>
      </c>
      <c r="K869" vm="10353">
        <f ca="1"/>
        <v>8.8063000000000002</v>
      </c>
      <c r="L869" vm="7956">
        <f ca="1"/>
        <v>117.25</v>
      </c>
      <c r="M869" vm="10354">
        <f ca="1"/>
        <v>305.93</v>
      </c>
      <c r="N869" vm="10355">
        <f ca="1"/>
        <v>3055.73</v>
      </c>
    </row>
    <row r="870" spans="2:14" x14ac:dyDescent="0.35">
      <c r="B870" vm="10356">
        <f ca="1"/>
        <v>43984</v>
      </c>
      <c r="C870" vm="10357">
        <f ca="1"/>
        <v>72.115499999999997</v>
      </c>
      <c r="D870" vm="10358">
        <f ca="1"/>
        <v>123.62050000000001</v>
      </c>
      <c r="E870" vm="4156">
        <f ca="1"/>
        <v>71.98</v>
      </c>
      <c r="F870" vm="10359">
        <f ca="1"/>
        <v>696.69</v>
      </c>
      <c r="G870" vm="2875">
        <f ca="1"/>
        <v>148.35</v>
      </c>
      <c r="H870" vm="10360">
        <f ca="1"/>
        <v>303.58999999999997</v>
      </c>
      <c r="I870" vm="10361">
        <f ca="1"/>
        <v>64.150000000000006</v>
      </c>
      <c r="J870" vm="10362">
        <f ca="1"/>
        <v>18.86</v>
      </c>
      <c r="K870" vm="10363">
        <f ca="1"/>
        <v>8.8253000000000004</v>
      </c>
      <c r="L870" vm="10364">
        <f ca="1"/>
        <v>118.06</v>
      </c>
      <c r="M870" vm="10365">
        <f ca="1"/>
        <v>306.31</v>
      </c>
      <c r="N870" vm="10366">
        <f ca="1"/>
        <v>3080.82</v>
      </c>
    </row>
    <row r="871" spans="2:14" x14ac:dyDescent="0.35">
      <c r="B871" vm="10367">
        <f ca="1"/>
        <v>43985</v>
      </c>
      <c r="C871" vm="10368">
        <f ca="1"/>
        <v>71.962500000000006</v>
      </c>
      <c r="D871" vm="10369">
        <f ca="1"/>
        <v>123.92</v>
      </c>
      <c r="E871" vm="7886">
        <f ca="1"/>
        <v>73.95</v>
      </c>
      <c r="F871" vm="10370">
        <f ca="1"/>
        <v>688.99</v>
      </c>
      <c r="G871" vm="10371">
        <f ca="1"/>
        <v>153.35</v>
      </c>
      <c r="H871" vm="10372">
        <f ca="1"/>
        <v>307.07</v>
      </c>
      <c r="I871" vm="10373">
        <f ca="1"/>
        <v>64.894999999999996</v>
      </c>
      <c r="J871" vm="10374">
        <f ca="1"/>
        <v>19.61</v>
      </c>
      <c r="K871" vm="10375">
        <f ca="1"/>
        <v>8.7695000000000007</v>
      </c>
      <c r="L871" vm="10376">
        <f ca="1"/>
        <v>118.53</v>
      </c>
      <c r="M871" vm="10377">
        <f ca="1"/>
        <v>305.35000000000002</v>
      </c>
      <c r="N871" vm="10378">
        <f ca="1"/>
        <v>3122.87</v>
      </c>
    </row>
    <row r="872" spans="2:14" x14ac:dyDescent="0.35">
      <c r="B872" vm="10379">
        <f ca="1"/>
        <v>43986</v>
      </c>
      <c r="C872" vm="10380">
        <f ca="1"/>
        <v>70.715000000000003</v>
      </c>
      <c r="D872" vm="10381">
        <f ca="1"/>
        <v>123.03</v>
      </c>
      <c r="E872" vm="10382">
        <f ca="1"/>
        <v>75.400000000000006</v>
      </c>
      <c r="F872" vm="10383">
        <f ca="1"/>
        <v>665.18</v>
      </c>
      <c r="G872" vm="10384">
        <f ca="1"/>
        <v>155.91</v>
      </c>
      <c r="H872" vm="10385">
        <f ca="1"/>
        <v>301.37</v>
      </c>
      <c r="I872" vm="10386">
        <f ca="1"/>
        <v>62.972499999999997</v>
      </c>
      <c r="J872" vm="10387">
        <f ca="1"/>
        <v>20.329999999999998</v>
      </c>
      <c r="K872" vm="10388">
        <f ca="1"/>
        <v>8.7665000000000006</v>
      </c>
      <c r="L872" vm="10389">
        <f ca="1"/>
        <v>116.05</v>
      </c>
      <c r="M872" vm="10390">
        <f ca="1"/>
        <v>298.08</v>
      </c>
      <c r="N872" vm="10391">
        <f ca="1"/>
        <v>3112.35</v>
      </c>
    </row>
    <row r="873" spans="2:14" x14ac:dyDescent="0.35">
      <c r="B873" vm="10392">
        <f ca="1"/>
        <v>43987</v>
      </c>
      <c r="C873" vm="10393">
        <f ca="1"/>
        <v>72.001000000000005</v>
      </c>
      <c r="D873" vm="10394">
        <f ca="1"/>
        <v>124.15</v>
      </c>
      <c r="E873" vm="10395">
        <f ca="1"/>
        <v>73.930000000000007</v>
      </c>
      <c r="F873" vm="10396">
        <f ca="1"/>
        <v>673.5</v>
      </c>
      <c r="G873" vm="10397">
        <f ca="1"/>
        <v>161.37</v>
      </c>
      <c r="H873" vm="10398">
        <f ca="1"/>
        <v>311.88</v>
      </c>
      <c r="I873" vm="10399">
        <f ca="1"/>
        <v>63.594999999999999</v>
      </c>
      <c r="J873" vm="10400">
        <f ca="1"/>
        <v>21.99</v>
      </c>
      <c r="K873" vm="10401">
        <f ca="1"/>
        <v>8.92</v>
      </c>
      <c r="L873" vm="10402">
        <f ca="1"/>
        <v>118.33</v>
      </c>
      <c r="M873" vm="10403">
        <f ca="1"/>
        <v>311.85000000000002</v>
      </c>
      <c r="N873" vm="10404">
        <f ca="1"/>
        <v>3193.93</v>
      </c>
    </row>
    <row r="874" spans="2:14" x14ac:dyDescent="0.35">
      <c r="B874" vm="10405">
        <f ca="1"/>
        <v>43990</v>
      </c>
      <c r="C874" vm="10406">
        <f ca="1"/>
        <v>72.402000000000001</v>
      </c>
      <c r="D874" vm="10407">
        <f ca="1"/>
        <v>126.203</v>
      </c>
      <c r="E874" vm="10408">
        <f ca="1"/>
        <v>74.08</v>
      </c>
      <c r="F874" vm="10409">
        <f ca="1"/>
        <v>676.24</v>
      </c>
      <c r="G874" vm="10410">
        <f ca="1"/>
        <v>162.91999999999999</v>
      </c>
      <c r="H874" vm="10411">
        <f ca="1"/>
        <v>310.41000000000003</v>
      </c>
      <c r="I874" vm="10412">
        <f ca="1"/>
        <v>65.12</v>
      </c>
      <c r="J874" vm="10413">
        <f ca="1"/>
        <v>23.65</v>
      </c>
      <c r="K874" vm="10414">
        <f ca="1"/>
        <v>8.8049999999999997</v>
      </c>
      <c r="L874" vm="10415">
        <f ca="1"/>
        <v>119.05</v>
      </c>
      <c r="M874" vm="10416">
        <f ca="1"/>
        <v>309.48</v>
      </c>
      <c r="N874" vm="10417">
        <f ca="1"/>
        <v>3232.39</v>
      </c>
    </row>
    <row r="875" spans="2:14" x14ac:dyDescent="0.35">
      <c r="B875" vm="10418">
        <f ca="1"/>
        <v>43991</v>
      </c>
      <c r="C875" vm="10419">
        <f ca="1"/>
        <v>72.603999999999999</v>
      </c>
      <c r="D875" vm="10420">
        <f ca="1"/>
        <v>130.04300000000001</v>
      </c>
      <c r="E875" vm="10421">
        <f ca="1"/>
        <v>72.44</v>
      </c>
      <c r="F875" vm="10422">
        <f ca="1"/>
        <v>691.22</v>
      </c>
      <c r="G875" vm="10423">
        <f ca="1"/>
        <v>158.1</v>
      </c>
      <c r="H875" vm="10424">
        <f ca="1"/>
        <v>311.49</v>
      </c>
      <c r="I875" vm="10425">
        <f ca="1"/>
        <v>64.667500000000004</v>
      </c>
      <c r="J875" vm="10426">
        <f ca="1"/>
        <v>22.51</v>
      </c>
      <c r="K875" vm="10427">
        <f ca="1"/>
        <v>9.0459999999999994</v>
      </c>
      <c r="L875" vm="10428">
        <f ca="1"/>
        <v>118.34</v>
      </c>
      <c r="M875" vm="10429">
        <f ca="1"/>
        <v>309.20999999999998</v>
      </c>
      <c r="N875" vm="10430">
        <f ca="1"/>
        <v>3207.18</v>
      </c>
    </row>
    <row r="876" spans="2:14" x14ac:dyDescent="0.35">
      <c r="B876" vm="10431">
        <f ca="1"/>
        <v>43992</v>
      </c>
      <c r="C876" vm="10432">
        <f ca="1"/>
        <v>73.234999999999999</v>
      </c>
      <c r="D876" vm="10433">
        <f ca="1"/>
        <v>132.3725</v>
      </c>
      <c r="E876" vm="10434">
        <f ca="1"/>
        <v>72.819999999999993</v>
      </c>
      <c r="F876" vm="10435">
        <f ca="1"/>
        <v>695.53</v>
      </c>
      <c r="G876" vm="10436">
        <f ca="1"/>
        <v>154.12</v>
      </c>
      <c r="H876" vm="10437">
        <f ca="1"/>
        <v>313.14999999999998</v>
      </c>
      <c r="I876" vm="10438">
        <f ca="1"/>
        <v>64.197500000000005</v>
      </c>
      <c r="J876" vm="10439">
        <f ca="1"/>
        <v>20.96</v>
      </c>
      <c r="K876" vm="10440">
        <f ca="1"/>
        <v>9.3667999999999996</v>
      </c>
      <c r="L876" vm="10441">
        <f ca="1"/>
        <v>119.23</v>
      </c>
      <c r="M876" vm="10442">
        <f ca="1"/>
        <v>305.75</v>
      </c>
      <c r="N876" vm="10443">
        <f ca="1"/>
        <v>3190.14</v>
      </c>
    </row>
    <row r="877" spans="2:14" x14ac:dyDescent="0.35">
      <c r="B877" vm="10444">
        <f ca="1"/>
        <v>43993</v>
      </c>
      <c r="C877" vm="10445">
        <f ca="1"/>
        <v>70.094999999999999</v>
      </c>
      <c r="D877" vm="10446">
        <f ca="1"/>
        <v>127.898</v>
      </c>
      <c r="E877" vm="10447">
        <f ca="1"/>
        <v>67.16</v>
      </c>
      <c r="F877" vm="10448">
        <f ca="1"/>
        <v>660.7</v>
      </c>
      <c r="G877" vm="10449">
        <f ca="1"/>
        <v>143.44</v>
      </c>
      <c r="H877" vm="10450">
        <f ca="1"/>
        <v>291.25</v>
      </c>
      <c r="I877" vm="10451">
        <f ca="1"/>
        <v>62.082500000000003</v>
      </c>
      <c r="J877" vm="10452">
        <f ca="1"/>
        <v>18.510000000000002</v>
      </c>
      <c r="K877" vm="10453">
        <f ca="1"/>
        <v>8.7963000000000005</v>
      </c>
      <c r="L877" vm="10454">
        <f ca="1"/>
        <v>116.26</v>
      </c>
      <c r="M877" vm="10455">
        <f ca="1"/>
        <v>283.73</v>
      </c>
      <c r="N877" vm="10456">
        <f ca="1"/>
        <v>3002.1</v>
      </c>
    </row>
    <row r="878" spans="2:14" x14ac:dyDescent="0.35">
      <c r="B878" vm="10457">
        <f ca="1"/>
        <v>43994</v>
      </c>
      <c r="C878" vm="10458">
        <f ca="1"/>
        <v>70.646000000000001</v>
      </c>
      <c r="D878" vm="10459">
        <f ca="1"/>
        <v>127.251</v>
      </c>
      <c r="E878" vm="2434">
        <f ca="1"/>
        <v>68.33</v>
      </c>
      <c r="F878" vm="10460">
        <f ca="1"/>
        <v>676.64</v>
      </c>
      <c r="G878" vm="10461">
        <f ca="1"/>
        <v>144.51</v>
      </c>
      <c r="H878" vm="10462">
        <f ca="1"/>
        <v>297.79000000000002</v>
      </c>
      <c r="I878" vm="10463">
        <f ca="1"/>
        <v>61.727499999999999</v>
      </c>
      <c r="J878" vm="10464">
        <f ca="1"/>
        <v>19</v>
      </c>
      <c r="K878" vm="10465">
        <f ca="1"/>
        <v>8.9324999999999992</v>
      </c>
      <c r="L878" vm="10466">
        <f ca="1"/>
        <v>115.62</v>
      </c>
      <c r="M878" vm="10467">
        <f ca="1"/>
        <v>285.14999999999998</v>
      </c>
      <c r="N878" vm="10468">
        <f ca="1"/>
        <v>3041.31</v>
      </c>
    </row>
    <row r="879" spans="2:14" x14ac:dyDescent="0.35">
      <c r="B879" vm="10469">
        <f ca="1"/>
        <v>43997</v>
      </c>
      <c r="C879" vm="10470">
        <f ca="1"/>
        <v>71.037000000000006</v>
      </c>
      <c r="D879" vm="10471">
        <f ca="1"/>
        <v>128.63399999999999</v>
      </c>
      <c r="E879" vm="10472">
        <f ca="1"/>
        <v>68.2</v>
      </c>
      <c r="F879" vm="10473">
        <f ca="1"/>
        <v>694.53</v>
      </c>
      <c r="G879" vm="10474">
        <f ca="1"/>
        <v>146.63</v>
      </c>
      <c r="H879" vm="10475">
        <f ca="1"/>
        <v>297.17</v>
      </c>
      <c r="I879" vm="10476">
        <f ca="1"/>
        <v>62.142499999999998</v>
      </c>
      <c r="J879" vm="10477">
        <f ca="1"/>
        <v>19.32</v>
      </c>
      <c r="K879" vm="10478">
        <f ca="1"/>
        <v>9.1738</v>
      </c>
      <c r="L879" vm="10479">
        <f ca="1"/>
        <v>116.69</v>
      </c>
      <c r="M879" vm="10480">
        <f ca="1"/>
        <v>286.27999999999997</v>
      </c>
      <c r="N879" vm="10481">
        <f ca="1"/>
        <v>3066.59</v>
      </c>
    </row>
    <row r="880" spans="2:14" x14ac:dyDescent="0.35">
      <c r="B880" vm="10482">
        <f ca="1"/>
        <v>43998</v>
      </c>
      <c r="C880" vm="10483">
        <f ca="1"/>
        <v>72.323499999999996</v>
      </c>
      <c r="D880" vm="10484">
        <f ca="1"/>
        <v>130.76349999999999</v>
      </c>
      <c r="E880" vm="10485">
        <f ca="1"/>
        <v>70.180000000000007</v>
      </c>
      <c r="F880" vm="10486">
        <f ca="1"/>
        <v>697.2</v>
      </c>
      <c r="G880" vm="10487">
        <f ca="1"/>
        <v>149.11000000000001</v>
      </c>
      <c r="H880" vm="10488">
        <f ca="1"/>
        <v>304.48</v>
      </c>
      <c r="I880" vm="10489">
        <f ca="1"/>
        <v>62.042499999999997</v>
      </c>
      <c r="J880" vm="10490">
        <f ca="1"/>
        <v>19.55</v>
      </c>
      <c r="K880" vm="10491">
        <f ca="1"/>
        <v>9.0685000000000002</v>
      </c>
      <c r="L880" vm="10492">
        <f ca="1"/>
        <v>118.13</v>
      </c>
      <c r="M880" vm="10493">
        <f ca="1"/>
        <v>293</v>
      </c>
      <c r="N880" vm="10494">
        <f ca="1"/>
        <v>3124.74</v>
      </c>
    </row>
    <row r="881" spans="2:14" x14ac:dyDescent="0.35">
      <c r="B881" vm="10495">
        <f ca="1"/>
        <v>43999</v>
      </c>
      <c r="C881" vm="10496">
        <f ca="1"/>
        <v>72.626999999999995</v>
      </c>
      <c r="D881" vm="10497">
        <f ca="1"/>
        <v>132.04900000000001</v>
      </c>
      <c r="E881" vm="4414">
        <f ca="1"/>
        <v>69.599999999999994</v>
      </c>
      <c r="F881" vm="10498">
        <f ca="1"/>
        <v>698</v>
      </c>
      <c r="G881" vm="10499">
        <f ca="1"/>
        <v>148.34</v>
      </c>
      <c r="H881" vm="10500">
        <f ca="1"/>
        <v>303.76</v>
      </c>
      <c r="I881" vm="10501">
        <f ca="1"/>
        <v>62.25</v>
      </c>
      <c r="J881" vm="10502">
        <f ca="1"/>
        <v>19.829999999999998</v>
      </c>
      <c r="K881" vm="10503">
        <f ca="1"/>
        <v>9.2360000000000007</v>
      </c>
      <c r="L881" vm="10504">
        <f ca="1"/>
        <v>117.93</v>
      </c>
      <c r="M881" vm="10505">
        <f ca="1"/>
        <v>292.60000000000002</v>
      </c>
      <c r="N881" vm="10506">
        <f ca="1"/>
        <v>3113.49</v>
      </c>
    </row>
    <row r="882" spans="2:14" x14ac:dyDescent="0.35">
      <c r="B882" vm="10507">
        <f ca="1"/>
        <v>44000</v>
      </c>
      <c r="C882" vm="10508">
        <f ca="1"/>
        <v>71.706000000000003</v>
      </c>
      <c r="D882" vm="10509">
        <f ca="1"/>
        <v>132.69900000000001</v>
      </c>
      <c r="E882" vm="10510">
        <f ca="1"/>
        <v>70.47</v>
      </c>
      <c r="F882" vm="10511">
        <f ca="1"/>
        <v>696.51</v>
      </c>
      <c r="G882" vm="10512">
        <f ca="1"/>
        <v>148.22999999999999</v>
      </c>
      <c r="H882" vm="10342">
        <f ca="1"/>
        <v>304.85000000000002</v>
      </c>
      <c r="I882" vm="10513">
        <f ca="1"/>
        <v>62.232500000000002</v>
      </c>
      <c r="J882" vm="10514">
        <f ca="1"/>
        <v>20.18</v>
      </c>
      <c r="K882" vm="10515">
        <f ca="1"/>
        <v>9.218</v>
      </c>
      <c r="L882" vm="10516">
        <f ca="1"/>
        <v>119.28</v>
      </c>
      <c r="M882" vm="10517">
        <f ca="1"/>
        <v>291.48</v>
      </c>
      <c r="N882" vm="10518">
        <f ca="1"/>
        <v>3115.34</v>
      </c>
    </row>
    <row r="883" spans="2:14" x14ac:dyDescent="0.35">
      <c r="B883" vm="10519">
        <f ca="1"/>
        <v>44001</v>
      </c>
      <c r="C883" vm="10520">
        <f ca="1"/>
        <v>71.231999999999999</v>
      </c>
      <c r="D883" vm="10521">
        <f ca="1"/>
        <v>133.75049999999999</v>
      </c>
      <c r="E883" vm="10522">
        <f ca="1"/>
        <v>70.680000000000007</v>
      </c>
      <c r="F883" vm="10523">
        <f ca="1"/>
        <v>711.43</v>
      </c>
      <c r="G883" vm="10524">
        <f ca="1"/>
        <v>145.37</v>
      </c>
      <c r="H883" vm="10525">
        <f ca="1"/>
        <v>296.5</v>
      </c>
      <c r="I883" vm="10526">
        <f ca="1"/>
        <v>60.552500000000002</v>
      </c>
      <c r="J883" vm="10527">
        <f ca="1"/>
        <v>19.71</v>
      </c>
      <c r="K883" vm="10528">
        <f ca="1"/>
        <v>9.2613000000000003</v>
      </c>
      <c r="L883" vm="10529">
        <f ca="1"/>
        <v>118.92</v>
      </c>
      <c r="M883" vm="10530">
        <f ca="1"/>
        <v>291.24</v>
      </c>
      <c r="N883" vm="10531">
        <f ca="1"/>
        <v>3097.74</v>
      </c>
    </row>
    <row r="884" spans="2:14" x14ac:dyDescent="0.35">
      <c r="B884" vm="10532">
        <f ca="1"/>
        <v>44004</v>
      </c>
      <c r="C884" vm="10533">
        <f ca="1"/>
        <v>72.533000000000001</v>
      </c>
      <c r="D884" vm="10534">
        <f ca="1"/>
        <v>135.691</v>
      </c>
      <c r="E884" vm="4205">
        <f ca="1"/>
        <v>71.08</v>
      </c>
      <c r="F884" vm="10535">
        <f ca="1"/>
        <v>697.14</v>
      </c>
      <c r="G884" vm="10299">
        <f ca="1"/>
        <v>144.94</v>
      </c>
      <c r="H884" vm="10536">
        <f ca="1"/>
        <v>304.44</v>
      </c>
      <c r="I884" vm="10537">
        <f ca="1"/>
        <v>61.76</v>
      </c>
      <c r="J884" vm="10538">
        <f ca="1"/>
        <v>19.82</v>
      </c>
      <c r="K884" vm="10539">
        <f ca="1"/>
        <v>9.5267999999999997</v>
      </c>
      <c r="L884" vm="10540">
        <f ca="1"/>
        <v>117.75</v>
      </c>
      <c r="M884" vm="10541">
        <f ca="1"/>
        <v>292.67</v>
      </c>
      <c r="N884" vm="10542">
        <f ca="1"/>
        <v>3117.86</v>
      </c>
    </row>
    <row r="885" spans="2:14" x14ac:dyDescent="0.35">
      <c r="B885" vm="10543">
        <f ca="1"/>
        <v>44005</v>
      </c>
      <c r="C885" vm="10544">
        <f ca="1"/>
        <v>73.198999999999998</v>
      </c>
      <c r="D885" vm="10545">
        <f ca="1"/>
        <v>138.22049999999999</v>
      </c>
      <c r="E885" vm="10546">
        <f ca="1"/>
        <v>70.569999999999993</v>
      </c>
      <c r="F885" vm="10547">
        <f ca="1"/>
        <v>694.69</v>
      </c>
      <c r="G885" vm="10548">
        <f ca="1"/>
        <v>144.86000000000001</v>
      </c>
      <c r="H885" vm="10549">
        <f ca="1"/>
        <v>306.88</v>
      </c>
      <c r="I885" vm="10550">
        <f ca="1"/>
        <v>60.802500000000002</v>
      </c>
      <c r="J885" vm="10551">
        <f ca="1"/>
        <v>19.57</v>
      </c>
      <c r="K885" vm="10552">
        <f ca="1"/>
        <v>9.4499999999999993</v>
      </c>
      <c r="L885" vm="10553">
        <f ca="1"/>
        <v>117.73</v>
      </c>
      <c r="M885" vm="10554">
        <f ca="1"/>
        <v>297.60000000000002</v>
      </c>
      <c r="N885" vm="10555">
        <f ca="1"/>
        <v>3131.29</v>
      </c>
    </row>
    <row r="886" spans="2:14" x14ac:dyDescent="0.35">
      <c r="B886" vm="10556">
        <f ca="1"/>
        <v>44006</v>
      </c>
      <c r="C886" vm="10557">
        <f ca="1"/>
        <v>71.635000000000005</v>
      </c>
      <c r="D886" vm="10558">
        <f ca="1"/>
        <v>136.72</v>
      </c>
      <c r="E886" vm="10559">
        <f ca="1"/>
        <v>68.98</v>
      </c>
      <c r="F886" vm="10560">
        <f ca="1"/>
        <v>689.63</v>
      </c>
      <c r="G886" vm="10561">
        <f ca="1"/>
        <v>138.35</v>
      </c>
      <c r="H886" vm="10562">
        <f ca="1"/>
        <v>294.01</v>
      </c>
      <c r="I886" vm="10563">
        <f ca="1"/>
        <v>60.417499999999997</v>
      </c>
      <c r="J886" vm="10564">
        <f ca="1"/>
        <v>17.86</v>
      </c>
      <c r="K886" vm="10565">
        <f ca="1"/>
        <v>9.2355</v>
      </c>
      <c r="L886" vm="10566">
        <f ca="1"/>
        <v>116.42</v>
      </c>
      <c r="M886" vm="10567">
        <f ca="1"/>
        <v>289.18</v>
      </c>
      <c r="N886" vm="10568">
        <f ca="1"/>
        <v>3050.33</v>
      </c>
    </row>
    <row r="887" spans="2:14" x14ac:dyDescent="0.35">
      <c r="B887" vm="10569">
        <f ca="1"/>
        <v>44007</v>
      </c>
      <c r="C887" vm="10570">
        <f ca="1"/>
        <v>72.055000000000007</v>
      </c>
      <c r="D887" vm="10571">
        <f ca="1"/>
        <v>137.72900000000001</v>
      </c>
      <c r="E887" vm="10572">
        <f ca="1"/>
        <v>69.2</v>
      </c>
      <c r="F887" vm="10573">
        <f ca="1"/>
        <v>696.84</v>
      </c>
      <c r="G887" vm="10574">
        <f ca="1"/>
        <v>142.46</v>
      </c>
      <c r="H887" vm="10575">
        <f ca="1"/>
        <v>298.01</v>
      </c>
      <c r="I887" vm="10576">
        <f ca="1"/>
        <v>59.79</v>
      </c>
      <c r="J887" vm="10577">
        <f ca="1"/>
        <v>18.420000000000002</v>
      </c>
      <c r="K887" vm="10578">
        <f ca="1"/>
        <v>9.49</v>
      </c>
      <c r="L887" vm="10579">
        <f ca="1"/>
        <v>117.89</v>
      </c>
      <c r="M887" vm="10580">
        <f ca="1"/>
        <v>296.22000000000003</v>
      </c>
      <c r="N887" vm="10581">
        <f ca="1"/>
        <v>3083.76</v>
      </c>
    </row>
    <row r="888" spans="2:14" x14ac:dyDescent="0.35">
      <c r="B888" vm="10582">
        <f ca="1"/>
        <v>44008</v>
      </c>
      <c r="C888" vm="3302">
        <f ca="1"/>
        <v>68.126999999999995</v>
      </c>
      <c r="D888" vm="10583">
        <f ca="1"/>
        <v>134.64349999999999</v>
      </c>
      <c r="E888" vm="10584">
        <f ca="1"/>
        <v>67.34</v>
      </c>
      <c r="F888" vm="10585">
        <f ca="1"/>
        <v>686.54</v>
      </c>
      <c r="G888" vm="10586">
        <f ca="1"/>
        <v>138.21</v>
      </c>
      <c r="H888" vm="10587">
        <f ca="1"/>
        <v>289.33999999999997</v>
      </c>
      <c r="I888" vm="10588">
        <f ca="1"/>
        <v>59.055</v>
      </c>
      <c r="J888" vm="10589">
        <f ca="1"/>
        <v>17.440000000000001</v>
      </c>
      <c r="K888" vm="10590">
        <f ca="1"/>
        <v>9.1549999999999994</v>
      </c>
      <c r="L888" vm="10591">
        <f ca="1"/>
        <v>115.23</v>
      </c>
      <c r="M888" vm="10592">
        <f ca="1"/>
        <v>286.88</v>
      </c>
      <c r="N888" vm="10593">
        <f ca="1"/>
        <v>3009.05</v>
      </c>
    </row>
    <row r="889" spans="2:14" x14ac:dyDescent="0.35">
      <c r="B889" vm="10594">
        <f ca="1"/>
        <v>44011</v>
      </c>
      <c r="C889" vm="10595">
        <f ca="1"/>
        <v>69.858500000000006</v>
      </c>
      <c r="D889" vm="10596">
        <f ca="1"/>
        <v>134.01900000000001</v>
      </c>
      <c r="E889" vm="10597">
        <f ca="1"/>
        <v>68.39</v>
      </c>
      <c r="F889" vm="10598">
        <f ca="1"/>
        <v>688.92</v>
      </c>
      <c r="G889" vm="10599">
        <f ca="1"/>
        <v>143.24</v>
      </c>
      <c r="H889" vm="10600">
        <f ca="1"/>
        <v>292.93</v>
      </c>
      <c r="I889" vm="10601">
        <f ca="1"/>
        <v>59.56</v>
      </c>
      <c r="J889" vm="10602">
        <f ca="1"/>
        <v>18.010000000000002</v>
      </c>
      <c r="K889" vm="10603">
        <f ca="1"/>
        <v>9.1999999999999993</v>
      </c>
      <c r="L889" vm="10604">
        <f ca="1"/>
        <v>117.66</v>
      </c>
      <c r="M889" vm="10605">
        <f ca="1"/>
        <v>289.76</v>
      </c>
      <c r="N889" vm="10606">
        <f ca="1"/>
        <v>3053.24</v>
      </c>
    </row>
    <row r="890" spans="2:14" x14ac:dyDescent="0.35">
      <c r="B890" vm="10607">
        <f ca="1"/>
        <v>44012</v>
      </c>
      <c r="C890" vm="10608">
        <f ca="1"/>
        <v>70.902500000000003</v>
      </c>
      <c r="D890" vm="10609">
        <f ca="1"/>
        <v>137.941</v>
      </c>
      <c r="E890" vm="4681">
        <f ca="1"/>
        <v>69.489999999999995</v>
      </c>
      <c r="F890" vm="10610">
        <f ca="1"/>
        <v>702.3</v>
      </c>
      <c r="G890" vm="10611">
        <f ca="1"/>
        <v>144.59</v>
      </c>
      <c r="H890" vm="10612">
        <f ca="1"/>
        <v>295.7</v>
      </c>
      <c r="I890" vm="10613">
        <f ca="1"/>
        <v>60.042499999999997</v>
      </c>
      <c r="J890" vm="10614">
        <f ca="1"/>
        <v>18.39</v>
      </c>
      <c r="K890" vm="10615">
        <f ca="1"/>
        <v>9.4977999999999998</v>
      </c>
      <c r="L890" vm="10616">
        <f ca="1"/>
        <v>119.57</v>
      </c>
      <c r="M890" vm="10617">
        <f ca="1"/>
        <v>294.95</v>
      </c>
      <c r="N890" vm="10618">
        <f ca="1"/>
        <v>3100.29</v>
      </c>
    </row>
    <row r="891" spans="2:14" x14ac:dyDescent="0.35">
      <c r="B891" vm="10619">
        <f ca="1"/>
        <v>44013</v>
      </c>
      <c r="C891" vm="10620">
        <f ca="1"/>
        <v>72.099999999999994</v>
      </c>
      <c r="D891" vm="10621">
        <f ca="1"/>
        <v>143.935</v>
      </c>
      <c r="E891" vm="10522">
        <f ca="1"/>
        <v>70.680000000000007</v>
      </c>
      <c r="F891" vm="10622">
        <f ca="1"/>
        <v>728.17</v>
      </c>
      <c r="G891" vm="10623">
        <f ca="1"/>
        <v>144.11000000000001</v>
      </c>
      <c r="H891" vm="10624">
        <f ca="1"/>
        <v>301.17</v>
      </c>
      <c r="I891" vm="9990">
        <f ca="1"/>
        <v>61.564999999999998</v>
      </c>
      <c r="J891" vm="10625">
        <f ca="1"/>
        <v>17.72</v>
      </c>
      <c r="K891" vm="10626">
        <f ca="1"/>
        <v>9.5299999999999994</v>
      </c>
      <c r="L891" vm="10627">
        <f ca="1"/>
        <v>119.98</v>
      </c>
      <c r="M891" vm="10628">
        <f ca="1"/>
        <v>297.73</v>
      </c>
      <c r="N891" vm="10629">
        <f ca="1"/>
        <v>3115.86</v>
      </c>
    </row>
    <row r="892" spans="2:14" x14ac:dyDescent="0.35">
      <c r="B892" vm="10630">
        <f ca="1"/>
        <v>44014</v>
      </c>
      <c r="C892" vm="10631">
        <f ca="1"/>
        <v>73.496499999999997</v>
      </c>
      <c r="D892" vm="10632">
        <f ca="1"/>
        <v>144.51499999999999</v>
      </c>
      <c r="E892" vm="10633">
        <f ca="1"/>
        <v>71.81</v>
      </c>
      <c r="F892" vm="10634">
        <f ca="1"/>
        <v>718.41</v>
      </c>
      <c r="G892" vm="10635">
        <f ca="1"/>
        <v>145.02000000000001</v>
      </c>
      <c r="H892" vm="10636">
        <f ca="1"/>
        <v>302.42</v>
      </c>
      <c r="I892" vm="5296">
        <f ca="1"/>
        <v>61.6</v>
      </c>
      <c r="J892" vm="10637">
        <f ca="1"/>
        <v>17.98</v>
      </c>
      <c r="K892" vm="10638">
        <f ca="1"/>
        <v>9.6122999999999994</v>
      </c>
      <c r="L892" vm="10639">
        <f ca="1"/>
        <v>120.88</v>
      </c>
      <c r="M892" vm="10640">
        <f ca="1"/>
        <v>298.26</v>
      </c>
      <c r="N892" vm="10641">
        <f ca="1"/>
        <v>3130.01</v>
      </c>
    </row>
    <row r="893" spans="2:14" x14ac:dyDescent="0.35">
      <c r="B893" vm="10642">
        <f ca="1"/>
        <v>44018</v>
      </c>
      <c r="C893" vm="10643">
        <f ca="1"/>
        <v>74.982500000000002</v>
      </c>
      <c r="D893" vm="10644">
        <f ca="1"/>
        <v>152.852</v>
      </c>
      <c r="E893" vm="10421">
        <f ca="1"/>
        <v>72.44</v>
      </c>
      <c r="F893" vm="10645">
        <f ca="1"/>
        <v>722.67</v>
      </c>
      <c r="G893" vm="10646">
        <f ca="1"/>
        <v>147.22</v>
      </c>
      <c r="H893" vm="10647">
        <f ca="1"/>
        <v>305.57</v>
      </c>
      <c r="I893" vm="10648">
        <f ca="1"/>
        <v>61.74</v>
      </c>
      <c r="J893" vm="10649">
        <f ca="1"/>
        <v>18.75</v>
      </c>
      <c r="K893" vm="10650">
        <f ca="1"/>
        <v>9.8392999999999997</v>
      </c>
      <c r="L893" vm="1278">
        <f ca="1"/>
        <v>121.63</v>
      </c>
      <c r="M893" vm="10651">
        <f ca="1"/>
        <v>302.81</v>
      </c>
      <c r="N893" vm="10652">
        <f ca="1"/>
        <v>3179.72</v>
      </c>
    </row>
    <row r="894" spans="2:14" x14ac:dyDescent="0.35">
      <c r="B894" vm="10653">
        <f ca="1"/>
        <v>44019</v>
      </c>
      <c r="C894" vm="10654">
        <f ca="1"/>
        <v>74.495999999999995</v>
      </c>
      <c r="D894" vm="10655">
        <f ca="1"/>
        <v>150.006</v>
      </c>
      <c r="E894" vm="10656">
        <f ca="1"/>
        <v>72.680000000000007</v>
      </c>
      <c r="F894" vm="10657">
        <f ca="1"/>
        <v>721.07</v>
      </c>
      <c r="G894" vm="10658">
        <f ca="1"/>
        <v>144.97</v>
      </c>
      <c r="H894" vm="10659">
        <f ca="1"/>
        <v>299.91000000000003</v>
      </c>
      <c r="I894" vm="10660">
        <f ca="1"/>
        <v>61.68</v>
      </c>
      <c r="J894" vm="10661">
        <f ca="1"/>
        <v>18.18</v>
      </c>
      <c r="K894" vm="10662">
        <f ca="1"/>
        <v>9.8718000000000004</v>
      </c>
      <c r="L894" vm="10663">
        <f ca="1"/>
        <v>122.22</v>
      </c>
      <c r="M894" vm="10664">
        <f ca="1"/>
        <v>296.64999999999998</v>
      </c>
      <c r="N894" vm="10665">
        <f ca="1"/>
        <v>3145.32</v>
      </c>
    </row>
    <row r="895" spans="2:14" x14ac:dyDescent="0.35">
      <c r="B895" vm="10666">
        <f ca="1"/>
        <v>44020</v>
      </c>
      <c r="C895" vm="10667">
        <f ca="1"/>
        <v>75.180000000000007</v>
      </c>
      <c r="D895" vm="10668">
        <f ca="1"/>
        <v>154.05549999999999</v>
      </c>
      <c r="E895" vm="7802">
        <f ca="1"/>
        <v>72.14</v>
      </c>
      <c r="F895" vm="10669">
        <f ca="1"/>
        <v>720.35</v>
      </c>
      <c r="G895" vm="10670">
        <f ca="1"/>
        <v>145.59</v>
      </c>
      <c r="H895" vm="10671">
        <f ca="1"/>
        <v>300.14999999999998</v>
      </c>
      <c r="I895" vm="10672">
        <f ca="1"/>
        <v>63.317500000000003</v>
      </c>
      <c r="J895" vm="10673">
        <f ca="1"/>
        <v>18.07</v>
      </c>
      <c r="K895" vm="10674">
        <f ca="1"/>
        <v>10.215999999999999</v>
      </c>
      <c r="L895" vm="10675">
        <f ca="1"/>
        <v>122.89</v>
      </c>
      <c r="M895" vm="10676">
        <f ca="1"/>
        <v>298.36</v>
      </c>
      <c r="N895" vm="10677">
        <f ca="1"/>
        <v>3169.94</v>
      </c>
    </row>
    <row r="896" spans="2:14" x14ac:dyDescent="0.35">
      <c r="B896" vm="10678">
        <f ca="1"/>
        <v>44021</v>
      </c>
      <c r="C896" vm="10679">
        <f ca="1"/>
        <v>75.933000000000007</v>
      </c>
      <c r="D896" vm="10680">
        <f ca="1"/>
        <v>159.13149999999999</v>
      </c>
      <c r="E896" vm="1218">
        <f ca="1"/>
        <v>71.75</v>
      </c>
      <c r="F896" vm="10681">
        <f ca="1"/>
        <v>728.69</v>
      </c>
      <c r="G896" vm="10682">
        <f ca="1"/>
        <v>141.37</v>
      </c>
      <c r="H896" vm="10683">
        <f ca="1"/>
        <v>294.58999999999997</v>
      </c>
      <c r="I896" vm="10684">
        <f ca="1"/>
        <v>62.997500000000002</v>
      </c>
      <c r="J896" vm="10685">
        <f ca="1"/>
        <v>17.13</v>
      </c>
      <c r="K896" vm="10686">
        <f ca="1"/>
        <v>10.509</v>
      </c>
      <c r="L896" vm="10687">
        <f ca="1"/>
        <v>122.48</v>
      </c>
      <c r="M896" vm="10688">
        <f ca="1"/>
        <v>291.16000000000003</v>
      </c>
      <c r="N896" vm="10689">
        <f ca="1"/>
        <v>3152.05</v>
      </c>
    </row>
    <row r="897" spans="2:14" x14ac:dyDescent="0.35">
      <c r="B897" vm="10690">
        <f ca="1"/>
        <v>44022</v>
      </c>
      <c r="C897" vm="10691">
        <f ca="1"/>
        <v>76.950500000000005</v>
      </c>
      <c r="D897" vm="10692">
        <f ca="1"/>
        <v>160</v>
      </c>
      <c r="E897" vm="10693">
        <f ca="1"/>
        <v>72.400000000000006</v>
      </c>
      <c r="F897" vm="10694">
        <f ca="1"/>
        <v>716.59</v>
      </c>
      <c r="G897" vm="10695">
        <f ca="1"/>
        <v>142.44999999999999</v>
      </c>
      <c r="H897" vm="10696">
        <f ca="1"/>
        <v>295.68</v>
      </c>
      <c r="I897" vm="10037">
        <f ca="1"/>
        <v>64.900000000000006</v>
      </c>
      <c r="J897" vm="10277">
        <f ca="1"/>
        <v>17.79</v>
      </c>
      <c r="K897" vm="10697">
        <f ca="1"/>
        <v>10.4793</v>
      </c>
      <c r="L897" vm="10698">
        <f ca="1"/>
        <v>123.89</v>
      </c>
      <c r="M897" vm="10699">
        <f ca="1"/>
        <v>291.23</v>
      </c>
      <c r="N897" vm="10700">
        <f ca="1"/>
        <v>3185.04</v>
      </c>
    </row>
    <row r="898" spans="2:14" x14ac:dyDescent="0.35">
      <c r="B898" vm="10701">
        <f ca="1"/>
        <v>44025</v>
      </c>
      <c r="C898" vm="10702">
        <f ca="1"/>
        <v>75.611500000000007</v>
      </c>
      <c r="D898" vm="10703">
        <f ca="1"/>
        <v>155.19999999999999</v>
      </c>
      <c r="E898" vm="10704">
        <f ca="1"/>
        <v>71.63</v>
      </c>
      <c r="F898" vm="10705">
        <f ca="1"/>
        <v>701.12</v>
      </c>
      <c r="G898" vm="10706">
        <f ca="1"/>
        <v>143.49</v>
      </c>
      <c r="H898" vm="10707">
        <f ca="1"/>
        <v>290.18</v>
      </c>
      <c r="I898" vm="10708">
        <f ca="1"/>
        <v>64.06</v>
      </c>
      <c r="J898" vm="9673">
        <f ca="1"/>
        <v>17.38</v>
      </c>
      <c r="K898" vm="10709">
        <f ca="1"/>
        <v>10.052300000000001</v>
      </c>
      <c r="L898" vm="10710">
        <f ca="1"/>
        <v>124.05</v>
      </c>
      <c r="M898" vm="10711">
        <f ca="1"/>
        <v>299.70999999999998</v>
      </c>
      <c r="N898" vm="10712">
        <f ca="1"/>
        <v>3155.22</v>
      </c>
    </row>
    <row r="899" spans="2:14" x14ac:dyDescent="0.35">
      <c r="B899" vm="10713">
        <f ca="1"/>
        <v>44026</v>
      </c>
      <c r="C899" vm="10714">
        <f ca="1"/>
        <v>76.043000000000006</v>
      </c>
      <c r="D899" vm="10715">
        <f ca="1"/>
        <v>154.19999999999999</v>
      </c>
      <c r="E899" vm="10716">
        <f ca="1"/>
        <v>73.61</v>
      </c>
      <c r="F899" vm="10717">
        <f ca="1"/>
        <v>716.91</v>
      </c>
      <c r="G899" vm="10718">
        <f ca="1"/>
        <v>148.1</v>
      </c>
      <c r="H899" vm="10719">
        <f ca="1"/>
        <v>298.95</v>
      </c>
      <c r="I899" vm="10720">
        <f ca="1"/>
        <v>65.637500000000003</v>
      </c>
      <c r="J899" vm="10614">
        <f ca="1"/>
        <v>18.39</v>
      </c>
      <c r="K899" vm="10721">
        <f ca="1"/>
        <v>10.377000000000001</v>
      </c>
      <c r="L899" vm="10722">
        <f ca="1"/>
        <v>125.09</v>
      </c>
      <c r="M899" vm="10723">
        <f ca="1"/>
        <v>308.52</v>
      </c>
      <c r="N899" vm="10724">
        <f ca="1"/>
        <v>3197.52</v>
      </c>
    </row>
    <row r="900" spans="2:14" x14ac:dyDescent="0.35">
      <c r="B900" vm="10725">
        <f ca="1"/>
        <v>44027</v>
      </c>
      <c r="C900" vm="10726">
        <f ca="1"/>
        <v>75.843999999999994</v>
      </c>
      <c r="D900" vm="10727">
        <f ca="1"/>
        <v>150.4435</v>
      </c>
      <c r="E900" vm="3139">
        <f ca="1"/>
        <v>69.52</v>
      </c>
      <c r="F900" vm="10728">
        <f ca="1"/>
        <v>713.88</v>
      </c>
      <c r="G900" vm="3005">
        <f ca="1"/>
        <v>151.93</v>
      </c>
      <c r="H900" vm="10729">
        <f ca="1"/>
        <v>305.72000000000003</v>
      </c>
      <c r="I900" vm="3256">
        <f ca="1"/>
        <v>64.75</v>
      </c>
      <c r="J900" vm="10730">
        <f ca="1"/>
        <v>18.899999999999999</v>
      </c>
      <c r="K900" vm="10731">
        <f ca="1"/>
        <v>10.2273</v>
      </c>
      <c r="L900" vm="9614">
        <f ca="1"/>
        <v>124.5</v>
      </c>
      <c r="M900" vm="10732">
        <f ca="1"/>
        <v>304.07</v>
      </c>
      <c r="N900" vm="10733">
        <f ca="1"/>
        <v>3226.56</v>
      </c>
    </row>
    <row r="901" spans="2:14" x14ac:dyDescent="0.35">
      <c r="B901" vm="10734">
        <f ca="1"/>
        <v>44028</v>
      </c>
      <c r="C901" vm="10735">
        <f ca="1"/>
        <v>75.745999999999995</v>
      </c>
      <c r="D901" vm="10736">
        <f ca="1"/>
        <v>149.995</v>
      </c>
      <c r="E901" vm="4077">
        <f ca="1"/>
        <v>69.47</v>
      </c>
      <c r="F901" vm="10737">
        <f ca="1"/>
        <v>714.09</v>
      </c>
      <c r="G901" vm="10738">
        <f ca="1"/>
        <v>153.08000000000001</v>
      </c>
      <c r="H901" vm="10739">
        <f ca="1"/>
        <v>299.35000000000002</v>
      </c>
      <c r="I901" vm="10740">
        <f ca="1"/>
        <v>67.094999999999999</v>
      </c>
      <c r="J901" vm="10741">
        <f ca="1"/>
        <v>18.82</v>
      </c>
      <c r="K901" vm="10742">
        <f ca="1"/>
        <v>10.1348</v>
      </c>
      <c r="L901" vm="1380">
        <f ca="1"/>
        <v>124.76</v>
      </c>
      <c r="M901" vm="10743">
        <f ca="1"/>
        <v>307.14999999999998</v>
      </c>
      <c r="N901" vm="10744">
        <f ca="1"/>
        <v>3215.57</v>
      </c>
    </row>
    <row r="902" spans="2:14" x14ac:dyDescent="0.35">
      <c r="B902" vm="10745">
        <f ca="1"/>
        <v>44029</v>
      </c>
      <c r="C902" vm="10746">
        <f ca="1"/>
        <v>75.842500000000001</v>
      </c>
      <c r="D902" vm="10747">
        <f ca="1"/>
        <v>148.0985</v>
      </c>
      <c r="E902" vm="10748">
        <f ca="1"/>
        <v>70.290000000000006</v>
      </c>
      <c r="F902" vm="10749">
        <f ca="1"/>
        <v>724.23</v>
      </c>
      <c r="G902" vm="10750">
        <f ca="1"/>
        <v>155</v>
      </c>
      <c r="H902" vm="10751">
        <f ca="1"/>
        <v>304.06</v>
      </c>
      <c r="I902" vm="10752">
        <f ca="1"/>
        <v>68.844999999999999</v>
      </c>
      <c r="J902" vm="10753">
        <f ca="1"/>
        <v>18.62</v>
      </c>
      <c r="K902" vm="10754">
        <f ca="1"/>
        <v>10.201499999999999</v>
      </c>
      <c r="L902" vm="10755">
        <f ca="1"/>
        <v>125.63</v>
      </c>
      <c r="M902" vm="10756">
        <f ca="1"/>
        <v>306.52999999999997</v>
      </c>
      <c r="N902" vm="10757">
        <f ca="1"/>
        <v>3224.73</v>
      </c>
    </row>
    <row r="903" spans="2:14" x14ac:dyDescent="0.35">
      <c r="B903" vm="10758">
        <f ca="1"/>
        <v>44032</v>
      </c>
      <c r="C903" vm="10759">
        <f ca="1"/>
        <v>78.191999999999993</v>
      </c>
      <c r="D903" vm="10760">
        <f ca="1"/>
        <v>159.84200000000001</v>
      </c>
      <c r="E903" vm="10761">
        <f ca="1"/>
        <v>72.760000000000005</v>
      </c>
      <c r="F903" vm="10762">
        <f ca="1"/>
        <v>731.84</v>
      </c>
      <c r="G903" vm="9670">
        <f ca="1"/>
        <v>153.38999999999999</v>
      </c>
      <c r="H903" vm="10763">
        <f ca="1"/>
        <v>311.95999999999998</v>
      </c>
      <c r="I903" vm="10764">
        <f ca="1"/>
        <v>68.582499999999996</v>
      </c>
      <c r="J903" vm="10765">
        <f ca="1"/>
        <v>18.440000000000001</v>
      </c>
      <c r="K903" vm="10766">
        <f ca="1"/>
        <v>10.5108</v>
      </c>
      <c r="L903" vm="1355">
        <f ca="1"/>
        <v>125.24</v>
      </c>
      <c r="M903" vm="10767">
        <f ca="1"/>
        <v>303.45999999999998</v>
      </c>
      <c r="N903" vm="10768">
        <f ca="1"/>
        <v>3251.84</v>
      </c>
    </row>
    <row r="904" spans="2:14" x14ac:dyDescent="0.35">
      <c r="B904" vm="10769">
        <f ca="1"/>
        <v>44033</v>
      </c>
      <c r="C904" vm="10770">
        <f ca="1"/>
        <v>77.796000000000006</v>
      </c>
      <c r="D904" vm="10771">
        <f ca="1"/>
        <v>156.9145</v>
      </c>
      <c r="E904" vm="10656">
        <f ca="1"/>
        <v>72.680000000000007</v>
      </c>
      <c r="F904" vm="10772">
        <f ca="1"/>
        <v>725.98</v>
      </c>
      <c r="G904" vm="10773">
        <f ca="1"/>
        <v>154.76</v>
      </c>
      <c r="H904" vm="10774">
        <f ca="1"/>
        <v>307.60000000000002</v>
      </c>
      <c r="I904" vm="10775">
        <f ca="1"/>
        <v>69.082499999999996</v>
      </c>
      <c r="J904" vm="10776">
        <f ca="1"/>
        <v>19.559999999999999</v>
      </c>
      <c r="K904" vm="10777">
        <f ca="1"/>
        <v>10.3285</v>
      </c>
      <c r="L904" vm="10778">
        <f ca="1"/>
        <v>125.07</v>
      </c>
      <c r="M904" vm="10779">
        <f ca="1"/>
        <v>305.11</v>
      </c>
      <c r="N904" vm="10780">
        <f ca="1"/>
        <v>3257.3</v>
      </c>
    </row>
    <row r="905" spans="2:14" x14ac:dyDescent="0.35">
      <c r="B905" vm="10781">
        <f ca="1"/>
        <v>44034</v>
      </c>
      <c r="C905" vm="10782">
        <f ca="1"/>
        <v>78.242500000000007</v>
      </c>
      <c r="D905" vm="10783">
        <f ca="1"/>
        <v>154.99549999999999</v>
      </c>
      <c r="E905" vm="10784">
        <f ca="1"/>
        <v>73.180000000000007</v>
      </c>
      <c r="F905" vm="10785">
        <f ca="1"/>
        <v>735.52</v>
      </c>
      <c r="G905" vm="10786">
        <f ca="1"/>
        <v>154.61000000000001</v>
      </c>
      <c r="H905" vm="10787">
        <f ca="1"/>
        <v>313.37</v>
      </c>
      <c r="I905" vm="10788">
        <f ca="1"/>
        <v>70.105000000000004</v>
      </c>
      <c r="J905" vm="10789">
        <f ca="1"/>
        <v>19.170000000000002</v>
      </c>
      <c r="K905" vm="10790">
        <f ca="1"/>
        <v>10.438800000000001</v>
      </c>
      <c r="L905" vm="9472">
        <f ca="1"/>
        <v>126.14</v>
      </c>
      <c r="M905" vm="10791">
        <f ca="1"/>
        <v>306.70999999999998</v>
      </c>
      <c r="N905" vm="10792">
        <f ca="1"/>
        <v>3276.02</v>
      </c>
    </row>
    <row r="906" spans="2:14" x14ac:dyDescent="0.35">
      <c r="B906" vm="10793">
        <f ca="1"/>
        <v>44035</v>
      </c>
      <c r="C906" vm="10794">
        <f ca="1"/>
        <v>75.837500000000006</v>
      </c>
      <c r="D906" vm="10795">
        <f ca="1"/>
        <v>149.32749999999999</v>
      </c>
      <c r="E906" vm="10796">
        <f ca="1"/>
        <v>72.989999999999995</v>
      </c>
      <c r="F906" vm="10797">
        <f ca="1"/>
        <v>736.69</v>
      </c>
      <c r="G906" vm="10798">
        <f ca="1"/>
        <v>153.72999999999999</v>
      </c>
      <c r="H906" vm="10799">
        <f ca="1"/>
        <v>309.89999999999998</v>
      </c>
      <c r="I906" vm="10800">
        <f ca="1"/>
        <v>70.242500000000007</v>
      </c>
      <c r="J906" vm="10801">
        <f ca="1"/>
        <v>19.3</v>
      </c>
      <c r="K906" vm="10802">
        <f ca="1"/>
        <v>10.129799999999999</v>
      </c>
      <c r="L906" vm="10803">
        <f ca="1"/>
        <v>126.16</v>
      </c>
      <c r="M906" vm="10804">
        <f ca="1"/>
        <v>302.97000000000003</v>
      </c>
      <c r="N906" vm="10805">
        <f ca="1"/>
        <v>3235.66</v>
      </c>
    </row>
    <row r="907" spans="2:14" x14ac:dyDescent="0.35">
      <c r="B907" vm="10806">
        <f ca="1"/>
        <v>44036</v>
      </c>
      <c r="C907" vm="10807">
        <f ca="1"/>
        <v>75.410499999999999</v>
      </c>
      <c r="D907" vm="10808">
        <f ca="1"/>
        <v>150.44550000000001</v>
      </c>
      <c r="E907" vm="10809">
        <f ca="1"/>
        <v>73.16</v>
      </c>
      <c r="F907" vm="10810">
        <f ca="1"/>
        <v>737.39</v>
      </c>
      <c r="G907" vm="10811">
        <f ca="1"/>
        <v>149.43</v>
      </c>
      <c r="H907" vm="10812">
        <f ca="1"/>
        <v>306.92</v>
      </c>
      <c r="I907" vm="10813">
        <f ca="1"/>
        <v>70.0625</v>
      </c>
      <c r="J907" vm="10814">
        <f ca="1"/>
        <v>19.48</v>
      </c>
      <c r="K907" vm="10815">
        <f ca="1"/>
        <v>10.1945</v>
      </c>
      <c r="L907" vm="9227">
        <f ca="1"/>
        <v>125.96</v>
      </c>
      <c r="M907" vm="10816">
        <f ca="1"/>
        <v>300.79000000000002</v>
      </c>
      <c r="N907" vm="10817">
        <f ca="1"/>
        <v>3215.63</v>
      </c>
    </row>
    <row r="908" spans="2:14" x14ac:dyDescent="0.35">
      <c r="B908" vm="10818">
        <f ca="1"/>
        <v>44039</v>
      </c>
      <c r="C908" vm="10819">
        <f ca="1"/>
        <v>76.471500000000006</v>
      </c>
      <c r="D908" vm="10820">
        <f ca="1"/>
        <v>152.76050000000001</v>
      </c>
      <c r="E908" vm="10821">
        <f ca="1"/>
        <v>74.569999999999993</v>
      </c>
      <c r="F908" vm="10822">
        <f ca="1"/>
        <v>754</v>
      </c>
      <c r="G908" vm="10823">
        <f ca="1"/>
        <v>150.76</v>
      </c>
      <c r="H908" vm="10824">
        <f ca="1"/>
        <v>308.86</v>
      </c>
      <c r="I908" vm="10825">
        <f ca="1"/>
        <v>69.407499999999999</v>
      </c>
      <c r="J908" vm="10826">
        <f ca="1"/>
        <v>19.68</v>
      </c>
      <c r="K908" vm="10827">
        <f ca="1"/>
        <v>10.4215</v>
      </c>
      <c r="L908" vm="10828">
        <f ca="1"/>
        <v>126.32</v>
      </c>
      <c r="M908" vm="10829">
        <f ca="1"/>
        <v>298.60000000000002</v>
      </c>
      <c r="N908" vm="10830">
        <f ca="1"/>
        <v>3239.41</v>
      </c>
    </row>
    <row r="909" spans="2:14" x14ac:dyDescent="0.35">
      <c r="B909" vm="10831">
        <f ca="1"/>
        <v>44040</v>
      </c>
      <c r="C909" vm="10832">
        <f ca="1"/>
        <v>75.182500000000005</v>
      </c>
      <c r="D909" vm="10833">
        <f ca="1"/>
        <v>150.01650000000001</v>
      </c>
      <c r="E909" vm="10408">
        <f ca="1"/>
        <v>74.08</v>
      </c>
      <c r="F909" vm="10834">
        <f ca="1"/>
        <v>752.53</v>
      </c>
      <c r="G909" vm="10835">
        <f ca="1"/>
        <v>152.01</v>
      </c>
      <c r="H909" vm="10836">
        <f ca="1"/>
        <v>306.33</v>
      </c>
      <c r="I909" vm="10837">
        <f ca="1"/>
        <v>70.010000000000005</v>
      </c>
      <c r="J909" vm="10838">
        <f ca="1"/>
        <v>19.149999999999999</v>
      </c>
      <c r="K909" vm="10839">
        <f ca="1"/>
        <v>10.2155</v>
      </c>
      <c r="L909" vm="10840">
        <f ca="1"/>
        <v>127.88</v>
      </c>
      <c r="M909" vm="10841">
        <f ca="1"/>
        <v>299.93</v>
      </c>
      <c r="N909" vm="10842">
        <f ca="1"/>
        <v>3218.44</v>
      </c>
    </row>
    <row r="910" spans="2:14" x14ac:dyDescent="0.35">
      <c r="B910" vm="10843">
        <f ca="1"/>
        <v>44041</v>
      </c>
      <c r="C910" vm="10844">
        <f ca="1"/>
        <v>76.1755</v>
      </c>
      <c r="D910" vm="10845">
        <f ca="1"/>
        <v>151.6765</v>
      </c>
      <c r="E910" vm="4310">
        <f ca="1"/>
        <v>73.77</v>
      </c>
      <c r="F910" vm="10846">
        <f ca="1"/>
        <v>770</v>
      </c>
      <c r="G910" vm="6509">
        <f ca="1"/>
        <v>154.58000000000001</v>
      </c>
      <c r="H910" vm="10847">
        <f ca="1"/>
        <v>309.3</v>
      </c>
      <c r="I910" vm="10848">
        <f ca="1"/>
        <v>70.36</v>
      </c>
      <c r="J910" vm="10849">
        <f ca="1"/>
        <v>19.43</v>
      </c>
      <c r="K910" vm="10850">
        <f ca="1"/>
        <v>10.4655</v>
      </c>
      <c r="L910" vm="10851">
        <f ca="1"/>
        <v>128.31</v>
      </c>
      <c r="M910" vm="10852">
        <f ca="1"/>
        <v>306.68</v>
      </c>
      <c r="N910" vm="10853">
        <f ca="1"/>
        <v>3258.44</v>
      </c>
    </row>
    <row r="911" spans="2:14" x14ac:dyDescent="0.35">
      <c r="B911" vm="10854">
        <f ca="1"/>
        <v>44042</v>
      </c>
      <c r="C911" vm="10855">
        <f ca="1"/>
        <v>76.918499999999995</v>
      </c>
      <c r="D911" vm="10856">
        <f ca="1"/>
        <v>152.59399999999999</v>
      </c>
      <c r="E911" vm="4265">
        <f ca="1"/>
        <v>73.45</v>
      </c>
      <c r="F911" vm="10857">
        <f ca="1"/>
        <v>777.95</v>
      </c>
      <c r="G911" vm="10858">
        <f ca="1"/>
        <v>149.16</v>
      </c>
      <c r="H911" vm="10859">
        <f ca="1"/>
        <v>309</v>
      </c>
      <c r="I911" vm="10860">
        <f ca="1"/>
        <v>70.584999999999994</v>
      </c>
      <c r="J911" vm="10765">
        <f ca="1"/>
        <v>18.440000000000001</v>
      </c>
      <c r="K911" vm="10861">
        <f ca="1"/>
        <v>10.614000000000001</v>
      </c>
      <c r="L911" vm="10862">
        <f ca="1"/>
        <v>131.41999999999999</v>
      </c>
      <c r="M911" vm="10863">
        <f ca="1"/>
        <v>305.23</v>
      </c>
      <c r="N911" vm="10864">
        <f ca="1"/>
        <v>3246.22</v>
      </c>
    </row>
    <row r="912" spans="2:14" x14ac:dyDescent="0.35">
      <c r="B912" vm="10865">
        <f ca="1"/>
        <v>44043</v>
      </c>
      <c r="C912" vm="10866">
        <f ca="1"/>
        <v>74.397499999999994</v>
      </c>
      <c r="D912" vm="10867">
        <f ca="1"/>
        <v>158.23400000000001</v>
      </c>
      <c r="E912" vm="10868">
        <f ca="1"/>
        <v>73.63</v>
      </c>
      <c r="F912" vm="10869">
        <f ca="1"/>
        <v>785.48</v>
      </c>
      <c r="G912" vm="10870">
        <f ca="1"/>
        <v>149.37</v>
      </c>
      <c r="H912" vm="10871">
        <f ca="1"/>
        <v>308.52999999999997</v>
      </c>
      <c r="I912" vm="10872">
        <f ca="1"/>
        <v>70.174999999999997</v>
      </c>
      <c r="J912" vm="10873">
        <f ca="1"/>
        <v>18.14</v>
      </c>
      <c r="K912" vm="10874">
        <f ca="1"/>
        <v>10.614800000000001</v>
      </c>
      <c r="L912" vm="10875">
        <f ca="1"/>
        <v>131.12</v>
      </c>
      <c r="M912" vm="10876">
        <f ca="1"/>
        <v>302.77999999999997</v>
      </c>
      <c r="N912" vm="10877">
        <f ca="1"/>
        <v>3271.12</v>
      </c>
    </row>
    <row r="913" spans="2:14" x14ac:dyDescent="0.35">
      <c r="B913" vm="10878">
        <f ca="1"/>
        <v>44046</v>
      </c>
      <c r="C913" vm="10879">
        <f ca="1"/>
        <v>74.138000000000005</v>
      </c>
      <c r="D913" vm="10880">
        <f ca="1"/>
        <v>155.59450000000001</v>
      </c>
      <c r="E913" vm="4298">
        <f ca="1"/>
        <v>74.180000000000007</v>
      </c>
      <c r="F913" vm="10881">
        <f ca="1"/>
        <v>779.12</v>
      </c>
      <c r="G913" vm="10882">
        <f ca="1"/>
        <v>148.53</v>
      </c>
      <c r="H913" vm="10883">
        <f ca="1"/>
        <v>312.58999999999997</v>
      </c>
      <c r="I913" vm="9518">
        <f ca="1"/>
        <v>69.397499999999994</v>
      </c>
      <c r="J913" vm="10884">
        <f ca="1"/>
        <v>18.72</v>
      </c>
      <c r="K913" vm="10885">
        <f ca="1"/>
        <v>11.010300000000001</v>
      </c>
      <c r="L913" vm="10886">
        <f ca="1"/>
        <v>131.29</v>
      </c>
      <c r="M913" vm="10887">
        <f ca="1"/>
        <v>303.61</v>
      </c>
      <c r="N913" vm="10888">
        <f ca="1"/>
        <v>3294.61</v>
      </c>
    </row>
    <row r="914" spans="2:14" x14ac:dyDescent="0.35">
      <c r="B914" vm="10889">
        <f ca="1"/>
        <v>44047</v>
      </c>
      <c r="C914" vm="10890">
        <f ca="1"/>
        <v>73.665000000000006</v>
      </c>
      <c r="D914" vm="10891">
        <f ca="1"/>
        <v>156.94149999999999</v>
      </c>
      <c r="E914" vm="10892">
        <f ca="1"/>
        <v>75.13</v>
      </c>
      <c r="F914" vm="10893">
        <f ca="1"/>
        <v>793.43</v>
      </c>
      <c r="G914" vm="10894">
        <f ca="1"/>
        <v>147.33000000000001</v>
      </c>
      <c r="H914" vm="10895">
        <f ca="1"/>
        <v>314.39</v>
      </c>
      <c r="I914" vm="10896">
        <f ca="1"/>
        <v>71.262500000000003</v>
      </c>
      <c r="J914" vm="10897">
        <f ca="1"/>
        <v>19.23</v>
      </c>
      <c r="K914" vm="10898">
        <f ca="1"/>
        <v>11.2278</v>
      </c>
      <c r="L914" vm="9844">
        <f ca="1"/>
        <v>133.79</v>
      </c>
      <c r="M914" vm="10899">
        <f ca="1"/>
        <v>304.5</v>
      </c>
      <c r="N914" vm="10900">
        <f ca="1"/>
        <v>3306.51</v>
      </c>
    </row>
    <row r="915" spans="2:14" x14ac:dyDescent="0.35">
      <c r="B915" vm="10901">
        <f ca="1"/>
        <v>44048</v>
      </c>
      <c r="C915" vm="10902">
        <f ca="1"/>
        <v>73.954499999999996</v>
      </c>
      <c r="D915" vm="10903">
        <f ca="1"/>
        <v>160.25149999999999</v>
      </c>
      <c r="E915" vm="10904">
        <f ca="1"/>
        <v>75.040000000000006</v>
      </c>
      <c r="F915" vm="10905">
        <f ca="1"/>
        <v>794.04</v>
      </c>
      <c r="G915" vm="10906">
        <f ca="1"/>
        <v>150.82</v>
      </c>
      <c r="H915" vm="10907">
        <f ca="1"/>
        <v>328</v>
      </c>
      <c r="I915" vm="10908">
        <f ca="1"/>
        <v>70.944999999999993</v>
      </c>
      <c r="J915" vm="10909">
        <f ca="1"/>
        <v>19.5</v>
      </c>
      <c r="K915" vm="10910">
        <f ca="1"/>
        <v>11.286799999999999</v>
      </c>
      <c r="L915" vm="10911">
        <f ca="1"/>
        <v>133.44</v>
      </c>
      <c r="M915" vm="10912">
        <f ca="1"/>
        <v>312.47000000000003</v>
      </c>
      <c r="N915" vm="10913">
        <f ca="1"/>
        <v>3327.77</v>
      </c>
    </row>
    <row r="916" spans="2:14" x14ac:dyDescent="0.35">
      <c r="B916" vm="10914">
        <f ca="1"/>
        <v>44049</v>
      </c>
      <c r="C916" vm="10915">
        <f ca="1"/>
        <v>75.247500000000002</v>
      </c>
      <c r="D916" vm="10916">
        <f ca="1"/>
        <v>161.25</v>
      </c>
      <c r="E916" vm="10917">
        <f ca="1"/>
        <v>74.44</v>
      </c>
      <c r="F916" vm="10918">
        <f ca="1"/>
        <v>792.06</v>
      </c>
      <c r="G916" vm="10919">
        <f ca="1"/>
        <v>152.58000000000001</v>
      </c>
      <c r="H916" vm="10920">
        <f ca="1"/>
        <v>330.14</v>
      </c>
      <c r="I916" vm="10921">
        <f ca="1"/>
        <v>70.702500000000001</v>
      </c>
      <c r="J916" vm="10477">
        <f ca="1"/>
        <v>19.32</v>
      </c>
      <c r="K916" vm="10922">
        <f ca="1"/>
        <v>11.3355</v>
      </c>
      <c r="L916" vm="10923">
        <f ca="1"/>
        <v>132.71</v>
      </c>
      <c r="M916" vm="10924">
        <f ca="1"/>
        <v>314.06</v>
      </c>
      <c r="N916" vm="10925">
        <f ca="1"/>
        <v>3349.16</v>
      </c>
    </row>
    <row r="917" spans="2:14" x14ac:dyDescent="0.35">
      <c r="B917" vm="10926">
        <f ca="1"/>
        <v>44050</v>
      </c>
      <c r="C917" vm="10927">
        <f ca="1"/>
        <v>74.918499999999995</v>
      </c>
      <c r="D917" vm="10928">
        <f ca="1"/>
        <v>158.37299999999999</v>
      </c>
      <c r="E917" vm="10929">
        <f ca="1"/>
        <v>75.53</v>
      </c>
      <c r="F917" vm="10930">
        <f ca="1"/>
        <v>791.7</v>
      </c>
      <c r="G917" vm="10931">
        <f ca="1"/>
        <v>155.11000000000001</v>
      </c>
      <c r="H917" vm="10932">
        <f ca="1"/>
        <v>328.02</v>
      </c>
      <c r="I917" vm="10933">
        <f ca="1"/>
        <v>71.944999999999993</v>
      </c>
      <c r="J917" vm="10934">
        <f ca="1"/>
        <v>19.63</v>
      </c>
      <c r="K917" vm="10935">
        <f ca="1"/>
        <v>11.1995</v>
      </c>
      <c r="L917" vm="10936">
        <f ca="1"/>
        <v>133.55000000000001</v>
      </c>
      <c r="M917" vm="10937">
        <f ca="1"/>
        <v>317.02999999999997</v>
      </c>
      <c r="N917" vm="10938">
        <f ca="1"/>
        <v>3351.28</v>
      </c>
    </row>
    <row r="918" spans="2:14" x14ac:dyDescent="0.35">
      <c r="B918" vm="10939">
        <f ca="1"/>
        <v>44053</v>
      </c>
      <c r="C918" vm="10940">
        <f ca="1"/>
        <v>74.840999999999994</v>
      </c>
      <c r="D918" vm="10941">
        <f ca="1"/>
        <v>157.40799999999999</v>
      </c>
      <c r="E918" vm="10942">
        <f ca="1"/>
        <v>75.33</v>
      </c>
      <c r="F918" vm="10943">
        <f ca="1"/>
        <v>782.74</v>
      </c>
      <c r="G918" vm="10944">
        <f ca="1"/>
        <v>159.43</v>
      </c>
      <c r="H918" vm="10945">
        <f ca="1"/>
        <v>322.88</v>
      </c>
      <c r="I918" vm="10946">
        <f ca="1"/>
        <v>70.91</v>
      </c>
      <c r="J918" vm="10947">
        <f ca="1"/>
        <v>20.22</v>
      </c>
      <c r="K918" vm="10948">
        <f ca="1"/>
        <v>11.164999999999999</v>
      </c>
      <c r="L918" vm="10949">
        <f ca="1"/>
        <v>134.1</v>
      </c>
      <c r="M918" vm="10950">
        <f ca="1"/>
        <v>319.10000000000002</v>
      </c>
      <c r="N918" vm="10951">
        <f ca="1"/>
        <v>3360.47</v>
      </c>
    </row>
    <row r="919" spans="2:14" x14ac:dyDescent="0.35">
      <c r="B919" vm="10952">
        <f ca="1"/>
        <v>44054</v>
      </c>
      <c r="C919" vm="10953">
        <f ca="1"/>
        <v>74.027000000000001</v>
      </c>
      <c r="D919" vm="10954">
        <f ca="1"/>
        <v>154.0335</v>
      </c>
      <c r="E919" vm="7886">
        <f ca="1"/>
        <v>73.95</v>
      </c>
      <c r="F919" vm="10955">
        <f ca="1"/>
        <v>758.17</v>
      </c>
      <c r="G919" vm="10956">
        <f ca="1"/>
        <v>160.28</v>
      </c>
      <c r="H919" vm="10957">
        <f ca="1"/>
        <v>328.54</v>
      </c>
      <c r="I919" vm="10958">
        <f ca="1"/>
        <v>69.447500000000005</v>
      </c>
      <c r="J919" vm="10959">
        <f ca="1"/>
        <v>20.3</v>
      </c>
      <c r="K919" vm="10960">
        <f ca="1"/>
        <v>10.85</v>
      </c>
      <c r="L919" vm="10961">
        <f ca="1"/>
        <v>133.22999999999999</v>
      </c>
      <c r="M919" vm="10962">
        <f ca="1"/>
        <v>315.55</v>
      </c>
      <c r="N919" vm="10963">
        <f ca="1"/>
        <v>3333.69</v>
      </c>
    </row>
    <row r="920" spans="2:14" x14ac:dyDescent="0.35">
      <c r="B920" vm="10964">
        <f ca="1"/>
        <v>44055</v>
      </c>
      <c r="C920" vm="10965">
        <f ca="1"/>
        <v>75.361999999999995</v>
      </c>
      <c r="D920" vm="10966">
        <f ca="1"/>
        <v>158.11199999999999</v>
      </c>
      <c r="E920" vm="10967">
        <f ca="1"/>
        <v>74.38</v>
      </c>
      <c r="F920" vm="10968">
        <f ca="1"/>
        <v>772.99</v>
      </c>
      <c r="G920" vm="10969">
        <f ca="1"/>
        <v>160.07</v>
      </c>
      <c r="H920" vm="10970">
        <f ca="1"/>
        <v>327.63</v>
      </c>
      <c r="I920" vm="10971">
        <f ca="1"/>
        <v>71.147499999999994</v>
      </c>
      <c r="J920" vm="10972">
        <f ca="1"/>
        <v>20.36</v>
      </c>
      <c r="K920" vm="10973">
        <f ca="1"/>
        <v>11.440300000000001</v>
      </c>
      <c r="L920" vm="10974">
        <f ca="1"/>
        <v>135.46</v>
      </c>
      <c r="M920" vm="10975">
        <f ca="1"/>
        <v>322.27</v>
      </c>
      <c r="N920" vm="10976">
        <f ca="1"/>
        <v>3380.35</v>
      </c>
    </row>
    <row r="921" spans="2:14" x14ac:dyDescent="0.35">
      <c r="B921" vm="10977">
        <f ca="1"/>
        <v>44056</v>
      </c>
      <c r="C921" vm="10978">
        <f ca="1"/>
        <v>75.832499999999996</v>
      </c>
      <c r="D921" vm="10979">
        <f ca="1"/>
        <v>158.05099999999999</v>
      </c>
      <c r="E921" vm="10980">
        <f ca="1"/>
        <v>75.23</v>
      </c>
      <c r="F921" vm="10981">
        <f ca="1"/>
        <v>770.12</v>
      </c>
      <c r="G921" vm="10982">
        <f ca="1"/>
        <v>158.97999999999999</v>
      </c>
      <c r="H921" vm="10983">
        <f ca="1"/>
        <v>326.19</v>
      </c>
      <c r="I921" vm="10984">
        <f ca="1"/>
        <v>71.099999999999994</v>
      </c>
      <c r="J921" vm="10985">
        <f ca="1"/>
        <v>19.87</v>
      </c>
      <c r="K921" vm="10986">
        <f ca="1"/>
        <v>11.443</v>
      </c>
      <c r="L921" vm="10987">
        <f ca="1"/>
        <v>135.78</v>
      </c>
      <c r="M921" vm="10988">
        <f ca="1"/>
        <v>321.52</v>
      </c>
      <c r="N921" vm="10989">
        <f ca="1"/>
        <v>3373.43</v>
      </c>
    </row>
    <row r="922" spans="2:14" x14ac:dyDescent="0.35">
      <c r="B922" vm="10990">
        <f ca="1"/>
        <v>44057</v>
      </c>
      <c r="C922" vm="10991">
        <f ca="1"/>
        <v>75.231499999999997</v>
      </c>
      <c r="D922" vm="10992">
        <f ca="1"/>
        <v>157.40100000000001</v>
      </c>
      <c r="E922" vm="10993">
        <f ca="1"/>
        <v>75.5</v>
      </c>
      <c r="F922" vm="10994">
        <f ca="1"/>
        <v>762.01</v>
      </c>
      <c r="G922" vm="10956">
        <f ca="1"/>
        <v>160.28</v>
      </c>
      <c r="H922" vm="10995">
        <f ca="1"/>
        <v>326.8</v>
      </c>
      <c r="I922" vm="10996">
        <f ca="1"/>
        <v>70.125</v>
      </c>
      <c r="J922" vm="10997">
        <f ca="1"/>
        <v>20.07</v>
      </c>
      <c r="K922" vm="10998">
        <f ca="1"/>
        <v>11.564</v>
      </c>
      <c r="L922" vm="10999">
        <f ca="1"/>
        <v>135.1</v>
      </c>
      <c r="M922" vm="11000">
        <f ca="1"/>
        <v>323.7</v>
      </c>
      <c r="N922" vm="11001">
        <f ca="1"/>
        <v>3372.85</v>
      </c>
    </row>
    <row r="923" spans="2:14" x14ac:dyDescent="0.35">
      <c r="B923" vm="11002">
        <f ca="1"/>
        <v>44060</v>
      </c>
      <c r="C923" vm="11003">
        <f ca="1"/>
        <v>75.811999999999998</v>
      </c>
      <c r="D923" vm="11004">
        <f ca="1"/>
        <v>159.12049999999999</v>
      </c>
      <c r="E923" vm="11005">
        <f ca="1"/>
        <v>76.209999999999994</v>
      </c>
      <c r="F923" vm="11006">
        <f ca="1"/>
        <v>772.08</v>
      </c>
      <c r="G923" vm="11007">
        <f ca="1"/>
        <v>158.76</v>
      </c>
      <c r="H923" vm="11008">
        <f ca="1"/>
        <v>330.23</v>
      </c>
      <c r="I923" vm="11009">
        <f ca="1"/>
        <v>70.747500000000002</v>
      </c>
      <c r="J923" vm="11010">
        <f ca="1"/>
        <v>20.010000000000002</v>
      </c>
      <c r="K923" vm="11011">
        <f ca="1"/>
        <v>12.337</v>
      </c>
      <c r="L923" vm="11012">
        <f ca="1"/>
        <v>135.5</v>
      </c>
      <c r="M923" vm="11013">
        <f ca="1"/>
        <v>320.51</v>
      </c>
      <c r="N923" vm="11014">
        <f ca="1"/>
        <v>3381.99</v>
      </c>
    </row>
    <row r="924" spans="2:14" x14ac:dyDescent="0.35">
      <c r="B924" vm="11015">
        <f ca="1"/>
        <v>44061</v>
      </c>
      <c r="C924" vm="11016">
        <f ca="1"/>
        <v>77.789000000000001</v>
      </c>
      <c r="D924" vm="11017">
        <f ca="1"/>
        <v>165.62450000000001</v>
      </c>
      <c r="E924" vm="11018">
        <f ca="1"/>
        <v>76.36</v>
      </c>
      <c r="F924" vm="11019">
        <f ca="1"/>
        <v>786.85</v>
      </c>
      <c r="G924" vm="11020">
        <f ca="1"/>
        <v>157.38</v>
      </c>
      <c r="H924" vm="11021">
        <f ca="1"/>
        <v>331</v>
      </c>
      <c r="I924" vm="11022">
        <f ca="1"/>
        <v>70.762500000000003</v>
      </c>
      <c r="J924" vm="11023">
        <f ca="1"/>
        <v>19.77</v>
      </c>
      <c r="K924" vm="11024">
        <f ca="1"/>
        <v>12.2608</v>
      </c>
      <c r="L924" vm="11025">
        <f ca="1"/>
        <v>136.51</v>
      </c>
      <c r="M924" vm="11026">
        <f ca="1"/>
        <v>316.81</v>
      </c>
      <c r="N924" vm="11027">
        <f ca="1"/>
        <v>3389.78</v>
      </c>
    </row>
    <row r="925" spans="2:14" x14ac:dyDescent="0.35">
      <c r="B925" vm="11028">
        <f ca="1"/>
        <v>44062</v>
      </c>
      <c r="C925" vm="11029">
        <f ca="1"/>
        <v>77.230500000000006</v>
      </c>
      <c r="D925" vm="11030">
        <f ca="1"/>
        <v>163.024</v>
      </c>
      <c r="E925" vm="11031">
        <f ca="1"/>
        <v>75.88</v>
      </c>
      <c r="F925" vm="11032">
        <f ca="1"/>
        <v>778.71</v>
      </c>
      <c r="G925" vm="11033">
        <f ca="1"/>
        <v>156.85</v>
      </c>
      <c r="H925" vm="11034">
        <f ca="1"/>
        <v>332.4</v>
      </c>
      <c r="I925" vm="10860">
        <f ca="1"/>
        <v>70.584999999999994</v>
      </c>
      <c r="J925" vm="11035">
        <f ca="1"/>
        <v>19.72</v>
      </c>
      <c r="K925" vm="11036">
        <f ca="1"/>
        <v>12.138500000000001</v>
      </c>
      <c r="L925" vm="11037">
        <f ca="1"/>
        <v>135.77000000000001</v>
      </c>
      <c r="M925" vm="11038">
        <f ca="1"/>
        <v>315.39999999999998</v>
      </c>
      <c r="N925" vm="11039">
        <f ca="1"/>
        <v>3374.85</v>
      </c>
    </row>
    <row r="926" spans="2:14" x14ac:dyDescent="0.35">
      <c r="B926" vm="11040">
        <f ca="1"/>
        <v>44063</v>
      </c>
      <c r="C926" vm="11041">
        <f ca="1"/>
        <v>78.8125</v>
      </c>
      <c r="D926" vm="11042">
        <f ca="1"/>
        <v>164.86850000000001</v>
      </c>
      <c r="E926" vm="4416">
        <f ca="1"/>
        <v>75.760000000000005</v>
      </c>
      <c r="F926" vm="11043">
        <f ca="1"/>
        <v>784.91</v>
      </c>
      <c r="G926" vm="11044">
        <f ca="1"/>
        <v>156.16999999999999</v>
      </c>
      <c r="H926" vm="11045">
        <f ca="1"/>
        <v>337.32</v>
      </c>
      <c r="I926" vm="11046">
        <f ca="1"/>
        <v>70.527500000000003</v>
      </c>
      <c r="J926" vm="11047">
        <f ca="1"/>
        <v>18.77</v>
      </c>
      <c r="K926" vm="11048">
        <f ca="1"/>
        <v>12.141</v>
      </c>
      <c r="L926" vm="11049">
        <f ca="1"/>
        <v>136.85</v>
      </c>
      <c r="M926" vm="11050">
        <f ca="1"/>
        <v>313.33</v>
      </c>
      <c r="N926" vm="11051">
        <f ca="1"/>
        <v>3385.51</v>
      </c>
    </row>
    <row r="927" spans="2:14" x14ac:dyDescent="0.35">
      <c r="B927" vm="11052">
        <f ca="1"/>
        <v>44064</v>
      </c>
      <c r="C927" vm="11053">
        <f ca="1"/>
        <v>78.778499999999994</v>
      </c>
      <c r="D927" vm="11054">
        <f ca="1"/>
        <v>164.23599999999999</v>
      </c>
      <c r="E927" vm="11055">
        <f ca="1"/>
        <v>76.62</v>
      </c>
      <c r="F927" vm="11056">
        <f ca="1"/>
        <v>782.17</v>
      </c>
      <c r="G927" vm="11057">
        <f ca="1"/>
        <v>157.5</v>
      </c>
      <c r="H927" vm="11058">
        <f ca="1"/>
        <v>337.1</v>
      </c>
      <c r="I927" vm="11059">
        <f ca="1"/>
        <v>70.602500000000006</v>
      </c>
      <c r="J927" vm="11060">
        <f ca="1"/>
        <v>18.579999999999998</v>
      </c>
      <c r="K927" vm="11061">
        <f ca="1"/>
        <v>12.6835</v>
      </c>
      <c r="L927" vm="11062">
        <f ca="1"/>
        <v>137.44</v>
      </c>
      <c r="M927" vm="11063">
        <f ca="1"/>
        <v>314.14</v>
      </c>
      <c r="N927" vm="11064">
        <f ca="1"/>
        <v>3397.16</v>
      </c>
    </row>
    <row r="928" spans="2:14" x14ac:dyDescent="0.35">
      <c r="B928" vm="11065">
        <f ca="1"/>
        <v>44067</v>
      </c>
      <c r="C928" vm="11066">
        <f ca="1"/>
        <v>79.257499999999993</v>
      </c>
      <c r="D928" vm="11067">
        <f ca="1"/>
        <v>165.37299999999999</v>
      </c>
      <c r="E928" vm="3659">
        <f ca="1"/>
        <v>77.25</v>
      </c>
      <c r="F928" vm="11068">
        <f ca="1"/>
        <v>772.47</v>
      </c>
      <c r="G928" vm="11069">
        <f ca="1"/>
        <v>159.37</v>
      </c>
      <c r="H928" vm="11070">
        <f ca="1"/>
        <v>343.64</v>
      </c>
      <c r="I928" vm="11071">
        <f ca="1"/>
        <v>70.657499999999999</v>
      </c>
      <c r="J928" vm="10490">
        <f ca="1"/>
        <v>19.55</v>
      </c>
      <c r="K928" vm="11072">
        <f ca="1"/>
        <v>12.7203</v>
      </c>
      <c r="L928" vm="11073">
        <f ca="1"/>
        <v>138.51</v>
      </c>
      <c r="M928" vm="11074">
        <f ca="1"/>
        <v>308.83999999999997</v>
      </c>
      <c r="N928" vm="11075">
        <f ca="1"/>
        <v>3431.28</v>
      </c>
    </row>
    <row r="929" spans="2:14" x14ac:dyDescent="0.35">
      <c r="B929" vm="11076">
        <f ca="1"/>
        <v>44068</v>
      </c>
      <c r="C929" vm="11077">
        <f ca="1"/>
        <v>80.292500000000004</v>
      </c>
      <c r="D929" vm="11078">
        <f ca="1"/>
        <v>167.3245</v>
      </c>
      <c r="E929" vm="11079">
        <f ca="1"/>
        <v>77.47</v>
      </c>
      <c r="F929" vm="11080">
        <f ca="1"/>
        <v>779.71</v>
      </c>
      <c r="G929" vm="11081">
        <f ca="1"/>
        <v>164.53</v>
      </c>
      <c r="H929" vm="11082">
        <f ca="1"/>
        <v>347.66</v>
      </c>
      <c r="I929" vm="11083">
        <f ca="1"/>
        <v>70.327500000000001</v>
      </c>
      <c r="J929" vm="11084">
        <f ca="1"/>
        <v>19.260000000000002</v>
      </c>
      <c r="K929" vm="11085">
        <f ca="1"/>
        <v>12.75</v>
      </c>
      <c r="L929" vm="11086">
        <f ca="1"/>
        <v>139.06</v>
      </c>
      <c r="M929" vm="11087">
        <f ca="1"/>
        <v>312.22000000000003</v>
      </c>
      <c r="N929" vm="11088">
        <f ca="1"/>
        <v>3443.62</v>
      </c>
    </row>
    <row r="930" spans="2:14" x14ac:dyDescent="0.35">
      <c r="B930" vm="11089">
        <f ca="1"/>
        <v>44069</v>
      </c>
      <c r="C930" vm="11090">
        <f ca="1"/>
        <v>82.206500000000005</v>
      </c>
      <c r="D930" vm="11091">
        <f ca="1"/>
        <v>172.0925</v>
      </c>
      <c r="E930" vm="681">
        <f ca="1"/>
        <v>78.92</v>
      </c>
      <c r="F930" vm="11092">
        <f ca="1"/>
        <v>782</v>
      </c>
      <c r="G930" vm="11093">
        <f ca="1"/>
        <v>165.31</v>
      </c>
      <c r="H930" vm="11094">
        <f ca="1"/>
        <v>351.02</v>
      </c>
      <c r="I930" vm="3434">
        <f ca="1"/>
        <v>69.75</v>
      </c>
      <c r="J930" vm="11095">
        <f ca="1"/>
        <v>18.670000000000002</v>
      </c>
      <c r="K930" vm="11096">
        <f ca="1"/>
        <v>12.773</v>
      </c>
      <c r="L930" vm="11097">
        <f ca="1"/>
        <v>138.38999999999999</v>
      </c>
      <c r="M930" vm="11098">
        <f ca="1"/>
        <v>308.82</v>
      </c>
      <c r="N930" vm="11099">
        <f ca="1"/>
        <v>3478.73</v>
      </c>
    </row>
    <row r="931" spans="2:14" x14ac:dyDescent="0.35">
      <c r="B931" vm="11100">
        <f ca="1"/>
        <v>44070</v>
      </c>
      <c r="C931" vm="11101">
        <f ca="1"/>
        <v>81.426000000000002</v>
      </c>
      <c r="D931" vm="11102">
        <f ca="1"/>
        <v>170</v>
      </c>
      <c r="E931" vm="11103">
        <f ca="1"/>
        <v>79.34</v>
      </c>
      <c r="F931" vm="11104">
        <f ca="1"/>
        <v>789.65</v>
      </c>
      <c r="G931" vm="11105">
        <f ca="1"/>
        <v>165.99</v>
      </c>
      <c r="H931" vm="11106">
        <f ca="1"/>
        <v>356</v>
      </c>
      <c r="I931" vm="11107">
        <f ca="1"/>
        <v>69.72</v>
      </c>
      <c r="J931" vm="11108">
        <f ca="1"/>
        <v>18.7</v>
      </c>
      <c r="K931" vm="11109">
        <f ca="1"/>
        <v>12.628299999999999</v>
      </c>
      <c r="L931" vm="10586">
        <f ca="1"/>
        <v>138.21</v>
      </c>
      <c r="M931" vm="11110">
        <f ca="1"/>
        <v>311.67</v>
      </c>
      <c r="N931" vm="11111">
        <f ca="1"/>
        <v>3484.55</v>
      </c>
    </row>
    <row r="932" spans="2:14" x14ac:dyDescent="0.35">
      <c r="B932" vm="11112">
        <f ca="1"/>
        <v>44071</v>
      </c>
      <c r="C932" vm="11113">
        <f ca="1"/>
        <v>81.971500000000006</v>
      </c>
      <c r="D932" vm="11114">
        <f ca="1"/>
        <v>170.09</v>
      </c>
      <c r="E932" vm="11115">
        <f ca="1"/>
        <v>80.27</v>
      </c>
      <c r="F932" vm="11116">
        <f ca="1"/>
        <v>787.02</v>
      </c>
      <c r="G932" vm="11117">
        <f ca="1"/>
        <v>168.38</v>
      </c>
      <c r="H932" vm="11118">
        <f ca="1"/>
        <v>366.12</v>
      </c>
      <c r="I932" vm="11119">
        <f ca="1"/>
        <v>69.887500000000003</v>
      </c>
      <c r="J932" vm="11120">
        <f ca="1"/>
        <v>19.420000000000002</v>
      </c>
      <c r="K932" vm="11121">
        <f ca="1"/>
        <v>13.1478</v>
      </c>
      <c r="L932" vm="11122">
        <f ca="1"/>
        <v>138.77000000000001</v>
      </c>
      <c r="M932" vm="11123">
        <f ca="1"/>
        <v>314.37</v>
      </c>
      <c r="N932" vm="11124">
        <f ca="1"/>
        <v>3508.01</v>
      </c>
    </row>
    <row r="933" spans="2:14" x14ac:dyDescent="0.35">
      <c r="B933" vm="11125">
        <f ca="1"/>
        <v>44074</v>
      </c>
      <c r="C933" vm="11126">
        <f ca="1"/>
        <v>81.476500000000001</v>
      </c>
      <c r="D933" vm="11127">
        <f ca="1"/>
        <v>172.548</v>
      </c>
      <c r="E933" vm="11128">
        <f ca="1"/>
        <v>80.37</v>
      </c>
      <c r="F933" vm="11129">
        <f ca="1"/>
        <v>789.78</v>
      </c>
      <c r="G933" vm="11130">
        <f ca="1"/>
        <v>165.55</v>
      </c>
      <c r="H933" vm="11131">
        <f ca="1"/>
        <v>358.19</v>
      </c>
      <c r="I933" vm="11132">
        <f ca="1"/>
        <v>69.792500000000004</v>
      </c>
      <c r="J933" vm="11133">
        <f ca="1"/>
        <v>19.010000000000002</v>
      </c>
      <c r="K933" vm="11134">
        <f ca="1"/>
        <v>13.374499999999999</v>
      </c>
      <c r="L933" vm="11135">
        <f ca="1"/>
        <v>138.33000000000001</v>
      </c>
      <c r="M933" vm="11136">
        <f ca="1"/>
        <v>312.55</v>
      </c>
      <c r="N933" vm="11137">
        <f ca="1"/>
        <v>3500.31</v>
      </c>
    </row>
    <row r="934" spans="2:14" x14ac:dyDescent="0.35">
      <c r="B934" vm="11138">
        <f ca="1"/>
        <v>44075</v>
      </c>
      <c r="C934" vm="11139">
        <f ca="1"/>
        <v>82.754000000000005</v>
      </c>
      <c r="D934" vm="11140">
        <f ca="1"/>
        <v>174.95599999999999</v>
      </c>
      <c r="E934" vm="11141">
        <f ca="1"/>
        <v>81.97</v>
      </c>
      <c r="F934" vm="11142">
        <f ca="1"/>
        <v>789.8</v>
      </c>
      <c r="G934" vm="8257">
        <f ca="1"/>
        <v>167.97</v>
      </c>
      <c r="H934" vm="11143">
        <f ca="1"/>
        <v>356.9</v>
      </c>
      <c r="I934" vm="11144">
        <f ca="1"/>
        <v>69.282499999999999</v>
      </c>
      <c r="J934" vm="11145">
        <f ca="1"/>
        <v>18.63</v>
      </c>
      <c r="K934" vm="11146">
        <f ca="1"/>
        <v>13.821</v>
      </c>
      <c r="L934" vm="11147">
        <f ca="1"/>
        <v>138.18</v>
      </c>
      <c r="M934" vm="11148">
        <f ca="1"/>
        <v>312.83</v>
      </c>
      <c r="N934" vm="11149">
        <f ca="1"/>
        <v>3526.65</v>
      </c>
    </row>
    <row r="935" spans="2:14" x14ac:dyDescent="0.35">
      <c r="B935" vm="11150">
        <f ca="1"/>
        <v>44076</v>
      </c>
      <c r="C935" vm="11151">
        <f ca="1"/>
        <v>85.869500000000002</v>
      </c>
      <c r="D935" vm="11152">
        <f ca="1"/>
        <v>176.57249999999999</v>
      </c>
      <c r="E935" vm="11153">
        <f ca="1"/>
        <v>84.59</v>
      </c>
      <c r="F935" vm="11154">
        <f ca="1"/>
        <v>799.61</v>
      </c>
      <c r="G935" vm="3874">
        <f ca="1"/>
        <v>172.47</v>
      </c>
      <c r="H935" vm="11155">
        <f ca="1"/>
        <v>360.7</v>
      </c>
      <c r="I935" vm="11156">
        <f ca="1"/>
        <v>72.064999999999998</v>
      </c>
      <c r="J935" vm="11047">
        <f ca="1"/>
        <v>18.77</v>
      </c>
      <c r="K935" vm="11157">
        <f ca="1"/>
        <v>14.346500000000001</v>
      </c>
      <c r="L935" vm="11158">
        <f ca="1"/>
        <v>140.51</v>
      </c>
      <c r="M935" vm="11159">
        <f ca="1"/>
        <v>320.24</v>
      </c>
      <c r="N935" vm="11160">
        <f ca="1"/>
        <v>3580.84</v>
      </c>
    </row>
    <row r="936" spans="2:14" x14ac:dyDescent="0.35">
      <c r="B936" vm="11161">
        <f ca="1"/>
        <v>44077</v>
      </c>
      <c r="C936" vm="6145">
        <f ca="1"/>
        <v>81.475499999999997</v>
      </c>
      <c r="D936" vm="11162">
        <f ca="1"/>
        <v>168.4</v>
      </c>
      <c r="E936" vm="5051">
        <f ca="1"/>
        <v>83.24</v>
      </c>
      <c r="F936" vm="11163">
        <f ca="1"/>
        <v>762.45</v>
      </c>
      <c r="G936" vm="11164">
        <f ca="1"/>
        <v>166.3</v>
      </c>
      <c r="H936" vm="11165">
        <f ca="1"/>
        <v>343.84</v>
      </c>
      <c r="I936" vm="11166">
        <f ca="1"/>
        <v>70.147499999999994</v>
      </c>
      <c r="J936" vm="11167">
        <f ca="1"/>
        <v>19.12</v>
      </c>
      <c r="K936" vm="11168">
        <f ca="1"/>
        <v>13.015499999999999</v>
      </c>
      <c r="L936" vm="11169">
        <f ca="1"/>
        <v>138.26</v>
      </c>
      <c r="M936" vm="11170">
        <f ca="1"/>
        <v>316.23</v>
      </c>
      <c r="N936" vm="11171">
        <f ca="1"/>
        <v>3455.06</v>
      </c>
    </row>
    <row r="937" spans="2:14" x14ac:dyDescent="0.35">
      <c r="B937" vm="11172">
        <f ca="1"/>
        <v>44078</v>
      </c>
      <c r="C937" vm="11173">
        <f ca="1"/>
        <v>79.060500000000005</v>
      </c>
      <c r="D937" vm="11174">
        <f ca="1"/>
        <v>164.73099999999999</v>
      </c>
      <c r="E937" vm="11175">
        <f ca="1"/>
        <v>82.47</v>
      </c>
      <c r="F937" vm="11176">
        <f ca="1"/>
        <v>752.18</v>
      </c>
      <c r="G937" vm="11177">
        <f ca="1"/>
        <v>166.69</v>
      </c>
      <c r="H937" vm="11178">
        <f ca="1"/>
        <v>335.01</v>
      </c>
      <c r="I937" vm="11179">
        <f ca="1"/>
        <v>69.33</v>
      </c>
      <c r="J937" vm="11180">
        <f ca="1"/>
        <v>19.309999999999999</v>
      </c>
      <c r="K937" vm="11181">
        <f ca="1"/>
        <v>12.6225</v>
      </c>
      <c r="L937" vm="11182">
        <f ca="1"/>
        <v>137.96</v>
      </c>
      <c r="M937" vm="11183">
        <f ca="1"/>
        <v>312</v>
      </c>
      <c r="N937" vm="11184">
        <f ca="1"/>
        <v>3426.96</v>
      </c>
    </row>
    <row r="938" spans="2:14" x14ac:dyDescent="0.35">
      <c r="B938" vm="11185">
        <f ca="1"/>
        <v>44082</v>
      </c>
      <c r="C938" vm="11186">
        <f ca="1"/>
        <v>76.180000000000007</v>
      </c>
      <c r="D938" vm="11187">
        <f ca="1"/>
        <v>157.49199999999999</v>
      </c>
      <c r="E938" vm="11188">
        <f ca="1"/>
        <v>80.55</v>
      </c>
      <c r="F938" vm="11189">
        <f ca="1"/>
        <v>741.05</v>
      </c>
      <c r="G938" vm="11190">
        <f ca="1"/>
        <v>164.27</v>
      </c>
      <c r="H938" vm="11191">
        <f ca="1"/>
        <v>329.88</v>
      </c>
      <c r="I938" vm="11192">
        <f ca="1"/>
        <v>69.477500000000006</v>
      </c>
      <c r="J938" vm="11193">
        <f ca="1"/>
        <v>18.38</v>
      </c>
      <c r="K938" vm="11194">
        <f ca="1"/>
        <v>11.913</v>
      </c>
      <c r="L938" vm="11195">
        <f ca="1"/>
        <v>135.94</v>
      </c>
      <c r="M938" vm="11196">
        <f ca="1"/>
        <v>307.25</v>
      </c>
      <c r="N938" vm="11197">
        <f ca="1"/>
        <v>3331.84</v>
      </c>
    </row>
    <row r="939" spans="2:14" x14ac:dyDescent="0.35">
      <c r="B939" vm="11198">
        <f ca="1"/>
        <v>44083</v>
      </c>
      <c r="C939" vm="11199">
        <f ca="1"/>
        <v>77.361500000000007</v>
      </c>
      <c r="D939" vm="11200">
        <f ca="1"/>
        <v>163.43049999999999</v>
      </c>
      <c r="E939" vm="11201">
        <f ca="1"/>
        <v>81.62</v>
      </c>
      <c r="F939" vm="11202">
        <f ca="1"/>
        <v>753.42</v>
      </c>
      <c r="G939" vm="11203">
        <f ca="1"/>
        <v>165.75</v>
      </c>
      <c r="H939" vm="11204">
        <f ca="1"/>
        <v>339.64</v>
      </c>
      <c r="I939" vm="11205">
        <f ca="1"/>
        <v>70.592500000000001</v>
      </c>
      <c r="J939" vm="11206">
        <f ca="1"/>
        <v>18.61</v>
      </c>
      <c r="K939" vm="11207">
        <f ca="1"/>
        <v>12.715</v>
      </c>
      <c r="L939" vm="11208">
        <f ca="1"/>
        <v>138.15</v>
      </c>
      <c r="M939" vm="11209">
        <f ca="1"/>
        <v>312.02</v>
      </c>
      <c r="N939" vm="11210">
        <f ca="1"/>
        <v>3398.96</v>
      </c>
    </row>
    <row r="940" spans="2:14" x14ac:dyDescent="0.35">
      <c r="B940" vm="11211">
        <f ca="1"/>
        <v>44084</v>
      </c>
      <c r="C940" vm="11212">
        <f ca="1"/>
        <v>76.302499999999995</v>
      </c>
      <c r="D940" vm="11213">
        <f ca="1"/>
        <v>158.75550000000001</v>
      </c>
      <c r="E940" vm="11214">
        <f ca="1"/>
        <v>81</v>
      </c>
      <c r="F940" vm="11215">
        <f ca="1"/>
        <v>742.87</v>
      </c>
      <c r="G940" vm="11190">
        <f ca="1"/>
        <v>164.27</v>
      </c>
      <c r="H940" vm="11216">
        <f ca="1"/>
        <v>332.88</v>
      </c>
      <c r="I940" vm="11217">
        <f ca="1"/>
        <v>69.227500000000006</v>
      </c>
      <c r="J940" vm="11218">
        <f ca="1"/>
        <v>17.71</v>
      </c>
      <c r="K940" vm="11219">
        <f ca="1"/>
        <v>12.3118</v>
      </c>
      <c r="L940" vm="11220">
        <f ca="1"/>
        <v>136.69999999999999</v>
      </c>
      <c r="M940" vm="11221">
        <f ca="1"/>
        <v>304.60000000000002</v>
      </c>
      <c r="N940" vm="11222">
        <f ca="1"/>
        <v>3339.19</v>
      </c>
    </row>
    <row r="941" spans="2:14" x14ac:dyDescent="0.35">
      <c r="B941" vm="11223">
        <f ca="1"/>
        <v>44085</v>
      </c>
      <c r="C941" vm="11224">
        <f ca="1"/>
        <v>75.787999999999997</v>
      </c>
      <c r="D941" vm="11225">
        <f ca="1"/>
        <v>155.81100000000001</v>
      </c>
      <c r="E941" vm="11226">
        <f ca="1"/>
        <v>81.680000000000007</v>
      </c>
      <c r="F941" vm="11227">
        <f ca="1"/>
        <v>747.79</v>
      </c>
      <c r="G941" vm="11228">
        <f ca="1"/>
        <v>166.45</v>
      </c>
      <c r="H941" vm="11229">
        <f ca="1"/>
        <v>330.15</v>
      </c>
      <c r="I941" vm="11230">
        <f ca="1"/>
        <v>69.537499999999994</v>
      </c>
      <c r="J941" vm="11231">
        <f ca="1"/>
        <v>17.87</v>
      </c>
      <c r="K941" vm="11232">
        <f ca="1"/>
        <v>12.1645</v>
      </c>
      <c r="L941" vm="11233">
        <f ca="1"/>
        <v>138.13999999999999</v>
      </c>
      <c r="M941" vm="11234">
        <f ca="1"/>
        <v>301.48</v>
      </c>
      <c r="N941" vm="11235">
        <f ca="1"/>
        <v>3340.97</v>
      </c>
    </row>
    <row r="942" spans="2:14" x14ac:dyDescent="0.35">
      <c r="B942" vm="11236">
        <f ca="1"/>
        <v>44088</v>
      </c>
      <c r="C942" vm="11237">
        <f ca="1"/>
        <v>75.441500000000005</v>
      </c>
      <c r="D942" vm="11238">
        <f ca="1"/>
        <v>155.14850000000001</v>
      </c>
      <c r="E942" vm="11239">
        <f ca="1"/>
        <v>83.28</v>
      </c>
      <c r="F942" vm="11240">
        <f ca="1"/>
        <v>756.04</v>
      </c>
      <c r="G942" vm="11241">
        <f ca="1"/>
        <v>168.47</v>
      </c>
      <c r="H942" vm="11242">
        <f ca="1"/>
        <v>338.6</v>
      </c>
      <c r="I942" vm="11243">
        <f ca="1"/>
        <v>70.48</v>
      </c>
      <c r="J942" vm="11244">
        <f ca="1"/>
        <v>18.03</v>
      </c>
      <c r="K942" vm="11245">
        <f ca="1"/>
        <v>12.872299999999999</v>
      </c>
      <c r="L942" vm="11246">
        <f ca="1"/>
        <v>138.63</v>
      </c>
      <c r="M942" vm="11247">
        <f ca="1"/>
        <v>308.57</v>
      </c>
      <c r="N942" vm="11248">
        <f ca="1"/>
        <v>3383.54</v>
      </c>
    </row>
    <row r="943" spans="2:14" x14ac:dyDescent="0.35">
      <c r="B943" vm="11249">
        <f ca="1"/>
        <v>44089</v>
      </c>
      <c r="C943" vm="11250">
        <f ca="1"/>
        <v>76.756</v>
      </c>
      <c r="D943" vm="11251">
        <f ca="1"/>
        <v>157.8065</v>
      </c>
      <c r="E943" vm="11252">
        <f ca="1"/>
        <v>84.43</v>
      </c>
      <c r="F943" vm="11253">
        <f ca="1"/>
        <v>768.45</v>
      </c>
      <c r="G943" vm="571">
        <f ca="1"/>
        <v>168.3</v>
      </c>
      <c r="H943" vm="11254">
        <f ca="1"/>
        <v>339.14</v>
      </c>
      <c r="I943" vm="11255">
        <f ca="1"/>
        <v>73.924999999999997</v>
      </c>
      <c r="J943" vm="10085">
        <f ca="1"/>
        <v>18.2</v>
      </c>
      <c r="K943" vm="11256">
        <f ca="1"/>
        <v>12.991</v>
      </c>
      <c r="L943" vm="11246">
        <f ca="1"/>
        <v>138.63</v>
      </c>
      <c r="M943" vm="11257">
        <f ca="1"/>
        <v>307.23</v>
      </c>
      <c r="N943" vm="11258">
        <f ca="1"/>
        <v>3401.2</v>
      </c>
    </row>
    <row r="944" spans="2:14" x14ac:dyDescent="0.35">
      <c r="B944" vm="11259">
        <f ca="1"/>
        <v>44090</v>
      </c>
      <c r="C944" vm="11260">
        <f ca="1"/>
        <v>75.604500000000002</v>
      </c>
      <c r="D944" vm="11261">
        <f ca="1"/>
        <v>153.905</v>
      </c>
      <c r="E944" vm="11262">
        <f ca="1"/>
        <v>84.67</v>
      </c>
      <c r="F944" vm="11263">
        <f ca="1"/>
        <v>767.34</v>
      </c>
      <c r="G944" vm="11102">
        <f ca="1"/>
        <v>170</v>
      </c>
      <c r="H944" vm="11264">
        <f ca="1"/>
        <v>341.85</v>
      </c>
      <c r="I944" vm="11265">
        <f ca="1"/>
        <v>70.087500000000006</v>
      </c>
      <c r="J944" vm="11266">
        <f ca="1"/>
        <v>19.18</v>
      </c>
      <c r="K944" vm="11267">
        <f ca="1"/>
        <v>12.5145</v>
      </c>
      <c r="L944" vm="11268">
        <f ca="1"/>
        <v>137.69999999999999</v>
      </c>
      <c r="M944" vm="11269">
        <f ca="1"/>
        <v>306.52</v>
      </c>
      <c r="N944" vm="11270">
        <f ca="1"/>
        <v>3385.49</v>
      </c>
    </row>
    <row r="945" spans="2:14" x14ac:dyDescent="0.35">
      <c r="B945" vm="11271">
        <f ca="1"/>
        <v>44091</v>
      </c>
      <c r="C945" vm="11272">
        <f ca="1"/>
        <v>74.352000000000004</v>
      </c>
      <c r="D945" vm="11273">
        <f ca="1"/>
        <v>150.4365</v>
      </c>
      <c r="E945" vm="11274">
        <f ca="1"/>
        <v>84.1</v>
      </c>
      <c r="F945" vm="11275">
        <f ca="1"/>
        <v>755.65</v>
      </c>
      <c r="G945" vm="3339">
        <f ca="1"/>
        <v>170.34</v>
      </c>
      <c r="H945" vm="11276">
        <f ca="1"/>
        <v>339.43</v>
      </c>
      <c r="I945" vm="11277">
        <f ca="1"/>
        <v>69.88</v>
      </c>
      <c r="J945" vm="11278">
        <f ca="1"/>
        <v>19.079999999999998</v>
      </c>
      <c r="K945" vm="11279">
        <f ca="1"/>
        <v>12.4635</v>
      </c>
      <c r="L945" vm="11280">
        <f ca="1"/>
        <v>137.52000000000001</v>
      </c>
      <c r="M945" vm="11281">
        <f ca="1"/>
        <v>304.98</v>
      </c>
      <c r="N945" vm="11282">
        <f ca="1"/>
        <v>3357.01</v>
      </c>
    </row>
    <row r="946" spans="2:14" x14ac:dyDescent="0.35">
      <c r="B946" vm="11283">
        <f ca="1"/>
        <v>44092</v>
      </c>
      <c r="C946" vm="11284">
        <f ca="1"/>
        <v>72.554500000000004</v>
      </c>
      <c r="D946" vm="11285">
        <f ca="1"/>
        <v>147.74549999999999</v>
      </c>
      <c r="E946" vm="11286">
        <f ca="1"/>
        <v>82.89</v>
      </c>
      <c r="F946" vm="11287">
        <f ca="1"/>
        <v>752.07</v>
      </c>
      <c r="G946" vm="558">
        <f ca="1"/>
        <v>168.7</v>
      </c>
      <c r="H946" vm="11288">
        <f ca="1"/>
        <v>335.26</v>
      </c>
      <c r="I946" vm="4030">
        <f ca="1"/>
        <v>69.23</v>
      </c>
      <c r="J946" vm="11289">
        <f ca="1"/>
        <v>18.73</v>
      </c>
      <c r="K946" vm="11290">
        <f ca="1"/>
        <v>12.189299999999999</v>
      </c>
      <c r="L946" vm="11291">
        <f ca="1"/>
        <v>137.37</v>
      </c>
      <c r="M946" vm="11292">
        <f ca="1"/>
        <v>308.02</v>
      </c>
      <c r="N946" vm="11293">
        <f ca="1"/>
        <v>3319.47</v>
      </c>
    </row>
    <row r="947" spans="2:14" x14ac:dyDescent="0.35">
      <c r="B947" vm="11294">
        <f ca="1"/>
        <v>44095</v>
      </c>
      <c r="C947" vm="11295">
        <f ca="1"/>
        <v>71.507000000000005</v>
      </c>
      <c r="D947" vm="11296">
        <f ca="1"/>
        <v>148.02350000000001</v>
      </c>
      <c r="E947" vm="11297">
        <f ca="1"/>
        <v>81.03</v>
      </c>
      <c r="F947" vm="11298">
        <f ca="1"/>
        <v>745.55</v>
      </c>
      <c r="G947" vm="10397">
        <f ca="1"/>
        <v>161.37</v>
      </c>
      <c r="H947" vm="11299">
        <f ca="1"/>
        <v>327.85</v>
      </c>
      <c r="I947" vm="11300">
        <f ca="1"/>
        <v>69.05</v>
      </c>
      <c r="J947" vm="11301">
        <f ca="1"/>
        <v>17.27</v>
      </c>
      <c r="K947" vm="11302">
        <f ca="1"/>
        <v>12.517300000000001</v>
      </c>
      <c r="L947" vm="11303">
        <f ca="1"/>
        <v>136.71</v>
      </c>
      <c r="M947" vm="11304">
        <f ca="1"/>
        <v>299.19</v>
      </c>
      <c r="N947" vm="11305">
        <f ca="1"/>
        <v>3281.06</v>
      </c>
    </row>
    <row r="948" spans="2:14" x14ac:dyDescent="0.35">
      <c r="B948" vm="11306">
        <f ca="1"/>
        <v>44096</v>
      </c>
      <c r="C948" vm="11307">
        <f ca="1"/>
        <v>72.991</v>
      </c>
      <c r="D948" vm="11308">
        <f ca="1"/>
        <v>156.4495</v>
      </c>
      <c r="E948" vm="11309">
        <f ca="1"/>
        <v>81.58</v>
      </c>
      <c r="F948" vm="11310">
        <f ca="1"/>
        <v>750</v>
      </c>
      <c r="G948" vm="11311">
        <f ca="1"/>
        <v>162.68</v>
      </c>
      <c r="H948" vm="11312">
        <f ca="1"/>
        <v>335.31</v>
      </c>
      <c r="I948" vm="11313">
        <f ca="1"/>
        <v>69.515000000000001</v>
      </c>
      <c r="J948" vm="11314">
        <f ca="1"/>
        <v>17.329999999999998</v>
      </c>
      <c r="K948" vm="11315">
        <f ca="1"/>
        <v>12.6378</v>
      </c>
      <c r="L948" vm="11182">
        <f ca="1"/>
        <v>137.96</v>
      </c>
      <c r="M948" vm="10276">
        <f ca="1"/>
        <v>294.26</v>
      </c>
      <c r="N948" vm="11316">
        <f ca="1"/>
        <v>3315.57</v>
      </c>
    </row>
    <row r="949" spans="2:14" x14ac:dyDescent="0.35">
      <c r="B949" vm="11317">
        <f ca="1"/>
        <v>44097</v>
      </c>
      <c r="C949" vm="11318">
        <f ca="1"/>
        <v>70.469499999999996</v>
      </c>
      <c r="D949" vm="11319">
        <f ca="1"/>
        <v>149.99299999999999</v>
      </c>
      <c r="E949" vm="11320">
        <f ca="1"/>
        <v>79.849999999999994</v>
      </c>
      <c r="F949" vm="11321">
        <f ca="1"/>
        <v>730.67</v>
      </c>
      <c r="G949" vm="11322">
        <f ca="1"/>
        <v>158.79</v>
      </c>
      <c r="H949" vm="11323">
        <f ca="1"/>
        <v>324.52999999999997</v>
      </c>
      <c r="I949" vm="11324">
        <f ca="1"/>
        <v>68.327500000000001</v>
      </c>
      <c r="J949" vm="11325">
        <f ca="1"/>
        <v>16.61</v>
      </c>
      <c r="K949" vm="11326">
        <f ca="1"/>
        <v>12.123799999999999</v>
      </c>
      <c r="L949" vm="11327">
        <f ca="1"/>
        <v>136.31</v>
      </c>
      <c r="M949" vm="11328">
        <f ca="1"/>
        <v>292.14</v>
      </c>
      <c r="N949" vm="11329">
        <f ca="1"/>
        <v>3236.92</v>
      </c>
    </row>
    <row r="950" spans="2:14" x14ac:dyDescent="0.35">
      <c r="B950" vm="11330">
        <f ca="1"/>
        <v>44098</v>
      </c>
      <c r="C950" vm="11331">
        <f ca="1"/>
        <v>71.143000000000001</v>
      </c>
      <c r="D950" vm="11332">
        <f ca="1"/>
        <v>150.98949999999999</v>
      </c>
      <c r="E950" vm="11333">
        <f ca="1"/>
        <v>80.099999999999994</v>
      </c>
      <c r="F950" vm="11334">
        <f ca="1"/>
        <v>733.73</v>
      </c>
      <c r="G950" vm="11007">
        <f ca="1"/>
        <v>158.76</v>
      </c>
      <c r="H950" vm="11335">
        <f ca="1"/>
        <v>328.21</v>
      </c>
      <c r="I950" vm="11336">
        <f ca="1"/>
        <v>69.385000000000005</v>
      </c>
      <c r="J950" vm="11337">
        <f ca="1"/>
        <v>16.62</v>
      </c>
      <c r="K950" vm="11338">
        <f ca="1"/>
        <v>12.348000000000001</v>
      </c>
      <c r="L950" vm="11339">
        <f ca="1"/>
        <v>136.91999999999999</v>
      </c>
      <c r="M950" vm="11340">
        <f ca="1"/>
        <v>292.66000000000003</v>
      </c>
      <c r="N950" vm="11341">
        <f ca="1"/>
        <v>3246.59</v>
      </c>
    </row>
    <row r="951" spans="2:14" x14ac:dyDescent="0.35">
      <c r="B951" vm="11342">
        <f ca="1"/>
        <v>44099</v>
      </c>
      <c r="C951" vm="11343">
        <f ca="1"/>
        <v>71.953000000000003</v>
      </c>
      <c r="D951" vm="11344">
        <f ca="1"/>
        <v>154.75649999999999</v>
      </c>
      <c r="E951" vm="11345">
        <f ca="1"/>
        <v>81.47</v>
      </c>
      <c r="F951" vm="11346">
        <f ca="1"/>
        <v>751.32</v>
      </c>
      <c r="G951" vm="11347">
        <f ca="1"/>
        <v>161.49</v>
      </c>
      <c r="H951" vm="11348">
        <f ca="1"/>
        <v>331.78</v>
      </c>
      <c r="I951" vm="11349">
        <f ca="1"/>
        <v>70.454999999999998</v>
      </c>
      <c r="J951" vm="11350">
        <f ca="1"/>
        <v>15.92</v>
      </c>
      <c r="K951" vm="11351">
        <f ca="1"/>
        <v>12.873799999999999</v>
      </c>
      <c r="L951" vm="11352">
        <f ca="1"/>
        <v>137.62</v>
      </c>
      <c r="M951" vm="11353">
        <f ca="1"/>
        <v>302.5</v>
      </c>
      <c r="N951" vm="11354">
        <f ca="1"/>
        <v>3298.46</v>
      </c>
    </row>
    <row r="952" spans="2:14" x14ac:dyDescent="0.35">
      <c r="B952" vm="11355">
        <f ca="1"/>
        <v>44102</v>
      </c>
      <c r="C952" vm="11356">
        <f ca="1"/>
        <v>72.933000000000007</v>
      </c>
      <c r="D952" vm="11357">
        <f ca="1"/>
        <v>158.70249999999999</v>
      </c>
      <c r="E952" vm="11358">
        <f ca="1"/>
        <v>82.24</v>
      </c>
      <c r="F952" vm="11359">
        <f ca="1"/>
        <v>764.81</v>
      </c>
      <c r="G952" vm="11360">
        <f ca="1"/>
        <v>164.64</v>
      </c>
      <c r="H952" vm="11361">
        <f ca="1"/>
        <v>338.39</v>
      </c>
      <c r="I952" vm="11362">
        <f ca="1"/>
        <v>71.034999999999997</v>
      </c>
      <c r="J952" vm="11363">
        <f ca="1"/>
        <v>16.45</v>
      </c>
      <c r="K952" vm="11364">
        <f ca="1"/>
        <v>13.035</v>
      </c>
      <c r="L952" vm="11365">
        <f ca="1"/>
        <v>138.01</v>
      </c>
      <c r="M952" vm="11366">
        <f ca="1"/>
        <v>303.23</v>
      </c>
      <c r="N952" vm="11367">
        <f ca="1"/>
        <v>3351.6</v>
      </c>
    </row>
    <row r="953" spans="2:14" x14ac:dyDescent="0.35">
      <c r="B953" vm="11368">
        <f ca="1"/>
        <v>44103</v>
      </c>
      <c r="C953" vm="11369">
        <f ca="1"/>
        <v>73.301000000000002</v>
      </c>
      <c r="D953" vm="11370">
        <f ca="1"/>
        <v>157.244</v>
      </c>
      <c r="E953" vm="11371">
        <f ca="1"/>
        <v>82.36</v>
      </c>
      <c r="F953" vm="11372">
        <f ca="1"/>
        <v>763.46</v>
      </c>
      <c r="G953" vm="11373">
        <f ca="1"/>
        <v>164.51</v>
      </c>
      <c r="H953" vm="11374">
        <f ca="1"/>
        <v>336.23</v>
      </c>
      <c r="I953" vm="11375">
        <f ca="1"/>
        <v>70.78</v>
      </c>
      <c r="J953" vm="11376">
        <f ca="1"/>
        <v>15.6</v>
      </c>
      <c r="K953" vm="11377">
        <f ca="1"/>
        <v>13.2258</v>
      </c>
      <c r="L953" vm="11378">
        <f ca="1"/>
        <v>137.26</v>
      </c>
      <c r="M953" vm="11379">
        <f ca="1"/>
        <v>304.14999999999998</v>
      </c>
      <c r="N953" vm="11380">
        <f ca="1"/>
        <v>3335.47</v>
      </c>
    </row>
    <row r="954" spans="2:14" x14ac:dyDescent="0.35">
      <c r="B954" vm="11381">
        <f ca="1"/>
        <v>44104</v>
      </c>
      <c r="C954" vm="4218">
        <f ca="1"/>
        <v>73.28</v>
      </c>
      <c r="D954" vm="11382">
        <f ca="1"/>
        <v>157.4365</v>
      </c>
      <c r="E954" vm="5310">
        <f ca="1"/>
        <v>83.12</v>
      </c>
      <c r="F954" vm="11383">
        <f ca="1"/>
        <v>760.13</v>
      </c>
      <c r="G954" vm="11384">
        <f ca="1"/>
        <v>164.61</v>
      </c>
      <c r="H954" vm="11385">
        <f ca="1"/>
        <v>338.17</v>
      </c>
      <c r="I954" vm="1267">
        <f ca="1"/>
        <v>69.39</v>
      </c>
      <c r="J954" vm="11386">
        <f ca="1"/>
        <v>15.56</v>
      </c>
      <c r="K954" vm="11387">
        <f ca="1"/>
        <v>13.5305</v>
      </c>
      <c r="L954" vm="11388">
        <f ca="1"/>
        <v>138.99</v>
      </c>
      <c r="M954" vm="11389">
        <f ca="1"/>
        <v>311.77</v>
      </c>
      <c r="N954" vm="11390">
        <f ca="1"/>
        <v>3363</v>
      </c>
    </row>
    <row r="955" spans="2:14" x14ac:dyDescent="0.35">
      <c r="B955" vm="11391">
        <f ca="1"/>
        <v>44105</v>
      </c>
      <c r="C955" vm="11392">
        <f ca="1"/>
        <v>74.394999999999996</v>
      </c>
      <c r="D955" vm="11393">
        <f ca="1"/>
        <v>161.06299999999999</v>
      </c>
      <c r="E955" vm="3521">
        <f ca="1"/>
        <v>82.6</v>
      </c>
      <c r="F955" vm="11394">
        <f ca="1"/>
        <v>768.35</v>
      </c>
      <c r="G955" vm="11395">
        <f ca="1"/>
        <v>163.68</v>
      </c>
      <c r="H955" vm="11396">
        <f ca="1"/>
        <v>343.37</v>
      </c>
      <c r="I955" vm="11397">
        <f ca="1"/>
        <v>70.69</v>
      </c>
      <c r="J955" vm="11398">
        <f ca="1"/>
        <v>15.01</v>
      </c>
      <c r="K955" vm="11399">
        <f ca="1"/>
        <v>13.6145</v>
      </c>
      <c r="L955" vm="11400">
        <f ca="1"/>
        <v>139.24</v>
      </c>
      <c r="M955" vm="11401">
        <f ca="1"/>
        <v>313.07</v>
      </c>
      <c r="N955" vm="11402">
        <f ca="1"/>
        <v>3380.8</v>
      </c>
    </row>
    <row r="956" spans="2:14" x14ac:dyDescent="0.35">
      <c r="B956" vm="11403">
        <f ca="1"/>
        <v>44106</v>
      </c>
      <c r="C956" vm="7825">
        <f ca="1"/>
        <v>72.78</v>
      </c>
      <c r="D956" vm="11404">
        <f ca="1"/>
        <v>156.25</v>
      </c>
      <c r="E956" vm="11405">
        <f ca="1"/>
        <v>82.67</v>
      </c>
      <c r="F956" vm="11406">
        <f ca="1"/>
        <v>778</v>
      </c>
      <c r="G956" vm="11407">
        <f ca="1"/>
        <v>165.61</v>
      </c>
      <c r="H956" vm="11408">
        <f ca="1"/>
        <v>338.83</v>
      </c>
      <c r="I956" vm="11409">
        <f ca="1"/>
        <v>70.292500000000004</v>
      </c>
      <c r="J956" vm="11410">
        <f ca="1"/>
        <v>15.57</v>
      </c>
      <c r="K956" vm="11411">
        <f ca="1"/>
        <v>13.0623</v>
      </c>
      <c r="L956" vm="11412">
        <f ca="1"/>
        <v>138.12</v>
      </c>
      <c r="M956" vm="11413">
        <f ca="1"/>
        <v>311.98</v>
      </c>
      <c r="N956" vm="11414">
        <f ca="1"/>
        <v>3348.44</v>
      </c>
    </row>
    <row r="957" spans="2:14" x14ac:dyDescent="0.35">
      <c r="B957" vm="11415">
        <f ca="1"/>
        <v>44109</v>
      </c>
      <c r="C957" vm="11416">
        <f ca="1"/>
        <v>74.141499999999994</v>
      </c>
      <c r="D957" vm="11417">
        <f ca="1"/>
        <v>159.96</v>
      </c>
      <c r="E957" vm="11418">
        <f ca="1"/>
        <v>85.37</v>
      </c>
      <c r="F957" vm="11419">
        <f ca="1"/>
        <v>788.26</v>
      </c>
      <c r="G957" vm="11420">
        <f ca="1"/>
        <v>168.72</v>
      </c>
      <c r="H957" vm="11421">
        <f ca="1"/>
        <v>343.25</v>
      </c>
      <c r="I957" vm="11422">
        <f ca="1"/>
        <v>71.977500000000006</v>
      </c>
      <c r="J957" vm="11423">
        <f ca="1"/>
        <v>16.07</v>
      </c>
      <c r="K957" vm="11424">
        <f ca="1"/>
        <v>13.6425</v>
      </c>
      <c r="L957" vm="11425">
        <f ca="1"/>
        <v>139.38999999999999</v>
      </c>
      <c r="M957" vm="11426">
        <f ca="1"/>
        <v>318.14999999999998</v>
      </c>
      <c r="N957" vm="11427">
        <f ca="1"/>
        <v>3408.63</v>
      </c>
    </row>
    <row r="958" spans="2:14" x14ac:dyDescent="0.35">
      <c r="B958" vm="11428">
        <f ca="1"/>
        <v>44110</v>
      </c>
      <c r="C958" vm="11429">
        <f ca="1"/>
        <v>72.551000000000002</v>
      </c>
      <c r="D958" vm="11430">
        <f ca="1"/>
        <v>154.99799999999999</v>
      </c>
      <c r="E958" vm="11431">
        <f ca="1"/>
        <v>84.31</v>
      </c>
      <c r="F958" vm="11432">
        <f ca="1"/>
        <v>790.83</v>
      </c>
      <c r="G958" vm="11433">
        <f ca="1"/>
        <v>166.89</v>
      </c>
      <c r="H958" vm="11434">
        <f ca="1"/>
        <v>337.43</v>
      </c>
      <c r="I958" vm="11435">
        <f ca="1"/>
        <v>72.569999999999993</v>
      </c>
      <c r="J958" vm="9896">
        <f ca="1"/>
        <v>15.67</v>
      </c>
      <c r="K958" vm="11436">
        <f ca="1"/>
        <v>13.736499999999999</v>
      </c>
      <c r="L958" vm="11437">
        <f ca="1"/>
        <v>139.61000000000001</v>
      </c>
      <c r="M958" vm="11438">
        <f ca="1"/>
        <v>314.45</v>
      </c>
      <c r="N958" vm="11439">
        <f ca="1"/>
        <v>3360.95</v>
      </c>
    </row>
    <row r="959" spans="2:14" x14ac:dyDescent="0.35">
      <c r="B959" vm="11440">
        <f ca="1"/>
        <v>44111</v>
      </c>
      <c r="C959" vm="11441">
        <f ca="1"/>
        <v>72.956999999999994</v>
      </c>
      <c r="D959" vm="11442">
        <f ca="1"/>
        <v>159.78450000000001</v>
      </c>
      <c r="E959" vm="1104">
        <f ca="1"/>
        <v>86.55</v>
      </c>
      <c r="F959" vm="11443">
        <f ca="1"/>
        <v>803.26</v>
      </c>
      <c r="G959" vm="11444">
        <f ca="1"/>
        <v>171.55</v>
      </c>
      <c r="H959" vm="11445">
        <f ca="1"/>
        <v>343.9</v>
      </c>
      <c r="I959" vm="8268">
        <f ca="1"/>
        <v>74.28</v>
      </c>
      <c r="J959" vm="9943">
        <f ca="1"/>
        <v>15.95</v>
      </c>
      <c r="K959" vm="11446">
        <f ca="1"/>
        <v>13.964</v>
      </c>
      <c r="L959" vm="11447">
        <f ca="1"/>
        <v>140.69999999999999</v>
      </c>
      <c r="M959" vm="11448">
        <f ca="1"/>
        <v>323.17</v>
      </c>
      <c r="N959" vm="11449">
        <f ca="1"/>
        <v>3419.45</v>
      </c>
    </row>
    <row r="960" spans="2:14" x14ac:dyDescent="0.35">
      <c r="B960" vm="11450">
        <f ca="1"/>
        <v>44112</v>
      </c>
      <c r="C960" vm="11451">
        <f ca="1"/>
        <v>74.171499999999995</v>
      </c>
      <c r="D960" vm="11452">
        <f ca="1"/>
        <v>159.5275</v>
      </c>
      <c r="E960" vm="2744">
        <f ca="1"/>
        <v>89</v>
      </c>
      <c r="F960" vm="11453">
        <f ca="1"/>
        <v>824.4</v>
      </c>
      <c r="G960" vm="11454">
        <f ca="1"/>
        <v>173.78</v>
      </c>
      <c r="H960" vm="11455">
        <f ca="1"/>
        <v>345.15</v>
      </c>
      <c r="I960" vm="11456">
        <f ca="1"/>
        <v>75.260000000000005</v>
      </c>
      <c r="J960" vm="11457">
        <f ca="1"/>
        <v>16.43</v>
      </c>
      <c r="K960" vm="11458">
        <f ca="1"/>
        <v>13.838800000000001</v>
      </c>
      <c r="L960" vm="11459">
        <f ca="1"/>
        <v>141.65</v>
      </c>
      <c r="M960" vm="11460">
        <f ca="1"/>
        <v>322.41000000000003</v>
      </c>
      <c r="N960" vm="11461">
        <f ca="1"/>
        <v>3446.83</v>
      </c>
    </row>
    <row r="961" spans="2:14" x14ac:dyDescent="0.35">
      <c r="B961" vm="11462">
        <f ca="1"/>
        <v>44113</v>
      </c>
      <c r="C961" vm="11463">
        <f ca="1"/>
        <v>75.522499999999994</v>
      </c>
      <c r="D961" vm="11464">
        <f ca="1"/>
        <v>164.33250000000001</v>
      </c>
      <c r="E961" vm="11465">
        <f ca="1"/>
        <v>90.26</v>
      </c>
      <c r="F961" vm="11466">
        <f ca="1"/>
        <v>829.35</v>
      </c>
      <c r="G961" vm="1003">
        <f ca="1"/>
        <v>174.38</v>
      </c>
      <c r="H961" vm="11467">
        <f ca="1"/>
        <v>352.39</v>
      </c>
      <c r="I961" vm="11468">
        <f ca="1"/>
        <v>75.727500000000006</v>
      </c>
      <c r="J961" vm="10123">
        <f ca="1"/>
        <v>16.23</v>
      </c>
      <c r="K961" vm="11469">
        <f ca="1"/>
        <v>13.7628</v>
      </c>
      <c r="L961" vm="11470">
        <f ca="1"/>
        <v>142.91999999999999</v>
      </c>
      <c r="M961" vm="11471">
        <f ca="1"/>
        <v>327.84</v>
      </c>
      <c r="N961" vm="11472">
        <f ca="1"/>
        <v>3477.13</v>
      </c>
    </row>
    <row r="962" spans="2:14" x14ac:dyDescent="0.35">
      <c r="B962" vm="11473">
        <f ca="1"/>
        <v>44116</v>
      </c>
      <c r="C962" vm="11474">
        <f ca="1"/>
        <v>78.229500000000002</v>
      </c>
      <c r="D962" vm="11475">
        <f ca="1"/>
        <v>172.1465</v>
      </c>
      <c r="E962" vm="802">
        <f ca="1"/>
        <v>89.68</v>
      </c>
      <c r="F962" vm="11476">
        <f ca="1"/>
        <v>835</v>
      </c>
      <c r="G962" vm="11477">
        <f ca="1"/>
        <v>175.36</v>
      </c>
      <c r="H962" vm="11478">
        <f ca="1"/>
        <v>352.04</v>
      </c>
      <c r="I962" vm="11479">
        <f ca="1"/>
        <v>76.417500000000004</v>
      </c>
      <c r="J962" vm="11480">
        <f ca="1"/>
        <v>16.12</v>
      </c>
      <c r="K962" vm="11481">
        <f ca="1"/>
        <v>14.226000000000001</v>
      </c>
      <c r="L962" vm="11482">
        <f ca="1"/>
        <v>144.49</v>
      </c>
      <c r="M962" vm="11483">
        <f ca="1"/>
        <v>329.97</v>
      </c>
      <c r="N962" vm="11484">
        <f ca="1"/>
        <v>3534.22</v>
      </c>
    </row>
    <row r="963" spans="2:14" x14ac:dyDescent="0.35">
      <c r="B963" vm="11485">
        <f ca="1"/>
        <v>44117</v>
      </c>
      <c r="C963" vm="11486">
        <f ca="1"/>
        <v>78.353499999999997</v>
      </c>
      <c r="D963" vm="11487">
        <f ca="1"/>
        <v>172.1815</v>
      </c>
      <c r="E963" vm="11465">
        <f ca="1"/>
        <v>90.26</v>
      </c>
      <c r="F963" vm="11488">
        <f ca="1"/>
        <v>826.11</v>
      </c>
      <c r="G963" vm="11444">
        <f ca="1"/>
        <v>171.55</v>
      </c>
      <c r="H963" vm="11489">
        <f ca="1"/>
        <v>345.84</v>
      </c>
      <c r="I963" vm="11490">
        <f ca="1"/>
        <v>75.367500000000007</v>
      </c>
      <c r="J963" vm="11491">
        <f ca="1"/>
        <v>15.73</v>
      </c>
      <c r="K963" vm="11492">
        <f ca="1"/>
        <v>14.2483</v>
      </c>
      <c r="L963" vm="11493">
        <f ca="1"/>
        <v>144.21</v>
      </c>
      <c r="M963" vm="11494">
        <f ca="1"/>
        <v>331.42</v>
      </c>
      <c r="N963" vm="11495">
        <f ca="1"/>
        <v>3511.93</v>
      </c>
    </row>
    <row r="964" spans="2:14" x14ac:dyDescent="0.35">
      <c r="B964" vm="11496">
        <f ca="1"/>
        <v>44118</v>
      </c>
      <c r="C964" vm="11497">
        <f ca="1"/>
        <v>78.171999999999997</v>
      </c>
      <c r="D964" vm="11498">
        <f ca="1"/>
        <v>168.18549999999999</v>
      </c>
      <c r="E964" vm="11499">
        <f ca="1"/>
        <v>90.06</v>
      </c>
      <c r="F964" vm="11500">
        <f ca="1"/>
        <v>817.4</v>
      </c>
      <c r="G964" vm="11501">
        <f ca="1"/>
        <v>173.47</v>
      </c>
      <c r="H964" vm="11502">
        <f ca="1"/>
        <v>342.7</v>
      </c>
      <c r="I964" vm="11503">
        <f ca="1"/>
        <v>75.16</v>
      </c>
      <c r="J964" vm="9943">
        <f ca="1"/>
        <v>15.95</v>
      </c>
      <c r="K964" vm="11504">
        <f ca="1"/>
        <v>14.0953</v>
      </c>
      <c r="L964" vm="11505">
        <f ca="1"/>
        <v>144.04</v>
      </c>
      <c r="M964" vm="11506">
        <f ca="1"/>
        <v>321.85000000000002</v>
      </c>
      <c r="N964" vm="11507">
        <f ca="1"/>
        <v>3488.67</v>
      </c>
    </row>
    <row r="965" spans="2:14" x14ac:dyDescent="0.35">
      <c r="B965" vm="11508">
        <f ca="1"/>
        <v>44119</v>
      </c>
      <c r="C965" vm="11509">
        <f ca="1"/>
        <v>77.773499999999999</v>
      </c>
      <c r="D965" vm="11510">
        <f ca="1"/>
        <v>166.9325</v>
      </c>
      <c r="E965" vm="11511">
        <f ca="1"/>
        <v>90.81</v>
      </c>
      <c r="F965" vm="11512">
        <f ca="1"/>
        <v>814.83</v>
      </c>
      <c r="G965" vm="7130">
        <f ca="1"/>
        <v>172.61</v>
      </c>
      <c r="H965" vm="11513">
        <f ca="1"/>
        <v>338.57</v>
      </c>
      <c r="I965" vm="11514">
        <f ca="1"/>
        <v>74.614999999999995</v>
      </c>
      <c r="J965" vm="11515">
        <f ca="1"/>
        <v>16.420000000000002</v>
      </c>
      <c r="K965" vm="11516">
        <f ca="1"/>
        <v>13.97</v>
      </c>
      <c r="L965" vm="11517">
        <f ca="1"/>
        <v>143.83000000000001</v>
      </c>
      <c r="M965" vm="11518">
        <f ca="1"/>
        <v>324.57</v>
      </c>
      <c r="N965" vm="11519">
        <f ca="1"/>
        <v>3483.34</v>
      </c>
    </row>
    <row r="966" spans="2:14" x14ac:dyDescent="0.35">
      <c r="B966" vm="11520">
        <f ca="1"/>
        <v>44120</v>
      </c>
      <c r="C966" vm="11521">
        <f ca="1"/>
        <v>78.385000000000005</v>
      </c>
      <c r="D966" vm="11522">
        <f ca="1"/>
        <v>163.63550000000001</v>
      </c>
      <c r="E966" vm="6257">
        <f ca="1"/>
        <v>91.42</v>
      </c>
      <c r="F966" vm="11523">
        <f ca="1"/>
        <v>817.69</v>
      </c>
      <c r="G966" vm="7769">
        <f ca="1"/>
        <v>174.86</v>
      </c>
      <c r="H966" vm="11524">
        <f ca="1"/>
        <v>339.4</v>
      </c>
      <c r="I966" vm="11525">
        <f ca="1"/>
        <v>76.400000000000006</v>
      </c>
      <c r="J966" vm="11526">
        <f ca="1"/>
        <v>14.97</v>
      </c>
      <c r="K966" vm="11527">
        <f ca="1"/>
        <v>13.811500000000001</v>
      </c>
      <c r="L966" vm="11528">
        <f ca="1"/>
        <v>144.38999999999999</v>
      </c>
      <c r="M966" vm="11529">
        <f ca="1"/>
        <v>329.9</v>
      </c>
      <c r="N966" vm="11530">
        <f ca="1"/>
        <v>3483.81</v>
      </c>
    </row>
    <row r="967" spans="2:14" x14ac:dyDescent="0.35">
      <c r="B967" vm="11531">
        <f ca="1"/>
        <v>44123</v>
      </c>
      <c r="C967" vm="11532">
        <f ca="1"/>
        <v>76.497500000000002</v>
      </c>
      <c r="D967" vm="11533">
        <f ca="1"/>
        <v>160.3605</v>
      </c>
      <c r="E967" vm="3166">
        <f ca="1"/>
        <v>91.18</v>
      </c>
      <c r="F967" vm="11534">
        <f ca="1"/>
        <v>810</v>
      </c>
      <c r="G967" vm="11535">
        <f ca="1"/>
        <v>171.59</v>
      </c>
      <c r="H967" vm="11536">
        <f ca="1"/>
        <v>331.67</v>
      </c>
      <c r="I967" vm="11537">
        <f ca="1"/>
        <v>74.887500000000003</v>
      </c>
      <c r="J967" vm="11398">
        <f ca="1"/>
        <v>15.01</v>
      </c>
      <c r="K967" vm="11538">
        <f ca="1"/>
        <v>13.4978</v>
      </c>
      <c r="L967" vm="11539">
        <f ca="1"/>
        <v>141.91</v>
      </c>
      <c r="M967" vm="11540">
        <f ca="1"/>
        <v>324.22000000000003</v>
      </c>
      <c r="N967" vm="11541">
        <f ca="1"/>
        <v>3426.92</v>
      </c>
    </row>
    <row r="968" spans="2:14" x14ac:dyDescent="0.35">
      <c r="B968" vm="11542">
        <f ca="1"/>
        <v>44124</v>
      </c>
      <c r="C968" vm="11543">
        <f ca="1"/>
        <v>77.554000000000002</v>
      </c>
      <c r="D968" vm="11544">
        <f ca="1"/>
        <v>160.85050000000001</v>
      </c>
      <c r="E968" vm="11545">
        <f ca="1"/>
        <v>91.39</v>
      </c>
      <c r="F968" vm="11546">
        <f ca="1"/>
        <v>804.94</v>
      </c>
      <c r="G968" vm="11547">
        <f ca="1"/>
        <v>173.26</v>
      </c>
      <c r="H968" vm="11548">
        <f ca="1"/>
        <v>331.72</v>
      </c>
      <c r="I968" vm="10915">
        <f ca="1"/>
        <v>75.247500000000002</v>
      </c>
      <c r="J968" vm="11549">
        <f ca="1"/>
        <v>15.49</v>
      </c>
      <c r="K968" vm="11550">
        <f ca="1"/>
        <v>13.6455</v>
      </c>
      <c r="L968" vm="11551">
        <f ca="1"/>
        <v>142.47999999999999</v>
      </c>
      <c r="M968" vm="11552">
        <f ca="1"/>
        <v>323.41000000000003</v>
      </c>
      <c r="N968" vm="11553">
        <f ca="1"/>
        <v>3443.12</v>
      </c>
    </row>
    <row r="969" spans="2:14" x14ac:dyDescent="0.35">
      <c r="B969" vm="11554">
        <f ca="1"/>
        <v>44125</v>
      </c>
      <c r="C969" vm="11555">
        <f ca="1"/>
        <v>79.299499999999995</v>
      </c>
      <c r="D969" vm="11556">
        <f ca="1"/>
        <v>159.24700000000001</v>
      </c>
      <c r="E969" vm="11557">
        <f ca="1"/>
        <v>92.78</v>
      </c>
      <c r="F969" vm="11558">
        <f ca="1"/>
        <v>803.16</v>
      </c>
      <c r="G969" vm="11559">
        <f ca="1"/>
        <v>172.87</v>
      </c>
      <c r="H969" vm="11560">
        <f ca="1"/>
        <v>333.42</v>
      </c>
      <c r="I969" vm="11561">
        <f ca="1"/>
        <v>74.42</v>
      </c>
      <c r="J969" vm="11398">
        <f ca="1"/>
        <v>15.01</v>
      </c>
      <c r="K969" vm="11562">
        <f ca="1"/>
        <v>13.524800000000001</v>
      </c>
      <c r="L969" vm="11563">
        <f ca="1"/>
        <v>143.25</v>
      </c>
      <c r="M969" vm="11564">
        <f ca="1"/>
        <v>322.79000000000002</v>
      </c>
      <c r="N969" vm="11565">
        <f ca="1"/>
        <v>3435.56</v>
      </c>
    </row>
    <row r="970" spans="2:14" x14ac:dyDescent="0.35">
      <c r="B970" vm="11566">
        <f ca="1"/>
        <v>44126</v>
      </c>
      <c r="C970" vm="11567">
        <f ca="1"/>
        <v>80.332999999999998</v>
      </c>
      <c r="D970" vm="11568">
        <f ca="1"/>
        <v>158.82</v>
      </c>
      <c r="E970" vm="468">
        <f ca="1"/>
        <v>91.13</v>
      </c>
      <c r="F970" vm="11569">
        <f ca="1"/>
        <v>777.55</v>
      </c>
      <c r="G970" vm="11570">
        <f ca="1"/>
        <v>176.85</v>
      </c>
      <c r="H970" vm="11571">
        <f ca="1"/>
        <v>333.6</v>
      </c>
      <c r="I970" vm="11572">
        <f ca="1"/>
        <v>75.567499999999995</v>
      </c>
      <c r="J970" vm="11573">
        <f ca="1"/>
        <v>15.3</v>
      </c>
      <c r="K970" vm="11574">
        <f ca="1"/>
        <v>13.361000000000001</v>
      </c>
      <c r="L970" vm="11575">
        <f ca="1"/>
        <v>141.44999999999999</v>
      </c>
      <c r="M970" vm="11576">
        <f ca="1"/>
        <v>325.73</v>
      </c>
      <c r="N970" vm="11577">
        <f ca="1"/>
        <v>3453.49</v>
      </c>
    </row>
    <row r="971" spans="2:14" x14ac:dyDescent="0.35">
      <c r="B971" vm="11578">
        <f ca="1"/>
        <v>44127</v>
      </c>
      <c r="C971" vm="11579">
        <f ca="1"/>
        <v>81.649000000000001</v>
      </c>
      <c r="D971" vm="11580">
        <f ca="1"/>
        <v>160.22</v>
      </c>
      <c r="E971" vm="2147">
        <f ca="1"/>
        <v>92.72</v>
      </c>
      <c r="F971" vm="11581">
        <f ca="1"/>
        <v>777.03</v>
      </c>
      <c r="G971" vm="11582">
        <f ca="1"/>
        <v>175.54</v>
      </c>
      <c r="H971" vm="11583">
        <f ca="1"/>
        <v>329.61</v>
      </c>
      <c r="I971" vm="11584">
        <f ca="1"/>
        <v>75.767499999999998</v>
      </c>
      <c r="J971" vm="11585">
        <f ca="1"/>
        <v>15.4</v>
      </c>
      <c r="K971" vm="11586">
        <f ca="1"/>
        <v>13.590299999999999</v>
      </c>
      <c r="L971" vm="11587">
        <f ca="1"/>
        <v>142.38</v>
      </c>
      <c r="M971" vm="11588">
        <f ca="1"/>
        <v>330.6</v>
      </c>
      <c r="N971" vm="11589">
        <f ca="1"/>
        <v>3465.39</v>
      </c>
    </row>
    <row r="972" spans="2:14" x14ac:dyDescent="0.35">
      <c r="B972" vm="11590">
        <f ca="1"/>
        <v>44130</v>
      </c>
      <c r="C972" vm="11591">
        <f ca="1"/>
        <v>79.214500000000001</v>
      </c>
      <c r="D972" vm="11592">
        <f ca="1"/>
        <v>160.352</v>
      </c>
      <c r="E972" vm="11593">
        <f ca="1"/>
        <v>91.56</v>
      </c>
      <c r="F972" vm="11594">
        <f ca="1"/>
        <v>770.48</v>
      </c>
      <c r="G972" vm="11595">
        <f ca="1"/>
        <v>170.17</v>
      </c>
      <c r="H972" vm="11596">
        <f ca="1"/>
        <v>318.06</v>
      </c>
      <c r="I972" vm="11597">
        <f ca="1"/>
        <v>75.662499999999994</v>
      </c>
      <c r="J972" vm="11598">
        <f ca="1"/>
        <v>15.17</v>
      </c>
      <c r="K972" vm="11599">
        <f ca="1"/>
        <v>13.141299999999999</v>
      </c>
      <c r="L972" vm="11600">
        <f ca="1"/>
        <v>141.30000000000001</v>
      </c>
      <c r="M972" vm="11601">
        <f ca="1"/>
        <v>323.06</v>
      </c>
      <c r="N972" vm="11602">
        <f ca="1"/>
        <v>3400.97</v>
      </c>
    </row>
    <row r="973" spans="2:14" x14ac:dyDescent="0.35">
      <c r="B973" vm="11603">
        <f ca="1"/>
        <v>44131</v>
      </c>
      <c r="C973" vm="11604">
        <f ca="1"/>
        <v>79.944000000000003</v>
      </c>
      <c r="D973" vm="11605">
        <f ca="1"/>
        <v>164.31649999999999</v>
      </c>
      <c r="E973" vm="1852">
        <f ca="1"/>
        <v>91.1</v>
      </c>
      <c r="F973" vm="11606">
        <f ca="1"/>
        <v>773.31</v>
      </c>
      <c r="G973" vm="11607">
        <f ca="1"/>
        <v>166.75</v>
      </c>
      <c r="H973" vm="11608">
        <f ca="1"/>
        <v>317.11</v>
      </c>
      <c r="I973" vm="11609">
        <f ca="1"/>
        <v>75.78</v>
      </c>
      <c r="J973" vm="11610">
        <f ca="1"/>
        <v>15.09</v>
      </c>
      <c r="K973" vm="11611">
        <f ca="1"/>
        <v>13.396800000000001</v>
      </c>
      <c r="L973" vm="11612">
        <f ca="1"/>
        <v>142.36000000000001</v>
      </c>
      <c r="M973" vm="11013">
        <f ca="1"/>
        <v>320.51</v>
      </c>
      <c r="N973" vm="11613">
        <f ca="1"/>
        <v>3390.68</v>
      </c>
    </row>
    <row r="974" spans="2:14" x14ac:dyDescent="0.35">
      <c r="B974" vm="11614">
        <f ca="1"/>
        <v>44132</v>
      </c>
      <c r="C974" vm="11615">
        <f ca="1"/>
        <v>75.540000000000006</v>
      </c>
      <c r="D974" vm="11616">
        <f ca="1"/>
        <v>158.13900000000001</v>
      </c>
      <c r="E974" vm="11617">
        <f ca="1"/>
        <v>88.73</v>
      </c>
      <c r="F974" vm="11618">
        <f ca="1"/>
        <v>756.07</v>
      </c>
      <c r="G974" vm="11619">
        <f ca="1"/>
        <v>161.16</v>
      </c>
      <c r="H974" vm="8161">
        <f ca="1"/>
        <v>291.38</v>
      </c>
      <c r="I974" vm="11620">
        <f ca="1"/>
        <v>74.459999999999994</v>
      </c>
      <c r="J974" vm="11621">
        <f ca="1"/>
        <v>14.18</v>
      </c>
      <c r="K974" vm="11622">
        <f ca="1"/>
        <v>12.627000000000001</v>
      </c>
      <c r="L974" vm="11623">
        <f ca="1"/>
        <v>137.66</v>
      </c>
      <c r="M974" vm="11624">
        <f ca="1"/>
        <v>308</v>
      </c>
      <c r="N974" vm="11625">
        <f ca="1"/>
        <v>3271.03</v>
      </c>
    </row>
    <row r="975" spans="2:14" x14ac:dyDescent="0.35">
      <c r="B975" vm="11626">
        <f ca="1"/>
        <v>44133</v>
      </c>
      <c r="C975" vm="11627">
        <f ca="1"/>
        <v>77.843999999999994</v>
      </c>
      <c r="D975" vm="11628">
        <f ca="1"/>
        <v>160.5505</v>
      </c>
      <c r="E975" vm="11629">
        <f ca="1"/>
        <v>89.22</v>
      </c>
      <c r="F975" vm="11630">
        <f ca="1"/>
        <v>740.68</v>
      </c>
      <c r="G975" vm="744">
        <f ca="1"/>
        <v>164.6</v>
      </c>
      <c r="H975" vm="11631">
        <f ca="1"/>
        <v>293.18</v>
      </c>
      <c r="I975" vm="11632">
        <f ca="1"/>
        <v>74.010000000000005</v>
      </c>
      <c r="J975" vm="11633">
        <f ca="1"/>
        <v>14.45</v>
      </c>
      <c r="K975" vm="11634">
        <f ca="1"/>
        <v>13.023999999999999</v>
      </c>
      <c r="L975" vm="11635">
        <f ca="1"/>
        <v>137.57</v>
      </c>
      <c r="M975" vm="11636">
        <f ca="1"/>
        <v>303.68</v>
      </c>
      <c r="N975" vm="11637">
        <f ca="1"/>
        <v>3310.11</v>
      </c>
    </row>
    <row r="976" spans="2:14" x14ac:dyDescent="0.35">
      <c r="B976" vm="11638">
        <f ca="1"/>
        <v>44134</v>
      </c>
      <c r="C976" vm="11639">
        <f ca="1"/>
        <v>80.805499999999995</v>
      </c>
      <c r="D976" vm="11640">
        <f ca="1"/>
        <v>151.8075</v>
      </c>
      <c r="E976" vm="2744">
        <f ca="1"/>
        <v>89</v>
      </c>
      <c r="F976" vm="11641">
        <f ca="1"/>
        <v>731.24</v>
      </c>
      <c r="G976" vm="11642">
        <f ca="1"/>
        <v>164.95</v>
      </c>
      <c r="H976" vm="11643">
        <f ca="1"/>
        <v>288.64</v>
      </c>
      <c r="I976" vm="11644">
        <f ca="1"/>
        <v>73.209999999999994</v>
      </c>
      <c r="J976" vm="11645">
        <f ca="1"/>
        <v>14.94</v>
      </c>
      <c r="K976" vm="11646">
        <f ca="1"/>
        <v>12.534000000000001</v>
      </c>
      <c r="L976" vm="11647">
        <f ca="1"/>
        <v>137.1</v>
      </c>
      <c r="M976" vm="11648">
        <f ca="1"/>
        <v>305.14</v>
      </c>
      <c r="N976" vm="11649">
        <f ca="1"/>
        <v>3269.96</v>
      </c>
    </row>
    <row r="977" spans="2:14" x14ac:dyDescent="0.35">
      <c r="B977" vm="11650">
        <f ca="1"/>
        <v>44137</v>
      </c>
      <c r="C977" vm="11651">
        <f ca="1"/>
        <v>81.215999999999994</v>
      </c>
      <c r="D977" vm="11652">
        <f ca="1"/>
        <v>150.22399999999999</v>
      </c>
      <c r="E977" vm="781">
        <f ca="1"/>
        <v>90.2</v>
      </c>
      <c r="F977" vm="11653">
        <f ca="1"/>
        <v>738.32</v>
      </c>
      <c r="G977" vm="7804">
        <f ca="1"/>
        <v>173.61</v>
      </c>
      <c r="H977" vm="11654">
        <f ca="1"/>
        <v>289.97000000000003</v>
      </c>
      <c r="I977" vm="10892">
        <f ca="1"/>
        <v>75.13</v>
      </c>
      <c r="J977" vm="11655">
        <f ca="1"/>
        <v>15.58</v>
      </c>
      <c r="K977" vm="11656">
        <f ca="1"/>
        <v>12.5808</v>
      </c>
      <c r="L977" vm="11657">
        <f ca="1"/>
        <v>138.5</v>
      </c>
      <c r="M977" vm="11658">
        <f ca="1"/>
        <v>312.10000000000002</v>
      </c>
      <c r="N977" vm="11659">
        <f ca="1"/>
        <v>3310.24</v>
      </c>
    </row>
    <row r="978" spans="2:14" x14ac:dyDescent="0.35">
      <c r="B978" vm="11660">
        <f ca="1"/>
        <v>44138</v>
      </c>
      <c r="C978" vm="11661">
        <f ca="1"/>
        <v>82.283000000000001</v>
      </c>
      <c r="D978" vm="11662">
        <f ca="1"/>
        <v>152.4205</v>
      </c>
      <c r="E978" vm="11663">
        <f ca="1"/>
        <v>93.75</v>
      </c>
      <c r="F978" vm="11664">
        <f ca="1"/>
        <v>752.28</v>
      </c>
      <c r="G978" vm="3662">
        <f ca="1"/>
        <v>179.21</v>
      </c>
      <c r="H978" vm="11665">
        <f ca="1"/>
        <v>295.39</v>
      </c>
      <c r="I978" vm="11666">
        <f ca="1"/>
        <v>76.02</v>
      </c>
      <c r="J978" vm="11667">
        <f ca="1"/>
        <v>15.76</v>
      </c>
      <c r="K978" vm="11668">
        <f ca="1"/>
        <v>13.019500000000001</v>
      </c>
      <c r="L978" vm="11669">
        <f ca="1"/>
        <v>141.22</v>
      </c>
      <c r="M978" vm="11670">
        <f ca="1"/>
        <v>321.35000000000002</v>
      </c>
      <c r="N978" vm="11671">
        <f ca="1"/>
        <v>3369.16</v>
      </c>
    </row>
    <row r="979" spans="2:14" x14ac:dyDescent="0.35">
      <c r="B979" vm="11672">
        <f ca="1"/>
        <v>44139</v>
      </c>
      <c r="C979" vm="11673">
        <f ca="1"/>
        <v>87.292500000000004</v>
      </c>
      <c r="D979" vm="11674">
        <f ca="1"/>
        <v>162.05799999999999</v>
      </c>
      <c r="E979" vm="11675">
        <f ca="1"/>
        <v>94.11</v>
      </c>
      <c r="F979" vm="11676">
        <f ca="1"/>
        <v>777.29</v>
      </c>
      <c r="G979" vm="11677">
        <f ca="1"/>
        <v>178.91</v>
      </c>
      <c r="H979" vm="11678">
        <f ca="1"/>
        <v>307.2</v>
      </c>
      <c r="I979" vm="11679">
        <f ca="1"/>
        <v>73.319999999999993</v>
      </c>
      <c r="J979" vm="11680">
        <f ca="1"/>
        <v>15.97</v>
      </c>
      <c r="K979" vm="11681">
        <f ca="1"/>
        <v>13.7943</v>
      </c>
      <c r="L979" vm="11682">
        <f ca="1"/>
        <v>140.63999999999999</v>
      </c>
      <c r="M979" vm="11683">
        <f ca="1"/>
        <v>354.56</v>
      </c>
      <c r="N979" vm="11684">
        <f ca="1"/>
        <v>3443.44</v>
      </c>
    </row>
    <row r="980" spans="2:14" x14ac:dyDescent="0.35">
      <c r="B980" vm="11685">
        <f ca="1"/>
        <v>44140</v>
      </c>
      <c r="C980" vm="11686">
        <f ca="1"/>
        <v>88.125</v>
      </c>
      <c r="D980" vm="11687">
        <f ca="1"/>
        <v>166.1</v>
      </c>
      <c r="E980" vm="11688">
        <f ca="1"/>
        <v>97.16</v>
      </c>
      <c r="F980" vm="11689">
        <f ca="1"/>
        <v>781.05</v>
      </c>
      <c r="G980" vm="11690">
        <f ca="1"/>
        <v>183.28</v>
      </c>
      <c r="H980" vm="11691">
        <f ca="1"/>
        <v>316.52999999999997</v>
      </c>
      <c r="I980" vm="11692">
        <f ca="1"/>
        <v>74.75</v>
      </c>
      <c r="J980" vm="9809">
        <f ca="1"/>
        <v>15.52</v>
      </c>
      <c r="K980" vm="11693">
        <f ca="1"/>
        <v>14.16</v>
      </c>
      <c r="L980" vm="11587">
        <f ca="1"/>
        <v>142.38</v>
      </c>
      <c r="M980" vm="11694">
        <f ca="1"/>
        <v>354.4</v>
      </c>
      <c r="N980" vm="11695">
        <f ca="1"/>
        <v>3510.45</v>
      </c>
    </row>
    <row r="981" spans="2:14" x14ac:dyDescent="0.35">
      <c r="B981" vm="11696">
        <f ca="1"/>
        <v>44141</v>
      </c>
      <c r="C981" vm="11697">
        <f ca="1"/>
        <v>87.986500000000007</v>
      </c>
      <c r="D981" vm="11698">
        <f ca="1"/>
        <v>165.5685</v>
      </c>
      <c r="E981" vm="11699">
        <f ca="1"/>
        <v>97.46</v>
      </c>
      <c r="F981" vm="11700">
        <f ca="1"/>
        <v>794.39</v>
      </c>
      <c r="G981" vm="11701">
        <f ca="1"/>
        <v>184.27</v>
      </c>
      <c r="H981" vm="11702">
        <f ca="1"/>
        <v>313.64</v>
      </c>
      <c r="I981" vm="11703">
        <f ca="1"/>
        <v>75.72</v>
      </c>
      <c r="J981" vm="11704">
        <f ca="1"/>
        <v>15.22</v>
      </c>
      <c r="K981" vm="11705">
        <f ca="1"/>
        <v>14.561999999999999</v>
      </c>
      <c r="L981" vm="11706">
        <f ca="1"/>
        <v>143.22999999999999</v>
      </c>
      <c r="M981" vm="11707">
        <f ca="1"/>
        <v>347.46</v>
      </c>
      <c r="N981" vm="11708">
        <f ca="1"/>
        <v>3509.44</v>
      </c>
    </row>
    <row r="982" spans="2:14" x14ac:dyDescent="0.35">
      <c r="B982" vm="11709">
        <f ca="1"/>
        <v>44144</v>
      </c>
      <c r="C982" vm="11710">
        <f ca="1"/>
        <v>88.070999999999998</v>
      </c>
      <c r="D982" vm="11711">
        <f ca="1"/>
        <v>157.18700000000001</v>
      </c>
      <c r="E982" vm="11712">
        <f ca="1"/>
        <v>92.98</v>
      </c>
      <c r="F982" vm="11713">
        <f ca="1"/>
        <v>743.21</v>
      </c>
      <c r="G982" vm="11714">
        <f ca="1"/>
        <v>196.99</v>
      </c>
      <c r="H982" vm="9492">
        <f ca="1"/>
        <v>344.56</v>
      </c>
      <c r="I982" vm="3387">
        <f ca="1"/>
        <v>75.510000000000005</v>
      </c>
      <c r="J982" vm="11715">
        <f ca="1"/>
        <v>18.25</v>
      </c>
      <c r="K982" vm="11716">
        <f ca="1"/>
        <v>13.630800000000001</v>
      </c>
      <c r="L982" vm="11717">
        <f ca="1"/>
        <v>137.99</v>
      </c>
      <c r="M982" vm="6111">
        <f ca="1"/>
        <v>350</v>
      </c>
      <c r="N982" vm="11718">
        <f ca="1"/>
        <v>3550.5</v>
      </c>
    </row>
    <row r="983" spans="2:14" x14ac:dyDescent="0.35">
      <c r="B983" vm="11719">
        <f ca="1"/>
        <v>44145</v>
      </c>
      <c r="C983" vm="11720">
        <f ca="1"/>
        <v>86.885999999999996</v>
      </c>
      <c r="D983" vm="11721">
        <f ca="1"/>
        <v>151.751</v>
      </c>
      <c r="E983" vm="11722">
        <f ca="1"/>
        <v>94.98</v>
      </c>
      <c r="F983" vm="11723">
        <f ca="1"/>
        <v>726.77</v>
      </c>
      <c r="G983" vm="11724">
        <f ca="1"/>
        <v>201.98</v>
      </c>
      <c r="H983" vm="11725">
        <f ca="1"/>
        <v>334.78</v>
      </c>
      <c r="I983" vm="4476">
        <f ca="1"/>
        <v>75.989999999999995</v>
      </c>
      <c r="J983" vm="11726">
        <f ca="1"/>
        <v>18.309999999999999</v>
      </c>
      <c r="K983" vm="11727">
        <f ca="1"/>
        <v>12.77</v>
      </c>
      <c r="L983" vm="11728">
        <f ca="1"/>
        <v>140.26</v>
      </c>
      <c r="M983" vm="11729">
        <f ca="1"/>
        <v>353.69</v>
      </c>
      <c r="N983" vm="11730">
        <f ca="1"/>
        <v>3545.53</v>
      </c>
    </row>
    <row r="984" spans="2:14" x14ac:dyDescent="0.35">
      <c r="B984" vm="11731">
        <f ca="1"/>
        <v>44146</v>
      </c>
      <c r="C984" vm="11732">
        <f ca="1"/>
        <v>87.361500000000007</v>
      </c>
      <c r="D984" vm="11733">
        <f ca="1"/>
        <v>156.86949999999999</v>
      </c>
      <c r="E984" vm="11734">
        <f ca="1"/>
        <v>95.81</v>
      </c>
      <c r="F984" vm="11735">
        <f ca="1"/>
        <v>760.85</v>
      </c>
      <c r="G984" vm="11736">
        <f ca="1"/>
        <v>199.29</v>
      </c>
      <c r="H984" vm="11737">
        <f ca="1"/>
        <v>332.39</v>
      </c>
      <c r="I984" vm="11738">
        <f ca="1"/>
        <v>77.540000000000006</v>
      </c>
      <c r="J984" vm="11218">
        <f ca="1"/>
        <v>17.71</v>
      </c>
      <c r="K984" vm="11739">
        <f ca="1"/>
        <v>13.417999999999999</v>
      </c>
      <c r="L984" vm="11740">
        <f ca="1"/>
        <v>142.07</v>
      </c>
      <c r="M984" vm="11741">
        <f ca="1"/>
        <v>351.7</v>
      </c>
      <c r="N984" vm="11742">
        <f ca="1"/>
        <v>3572.66</v>
      </c>
    </row>
    <row r="985" spans="2:14" x14ac:dyDescent="0.35">
      <c r="B985" vm="11743">
        <f ca="1"/>
        <v>44147</v>
      </c>
      <c r="C985" vm="11744">
        <f ca="1"/>
        <v>87.141000000000005</v>
      </c>
      <c r="D985" vm="11745">
        <f ca="1"/>
        <v>155.51400000000001</v>
      </c>
      <c r="E985" vm="11746">
        <f ca="1"/>
        <v>94.2</v>
      </c>
      <c r="F985" vm="11747">
        <f ca="1"/>
        <v>760.31</v>
      </c>
      <c r="G985" vm="11748">
        <f ca="1"/>
        <v>197.24</v>
      </c>
      <c r="H985" vm="11749">
        <f ca="1"/>
        <v>328.29</v>
      </c>
      <c r="I985" vm="11750">
        <f ca="1"/>
        <v>76.67</v>
      </c>
      <c r="J985" vm="11751">
        <f ca="1"/>
        <v>17.3</v>
      </c>
      <c r="K985" vm="11752">
        <f ca="1"/>
        <v>13.456799999999999</v>
      </c>
      <c r="L985" vm="11753">
        <f ca="1"/>
        <v>142.15</v>
      </c>
      <c r="M985" vm="11754">
        <f ca="1"/>
        <v>354.41</v>
      </c>
      <c r="N985" vm="11755">
        <f ca="1"/>
        <v>3537.01</v>
      </c>
    </row>
    <row r="986" spans="2:14" x14ac:dyDescent="0.35">
      <c r="B986" vm="11756">
        <f ca="1"/>
        <v>44148</v>
      </c>
      <c r="C986" vm="11757">
        <f ca="1"/>
        <v>88.613</v>
      </c>
      <c r="D986" vm="11758">
        <f ca="1"/>
        <v>156.44049999999999</v>
      </c>
      <c r="E986" vm="11759">
        <f ca="1"/>
        <v>94.65</v>
      </c>
      <c r="F986" vm="11760">
        <f ca="1"/>
        <v>760.81</v>
      </c>
      <c r="G986" vm="4522">
        <f ca="1"/>
        <v>201.54</v>
      </c>
      <c r="H986" vm="11761">
        <f ca="1"/>
        <v>335.03</v>
      </c>
      <c r="I986" vm="11762">
        <f ca="1"/>
        <v>77.19</v>
      </c>
      <c r="J986" vm="11763">
        <f ca="1"/>
        <v>18</v>
      </c>
      <c r="K986" vm="11764">
        <f ca="1"/>
        <v>13.297000000000001</v>
      </c>
      <c r="L986" vm="11765">
        <f ca="1"/>
        <v>144.28</v>
      </c>
      <c r="M986" vm="11766">
        <f ca="1"/>
        <v>355.67</v>
      </c>
      <c r="N986" vm="11767">
        <f ca="1"/>
        <v>3585.15</v>
      </c>
    </row>
    <row r="987" spans="2:14" x14ac:dyDescent="0.35">
      <c r="B987" vm="11768">
        <f ca="1"/>
        <v>44151</v>
      </c>
      <c r="C987" vm="11769">
        <f ca="1"/>
        <v>88.701499999999996</v>
      </c>
      <c r="D987" vm="11770">
        <f ca="1"/>
        <v>156.553</v>
      </c>
      <c r="E987" vm="11771">
        <f ca="1"/>
        <v>96.76</v>
      </c>
      <c r="F987" vm="11772">
        <f ca="1"/>
        <v>755.09</v>
      </c>
      <c r="G987" vm="11773">
        <f ca="1"/>
        <v>208.59</v>
      </c>
      <c r="H987" vm="11774">
        <f ca="1"/>
        <v>335.45</v>
      </c>
      <c r="I987" vm="11775">
        <f ca="1"/>
        <v>77.75</v>
      </c>
      <c r="J987" vm="11776">
        <f ca="1"/>
        <v>20.04</v>
      </c>
      <c r="K987" vm="11777">
        <f ca="1"/>
        <v>13.5153</v>
      </c>
      <c r="L987" vm="11778">
        <f ca="1"/>
        <v>142.43</v>
      </c>
      <c r="M987" vm="11779">
        <f ca="1"/>
        <v>356.82</v>
      </c>
      <c r="N987" vm="11780">
        <f ca="1"/>
        <v>3626.91</v>
      </c>
    </row>
    <row r="988" spans="2:14" x14ac:dyDescent="0.35">
      <c r="B988" vm="11781">
        <f ca="1"/>
        <v>44152</v>
      </c>
      <c r="C988" vm="11782">
        <f ca="1"/>
        <v>88.082999999999998</v>
      </c>
      <c r="D988" vm="11783">
        <f ca="1"/>
        <v>156.78299999999999</v>
      </c>
      <c r="E988" vm="6418">
        <f ca="1"/>
        <v>97.14</v>
      </c>
      <c r="F988" vm="11784">
        <f ca="1"/>
        <v>751.18</v>
      </c>
      <c r="G988" vm="11785">
        <f ca="1"/>
        <v>205.33</v>
      </c>
      <c r="H988" vm="11786">
        <f ca="1"/>
        <v>336.5</v>
      </c>
      <c r="I988" vm="11787">
        <f ca="1"/>
        <v>76.61</v>
      </c>
      <c r="J988" vm="11788">
        <f ca="1"/>
        <v>20.09</v>
      </c>
      <c r="K988" vm="11789">
        <f ca="1"/>
        <v>13.4223</v>
      </c>
      <c r="L988" vm="11790">
        <f ca="1"/>
        <v>141.88</v>
      </c>
      <c r="M988" vm="11791">
        <f ca="1"/>
        <v>352.1</v>
      </c>
      <c r="N988" vm="11792">
        <f ca="1"/>
        <v>3609.53</v>
      </c>
    </row>
    <row r="989" spans="2:14" x14ac:dyDescent="0.35">
      <c r="B989" vm="11793">
        <f ca="1"/>
        <v>44153</v>
      </c>
      <c r="C989" vm="11794">
        <f ca="1"/>
        <v>87.031999999999996</v>
      </c>
      <c r="D989" vm="11795">
        <f ca="1"/>
        <v>155.273</v>
      </c>
      <c r="E989" vm="11796">
        <f ca="1"/>
        <v>96.56</v>
      </c>
      <c r="F989" vm="11797">
        <f ca="1"/>
        <v>734.32</v>
      </c>
      <c r="G989" vm="11798">
        <f ca="1"/>
        <v>201.11</v>
      </c>
      <c r="H989" vm="11799">
        <f ca="1"/>
        <v>335.94</v>
      </c>
      <c r="I989" vm="11800">
        <f ca="1"/>
        <v>75.790000000000006</v>
      </c>
      <c r="J989" vm="11801">
        <f ca="1"/>
        <v>19.97</v>
      </c>
      <c r="K989" vm="11802">
        <f ca="1"/>
        <v>13.428800000000001</v>
      </c>
      <c r="L989" vm="11803">
        <f ca="1"/>
        <v>139.69999999999999</v>
      </c>
      <c r="M989" vm="11804">
        <f ca="1"/>
        <v>344.51</v>
      </c>
      <c r="N989" vm="11805">
        <f ca="1"/>
        <v>3567.79</v>
      </c>
    </row>
    <row r="990" spans="2:14" x14ac:dyDescent="0.35">
      <c r="B990" vm="11806">
        <f ca="1"/>
        <v>44154</v>
      </c>
      <c r="C990" vm="11807">
        <f ca="1"/>
        <v>87.9285</v>
      </c>
      <c r="D990" vm="11808">
        <f ca="1"/>
        <v>155.851</v>
      </c>
      <c r="E990" vm="11809">
        <f ca="1"/>
        <v>97.91</v>
      </c>
      <c r="F990" vm="11810">
        <f ca="1"/>
        <v>730.59</v>
      </c>
      <c r="G990" vm="11811">
        <f ca="1"/>
        <v>202.72</v>
      </c>
      <c r="H990" vm="11812">
        <f ca="1"/>
        <v>333.88</v>
      </c>
      <c r="I990" vm="10892">
        <f ca="1"/>
        <v>75.13</v>
      </c>
      <c r="J990" vm="11813">
        <f ca="1"/>
        <v>20.46</v>
      </c>
      <c r="K990" vm="11814">
        <f ca="1"/>
        <v>13.440300000000001</v>
      </c>
      <c r="L990" vm="11815">
        <f ca="1"/>
        <v>139.53</v>
      </c>
      <c r="M990" vm="11816">
        <f ca="1"/>
        <v>337</v>
      </c>
      <c r="N990" vm="11817">
        <f ca="1"/>
        <v>3581.87</v>
      </c>
    </row>
    <row r="991" spans="2:14" x14ac:dyDescent="0.35">
      <c r="B991" vm="11818">
        <f ca="1"/>
        <v>44155</v>
      </c>
      <c r="C991" vm="11819">
        <f ca="1"/>
        <v>86.819000000000003</v>
      </c>
      <c r="D991" vm="11820">
        <f ca="1"/>
        <v>154.97</v>
      </c>
      <c r="E991" vm="11821">
        <f ca="1"/>
        <v>97.25</v>
      </c>
      <c r="F991" vm="11822">
        <f ca="1"/>
        <v>728.12</v>
      </c>
      <c r="G991" vm="6253">
        <f ca="1"/>
        <v>202</v>
      </c>
      <c r="H991" vm="11823">
        <f ca="1"/>
        <v>323</v>
      </c>
      <c r="I991" vm="11824">
        <f ca="1"/>
        <v>75.55</v>
      </c>
      <c r="J991" vm="11825">
        <f ca="1"/>
        <v>20.21</v>
      </c>
      <c r="K991" vm="11826">
        <f ca="1"/>
        <v>13.0878</v>
      </c>
      <c r="L991" vm="11827">
        <f ca="1"/>
        <v>139.30000000000001</v>
      </c>
      <c r="M991" vm="11828">
        <f ca="1"/>
        <v>334.7</v>
      </c>
      <c r="N991" vm="11829">
        <f ca="1"/>
        <v>3557.54</v>
      </c>
    </row>
    <row r="992" spans="2:14" x14ac:dyDescent="0.35">
      <c r="B992" vm="11830">
        <f ca="1"/>
        <v>44158</v>
      </c>
      <c r="C992" vm="11831">
        <f ca="1"/>
        <v>86.378</v>
      </c>
      <c r="D992" vm="11832">
        <f ca="1"/>
        <v>154.9195</v>
      </c>
      <c r="E992" vm="11833">
        <f ca="1"/>
        <v>95.44</v>
      </c>
      <c r="F992" vm="11834">
        <f ca="1"/>
        <v>711.46</v>
      </c>
      <c r="G992" vm="11835">
        <f ca="1"/>
        <v>204.58</v>
      </c>
      <c r="H992" vm="11836">
        <f ca="1"/>
        <v>332.04</v>
      </c>
      <c r="I992" vm="10821">
        <f ca="1"/>
        <v>74.569999999999993</v>
      </c>
      <c r="J992" vm="11837">
        <f ca="1"/>
        <v>21.61</v>
      </c>
      <c r="K992" vm="11838">
        <f ca="1"/>
        <v>13.14</v>
      </c>
      <c r="L992" vm="11839">
        <f ca="1"/>
        <v>138.76</v>
      </c>
      <c r="M992" vm="11840">
        <f ca="1"/>
        <v>335.06</v>
      </c>
      <c r="N992" vm="11841">
        <f ca="1"/>
        <v>3577.59</v>
      </c>
    </row>
    <row r="993" spans="2:14" x14ac:dyDescent="0.35">
      <c r="B993" vm="11842">
        <f ca="1"/>
        <v>44159</v>
      </c>
      <c r="C993" vm="11843">
        <f ca="1"/>
        <v>88.194999999999993</v>
      </c>
      <c r="D993" vm="11844">
        <f ca="1"/>
        <v>155.90299999999999</v>
      </c>
      <c r="E993" vm="11845">
        <f ca="1"/>
        <v>96.11</v>
      </c>
      <c r="F993" vm="11846">
        <f ca="1"/>
        <v>692.38</v>
      </c>
      <c r="G993" vm="11847">
        <f ca="1"/>
        <v>207.89</v>
      </c>
      <c r="H993" vm="11848">
        <f ca="1"/>
        <v>342.39</v>
      </c>
      <c r="I993" vm="11849">
        <f ca="1"/>
        <v>74.98</v>
      </c>
      <c r="J993" vm="11850">
        <f ca="1"/>
        <v>22.23</v>
      </c>
      <c r="K993" vm="11851">
        <f ca="1"/>
        <v>12.957700000000001</v>
      </c>
      <c r="L993" vm="11852">
        <f ca="1"/>
        <v>138.31</v>
      </c>
      <c r="M993" vm="11853">
        <f ca="1"/>
        <v>336.01</v>
      </c>
      <c r="N993" vm="11854">
        <f ca="1"/>
        <v>3635.41</v>
      </c>
    </row>
    <row r="994" spans="2:14" x14ac:dyDescent="0.35">
      <c r="B994" vm="11855">
        <f ca="1"/>
        <v>44160</v>
      </c>
      <c r="C994" vm="11856">
        <f ca="1"/>
        <v>88.206500000000005</v>
      </c>
      <c r="D994" vm="11857">
        <f ca="1"/>
        <v>159.2535</v>
      </c>
      <c r="E994" vm="11858">
        <f ca="1"/>
        <v>96.3</v>
      </c>
      <c r="F994" vm="11859">
        <f ca="1"/>
        <v>693.54</v>
      </c>
      <c r="G994" vm="11860">
        <f ca="1"/>
        <v>207.68</v>
      </c>
      <c r="H994" vm="11861">
        <f ca="1"/>
        <v>341.32</v>
      </c>
      <c r="I994" vm="11862">
        <f ca="1"/>
        <v>75.97</v>
      </c>
      <c r="J994" vm="11863">
        <f ca="1"/>
        <v>22.1</v>
      </c>
      <c r="K994" vm="11864">
        <f ca="1"/>
        <v>13.2348</v>
      </c>
      <c r="L994" vm="11865">
        <f ca="1"/>
        <v>138.68</v>
      </c>
      <c r="M994" vm="11866">
        <f ca="1"/>
        <v>333.19</v>
      </c>
      <c r="N994" vm="11867">
        <f ca="1"/>
        <v>3629.65</v>
      </c>
    </row>
    <row r="995" spans="2:14" x14ac:dyDescent="0.35">
      <c r="B995" vm="11868">
        <f ca="1"/>
        <v>44162</v>
      </c>
      <c r="C995" vm="11869">
        <f ca="1"/>
        <v>89.350999999999999</v>
      </c>
      <c r="D995" vm="11870">
        <f ca="1"/>
        <v>159.767</v>
      </c>
      <c r="E995" vm="11871">
        <f ca="1"/>
        <v>96.36</v>
      </c>
      <c r="F995" vm="11872">
        <f ca="1"/>
        <v>700.52</v>
      </c>
      <c r="G995" vm="11873">
        <f ca="1"/>
        <v>209.41</v>
      </c>
      <c r="H995" vm="11874">
        <f ca="1"/>
        <v>339.07</v>
      </c>
      <c r="I995" vm="10892">
        <f ca="1"/>
        <v>75.13</v>
      </c>
      <c r="J995" vm="11875">
        <f ca="1"/>
        <v>21.88</v>
      </c>
      <c r="K995" vm="11876">
        <f ca="1"/>
        <v>13.2613</v>
      </c>
      <c r="L995" vm="11877">
        <f ca="1"/>
        <v>138.61000000000001</v>
      </c>
      <c r="M995" vm="11878">
        <f ca="1"/>
        <v>337.94</v>
      </c>
      <c r="N995" vm="11879">
        <f ca="1"/>
        <v>3638.35</v>
      </c>
    </row>
    <row r="996" spans="2:14" x14ac:dyDescent="0.35">
      <c r="B996" vm="11880">
        <f ca="1"/>
        <v>44165</v>
      </c>
      <c r="C996" vm="11881">
        <f ca="1"/>
        <v>87.72</v>
      </c>
      <c r="D996" vm="11882">
        <f ca="1"/>
        <v>158.40199999999999</v>
      </c>
      <c r="E996" vm="11883">
        <f ca="1"/>
        <v>96.01</v>
      </c>
      <c r="F996" vm="11884">
        <f ca="1"/>
        <v>697.79</v>
      </c>
      <c r="G996" vm="11885">
        <f ca="1"/>
        <v>203.92</v>
      </c>
      <c r="H996" vm="11886">
        <f ca="1"/>
        <v>336.51</v>
      </c>
      <c r="I996" vm="11887">
        <f ca="1"/>
        <v>73.59</v>
      </c>
      <c r="J996" vm="11888">
        <f ca="1"/>
        <v>20.79</v>
      </c>
      <c r="K996" vm="11889">
        <f ca="1"/>
        <v>13.4015</v>
      </c>
      <c r="L996" vm="11890">
        <f ca="1"/>
        <v>138.87</v>
      </c>
      <c r="M996" vm="11891">
        <f ca="1"/>
        <v>336.34</v>
      </c>
      <c r="N996" vm="11892">
        <f ca="1"/>
        <v>3621.63</v>
      </c>
    </row>
    <row r="997" spans="2:14" x14ac:dyDescent="0.35">
      <c r="B997" vm="11893">
        <f ca="1"/>
        <v>44166</v>
      </c>
      <c r="C997" vm="11894">
        <f ca="1"/>
        <v>89.768000000000001</v>
      </c>
      <c r="D997" vm="11895">
        <f ca="1"/>
        <v>161.00399999999999</v>
      </c>
      <c r="E997" vm="11896">
        <f ca="1"/>
        <v>96.82</v>
      </c>
      <c r="F997" vm="11897">
        <f ca="1"/>
        <v>712.58</v>
      </c>
      <c r="G997" vm="11898">
        <f ca="1"/>
        <v>206.2</v>
      </c>
      <c r="H997" vm="11899">
        <f ca="1"/>
        <v>338.88</v>
      </c>
      <c r="I997" vm="9355">
        <f ca="1"/>
        <v>74.150000000000006</v>
      </c>
      <c r="J997" vm="11900">
        <f ca="1"/>
        <v>21.07</v>
      </c>
      <c r="K997" vm="11901">
        <f ca="1"/>
        <v>13.39</v>
      </c>
      <c r="L997" vm="11902">
        <f ca="1"/>
        <v>139.37</v>
      </c>
      <c r="M997" vm="11903">
        <f ca="1"/>
        <v>341.19</v>
      </c>
      <c r="N997" vm="11904">
        <f ca="1"/>
        <v>3662.45</v>
      </c>
    </row>
    <row r="998" spans="2:14" x14ac:dyDescent="0.35">
      <c r="B998" vm="11905">
        <f ca="1"/>
        <v>44167</v>
      </c>
      <c r="C998" vm="11906">
        <f ca="1"/>
        <v>91.248500000000007</v>
      </c>
      <c r="D998" vm="11907">
        <f ca="1"/>
        <v>160.1765</v>
      </c>
      <c r="E998" vm="11908">
        <f ca="1"/>
        <v>94</v>
      </c>
      <c r="F998" vm="11909">
        <f ca="1"/>
        <v>690.62</v>
      </c>
      <c r="G998" vm="11910">
        <f ca="1"/>
        <v>208</v>
      </c>
      <c r="H998" vm="11911">
        <f ca="1"/>
        <v>340.22</v>
      </c>
      <c r="I998" vm="4321">
        <f ca="1"/>
        <v>74.31</v>
      </c>
      <c r="J998" vm="11912">
        <f ca="1"/>
        <v>21.64</v>
      </c>
      <c r="K998" vm="11913">
        <f ca="1"/>
        <v>13.544499999999999</v>
      </c>
      <c r="L998" vm="11914">
        <f ca="1"/>
        <v>138.36000000000001</v>
      </c>
      <c r="M998" vm="11915">
        <f ca="1"/>
        <v>347.56</v>
      </c>
      <c r="N998" vm="11916">
        <f ca="1"/>
        <v>3669.01</v>
      </c>
    </row>
    <row r="999" spans="2:14" x14ac:dyDescent="0.35">
      <c r="B999" vm="11917">
        <f ca="1"/>
        <v>44168</v>
      </c>
      <c r="C999" vm="11918">
        <f ca="1"/>
        <v>91.091999999999999</v>
      </c>
      <c r="D999" vm="11919">
        <f ca="1"/>
        <v>159.3365</v>
      </c>
      <c r="E999" vm="2293">
        <f ca="1"/>
        <v>92.64</v>
      </c>
      <c r="F999" vm="11920">
        <f ca="1"/>
        <v>692.65</v>
      </c>
      <c r="G999" vm="11921">
        <f ca="1"/>
        <v>208.22</v>
      </c>
      <c r="H999" vm="11922">
        <f ca="1"/>
        <v>335.14</v>
      </c>
      <c r="I999" vm="11923">
        <f ca="1"/>
        <v>73.349999999999994</v>
      </c>
      <c r="J999" vm="11924">
        <f ca="1"/>
        <v>22.07</v>
      </c>
      <c r="K999" vm="11925">
        <f ca="1"/>
        <v>13.396000000000001</v>
      </c>
      <c r="L999" vm="11926">
        <f ca="1"/>
        <v>137.34</v>
      </c>
      <c r="M999" vm="11927">
        <f ca="1"/>
        <v>348.68</v>
      </c>
      <c r="N999" vm="11928">
        <f ca="1"/>
        <v>3666.72</v>
      </c>
    </row>
    <row r="1000" spans="2:14" x14ac:dyDescent="0.35">
      <c r="B1000" vm="11929">
        <f ca="1"/>
        <v>44169</v>
      </c>
      <c r="C1000" vm="11930">
        <f ca="1"/>
        <v>91.188000000000002</v>
      </c>
      <c r="D1000" vm="11931">
        <f ca="1"/>
        <v>158.12899999999999</v>
      </c>
      <c r="E1000" vm="11932">
        <f ca="1"/>
        <v>94.16</v>
      </c>
      <c r="F1000" vm="11933">
        <f ca="1"/>
        <v>708.33</v>
      </c>
      <c r="G1000" vm="11934">
        <f ca="1"/>
        <v>212.68</v>
      </c>
      <c r="H1000" vm="11935">
        <f ca="1"/>
        <v>344.35</v>
      </c>
      <c r="I1000" vm="11936">
        <f ca="1"/>
        <v>72.52</v>
      </c>
      <c r="J1000" vm="11937">
        <f ca="1"/>
        <v>23.45</v>
      </c>
      <c r="K1000" vm="11938">
        <f ca="1"/>
        <v>13.558299999999999</v>
      </c>
      <c r="L1000" vm="11939">
        <f ca="1"/>
        <v>137.47</v>
      </c>
      <c r="M1000" vm="11940">
        <f ca="1"/>
        <v>349.89</v>
      </c>
      <c r="N1000" vm="11941">
        <f ca="1"/>
        <v>3699.12</v>
      </c>
    </row>
    <row r="1001" spans="2:14" x14ac:dyDescent="0.35">
      <c r="B1001" vm="11942">
        <f ca="1"/>
        <v>44172</v>
      </c>
      <c r="C1001" vm="11943">
        <f ca="1"/>
        <v>90.851500000000001</v>
      </c>
      <c r="D1001" vm="11944">
        <f ca="1"/>
        <v>157.9</v>
      </c>
      <c r="E1001" vm="11945">
        <f ca="1"/>
        <v>95.5</v>
      </c>
      <c r="F1001" vm="11946">
        <f ca="1"/>
        <v>697.55</v>
      </c>
      <c r="G1001" vm="2662">
        <f ca="1"/>
        <v>211.1</v>
      </c>
      <c r="H1001" vm="11947">
        <f ca="1"/>
        <v>340.96</v>
      </c>
      <c r="I1001" vm="11948">
        <f ca="1"/>
        <v>73.27</v>
      </c>
      <c r="J1001" vm="11949">
        <f ca="1"/>
        <v>22.83</v>
      </c>
      <c r="K1001" vm="11950">
        <f ca="1"/>
        <v>13.6068</v>
      </c>
      <c r="L1001" vm="11951">
        <f ca="1"/>
        <v>137.68</v>
      </c>
      <c r="M1001" vm="11952">
        <f ca="1"/>
        <v>347.86</v>
      </c>
      <c r="N1001" vm="11953">
        <f ca="1"/>
        <v>3691.96</v>
      </c>
    </row>
    <row r="1002" spans="2:14" x14ac:dyDescent="0.35">
      <c r="B1002" vm="11954">
        <f ca="1"/>
        <v>44173</v>
      </c>
      <c r="C1002" vm="11955">
        <f ca="1"/>
        <v>90.566500000000005</v>
      </c>
      <c r="D1002" vm="11956">
        <f ca="1"/>
        <v>158.86449999999999</v>
      </c>
      <c r="E1002" vm="11957">
        <f ca="1"/>
        <v>95.89</v>
      </c>
      <c r="F1002" vm="11958">
        <f ca="1"/>
        <v>695.28</v>
      </c>
      <c r="G1002" vm="11959">
        <f ca="1"/>
        <v>212.07</v>
      </c>
      <c r="H1002" vm="11960">
        <f ca="1"/>
        <v>340.79</v>
      </c>
      <c r="I1002" vm="11961">
        <f ca="1"/>
        <v>73.680000000000007</v>
      </c>
      <c r="J1002" vm="11962">
        <f ca="1"/>
        <v>23.23</v>
      </c>
      <c r="K1002" vm="11963">
        <f ca="1"/>
        <v>13.35</v>
      </c>
      <c r="L1002" vm="11964">
        <f ca="1"/>
        <v>138.05000000000001</v>
      </c>
      <c r="M1002" vm="11952">
        <f ca="1"/>
        <v>347.86</v>
      </c>
      <c r="N1002" vm="11965">
        <f ca="1"/>
        <v>3702.25</v>
      </c>
    </row>
    <row r="1003" spans="2:14" x14ac:dyDescent="0.35">
      <c r="B1003" vm="11966">
        <f ca="1"/>
        <v>44174</v>
      </c>
      <c r="C1003" vm="11967">
        <f ca="1"/>
        <v>88.893000000000001</v>
      </c>
      <c r="D1003" vm="11968">
        <f ca="1"/>
        <v>155.21</v>
      </c>
      <c r="E1003" vm="11969">
        <f ca="1"/>
        <v>93.36</v>
      </c>
      <c r="F1003" vm="11970">
        <f ca="1"/>
        <v>678.4</v>
      </c>
      <c r="G1003" vm="11971">
        <f ca="1"/>
        <v>212.24</v>
      </c>
      <c r="H1003" vm="11972">
        <f ca="1"/>
        <v>336.85</v>
      </c>
      <c r="I1003" vm="11973">
        <f ca="1"/>
        <v>73.67</v>
      </c>
      <c r="J1003" vm="11974">
        <f ca="1"/>
        <v>23.37</v>
      </c>
      <c r="K1003" vm="11975">
        <f ca="1"/>
        <v>12.9308</v>
      </c>
      <c r="L1003" vm="11976">
        <f ca="1"/>
        <v>136.41</v>
      </c>
      <c r="M1003" vm="11977">
        <f ca="1"/>
        <v>344.41</v>
      </c>
      <c r="N1003" vm="11978">
        <f ca="1"/>
        <v>3672.82</v>
      </c>
    </row>
    <row r="1004" spans="2:14" x14ac:dyDescent="0.35">
      <c r="B1004" vm="11979">
        <f ca="1"/>
        <v>44175</v>
      </c>
      <c r="C1004" vm="11980">
        <f ca="1"/>
        <v>88.382499999999993</v>
      </c>
      <c r="D1004" vm="11981">
        <f ca="1"/>
        <v>155.0745</v>
      </c>
      <c r="E1004" vm="11982">
        <f ca="1"/>
        <v>93.26</v>
      </c>
      <c r="F1004" vm="11983">
        <f ca="1"/>
        <v>686.99</v>
      </c>
      <c r="G1004" vm="11984">
        <f ca="1"/>
        <v>211.97</v>
      </c>
      <c r="H1004" vm="11985">
        <f ca="1"/>
        <v>331.52</v>
      </c>
      <c r="I1004" vm="4218">
        <f ca="1"/>
        <v>73.28</v>
      </c>
      <c r="J1004" vm="11986">
        <f ca="1"/>
        <v>23.38</v>
      </c>
      <c r="K1004" vm="11987">
        <f ca="1"/>
        <v>12.972300000000001</v>
      </c>
      <c r="L1004" vm="11988">
        <f ca="1"/>
        <v>135.51</v>
      </c>
      <c r="M1004" vm="11989">
        <f ca="1"/>
        <v>339.65</v>
      </c>
      <c r="N1004" vm="11990">
        <f ca="1"/>
        <v>3668.1</v>
      </c>
    </row>
    <row r="1005" spans="2:14" x14ac:dyDescent="0.35">
      <c r="B1005" vm="11991">
        <f ca="1"/>
        <v>44176</v>
      </c>
      <c r="C1005" vm="1346">
        <f ca="1"/>
        <v>88.74</v>
      </c>
      <c r="D1005" vm="11992">
        <f ca="1"/>
        <v>155.821</v>
      </c>
      <c r="E1005" vm="11993">
        <f ca="1"/>
        <v>92.58</v>
      </c>
      <c r="F1005" vm="11994">
        <f ca="1"/>
        <v>688.86</v>
      </c>
      <c r="G1005" vm="11995">
        <f ca="1"/>
        <v>214.63</v>
      </c>
      <c r="H1005" vm="11996">
        <f ca="1"/>
        <v>327.42</v>
      </c>
      <c r="I1005" vm="4032">
        <f ca="1"/>
        <v>73.8</v>
      </c>
      <c r="J1005" vm="11997">
        <f ca="1"/>
        <v>22.94</v>
      </c>
      <c r="K1005" vm="11998">
        <f ca="1"/>
        <v>13.013299999999999</v>
      </c>
      <c r="L1005" vm="11025">
        <f ca="1"/>
        <v>136.51</v>
      </c>
      <c r="M1005" vm="11999">
        <f ca="1"/>
        <v>337.07</v>
      </c>
      <c r="N1005" vm="12000">
        <f ca="1"/>
        <v>3663.46</v>
      </c>
    </row>
    <row r="1006" spans="2:14" x14ac:dyDescent="0.35">
      <c r="B1006" vm="12001">
        <f ca="1"/>
        <v>44179</v>
      </c>
      <c r="C1006" vm="12002">
        <f ca="1"/>
        <v>87.613</v>
      </c>
      <c r="D1006" vm="12003">
        <f ca="1"/>
        <v>157.8485</v>
      </c>
      <c r="E1006" vm="12004">
        <f ca="1"/>
        <v>90.3</v>
      </c>
      <c r="F1006" vm="12005">
        <f ca="1"/>
        <v>690.03</v>
      </c>
      <c r="G1006" vm="12006">
        <f ca="1"/>
        <v>211.85</v>
      </c>
      <c r="H1006" vm="12007">
        <f ca="1"/>
        <v>331.15</v>
      </c>
      <c r="I1006" vm="12008">
        <f ca="1"/>
        <v>73.55</v>
      </c>
      <c r="J1006" vm="12009">
        <f ca="1"/>
        <v>22.18</v>
      </c>
      <c r="K1006" vm="12010">
        <f ca="1"/>
        <v>13.3088</v>
      </c>
      <c r="L1006" vm="12011">
        <f ca="1"/>
        <v>135.85</v>
      </c>
      <c r="M1006" vm="12012">
        <f ca="1"/>
        <v>336.13</v>
      </c>
      <c r="N1006" vm="12013">
        <f ca="1"/>
        <v>3647.49</v>
      </c>
    </row>
    <row r="1007" spans="2:14" x14ac:dyDescent="0.35">
      <c r="B1007" vm="12014">
        <f ca="1"/>
        <v>44180</v>
      </c>
      <c r="C1007" vm="12015">
        <f ca="1"/>
        <v>88.054000000000002</v>
      </c>
      <c r="D1007" vm="12016">
        <f ca="1"/>
        <v>158.256</v>
      </c>
      <c r="E1007" vm="12017">
        <f ca="1"/>
        <v>92.04</v>
      </c>
      <c r="F1007" vm="12018">
        <f ca="1"/>
        <v>695.64</v>
      </c>
      <c r="G1007" vm="12019">
        <f ca="1"/>
        <v>214.17</v>
      </c>
      <c r="H1007" vm="12020">
        <f ca="1"/>
        <v>333.65</v>
      </c>
      <c r="I1007" vm="12021">
        <f ca="1"/>
        <v>74.91</v>
      </c>
      <c r="J1007" vm="12022">
        <f ca="1"/>
        <v>22.97</v>
      </c>
      <c r="K1007" vm="12023">
        <f ca="1"/>
        <v>13.3605</v>
      </c>
      <c r="L1007" vm="12024">
        <f ca="1"/>
        <v>136.65</v>
      </c>
      <c r="M1007" vm="12025">
        <f ca="1"/>
        <v>339.67</v>
      </c>
      <c r="N1007" vm="12026">
        <f ca="1"/>
        <v>3694.62</v>
      </c>
    </row>
    <row r="1008" spans="2:14" x14ac:dyDescent="0.35">
      <c r="B1008" vm="12027">
        <f ca="1"/>
        <v>44181</v>
      </c>
      <c r="C1008" vm="12028">
        <f ca="1"/>
        <v>87.859499999999997</v>
      </c>
      <c r="D1008" vm="12029">
        <f ca="1"/>
        <v>162.048</v>
      </c>
      <c r="E1008" vm="12030">
        <f ca="1"/>
        <v>90.43</v>
      </c>
      <c r="F1008" vm="12031">
        <f ca="1"/>
        <v>690.19</v>
      </c>
      <c r="G1008" vm="12032">
        <f ca="1"/>
        <v>210.31</v>
      </c>
      <c r="H1008" vm="12033">
        <f ca="1"/>
        <v>332.1</v>
      </c>
      <c r="I1008" vm="10917">
        <f ca="1"/>
        <v>74.44</v>
      </c>
      <c r="J1008" vm="12034">
        <f ca="1"/>
        <v>22.84</v>
      </c>
      <c r="K1008" vm="12035">
        <f ca="1"/>
        <v>13.2425</v>
      </c>
      <c r="L1008" vm="12036">
        <f ca="1"/>
        <v>137.27000000000001</v>
      </c>
      <c r="M1008" vm="12037">
        <f ca="1"/>
        <v>339.34</v>
      </c>
      <c r="N1008" vm="12038">
        <f ca="1"/>
        <v>3701.17</v>
      </c>
    </row>
    <row r="1009" spans="2:14" x14ac:dyDescent="0.35">
      <c r="B1009" vm="12039">
        <f ca="1"/>
        <v>44182</v>
      </c>
      <c r="C1009" vm="12040">
        <f ca="1"/>
        <v>87.025499999999994</v>
      </c>
      <c r="D1009" vm="12041">
        <f ca="1"/>
        <v>161.804</v>
      </c>
      <c r="E1009" vm="12042">
        <f ca="1"/>
        <v>91.98</v>
      </c>
      <c r="F1009" vm="12043">
        <f ca="1"/>
        <v>712.74</v>
      </c>
      <c r="G1009" vm="12044">
        <f ca="1"/>
        <v>211.94</v>
      </c>
      <c r="H1009" vm="12045">
        <f ca="1"/>
        <v>336.9</v>
      </c>
      <c r="I1009" vm="12046">
        <f ca="1"/>
        <v>75.06</v>
      </c>
      <c r="J1009" vm="12047">
        <f ca="1"/>
        <v>22.93</v>
      </c>
      <c r="K1009" vm="12048">
        <f ca="1"/>
        <v>13.3413</v>
      </c>
      <c r="L1009" vm="12049">
        <f ca="1"/>
        <v>138.25</v>
      </c>
      <c r="M1009" vm="12050">
        <f ca="1"/>
        <v>341.67</v>
      </c>
      <c r="N1009" vm="12051">
        <f ca="1"/>
        <v>3722.48</v>
      </c>
    </row>
    <row r="1010" spans="2:14" x14ac:dyDescent="0.35">
      <c r="B1010" vm="12052">
        <f ca="1"/>
        <v>44183</v>
      </c>
      <c r="C1010" vm="12053">
        <f ca="1"/>
        <v>86.311000000000007</v>
      </c>
      <c r="D1010" vm="12054">
        <f ca="1"/>
        <v>160.08250000000001</v>
      </c>
      <c r="E1010" vm="12055">
        <f ca="1"/>
        <v>92.19</v>
      </c>
      <c r="F1010" vm="12056">
        <f ca="1"/>
        <v>709.73</v>
      </c>
      <c r="G1010" vm="12057">
        <f ca="1"/>
        <v>210.04</v>
      </c>
      <c r="H1010" vm="12058">
        <f ca="1"/>
        <v>340.33</v>
      </c>
      <c r="I1010" vm="8255">
        <f ca="1"/>
        <v>74.510000000000005</v>
      </c>
      <c r="J1010" vm="12059">
        <f ca="1"/>
        <v>22.31</v>
      </c>
      <c r="K1010" vm="12060">
        <f ca="1"/>
        <v>13.272</v>
      </c>
      <c r="L1010" vm="12061">
        <f ca="1"/>
        <v>139.04</v>
      </c>
      <c r="M1010" vm="12062">
        <f ca="1"/>
        <v>338.38</v>
      </c>
      <c r="N1010" vm="12063">
        <f ca="1"/>
        <v>3709.41</v>
      </c>
    </row>
    <row r="1011" spans="2:14" x14ac:dyDescent="0.35">
      <c r="B1011" vm="12064">
        <f ca="1"/>
        <v>44186</v>
      </c>
      <c r="C1011" vm="12065">
        <f ca="1"/>
        <v>86.727999999999994</v>
      </c>
      <c r="D1011" vm="12066">
        <f ca="1"/>
        <v>160.309</v>
      </c>
      <c r="E1011" vm="12067">
        <f ca="1"/>
        <v>92.73</v>
      </c>
      <c r="F1011" vm="12068">
        <f ca="1"/>
        <v>704.4</v>
      </c>
      <c r="G1011" vm="12069">
        <f ca="1"/>
        <v>210.66</v>
      </c>
      <c r="H1011" vm="12070">
        <f ca="1"/>
        <v>334.37</v>
      </c>
      <c r="I1011" vm="12071">
        <f ca="1"/>
        <v>74.400000000000006</v>
      </c>
      <c r="J1011" vm="12072">
        <f ca="1"/>
        <v>21.78</v>
      </c>
      <c r="K1011" vm="12073">
        <f ca="1"/>
        <v>13.3323</v>
      </c>
      <c r="L1011" vm="11280">
        <f ca="1"/>
        <v>137.52000000000001</v>
      </c>
      <c r="M1011" vm="12074">
        <f ca="1"/>
        <v>336.08</v>
      </c>
      <c r="N1011" vm="12075">
        <f ca="1"/>
        <v>3694.92</v>
      </c>
    </row>
    <row r="1012" spans="2:14" x14ac:dyDescent="0.35">
      <c r="B1012" vm="12076">
        <f ca="1"/>
        <v>44187</v>
      </c>
      <c r="C1012" vm="12077">
        <f ca="1"/>
        <v>86.010999999999996</v>
      </c>
      <c r="D1012" vm="12078">
        <f ca="1"/>
        <v>160.32599999999999</v>
      </c>
      <c r="E1012" vm="6014">
        <f ca="1"/>
        <v>92.49</v>
      </c>
      <c r="F1012" vm="12079">
        <f ca="1"/>
        <v>713.44</v>
      </c>
      <c r="G1012" vm="12080">
        <f ca="1"/>
        <v>207.94</v>
      </c>
      <c r="H1012" vm="12081">
        <f ca="1"/>
        <v>332.24</v>
      </c>
      <c r="I1012" vm="12082">
        <f ca="1"/>
        <v>74.709999999999994</v>
      </c>
      <c r="J1012" vm="12083">
        <f ca="1"/>
        <v>21.36</v>
      </c>
      <c r="K1012" vm="12084">
        <f ca="1"/>
        <v>13.2783</v>
      </c>
      <c r="L1012" vm="12085">
        <f ca="1"/>
        <v>136.55000000000001</v>
      </c>
      <c r="M1012" vm="11178">
        <f ca="1"/>
        <v>335.01</v>
      </c>
      <c r="N1012" vm="12086">
        <f ca="1"/>
        <v>3687.26</v>
      </c>
    </row>
    <row r="1013" spans="2:14" x14ac:dyDescent="0.35">
      <c r="B1013" vm="12087">
        <f ca="1"/>
        <v>44188</v>
      </c>
      <c r="C1013" vm="12088">
        <f ca="1"/>
        <v>86.411500000000004</v>
      </c>
      <c r="D1013" vm="12089">
        <f ca="1"/>
        <v>159.26349999999999</v>
      </c>
      <c r="E1013" vm="12090">
        <f ca="1"/>
        <v>91.61</v>
      </c>
      <c r="F1013" vm="12091">
        <f ca="1"/>
        <v>703.08</v>
      </c>
      <c r="G1013" vm="12092">
        <f ca="1"/>
        <v>209.99</v>
      </c>
      <c r="H1013" vm="12093">
        <f ca="1"/>
        <v>329.23</v>
      </c>
      <c r="I1013" vm="12094">
        <f ca="1"/>
        <v>74.33</v>
      </c>
      <c r="J1013" vm="12095">
        <f ca="1"/>
        <v>21.92</v>
      </c>
      <c r="K1013" vm="12096">
        <f ca="1"/>
        <v>13.0093</v>
      </c>
      <c r="L1013" vm="12097">
        <f ca="1"/>
        <v>136.34</v>
      </c>
      <c r="M1013" vm="12098">
        <f ca="1"/>
        <v>337.59</v>
      </c>
      <c r="N1013" vm="12099">
        <f ca="1"/>
        <v>3690.01</v>
      </c>
    </row>
    <row r="1014" spans="2:14" x14ac:dyDescent="0.35">
      <c r="B1014" vm="12100">
        <f ca="1"/>
        <v>44189</v>
      </c>
      <c r="C1014" vm="12101">
        <f ca="1"/>
        <v>86.707999999999998</v>
      </c>
      <c r="D1014" vm="12102">
        <f ca="1"/>
        <v>158.6345</v>
      </c>
      <c r="E1014" vm="12103">
        <f ca="1"/>
        <v>92.34</v>
      </c>
      <c r="F1014" vm="12104">
        <f ca="1"/>
        <v>705.94</v>
      </c>
      <c r="G1014" vm="2649">
        <f ca="1"/>
        <v>209.53</v>
      </c>
      <c r="H1014" vm="12105">
        <f ca="1"/>
        <v>336</v>
      </c>
      <c r="I1014" vm="11849">
        <f ca="1"/>
        <v>74.98</v>
      </c>
      <c r="J1014" vm="11912">
        <f ca="1"/>
        <v>21.64</v>
      </c>
      <c r="K1014" vm="12106">
        <f ca="1"/>
        <v>12.9938</v>
      </c>
      <c r="L1014" vm="12107">
        <f ca="1"/>
        <v>137.72</v>
      </c>
      <c r="M1014" vm="11960">
        <f ca="1"/>
        <v>340.79</v>
      </c>
      <c r="N1014" vm="12108">
        <f ca="1"/>
        <v>3703.06</v>
      </c>
    </row>
    <row r="1015" spans="2:14" x14ac:dyDescent="0.35">
      <c r="B1015" vm="12109">
        <f ca="1"/>
        <v>44193</v>
      </c>
      <c r="C1015" vm="12110">
        <f ca="1"/>
        <v>88.697999999999993</v>
      </c>
      <c r="D1015" vm="12111">
        <f ca="1"/>
        <v>164.19800000000001</v>
      </c>
      <c r="E1015" vm="6234">
        <f ca="1"/>
        <v>91.37</v>
      </c>
      <c r="F1015" vm="12112">
        <f ca="1"/>
        <v>709.88</v>
      </c>
      <c r="G1015" vm="12113">
        <f ca="1"/>
        <v>209.94</v>
      </c>
      <c r="H1015" vm="12114">
        <f ca="1"/>
        <v>344.47</v>
      </c>
      <c r="I1015" vm="12115">
        <f ca="1"/>
        <v>75.489999999999995</v>
      </c>
      <c r="J1015" vm="12116">
        <f ca="1"/>
        <v>21.57</v>
      </c>
      <c r="K1015" vm="12117">
        <f ca="1"/>
        <v>12.9</v>
      </c>
      <c r="L1015" vm="11865">
        <f ca="1"/>
        <v>138.68</v>
      </c>
      <c r="M1015" vm="12118">
        <f ca="1"/>
        <v>345.95</v>
      </c>
      <c r="N1015" vm="12119">
        <f ca="1"/>
        <v>3735.36</v>
      </c>
    </row>
    <row r="1016" spans="2:14" x14ac:dyDescent="0.35">
      <c r="B1016" vm="12120">
        <f ca="1"/>
        <v>44194</v>
      </c>
      <c r="C1016" vm="12121">
        <f ca="1"/>
        <v>87.888000000000005</v>
      </c>
      <c r="D1016" vm="11687">
        <f ca="1"/>
        <v>166.1</v>
      </c>
      <c r="E1016" vm="2306">
        <f ca="1"/>
        <v>92.24</v>
      </c>
      <c r="F1016" vm="12122">
        <f ca="1"/>
        <v>708.78</v>
      </c>
      <c r="G1016" vm="12123">
        <f ca="1"/>
        <v>209.13</v>
      </c>
      <c r="H1016" vm="12124">
        <f ca="1"/>
        <v>346.66</v>
      </c>
      <c r="I1016" vm="10942">
        <f ca="1"/>
        <v>75.33</v>
      </c>
      <c r="J1016" vm="12125">
        <f ca="1"/>
        <v>21.38</v>
      </c>
      <c r="K1016" vm="12126">
        <f ca="1"/>
        <v>12.943300000000001</v>
      </c>
      <c r="L1016" vm="12127">
        <f ca="1"/>
        <v>138.41999999999999</v>
      </c>
      <c r="M1016" vm="12128">
        <f ca="1"/>
        <v>347.35</v>
      </c>
      <c r="N1016" vm="12129">
        <f ca="1"/>
        <v>3727.04</v>
      </c>
    </row>
    <row r="1017" spans="2:14" x14ac:dyDescent="0.35">
      <c r="B1017" vm="12130">
        <f ca="1"/>
        <v>44195</v>
      </c>
      <c r="C1017" vm="12131">
        <f ca="1"/>
        <v>86.8125</v>
      </c>
      <c r="D1017" vm="12132">
        <f ca="1"/>
        <v>164.29249999999999</v>
      </c>
      <c r="E1017" vm="2026">
        <f ca="1"/>
        <v>92.86</v>
      </c>
      <c r="F1017" vm="12133">
        <f ca="1"/>
        <v>700.4</v>
      </c>
      <c r="G1017" vm="12134">
        <f ca="1"/>
        <v>210.95</v>
      </c>
      <c r="H1017" vm="12135">
        <f ca="1"/>
        <v>355.55</v>
      </c>
      <c r="I1017" vm="3804">
        <f ca="1"/>
        <v>75.91</v>
      </c>
      <c r="J1017" vm="11875">
        <f ca="1"/>
        <v>21.88</v>
      </c>
      <c r="K1017" vm="12136">
        <f ca="1"/>
        <v>13.145799999999999</v>
      </c>
      <c r="L1017" vm="6219">
        <f ca="1"/>
        <v>137.77000000000001</v>
      </c>
      <c r="M1017" vm="12137">
        <f ca="1"/>
        <v>344.99</v>
      </c>
      <c r="N1017" vm="12138">
        <f ca="1"/>
        <v>3732.04</v>
      </c>
    </row>
    <row r="1018" spans="2:14" x14ac:dyDescent="0.35">
      <c r="B1018" vm="12139">
        <f ca="1"/>
        <v>44196</v>
      </c>
      <c r="C1018" vm="12140">
        <f ca="1"/>
        <v>87.632000000000005</v>
      </c>
      <c r="D1018" vm="12141">
        <f ca="1"/>
        <v>162.84649999999999</v>
      </c>
      <c r="E1018" vm="12142">
        <f ca="1"/>
        <v>93.18</v>
      </c>
      <c r="F1018" vm="12143">
        <f ca="1"/>
        <v>714.18</v>
      </c>
      <c r="G1018" vm="2699">
        <f ca="1"/>
        <v>212.7</v>
      </c>
      <c r="H1018" vm="12144">
        <f ca="1"/>
        <v>356.94</v>
      </c>
      <c r="I1018" vm="12145">
        <f ca="1"/>
        <v>77.150000000000006</v>
      </c>
      <c r="J1018" vm="12146">
        <f ca="1"/>
        <v>21.83</v>
      </c>
      <c r="K1018" vm="12147">
        <f ca="1"/>
        <v>13.055</v>
      </c>
      <c r="L1018" vm="12148">
        <f ca="1"/>
        <v>139.13999999999999</v>
      </c>
      <c r="M1018" vm="12149">
        <f ca="1"/>
        <v>350.68</v>
      </c>
      <c r="N1018" vm="12150">
        <f ca="1"/>
        <v>3756.07</v>
      </c>
    </row>
    <row r="1019" spans="2:14" x14ac:dyDescent="0.35">
      <c r="B1019" vm="12151">
        <f ca="1"/>
        <v>44200</v>
      </c>
      <c r="C1019" vm="12152">
        <f ca="1"/>
        <v>86.3065</v>
      </c>
      <c r="D1019" vm="12153">
        <f ca="1"/>
        <v>159.33150000000001</v>
      </c>
      <c r="E1019" vm="12154">
        <f ca="1"/>
        <v>89.76</v>
      </c>
      <c r="F1019" vm="12155">
        <f ca="1"/>
        <v>692.56</v>
      </c>
      <c r="G1019" vm="12156">
        <f ca="1"/>
        <v>207.95</v>
      </c>
      <c r="H1019" vm="12157">
        <f ca="1"/>
        <v>351.49</v>
      </c>
      <c r="I1019" vm="12158">
        <f ca="1"/>
        <v>74.22</v>
      </c>
      <c r="J1019" vm="12159">
        <f ca="1"/>
        <v>21.95</v>
      </c>
      <c r="K1019" vm="12160">
        <f ca="1"/>
        <v>13.1135</v>
      </c>
      <c r="L1019" vm="12161">
        <f ca="1"/>
        <v>137.82</v>
      </c>
      <c r="M1019" vm="12162">
        <f ca="1"/>
        <v>349.5</v>
      </c>
      <c r="N1019" vm="12163">
        <f ca="1"/>
        <v>3700.65</v>
      </c>
    </row>
    <row r="1020" spans="2:14" x14ac:dyDescent="0.35">
      <c r="B1020" vm="12164">
        <f ca="1"/>
        <v>44201</v>
      </c>
      <c r="C1020" vm="12165">
        <f ca="1"/>
        <v>87.002499999999998</v>
      </c>
      <c r="D1020" vm="12166">
        <f ca="1"/>
        <v>160.9255</v>
      </c>
      <c r="E1020" vm="12167">
        <f ca="1"/>
        <v>90.62</v>
      </c>
      <c r="F1020" vm="12168">
        <f ca="1"/>
        <v>691.54</v>
      </c>
      <c r="G1020" vm="12169">
        <f ca="1"/>
        <v>208.46</v>
      </c>
      <c r="H1020" vm="12170">
        <f ca="1"/>
        <v>347.42</v>
      </c>
      <c r="I1020" vm="12171">
        <f ca="1"/>
        <v>74.77</v>
      </c>
      <c r="J1020" vm="12172">
        <f ca="1"/>
        <v>23.13</v>
      </c>
      <c r="K1020" vm="12173">
        <f ca="1"/>
        <v>13.4048</v>
      </c>
      <c r="L1020" vm="12174">
        <f ca="1"/>
        <v>138.69999999999999</v>
      </c>
      <c r="M1020" vm="12175">
        <f ca="1"/>
        <v>344.8</v>
      </c>
      <c r="N1020" vm="12176">
        <f ca="1"/>
        <v>3726.86</v>
      </c>
    </row>
    <row r="1021" spans="2:14" x14ac:dyDescent="0.35">
      <c r="B1021" vm="12177">
        <f ca="1"/>
        <v>44202</v>
      </c>
      <c r="C1021" vm="12178">
        <f ca="1"/>
        <v>86.144000000000005</v>
      </c>
      <c r="D1021" vm="12179">
        <f ca="1"/>
        <v>156.91900000000001</v>
      </c>
      <c r="E1021" vm="443">
        <f ca="1"/>
        <v>91.67</v>
      </c>
      <c r="F1021" vm="12180">
        <f ca="1"/>
        <v>668.96</v>
      </c>
      <c r="G1021" vm="12181">
        <f ca="1"/>
        <v>212.26</v>
      </c>
      <c r="H1021" vm="12182">
        <f ca="1"/>
        <v>347.55</v>
      </c>
      <c r="I1021" vm="3913">
        <f ca="1"/>
        <v>78.430000000000007</v>
      </c>
      <c r="J1021" vm="12183">
        <f ca="1"/>
        <v>24.41</v>
      </c>
      <c r="K1021" vm="12184">
        <f ca="1"/>
        <v>12.6145</v>
      </c>
      <c r="L1021" vm="12185">
        <f ca="1"/>
        <v>140.16</v>
      </c>
      <c r="M1021" vm="12186">
        <f ca="1"/>
        <v>359.27</v>
      </c>
      <c r="N1021" vm="12187">
        <f ca="1"/>
        <v>3748.14</v>
      </c>
    </row>
    <row r="1022" spans="2:14" x14ac:dyDescent="0.35">
      <c r="B1022" vm="12188">
        <f ca="1"/>
        <v>44203</v>
      </c>
      <c r="C1022" vm="12189">
        <f ca="1"/>
        <v>88.716999999999999</v>
      </c>
      <c r="D1022" vm="12190">
        <f ca="1"/>
        <v>158.108</v>
      </c>
      <c r="E1022" vm="1815">
        <f ca="1"/>
        <v>90.68</v>
      </c>
      <c r="F1022" vm="12191">
        <f ca="1"/>
        <v>678.97</v>
      </c>
      <c r="G1022" vm="12192">
        <f ca="1"/>
        <v>212.61</v>
      </c>
      <c r="H1022" vm="12193">
        <f ca="1"/>
        <v>349.86</v>
      </c>
      <c r="I1022" vm="7949">
        <f ca="1"/>
        <v>79.290000000000006</v>
      </c>
      <c r="J1022" vm="12194">
        <f ca="1"/>
        <v>24.88</v>
      </c>
      <c r="K1022" vm="12195">
        <f ca="1"/>
        <v>13.343999999999999</v>
      </c>
      <c r="L1022" vm="12196">
        <f ca="1"/>
        <v>138.85</v>
      </c>
      <c r="M1022" vm="12197">
        <f ca="1"/>
        <v>365.03</v>
      </c>
      <c r="N1022" vm="12198">
        <f ca="1"/>
        <v>3803.79</v>
      </c>
    </row>
    <row r="1023" spans="2:14" x14ac:dyDescent="0.35">
      <c r="B1023" vm="12199">
        <f ca="1"/>
        <v>44204</v>
      </c>
      <c r="C1023" vm="12200">
        <f ca="1"/>
        <v>89.891499999999994</v>
      </c>
      <c r="D1023" vm="12201">
        <f ca="1"/>
        <v>159.13499999999999</v>
      </c>
      <c r="E1023" vm="732">
        <f ca="1"/>
        <v>90.57</v>
      </c>
      <c r="F1023" vm="12202">
        <f ca="1"/>
        <v>692.46</v>
      </c>
      <c r="G1023" vm="12203">
        <f ca="1"/>
        <v>210.03</v>
      </c>
      <c r="H1023" vm="12204">
        <f ca="1"/>
        <v>353.85</v>
      </c>
      <c r="I1023" vm="415">
        <f ca="1"/>
        <v>81.13</v>
      </c>
      <c r="J1023" vm="12205">
        <f ca="1"/>
        <v>24.84</v>
      </c>
      <c r="K1023" vm="12206">
        <f ca="1"/>
        <v>13.2768</v>
      </c>
      <c r="L1023" vm="12207">
        <f ca="1"/>
        <v>138.79</v>
      </c>
      <c r="M1023" vm="12208">
        <f ca="1"/>
        <v>363.39</v>
      </c>
      <c r="N1023" vm="12209">
        <f ca="1"/>
        <v>3824.68</v>
      </c>
    </row>
    <row r="1024" spans="2:14" x14ac:dyDescent="0.35">
      <c r="B1024" vm="12210">
        <f ca="1"/>
        <v>44207</v>
      </c>
      <c r="C1024" vm="12211">
        <f ca="1"/>
        <v>87.814499999999995</v>
      </c>
      <c r="D1024" vm="12212">
        <f ca="1"/>
        <v>155.7105</v>
      </c>
      <c r="E1024" vm="12213">
        <f ca="1"/>
        <v>90.56</v>
      </c>
      <c r="F1024" vm="12214">
        <f ca="1"/>
        <v>682.39</v>
      </c>
      <c r="G1024" vm="4748">
        <f ca="1"/>
        <v>208.36</v>
      </c>
      <c r="H1024" vm="12215">
        <f ca="1"/>
        <v>348.2</v>
      </c>
      <c r="I1024" vm="12216">
        <f ca="1"/>
        <v>79.69</v>
      </c>
      <c r="J1024" vm="12217">
        <f ca="1"/>
        <v>24.99</v>
      </c>
      <c r="K1024" vm="12218">
        <f ca="1"/>
        <v>13.621499999999999</v>
      </c>
      <c r="L1024" vm="12219">
        <f ca="1"/>
        <v>137.85</v>
      </c>
      <c r="M1024" vm="12220">
        <f ca="1"/>
        <v>360.75</v>
      </c>
      <c r="N1024" vm="12221">
        <f ca="1"/>
        <v>3799.61</v>
      </c>
    </row>
    <row r="1025" spans="2:14" x14ac:dyDescent="0.35">
      <c r="B1025" vm="12222">
        <f ca="1"/>
        <v>44208</v>
      </c>
      <c r="C1025" vm="12223">
        <f ca="1"/>
        <v>86.871499999999997</v>
      </c>
      <c r="D1025" vm="12224">
        <f ca="1"/>
        <v>156.04150000000001</v>
      </c>
      <c r="E1025" vm="12225">
        <f ca="1"/>
        <v>90.24</v>
      </c>
      <c r="F1025" vm="12226">
        <f ca="1"/>
        <v>676.53</v>
      </c>
      <c r="G1025" vm="12227">
        <f ca="1"/>
        <v>208.88</v>
      </c>
      <c r="H1025" vm="12228">
        <f ca="1"/>
        <v>342.92</v>
      </c>
      <c r="I1025" vm="12229">
        <f ca="1"/>
        <v>79.75</v>
      </c>
      <c r="J1025" vm="12230">
        <f ca="1"/>
        <v>26.14</v>
      </c>
      <c r="K1025" vm="12231">
        <f ca="1"/>
        <v>13.4848</v>
      </c>
      <c r="L1025" vm="12232">
        <f ca="1"/>
        <v>137.05000000000001</v>
      </c>
      <c r="M1025" vm="12233">
        <f ca="1"/>
        <v>357.37</v>
      </c>
      <c r="N1025" vm="12234">
        <f ca="1"/>
        <v>3801.19</v>
      </c>
    </row>
    <row r="1026" spans="2:14" x14ac:dyDescent="0.35">
      <c r="B1026" vm="12235">
        <f ca="1"/>
        <v>44209</v>
      </c>
      <c r="C1026" vm="12236">
        <f ca="1"/>
        <v>87.362499999999997</v>
      </c>
      <c r="D1026" vm="12237">
        <f ca="1"/>
        <v>158.2945</v>
      </c>
      <c r="E1026" vm="430">
        <f ca="1"/>
        <v>91.09</v>
      </c>
      <c r="F1026" vm="12238">
        <f ca="1"/>
        <v>690.12</v>
      </c>
      <c r="G1026" vm="12239">
        <f ca="1"/>
        <v>207.02</v>
      </c>
      <c r="H1026" vm="12240">
        <f ca="1"/>
        <v>346.33</v>
      </c>
      <c r="I1026" vm="3436">
        <f ca="1"/>
        <v>81.84</v>
      </c>
      <c r="J1026" vm="12241">
        <f ca="1"/>
        <v>25.46</v>
      </c>
      <c r="K1026" vm="12242">
        <f ca="1"/>
        <v>13.5318</v>
      </c>
      <c r="L1026" vm="11378">
        <f ca="1"/>
        <v>137.26</v>
      </c>
      <c r="M1026" vm="12243">
        <f ca="1"/>
        <v>355.04</v>
      </c>
      <c r="N1026" vm="12244">
        <f ca="1"/>
        <v>3809.84</v>
      </c>
    </row>
    <row r="1027" spans="2:14" x14ac:dyDescent="0.35">
      <c r="B1027" vm="12245">
        <f ca="1"/>
        <v>44210</v>
      </c>
      <c r="C1027" vm="12246">
        <f ca="1"/>
        <v>86.546000000000006</v>
      </c>
      <c r="D1027" vm="12247">
        <f ca="1"/>
        <v>156.37350000000001</v>
      </c>
      <c r="E1027" vm="12248">
        <f ca="1"/>
        <v>89.93</v>
      </c>
      <c r="F1027" vm="12249">
        <f ca="1"/>
        <v>689.67</v>
      </c>
      <c r="G1027" vm="12250">
        <f ca="1"/>
        <v>208.61</v>
      </c>
      <c r="H1027" vm="12251">
        <f ca="1"/>
        <v>326.93</v>
      </c>
      <c r="I1027" vm="12252">
        <f ca="1"/>
        <v>82.53</v>
      </c>
      <c r="J1027" vm="12253">
        <f ca="1"/>
        <v>25.96</v>
      </c>
      <c r="K1027" vm="12254">
        <f ca="1"/>
        <v>13.2003</v>
      </c>
      <c r="L1027" vm="12255">
        <f ca="1"/>
        <v>135.80000000000001</v>
      </c>
      <c r="M1027" vm="12256">
        <f ca="1"/>
        <v>350.53</v>
      </c>
      <c r="N1027" vm="12257">
        <f ca="1"/>
        <v>3795.54</v>
      </c>
    </row>
    <row r="1028" spans="2:14" x14ac:dyDescent="0.35">
      <c r="B1028" vm="12258">
        <f ca="1"/>
        <v>44211</v>
      </c>
      <c r="C1028" vm="12259">
        <f ca="1"/>
        <v>86.381</v>
      </c>
      <c r="D1028" vm="12260">
        <f ca="1"/>
        <v>155.21250000000001</v>
      </c>
      <c r="E1028" vm="12261">
        <f ca="1"/>
        <v>90.42</v>
      </c>
      <c r="F1028" vm="12262">
        <f ca="1"/>
        <v>707.76</v>
      </c>
      <c r="G1028" vm="12263">
        <f ca="1"/>
        <v>205.97</v>
      </c>
      <c r="H1028" vm="12264">
        <f ca="1"/>
        <v>323.26</v>
      </c>
      <c r="I1028" vm="12265">
        <f ca="1"/>
        <v>82.04</v>
      </c>
      <c r="J1028" vm="12266">
        <f ca="1"/>
        <v>24.91</v>
      </c>
      <c r="K1028" vm="12267">
        <f ca="1"/>
        <v>12.859500000000001</v>
      </c>
      <c r="L1028" vm="12268">
        <f ca="1"/>
        <v>134.78</v>
      </c>
      <c r="M1028" vm="12269">
        <f ca="1"/>
        <v>351.3</v>
      </c>
      <c r="N1028" vm="12270">
        <f ca="1"/>
        <v>3768.25</v>
      </c>
    </row>
    <row r="1029" spans="2:14" x14ac:dyDescent="0.35">
      <c r="B1029" vm="12271">
        <f ca="1"/>
        <v>44215</v>
      </c>
      <c r="C1029" vm="12272">
        <f ca="1"/>
        <v>89.223500000000001</v>
      </c>
      <c r="D1029" vm="12273">
        <f ca="1"/>
        <v>156.03800000000001</v>
      </c>
      <c r="E1029" vm="12261">
        <f ca="1"/>
        <v>90.42</v>
      </c>
      <c r="F1029" vm="12274">
        <f ca="1"/>
        <v>716.32</v>
      </c>
      <c r="G1029" vm="12275">
        <f ca="1"/>
        <v>206.76</v>
      </c>
      <c r="H1029" vm="12276">
        <f ca="1"/>
        <v>325.94</v>
      </c>
      <c r="I1029" vm="12277">
        <f ca="1"/>
        <v>82.81</v>
      </c>
      <c r="J1029" vm="12278">
        <f ca="1"/>
        <v>25.42</v>
      </c>
      <c r="K1029" vm="12279">
        <f ca="1"/>
        <v>13.0253</v>
      </c>
      <c r="L1029" vm="12280">
        <f ca="1"/>
        <v>133.6</v>
      </c>
      <c r="M1029" vm="12281">
        <f ca="1"/>
        <v>352.19</v>
      </c>
      <c r="N1029" vm="12282">
        <f ca="1"/>
        <v>3798.91</v>
      </c>
    </row>
    <row r="1030" spans="2:14" x14ac:dyDescent="0.35">
      <c r="B1030" vm="12283">
        <f ca="1"/>
        <v>44216</v>
      </c>
      <c r="C1030" vm="12284">
        <f ca="1"/>
        <v>94.003500000000003</v>
      </c>
      <c r="D1030" vm="12285">
        <f ca="1"/>
        <v>163.16900000000001</v>
      </c>
      <c r="E1030" vm="12286">
        <f ca="1"/>
        <v>92.26</v>
      </c>
      <c r="F1030" vm="12287">
        <f ca="1"/>
        <v>727.74</v>
      </c>
      <c r="G1030" vm="12288">
        <f ca="1"/>
        <v>208.08</v>
      </c>
      <c r="H1030" vm="12289">
        <f ca="1"/>
        <v>334.91</v>
      </c>
      <c r="I1030" vm="12290">
        <f ca="1"/>
        <v>84.05</v>
      </c>
      <c r="J1030" vm="12291">
        <f ca="1"/>
        <v>25.35</v>
      </c>
      <c r="K1030" vm="12292">
        <f ca="1"/>
        <v>13.3658</v>
      </c>
      <c r="L1030" vm="12293">
        <f ca="1"/>
        <v>131.93</v>
      </c>
      <c r="M1030" vm="12294">
        <f ca="1"/>
        <v>350.84</v>
      </c>
      <c r="N1030" vm="12295">
        <f ca="1"/>
        <v>3851.85</v>
      </c>
    </row>
    <row r="1031" spans="2:14" x14ac:dyDescent="0.35">
      <c r="B1031" vm="12296">
        <f ca="1"/>
        <v>44217</v>
      </c>
      <c r="C1031" vm="12297">
        <f ca="1"/>
        <v>94.207499999999996</v>
      </c>
      <c r="D1031" vm="12298">
        <f ca="1"/>
        <v>165.34950000000001</v>
      </c>
      <c r="E1031" vm="12299">
        <f ca="1"/>
        <v>91.3</v>
      </c>
      <c r="F1031" vm="12300">
        <f ca="1"/>
        <v>719.9</v>
      </c>
      <c r="G1031" vm="2524">
        <f ca="1"/>
        <v>205.23</v>
      </c>
      <c r="H1031" vm="12301">
        <f ca="1"/>
        <v>334.44</v>
      </c>
      <c r="I1031" vm="264">
        <f ca="1"/>
        <v>83.71</v>
      </c>
      <c r="J1031" vm="12302">
        <f ca="1"/>
        <v>24.19</v>
      </c>
      <c r="K1031" vm="12303">
        <f ca="1"/>
        <v>13.8675</v>
      </c>
      <c r="L1031" vm="12304">
        <f ca="1"/>
        <v>131.01</v>
      </c>
      <c r="M1031" vm="12305">
        <f ca="1"/>
        <v>355</v>
      </c>
      <c r="N1031" vm="12306">
        <f ca="1"/>
        <v>3853.07</v>
      </c>
    </row>
    <row r="1032" spans="2:14" x14ac:dyDescent="0.35">
      <c r="B1032" vm="12307">
        <f ca="1"/>
        <v>44218</v>
      </c>
      <c r="C1032" vm="12308">
        <f ca="1"/>
        <v>94.628</v>
      </c>
      <c r="D1032" vm="12309">
        <f ca="1"/>
        <v>164.61150000000001</v>
      </c>
      <c r="E1032" vm="12310">
        <f ca="1"/>
        <v>90.74</v>
      </c>
      <c r="F1032" vm="12311">
        <f ca="1"/>
        <v>721.16</v>
      </c>
      <c r="G1032" vm="12312">
        <f ca="1"/>
        <v>202.25</v>
      </c>
      <c r="H1032" vm="12313">
        <f ca="1"/>
        <v>328.99</v>
      </c>
      <c r="I1032" vm="12314">
        <f ca="1"/>
        <v>84.21</v>
      </c>
      <c r="J1032" vm="12183">
        <f ca="1"/>
        <v>24.41</v>
      </c>
      <c r="K1032" vm="12315">
        <f ca="1"/>
        <v>13.7125</v>
      </c>
      <c r="L1032" vm="12316">
        <f ca="1"/>
        <v>130</v>
      </c>
      <c r="M1032" vm="12182">
        <f ca="1"/>
        <v>347.55</v>
      </c>
      <c r="N1032" vm="12317">
        <f ca="1"/>
        <v>3841.47</v>
      </c>
    </row>
    <row r="1033" spans="2:14" x14ac:dyDescent="0.35">
      <c r="B1033" vm="12318">
        <f ca="1"/>
        <v>44221</v>
      </c>
      <c r="C1033" vm="12319">
        <f ca="1"/>
        <v>94.713999999999999</v>
      </c>
      <c r="D1033" vm="12320">
        <f ca="1"/>
        <v>164.7</v>
      </c>
      <c r="E1033" vm="1475">
        <f ca="1"/>
        <v>89.86</v>
      </c>
      <c r="F1033" vm="12321">
        <f ca="1"/>
        <v>723.16</v>
      </c>
      <c r="G1033" vm="12322">
        <f ca="1"/>
        <v>201.87</v>
      </c>
      <c r="H1033" vm="12323">
        <f ca="1"/>
        <v>329.19</v>
      </c>
      <c r="I1033" vm="12324">
        <f ca="1"/>
        <v>86.87</v>
      </c>
      <c r="J1033" vm="12325">
        <f ca="1"/>
        <v>23.74</v>
      </c>
      <c r="K1033" vm="12326">
        <f ca="1"/>
        <v>13.6533</v>
      </c>
      <c r="L1033" vm="12327">
        <f ca="1"/>
        <v>132.24</v>
      </c>
      <c r="M1033" vm="12328">
        <f ca="1"/>
        <v>347.81</v>
      </c>
      <c r="N1033" vm="12329">
        <f ca="1"/>
        <v>3855.36</v>
      </c>
    </row>
    <row r="1034" spans="2:14" x14ac:dyDescent="0.35">
      <c r="B1034" vm="12330">
        <f ca="1"/>
        <v>44222</v>
      </c>
      <c r="C1034" vm="12331">
        <f ca="1"/>
        <v>95.397499999999994</v>
      </c>
      <c r="D1034" vm="12332">
        <f ca="1"/>
        <v>166.3065</v>
      </c>
      <c r="E1034" vm="1359">
        <f ca="1"/>
        <v>88.8</v>
      </c>
      <c r="F1034" vm="12333">
        <f ca="1"/>
        <v>735.24</v>
      </c>
      <c r="G1034" vm="12334">
        <f ca="1"/>
        <v>201.06</v>
      </c>
      <c r="H1034" vm="12335">
        <f ca="1"/>
        <v>327.7</v>
      </c>
      <c r="I1034" vm="12336">
        <f ca="1"/>
        <v>85.23</v>
      </c>
      <c r="J1034" vm="12337">
        <f ca="1"/>
        <v>22.74</v>
      </c>
      <c r="K1034" vm="12338">
        <f ca="1"/>
        <v>13.4353</v>
      </c>
      <c r="L1034" vm="12339">
        <f ca="1"/>
        <v>133.09</v>
      </c>
      <c r="M1034" vm="12340">
        <f ca="1"/>
        <v>343.11</v>
      </c>
      <c r="N1034" vm="12341">
        <f ca="1"/>
        <v>3849.62</v>
      </c>
    </row>
    <row r="1035" spans="2:14" x14ac:dyDescent="0.35">
      <c r="B1035" vm="12342">
        <f ca="1"/>
        <v>44223</v>
      </c>
      <c r="C1035" vm="12343">
        <f ca="1"/>
        <v>90.947000000000003</v>
      </c>
      <c r="D1035" vm="12344">
        <f ca="1"/>
        <v>161.62899999999999</v>
      </c>
      <c r="E1035" vm="110">
        <f ca="1"/>
        <v>85.33</v>
      </c>
      <c r="F1035" vm="12345">
        <f ca="1"/>
        <v>731.7</v>
      </c>
      <c r="G1035" vm="12346">
        <f ca="1"/>
        <v>199.38</v>
      </c>
      <c r="H1035" vm="12347">
        <f ca="1"/>
        <v>315.49</v>
      </c>
      <c r="I1035" vm="12348">
        <f ca="1"/>
        <v>80.19</v>
      </c>
      <c r="J1035" vm="12349">
        <f ca="1"/>
        <v>21.81</v>
      </c>
      <c r="K1035" vm="12350">
        <f ca="1"/>
        <v>12.9178</v>
      </c>
      <c r="L1035" vm="12351">
        <f ca="1"/>
        <v>128.38</v>
      </c>
      <c r="M1035" vm="12352">
        <f ca="1"/>
        <v>332.99</v>
      </c>
      <c r="N1035" vm="12353">
        <f ca="1"/>
        <v>3750.77</v>
      </c>
    </row>
    <row r="1036" spans="2:14" x14ac:dyDescent="0.35">
      <c r="B1036" vm="12354">
        <f ca="1"/>
        <v>44224</v>
      </c>
      <c r="C1036" vm="12355">
        <f ca="1"/>
        <v>92.66</v>
      </c>
      <c r="D1036" vm="12356">
        <f ca="1"/>
        <v>161.881</v>
      </c>
      <c r="E1036" vm="12357">
        <f ca="1"/>
        <v>88.26</v>
      </c>
      <c r="F1036" vm="12358">
        <f ca="1"/>
        <v>738.23</v>
      </c>
      <c r="G1036" vm="12359">
        <f ca="1"/>
        <v>202.84</v>
      </c>
      <c r="H1036" vm="12360">
        <f ca="1"/>
        <v>324.27999999999997</v>
      </c>
      <c r="I1036" vm="391">
        <f ca="1"/>
        <v>82.46</v>
      </c>
      <c r="J1036" vm="12361">
        <f ca="1"/>
        <v>22.64</v>
      </c>
      <c r="K1036" vm="12362">
        <f ca="1"/>
        <v>13.051</v>
      </c>
      <c r="L1036" vm="12363">
        <f ca="1"/>
        <v>130.36000000000001</v>
      </c>
      <c r="M1036" vm="12364">
        <f ca="1"/>
        <v>338.15</v>
      </c>
      <c r="N1036" vm="12365">
        <f ca="1"/>
        <v>3787.38</v>
      </c>
    </row>
    <row r="1037" spans="2:14" x14ac:dyDescent="0.35">
      <c r="B1037" vm="12366">
        <f ca="1"/>
        <v>44225</v>
      </c>
      <c r="C1037" vm="12367">
        <f ca="1"/>
        <v>91.367999999999995</v>
      </c>
      <c r="D1037" vm="345">
        <f ca="1"/>
        <v>160.31</v>
      </c>
      <c r="E1037" vm="12368">
        <f ca="1"/>
        <v>88.02</v>
      </c>
      <c r="F1037" vm="12369">
        <f ca="1"/>
        <v>739.96</v>
      </c>
      <c r="G1037" vm="4368">
        <f ca="1"/>
        <v>195.37</v>
      </c>
      <c r="H1037" vm="12370">
        <f ca="1"/>
        <v>316.29000000000002</v>
      </c>
      <c r="I1037" vm="12371">
        <f ca="1"/>
        <v>80.87</v>
      </c>
      <c r="J1037" vm="12372">
        <f ca="1"/>
        <v>22.21</v>
      </c>
      <c r="K1037" vm="12373">
        <f ca="1"/>
        <v>12.989800000000001</v>
      </c>
      <c r="L1037" vm="12374">
        <f ca="1"/>
        <v>128.21</v>
      </c>
      <c r="M1037" vm="12375">
        <f ca="1"/>
        <v>333.58</v>
      </c>
      <c r="N1037" vm="12376">
        <f ca="1"/>
        <v>3714.24</v>
      </c>
    </row>
    <row r="1038" spans="2:14" x14ac:dyDescent="0.35">
      <c r="B1038" vm="12377">
        <f ca="1"/>
        <v>44228</v>
      </c>
      <c r="C1038" vm="12378">
        <f ca="1"/>
        <v>94.653499999999994</v>
      </c>
      <c r="D1038" vm="12379">
        <f ca="1"/>
        <v>167.14400000000001</v>
      </c>
      <c r="E1038" vm="1526">
        <f ca="1"/>
        <v>89.42</v>
      </c>
      <c r="F1038" vm="12380">
        <f ca="1"/>
        <v>756.72</v>
      </c>
      <c r="G1038" vm="12381">
        <f ca="1"/>
        <v>195.56</v>
      </c>
      <c r="H1038" vm="12382">
        <f ca="1"/>
        <v>321.56</v>
      </c>
      <c r="I1038" vm="12383">
        <f ca="1"/>
        <v>81.7</v>
      </c>
      <c r="J1038" vm="12384">
        <f ca="1"/>
        <v>22.16</v>
      </c>
      <c r="K1038" vm="12385">
        <f ca="1"/>
        <v>13.237</v>
      </c>
      <c r="L1038" vm="12386">
        <f ca="1"/>
        <v>128.97</v>
      </c>
      <c r="M1038" vm="12387">
        <f ca="1"/>
        <v>334</v>
      </c>
      <c r="N1038" vm="12388">
        <f ca="1"/>
        <v>3773.86</v>
      </c>
    </row>
    <row r="1039" spans="2:14" x14ac:dyDescent="0.35">
      <c r="B1039" vm="12389">
        <f ca="1"/>
        <v>44229</v>
      </c>
      <c r="C1039" vm="12390">
        <f ca="1"/>
        <v>95.956000000000003</v>
      </c>
      <c r="D1039" vm="3374">
        <f ca="1"/>
        <v>169</v>
      </c>
      <c r="E1039" vm="12391">
        <f ca="1"/>
        <v>90.51</v>
      </c>
      <c r="F1039" vm="12392">
        <f ca="1"/>
        <v>768.57</v>
      </c>
      <c r="G1039" vm="12393">
        <f ca="1"/>
        <v>200.12</v>
      </c>
      <c r="H1039" vm="12070">
        <f ca="1"/>
        <v>334.37</v>
      </c>
      <c r="I1039" vm="12394">
        <f ca="1"/>
        <v>82.93</v>
      </c>
      <c r="J1039" vm="10426">
        <f ca="1"/>
        <v>22.51</v>
      </c>
      <c r="K1039" vm="12395">
        <f ca="1"/>
        <v>13.556800000000001</v>
      </c>
      <c r="L1039" vm="12396">
        <f ca="1"/>
        <v>128.79</v>
      </c>
      <c r="M1039" vm="12397">
        <f ca="1"/>
        <v>338.72</v>
      </c>
      <c r="N1039" vm="12398">
        <f ca="1"/>
        <v>3826.31</v>
      </c>
    </row>
    <row r="1040" spans="2:14" x14ac:dyDescent="0.35">
      <c r="B1040" vm="12399">
        <f ca="1"/>
        <v>44230</v>
      </c>
      <c r="C1040" vm="12400">
        <f ca="1"/>
        <v>102.944</v>
      </c>
      <c r="D1040" vm="12401">
        <f ca="1"/>
        <v>165.62649999999999</v>
      </c>
      <c r="E1040" vm="12402">
        <f ca="1"/>
        <v>90.96</v>
      </c>
      <c r="F1040" vm="12403">
        <f ca="1"/>
        <v>754.89</v>
      </c>
      <c r="G1040" vm="5713">
        <f ca="1"/>
        <v>199.14</v>
      </c>
      <c r="H1040" vm="12404">
        <f ca="1"/>
        <v>332.82</v>
      </c>
      <c r="I1040" vm="12405">
        <f ca="1"/>
        <v>83.05</v>
      </c>
      <c r="J1040" vm="12406">
        <f ca="1"/>
        <v>24.18</v>
      </c>
      <c r="K1040" vm="11387">
        <f ca="1"/>
        <v>13.5305</v>
      </c>
      <c r="L1040" vm="12407">
        <f ca="1"/>
        <v>128.94999999999999</v>
      </c>
      <c r="M1040" vm="12408">
        <f ca="1"/>
        <v>337.89</v>
      </c>
      <c r="N1040" vm="12409">
        <f ca="1"/>
        <v>3830.17</v>
      </c>
    </row>
    <row r="1041" spans="2:14" x14ac:dyDescent="0.35">
      <c r="B1041" vm="12410">
        <f ca="1"/>
        <v>44231</v>
      </c>
      <c r="C1041" vm="12411">
        <f ca="1"/>
        <v>102.6815</v>
      </c>
      <c r="D1041" vm="12412">
        <f ca="1"/>
        <v>166.55</v>
      </c>
      <c r="E1041" vm="8719">
        <f ca="1"/>
        <v>88.9</v>
      </c>
      <c r="F1041" vm="12413">
        <f ca="1"/>
        <v>746.91</v>
      </c>
      <c r="G1041" vm="12414">
        <f ca="1"/>
        <v>200.59</v>
      </c>
      <c r="H1041" vm="12415">
        <f ca="1"/>
        <v>340.83</v>
      </c>
      <c r="I1041" vm="12416">
        <f ca="1"/>
        <v>83</v>
      </c>
      <c r="J1041" vm="12417">
        <f ca="1"/>
        <v>24.81</v>
      </c>
      <c r="K1041" vm="12418">
        <f ca="1"/>
        <v>13.664300000000001</v>
      </c>
      <c r="L1041" vm="12419">
        <f ca="1"/>
        <v>129.03</v>
      </c>
      <c r="M1041" vm="12420">
        <f ca="1"/>
        <v>329.32</v>
      </c>
      <c r="N1041" vm="12421">
        <f ca="1"/>
        <v>3871.74</v>
      </c>
    </row>
    <row r="1042" spans="2:14" x14ac:dyDescent="0.35">
      <c r="B1042" vm="12422">
        <f ca="1"/>
        <v>44232</v>
      </c>
      <c r="C1042" vm="12423">
        <f ca="1"/>
        <v>104.4415</v>
      </c>
      <c r="D1042" vm="12424">
        <f ca="1"/>
        <v>167.60749999999999</v>
      </c>
      <c r="E1042" vm="12425">
        <f ca="1"/>
        <v>89.39</v>
      </c>
      <c r="F1042" vm="12426">
        <f ca="1"/>
        <v>754.29</v>
      </c>
      <c r="G1042" vm="12427">
        <f ca="1"/>
        <v>202.92</v>
      </c>
      <c r="H1042" vm="12428">
        <f ca="1"/>
        <v>338.75</v>
      </c>
      <c r="I1042" vm="12429">
        <f ca="1"/>
        <v>83.6</v>
      </c>
      <c r="J1042" vm="12430">
        <f ca="1"/>
        <v>25.01</v>
      </c>
      <c r="K1042" vm="12431">
        <f ca="1"/>
        <v>13.590999999999999</v>
      </c>
      <c r="L1042" vm="6068">
        <f ca="1"/>
        <v>129.57</v>
      </c>
      <c r="M1042" vm="12432">
        <f ca="1"/>
        <v>324.51</v>
      </c>
      <c r="N1042" vm="12433">
        <f ca="1"/>
        <v>3886.83</v>
      </c>
    </row>
    <row r="1043" spans="2:14" x14ac:dyDescent="0.35">
      <c r="B1043" vm="12434">
        <f ca="1"/>
        <v>44235</v>
      </c>
      <c r="C1043" vm="12435">
        <f ca="1"/>
        <v>104.226</v>
      </c>
      <c r="D1043" vm="12436">
        <f ca="1"/>
        <v>166.14699999999999</v>
      </c>
      <c r="E1043" vm="12437">
        <f ca="1"/>
        <v>89.72</v>
      </c>
      <c r="F1043" vm="12438">
        <f ca="1"/>
        <v>747.41</v>
      </c>
      <c r="G1043" vm="12439">
        <f ca="1"/>
        <v>203.86</v>
      </c>
      <c r="H1043" vm="12440">
        <f ca="1"/>
        <v>337.03</v>
      </c>
      <c r="I1043" vm="12441">
        <f ca="1"/>
        <v>83.4</v>
      </c>
      <c r="J1043" vm="12442">
        <f ca="1"/>
        <v>25.99</v>
      </c>
      <c r="K1043" vm="12443">
        <f ca="1"/>
        <v>14.438800000000001</v>
      </c>
      <c r="L1043" vm="12444">
        <f ca="1"/>
        <v>129.16999999999999</v>
      </c>
      <c r="M1043" vm="12445">
        <f ca="1"/>
        <v>324.33999999999997</v>
      </c>
      <c r="N1043" vm="12446">
        <f ca="1"/>
        <v>3915.59</v>
      </c>
    </row>
    <row r="1044" spans="2:14" x14ac:dyDescent="0.35">
      <c r="B1044" vm="12447">
        <f ca="1"/>
        <v>44236</v>
      </c>
      <c r="C1044" vm="12448">
        <f ca="1"/>
        <v>103.76949999999999</v>
      </c>
      <c r="D1044" vm="12449">
        <f ca="1"/>
        <v>165.25</v>
      </c>
      <c r="E1044" vm="12450">
        <f ca="1"/>
        <v>88.79</v>
      </c>
      <c r="F1044" vm="12451">
        <f ca="1"/>
        <v>750.47</v>
      </c>
      <c r="G1044" vm="12452">
        <f ca="1"/>
        <v>202.02</v>
      </c>
      <c r="H1044" vm="12453">
        <f ca="1"/>
        <v>333.44</v>
      </c>
      <c r="I1044" vm="12454">
        <f ca="1"/>
        <v>83.83</v>
      </c>
      <c r="J1044" vm="12455">
        <f ca="1"/>
        <v>26</v>
      </c>
      <c r="K1044" vm="12456">
        <f ca="1"/>
        <v>14.263299999999999</v>
      </c>
      <c r="L1044" vm="12457">
        <f ca="1"/>
        <v>128.66999999999999</v>
      </c>
      <c r="M1044" vm="12458">
        <f ca="1"/>
        <v>329.63</v>
      </c>
      <c r="N1044" vm="12459">
        <f ca="1"/>
        <v>3911.23</v>
      </c>
    </row>
    <row r="1045" spans="2:14" x14ac:dyDescent="0.35">
      <c r="B1045" vm="12460">
        <f ca="1"/>
        <v>44237</v>
      </c>
      <c r="C1045" vm="12461">
        <f ca="1"/>
        <v>104.324</v>
      </c>
      <c r="D1045" vm="12462">
        <f ca="1"/>
        <v>164.32900000000001</v>
      </c>
      <c r="E1045" vm="815">
        <f ca="1"/>
        <v>89.91</v>
      </c>
      <c r="F1045" vm="12463">
        <f ca="1"/>
        <v>751</v>
      </c>
      <c r="G1045" vm="12464">
        <f ca="1"/>
        <v>202.16</v>
      </c>
      <c r="H1045" vm="12465">
        <f ca="1"/>
        <v>334.21</v>
      </c>
      <c r="I1045" vm="12466">
        <f ca="1"/>
        <v>83.91</v>
      </c>
      <c r="J1045" vm="12467">
        <f ca="1"/>
        <v>26.62</v>
      </c>
      <c r="K1045" vm="12468">
        <f ca="1"/>
        <v>14.7643</v>
      </c>
      <c r="L1045" vm="12469">
        <f ca="1"/>
        <v>128.22</v>
      </c>
      <c r="M1045" vm="12470">
        <f ca="1"/>
        <v>333.4</v>
      </c>
      <c r="N1045" vm="12471">
        <f ca="1"/>
        <v>3909.88</v>
      </c>
    </row>
    <row r="1046" spans="2:14" x14ac:dyDescent="0.35">
      <c r="B1046" vm="12472">
        <f ca="1"/>
        <v>44238</v>
      </c>
      <c r="C1046" vm="12473">
        <f ca="1"/>
        <v>104.4375</v>
      </c>
      <c r="D1046" vm="12474">
        <f ca="1"/>
        <v>163.10650000000001</v>
      </c>
      <c r="E1046" vm="12475">
        <f ca="1"/>
        <v>88.53</v>
      </c>
      <c r="F1046" vm="12476">
        <f ca="1"/>
        <v>717.7</v>
      </c>
      <c r="G1046" vm="12477">
        <f ca="1"/>
        <v>202.18</v>
      </c>
      <c r="H1046" vm="12478">
        <f ca="1"/>
        <v>342.87</v>
      </c>
      <c r="I1046" vm="12479">
        <f ca="1"/>
        <v>83.95</v>
      </c>
      <c r="J1046" vm="12480">
        <f ca="1"/>
        <v>26.37</v>
      </c>
      <c r="K1046" vm="12481">
        <f ca="1"/>
        <v>15.2508</v>
      </c>
      <c r="L1046" vm="12482">
        <f ca="1"/>
        <v>128.33000000000001</v>
      </c>
      <c r="M1046" vm="12483">
        <f ca="1"/>
        <v>333.07</v>
      </c>
      <c r="N1046" vm="12484">
        <f ca="1"/>
        <v>3916.38</v>
      </c>
    </row>
    <row r="1047" spans="2:14" x14ac:dyDescent="0.35">
      <c r="B1047" vm="12485">
        <f ca="1"/>
        <v>44239</v>
      </c>
      <c r="C1047" vm="12486">
        <f ca="1"/>
        <v>104.75149999999999</v>
      </c>
      <c r="D1047" vm="12487">
        <f ca="1"/>
        <v>163.88550000000001</v>
      </c>
      <c r="E1047" vm="802">
        <f ca="1"/>
        <v>89.68</v>
      </c>
      <c r="F1047" vm="12488">
        <f ca="1"/>
        <v>709.81</v>
      </c>
      <c r="G1047" vm="12489">
        <f ca="1"/>
        <v>203.57</v>
      </c>
      <c r="H1047" vm="12490">
        <f ca="1"/>
        <v>341</v>
      </c>
      <c r="I1047" vm="12491">
        <f ca="1"/>
        <v>83.13</v>
      </c>
      <c r="J1047" vm="12492">
        <f ca="1"/>
        <v>26.77</v>
      </c>
      <c r="K1047" vm="12493">
        <f ca="1"/>
        <v>14.9613</v>
      </c>
      <c r="L1047" vm="12494">
        <f ca="1"/>
        <v>127.62</v>
      </c>
      <c r="M1047" vm="12495">
        <f ca="1"/>
        <v>328.24</v>
      </c>
      <c r="N1047" vm="12496">
        <f ca="1"/>
        <v>3934.83</v>
      </c>
    </row>
    <row r="1048" spans="2:14" x14ac:dyDescent="0.35">
      <c r="B1048" vm="12497">
        <f ca="1"/>
        <v>44243</v>
      </c>
      <c r="C1048" vm="12498">
        <f ca="1"/>
        <v>105.535</v>
      </c>
      <c r="D1048" vm="12499">
        <f ca="1"/>
        <v>163.44749999999999</v>
      </c>
      <c r="E1048" vm="3274">
        <f ca="1"/>
        <v>90.18</v>
      </c>
      <c r="F1048" vm="12500">
        <f ca="1"/>
        <v>688.09</v>
      </c>
      <c r="G1048" vm="12501">
        <f ca="1"/>
        <v>203.44</v>
      </c>
      <c r="H1048" vm="12502">
        <f ca="1"/>
        <v>341.21</v>
      </c>
      <c r="I1048" vm="12503">
        <f ca="1"/>
        <v>81.19</v>
      </c>
      <c r="J1048" vm="9600">
        <f ca="1"/>
        <v>26.81</v>
      </c>
      <c r="K1048" vm="12504">
        <f ca="1"/>
        <v>15.330299999999999</v>
      </c>
      <c r="L1048" vm="12505">
        <f ca="1"/>
        <v>127.92</v>
      </c>
      <c r="M1048" vm="12506">
        <f ca="1"/>
        <v>324.62</v>
      </c>
      <c r="N1048" vm="12507">
        <f ca="1"/>
        <v>3932.59</v>
      </c>
    </row>
    <row r="1049" spans="2:14" x14ac:dyDescent="0.35">
      <c r="B1049" vm="12508">
        <f ca="1"/>
        <v>44244</v>
      </c>
      <c r="C1049" vm="12509">
        <f ca="1"/>
        <v>105.931</v>
      </c>
      <c r="D1049" vm="12510">
        <f ca="1"/>
        <v>165.43199999999999</v>
      </c>
      <c r="E1049" vm="1475">
        <f ca="1"/>
        <v>89.86</v>
      </c>
      <c r="F1049" vm="12511">
        <f ca="1"/>
        <v>694.43</v>
      </c>
      <c r="G1049" vm="12512">
        <f ca="1"/>
        <v>201.9</v>
      </c>
      <c r="H1049" vm="12513">
        <f ca="1"/>
        <v>337.33</v>
      </c>
      <c r="I1049" vm="441">
        <f ca="1"/>
        <v>80.680000000000007</v>
      </c>
      <c r="J1049" vm="12514">
        <f ca="1"/>
        <v>26.87</v>
      </c>
      <c r="K1049" vm="12515">
        <f ca="1"/>
        <v>14.906000000000001</v>
      </c>
      <c r="L1049" vm="12516">
        <f ca="1"/>
        <v>128.46</v>
      </c>
      <c r="M1049" vm="12517">
        <f ca="1"/>
        <v>326.86</v>
      </c>
      <c r="N1049" vm="12518">
        <f ca="1"/>
        <v>3931.33</v>
      </c>
    </row>
    <row r="1050" spans="2:14" x14ac:dyDescent="0.35">
      <c r="B1050" vm="12519">
        <f ca="1"/>
        <v>44245</v>
      </c>
      <c r="C1050" vm="12520">
        <f ca="1"/>
        <v>105.29049999999999</v>
      </c>
      <c r="D1050" vm="12521">
        <f ca="1"/>
        <v>166.41149999999999</v>
      </c>
      <c r="E1050" vm="557">
        <f ca="1"/>
        <v>90.37</v>
      </c>
      <c r="F1050" vm="12522">
        <f ca="1"/>
        <v>685.56</v>
      </c>
      <c r="G1050" vm="12523">
        <f ca="1"/>
        <v>203.52</v>
      </c>
      <c r="H1050" vm="12524">
        <f ca="1"/>
        <v>338.46</v>
      </c>
      <c r="I1050" vm="12525">
        <f ca="1"/>
        <v>80.73</v>
      </c>
      <c r="J1050" vm="12526">
        <f ca="1"/>
        <v>25.58</v>
      </c>
      <c r="K1050" vm="12527">
        <f ca="1"/>
        <v>14.829000000000001</v>
      </c>
      <c r="L1050" vm="12528">
        <f ca="1"/>
        <v>129.53</v>
      </c>
      <c r="M1050" vm="12529">
        <f ca="1"/>
        <v>328.41</v>
      </c>
      <c r="N1050" vm="12530">
        <f ca="1"/>
        <v>3913.97</v>
      </c>
    </row>
    <row r="1051" spans="2:14" x14ac:dyDescent="0.35">
      <c r="B1051" vm="12531">
        <f ca="1"/>
        <v>44246</v>
      </c>
      <c r="C1051" vm="12532">
        <f ca="1"/>
        <v>104.4405</v>
      </c>
      <c r="D1051" vm="12533">
        <f ca="1"/>
        <v>162.495</v>
      </c>
      <c r="E1051" vm="12534">
        <f ca="1"/>
        <v>90.48</v>
      </c>
      <c r="F1051" vm="12535">
        <f ca="1"/>
        <v>680.22</v>
      </c>
      <c r="G1051" vm="12536">
        <f ca="1"/>
        <v>203.56</v>
      </c>
      <c r="H1051" vm="12537">
        <f ca="1"/>
        <v>333.17</v>
      </c>
      <c r="I1051" vm="581">
        <f ca="1"/>
        <v>78.099999999999994</v>
      </c>
      <c r="J1051" vm="12538">
        <f ca="1"/>
        <v>26.12</v>
      </c>
      <c r="K1051" vm="12539">
        <f ca="1"/>
        <v>14.926500000000001</v>
      </c>
      <c r="L1051" vm="12540">
        <f ca="1"/>
        <v>127.12</v>
      </c>
      <c r="M1051" vm="12541">
        <f ca="1"/>
        <v>324.58</v>
      </c>
      <c r="N1051" vm="12542">
        <f ca="1"/>
        <v>3906.71</v>
      </c>
    </row>
    <row r="1052" spans="2:14" x14ac:dyDescent="0.35">
      <c r="B1052" vm="12543">
        <f ca="1"/>
        <v>44249</v>
      </c>
      <c r="C1052" vm="12544">
        <f ca="1"/>
        <v>102.71299999999999</v>
      </c>
      <c r="D1052" vm="12545">
        <f ca="1"/>
        <v>159.03700000000001</v>
      </c>
      <c r="E1052" vm="12546">
        <f ca="1"/>
        <v>88.07</v>
      </c>
      <c r="F1052" vm="12547">
        <f ca="1"/>
        <v>667.34</v>
      </c>
      <c r="G1052" vm="5516">
        <f ca="1"/>
        <v>203.62</v>
      </c>
      <c r="H1052" vm="12548">
        <f ca="1"/>
        <v>340.66</v>
      </c>
      <c r="I1052" vm="12549">
        <f ca="1"/>
        <v>75.099999999999994</v>
      </c>
      <c r="J1052" vm="12550">
        <f ca="1"/>
        <v>27.54</v>
      </c>
      <c r="K1052" vm="12551">
        <f ca="1"/>
        <v>14.3558</v>
      </c>
      <c r="L1052" vm="9508">
        <f ca="1"/>
        <v>126.58</v>
      </c>
      <c r="M1052" vm="12552">
        <f ca="1"/>
        <v>327.64</v>
      </c>
      <c r="N1052" vm="12553">
        <f ca="1"/>
        <v>3876.5</v>
      </c>
    </row>
    <row r="1053" spans="2:14" x14ac:dyDescent="0.35">
      <c r="B1053" vm="12554">
        <f ca="1"/>
        <v>44250</v>
      </c>
      <c r="C1053" vm="12555">
        <f ca="1"/>
        <v>103.006</v>
      </c>
      <c r="D1053" vm="12556">
        <f ca="1"/>
        <v>159.72499999999999</v>
      </c>
      <c r="E1053" vm="2661">
        <f ca="1"/>
        <v>86.51</v>
      </c>
      <c r="F1053" vm="12557">
        <f ca="1"/>
        <v>658.82</v>
      </c>
      <c r="G1053" vm="12558">
        <f ca="1"/>
        <v>205.04</v>
      </c>
      <c r="H1053" vm="12559">
        <f ca="1"/>
        <v>350.42</v>
      </c>
      <c r="I1053" vm="12082">
        <f ca="1"/>
        <v>74.709999999999994</v>
      </c>
      <c r="J1053" vm="12560">
        <f ca="1"/>
        <v>27.74</v>
      </c>
      <c r="K1053" vm="12561">
        <f ca="1"/>
        <v>14.141999999999999</v>
      </c>
      <c r="L1053" vm="12562">
        <f ca="1"/>
        <v>127.52</v>
      </c>
      <c r="M1053" vm="12563">
        <f ca="1"/>
        <v>329.51</v>
      </c>
      <c r="N1053" vm="12564">
        <f ca="1"/>
        <v>3881.37</v>
      </c>
    </row>
    <row r="1054" spans="2:14" x14ac:dyDescent="0.35">
      <c r="B1054" vm="12565">
        <f ca="1"/>
        <v>44251</v>
      </c>
      <c r="C1054" vm="12566">
        <f ca="1"/>
        <v>104.1905</v>
      </c>
      <c r="D1054" vm="12567">
        <f ca="1"/>
        <v>157.97649999999999</v>
      </c>
      <c r="E1054" vm="1194">
        <f ca="1"/>
        <v>86.26</v>
      </c>
      <c r="F1054" vm="12568">
        <f ca="1"/>
        <v>639</v>
      </c>
      <c r="G1054" vm="12569">
        <f ca="1"/>
        <v>211.03</v>
      </c>
      <c r="H1054" vm="12570">
        <f ca="1"/>
        <v>367.32</v>
      </c>
      <c r="I1054" vm="12571">
        <f ca="1"/>
        <v>73.760000000000005</v>
      </c>
      <c r="J1054" vm="12572">
        <f ca="1"/>
        <v>29.41</v>
      </c>
      <c r="K1054" vm="12573">
        <f ca="1"/>
        <v>14.499000000000001</v>
      </c>
      <c r="L1054" vm="12574">
        <f ca="1"/>
        <v>127.66</v>
      </c>
      <c r="M1054" vm="12575">
        <f ca="1"/>
        <v>332.21</v>
      </c>
      <c r="N1054" vm="12576">
        <f ca="1"/>
        <v>3925.43</v>
      </c>
    </row>
    <row r="1055" spans="2:14" x14ac:dyDescent="0.35">
      <c r="B1055" vm="12577">
        <f ca="1"/>
        <v>44252</v>
      </c>
      <c r="C1055" vm="12578">
        <f ca="1"/>
        <v>100.7975</v>
      </c>
      <c r="D1055" vm="12579">
        <f ca="1"/>
        <v>152.858</v>
      </c>
      <c r="E1055" vm="1194">
        <f ca="1"/>
        <v>86.26</v>
      </c>
      <c r="F1055" vm="12580">
        <f ca="1"/>
        <v>638.37</v>
      </c>
      <c r="G1055" vm="12581">
        <f ca="1"/>
        <v>204.79</v>
      </c>
      <c r="H1055" vm="12582">
        <f ca="1"/>
        <v>354.57</v>
      </c>
      <c r="I1055" vm="4276">
        <f ca="1"/>
        <v>74.06</v>
      </c>
      <c r="J1055" vm="12583">
        <f ca="1"/>
        <v>28.51</v>
      </c>
      <c r="K1055" vm="12584">
        <f ca="1"/>
        <v>13.307499999999999</v>
      </c>
      <c r="L1055" vm="9508">
        <f ca="1"/>
        <v>126.58</v>
      </c>
      <c r="M1055" vm="12585">
        <f ca="1"/>
        <v>328.87</v>
      </c>
      <c r="N1055" vm="12586">
        <f ca="1"/>
        <v>3829.34</v>
      </c>
    </row>
    <row r="1056" spans="2:14" x14ac:dyDescent="0.35">
      <c r="B1056" vm="12587">
        <f ca="1"/>
        <v>44253</v>
      </c>
      <c r="C1056" vm="12588">
        <f ca="1"/>
        <v>101.0955</v>
      </c>
      <c r="D1056" vm="12589">
        <f ca="1"/>
        <v>154.6465</v>
      </c>
      <c r="E1056" vm="12590">
        <f ca="1"/>
        <v>85.39</v>
      </c>
      <c r="F1056" vm="12591">
        <f ca="1"/>
        <v>648.34</v>
      </c>
      <c r="G1056" vm="12592">
        <f ca="1"/>
        <v>202.35</v>
      </c>
      <c r="H1056" vm="12204">
        <f ca="1"/>
        <v>353.85</v>
      </c>
      <c r="I1056" vm="12593">
        <f ca="1"/>
        <v>73.48</v>
      </c>
      <c r="J1056" vm="12594">
        <f ca="1"/>
        <v>27.91</v>
      </c>
      <c r="K1056" vm="12595">
        <f ca="1"/>
        <v>13.714499999999999</v>
      </c>
      <c r="L1056" vm="12596">
        <f ca="1"/>
        <v>123.53</v>
      </c>
      <c r="M1056" vm="12597">
        <f ca="1"/>
        <v>332.22</v>
      </c>
      <c r="N1056" vm="12598">
        <f ca="1"/>
        <v>3811.15</v>
      </c>
    </row>
    <row r="1057" spans="2:14" x14ac:dyDescent="0.35">
      <c r="B1057" vm="12599">
        <f ca="1"/>
        <v>44256</v>
      </c>
      <c r="C1057" vm="12600">
        <f ca="1"/>
        <v>103.483</v>
      </c>
      <c r="D1057" vm="12601">
        <f ca="1"/>
        <v>157.30699999999999</v>
      </c>
      <c r="E1057" vm="1091">
        <f ca="1"/>
        <v>86.5</v>
      </c>
      <c r="F1057" vm="12602">
        <f ca="1"/>
        <v>648.26</v>
      </c>
      <c r="G1057" vm="12603">
        <f ca="1"/>
        <v>206.22</v>
      </c>
      <c r="H1057" vm="12604">
        <f ca="1"/>
        <v>362.9</v>
      </c>
      <c r="I1057" vm="3804">
        <f ca="1"/>
        <v>75.91</v>
      </c>
      <c r="J1057" vm="12605">
        <f ca="1"/>
        <v>28.72</v>
      </c>
      <c r="K1057" vm="12606">
        <f ca="1"/>
        <v>13.841799999999999</v>
      </c>
      <c r="L1057" vm="12607">
        <f ca="1"/>
        <v>124.29</v>
      </c>
      <c r="M1057" vm="12608">
        <f ca="1"/>
        <v>334.65</v>
      </c>
      <c r="N1057" vm="12609">
        <f ca="1"/>
        <v>3901.82</v>
      </c>
    </row>
    <row r="1058" spans="2:14" x14ac:dyDescent="0.35">
      <c r="B1058" vm="12610">
        <f ca="1"/>
        <v>44257</v>
      </c>
      <c r="C1058" vm="12611">
        <f ca="1"/>
        <v>103.224</v>
      </c>
      <c r="D1058" vm="12612">
        <f ca="1"/>
        <v>154.72649999999999</v>
      </c>
      <c r="E1058" vm="12613">
        <f ca="1"/>
        <v>86.35</v>
      </c>
      <c r="F1058" vm="12614">
        <f ca="1"/>
        <v>640.04999999999995</v>
      </c>
      <c r="G1058" vm="12615">
        <f ca="1"/>
        <v>206.58</v>
      </c>
      <c r="H1058" vm="12616">
        <f ca="1"/>
        <v>362.82</v>
      </c>
      <c r="I1058" vm="11615">
        <f ca="1"/>
        <v>75.540000000000006</v>
      </c>
      <c r="J1058" vm="12617">
        <f ca="1"/>
        <v>28.14</v>
      </c>
      <c r="K1058" vm="12618">
        <f ca="1"/>
        <v>13.4063</v>
      </c>
      <c r="L1058" vm="12619">
        <f ca="1"/>
        <v>123.9</v>
      </c>
      <c r="M1058" vm="12620">
        <f ca="1"/>
        <v>334.64</v>
      </c>
      <c r="N1058" vm="12621">
        <f ca="1"/>
        <v>3870.29</v>
      </c>
    </row>
    <row r="1059" spans="2:14" x14ac:dyDescent="0.35">
      <c r="B1059" vm="12622">
        <f ca="1"/>
        <v>44258</v>
      </c>
      <c r="C1059" vm="12623">
        <f ca="1"/>
        <v>100.5705</v>
      </c>
      <c r="D1059" vm="12624">
        <f ca="1"/>
        <v>150.25</v>
      </c>
      <c r="E1059" vm="85">
        <f ca="1"/>
        <v>84.6</v>
      </c>
      <c r="F1059" vm="12625">
        <f ca="1"/>
        <v>611.34</v>
      </c>
      <c r="G1059" vm="2561">
        <f ca="1"/>
        <v>207.01</v>
      </c>
      <c r="H1059" vm="12626">
        <f ca="1"/>
        <v>360.25</v>
      </c>
      <c r="I1059" vm="11936">
        <f ca="1"/>
        <v>72.52</v>
      </c>
      <c r="J1059" vm="12627">
        <f ca="1"/>
        <v>28.37</v>
      </c>
      <c r="K1059" vm="12628">
        <f ca="1"/>
        <v>12.8048</v>
      </c>
      <c r="L1059" vm="12629">
        <f ca="1"/>
        <v>123.16</v>
      </c>
      <c r="M1059" vm="12630">
        <f ca="1"/>
        <v>332.87</v>
      </c>
      <c r="N1059" vm="12631">
        <f ca="1"/>
        <v>3819.72</v>
      </c>
    </row>
    <row r="1060" spans="2:14" x14ac:dyDescent="0.35">
      <c r="B1060" vm="12632">
        <f ca="1"/>
        <v>44259</v>
      </c>
      <c r="C1060" vm="12633">
        <f ca="1"/>
        <v>101.6965</v>
      </c>
      <c r="D1060" vm="12634">
        <f ca="1"/>
        <v>148.8785</v>
      </c>
      <c r="E1060" vm="12635">
        <f ca="1"/>
        <v>83.5</v>
      </c>
      <c r="F1060" vm="12636">
        <f ca="1"/>
        <v>603.57000000000005</v>
      </c>
      <c r="G1060" vm="4825">
        <f ca="1"/>
        <v>202.94</v>
      </c>
      <c r="H1060" vm="12162">
        <f ca="1"/>
        <v>349.5</v>
      </c>
      <c r="I1060" vm="7790">
        <f ca="1"/>
        <v>71.290000000000006</v>
      </c>
      <c r="J1060" vm="12637">
        <f ca="1"/>
        <v>28.58</v>
      </c>
      <c r="K1060" vm="12638">
        <f ca="1"/>
        <v>12.3703</v>
      </c>
      <c r="L1060" vm="12639">
        <f ca="1"/>
        <v>122.15</v>
      </c>
      <c r="M1060" vm="12640">
        <f ca="1"/>
        <v>333.81</v>
      </c>
      <c r="N1060" vm="12641">
        <f ca="1"/>
        <v>3768.47</v>
      </c>
    </row>
    <row r="1061" spans="2:14" x14ac:dyDescent="0.35">
      <c r="B1061" vm="12642">
        <f ca="1"/>
        <v>44260</v>
      </c>
      <c r="C1061" vm="12643">
        <f ca="1"/>
        <v>104.8535</v>
      </c>
      <c r="D1061" vm="12644">
        <f ca="1"/>
        <v>150.023</v>
      </c>
      <c r="E1061" vm="12645">
        <f ca="1"/>
        <v>82.21</v>
      </c>
      <c r="F1061" vm="12646">
        <f ca="1"/>
        <v>610.55999999999995</v>
      </c>
      <c r="G1061" vm="12615">
        <f ca="1"/>
        <v>206.58</v>
      </c>
      <c r="H1061" vm="12647">
        <f ca="1"/>
        <v>360.88</v>
      </c>
      <c r="I1061" vm="7743">
        <f ca="1"/>
        <v>70.7</v>
      </c>
      <c r="J1061" vm="12648">
        <f ca="1"/>
        <v>29.07</v>
      </c>
      <c r="K1061" vm="12649">
        <f ca="1"/>
        <v>12.461499999999999</v>
      </c>
      <c r="L1061" vm="12650">
        <f ca="1"/>
        <v>125.98</v>
      </c>
      <c r="M1061" vm="12651">
        <f ca="1"/>
        <v>347.1</v>
      </c>
      <c r="N1061" vm="12652">
        <f ca="1"/>
        <v>3841.94</v>
      </c>
    </row>
    <row r="1062" spans="2:14" x14ac:dyDescent="0.35">
      <c r="B1062" vm="12653">
        <f ca="1"/>
        <v>44263</v>
      </c>
      <c r="C1062" vm="12654">
        <f ca="1"/>
        <v>100.375</v>
      </c>
      <c r="D1062" vm="12655">
        <f ca="1"/>
        <v>147.5975</v>
      </c>
      <c r="E1062" vm="12656">
        <f ca="1"/>
        <v>82.59</v>
      </c>
      <c r="F1062" vm="12657">
        <f ca="1"/>
        <v>594.91999999999996</v>
      </c>
      <c r="G1062" vm="12658">
        <f ca="1"/>
        <v>207.7</v>
      </c>
      <c r="H1062" vm="12659">
        <f ca="1"/>
        <v>371.33</v>
      </c>
      <c r="I1062" vm="12660">
        <f ca="1"/>
        <v>70.86</v>
      </c>
      <c r="J1062" vm="12661">
        <f ca="1"/>
        <v>29.71</v>
      </c>
      <c r="K1062" vm="12662">
        <f ca="1"/>
        <v>11.593299999999999</v>
      </c>
      <c r="L1062" vm="12663">
        <f ca="1"/>
        <v>127.31</v>
      </c>
      <c r="M1062" vm="12664">
        <f ca="1"/>
        <v>350.17</v>
      </c>
      <c r="N1062" vm="12665">
        <f ca="1"/>
        <v>3821.35</v>
      </c>
    </row>
    <row r="1063" spans="2:14" x14ac:dyDescent="0.35">
      <c r="B1063" vm="12666">
        <f ca="1"/>
        <v>44264</v>
      </c>
      <c r="C1063" vm="12667">
        <f ca="1"/>
        <v>102.018</v>
      </c>
      <c r="D1063" vm="12668">
        <f ca="1"/>
        <v>153.14250000000001</v>
      </c>
      <c r="E1063" vm="1194">
        <f ca="1"/>
        <v>86.26</v>
      </c>
      <c r="F1063" vm="12669">
        <f ca="1"/>
        <v>622.71</v>
      </c>
      <c r="G1063" vm="12670">
        <f ca="1"/>
        <v>207.61</v>
      </c>
      <c r="H1063" vm="12671">
        <f ca="1"/>
        <v>376.52</v>
      </c>
      <c r="I1063" vm="12672">
        <f ca="1"/>
        <v>74.02</v>
      </c>
      <c r="J1063" vm="12673">
        <f ca="1"/>
        <v>29.35</v>
      </c>
      <c r="K1063" vm="12674">
        <f ca="1"/>
        <v>12.520300000000001</v>
      </c>
      <c r="L1063" vm="12675">
        <f ca="1"/>
        <v>126.18</v>
      </c>
      <c r="M1063" vm="12676">
        <f ca="1"/>
        <v>351.98</v>
      </c>
      <c r="N1063" vm="12677">
        <f ca="1"/>
        <v>3875.44</v>
      </c>
    </row>
    <row r="1064" spans="2:14" x14ac:dyDescent="0.35">
      <c r="B1064" vm="12678">
        <f ca="1"/>
        <v>44265</v>
      </c>
      <c r="C1064" vm="12679">
        <f ca="1"/>
        <v>101.8095</v>
      </c>
      <c r="D1064" vm="12680">
        <f ca="1"/>
        <v>152.88200000000001</v>
      </c>
      <c r="E1064" vm="12681">
        <f ca="1"/>
        <v>85.22</v>
      </c>
      <c r="F1064" vm="12682">
        <f ca="1"/>
        <v>638.70000000000005</v>
      </c>
      <c r="G1064" vm="12683">
        <f ca="1"/>
        <v>212.91</v>
      </c>
      <c r="H1064" vm="12684">
        <f ca="1"/>
        <v>381.7</v>
      </c>
      <c r="I1064" vm="11620">
        <f ca="1"/>
        <v>74.459999999999994</v>
      </c>
      <c r="J1064" vm="12685">
        <f ca="1"/>
        <v>29.95</v>
      </c>
      <c r="K1064" vm="12686">
        <f ca="1"/>
        <v>12.468299999999999</v>
      </c>
      <c r="L1064" vm="12687">
        <f ca="1"/>
        <v>127.34</v>
      </c>
      <c r="M1064" vm="12688">
        <f ca="1"/>
        <v>349.6</v>
      </c>
      <c r="N1064" vm="12689">
        <f ca="1"/>
        <v>3898.81</v>
      </c>
    </row>
    <row r="1065" spans="2:14" x14ac:dyDescent="0.35">
      <c r="B1065" vm="12690">
        <f ca="1"/>
        <v>44266</v>
      </c>
      <c r="C1065" vm="12691">
        <f ca="1"/>
        <v>105.027</v>
      </c>
      <c r="D1065" vm="12692">
        <f ca="1"/>
        <v>155.67949999999999</v>
      </c>
      <c r="E1065" vm="12693">
        <f ca="1"/>
        <v>83.53</v>
      </c>
      <c r="F1065" vm="12694">
        <f ca="1"/>
        <v>654.59</v>
      </c>
      <c r="G1065" vm="12695">
        <f ca="1"/>
        <v>212.5</v>
      </c>
      <c r="H1065" vm="12696">
        <f ca="1"/>
        <v>384.38</v>
      </c>
      <c r="I1065" vm="12697">
        <f ca="1"/>
        <v>74.86</v>
      </c>
      <c r="J1065" vm="12698">
        <f ca="1"/>
        <v>29.4</v>
      </c>
      <c r="K1065" vm="12699">
        <f ca="1"/>
        <v>12.993499999999999</v>
      </c>
      <c r="L1065" vm="12700">
        <f ca="1"/>
        <v>126.91</v>
      </c>
      <c r="M1065" vm="12701">
        <f ca="1"/>
        <v>353.1</v>
      </c>
      <c r="N1065" vm="12702">
        <f ca="1"/>
        <v>3939.34</v>
      </c>
    </row>
    <row r="1066" spans="2:14" x14ac:dyDescent="0.35">
      <c r="B1066" vm="12703">
        <f ca="1"/>
        <v>44267</v>
      </c>
      <c r="C1066" vm="12704">
        <f ca="1"/>
        <v>102.5</v>
      </c>
      <c r="D1066" vm="12705">
        <f ca="1"/>
        <v>154.47450000000001</v>
      </c>
      <c r="E1066" vm="12706">
        <f ca="1"/>
        <v>84.64</v>
      </c>
      <c r="F1066" vm="12707">
        <f ca="1"/>
        <v>668</v>
      </c>
      <c r="G1066" vm="12708">
        <f ca="1"/>
        <v>214.38</v>
      </c>
      <c r="H1066" vm="12709">
        <f ca="1"/>
        <v>382.71</v>
      </c>
      <c r="I1066" vm="9549">
        <f ca="1"/>
        <v>75.67</v>
      </c>
      <c r="J1066" vm="12710">
        <f ca="1"/>
        <v>29.01</v>
      </c>
      <c r="K1066" vm="12711">
        <f ca="1"/>
        <v>12.856</v>
      </c>
      <c r="L1066" vm="12712">
        <f ca="1"/>
        <v>128.13999999999999</v>
      </c>
      <c r="M1066" vm="12713">
        <f ca="1"/>
        <v>356.02</v>
      </c>
      <c r="N1066" vm="12714">
        <f ca="1"/>
        <v>3943.34</v>
      </c>
    </row>
    <row r="1067" spans="2:14" x14ac:dyDescent="0.35">
      <c r="B1067" vm="12715">
        <f ca="1"/>
        <v>44270</v>
      </c>
      <c r="C1067" vm="12716">
        <f ca="1"/>
        <v>102.72199999999999</v>
      </c>
      <c r="D1067" vm="12717">
        <f ca="1"/>
        <v>154.084</v>
      </c>
      <c r="E1067" vm="12718">
        <f ca="1"/>
        <v>85.4</v>
      </c>
      <c r="F1067" vm="12719">
        <f ca="1"/>
        <v>669.55</v>
      </c>
      <c r="G1067" vm="12720">
        <f ca="1"/>
        <v>216.2</v>
      </c>
      <c r="H1067" vm="12721">
        <f ca="1"/>
        <v>381.76</v>
      </c>
      <c r="I1067" vm="12722">
        <f ca="1"/>
        <v>75.52</v>
      </c>
      <c r="J1067" vm="12723">
        <f ca="1"/>
        <v>29.12</v>
      </c>
      <c r="K1067" vm="12724">
        <f ca="1"/>
        <v>13.1913</v>
      </c>
      <c r="L1067" vm="12725">
        <f ca="1"/>
        <v>128.56</v>
      </c>
      <c r="M1067" vm="12726">
        <f ca="1"/>
        <v>353.88</v>
      </c>
      <c r="N1067" vm="12727">
        <f ca="1"/>
        <v>3968.94</v>
      </c>
    </row>
    <row r="1068" spans="2:14" x14ac:dyDescent="0.35">
      <c r="B1068" vm="12728">
        <f ca="1"/>
        <v>44271</v>
      </c>
      <c r="C1068" vm="12729">
        <f ca="1"/>
        <v>104.19450000000001</v>
      </c>
      <c r="D1068" vm="12730">
        <f ca="1"/>
        <v>154.59299999999999</v>
      </c>
      <c r="E1068" vm="5026">
        <f ca="1"/>
        <v>83.9</v>
      </c>
      <c r="F1068" vm="12731">
        <f ca="1"/>
        <v>671.33</v>
      </c>
      <c r="G1068" vm="12732">
        <f ca="1"/>
        <v>211.81</v>
      </c>
      <c r="H1068" vm="12733">
        <f ca="1"/>
        <v>382.38</v>
      </c>
      <c r="I1068" vm="12734">
        <f ca="1"/>
        <v>75.38</v>
      </c>
      <c r="J1068" vm="12735">
        <f ca="1"/>
        <v>28.06</v>
      </c>
      <c r="K1068" vm="12736">
        <f ca="1"/>
        <v>13.2913</v>
      </c>
      <c r="L1068" vm="12737">
        <f ca="1"/>
        <v>128.94</v>
      </c>
      <c r="M1068" vm="12738">
        <f ca="1"/>
        <v>354.6</v>
      </c>
      <c r="N1068" vm="12739">
        <f ca="1"/>
        <v>3962.71</v>
      </c>
    </row>
    <row r="1069" spans="2:14" x14ac:dyDescent="0.35">
      <c r="B1069" vm="12740">
        <f ca="1"/>
        <v>44272</v>
      </c>
      <c r="C1069" vm="12741">
        <f ca="1"/>
        <v>104.111</v>
      </c>
      <c r="D1069" vm="12742">
        <f ca="1"/>
        <v>156.78649999999999</v>
      </c>
      <c r="E1069" vm="12743">
        <f ca="1"/>
        <v>83.52</v>
      </c>
      <c r="F1069" vm="12744">
        <f ca="1"/>
        <v>656.45</v>
      </c>
      <c r="G1069" vm="12745">
        <f ca="1"/>
        <v>213.03</v>
      </c>
      <c r="H1069" vm="12746">
        <f ca="1"/>
        <v>378.68</v>
      </c>
      <c r="I1069" vm="9657">
        <f ca="1"/>
        <v>72.959999999999994</v>
      </c>
      <c r="J1069" vm="12747">
        <f ca="1"/>
        <v>28.31</v>
      </c>
      <c r="K1069" vm="12048">
        <f ca="1"/>
        <v>13.3413</v>
      </c>
      <c r="L1069" vm="12748">
        <f ca="1"/>
        <v>128.41999999999999</v>
      </c>
      <c r="M1069" vm="12749">
        <f ca="1"/>
        <v>352.18</v>
      </c>
      <c r="N1069" vm="12750">
        <f ca="1"/>
        <v>3974.12</v>
      </c>
    </row>
    <row r="1070" spans="2:14" x14ac:dyDescent="0.35">
      <c r="B1070" vm="12751">
        <f ca="1"/>
        <v>44273</v>
      </c>
      <c r="C1070" vm="12752">
        <f ca="1"/>
        <v>101.06699999999999</v>
      </c>
      <c r="D1070" vm="12753">
        <f ca="1"/>
        <v>151.39949999999999</v>
      </c>
      <c r="E1070" vm="12754">
        <f ca="1"/>
        <v>82.63</v>
      </c>
      <c r="F1070" vm="12755">
        <f ca="1"/>
        <v>646.83000000000004</v>
      </c>
      <c r="G1070" vm="12756">
        <f ca="1"/>
        <v>215.02</v>
      </c>
      <c r="H1070" vm="12757">
        <f ca="1"/>
        <v>367</v>
      </c>
      <c r="I1070" vm="12758">
        <f ca="1"/>
        <v>71.13</v>
      </c>
      <c r="J1070" vm="12759">
        <f ca="1"/>
        <v>27.25</v>
      </c>
      <c r="K1070" vm="12760">
        <f ca="1"/>
        <v>12.7225</v>
      </c>
      <c r="L1070" vm="12761">
        <f ca="1"/>
        <v>128.69999999999999</v>
      </c>
      <c r="M1070" vm="12762">
        <f ca="1"/>
        <v>362.05</v>
      </c>
      <c r="N1070" vm="12763">
        <f ca="1"/>
        <v>3915.46</v>
      </c>
    </row>
    <row r="1071" spans="2:14" x14ac:dyDescent="0.35">
      <c r="B1071" vm="12764">
        <f ca="1"/>
        <v>44274</v>
      </c>
      <c r="C1071" vm="12765">
        <f ca="1"/>
        <v>101.348</v>
      </c>
      <c r="D1071" vm="12766">
        <f ca="1"/>
        <v>153.74799999999999</v>
      </c>
      <c r="E1071" vm="12767">
        <f ca="1"/>
        <v>81.25</v>
      </c>
      <c r="F1071" vm="12768">
        <f ca="1"/>
        <v>653.05999999999995</v>
      </c>
      <c r="G1071" vm="12683">
        <f ca="1"/>
        <v>212.91</v>
      </c>
      <c r="H1071" vm="12769">
        <f ca="1"/>
        <v>356.51</v>
      </c>
      <c r="I1071" vm="12770">
        <f ca="1"/>
        <v>70.84</v>
      </c>
      <c r="J1071" vm="12771">
        <f ca="1"/>
        <v>27.05</v>
      </c>
      <c r="K1071" vm="12772">
        <f ca="1"/>
        <v>12.845800000000001</v>
      </c>
      <c r="L1071" vm="12773">
        <f ca="1"/>
        <v>128.01</v>
      </c>
      <c r="M1071" vm="12774">
        <f ca="1"/>
        <v>365.58</v>
      </c>
      <c r="N1071" vm="12775">
        <f ca="1"/>
        <v>3913.1</v>
      </c>
    </row>
    <row r="1072" spans="2:14" x14ac:dyDescent="0.35">
      <c r="B1072" vm="12776">
        <f ca="1"/>
        <v>44277</v>
      </c>
      <c r="C1072" vm="12777">
        <f ca="1"/>
        <v>101.53449999999999</v>
      </c>
      <c r="D1072" vm="12778">
        <f ca="1"/>
        <v>155.54349999999999</v>
      </c>
      <c r="E1072" vm="12779">
        <f ca="1"/>
        <v>84.32</v>
      </c>
      <c r="F1072" vm="12780">
        <f ca="1"/>
        <v>666.69</v>
      </c>
      <c r="G1072" vm="12781">
        <f ca="1"/>
        <v>212.13</v>
      </c>
      <c r="H1072" vm="12782">
        <f ca="1"/>
        <v>358.4</v>
      </c>
      <c r="I1072" vm="12783">
        <f ca="1"/>
        <v>71.69</v>
      </c>
      <c r="J1072" vm="12784">
        <f ca="1"/>
        <v>27.65</v>
      </c>
      <c r="K1072" vm="12785">
        <f ca="1"/>
        <v>13.186299999999999</v>
      </c>
      <c r="L1072" vm="12786">
        <f ca="1"/>
        <v>130.18</v>
      </c>
      <c r="M1072" vm="12787">
        <f ca="1"/>
        <v>366.86</v>
      </c>
      <c r="N1072" vm="12788">
        <f ca="1"/>
        <v>3940.59</v>
      </c>
    </row>
    <row r="1073" spans="2:14" x14ac:dyDescent="0.35">
      <c r="B1073" vm="12789">
        <f ca="1"/>
        <v>44278</v>
      </c>
      <c r="C1073" vm="12790">
        <f ca="1"/>
        <v>102.0665</v>
      </c>
      <c r="D1073" vm="12791">
        <f ca="1"/>
        <v>156.875</v>
      </c>
      <c r="E1073" vm="110">
        <f ca="1"/>
        <v>85.33</v>
      </c>
      <c r="F1073" vm="12792">
        <f ca="1"/>
        <v>675.77</v>
      </c>
      <c r="G1073" vm="11773">
        <f ca="1"/>
        <v>208.59</v>
      </c>
      <c r="H1073" vm="12793">
        <f ca="1"/>
        <v>355.27</v>
      </c>
      <c r="I1073" vm="12672">
        <f ca="1"/>
        <v>74.02</v>
      </c>
      <c r="J1073" vm="12794">
        <f ca="1"/>
        <v>26.67</v>
      </c>
      <c r="K1073" vm="12795">
        <f ca="1"/>
        <v>13.0708</v>
      </c>
      <c r="L1073" vm="12796">
        <f ca="1"/>
        <v>132.6</v>
      </c>
      <c r="M1073" vm="12797">
        <f ca="1"/>
        <v>368.5</v>
      </c>
      <c r="N1073" vm="12798">
        <f ca="1"/>
        <v>3910.52</v>
      </c>
    </row>
    <row r="1074" spans="2:14" x14ac:dyDescent="0.35">
      <c r="B1074" vm="12799">
        <f ca="1"/>
        <v>44279</v>
      </c>
      <c r="C1074" vm="12800">
        <f ca="1"/>
        <v>101.62649999999999</v>
      </c>
      <c r="D1074" vm="12801">
        <f ca="1"/>
        <v>154.3535</v>
      </c>
      <c r="E1074" vm="12802">
        <f ca="1"/>
        <v>85.35</v>
      </c>
      <c r="F1074" vm="12803">
        <f ca="1"/>
        <v>662.34</v>
      </c>
      <c r="G1074" vm="12804">
        <f ca="1"/>
        <v>212.22</v>
      </c>
      <c r="H1074" vm="12805">
        <f ca="1"/>
        <v>359.65</v>
      </c>
      <c r="I1074" vm="12806">
        <f ca="1"/>
        <v>72.83</v>
      </c>
      <c r="J1074" vm="12807">
        <f ca="1"/>
        <v>27.42</v>
      </c>
      <c r="K1074" vm="12808">
        <f ca="1"/>
        <v>12.643000000000001</v>
      </c>
      <c r="L1074" vm="12809">
        <f ca="1"/>
        <v>132.56</v>
      </c>
      <c r="M1074" vm="12810">
        <f ca="1"/>
        <v>370.6</v>
      </c>
      <c r="N1074" vm="12811">
        <f ca="1"/>
        <v>3889.14</v>
      </c>
    </row>
    <row r="1075" spans="2:14" x14ac:dyDescent="0.35">
      <c r="B1075" vm="12812">
        <f ca="1"/>
        <v>44280</v>
      </c>
      <c r="C1075" vm="12813">
        <f ca="1"/>
        <v>101.623</v>
      </c>
      <c r="D1075" vm="12814">
        <f ca="1"/>
        <v>152.31299999999999</v>
      </c>
      <c r="E1075" vm="12290">
        <f ca="1"/>
        <v>84.05</v>
      </c>
      <c r="F1075" vm="12815">
        <f ca="1"/>
        <v>668.12</v>
      </c>
      <c r="G1075" vm="12816">
        <f ca="1"/>
        <v>213.88</v>
      </c>
      <c r="H1075" vm="12817">
        <f ca="1"/>
        <v>358.36</v>
      </c>
      <c r="I1075" vm="4265">
        <f ca="1"/>
        <v>73.45</v>
      </c>
      <c r="J1075" vm="12818">
        <f ca="1"/>
        <v>27.4</v>
      </c>
      <c r="K1075" vm="12819">
        <f ca="1"/>
        <v>12.535299999999999</v>
      </c>
      <c r="L1075" vm="12820">
        <f ca="1"/>
        <v>133.47999999999999</v>
      </c>
      <c r="M1075" vm="12821">
        <f ca="1"/>
        <v>371.09</v>
      </c>
      <c r="N1075" vm="12822">
        <f ca="1"/>
        <v>3909.52</v>
      </c>
    </row>
    <row r="1076" spans="2:14" x14ac:dyDescent="0.35">
      <c r="B1076" vm="12823">
        <f ca="1"/>
        <v>44281</v>
      </c>
      <c r="C1076" vm="12824">
        <f ca="1"/>
        <v>101.23650000000001</v>
      </c>
      <c r="D1076" vm="12825">
        <f ca="1"/>
        <v>152.60149999999999</v>
      </c>
      <c r="E1076" vm="12826">
        <f ca="1"/>
        <v>84.09</v>
      </c>
      <c r="F1076" vm="12827">
        <f ca="1"/>
        <v>683.63</v>
      </c>
      <c r="G1076" vm="12828">
        <f ca="1"/>
        <v>218.53</v>
      </c>
      <c r="H1076" vm="12829">
        <f ca="1"/>
        <v>366.14</v>
      </c>
      <c r="I1076" vm="4276">
        <f ca="1"/>
        <v>74.06</v>
      </c>
      <c r="J1076" vm="12747">
        <f ca="1"/>
        <v>28.31</v>
      </c>
      <c r="K1076" vm="12830">
        <f ca="1"/>
        <v>12.8393</v>
      </c>
      <c r="L1076" vm="12831">
        <f ca="1"/>
        <v>135.44999999999999</v>
      </c>
      <c r="M1076" vm="12832">
        <f ca="1"/>
        <v>376.48</v>
      </c>
      <c r="N1076" vm="12833">
        <f ca="1"/>
        <v>3974.54</v>
      </c>
    </row>
    <row r="1077" spans="2:14" x14ac:dyDescent="0.35">
      <c r="B1077" vm="12834">
        <f ca="1"/>
        <v>44284</v>
      </c>
      <c r="C1077" vm="12835">
        <f ca="1"/>
        <v>102.2895</v>
      </c>
      <c r="D1077" vm="12836">
        <f ca="1"/>
        <v>153.78649999999999</v>
      </c>
      <c r="E1077" vm="12837">
        <f ca="1"/>
        <v>85.1</v>
      </c>
      <c r="F1077" vm="12838">
        <f ca="1"/>
        <v>687.84</v>
      </c>
      <c r="G1077" vm="12839">
        <f ca="1"/>
        <v>218.88</v>
      </c>
      <c r="H1077" vm="12840">
        <f ca="1"/>
        <v>362.91</v>
      </c>
      <c r="I1077" vm="3187">
        <f ca="1"/>
        <v>74.8</v>
      </c>
      <c r="J1077" vm="12841">
        <f ca="1"/>
        <v>27.7</v>
      </c>
      <c r="K1077" vm="12842">
        <f ca="1"/>
        <v>12.9483</v>
      </c>
      <c r="L1077" vm="11635">
        <f ca="1"/>
        <v>137.57</v>
      </c>
      <c r="M1077" vm="12843">
        <f ca="1"/>
        <v>379.06</v>
      </c>
      <c r="N1077" vm="12844">
        <f ca="1"/>
        <v>3971.09</v>
      </c>
    </row>
    <row r="1078" spans="2:14" x14ac:dyDescent="0.35">
      <c r="B1078" vm="12845">
        <f ca="1"/>
        <v>44285</v>
      </c>
      <c r="C1078" vm="12846">
        <f ca="1"/>
        <v>102.3235</v>
      </c>
      <c r="D1078" vm="12847">
        <f ca="1"/>
        <v>152.7645</v>
      </c>
      <c r="E1078" vm="12848">
        <f ca="1"/>
        <v>84.53</v>
      </c>
      <c r="F1078" vm="12849">
        <f ca="1"/>
        <v>674.84</v>
      </c>
      <c r="G1078" vm="12850">
        <f ca="1"/>
        <v>218.09</v>
      </c>
      <c r="H1078" vm="12851">
        <f ca="1"/>
        <v>358.2</v>
      </c>
      <c r="I1078" vm="12158">
        <f ca="1"/>
        <v>74.22</v>
      </c>
      <c r="J1078" vm="12852">
        <f ca="1"/>
        <v>27.22</v>
      </c>
      <c r="K1078" vm="12853">
        <f ca="1"/>
        <v>12.8718</v>
      </c>
      <c r="L1078" vm="12831">
        <f ca="1"/>
        <v>135.44999999999999</v>
      </c>
      <c r="M1078" vm="12854">
        <f ca="1"/>
        <v>373.56</v>
      </c>
      <c r="N1078" vm="12855">
        <f ca="1"/>
        <v>3958.55</v>
      </c>
    </row>
    <row r="1079" spans="2:14" x14ac:dyDescent="0.35">
      <c r="B1079" vm="12856">
        <f ca="1"/>
        <v>44286</v>
      </c>
      <c r="C1079" vm="12857">
        <f ca="1"/>
        <v>103.126</v>
      </c>
      <c r="D1079" vm="12858">
        <f ca="1"/>
        <v>154.70400000000001</v>
      </c>
      <c r="E1079" vm="12859">
        <f ca="1"/>
        <v>84.74</v>
      </c>
      <c r="F1079" vm="12860">
        <f ca="1"/>
        <v>679.59</v>
      </c>
      <c r="G1079" vm="12861">
        <f ca="1"/>
        <v>217.07</v>
      </c>
      <c r="H1079" vm="12862">
        <f ca="1"/>
        <v>356.05</v>
      </c>
      <c r="I1079" vm="12863">
        <f ca="1"/>
        <v>75.61</v>
      </c>
      <c r="J1079" vm="12864">
        <f ca="1"/>
        <v>27.19</v>
      </c>
      <c r="K1079" vm="12865">
        <f ca="1"/>
        <v>13.3483</v>
      </c>
      <c r="L1079" vm="12866">
        <f ca="1"/>
        <v>135.43</v>
      </c>
      <c r="M1079" vm="12867">
        <f ca="1"/>
        <v>372.07</v>
      </c>
      <c r="N1079" vm="12868">
        <f ca="1"/>
        <v>3972.89</v>
      </c>
    </row>
    <row r="1080" spans="2:14" x14ac:dyDescent="0.35">
      <c r="B1080" vm="12869">
        <f ca="1"/>
        <v>44287</v>
      </c>
      <c r="C1080" vm="12870">
        <f ca="1"/>
        <v>106.489</v>
      </c>
      <c r="D1080" vm="12871">
        <f ca="1"/>
        <v>158.05000000000001</v>
      </c>
      <c r="E1080" vm="2622">
        <f ca="1"/>
        <v>86.27</v>
      </c>
      <c r="F1080" vm="10178">
        <f ca="1"/>
        <v>678</v>
      </c>
      <c r="G1080" vm="12872">
        <f ca="1"/>
        <v>216.8</v>
      </c>
      <c r="H1080" vm="12873">
        <f ca="1"/>
        <v>363.3</v>
      </c>
      <c r="I1080" vm="12874">
        <f ca="1"/>
        <v>75.77</v>
      </c>
      <c r="J1080" vm="12875">
        <f ca="1"/>
        <v>28.1</v>
      </c>
      <c r="K1080" vm="12876">
        <f ca="1"/>
        <v>13.8118</v>
      </c>
      <c r="L1080" vm="10179">
        <f ca="1"/>
        <v>134.28</v>
      </c>
      <c r="M1080" vm="12877">
        <f ca="1"/>
        <v>367.07</v>
      </c>
      <c r="N1080" vm="12878">
        <f ca="1"/>
        <v>4019.87</v>
      </c>
    </row>
    <row r="1081" spans="2:14" x14ac:dyDescent="0.35">
      <c r="B1081" vm="12879">
        <f ca="1"/>
        <v>44291</v>
      </c>
      <c r="C1081" vm="12880">
        <f ca="1"/>
        <v>110.94799999999999</v>
      </c>
      <c r="D1081" vm="12881">
        <f ca="1"/>
        <v>161.3365</v>
      </c>
      <c r="E1081" vm="12324">
        <f ca="1"/>
        <v>86.87</v>
      </c>
      <c r="F1081" vm="12882">
        <f ca="1"/>
        <v>690.24</v>
      </c>
      <c r="G1081" vm="12883">
        <f ca="1"/>
        <v>219.27</v>
      </c>
      <c r="H1081" vm="12884">
        <f ca="1"/>
        <v>368.32</v>
      </c>
      <c r="I1081" vm="12885">
        <f ca="1"/>
        <v>76.78</v>
      </c>
      <c r="J1081" vm="12886">
        <f ca="1"/>
        <v>27.55</v>
      </c>
      <c r="K1081" vm="12887">
        <f ca="1"/>
        <v>13.987500000000001</v>
      </c>
      <c r="L1081" vm="12888">
        <f ca="1"/>
        <v>136.44999999999999</v>
      </c>
      <c r="M1081" vm="12889">
        <f ca="1"/>
        <v>370.18</v>
      </c>
      <c r="N1081" vm="12890">
        <f ca="1"/>
        <v>4077.91</v>
      </c>
    </row>
    <row r="1082" spans="2:14" x14ac:dyDescent="0.35">
      <c r="B1082" vm="12891">
        <f ca="1"/>
        <v>44292</v>
      </c>
      <c r="C1082" vm="12892">
        <f ca="1"/>
        <v>110.46299999999999</v>
      </c>
      <c r="D1082" vm="12893">
        <f ca="1"/>
        <v>161.191</v>
      </c>
      <c r="E1082" vm="12894">
        <f ca="1"/>
        <v>87.99</v>
      </c>
      <c r="F1082" vm="12895">
        <f ca="1"/>
        <v>688.71</v>
      </c>
      <c r="G1082" vm="12896">
        <f ca="1"/>
        <v>219.19</v>
      </c>
      <c r="H1082" vm="12897">
        <f ca="1"/>
        <v>369.57</v>
      </c>
      <c r="I1082" vm="12898">
        <f ca="1"/>
        <v>77.56</v>
      </c>
      <c r="J1082" vm="12899">
        <f ca="1"/>
        <v>27.44</v>
      </c>
      <c r="K1082" vm="12900">
        <f ca="1"/>
        <v>13.861499999999999</v>
      </c>
      <c r="L1082" vm="12901">
        <f ca="1"/>
        <v>136.5</v>
      </c>
      <c r="M1082" vm="12902">
        <f ca="1"/>
        <v>364.37</v>
      </c>
      <c r="N1082" vm="12903">
        <f ca="1"/>
        <v>4073.94</v>
      </c>
    </row>
    <row r="1083" spans="2:14" x14ac:dyDescent="0.35">
      <c r="B1083" vm="12904">
        <f ca="1"/>
        <v>44293</v>
      </c>
      <c r="C1083" vm="12905">
        <f ca="1"/>
        <v>111.9515</v>
      </c>
      <c r="D1083" vm="12906">
        <f ca="1"/>
        <v>163.96950000000001</v>
      </c>
      <c r="E1083" vm="12907">
        <f ca="1"/>
        <v>86.53</v>
      </c>
      <c r="F1083" vm="12908">
        <f ca="1"/>
        <v>684.45</v>
      </c>
      <c r="G1083" vm="3841">
        <f ca="1"/>
        <v>218.5</v>
      </c>
      <c r="H1083" vm="12909">
        <f ca="1"/>
        <v>371.08</v>
      </c>
      <c r="I1083" vm="12910">
        <f ca="1"/>
        <v>77.41</v>
      </c>
      <c r="J1083" vm="12911">
        <f ca="1"/>
        <v>27.35</v>
      </c>
      <c r="K1083" vm="12912">
        <f ca="1"/>
        <v>14.1435</v>
      </c>
      <c r="L1083" vm="12913">
        <f ca="1"/>
        <v>136.74</v>
      </c>
      <c r="M1083" vm="12914">
        <f ca="1"/>
        <v>365.64</v>
      </c>
      <c r="N1083" vm="12915">
        <f ca="1"/>
        <v>4079.95</v>
      </c>
    </row>
    <row r="1084" spans="2:14" x14ac:dyDescent="0.35">
      <c r="B1084" vm="12916">
        <f ca="1"/>
        <v>44294</v>
      </c>
      <c r="C1084" vm="12917">
        <f ca="1"/>
        <v>112.5215</v>
      </c>
      <c r="D1084" vm="12918">
        <f ca="1"/>
        <v>164.965</v>
      </c>
      <c r="E1084" vm="12919">
        <f ca="1"/>
        <v>87.63</v>
      </c>
      <c r="F1084" vm="12920">
        <f ca="1"/>
        <v>687.69</v>
      </c>
      <c r="G1084" vm="12921">
        <f ca="1"/>
        <v>219.86</v>
      </c>
      <c r="H1084" vm="12922">
        <f ca="1"/>
        <v>377.74</v>
      </c>
      <c r="I1084" vm="12923">
        <f ca="1"/>
        <v>77.760000000000005</v>
      </c>
      <c r="J1084" vm="12924">
        <f ca="1"/>
        <v>27.06</v>
      </c>
      <c r="K1084" vm="12925">
        <f ca="1"/>
        <v>14.317</v>
      </c>
      <c r="L1084" vm="11378">
        <f ca="1"/>
        <v>137.26</v>
      </c>
      <c r="M1084" vm="12926">
        <f ca="1"/>
        <v>364.89</v>
      </c>
      <c r="N1084" vm="12927">
        <f ca="1"/>
        <v>4097.17</v>
      </c>
    </row>
    <row r="1085" spans="2:14" x14ac:dyDescent="0.35">
      <c r="B1085" vm="12928">
        <f ca="1"/>
        <v>44295</v>
      </c>
      <c r="C1085" vm="12929">
        <f ca="1"/>
        <v>113.5335</v>
      </c>
      <c r="D1085" vm="12930">
        <f ca="1"/>
        <v>168.61</v>
      </c>
      <c r="E1085" vm="1475">
        <f ca="1"/>
        <v>89.86</v>
      </c>
      <c r="F1085" vm="12931">
        <f ca="1"/>
        <v>687.46</v>
      </c>
      <c r="G1085" vm="12932">
        <f ca="1"/>
        <v>226.98</v>
      </c>
      <c r="H1085" vm="12933">
        <f ca="1"/>
        <v>380.08</v>
      </c>
      <c r="I1085" vm="12934">
        <f ca="1"/>
        <v>77.94</v>
      </c>
      <c r="J1085" vm="12935">
        <f ca="1"/>
        <v>26.76</v>
      </c>
      <c r="K1085" vm="12936">
        <f ca="1"/>
        <v>14.4</v>
      </c>
      <c r="L1085" vm="12937">
        <f ca="1"/>
        <v>136.37</v>
      </c>
      <c r="M1085" vm="12938">
        <f ca="1"/>
        <v>376.3</v>
      </c>
      <c r="N1085" vm="12939">
        <f ca="1"/>
        <v>4128.8</v>
      </c>
    </row>
    <row r="1086" spans="2:14" x14ac:dyDescent="0.35">
      <c r="B1086" vm="12940">
        <f ca="1"/>
        <v>44298</v>
      </c>
      <c r="C1086" vm="12941">
        <f ca="1"/>
        <v>112.23099999999999</v>
      </c>
      <c r="D1086" vm="12942">
        <f ca="1"/>
        <v>168.96950000000001</v>
      </c>
      <c r="E1086" vm="12943">
        <f ca="1"/>
        <v>90.7</v>
      </c>
      <c r="F1086" vm="12944">
        <f ca="1"/>
        <v>691.43</v>
      </c>
      <c r="G1086" vm="12945">
        <f ca="1"/>
        <v>228.6</v>
      </c>
      <c r="H1086" vm="12946">
        <f ca="1"/>
        <v>379.84</v>
      </c>
      <c r="I1086" vm="9432">
        <f ca="1"/>
        <v>77.64</v>
      </c>
      <c r="J1086" vm="12947">
        <f ca="1"/>
        <v>26.54</v>
      </c>
      <c r="K1086" vm="12948">
        <f ca="1"/>
        <v>15.209</v>
      </c>
      <c r="L1086" vm="11339">
        <f ca="1"/>
        <v>136.91999999999999</v>
      </c>
      <c r="M1086" vm="12949">
        <f ca="1"/>
        <v>376.28</v>
      </c>
      <c r="N1086" vm="12950">
        <f ca="1"/>
        <v>4127.99</v>
      </c>
    </row>
    <row r="1087" spans="2:14" x14ac:dyDescent="0.35">
      <c r="B1087" vm="12951">
        <f ca="1"/>
        <v>44299</v>
      </c>
      <c r="C1087" vm="12952">
        <f ca="1"/>
        <v>112.72150000000001</v>
      </c>
      <c r="D1087" vm="11102">
        <f ca="1"/>
        <v>170</v>
      </c>
      <c r="E1087" vm="756">
        <f ca="1"/>
        <v>90.76</v>
      </c>
      <c r="F1087" vm="12953">
        <f ca="1"/>
        <v>705.77</v>
      </c>
      <c r="G1087" vm="8166">
        <f ca="1"/>
        <v>229</v>
      </c>
      <c r="H1087" vm="12954">
        <f ca="1"/>
        <v>378.13</v>
      </c>
      <c r="I1087" vm="12955">
        <f ca="1"/>
        <v>79.040000000000006</v>
      </c>
      <c r="J1087" vm="12956">
        <f ca="1"/>
        <v>26.04</v>
      </c>
      <c r="K1087" vm="12957">
        <f ca="1"/>
        <v>15.679500000000001</v>
      </c>
      <c r="L1087" vm="12958">
        <f ca="1"/>
        <v>135.11000000000001</v>
      </c>
      <c r="M1087" vm="12959">
        <f ca="1"/>
        <v>374.5</v>
      </c>
      <c r="N1087" vm="12960">
        <f ca="1"/>
        <v>4141.59</v>
      </c>
    </row>
    <row r="1088" spans="2:14" x14ac:dyDescent="0.35">
      <c r="B1088" vm="12961">
        <f ca="1"/>
        <v>44300</v>
      </c>
      <c r="C1088" vm="12962">
        <f ca="1"/>
        <v>112.0955</v>
      </c>
      <c r="D1088" vm="12963">
        <f ca="1"/>
        <v>166.65</v>
      </c>
      <c r="E1088" vm="12964">
        <f ca="1"/>
        <v>89.47</v>
      </c>
      <c r="F1088" vm="12965">
        <f ca="1"/>
        <v>694.31</v>
      </c>
      <c r="G1088" vm="12966">
        <f ca="1"/>
        <v>229.38</v>
      </c>
      <c r="H1088" vm="12967">
        <f ca="1"/>
        <v>378.32</v>
      </c>
      <c r="I1088" vm="12968">
        <f ca="1"/>
        <v>79.13</v>
      </c>
      <c r="J1088" vm="12969">
        <f ca="1"/>
        <v>27.31</v>
      </c>
      <c r="K1088" vm="12970">
        <f ca="1"/>
        <v>15.276999999999999</v>
      </c>
      <c r="L1088" vm="12971">
        <f ca="1"/>
        <v>135.6</v>
      </c>
      <c r="M1088" vm="12972">
        <f ca="1"/>
        <v>375.63</v>
      </c>
      <c r="N1088" vm="12973">
        <f ca="1"/>
        <v>4124.66</v>
      </c>
    </row>
    <row r="1089" spans="2:14" x14ac:dyDescent="0.35">
      <c r="B1089" vm="12974">
        <f ca="1"/>
        <v>44301</v>
      </c>
      <c r="C1089" vm="12975">
        <f ca="1"/>
        <v>114.2625</v>
      </c>
      <c r="D1089" vm="12976">
        <f ca="1"/>
        <v>168.9545</v>
      </c>
      <c r="E1089" vm="12977">
        <f ca="1"/>
        <v>90.55</v>
      </c>
      <c r="F1089" vm="12978">
        <f ca="1"/>
        <v>718.85</v>
      </c>
      <c r="G1089" vm="12979">
        <f ca="1"/>
        <v>229.84</v>
      </c>
      <c r="H1089" vm="12980">
        <f ca="1"/>
        <v>386.49</v>
      </c>
      <c r="I1089" vm="12981">
        <f ca="1"/>
        <v>80.180000000000007</v>
      </c>
      <c r="J1089" vm="12982">
        <f ca="1"/>
        <v>26.66</v>
      </c>
      <c r="K1089" vm="12983">
        <f ca="1"/>
        <v>16.1373</v>
      </c>
      <c r="L1089" vm="12984">
        <f ca="1"/>
        <v>137.24</v>
      </c>
      <c r="M1089" vm="12985">
        <f ca="1"/>
        <v>390.01</v>
      </c>
      <c r="N1089" vm="12986">
        <f ca="1"/>
        <v>4170.42</v>
      </c>
    </row>
    <row r="1090" spans="2:14" x14ac:dyDescent="0.35">
      <c r="B1090" vm="12987">
        <f ca="1"/>
        <v>44302</v>
      </c>
      <c r="C1090" vm="12988">
        <f ca="1"/>
        <v>114.1375</v>
      </c>
      <c r="D1090" vm="12989">
        <f ca="1"/>
        <v>169.97200000000001</v>
      </c>
      <c r="E1090" vm="12990">
        <f ca="1"/>
        <v>91.01</v>
      </c>
      <c r="F1090" vm="12991">
        <f ca="1"/>
        <v>708.14</v>
      </c>
      <c r="G1090" vm="12992">
        <f ca="1"/>
        <v>232.11</v>
      </c>
      <c r="H1090" vm="12993">
        <f ca="1"/>
        <v>386.17</v>
      </c>
      <c r="I1090" vm="12994">
        <f ca="1"/>
        <v>80.94</v>
      </c>
      <c r="J1090" vm="12995">
        <f ca="1"/>
        <v>26.29</v>
      </c>
      <c r="K1090" vm="12996">
        <f ca="1"/>
        <v>15.9125</v>
      </c>
      <c r="L1090" vm="10107">
        <f ca="1"/>
        <v>137.25</v>
      </c>
      <c r="M1090" vm="12997">
        <f ca="1"/>
        <v>391.01</v>
      </c>
      <c r="N1090" vm="12998">
        <f ca="1"/>
        <v>4185.47</v>
      </c>
    </row>
    <row r="1091" spans="2:14" x14ac:dyDescent="0.35">
      <c r="B1091" vm="12999">
        <f ca="1"/>
        <v>44305</v>
      </c>
      <c r="C1091" vm="13000">
        <f ca="1"/>
        <v>114.488</v>
      </c>
      <c r="D1091" vm="13001">
        <f ca="1"/>
        <v>168.60050000000001</v>
      </c>
      <c r="E1091" vm="13002">
        <f ca="1"/>
        <v>90.9</v>
      </c>
      <c r="F1091" vm="13003">
        <f ca="1"/>
        <v>717.29</v>
      </c>
      <c r="G1091" vm="13004">
        <f ca="1"/>
        <v>230.97</v>
      </c>
      <c r="H1091" vm="13005">
        <f ca="1"/>
        <v>382.16</v>
      </c>
      <c r="I1091" vm="3296">
        <f ca="1"/>
        <v>79.790000000000006</v>
      </c>
      <c r="J1091" vm="13006">
        <f ca="1"/>
        <v>26.53</v>
      </c>
      <c r="K1091" vm="13007">
        <f ca="1"/>
        <v>15.361800000000001</v>
      </c>
      <c r="L1091" vm="13008">
        <f ca="1"/>
        <v>136.61000000000001</v>
      </c>
      <c r="M1091" vm="13009">
        <f ca="1"/>
        <v>389.84</v>
      </c>
      <c r="N1091" vm="13010">
        <f ca="1"/>
        <v>4163.26</v>
      </c>
    </row>
    <row r="1092" spans="2:14" x14ac:dyDescent="0.35">
      <c r="B1092" vm="13011">
        <f ca="1"/>
        <v>44306</v>
      </c>
      <c r="C1092" vm="13012">
        <f ca="1"/>
        <v>113.95050000000001</v>
      </c>
      <c r="D1092" vm="13013">
        <f ca="1"/>
        <v>166.7345</v>
      </c>
      <c r="E1092" vm="13014">
        <f ca="1"/>
        <v>92.29</v>
      </c>
      <c r="F1092" vm="13015">
        <f ca="1"/>
        <v>726.22</v>
      </c>
      <c r="G1092" vm="13016">
        <f ca="1"/>
        <v>227.33</v>
      </c>
      <c r="H1092" vm="13017">
        <f ca="1"/>
        <v>376.63</v>
      </c>
      <c r="I1092" vm="13018">
        <f ca="1"/>
        <v>80.53</v>
      </c>
      <c r="J1092" vm="13019">
        <f ca="1"/>
        <v>25.25</v>
      </c>
      <c r="K1092" vm="13020">
        <f ca="1"/>
        <v>15.1713</v>
      </c>
      <c r="L1092" vm="6183">
        <f ca="1"/>
        <v>137.75</v>
      </c>
      <c r="M1092" vm="13021">
        <f ca="1"/>
        <v>396.53</v>
      </c>
      <c r="N1092" vm="13022">
        <f ca="1"/>
        <v>4134.9399999999996</v>
      </c>
    </row>
    <row r="1093" spans="2:14" x14ac:dyDescent="0.35">
      <c r="B1093" vm="13023">
        <f ca="1"/>
        <v>44307</v>
      </c>
      <c r="C1093" vm="13024">
        <f ca="1"/>
        <v>113.9175</v>
      </c>
      <c r="D1093" vm="13025">
        <f ca="1"/>
        <v>168.101</v>
      </c>
      <c r="E1093" vm="9321">
        <f ca="1"/>
        <v>92.9</v>
      </c>
      <c r="F1093" vm="13026">
        <f ca="1"/>
        <v>726.13</v>
      </c>
      <c r="G1093" vm="13027">
        <f ca="1"/>
        <v>230.5</v>
      </c>
      <c r="H1093" vm="13028">
        <f ca="1"/>
        <v>383.1</v>
      </c>
      <c r="I1093" vm="3236">
        <f ca="1"/>
        <v>77.97</v>
      </c>
      <c r="J1093" vm="13029">
        <f ca="1"/>
        <v>25.73</v>
      </c>
      <c r="K1093" vm="13030">
        <f ca="1"/>
        <v>15.3605</v>
      </c>
      <c r="L1093" vm="11049">
        <f ca="1"/>
        <v>136.85</v>
      </c>
      <c r="M1093" vm="13031">
        <f ca="1"/>
        <v>398.81</v>
      </c>
      <c r="N1093" vm="13032">
        <f ca="1"/>
        <v>4173.42</v>
      </c>
    </row>
    <row r="1094" spans="2:14" x14ac:dyDescent="0.35">
      <c r="B1094" vm="13033">
        <f ca="1"/>
        <v>44308</v>
      </c>
      <c r="C1094" vm="13034">
        <f ca="1"/>
        <v>112.626</v>
      </c>
      <c r="D1094" vm="13035">
        <f ca="1"/>
        <v>165.452</v>
      </c>
      <c r="E1094" vm="13036">
        <f ca="1"/>
        <v>92.69</v>
      </c>
      <c r="F1094" vm="13037">
        <f ca="1"/>
        <v>717.97</v>
      </c>
      <c r="G1094" vm="13038">
        <f ca="1"/>
        <v>229.26</v>
      </c>
      <c r="H1094" vm="13039">
        <f ca="1"/>
        <v>383.36</v>
      </c>
      <c r="I1094" vm="13040">
        <f ca="1"/>
        <v>78.319999999999993</v>
      </c>
      <c r="J1094" vm="13019">
        <f ca="1"/>
        <v>25.25</v>
      </c>
      <c r="K1094" vm="13041">
        <f ca="1"/>
        <v>14.850300000000001</v>
      </c>
      <c r="L1094" vm="13042">
        <f ca="1"/>
        <v>134.63</v>
      </c>
      <c r="M1094" vm="13043">
        <f ca="1"/>
        <v>396.54</v>
      </c>
      <c r="N1094" vm="13044">
        <f ca="1"/>
        <v>4134.9799999999996</v>
      </c>
    </row>
    <row r="1095" spans="2:14" x14ac:dyDescent="0.35">
      <c r="B1095" vm="13045">
        <f ca="1"/>
        <v>44309</v>
      </c>
      <c r="C1095" vm="13046">
        <f ca="1"/>
        <v>114.9965</v>
      </c>
      <c r="D1095" vm="13047">
        <f ca="1"/>
        <v>167.04400000000001</v>
      </c>
      <c r="E1095" vm="13048">
        <f ca="1"/>
        <v>93.98</v>
      </c>
      <c r="F1095" vm="13049">
        <f ca="1"/>
        <v>718.11</v>
      </c>
      <c r="G1095" vm="13050">
        <f ca="1"/>
        <v>224.5</v>
      </c>
      <c r="H1095" vm="13051">
        <f ca="1"/>
        <v>387.06</v>
      </c>
      <c r="I1095" vm="912">
        <f ca="1"/>
        <v>78.239999999999995</v>
      </c>
      <c r="J1095" vm="13052">
        <f ca="1"/>
        <v>25.71</v>
      </c>
      <c r="K1095" vm="13053">
        <f ca="1"/>
        <v>15.2653</v>
      </c>
      <c r="L1095" vm="13054">
        <f ca="1"/>
        <v>133.94</v>
      </c>
      <c r="M1095" vm="13055">
        <f ca="1"/>
        <v>400.31</v>
      </c>
      <c r="N1095" vm="13056">
        <f ca="1"/>
        <v>4180.17</v>
      </c>
    </row>
    <row r="1096" spans="2:14" x14ac:dyDescent="0.35">
      <c r="B1096" vm="13057">
        <f ca="1"/>
        <v>44312</v>
      </c>
      <c r="C1096" vm="13058">
        <f ca="1"/>
        <v>115.4965</v>
      </c>
      <c r="D1096" vm="13059">
        <f ca="1"/>
        <v>170.45</v>
      </c>
      <c r="E1096" vm="9321">
        <f ca="1"/>
        <v>92.9</v>
      </c>
      <c r="F1096" vm="13060">
        <f ca="1"/>
        <v>716.97</v>
      </c>
      <c r="G1096" vm="13061">
        <f ca="1"/>
        <v>221.52</v>
      </c>
      <c r="H1096" vm="701">
        <f ca="1"/>
        <v>387.47</v>
      </c>
      <c r="I1096" vm="924">
        <f ca="1"/>
        <v>77.930000000000007</v>
      </c>
      <c r="J1096" vm="12480">
        <f ca="1"/>
        <v>26.37</v>
      </c>
      <c r="K1096" vm="13062">
        <f ca="1"/>
        <v>15.478</v>
      </c>
      <c r="L1096" vm="13063">
        <f ca="1"/>
        <v>131.26</v>
      </c>
      <c r="M1096" vm="13064">
        <f ca="1"/>
        <v>395.86</v>
      </c>
      <c r="N1096" vm="13065">
        <f ca="1"/>
        <v>4187.62</v>
      </c>
    </row>
    <row r="1097" spans="2:14" x14ac:dyDescent="0.35">
      <c r="B1097" vm="13066">
        <f ca="1"/>
        <v>44313</v>
      </c>
      <c r="C1097" vm="13067">
        <f ca="1"/>
        <v>114.54900000000001</v>
      </c>
      <c r="D1097" vm="13068">
        <f ca="1"/>
        <v>170.8715</v>
      </c>
      <c r="E1097" vm="9321">
        <f ca="1"/>
        <v>92.9</v>
      </c>
      <c r="F1097" vm="10728">
        <f ca="1"/>
        <v>713.88</v>
      </c>
      <c r="G1097" vm="8080">
        <f ca="1"/>
        <v>222.93</v>
      </c>
      <c r="H1097" vm="13069">
        <f ca="1"/>
        <v>389.07</v>
      </c>
      <c r="I1097" vm="13070">
        <f ca="1"/>
        <v>77.28</v>
      </c>
      <c r="J1097" vm="13071">
        <f ca="1"/>
        <v>26.18</v>
      </c>
      <c r="K1097" vm="13072">
        <f ca="1"/>
        <v>15.3818</v>
      </c>
      <c r="L1097" vm="13073">
        <f ca="1"/>
        <v>131.18</v>
      </c>
      <c r="M1097" vm="13074">
        <f ca="1"/>
        <v>394.5</v>
      </c>
      <c r="N1097" vm="13075">
        <f ca="1"/>
        <v>4186.72</v>
      </c>
    </row>
    <row r="1098" spans="2:14" x14ac:dyDescent="0.35">
      <c r="B1098" vm="13076">
        <f ca="1"/>
        <v>44314</v>
      </c>
      <c r="C1098" vm="13077">
        <f ca="1"/>
        <v>117.952</v>
      </c>
      <c r="D1098" vm="13078">
        <f ca="1"/>
        <v>172.92500000000001</v>
      </c>
      <c r="E1098" vm="13079">
        <f ca="1"/>
        <v>91.35</v>
      </c>
      <c r="F1098" vm="13080">
        <f ca="1"/>
        <v>707.38</v>
      </c>
      <c r="G1098" vm="13081">
        <f ca="1"/>
        <v>222.87</v>
      </c>
      <c r="H1098" vm="13082">
        <f ca="1"/>
        <v>395.65</v>
      </c>
      <c r="I1098" vm="13083">
        <f ca="1"/>
        <v>77.09</v>
      </c>
      <c r="J1098" vm="13084">
        <f ca="1"/>
        <v>27.36</v>
      </c>
      <c r="K1098" vm="13085">
        <f ca="1"/>
        <v>15.2768</v>
      </c>
      <c r="L1098" vm="13086">
        <f ca="1"/>
        <v>131.4</v>
      </c>
      <c r="M1098" vm="13087">
        <f ca="1"/>
        <v>394.59</v>
      </c>
      <c r="N1098" vm="13088">
        <f ca="1"/>
        <v>4183.18</v>
      </c>
    </row>
    <row r="1099" spans="2:14" x14ac:dyDescent="0.35">
      <c r="B1099" vm="13089">
        <f ca="1"/>
        <v>44315</v>
      </c>
      <c r="C1099" vm="13090">
        <f ca="1"/>
        <v>119.63800000000001</v>
      </c>
      <c r="D1099" vm="13091">
        <f ca="1"/>
        <v>173.56549999999999</v>
      </c>
      <c r="E1099" vm="13092">
        <f ca="1"/>
        <v>93.38</v>
      </c>
      <c r="F1099" vm="13093">
        <f ca="1"/>
        <v>706.08</v>
      </c>
      <c r="G1099" vm="13094">
        <f ca="1"/>
        <v>223.9</v>
      </c>
      <c r="H1099" vm="13095">
        <f ca="1"/>
        <v>388.95</v>
      </c>
      <c r="I1099" vm="9467">
        <f ca="1"/>
        <v>77.22</v>
      </c>
      <c r="J1099" vm="13096">
        <f ca="1"/>
        <v>27.82</v>
      </c>
      <c r="K1099" vm="13097">
        <f ca="1"/>
        <v>15.3248</v>
      </c>
      <c r="L1099" vm="13098">
        <f ca="1"/>
        <v>132.51</v>
      </c>
      <c r="M1099" vm="13099">
        <f ca="1"/>
        <v>401.55</v>
      </c>
      <c r="N1099" vm="13100">
        <f ca="1"/>
        <v>4211.47</v>
      </c>
    </row>
    <row r="1100" spans="2:14" x14ac:dyDescent="0.35">
      <c r="B1100" vm="13101">
        <f ca="1"/>
        <v>44316</v>
      </c>
      <c r="C1100" vm="13102">
        <f ca="1"/>
        <v>117.675</v>
      </c>
      <c r="D1100" vm="13103">
        <f ca="1"/>
        <v>173.37100000000001</v>
      </c>
      <c r="E1100" vm="13104">
        <f ca="1"/>
        <v>93.64</v>
      </c>
      <c r="F1100" vm="13105">
        <f ca="1"/>
        <v>720.76</v>
      </c>
      <c r="G1100" vm="13106">
        <f ca="1"/>
        <v>223.04</v>
      </c>
      <c r="H1100" vm="13107">
        <f ca="1"/>
        <v>382.06</v>
      </c>
      <c r="I1100" vm="13108">
        <f ca="1"/>
        <v>77.510000000000005</v>
      </c>
      <c r="J1100" vm="12771">
        <f ca="1"/>
        <v>27.05</v>
      </c>
      <c r="K1100" vm="13109">
        <f ca="1"/>
        <v>15.009499999999999</v>
      </c>
      <c r="L1100" vm="13110">
        <f ca="1"/>
        <v>133.41999999999999</v>
      </c>
      <c r="M1100" vm="13111">
        <f ca="1"/>
        <v>398.8</v>
      </c>
      <c r="N1100" vm="13112">
        <f ca="1"/>
        <v>4181.17</v>
      </c>
    </row>
    <row r="1101" spans="2:14" x14ac:dyDescent="0.35">
      <c r="B1101" vm="13113">
        <f ca="1"/>
        <v>44319</v>
      </c>
      <c r="C1101" vm="13114">
        <f ca="1"/>
        <v>117.154</v>
      </c>
      <c r="D1101" vm="13115">
        <f ca="1"/>
        <v>169.3245</v>
      </c>
      <c r="E1101" vm="11982">
        <f ca="1"/>
        <v>93.26</v>
      </c>
      <c r="F1101" vm="13116">
        <f ca="1"/>
        <v>711.05</v>
      </c>
      <c r="G1101" vm="13117">
        <f ca="1"/>
        <v>223.2</v>
      </c>
      <c r="H1101" vm="13118">
        <f ca="1"/>
        <v>379.4</v>
      </c>
      <c r="I1101" vm="13119">
        <f ca="1"/>
        <v>76.7</v>
      </c>
      <c r="J1101" vm="13120">
        <f ca="1"/>
        <v>28.22</v>
      </c>
      <c r="K1101" vm="13121">
        <f ca="1"/>
        <v>14.8368</v>
      </c>
      <c r="L1101" vm="13122">
        <f ca="1"/>
        <v>135</v>
      </c>
      <c r="M1101" vm="13123">
        <f ca="1"/>
        <v>405.9</v>
      </c>
      <c r="N1101" vm="13124">
        <f ca="1"/>
        <v>4192.66</v>
      </c>
    </row>
    <row r="1102" spans="2:14" x14ac:dyDescent="0.35">
      <c r="B1102" vm="13125">
        <f ca="1"/>
        <v>44320</v>
      </c>
      <c r="C1102" vm="13126">
        <f ca="1"/>
        <v>115.3415</v>
      </c>
      <c r="D1102" vm="13127">
        <f ca="1"/>
        <v>165.59350000000001</v>
      </c>
      <c r="E1102" vm="13128">
        <f ca="1"/>
        <v>93.65</v>
      </c>
      <c r="F1102" vm="13129">
        <f ca="1"/>
        <v>693</v>
      </c>
      <c r="G1102" vm="3691">
        <f ca="1"/>
        <v>225.43</v>
      </c>
      <c r="H1102" vm="13130">
        <f ca="1"/>
        <v>375.91</v>
      </c>
      <c r="I1102" vm="13131">
        <f ca="1"/>
        <v>75.69</v>
      </c>
      <c r="J1102" vm="13132">
        <f ca="1"/>
        <v>28.39</v>
      </c>
      <c r="K1102" vm="13133">
        <f ca="1"/>
        <v>14.3513</v>
      </c>
      <c r="L1102" vm="13134">
        <f ca="1"/>
        <v>134.54</v>
      </c>
      <c r="M1102" vm="13135">
        <f ca="1"/>
        <v>411.34</v>
      </c>
      <c r="N1102" vm="13136">
        <f ca="1"/>
        <v>4164.66</v>
      </c>
    </row>
    <row r="1103" spans="2:14" x14ac:dyDescent="0.35">
      <c r="B1103" vm="13137">
        <f ca="1"/>
        <v>44321</v>
      </c>
      <c r="C1103" vm="13138">
        <f ca="1"/>
        <v>115.7385</v>
      </c>
      <c r="D1103" vm="13139">
        <f ca="1"/>
        <v>163.52699999999999</v>
      </c>
      <c r="E1103" vm="13140">
        <f ca="1"/>
        <v>92.87</v>
      </c>
      <c r="F1103" vm="13141">
        <f ca="1"/>
        <v>699.08</v>
      </c>
      <c r="G1103" vm="13142">
        <f ca="1"/>
        <v>226.19</v>
      </c>
      <c r="H1103" vm="13143">
        <f ca="1"/>
        <v>369.14</v>
      </c>
      <c r="I1103" vm="13144">
        <f ca="1"/>
        <v>73.78</v>
      </c>
      <c r="J1103" vm="13145">
        <f ca="1"/>
        <v>30.34</v>
      </c>
      <c r="K1103" vm="13146">
        <f ca="1"/>
        <v>14.458500000000001</v>
      </c>
      <c r="L1103" vm="13147">
        <f ca="1"/>
        <v>133.46</v>
      </c>
      <c r="M1103" vm="13148">
        <f ca="1"/>
        <v>412.5</v>
      </c>
      <c r="N1103" vm="13149">
        <f ca="1"/>
        <v>4167.59</v>
      </c>
    </row>
    <row r="1104" spans="2:14" x14ac:dyDescent="0.35">
      <c r="B1104" vm="13150">
        <f ca="1"/>
        <v>44322</v>
      </c>
      <c r="C1104" vm="13151">
        <f ca="1"/>
        <v>116.86750000000001</v>
      </c>
      <c r="D1104" vm="13152">
        <f ca="1"/>
        <v>165.3185</v>
      </c>
      <c r="E1104" vm="12213">
        <f ca="1"/>
        <v>90.56</v>
      </c>
      <c r="F1104" vm="13153">
        <f ca="1"/>
        <v>713.45</v>
      </c>
      <c r="G1104" vm="13154">
        <f ca="1"/>
        <v>228.66</v>
      </c>
      <c r="H1104" vm="13155">
        <f ca="1"/>
        <v>375.48</v>
      </c>
      <c r="I1104" vm="11632">
        <f ca="1"/>
        <v>74.010000000000005</v>
      </c>
      <c r="J1104" vm="13156">
        <f ca="1"/>
        <v>30.73</v>
      </c>
      <c r="K1104" vm="13157">
        <f ca="1"/>
        <v>14.523</v>
      </c>
      <c r="L1104" vm="13158">
        <f ca="1"/>
        <v>135.13999999999999</v>
      </c>
      <c r="M1104" vm="13159">
        <f ca="1"/>
        <v>414.97</v>
      </c>
      <c r="N1104" vm="13160">
        <f ca="1"/>
        <v>4201.62</v>
      </c>
    </row>
    <row r="1105" spans="2:14" x14ac:dyDescent="0.35">
      <c r="B1105" vm="13161">
        <f ca="1"/>
        <v>44323</v>
      </c>
      <c r="C1105" vm="13162">
        <f ca="1"/>
        <v>117.59650000000001</v>
      </c>
      <c r="D1105" vm="13163">
        <f ca="1"/>
        <v>164.5805</v>
      </c>
      <c r="E1105" vm="12943">
        <f ca="1"/>
        <v>90.7</v>
      </c>
      <c r="F1105" vm="13164">
        <f ca="1"/>
        <v>720</v>
      </c>
      <c r="G1105" vm="3892">
        <f ca="1"/>
        <v>228.79</v>
      </c>
      <c r="H1105" vm="13165">
        <f ca="1"/>
        <v>375.4</v>
      </c>
      <c r="I1105" vm="9536">
        <f ca="1"/>
        <v>74.53</v>
      </c>
      <c r="J1105" vm="8515">
        <f ca="1"/>
        <v>31.89</v>
      </c>
      <c r="K1105" vm="13166">
        <f ca="1"/>
        <v>14.8123</v>
      </c>
      <c r="L1105" vm="13167">
        <f ca="1"/>
        <v>135.15</v>
      </c>
      <c r="M1105" vm="13168">
        <f ca="1"/>
        <v>417.65</v>
      </c>
      <c r="N1105" vm="13169">
        <f ca="1"/>
        <v>4232.6000000000004</v>
      </c>
    </row>
    <row r="1106" spans="2:14" x14ac:dyDescent="0.35">
      <c r="B1106" vm="13170">
        <f ca="1"/>
        <v>44326</v>
      </c>
      <c r="C1106" vm="13171">
        <f ca="1"/>
        <v>114.58750000000001</v>
      </c>
      <c r="D1106" vm="13172">
        <f ca="1"/>
        <v>159.52449999999999</v>
      </c>
      <c r="E1106" vm="13173">
        <f ca="1"/>
        <v>89.87</v>
      </c>
      <c r="F1106" vm="13174">
        <f ca="1"/>
        <v>718.04</v>
      </c>
      <c r="G1106" vm="13175">
        <f ca="1"/>
        <v>230.94</v>
      </c>
      <c r="H1106" vm="13176">
        <f ca="1"/>
        <v>366.34</v>
      </c>
      <c r="I1106" vm="3187">
        <f ca="1"/>
        <v>74.8</v>
      </c>
      <c r="J1106" vm="13177">
        <f ca="1"/>
        <v>31.63</v>
      </c>
      <c r="K1106" vm="13178">
        <f ca="1"/>
        <v>14.2658</v>
      </c>
      <c r="L1106" vm="13179">
        <f ca="1"/>
        <v>137.66999999999999</v>
      </c>
      <c r="M1106" vm="13180">
        <f ca="1"/>
        <v>420.89</v>
      </c>
      <c r="N1106" vm="13181">
        <f ca="1"/>
        <v>4188.43</v>
      </c>
    </row>
    <row r="1107" spans="2:14" x14ac:dyDescent="0.35">
      <c r="B1107" vm="13182">
        <f ca="1"/>
        <v>44327</v>
      </c>
      <c r="C1107" vm="13183">
        <f ca="1"/>
        <v>113.503</v>
      </c>
      <c r="D1107" vm="13184">
        <f ca="1"/>
        <v>161.19550000000001</v>
      </c>
      <c r="E1107" vm="769">
        <f ca="1"/>
        <v>90.6</v>
      </c>
      <c r="F1107" vm="13185">
        <f ca="1"/>
        <v>705.36</v>
      </c>
      <c r="G1107" vm="13186">
        <f ca="1"/>
        <v>229.16</v>
      </c>
      <c r="H1107" vm="13187">
        <f ca="1"/>
        <v>367.61</v>
      </c>
      <c r="I1107" vm="13188">
        <f ca="1"/>
        <v>74.069999999999993</v>
      </c>
      <c r="J1107" vm="13189">
        <f ca="1"/>
        <v>31.26</v>
      </c>
      <c r="K1107" vm="13190">
        <f ca="1"/>
        <v>14.3063</v>
      </c>
      <c r="L1107" vm="13191">
        <f ca="1"/>
        <v>136.99</v>
      </c>
      <c r="M1107" vm="13192">
        <f ca="1"/>
        <v>411.7</v>
      </c>
      <c r="N1107" vm="13193">
        <f ca="1"/>
        <v>4152.1000000000004</v>
      </c>
    </row>
    <row r="1108" spans="2:14" x14ac:dyDescent="0.35">
      <c r="B1108" vm="13194">
        <f ca="1"/>
        <v>44328</v>
      </c>
      <c r="C1108" vm="13195">
        <f ca="1"/>
        <v>110.0125</v>
      </c>
      <c r="D1108" vm="13196">
        <f ca="1"/>
        <v>157.59700000000001</v>
      </c>
      <c r="E1108" vm="13197">
        <f ca="1"/>
        <v>87.83</v>
      </c>
      <c r="F1108" vm="13198">
        <f ca="1"/>
        <v>715.43</v>
      </c>
      <c r="G1108" vm="13199">
        <f ca="1"/>
        <v>220.04</v>
      </c>
      <c r="H1108" vm="13200">
        <f ca="1"/>
        <v>356.62</v>
      </c>
      <c r="I1108" vm="13201">
        <f ca="1"/>
        <v>71.540000000000006</v>
      </c>
      <c r="J1108" vm="13202">
        <f ca="1"/>
        <v>32.1</v>
      </c>
      <c r="K1108" vm="13203">
        <f ca="1"/>
        <v>13.7585</v>
      </c>
      <c r="L1108" vm="13204">
        <f ca="1"/>
        <v>135.54</v>
      </c>
      <c r="M1108" vm="13205">
        <f ca="1"/>
        <v>405.37</v>
      </c>
      <c r="N1108" vm="13206">
        <f ca="1"/>
        <v>4063.04</v>
      </c>
    </row>
    <row r="1109" spans="2:14" x14ac:dyDescent="0.35">
      <c r="B1109" vm="13207">
        <f ca="1"/>
        <v>44329</v>
      </c>
      <c r="C1109" vm="13208">
        <f ca="1"/>
        <v>111.452</v>
      </c>
      <c r="D1109" vm="13209">
        <f ca="1"/>
        <v>158.0735</v>
      </c>
      <c r="E1109" vm="13210">
        <f ca="1"/>
        <v>88.46</v>
      </c>
      <c r="F1109" vm="13211">
        <f ca="1"/>
        <v>722.02</v>
      </c>
      <c r="G1109" vm="13212">
        <f ca="1"/>
        <v>223.68</v>
      </c>
      <c r="H1109" vm="13213">
        <f ca="1"/>
        <v>360.02</v>
      </c>
      <c r="I1109" vm="13214">
        <f ca="1"/>
        <v>72.63</v>
      </c>
      <c r="J1109" vm="8384">
        <f ca="1"/>
        <v>31.76</v>
      </c>
      <c r="K1109" vm="13215">
        <f ca="1"/>
        <v>13.6653</v>
      </c>
      <c r="L1109" vm="12107">
        <f ca="1"/>
        <v>137.72</v>
      </c>
      <c r="M1109" vm="13216">
        <f ca="1"/>
        <v>408.56</v>
      </c>
      <c r="N1109" vm="13217">
        <f ca="1"/>
        <v>4112.5</v>
      </c>
    </row>
    <row r="1110" spans="2:14" x14ac:dyDescent="0.35">
      <c r="B1110" vm="13218">
        <f ca="1"/>
        <v>44330</v>
      </c>
      <c r="C1110" vm="13219">
        <f ca="1"/>
        <v>113.919</v>
      </c>
      <c r="D1110" vm="13220">
        <f ca="1"/>
        <v>161.14500000000001</v>
      </c>
      <c r="E1110" vm="13221">
        <f ca="1"/>
        <v>89.1</v>
      </c>
      <c r="F1110" vm="13222">
        <f ca="1"/>
        <v>715.03</v>
      </c>
      <c r="G1110" vm="13223">
        <f ca="1"/>
        <v>227.36</v>
      </c>
      <c r="H1110" vm="13224">
        <f ca="1"/>
        <v>363.91</v>
      </c>
      <c r="I1110" vm="13225">
        <f ca="1"/>
        <v>73.12</v>
      </c>
      <c r="J1110" vm="8491">
        <f ca="1"/>
        <v>32.81</v>
      </c>
      <c r="K1110" vm="13226">
        <f ca="1"/>
        <v>14.243</v>
      </c>
      <c r="L1110" vm="11365">
        <f ca="1"/>
        <v>138.01</v>
      </c>
      <c r="M1110" vm="13227">
        <f ca="1"/>
        <v>409.8</v>
      </c>
      <c r="N1110" vm="13228">
        <f ca="1"/>
        <v>4173.8500000000004</v>
      </c>
    </row>
    <row r="1111" spans="2:14" x14ac:dyDescent="0.35">
      <c r="B1111" vm="13229">
        <f ca="1"/>
        <v>44333</v>
      </c>
      <c r="C1111" vm="13230">
        <f ca="1"/>
        <v>114.446</v>
      </c>
      <c r="D1111" vm="13231">
        <f ca="1"/>
        <v>163.51949999999999</v>
      </c>
      <c r="E1111" vm="13232">
        <f ca="1"/>
        <v>88.63</v>
      </c>
      <c r="F1111" vm="13233">
        <f ca="1"/>
        <v>715.33</v>
      </c>
      <c r="G1111" vm="13234">
        <f ca="1"/>
        <v>226.47</v>
      </c>
      <c r="H1111" vm="12873">
        <f ca="1"/>
        <v>363.3</v>
      </c>
      <c r="I1111" vm="13235">
        <f ca="1"/>
        <v>71.900000000000006</v>
      </c>
      <c r="J1111" vm="13236">
        <f ca="1"/>
        <v>34.049999999999997</v>
      </c>
      <c r="K1111" vm="13237">
        <f ca="1"/>
        <v>14.1655</v>
      </c>
      <c r="L1111" vm="13238">
        <f ca="1"/>
        <v>137.72999999999999</v>
      </c>
      <c r="M1111" vm="13239">
        <f ca="1"/>
        <v>408.63</v>
      </c>
      <c r="N1111" vm="13240">
        <f ca="1"/>
        <v>4163.29</v>
      </c>
    </row>
    <row r="1112" spans="2:14" x14ac:dyDescent="0.35">
      <c r="B1112" vm="13241">
        <f ca="1"/>
        <v>44334</v>
      </c>
      <c r="C1112" vm="13242">
        <f ca="1"/>
        <v>113.12350000000001</v>
      </c>
      <c r="D1112" vm="13243">
        <f ca="1"/>
        <v>161.614</v>
      </c>
      <c r="E1112" vm="13244">
        <f ca="1"/>
        <v>87.05</v>
      </c>
      <c r="F1112" vm="13245">
        <f ca="1"/>
        <v>715.36</v>
      </c>
      <c r="G1112" vm="13246">
        <f ca="1"/>
        <v>222.32</v>
      </c>
      <c r="H1112" vm="13247">
        <f ca="1"/>
        <v>363.07</v>
      </c>
      <c r="I1112" vm="8532">
        <f ca="1"/>
        <v>72.290000000000006</v>
      </c>
      <c r="J1112" vm="13248">
        <f ca="1"/>
        <v>33.07</v>
      </c>
      <c r="K1112" vm="13249">
        <f ca="1"/>
        <v>14.0158</v>
      </c>
      <c r="L1112" vm="13250">
        <f ca="1"/>
        <v>136.32</v>
      </c>
      <c r="M1112" vm="13251">
        <f ca="1"/>
        <v>410.38</v>
      </c>
      <c r="N1112" vm="13252">
        <f ca="1"/>
        <v>4127.83</v>
      </c>
    </row>
    <row r="1113" spans="2:14" x14ac:dyDescent="0.35">
      <c r="B1113" vm="13253">
        <f ca="1"/>
        <v>44335</v>
      </c>
      <c r="C1113" vm="13254">
        <f ca="1"/>
        <v>113.575</v>
      </c>
      <c r="D1113" vm="13255">
        <f ca="1"/>
        <v>161.59</v>
      </c>
      <c r="E1113" vm="5285">
        <f ca="1"/>
        <v>85.82</v>
      </c>
      <c r="F1113" vm="11822">
        <f ca="1"/>
        <v>728.12</v>
      </c>
      <c r="G1113" vm="13256">
        <f ca="1"/>
        <v>221.32</v>
      </c>
      <c r="H1113" vm="13257">
        <f ca="1"/>
        <v>360.98</v>
      </c>
      <c r="I1113" vm="13258">
        <f ca="1"/>
        <v>72.66</v>
      </c>
      <c r="J1113" vm="13259">
        <f ca="1"/>
        <v>32</v>
      </c>
      <c r="K1113" vm="13260">
        <f ca="1"/>
        <v>14.065799999999999</v>
      </c>
      <c r="L1113" vm="13261">
        <f ca="1"/>
        <v>136.6</v>
      </c>
      <c r="M1113" vm="13262">
        <f ca="1"/>
        <v>409.5</v>
      </c>
      <c r="N1113" vm="13263">
        <f ca="1"/>
        <v>4115.68</v>
      </c>
    </row>
    <row r="1114" spans="2:14" x14ac:dyDescent="0.35">
      <c r="B1114" vm="13264">
        <f ca="1"/>
        <v>44336</v>
      </c>
      <c r="C1114" vm="13265">
        <f ca="1"/>
        <v>115.3475</v>
      </c>
      <c r="D1114" vm="13266">
        <f ca="1"/>
        <v>162.38399999999999</v>
      </c>
      <c r="E1114" vm="13267">
        <f ca="1"/>
        <v>87.28</v>
      </c>
      <c r="F1114" vm="13268">
        <f ca="1"/>
        <v>725.22</v>
      </c>
      <c r="G1114" vm="13269">
        <f ca="1"/>
        <v>222.13</v>
      </c>
      <c r="H1114" vm="13270">
        <f ca="1"/>
        <v>367.7</v>
      </c>
      <c r="I1114" vm="4263">
        <f ca="1"/>
        <v>74.290000000000006</v>
      </c>
      <c r="J1114" vm="13271">
        <f ca="1"/>
        <v>31.77</v>
      </c>
      <c r="K1114" vm="13272">
        <f ca="1"/>
        <v>14.612500000000001</v>
      </c>
      <c r="L1114" vm="13273">
        <f ca="1"/>
        <v>138</v>
      </c>
      <c r="M1114" vm="13274">
        <f ca="1"/>
        <v>408.64</v>
      </c>
      <c r="N1114" vm="13275">
        <f ca="1"/>
        <v>4159.12</v>
      </c>
    </row>
    <row r="1115" spans="2:14" x14ac:dyDescent="0.35">
      <c r="B1115" vm="13276">
        <f ca="1"/>
        <v>44337</v>
      </c>
      <c r="C1115" vm="13277">
        <f ca="1"/>
        <v>114.70650000000001</v>
      </c>
      <c r="D1115" vm="13278">
        <f ca="1"/>
        <v>160.154</v>
      </c>
      <c r="E1115" vm="13279">
        <f ca="1"/>
        <v>86.78</v>
      </c>
      <c r="F1115" vm="13280">
        <f ca="1"/>
        <v>723.3</v>
      </c>
      <c r="G1115" vm="13117">
        <f ca="1"/>
        <v>223.2</v>
      </c>
      <c r="H1115" vm="13281">
        <f ca="1"/>
        <v>367.6</v>
      </c>
      <c r="I1115" vm="10917">
        <f ca="1"/>
        <v>74.44</v>
      </c>
      <c r="J1115" vm="8502">
        <f ca="1"/>
        <v>31.95</v>
      </c>
      <c r="K1115" vm="13282">
        <f ca="1"/>
        <v>14.9918</v>
      </c>
      <c r="L1115" vm="13273">
        <f ca="1"/>
        <v>138</v>
      </c>
      <c r="M1115" vm="13283">
        <f ca="1"/>
        <v>411.63</v>
      </c>
      <c r="N1115" vm="13284">
        <f ca="1"/>
        <v>4155.8599999999997</v>
      </c>
    </row>
    <row r="1116" spans="2:14" x14ac:dyDescent="0.35">
      <c r="B1116" vm="13285">
        <f ca="1"/>
        <v>44340</v>
      </c>
      <c r="C1116" vm="13286">
        <f ca="1"/>
        <v>118.05200000000001</v>
      </c>
      <c r="D1116" vm="13287">
        <f ca="1"/>
        <v>162.24950000000001</v>
      </c>
      <c r="E1116" vm="13288">
        <f ca="1"/>
        <v>87.11</v>
      </c>
      <c r="F1116" vm="13289">
        <f ca="1"/>
        <v>735.26</v>
      </c>
      <c r="G1116" vm="8312">
        <f ca="1"/>
        <v>225</v>
      </c>
      <c r="H1116" vm="13290">
        <f ca="1"/>
        <v>372.38</v>
      </c>
      <c r="I1116" vm="4288">
        <f ca="1"/>
        <v>74.03</v>
      </c>
      <c r="J1116" vm="13291">
        <f ca="1"/>
        <v>31.7</v>
      </c>
      <c r="K1116" vm="13292">
        <f ca="1"/>
        <v>15.612</v>
      </c>
      <c r="L1116" vm="11182">
        <f ca="1"/>
        <v>137.96</v>
      </c>
      <c r="M1116" vm="13293">
        <f ca="1"/>
        <v>410.95</v>
      </c>
      <c r="N1116" vm="13294">
        <f ca="1"/>
        <v>4197.05</v>
      </c>
    </row>
    <row r="1117" spans="2:14" x14ac:dyDescent="0.35">
      <c r="B1117" vm="13295">
        <f ca="1"/>
        <v>44341</v>
      </c>
      <c r="C1117" vm="13296">
        <f ca="1"/>
        <v>118.1435</v>
      </c>
      <c r="D1117" vm="13297">
        <f ca="1"/>
        <v>162.95249999999999</v>
      </c>
      <c r="E1117" vm="1207">
        <f ca="1"/>
        <v>85.87</v>
      </c>
      <c r="F1117" vm="13298">
        <f ca="1"/>
        <v>735.39</v>
      </c>
      <c r="G1117" vm="13299">
        <f ca="1"/>
        <v>224.04</v>
      </c>
      <c r="H1117" vm="13300">
        <f ca="1"/>
        <v>367.22</v>
      </c>
      <c r="I1117" vm="4207">
        <f ca="1"/>
        <v>73.37</v>
      </c>
      <c r="J1117" vm="13301">
        <f ca="1"/>
        <v>31.24</v>
      </c>
      <c r="K1117" vm="13302">
        <f ca="1"/>
        <v>15.6478</v>
      </c>
      <c r="L1117" vm="13303">
        <f ca="1"/>
        <v>138.43</v>
      </c>
      <c r="M1117" vm="13304">
        <f ca="1"/>
        <v>413.05</v>
      </c>
      <c r="N1117" vm="13305">
        <f ca="1"/>
        <v>4188.13</v>
      </c>
    </row>
    <row r="1118" spans="2:14" x14ac:dyDescent="0.35">
      <c r="B1118" vm="13306">
        <f ca="1"/>
        <v>44342</v>
      </c>
      <c r="C1118" vm="13307">
        <f ca="1"/>
        <v>119.0155</v>
      </c>
      <c r="D1118" vm="13308">
        <f ca="1"/>
        <v>163.25800000000001</v>
      </c>
      <c r="E1118" vm="11358">
        <f ca="1"/>
        <v>82.24</v>
      </c>
      <c r="F1118" vm="13309">
        <f ca="1"/>
        <v>735.09</v>
      </c>
      <c r="G1118" vm="13310">
        <f ca="1"/>
        <v>224.27</v>
      </c>
      <c r="H1118" vm="13311">
        <f ca="1"/>
        <v>362.65</v>
      </c>
      <c r="I1118" vm="13312">
        <f ca="1"/>
        <v>73.47</v>
      </c>
      <c r="J1118" vm="13313">
        <f ca="1"/>
        <v>31.55</v>
      </c>
      <c r="K1118" vm="13314">
        <f ca="1"/>
        <v>15.7</v>
      </c>
      <c r="L1118" vm="11412">
        <f ca="1"/>
        <v>138.12</v>
      </c>
      <c r="M1118" vm="13315">
        <f ca="1"/>
        <v>413.21</v>
      </c>
      <c r="N1118" vm="13316">
        <f ca="1"/>
        <v>4195.99</v>
      </c>
    </row>
    <row r="1119" spans="2:14" x14ac:dyDescent="0.35">
      <c r="B1119" vm="13317">
        <f ca="1"/>
        <v>44343</v>
      </c>
      <c r="C1119" vm="13318">
        <f ca="1"/>
        <v>118.134</v>
      </c>
      <c r="D1119" vm="13319">
        <f ca="1"/>
        <v>161.50550000000001</v>
      </c>
      <c r="E1119" vm="5155">
        <f ca="1"/>
        <v>82.65</v>
      </c>
      <c r="F1119" vm="13320">
        <f ca="1"/>
        <v>736.72</v>
      </c>
      <c r="G1119" vm="13321">
        <f ca="1"/>
        <v>231.27</v>
      </c>
      <c r="H1119" vm="13322">
        <f ca="1"/>
        <v>362</v>
      </c>
      <c r="I1119" vm="4045">
        <f ca="1"/>
        <v>73</v>
      </c>
      <c r="J1119" vm="13323">
        <f ca="1"/>
        <v>31.34</v>
      </c>
      <c r="K1119" vm="13324">
        <f ca="1"/>
        <v>15.488</v>
      </c>
      <c r="L1119" vm="13325">
        <f ca="1"/>
        <v>134.97999999999999</v>
      </c>
      <c r="M1119" vm="13326">
        <f ca="1"/>
        <v>412.7</v>
      </c>
      <c r="N1119" vm="13327">
        <f ca="1"/>
        <v>4200.88</v>
      </c>
    </row>
    <row r="1120" spans="2:14" x14ac:dyDescent="0.35">
      <c r="B1120" vm="13328">
        <f ca="1"/>
        <v>44344</v>
      </c>
      <c r="C1120" vm="13329">
        <f ca="1"/>
        <v>117.8425</v>
      </c>
      <c r="D1120" vm="13330">
        <f ca="1"/>
        <v>161.15350000000001</v>
      </c>
      <c r="E1120" vm="367">
        <f ca="1"/>
        <v>82.16</v>
      </c>
      <c r="F1120" vm="13331">
        <f ca="1"/>
        <v>739.42</v>
      </c>
      <c r="G1120" vm="13332">
        <f ca="1"/>
        <v>230.91</v>
      </c>
      <c r="H1120" vm="13333">
        <f ca="1"/>
        <v>360.58</v>
      </c>
      <c r="I1120" vm="13334">
        <f ca="1"/>
        <v>73.22</v>
      </c>
      <c r="J1120" vm="13335">
        <f ca="1"/>
        <v>31.33</v>
      </c>
      <c r="K1120" vm="13336">
        <f ca="1"/>
        <v>16.244499999999999</v>
      </c>
      <c r="L1120" vm="9682">
        <f ca="1"/>
        <v>134.85</v>
      </c>
      <c r="M1120" vm="13337">
        <f ca="1"/>
        <v>411.92</v>
      </c>
      <c r="N1120" vm="13338">
        <f ca="1"/>
        <v>4204.1099999999997</v>
      </c>
    </row>
    <row r="1121" spans="2:14" x14ac:dyDescent="0.35">
      <c r="B1121" vm="13339">
        <f ca="1"/>
        <v>44348</v>
      </c>
      <c r="C1121" vm="13340">
        <f ca="1"/>
        <v>119.059</v>
      </c>
      <c r="D1121" vm="13341">
        <f ca="1"/>
        <v>160.9325</v>
      </c>
      <c r="E1121" vm="13342">
        <f ca="1"/>
        <v>82.22</v>
      </c>
      <c r="F1121" vm="13343">
        <f ca="1"/>
        <v>758.13</v>
      </c>
      <c r="G1121" vm="13344">
        <f ca="1"/>
        <v>232.95</v>
      </c>
      <c r="H1121" vm="13345">
        <f ca="1"/>
        <v>359.79</v>
      </c>
      <c r="I1121" vm="13346">
        <f ca="1"/>
        <v>72.12</v>
      </c>
      <c r="J1121" vm="13347">
        <f ca="1"/>
        <v>32.93</v>
      </c>
      <c r="K1121" vm="13348">
        <f ca="1"/>
        <v>16.264500000000002</v>
      </c>
      <c r="L1121" vm="13349">
        <f ca="1"/>
        <v>132.88</v>
      </c>
      <c r="M1121" vm="13350">
        <f ca="1"/>
        <v>406.72</v>
      </c>
      <c r="N1121" vm="13351">
        <f ca="1"/>
        <v>4202.04</v>
      </c>
    </row>
    <row r="1122" spans="2:14" x14ac:dyDescent="0.35">
      <c r="B1122" vm="13352">
        <f ca="1"/>
        <v>44349</v>
      </c>
      <c r="C1122" vm="13353">
        <f ca="1"/>
        <v>118.5295</v>
      </c>
      <c r="D1122" vm="13354">
        <f ca="1"/>
        <v>161.6995</v>
      </c>
      <c r="E1122" vm="13355">
        <f ca="1"/>
        <v>81.81</v>
      </c>
      <c r="F1122" vm="13356">
        <f ca="1"/>
        <v>777.04</v>
      </c>
      <c r="G1122" vm="13357">
        <f ca="1"/>
        <v>230.74</v>
      </c>
      <c r="H1122" vm="13358">
        <f ca="1"/>
        <v>366.85</v>
      </c>
      <c r="I1122" vm="13359">
        <f ca="1"/>
        <v>72.709999999999994</v>
      </c>
      <c r="J1122" vm="7891">
        <f ca="1"/>
        <v>35.46</v>
      </c>
      <c r="K1122" vm="13360">
        <f ca="1"/>
        <v>16.778300000000002</v>
      </c>
      <c r="L1122" vm="13147">
        <f ca="1"/>
        <v>133.46</v>
      </c>
      <c r="M1122" vm="13361">
        <f ca="1"/>
        <v>405.85</v>
      </c>
      <c r="N1122" vm="13362">
        <f ca="1"/>
        <v>4208.12</v>
      </c>
    </row>
    <row r="1123" spans="2:14" x14ac:dyDescent="0.35">
      <c r="B1123" vm="13363">
        <f ca="1"/>
        <v>44350</v>
      </c>
      <c r="C1123" vm="13364">
        <f ca="1"/>
        <v>117.379</v>
      </c>
      <c r="D1123" vm="13365">
        <f ca="1"/>
        <v>159.35050000000001</v>
      </c>
      <c r="E1123" vm="13366">
        <f ca="1"/>
        <v>83.37</v>
      </c>
      <c r="F1123" vm="13367">
        <f ca="1"/>
        <v>785.39</v>
      </c>
      <c r="G1123" vm="13368">
        <f ca="1"/>
        <v>229.2</v>
      </c>
      <c r="H1123" vm="13369">
        <f ca="1"/>
        <v>361.82</v>
      </c>
      <c r="I1123" vm="4181">
        <f ca="1"/>
        <v>72.37</v>
      </c>
      <c r="J1123" vm="13370">
        <f ca="1"/>
        <v>36.520000000000003</v>
      </c>
      <c r="K1123" vm="13371">
        <f ca="1"/>
        <v>16.969799999999999</v>
      </c>
      <c r="L1123" vm="12011">
        <f ca="1"/>
        <v>135.85</v>
      </c>
      <c r="M1123" vm="13372">
        <f ca="1"/>
        <v>407.96</v>
      </c>
      <c r="N1123" vm="13373">
        <f ca="1"/>
        <v>4192.8500000000004</v>
      </c>
    </row>
    <row r="1124" spans="2:14" x14ac:dyDescent="0.35">
      <c r="B1124" vm="13374">
        <f ca="1"/>
        <v>44351</v>
      </c>
      <c r="C1124" vm="13375">
        <f ca="1"/>
        <v>119.6785</v>
      </c>
      <c r="D1124" vm="13376">
        <f ca="1"/>
        <v>160.31100000000001</v>
      </c>
      <c r="E1124" vm="13377">
        <f ca="1"/>
        <v>82.54</v>
      </c>
      <c r="F1124" vm="13378">
        <f ca="1"/>
        <v>795.06</v>
      </c>
      <c r="G1124" vm="13379">
        <f ca="1"/>
        <v>230.05</v>
      </c>
      <c r="H1124" vm="13380">
        <f ca="1"/>
        <v>366.02</v>
      </c>
      <c r="I1124" vm="4102">
        <f ca="1"/>
        <v>72.34</v>
      </c>
      <c r="J1124" vm="13381">
        <f ca="1"/>
        <v>36.42</v>
      </c>
      <c r="K1124" vm="13382">
        <f ca="1"/>
        <v>17.578299999999999</v>
      </c>
      <c r="L1124" vm="13383">
        <f ca="1"/>
        <v>135.94999999999999</v>
      </c>
      <c r="M1124" vm="13384">
        <f ca="1"/>
        <v>405.64</v>
      </c>
      <c r="N1124" vm="13385">
        <f ca="1"/>
        <v>4229.8900000000003</v>
      </c>
    </row>
    <row r="1125" spans="2:14" x14ac:dyDescent="0.35">
      <c r="B1125" vm="13386">
        <f ca="1"/>
        <v>44354</v>
      </c>
      <c r="C1125" vm="13387">
        <f ca="1"/>
        <v>120.11499999999999</v>
      </c>
      <c r="D1125" vm="13388">
        <f ca="1"/>
        <v>159.90049999999999</v>
      </c>
      <c r="E1125" vm="13389">
        <f ca="1"/>
        <v>81.36</v>
      </c>
      <c r="F1125" vm="13390">
        <f ca="1"/>
        <v>816.66</v>
      </c>
      <c r="G1125" vm="13391">
        <f ca="1"/>
        <v>228.19</v>
      </c>
      <c r="H1125" vm="13392">
        <f ca="1"/>
        <v>364.08</v>
      </c>
      <c r="I1125" vm="13393">
        <f ca="1"/>
        <v>72.47</v>
      </c>
      <c r="J1125" vm="13394">
        <f ca="1"/>
        <v>35.83</v>
      </c>
      <c r="K1125" vm="13395">
        <f ca="1"/>
        <v>17.619</v>
      </c>
      <c r="L1125" vm="13396">
        <f ca="1"/>
        <v>136.41999999999999</v>
      </c>
      <c r="M1125" vm="13397">
        <f ca="1"/>
        <v>400.25</v>
      </c>
      <c r="N1125" vm="13398">
        <f ca="1"/>
        <v>4226.5200000000004</v>
      </c>
    </row>
    <row r="1126" spans="2:14" x14ac:dyDescent="0.35">
      <c r="B1126" vm="13399">
        <f ca="1"/>
        <v>44355</v>
      </c>
      <c r="C1126" vm="13400">
        <f ca="1"/>
        <v>119.922</v>
      </c>
      <c r="D1126" vm="13401">
        <f ca="1"/>
        <v>163.2055</v>
      </c>
      <c r="E1126" vm="13402">
        <f ca="1"/>
        <v>80.59</v>
      </c>
      <c r="F1126" vm="13403">
        <f ca="1"/>
        <v>810.01</v>
      </c>
      <c r="G1126" vm="13404">
        <f ca="1"/>
        <v>229.81</v>
      </c>
      <c r="H1126" vm="6277">
        <f ca="1"/>
        <v>365.26</v>
      </c>
      <c r="I1126" vm="7802">
        <f ca="1"/>
        <v>72.14</v>
      </c>
      <c r="J1126" vm="13405">
        <f ca="1"/>
        <v>35.9</v>
      </c>
      <c r="K1126" vm="13406">
        <f ca="1"/>
        <v>17.457000000000001</v>
      </c>
      <c r="L1126" vm="9965">
        <f ca="1"/>
        <v>134.84</v>
      </c>
      <c r="M1126" vm="846">
        <f ca="1"/>
        <v>401.74</v>
      </c>
      <c r="N1126" vm="13407">
        <f ca="1"/>
        <v>4227.26</v>
      </c>
    </row>
    <row r="1127" spans="2:14" x14ac:dyDescent="0.35">
      <c r="B1127" vm="13408">
        <f ca="1"/>
        <v>44356</v>
      </c>
      <c r="C1127" vm="13409">
        <f ca="1"/>
        <v>120.39700000000001</v>
      </c>
      <c r="D1127" vm="13410">
        <f ca="1"/>
        <v>164.0575</v>
      </c>
      <c r="E1127" vm="13411">
        <f ca="1"/>
        <v>80.900000000000006</v>
      </c>
      <c r="F1127" vm="13412">
        <f ca="1"/>
        <v>822.99</v>
      </c>
      <c r="G1127" vm="13413">
        <f ca="1"/>
        <v>227.81</v>
      </c>
      <c r="H1127" vm="13414">
        <f ca="1"/>
        <v>363.33</v>
      </c>
      <c r="I1127" vm="8416">
        <f ca="1"/>
        <v>72.45</v>
      </c>
      <c r="J1127" vm="4619">
        <f ca="1"/>
        <v>35.76</v>
      </c>
      <c r="K1127" vm="13415">
        <f ca="1"/>
        <v>17.3583</v>
      </c>
      <c r="L1127" vm="13416">
        <f ca="1"/>
        <v>134.79</v>
      </c>
      <c r="M1127" vm="13417">
        <f ca="1"/>
        <v>401.1</v>
      </c>
      <c r="N1127" vm="13418">
        <f ca="1"/>
        <v>4219.55</v>
      </c>
    </row>
    <row r="1128" spans="2:14" x14ac:dyDescent="0.35">
      <c r="B1128" vm="13419">
        <f ca="1"/>
        <v>44357</v>
      </c>
      <c r="C1128" vm="13420">
        <f ca="1"/>
        <v>121.7565</v>
      </c>
      <c r="D1128" vm="13421">
        <f ca="1"/>
        <v>167.48249999999999</v>
      </c>
      <c r="E1128" vm="13422">
        <f ca="1"/>
        <v>80.459999999999994</v>
      </c>
      <c r="F1128" vm="13423">
        <f ca="1"/>
        <v>816.04</v>
      </c>
      <c r="G1128" vm="13424">
        <f ca="1"/>
        <v>226.25</v>
      </c>
      <c r="H1128" vm="13425">
        <f ca="1"/>
        <v>364.3</v>
      </c>
      <c r="I1128" vm="13426">
        <f ca="1"/>
        <v>73.510000000000005</v>
      </c>
      <c r="J1128" vm="7383">
        <f ca="1"/>
        <v>34.94</v>
      </c>
      <c r="K1128" vm="13427">
        <f ca="1"/>
        <v>17.425000000000001</v>
      </c>
      <c r="L1128" vm="13428">
        <f ca="1"/>
        <v>135.79</v>
      </c>
      <c r="M1128" vm="13429">
        <f ca="1"/>
        <v>401.49</v>
      </c>
      <c r="N1128" vm="13430">
        <f ca="1"/>
        <v>4239.18</v>
      </c>
    </row>
    <row r="1129" spans="2:14" x14ac:dyDescent="0.35">
      <c r="B1129" vm="13431">
        <f ca="1"/>
        <v>44358</v>
      </c>
      <c r="C1129" vm="1572">
        <f ca="1"/>
        <v>121.51</v>
      </c>
      <c r="D1129" vm="13432">
        <f ca="1"/>
        <v>167.3415</v>
      </c>
      <c r="E1129" vm="13433">
        <f ca="1"/>
        <v>81.53</v>
      </c>
      <c r="F1129" vm="13434">
        <f ca="1"/>
        <v>823.99</v>
      </c>
      <c r="G1129" vm="3424">
        <f ca="1"/>
        <v>225.18</v>
      </c>
      <c r="H1129" vm="13435">
        <f ca="1"/>
        <v>365.5</v>
      </c>
      <c r="I1129" vm="13436">
        <f ca="1"/>
        <v>73.489999999999995</v>
      </c>
      <c r="J1129" vm="13437">
        <f ca="1"/>
        <v>34.89</v>
      </c>
      <c r="K1129" vm="13438">
        <f ca="1"/>
        <v>17.825299999999999</v>
      </c>
      <c r="L1129" vm="13439">
        <f ca="1"/>
        <v>134.86000000000001</v>
      </c>
      <c r="M1129" vm="13440">
        <f ca="1"/>
        <v>397.89</v>
      </c>
      <c r="N1129" vm="13441">
        <f ca="1"/>
        <v>4247.4399999999996</v>
      </c>
    </row>
    <row r="1130" spans="2:14" x14ac:dyDescent="0.35">
      <c r="B1130" vm="13442">
        <f ca="1"/>
        <v>44361</v>
      </c>
      <c r="C1130" vm="13443">
        <f ca="1"/>
        <v>122.4455</v>
      </c>
      <c r="D1130" vm="13444">
        <f ca="1"/>
        <v>169.1935</v>
      </c>
      <c r="E1130" vm="342">
        <f ca="1"/>
        <v>81.12</v>
      </c>
      <c r="F1130" vm="13445">
        <f ca="1"/>
        <v>809</v>
      </c>
      <c r="G1130" vm="13446">
        <f ca="1"/>
        <v>223.17</v>
      </c>
      <c r="H1130" vm="13447">
        <f ca="1"/>
        <v>366.52</v>
      </c>
      <c r="I1130" vm="13448">
        <f ca="1"/>
        <v>73.31</v>
      </c>
      <c r="J1130" vm="13236">
        <f ca="1"/>
        <v>34.049999999999997</v>
      </c>
      <c r="K1130" vm="13449">
        <f ca="1"/>
        <v>18.018799999999999</v>
      </c>
      <c r="L1130" vm="13450">
        <f ca="1"/>
        <v>134.91</v>
      </c>
      <c r="M1130" vm="13451">
        <f ca="1"/>
        <v>399.16</v>
      </c>
      <c r="N1130" vm="13452">
        <f ca="1"/>
        <v>4255.1499999999996</v>
      </c>
    </row>
    <row r="1131" spans="2:14" x14ac:dyDescent="0.35">
      <c r="B1131" vm="13453">
        <f ca="1"/>
        <v>44362</v>
      </c>
      <c r="C1131" vm="13454">
        <f ca="1"/>
        <v>121.4195</v>
      </c>
      <c r="D1131" vm="13455">
        <f ca="1"/>
        <v>169.15649999999999</v>
      </c>
      <c r="E1131" vm="13456">
        <f ca="1"/>
        <v>81.41</v>
      </c>
      <c r="F1131" vm="13457">
        <f ca="1"/>
        <v>809.97</v>
      </c>
      <c r="G1131" vm="13458">
        <f ca="1"/>
        <v>222.5</v>
      </c>
      <c r="H1131" vm="13459">
        <f ca="1"/>
        <v>368.12</v>
      </c>
      <c r="I1131" vm="13460">
        <f ca="1"/>
        <v>73.430000000000007</v>
      </c>
      <c r="J1131" vm="13461">
        <f ca="1"/>
        <v>34.19</v>
      </c>
      <c r="K1131" vm="13462">
        <f ca="1"/>
        <v>17.788499999999999</v>
      </c>
      <c r="L1131" vm="13463">
        <f ca="1"/>
        <v>134.65</v>
      </c>
      <c r="M1131" vm="13464">
        <f ca="1"/>
        <v>400.28</v>
      </c>
      <c r="N1131" vm="13465">
        <f ca="1"/>
        <v>4246.59</v>
      </c>
    </row>
    <row r="1132" spans="2:14" x14ac:dyDescent="0.35">
      <c r="B1132" vm="13466">
        <f ca="1"/>
        <v>44363</v>
      </c>
      <c r="C1132" vm="13467">
        <f ca="1"/>
        <v>120.77249999999999</v>
      </c>
      <c r="D1132" vm="13468">
        <f ca="1"/>
        <v>170.76249999999999</v>
      </c>
      <c r="E1132" vm="13469">
        <f ca="1"/>
        <v>80.489999999999995</v>
      </c>
      <c r="F1132" vm="13470">
        <f ca="1"/>
        <v>815.46</v>
      </c>
      <c r="G1132" vm="13471">
        <f ca="1"/>
        <v>218.99</v>
      </c>
      <c r="H1132" vm="13472">
        <f ca="1"/>
        <v>363.82</v>
      </c>
      <c r="I1132" vm="13473">
        <f ca="1"/>
        <v>73.3</v>
      </c>
      <c r="J1132" vm="9335">
        <f ca="1"/>
        <v>34.04</v>
      </c>
      <c r="K1132" vm="13474">
        <f ca="1"/>
        <v>17.810300000000002</v>
      </c>
      <c r="L1132" vm="13475">
        <f ca="1"/>
        <v>132.78</v>
      </c>
      <c r="M1132" vm="13476">
        <f ca="1"/>
        <v>397.25</v>
      </c>
      <c r="N1132" vm="13477">
        <f ca="1"/>
        <v>4223.7</v>
      </c>
    </row>
    <row r="1133" spans="2:14" x14ac:dyDescent="0.35">
      <c r="B1133" vm="13478">
        <f ca="1"/>
        <v>44364</v>
      </c>
      <c r="C1133" vm="13479">
        <f ca="1"/>
        <v>121.7435</v>
      </c>
      <c r="D1133" vm="13480">
        <f ca="1"/>
        <v>174.46199999999999</v>
      </c>
      <c r="E1133" vm="13481">
        <f ca="1"/>
        <v>79.94</v>
      </c>
      <c r="F1133" vm="13482">
        <f ca="1"/>
        <v>822.77</v>
      </c>
      <c r="G1133" vm="13483">
        <f ca="1"/>
        <v>216.29</v>
      </c>
      <c r="H1133" vm="13484">
        <f ca="1"/>
        <v>367.29</v>
      </c>
      <c r="I1133" vm="13485">
        <f ca="1"/>
        <v>74.58</v>
      </c>
      <c r="J1133" vm="13486">
        <f ca="1"/>
        <v>32.47</v>
      </c>
      <c r="K1133" vm="13487">
        <f ca="1"/>
        <v>18.657299999999999</v>
      </c>
      <c r="L1133" vm="13488">
        <f ca="1"/>
        <v>133.99</v>
      </c>
      <c r="M1133" vm="13489">
        <f ca="1"/>
        <v>397.35</v>
      </c>
      <c r="N1133" vm="13490">
        <f ca="1"/>
        <v>4221.8599999999997</v>
      </c>
    </row>
    <row r="1134" spans="2:14" x14ac:dyDescent="0.35">
      <c r="B1134" vm="13491">
        <f ca="1"/>
        <v>44365</v>
      </c>
      <c r="C1134" vm="13492">
        <f ca="1"/>
        <v>120.111</v>
      </c>
      <c r="D1134" vm="13493">
        <f ca="1"/>
        <v>174.345</v>
      </c>
      <c r="E1134" vm="8011">
        <f ca="1"/>
        <v>79.19</v>
      </c>
      <c r="F1134" vm="13494">
        <f ca="1"/>
        <v>822.5</v>
      </c>
      <c r="G1134" vm="12695">
        <f ca="1"/>
        <v>212.5</v>
      </c>
      <c r="H1134" vm="13495">
        <f ca="1"/>
        <v>367.42</v>
      </c>
      <c r="I1134" vm="4218">
        <f ca="1"/>
        <v>73.28</v>
      </c>
      <c r="J1134" vm="13496">
        <f ca="1"/>
        <v>31.29</v>
      </c>
      <c r="K1134" vm="13497">
        <f ca="1"/>
        <v>18.6387</v>
      </c>
      <c r="L1134" vm="13498">
        <f ca="1"/>
        <v>132.03</v>
      </c>
      <c r="M1134" vm="13499">
        <f ca="1"/>
        <v>389.37</v>
      </c>
      <c r="N1134" vm="13500">
        <f ca="1"/>
        <v>4166.45</v>
      </c>
    </row>
    <row r="1135" spans="2:14" x14ac:dyDescent="0.35">
      <c r="B1135" vm="13501">
        <f ca="1"/>
        <v>44368</v>
      </c>
      <c r="C1135" vm="13502">
        <f ca="1"/>
        <v>121.8125</v>
      </c>
      <c r="D1135" vm="13503">
        <f ca="1"/>
        <v>172.69800000000001</v>
      </c>
      <c r="E1135" vm="13504">
        <f ca="1"/>
        <v>79.959999999999994</v>
      </c>
      <c r="F1135" vm="13505">
        <f ca="1"/>
        <v>822.57</v>
      </c>
      <c r="G1135" vm="13506">
        <f ca="1"/>
        <v>216</v>
      </c>
      <c r="H1135" vm="13507">
        <f ca="1"/>
        <v>373.09</v>
      </c>
      <c r="I1135" vm="12094">
        <f ca="1"/>
        <v>74.33</v>
      </c>
      <c r="J1135" vm="13508">
        <f ca="1"/>
        <v>33.119999999999997</v>
      </c>
      <c r="K1135" vm="13509">
        <f ca="1"/>
        <v>18.427299999999999</v>
      </c>
      <c r="L1135" vm="2048">
        <f ca="1"/>
        <v>133.07</v>
      </c>
      <c r="M1135" vm="13510">
        <f ca="1"/>
        <v>398.07</v>
      </c>
      <c r="N1135" vm="13511">
        <f ca="1"/>
        <v>4224.79</v>
      </c>
    </row>
    <row r="1136" spans="2:14" x14ac:dyDescent="0.35">
      <c r="B1136" vm="13512">
        <f ca="1"/>
        <v>44369</v>
      </c>
      <c r="C1136" vm="13513">
        <f ca="1"/>
        <v>122.3305</v>
      </c>
      <c r="D1136" vm="13514">
        <f ca="1"/>
        <v>175.27199999999999</v>
      </c>
      <c r="E1136" vm="11226">
        <f ca="1"/>
        <v>81.680000000000007</v>
      </c>
      <c r="F1136" vm="13515">
        <f ca="1"/>
        <v>803.56</v>
      </c>
      <c r="G1136" vm="13516">
        <f ca="1"/>
        <v>215.49</v>
      </c>
      <c r="H1136" vm="13517">
        <f ca="1"/>
        <v>378.04</v>
      </c>
      <c r="I1136" vm="1000">
        <f ca="1"/>
        <v>74.11</v>
      </c>
      <c r="J1136" vm="13518">
        <f ca="1"/>
        <v>33.020000000000003</v>
      </c>
      <c r="K1136" vm="13519">
        <f ca="1"/>
        <v>18.886800000000001</v>
      </c>
      <c r="L1136" vm="13520">
        <f ca="1"/>
        <v>133.12</v>
      </c>
      <c r="M1136" vm="13521">
        <f ca="1"/>
        <v>398.69</v>
      </c>
      <c r="N1136" vm="13522">
        <f ca="1"/>
        <v>4246.4399999999996</v>
      </c>
    </row>
    <row r="1137" spans="2:14" x14ac:dyDescent="0.35">
      <c r="B1137" vm="13523">
        <f ca="1"/>
        <v>44370</v>
      </c>
      <c r="C1137" vm="13524">
        <f ca="1"/>
        <v>122.127</v>
      </c>
      <c r="D1137" vm="13525">
        <f ca="1"/>
        <v>175.191</v>
      </c>
      <c r="E1137" vm="13526">
        <f ca="1"/>
        <v>81.489999999999995</v>
      </c>
      <c r="F1137" vm="13527">
        <f ca="1"/>
        <v>779.32</v>
      </c>
      <c r="G1137" vm="13528">
        <f ca="1"/>
        <v>214.66</v>
      </c>
      <c r="H1137" vm="13529">
        <f ca="1"/>
        <v>375.14</v>
      </c>
      <c r="I1137" vm="11923">
        <f ca="1"/>
        <v>73.349999999999994</v>
      </c>
      <c r="J1137" vm="13530">
        <f ca="1"/>
        <v>32.880000000000003</v>
      </c>
      <c r="K1137" vm="13531">
        <f ca="1"/>
        <v>19.057300000000001</v>
      </c>
      <c r="L1137" vm="13532">
        <f ca="1"/>
        <v>132.93</v>
      </c>
      <c r="M1137" vm="13533">
        <f ca="1"/>
        <v>395.56</v>
      </c>
      <c r="N1137" vm="13534">
        <f ca="1"/>
        <v>4241.84</v>
      </c>
    </row>
    <row r="1138" spans="2:14" x14ac:dyDescent="0.35">
      <c r="B1138" vm="13535">
        <f ca="1"/>
        <v>44371</v>
      </c>
      <c r="C1138" vm="1432">
        <f ca="1"/>
        <v>122.5</v>
      </c>
      <c r="D1138" vm="13536">
        <f ca="1"/>
        <v>172.45400000000001</v>
      </c>
      <c r="E1138" vm="13537">
        <f ca="1"/>
        <v>82.03</v>
      </c>
      <c r="F1138" vm="13538">
        <f ca="1"/>
        <v>783.4</v>
      </c>
      <c r="G1138" vm="13539">
        <f ca="1"/>
        <v>217.69</v>
      </c>
      <c r="H1138" vm="13540">
        <f ca="1"/>
        <v>374.75</v>
      </c>
      <c r="I1138" vm="13541">
        <f ca="1"/>
        <v>72.88</v>
      </c>
      <c r="J1138" vm="1037">
        <f ca="1"/>
        <v>33.26</v>
      </c>
      <c r="K1138" vm="13542">
        <f ca="1"/>
        <v>19.205500000000001</v>
      </c>
      <c r="L1138" vm="13543">
        <f ca="1"/>
        <v>133.02000000000001</v>
      </c>
      <c r="M1138" vm="13544">
        <f ca="1"/>
        <v>398.87</v>
      </c>
      <c r="N1138" vm="13545">
        <f ca="1"/>
        <v>4266.49</v>
      </c>
    </row>
    <row r="1139" spans="2:14" x14ac:dyDescent="0.35">
      <c r="B1139" vm="13546">
        <f ca="1"/>
        <v>44372</v>
      </c>
      <c r="C1139" vm="13547">
        <f ca="1"/>
        <v>122.5085</v>
      </c>
      <c r="D1139" vm="13548">
        <f ca="1"/>
        <v>170.07300000000001</v>
      </c>
      <c r="E1139" vm="12277">
        <f ca="1"/>
        <v>82.81</v>
      </c>
      <c r="F1139" vm="13549">
        <f ca="1"/>
        <v>798.52</v>
      </c>
      <c r="G1139" vm="13550">
        <f ca="1"/>
        <v>218.74</v>
      </c>
      <c r="H1139" vm="13551">
        <f ca="1"/>
        <v>379.61</v>
      </c>
      <c r="I1139" vm="13552">
        <f ca="1"/>
        <v>73.86</v>
      </c>
      <c r="J1139" vm="13553">
        <f ca="1"/>
        <v>33.35</v>
      </c>
      <c r="K1139" vm="13554">
        <f ca="1"/>
        <v>19.030999999999999</v>
      </c>
      <c r="L1139" vm="13555">
        <f ca="1"/>
        <v>134.91999999999999</v>
      </c>
      <c r="M1139" vm="13556">
        <f ca="1"/>
        <v>404.95</v>
      </c>
      <c r="N1139" vm="13557">
        <f ca="1"/>
        <v>4280.7</v>
      </c>
    </row>
    <row r="1140" spans="2:14" x14ac:dyDescent="0.35">
      <c r="B1140" vm="13558">
        <f ca="1"/>
        <v>44375</v>
      </c>
      <c r="C1140" vm="13559">
        <f ca="1"/>
        <v>122.536</v>
      </c>
      <c r="D1140" vm="13560">
        <f ca="1"/>
        <v>172.19450000000001</v>
      </c>
      <c r="E1140" vm="13561">
        <f ca="1"/>
        <v>81.87</v>
      </c>
      <c r="F1140" vm="13562">
        <f ca="1"/>
        <v>802.33</v>
      </c>
      <c r="G1140" vm="13563">
        <f ca="1"/>
        <v>216.79</v>
      </c>
      <c r="H1140" vm="13564">
        <f ca="1"/>
        <v>367.68</v>
      </c>
      <c r="I1140" vm="13565">
        <f ca="1"/>
        <v>75.150000000000006</v>
      </c>
      <c r="J1140" vm="13566">
        <f ca="1"/>
        <v>32.020000000000003</v>
      </c>
      <c r="K1140" vm="13567">
        <f ca="1"/>
        <v>19.984999999999999</v>
      </c>
      <c r="L1140" vm="13568">
        <f ca="1"/>
        <v>135.32</v>
      </c>
      <c r="M1140" vm="13569">
        <f ca="1"/>
        <v>401.46</v>
      </c>
      <c r="N1140" vm="13570">
        <f ca="1"/>
        <v>4290.6099999999997</v>
      </c>
    </row>
    <row r="1141" spans="2:14" x14ac:dyDescent="0.35">
      <c r="B1141" vm="13571">
        <f ca="1"/>
        <v>44376</v>
      </c>
      <c r="C1141" vm="13572">
        <f ca="1"/>
        <v>122.27249999999999</v>
      </c>
      <c r="D1141" vm="13573">
        <f ca="1"/>
        <v>172.40700000000001</v>
      </c>
      <c r="E1141" vm="3583">
        <f ca="1"/>
        <v>81.63</v>
      </c>
      <c r="F1141" vm="13574">
        <f ca="1"/>
        <v>802.6</v>
      </c>
      <c r="G1141" vm="13575">
        <f ca="1"/>
        <v>215.95</v>
      </c>
      <c r="H1141" vm="13576">
        <f ca="1"/>
        <v>368</v>
      </c>
      <c r="I1141" vm="10408">
        <f ca="1"/>
        <v>74.08</v>
      </c>
      <c r="J1141" vm="8408">
        <f ca="1"/>
        <v>31.88</v>
      </c>
      <c r="K1141" vm="13577">
        <f ca="1"/>
        <v>20.026800000000001</v>
      </c>
      <c r="L1141" vm="13578">
        <f ca="1"/>
        <v>134.4</v>
      </c>
      <c r="M1141" vm="13579">
        <f ca="1"/>
        <v>398.1</v>
      </c>
      <c r="N1141" vm="13580">
        <f ca="1"/>
        <v>4291.8</v>
      </c>
    </row>
    <row r="1142" spans="2:14" x14ac:dyDescent="0.35">
      <c r="B1142" vm="13581">
        <f ca="1"/>
        <v>44377</v>
      </c>
      <c r="C1142" vm="13582">
        <f ca="1"/>
        <v>122.0895</v>
      </c>
      <c r="D1142" vm="13583">
        <f ca="1"/>
        <v>172.00800000000001</v>
      </c>
      <c r="E1142" vm="13584">
        <f ca="1"/>
        <v>81.02</v>
      </c>
      <c r="F1142" vm="13585">
        <f ca="1"/>
        <v>797.64</v>
      </c>
      <c r="G1142" vm="13586">
        <f ca="1"/>
        <v>219.35</v>
      </c>
      <c r="H1142" vm="13587">
        <f ca="1"/>
        <v>365.09</v>
      </c>
      <c r="I1142" vm="4218">
        <f ca="1"/>
        <v>73.28</v>
      </c>
      <c r="J1142" vm="13588">
        <f ca="1"/>
        <v>32.01</v>
      </c>
      <c r="K1142" vm="13589">
        <f ca="1"/>
        <v>20.002500000000001</v>
      </c>
      <c r="L1142" vm="13590">
        <f ca="1"/>
        <v>134.93</v>
      </c>
      <c r="M1142" vm="13591">
        <f ca="1"/>
        <v>400.44</v>
      </c>
      <c r="N1142" vm="13592">
        <f ca="1"/>
        <v>4297.5</v>
      </c>
    </row>
    <row r="1143" spans="2:14" x14ac:dyDescent="0.35">
      <c r="B1143" vm="13593">
        <f ca="1"/>
        <v>44378</v>
      </c>
      <c r="C1143" vm="13594">
        <f ca="1"/>
        <v>122.44450000000001</v>
      </c>
      <c r="D1143" vm="13595">
        <f ca="1"/>
        <v>171.64850000000001</v>
      </c>
      <c r="E1143" vm="13596">
        <f ca="1"/>
        <v>82.39</v>
      </c>
      <c r="F1143" vm="13597">
        <f ca="1"/>
        <v>800.5</v>
      </c>
      <c r="G1143" vm="13598">
        <f ca="1"/>
        <v>220.62</v>
      </c>
      <c r="H1143" vm="13599">
        <f ca="1"/>
        <v>370.71</v>
      </c>
      <c r="I1143" vm="13600">
        <f ca="1"/>
        <v>74.19</v>
      </c>
      <c r="J1143" vm="13248">
        <f ca="1"/>
        <v>33.07</v>
      </c>
      <c r="K1143" vm="13601">
        <f ca="1"/>
        <v>20.212</v>
      </c>
      <c r="L1143" vm="9906">
        <f ca="1"/>
        <v>135.24</v>
      </c>
      <c r="M1143" vm="13602">
        <f ca="1"/>
        <v>404.89</v>
      </c>
      <c r="N1143" vm="13603">
        <f ca="1"/>
        <v>4319.9399999999996</v>
      </c>
    </row>
    <row r="1144" spans="2:14" x14ac:dyDescent="0.35">
      <c r="B1144" vm="13604">
        <f ca="1"/>
        <v>44379</v>
      </c>
      <c r="C1144" vm="13605">
        <f ca="1"/>
        <v>125.25749999999999</v>
      </c>
      <c r="D1144" vm="13606">
        <f ca="1"/>
        <v>175.54900000000001</v>
      </c>
      <c r="E1144" vm="13607">
        <f ca="1"/>
        <v>81.83</v>
      </c>
      <c r="F1144" vm="13608">
        <f ca="1"/>
        <v>819.11</v>
      </c>
      <c r="G1144" vm="13256">
        <f ca="1"/>
        <v>221.32</v>
      </c>
      <c r="H1144" vm="13609">
        <f ca="1"/>
        <v>375.03</v>
      </c>
      <c r="I1144" vm="8268">
        <f ca="1"/>
        <v>74.28</v>
      </c>
      <c r="J1144" vm="13610">
        <f ca="1"/>
        <v>32.79</v>
      </c>
      <c r="K1144" vm="13611">
        <f ca="1"/>
        <v>20.486999999999998</v>
      </c>
      <c r="L1144" vm="13612">
        <f ca="1"/>
        <v>135.9</v>
      </c>
      <c r="M1144" vm="13613">
        <f ca="1"/>
        <v>409.36</v>
      </c>
      <c r="N1144" vm="13614">
        <f ca="1"/>
        <v>4352.34</v>
      </c>
    </row>
    <row r="1145" spans="2:14" x14ac:dyDescent="0.35">
      <c r="B1145" vm="13615">
        <f ca="1"/>
        <v>44383</v>
      </c>
      <c r="C1145" vm="13616">
        <f ca="1"/>
        <v>126.19</v>
      </c>
      <c r="D1145" vm="13617">
        <f ca="1"/>
        <v>183.78700000000001</v>
      </c>
      <c r="E1145" vm="13618">
        <f ca="1"/>
        <v>82.07</v>
      </c>
      <c r="F1145" vm="13619">
        <f ca="1"/>
        <v>827.81</v>
      </c>
      <c r="G1145" vm="13620">
        <f ca="1"/>
        <v>218.56</v>
      </c>
      <c r="H1145" vm="13621">
        <f ca="1"/>
        <v>376.12</v>
      </c>
      <c r="I1145" vm="10892">
        <f ca="1"/>
        <v>75.13</v>
      </c>
      <c r="J1145" vm="13622">
        <f ca="1"/>
        <v>31.17</v>
      </c>
      <c r="K1145" vm="13623">
        <f ca="1"/>
        <v>20.698499999999999</v>
      </c>
      <c r="L1145" vm="13624">
        <f ca="1"/>
        <v>135.97999999999999</v>
      </c>
      <c r="M1145" vm="13625">
        <f ca="1"/>
        <v>410.26</v>
      </c>
      <c r="N1145" vm="13626">
        <f ca="1"/>
        <v>4343.54</v>
      </c>
    </row>
    <row r="1146" spans="2:14" x14ac:dyDescent="0.35">
      <c r="B1146" vm="13627">
        <f ca="1"/>
        <v>44384</v>
      </c>
      <c r="C1146" vm="13628">
        <f ca="1"/>
        <v>126.474</v>
      </c>
      <c r="D1146" vm="13629">
        <f ca="1"/>
        <v>184.82900000000001</v>
      </c>
      <c r="E1146" vm="13630">
        <f ca="1"/>
        <v>82.82</v>
      </c>
      <c r="F1146" vm="13631">
        <f ca="1"/>
        <v>828.19</v>
      </c>
      <c r="G1146" vm="13632">
        <f ca="1"/>
        <v>220.74</v>
      </c>
      <c r="H1146" vm="13633">
        <f ca="1"/>
        <v>373.92</v>
      </c>
      <c r="I1146" vm="10942">
        <f ca="1"/>
        <v>75.33</v>
      </c>
      <c r="J1146" vm="13634">
        <f ca="1"/>
        <v>30.68</v>
      </c>
      <c r="K1146" vm="13635">
        <f ca="1"/>
        <v>20.3718</v>
      </c>
      <c r="L1146" vm="13636">
        <f ca="1"/>
        <v>137</v>
      </c>
      <c r="M1146" vm="13637">
        <f ca="1"/>
        <v>411.66</v>
      </c>
      <c r="N1146" vm="13638">
        <f ca="1"/>
        <v>4358.13</v>
      </c>
    </row>
    <row r="1147" spans="2:14" x14ac:dyDescent="0.35">
      <c r="B1147" vm="13639">
        <f ca="1"/>
        <v>44385</v>
      </c>
      <c r="C1147" vm="13640">
        <f ca="1"/>
        <v>125.044</v>
      </c>
      <c r="D1147" vm="13641">
        <f ca="1"/>
        <v>186.57050000000001</v>
      </c>
      <c r="E1147" vm="13642">
        <f ca="1"/>
        <v>85.29</v>
      </c>
      <c r="F1147" vm="13643">
        <f ca="1"/>
        <v>820.32</v>
      </c>
      <c r="G1147" vm="13644">
        <f ca="1"/>
        <v>219.32</v>
      </c>
      <c r="H1147" vm="13645">
        <f ca="1"/>
        <v>370.19</v>
      </c>
      <c r="I1147" vm="10892">
        <f ca="1"/>
        <v>75.13</v>
      </c>
      <c r="J1147" vm="13646">
        <f ca="1"/>
        <v>30.53</v>
      </c>
      <c r="K1147" vm="13647">
        <f ca="1"/>
        <v>19.902799999999999</v>
      </c>
      <c r="L1147" vm="13648">
        <f ca="1"/>
        <v>136.97999999999999</v>
      </c>
      <c r="M1147" vm="13649">
        <f ca="1"/>
        <v>409.95</v>
      </c>
      <c r="N1147" vm="13650">
        <f ca="1"/>
        <v>4320.82</v>
      </c>
    </row>
    <row r="1148" spans="2:14" x14ac:dyDescent="0.35">
      <c r="B1148" vm="13651">
        <f ca="1"/>
        <v>44386</v>
      </c>
      <c r="C1148" vm="13652">
        <f ca="1"/>
        <v>125.5185</v>
      </c>
      <c r="D1148" vm="13653">
        <f ca="1"/>
        <v>185.96700000000001</v>
      </c>
      <c r="E1148" vm="13654">
        <f ca="1"/>
        <v>84.79</v>
      </c>
      <c r="F1148" vm="13655">
        <f ca="1"/>
        <v>829.55</v>
      </c>
      <c r="G1148" vm="13656">
        <f ca="1"/>
        <v>224.34</v>
      </c>
      <c r="H1148" vm="13657">
        <f ca="1"/>
        <v>372.94</v>
      </c>
      <c r="I1148" vm="13658">
        <f ca="1"/>
        <v>74.989999999999995</v>
      </c>
      <c r="J1148" vm="13659">
        <f ca="1"/>
        <v>31.19</v>
      </c>
      <c r="K1148" vm="13660">
        <f ca="1"/>
        <v>20.0503</v>
      </c>
      <c r="L1148" vm="13661">
        <f ca="1"/>
        <v>137.03</v>
      </c>
      <c r="M1148" vm="13662">
        <f ca="1"/>
        <v>412.11</v>
      </c>
      <c r="N1148" vm="13663">
        <f ca="1"/>
        <v>4369.55</v>
      </c>
    </row>
    <row r="1149" spans="2:14" x14ac:dyDescent="0.35">
      <c r="B1149" vm="13664">
        <f ca="1"/>
        <v>44389</v>
      </c>
      <c r="C1149" vm="13665">
        <f ca="1"/>
        <v>126.9755</v>
      </c>
      <c r="D1149" vm="13666">
        <f ca="1"/>
        <v>185.92750000000001</v>
      </c>
      <c r="E1149" vm="13667">
        <f ca="1"/>
        <v>84.76</v>
      </c>
      <c r="F1149" vm="13668">
        <f ca="1"/>
        <v>823.04</v>
      </c>
      <c r="G1149" vm="13669">
        <f ca="1"/>
        <v>225.02</v>
      </c>
      <c r="H1149" vm="13670">
        <f ca="1"/>
        <v>375.56</v>
      </c>
      <c r="I1149" vm="13671">
        <f ca="1"/>
        <v>75.09</v>
      </c>
      <c r="J1149" vm="13672">
        <f ca="1"/>
        <v>31.22</v>
      </c>
      <c r="K1149" vm="13673">
        <f ca="1"/>
        <v>20.512499999999999</v>
      </c>
      <c r="L1149" vm="13674">
        <f ca="1"/>
        <v>137.13999999999999</v>
      </c>
      <c r="M1149" vm="13675">
        <f ca="1"/>
        <v>416.04</v>
      </c>
      <c r="N1149" vm="13676">
        <f ca="1"/>
        <v>4384.63</v>
      </c>
    </row>
    <row r="1150" spans="2:14" x14ac:dyDescent="0.35">
      <c r="B1150" vm="13677">
        <f ca="1"/>
        <v>44390</v>
      </c>
      <c r="C1150" vm="13678">
        <f ca="1"/>
        <v>127.3415</v>
      </c>
      <c r="D1150" vm="13679">
        <f ca="1"/>
        <v>183.86799999999999</v>
      </c>
      <c r="E1150" vm="11431">
        <f ca="1"/>
        <v>84.31</v>
      </c>
      <c r="F1150" vm="13680">
        <f ca="1"/>
        <v>831.84</v>
      </c>
      <c r="G1150" vm="13681">
        <f ca="1"/>
        <v>224.08</v>
      </c>
      <c r="H1150" vm="13682">
        <f ca="1"/>
        <v>383.71</v>
      </c>
      <c r="I1150" vm="12697">
        <f ca="1"/>
        <v>74.86</v>
      </c>
      <c r="J1150" vm="13683">
        <f ca="1"/>
        <v>30.61</v>
      </c>
      <c r="K1150" vm="13684">
        <f ca="1"/>
        <v>20.25</v>
      </c>
      <c r="L1150" vm="13685">
        <f ca="1"/>
        <v>136.97</v>
      </c>
      <c r="M1150" vm="13686">
        <f ca="1"/>
        <v>418.54</v>
      </c>
      <c r="N1150" vm="13687">
        <f ca="1"/>
        <v>4369.21</v>
      </c>
    </row>
    <row r="1151" spans="2:14" x14ac:dyDescent="0.35">
      <c r="B1151" vm="13688">
        <f ca="1"/>
        <v>44391</v>
      </c>
      <c r="C1151" vm="13689">
        <f ca="1"/>
        <v>128.23699999999999</v>
      </c>
      <c r="D1151" vm="13690">
        <f ca="1"/>
        <v>184.084</v>
      </c>
      <c r="E1151" vm="11153">
        <f ca="1"/>
        <v>84.59</v>
      </c>
      <c r="F1151" vm="13691">
        <f ca="1"/>
        <v>834.04</v>
      </c>
      <c r="G1151" vm="13692">
        <f ca="1"/>
        <v>227.77</v>
      </c>
      <c r="H1151" vm="13693">
        <f ca="1"/>
        <v>390.8</v>
      </c>
      <c r="I1151" vm="13694">
        <f ca="1"/>
        <v>75.7</v>
      </c>
      <c r="J1151" vm="13695">
        <f ca="1"/>
        <v>29.55</v>
      </c>
      <c r="K1151" vm="13696">
        <f ca="1"/>
        <v>19.8415</v>
      </c>
      <c r="L1151" vm="13697">
        <f ca="1"/>
        <v>137.97999999999999</v>
      </c>
      <c r="M1151" vm="13698">
        <f ca="1"/>
        <v>414.74</v>
      </c>
      <c r="N1151" vm="13699">
        <f ca="1"/>
        <v>4374.3</v>
      </c>
    </row>
    <row r="1152" spans="2:14" x14ac:dyDescent="0.35">
      <c r="B1152" vm="13700">
        <f ca="1"/>
        <v>44392</v>
      </c>
      <c r="C1152" vm="13701">
        <f ca="1"/>
        <v>127.005</v>
      </c>
      <c r="D1152" vm="13702">
        <f ca="1"/>
        <v>181.56</v>
      </c>
      <c r="E1152" vm="13703">
        <f ca="1"/>
        <v>84.94</v>
      </c>
      <c r="F1152" vm="13704">
        <f ca="1"/>
        <v>831.47</v>
      </c>
      <c r="G1152" vm="13705">
        <f ca="1"/>
        <v>232.81</v>
      </c>
      <c r="H1152" vm="13706">
        <f ca="1"/>
        <v>390.23</v>
      </c>
      <c r="I1152" vm="13707">
        <f ca="1"/>
        <v>76.819999999999993</v>
      </c>
      <c r="J1152" vm="13708">
        <f ca="1"/>
        <v>28.73</v>
      </c>
      <c r="K1152" vm="13709">
        <f ca="1"/>
        <v>18.9663</v>
      </c>
      <c r="L1152" vm="13710">
        <f ca="1"/>
        <v>139.16</v>
      </c>
      <c r="M1152" vm="13711">
        <f ca="1"/>
        <v>420.05</v>
      </c>
      <c r="N1152" vm="13712">
        <f ca="1"/>
        <v>4360.03</v>
      </c>
    </row>
    <row r="1153" spans="2:14" x14ac:dyDescent="0.35">
      <c r="B1153" vm="13713">
        <f ca="1"/>
        <v>44393</v>
      </c>
      <c r="C1153" vm="13714">
        <f ca="1"/>
        <v>126.97</v>
      </c>
      <c r="D1153" vm="13715">
        <f ca="1"/>
        <v>178.6815</v>
      </c>
      <c r="E1153" vm="13716">
        <f ca="1"/>
        <v>85.75</v>
      </c>
      <c r="F1153" vm="13717">
        <f ca="1"/>
        <v>834.3</v>
      </c>
      <c r="G1153" vm="13718">
        <f ca="1"/>
        <v>230.33</v>
      </c>
      <c r="H1153" vm="5958">
        <f ca="1"/>
        <v>387.12</v>
      </c>
      <c r="I1153" vm="13719">
        <f ca="1"/>
        <v>77.92</v>
      </c>
      <c r="J1153" vm="13720">
        <f ca="1"/>
        <v>27.87</v>
      </c>
      <c r="K1153" vm="13721">
        <f ca="1"/>
        <v>18.161000000000001</v>
      </c>
      <c r="L1153" vm="11158">
        <f ca="1"/>
        <v>140.51</v>
      </c>
      <c r="M1153" vm="13722">
        <f ca="1"/>
        <v>419.7</v>
      </c>
      <c r="N1153" vm="13723">
        <f ca="1"/>
        <v>4327.16</v>
      </c>
    </row>
    <row r="1154" spans="2:14" x14ac:dyDescent="0.35">
      <c r="B1154" vm="13724">
        <f ca="1"/>
        <v>44396</v>
      </c>
      <c r="C1154" vm="13725">
        <f ca="1"/>
        <v>124.578</v>
      </c>
      <c r="D1154" vm="13726">
        <f ca="1"/>
        <v>177.4795</v>
      </c>
      <c r="E1154" vm="99">
        <f ca="1"/>
        <v>83.75</v>
      </c>
      <c r="F1154" vm="13727">
        <f ca="1"/>
        <v>832.65</v>
      </c>
      <c r="G1154" vm="13728">
        <f ca="1"/>
        <v>220.66</v>
      </c>
      <c r="H1154" vm="13729">
        <f ca="1"/>
        <v>365.45</v>
      </c>
      <c r="I1154" vm="13730">
        <f ca="1"/>
        <v>76.989999999999995</v>
      </c>
      <c r="J1154" vm="13731">
        <f ca="1"/>
        <v>26.65</v>
      </c>
      <c r="K1154" vm="13732">
        <f ca="1"/>
        <v>18.779800000000002</v>
      </c>
      <c r="L1154" vm="13733">
        <f ca="1"/>
        <v>140.44</v>
      </c>
      <c r="M1154" vm="13734">
        <f ca="1"/>
        <v>409.06</v>
      </c>
      <c r="N1154" vm="13735">
        <f ca="1"/>
        <v>4258.49</v>
      </c>
    </row>
    <row r="1155" spans="2:14" x14ac:dyDescent="0.35">
      <c r="B1155" vm="13736">
        <f ca="1"/>
        <v>44397</v>
      </c>
      <c r="C1155" vm="13737">
        <f ca="1"/>
        <v>126.20950000000001</v>
      </c>
      <c r="D1155" vm="13738">
        <f ca="1"/>
        <v>178.65950000000001</v>
      </c>
      <c r="E1155" vm="13739">
        <f ca="1"/>
        <v>84.42</v>
      </c>
      <c r="F1155" vm="13740">
        <f ca="1"/>
        <v>819.76</v>
      </c>
      <c r="G1155" vm="13741">
        <f ca="1"/>
        <v>229.66</v>
      </c>
      <c r="H1155" vm="13742">
        <f ca="1"/>
        <v>374.39</v>
      </c>
      <c r="I1155" vm="3249">
        <f ca="1"/>
        <v>77.17</v>
      </c>
      <c r="J1155" vm="13743">
        <f ca="1"/>
        <v>27.24</v>
      </c>
      <c r="K1155" vm="13744">
        <f ca="1"/>
        <v>18.611999999999998</v>
      </c>
      <c r="L1155" vm="13745">
        <f ca="1"/>
        <v>139.69</v>
      </c>
      <c r="M1155" vm="13746">
        <f ca="1"/>
        <v>412.97</v>
      </c>
      <c r="N1155" vm="13747">
        <f ca="1"/>
        <v>4323.0600000000004</v>
      </c>
    </row>
    <row r="1156" spans="2:14" x14ac:dyDescent="0.35">
      <c r="B1156" vm="13748">
        <f ca="1"/>
        <v>44398</v>
      </c>
      <c r="C1156" vm="13749">
        <f ca="1"/>
        <v>127.54900000000001</v>
      </c>
      <c r="D1156" vm="13750">
        <f ca="1"/>
        <v>179.26</v>
      </c>
      <c r="E1156" vm="5133">
        <f ca="1"/>
        <v>82.7</v>
      </c>
      <c r="F1156" vm="13751">
        <f ca="1"/>
        <v>820.82</v>
      </c>
      <c r="G1156" vm="13752">
        <f ca="1"/>
        <v>231.85</v>
      </c>
      <c r="H1156" vm="13753">
        <f ca="1"/>
        <v>380.06</v>
      </c>
      <c r="I1156" vm="11031">
        <f ca="1"/>
        <v>75.88</v>
      </c>
      <c r="J1156" vm="13754">
        <f ca="1"/>
        <v>28.43</v>
      </c>
      <c r="K1156" vm="13755">
        <f ca="1"/>
        <v>19.41</v>
      </c>
      <c r="L1156" vm="13756">
        <f ca="1"/>
        <v>139.19999999999999</v>
      </c>
      <c r="M1156" vm="13757">
        <f ca="1"/>
        <v>414.64</v>
      </c>
      <c r="N1156" vm="13758">
        <f ca="1"/>
        <v>4358.6899999999996</v>
      </c>
    </row>
    <row r="1157" spans="2:14" x14ac:dyDescent="0.35">
      <c r="B1157" vm="13759">
        <f ca="1"/>
        <v>44399</v>
      </c>
      <c r="C1157" vm="13760">
        <f ca="1"/>
        <v>128.42150000000001</v>
      </c>
      <c r="D1157" vm="13761">
        <f ca="1"/>
        <v>181.9015</v>
      </c>
      <c r="E1157" vm="13762">
        <f ca="1"/>
        <v>81.73</v>
      </c>
      <c r="F1157" vm="13763">
        <f ca="1"/>
        <v>833.48</v>
      </c>
      <c r="G1157" vm="13764">
        <f ca="1"/>
        <v>232.74</v>
      </c>
      <c r="H1157" vm="13005">
        <f ca="1"/>
        <v>382.16</v>
      </c>
      <c r="I1157" vm="13765">
        <f ca="1"/>
        <v>76.12</v>
      </c>
      <c r="J1157" vm="13766">
        <f ca="1"/>
        <v>27.98</v>
      </c>
      <c r="K1157" vm="13767">
        <f ca="1"/>
        <v>19.594000000000001</v>
      </c>
      <c r="L1157" vm="13768">
        <f ca="1"/>
        <v>137.80000000000001</v>
      </c>
      <c r="M1157" vm="13769">
        <f ca="1"/>
        <v>415.77</v>
      </c>
      <c r="N1157" vm="13770">
        <f ca="1"/>
        <v>4367.4799999999996</v>
      </c>
    </row>
    <row r="1158" spans="2:14" x14ac:dyDescent="0.35">
      <c r="B1158" vm="13771">
        <f ca="1"/>
        <v>44400</v>
      </c>
      <c r="C1158" vm="13772">
        <f ca="1"/>
        <v>133.01499999999999</v>
      </c>
      <c r="D1158" vm="13773">
        <f ca="1"/>
        <v>182.83199999999999</v>
      </c>
      <c r="E1158" vm="13774">
        <f ca="1"/>
        <v>80</v>
      </c>
      <c r="F1158" vm="13775">
        <f ca="1"/>
        <v>829.51</v>
      </c>
      <c r="G1158" vm="13776">
        <f ca="1"/>
        <v>229.32</v>
      </c>
      <c r="H1158" vm="13777">
        <f ca="1"/>
        <v>393.26</v>
      </c>
      <c r="I1158" vm="13778">
        <f ca="1"/>
        <v>77.2</v>
      </c>
      <c r="J1158" vm="13779">
        <f ca="1"/>
        <v>28.41</v>
      </c>
      <c r="K1158" vm="13780">
        <f ca="1"/>
        <v>19.558</v>
      </c>
      <c r="L1158" vm="13781">
        <f ca="1"/>
        <v>139.79</v>
      </c>
      <c r="M1158" vm="1022">
        <f ca="1"/>
        <v>417.7</v>
      </c>
      <c r="N1158" vm="13782">
        <f ca="1"/>
        <v>4411.79</v>
      </c>
    </row>
    <row r="1159" spans="2:14" x14ac:dyDescent="0.35">
      <c r="B1159" vm="13783">
        <f ca="1"/>
        <v>44403</v>
      </c>
      <c r="C1159" vm="13784">
        <f ca="1"/>
        <v>134.035</v>
      </c>
      <c r="D1159" vm="13785">
        <f ca="1"/>
        <v>184.99100000000001</v>
      </c>
      <c r="E1159" vm="13786">
        <f ca="1"/>
        <v>81.17</v>
      </c>
      <c r="F1159" vm="13787">
        <f ca="1"/>
        <v>841.83</v>
      </c>
      <c r="G1159" vm="13788">
        <f ca="1"/>
        <v>229.25</v>
      </c>
      <c r="H1159" vm="13789">
        <f ca="1"/>
        <v>392.8</v>
      </c>
      <c r="I1159" vm="13790">
        <f ca="1"/>
        <v>76.91</v>
      </c>
      <c r="J1159" vm="13791">
        <f ca="1"/>
        <v>29.46</v>
      </c>
      <c r="K1159" vm="13792">
        <f ca="1"/>
        <v>19.294</v>
      </c>
      <c r="L1159" vm="13793">
        <f ca="1"/>
        <v>140.28</v>
      </c>
      <c r="M1159" vm="13794">
        <f ca="1"/>
        <v>413.54</v>
      </c>
      <c r="N1159" vm="13795">
        <f ca="1"/>
        <v>4422.3</v>
      </c>
    </row>
    <row r="1160" spans="2:14" x14ac:dyDescent="0.35">
      <c r="B1160" vm="13796">
        <f ca="1"/>
        <v>44404</v>
      </c>
      <c r="C1160" vm="13797">
        <f ca="1"/>
        <v>131.9</v>
      </c>
      <c r="D1160" vm="13798">
        <f ca="1"/>
        <v>181.31950000000001</v>
      </c>
      <c r="E1160" vm="342">
        <f ca="1"/>
        <v>81.12</v>
      </c>
      <c r="F1160" vm="13799">
        <f ca="1"/>
        <v>836.31</v>
      </c>
      <c r="G1160" vm="13800">
        <f ca="1"/>
        <v>230.36</v>
      </c>
      <c r="H1160" vm="13801">
        <f ca="1"/>
        <v>390.27</v>
      </c>
      <c r="I1160" vm="4670">
        <f ca="1"/>
        <v>77.86</v>
      </c>
      <c r="J1160" vm="13802">
        <f ca="1"/>
        <v>29.18</v>
      </c>
      <c r="K1160" vm="13803">
        <f ca="1"/>
        <v>19.207999999999998</v>
      </c>
      <c r="L1160" vm="13804">
        <f ca="1"/>
        <v>140.85</v>
      </c>
      <c r="M1160" vm="13805">
        <f ca="1"/>
        <v>415.1</v>
      </c>
      <c r="N1160" vm="13806">
        <f ca="1"/>
        <v>4401.46</v>
      </c>
    </row>
    <row r="1161" spans="2:14" x14ac:dyDescent="0.35">
      <c r="B1161" vm="13807">
        <f ca="1"/>
        <v>44405</v>
      </c>
      <c r="C1161" vm="13808">
        <f ca="1"/>
        <v>136.09399999999999</v>
      </c>
      <c r="D1161" vm="13809">
        <f ca="1"/>
        <v>181.51599999999999</v>
      </c>
      <c r="E1161" vm="13786">
        <f ca="1"/>
        <v>81.17</v>
      </c>
      <c r="F1161" vm="13810">
        <f ca="1"/>
        <v>786.38</v>
      </c>
      <c r="G1161" vm="13811">
        <f ca="1"/>
        <v>230.49</v>
      </c>
      <c r="H1161" vm="13812">
        <f ca="1"/>
        <v>383.44</v>
      </c>
      <c r="I1161" vm="13813">
        <f ca="1"/>
        <v>77.849999999999994</v>
      </c>
      <c r="J1161" vm="13814">
        <f ca="1"/>
        <v>29.32</v>
      </c>
      <c r="K1161" vm="13815">
        <f ca="1"/>
        <v>19.503</v>
      </c>
      <c r="L1161" vm="11839">
        <f ca="1"/>
        <v>138.76</v>
      </c>
      <c r="M1161" vm="13816">
        <f ca="1"/>
        <v>409.17</v>
      </c>
      <c r="N1161" vm="13817">
        <f ca="1"/>
        <v>4400.6400000000003</v>
      </c>
    </row>
    <row r="1162" spans="2:14" x14ac:dyDescent="0.35">
      <c r="B1162" vm="13818">
        <f ca="1"/>
        <v>44406</v>
      </c>
      <c r="C1162" vm="13819">
        <f ca="1"/>
        <v>135.7775</v>
      </c>
      <c r="D1162" vm="13820">
        <f ca="1"/>
        <v>179.99600000000001</v>
      </c>
      <c r="E1162" vm="5495">
        <f ca="1"/>
        <v>81.010000000000005</v>
      </c>
      <c r="F1162" vm="13821">
        <f ca="1"/>
        <v>820.41</v>
      </c>
      <c r="G1162" vm="13822">
        <f ca="1"/>
        <v>232.88</v>
      </c>
      <c r="H1162" vm="13823">
        <f ca="1"/>
        <v>388.81</v>
      </c>
      <c r="I1162" vm="3924">
        <f ca="1"/>
        <v>78.16</v>
      </c>
      <c r="J1162" vm="13824">
        <f ca="1"/>
        <v>29.64</v>
      </c>
      <c r="K1162" vm="13825">
        <f ca="1"/>
        <v>19.661999999999999</v>
      </c>
      <c r="L1162" vm="13826">
        <f ca="1"/>
        <v>139.47999999999999</v>
      </c>
      <c r="M1162" vm="13827">
        <f ca="1"/>
        <v>412.08</v>
      </c>
      <c r="N1162" vm="13828">
        <f ca="1"/>
        <v>4419.1499999999996</v>
      </c>
    </row>
    <row r="1163" spans="2:14" x14ac:dyDescent="0.35">
      <c r="B1163" vm="13829">
        <f ca="1"/>
        <v>44407</v>
      </c>
      <c r="C1163" vm="13830">
        <f ca="1"/>
        <v>134.72649999999999</v>
      </c>
      <c r="D1163" vm="13831">
        <f ca="1"/>
        <v>166.37950000000001</v>
      </c>
      <c r="E1163" vm="4853">
        <f ca="1"/>
        <v>80.88</v>
      </c>
      <c r="F1163" vm="13832">
        <f ca="1"/>
        <v>818.99</v>
      </c>
      <c r="G1163" vm="13833">
        <f ca="1"/>
        <v>233.79</v>
      </c>
      <c r="H1163" vm="13834">
        <f ca="1"/>
        <v>385.94</v>
      </c>
      <c r="I1163" vm="4637">
        <f ca="1"/>
        <v>77.900000000000006</v>
      </c>
      <c r="J1163" vm="13835">
        <f ca="1"/>
        <v>28.83</v>
      </c>
      <c r="K1163" vm="13836">
        <f ca="1"/>
        <v>19.498999999999999</v>
      </c>
      <c r="L1163" vm="13837">
        <f ca="1"/>
        <v>142.22999999999999</v>
      </c>
      <c r="M1163" vm="13838">
        <f ca="1"/>
        <v>412.22</v>
      </c>
      <c r="N1163" vm="13839">
        <f ca="1"/>
        <v>4395.26</v>
      </c>
    </row>
    <row r="1164" spans="2:14" x14ac:dyDescent="0.35">
      <c r="B1164" vm="13840">
        <f ca="1"/>
        <v>44410</v>
      </c>
      <c r="C1164" vm="13841">
        <f ca="1"/>
        <v>134.8545</v>
      </c>
      <c r="D1164" vm="13842">
        <f ca="1"/>
        <v>166.57400000000001</v>
      </c>
      <c r="E1164" vm="5651">
        <f ca="1"/>
        <v>81.39</v>
      </c>
      <c r="F1164" vm="13843">
        <f ca="1"/>
        <v>820.31</v>
      </c>
      <c r="G1164" vm="13844">
        <f ca="1"/>
        <v>232.42</v>
      </c>
      <c r="H1164" vm="13845">
        <f ca="1"/>
        <v>375.26</v>
      </c>
      <c r="I1164" vm="13846">
        <f ca="1"/>
        <v>78.81</v>
      </c>
      <c r="J1164" vm="13847">
        <f ca="1"/>
        <v>28.5</v>
      </c>
      <c r="K1164" vm="13848">
        <f ca="1"/>
        <v>19.75</v>
      </c>
      <c r="L1164" vm="11790">
        <f ca="1"/>
        <v>141.88</v>
      </c>
      <c r="M1164" vm="13849">
        <f ca="1"/>
        <v>415.57</v>
      </c>
      <c r="N1164" vm="13850">
        <f ca="1"/>
        <v>4387.16</v>
      </c>
    </row>
    <row r="1165" spans="2:14" x14ac:dyDescent="0.35">
      <c r="B1165" vm="13851">
        <f ca="1"/>
        <v>44411</v>
      </c>
      <c r="C1165" vm="13852">
        <f ca="1"/>
        <v>135.63</v>
      </c>
      <c r="D1165" vm="13853">
        <f ca="1"/>
        <v>168.31200000000001</v>
      </c>
      <c r="E1165" vm="13854">
        <f ca="1"/>
        <v>80.44</v>
      </c>
      <c r="F1165" vm="13855">
        <f ca="1"/>
        <v>828.34</v>
      </c>
      <c r="G1165" vm="13856">
        <f ca="1"/>
        <v>232.65</v>
      </c>
      <c r="H1165" vm="13281">
        <f ca="1"/>
        <v>367.6</v>
      </c>
      <c r="I1165" vm="13857">
        <f ca="1"/>
        <v>79.42</v>
      </c>
      <c r="J1165" vm="13858">
        <f ca="1"/>
        <v>28.9</v>
      </c>
      <c r="K1165" vm="13859">
        <f ca="1"/>
        <v>19.815000000000001</v>
      </c>
      <c r="L1165" vm="13860">
        <f ca="1"/>
        <v>143.94999999999999</v>
      </c>
      <c r="M1165" vm="13861">
        <f ca="1"/>
        <v>421.9</v>
      </c>
      <c r="N1165" vm="13862">
        <f ca="1"/>
        <v>4423.1499999999996</v>
      </c>
    </row>
    <row r="1166" spans="2:14" x14ac:dyDescent="0.35">
      <c r="B1166" vm="13863">
        <f ca="1"/>
        <v>44412</v>
      </c>
      <c r="C1166" vm="13864">
        <f ca="1"/>
        <v>135.12549999999999</v>
      </c>
      <c r="D1166" vm="13865">
        <f ca="1"/>
        <v>167.73599999999999</v>
      </c>
      <c r="E1166" vm="13866">
        <f ca="1"/>
        <v>79.03</v>
      </c>
      <c r="F1166" vm="13867">
        <f ca="1"/>
        <v>830.62</v>
      </c>
      <c r="G1166" vm="8155">
        <f ca="1"/>
        <v>229.59</v>
      </c>
      <c r="H1166" vm="13868">
        <f ca="1"/>
        <v>368.01</v>
      </c>
      <c r="I1166" vm="13869">
        <f ca="1"/>
        <v>79.87</v>
      </c>
      <c r="J1166" vm="13870">
        <f ca="1"/>
        <v>27.63</v>
      </c>
      <c r="K1166" vm="13871">
        <f ca="1"/>
        <v>20.274000000000001</v>
      </c>
      <c r="L1166" vm="11778">
        <f ca="1"/>
        <v>142.43</v>
      </c>
      <c r="M1166" vm="13872">
        <f ca="1"/>
        <v>421.54</v>
      </c>
      <c r="N1166" vm="13873">
        <f ca="1"/>
        <v>4402.66</v>
      </c>
    </row>
    <row r="1167" spans="2:14" x14ac:dyDescent="0.35">
      <c r="B1167" vm="13874">
        <f ca="1"/>
        <v>44413</v>
      </c>
      <c r="C1167" vm="13875">
        <f ca="1"/>
        <v>136.25149999999999</v>
      </c>
      <c r="D1167" vm="13876">
        <f ca="1"/>
        <v>168.79949999999999</v>
      </c>
      <c r="E1167" vm="8135">
        <f ca="1"/>
        <v>80.78</v>
      </c>
      <c r="F1167" vm="13877">
        <f ca="1"/>
        <v>820.15</v>
      </c>
      <c r="G1167" vm="13878">
        <f ca="1"/>
        <v>229.88</v>
      </c>
      <c r="H1167" vm="13879">
        <f ca="1"/>
        <v>371.94</v>
      </c>
      <c r="I1167" vm="13469">
        <f ca="1"/>
        <v>80.489999999999995</v>
      </c>
      <c r="J1167" vm="13880">
        <f ca="1"/>
        <v>27.92</v>
      </c>
      <c r="K1167" vm="13881">
        <f ca="1"/>
        <v>20.637</v>
      </c>
      <c r="L1167" vm="13882">
        <f ca="1"/>
        <v>142.5</v>
      </c>
      <c r="M1167" vm="13883">
        <f ca="1"/>
        <v>411.19</v>
      </c>
      <c r="N1167" vm="13884">
        <f ca="1"/>
        <v>4429.1000000000004</v>
      </c>
    </row>
    <row r="1168" spans="2:14" x14ac:dyDescent="0.35">
      <c r="B1168" vm="13885">
        <f ca="1"/>
        <v>44414</v>
      </c>
      <c r="C1168" vm="13886">
        <f ca="1"/>
        <v>135.73849999999999</v>
      </c>
      <c r="D1168" vm="13887">
        <f ca="1"/>
        <v>167.24700000000001</v>
      </c>
      <c r="E1168" vm="13888">
        <f ca="1"/>
        <v>85.24</v>
      </c>
      <c r="F1168" vm="13889">
        <f ca="1"/>
        <v>814.99</v>
      </c>
      <c r="G1168" vm="13890">
        <f ca="1"/>
        <v>229.68</v>
      </c>
      <c r="H1168" vm="13891">
        <f ca="1"/>
        <v>374.53</v>
      </c>
      <c r="I1168" vm="13892">
        <f ca="1"/>
        <v>80.61</v>
      </c>
      <c r="J1168" vm="13893">
        <f ca="1"/>
        <v>28.42</v>
      </c>
      <c r="K1168" vm="13894">
        <f ca="1"/>
        <v>20.366</v>
      </c>
      <c r="L1168" vm="13895">
        <f ca="1"/>
        <v>141.41</v>
      </c>
      <c r="M1168" vm="13896">
        <f ca="1"/>
        <v>415.12</v>
      </c>
      <c r="N1168" vm="13897">
        <f ca="1"/>
        <v>4436.5200000000004</v>
      </c>
    </row>
    <row r="1169" spans="2:14" x14ac:dyDescent="0.35">
      <c r="B1169" vm="13898">
        <f ca="1"/>
        <v>44417</v>
      </c>
      <c r="C1169" vm="13899">
        <f ca="1"/>
        <v>136.91300000000001</v>
      </c>
      <c r="D1169" vm="13900">
        <f ca="1"/>
        <v>167.09350000000001</v>
      </c>
      <c r="E1169" vm="13901">
        <f ca="1"/>
        <v>87.35</v>
      </c>
      <c r="F1169" vm="13902">
        <f ca="1"/>
        <v>797.97</v>
      </c>
      <c r="G1169" vm="13903">
        <f ca="1"/>
        <v>228.23</v>
      </c>
      <c r="H1169" vm="6182">
        <f ca="1"/>
        <v>370.68</v>
      </c>
      <c r="I1169" vm="13904">
        <f ca="1"/>
        <v>80.56</v>
      </c>
      <c r="J1169" vm="13905">
        <f ca="1"/>
        <v>27.99</v>
      </c>
      <c r="K1169" vm="13906">
        <f ca="1"/>
        <v>20.295000000000002</v>
      </c>
      <c r="L1169" vm="13907">
        <f ca="1"/>
        <v>142.18</v>
      </c>
      <c r="M1169" vm="13908">
        <f ca="1"/>
        <v>410.87</v>
      </c>
      <c r="N1169" vm="13909">
        <f ca="1"/>
        <v>4432.3500000000004</v>
      </c>
    </row>
    <row r="1170" spans="2:14" x14ac:dyDescent="0.35">
      <c r="B1170" vm="13910">
        <f ca="1"/>
        <v>44418</v>
      </c>
      <c r="C1170" vm="13911">
        <f ca="1"/>
        <v>136.80699999999999</v>
      </c>
      <c r="D1170" vm="13912">
        <f ca="1"/>
        <v>166.03399999999999</v>
      </c>
      <c r="E1170" vm="13913">
        <f ca="1"/>
        <v>88.83</v>
      </c>
      <c r="F1170" vm="13914">
        <f ca="1"/>
        <v>806.88</v>
      </c>
      <c r="G1170" vm="3402">
        <f ca="1"/>
        <v>231.88</v>
      </c>
      <c r="H1170" vm="13915">
        <f ca="1"/>
        <v>367.84</v>
      </c>
      <c r="I1170" vm="13018">
        <f ca="1"/>
        <v>80.53</v>
      </c>
      <c r="J1170" vm="13893">
        <f ca="1"/>
        <v>28.42</v>
      </c>
      <c r="K1170" vm="13916">
        <f ca="1"/>
        <v>19.936</v>
      </c>
      <c r="L1170" vm="13917">
        <f ca="1"/>
        <v>142.27000000000001</v>
      </c>
      <c r="M1170" vm="13918">
        <f ca="1"/>
        <v>411.78</v>
      </c>
      <c r="N1170" vm="13919">
        <f ca="1"/>
        <v>4436.75</v>
      </c>
    </row>
    <row r="1171" spans="2:14" x14ac:dyDescent="0.35">
      <c r="B1171" vm="13920">
        <f ca="1"/>
        <v>44419</v>
      </c>
      <c r="C1171" vm="13921">
        <f ca="1"/>
        <v>136.279</v>
      </c>
      <c r="D1171" vm="13922">
        <f ca="1"/>
        <v>164.60550000000001</v>
      </c>
      <c r="E1171" vm="13923">
        <f ca="1"/>
        <v>89.54</v>
      </c>
      <c r="F1171" vm="13924">
        <f ca="1"/>
        <v>811.72</v>
      </c>
      <c r="G1171" vm="13925">
        <f ca="1"/>
        <v>234.18</v>
      </c>
      <c r="H1171" vm="13926">
        <f ca="1"/>
        <v>364.24</v>
      </c>
      <c r="I1171" vm="13927">
        <f ca="1"/>
        <v>82.37</v>
      </c>
      <c r="J1171" vm="13928">
        <f ca="1"/>
        <v>28.98</v>
      </c>
      <c r="K1171" vm="13929">
        <f ca="1"/>
        <v>19.699000000000002</v>
      </c>
      <c r="L1171" vm="13930">
        <f ca="1"/>
        <v>142.62</v>
      </c>
      <c r="M1171" vm="13931">
        <f ca="1"/>
        <v>407.74</v>
      </c>
      <c r="N1171" vm="13932">
        <f ca="1"/>
        <v>4447.7</v>
      </c>
    </row>
    <row r="1172" spans="2:14" x14ac:dyDescent="0.35">
      <c r="B1172" vm="13933">
        <f ca="1"/>
        <v>44420</v>
      </c>
      <c r="C1172" vm="13934">
        <f ca="1"/>
        <v>137.19399999999999</v>
      </c>
      <c r="D1172" vm="13935">
        <f ca="1"/>
        <v>165.17500000000001</v>
      </c>
      <c r="E1172" vm="13936">
        <f ca="1"/>
        <v>89.45</v>
      </c>
      <c r="F1172" vm="13937">
        <f ca="1"/>
        <v>814.09</v>
      </c>
      <c r="G1172" vm="13938">
        <f ca="1"/>
        <v>231.94</v>
      </c>
      <c r="H1172" vm="13939">
        <f ca="1"/>
        <v>361.98</v>
      </c>
      <c r="I1172" vm="12416">
        <f ca="1"/>
        <v>83</v>
      </c>
      <c r="J1172" vm="13940">
        <f ca="1"/>
        <v>28.55</v>
      </c>
      <c r="K1172" vm="13941">
        <f ca="1"/>
        <v>19.905000000000001</v>
      </c>
      <c r="L1172" vm="13942">
        <f ca="1"/>
        <v>142.94999999999999</v>
      </c>
      <c r="M1172" vm="13943">
        <f ca="1"/>
        <v>405.96</v>
      </c>
      <c r="N1172" vm="13944">
        <f ca="1"/>
        <v>4460.83</v>
      </c>
    </row>
    <row r="1173" spans="2:14" x14ac:dyDescent="0.35">
      <c r="B1173" vm="13945">
        <f ca="1"/>
        <v>44421</v>
      </c>
      <c r="C1173" vm="13946">
        <f ca="1"/>
        <v>137.72749999999999</v>
      </c>
      <c r="D1173" vm="13947">
        <f ca="1"/>
        <v>164.6985</v>
      </c>
      <c r="E1173" vm="5623">
        <f ca="1"/>
        <v>88.68</v>
      </c>
      <c r="F1173" vm="13948">
        <f ca="1"/>
        <v>822.94</v>
      </c>
      <c r="G1173" vm="13949">
        <f ca="1"/>
        <v>231.76</v>
      </c>
      <c r="H1173" vm="13950">
        <f ca="1"/>
        <v>362.75</v>
      </c>
      <c r="I1173" vm="5215">
        <f ca="1"/>
        <v>83.45</v>
      </c>
      <c r="J1173" vm="13951">
        <f ca="1"/>
        <v>28.35</v>
      </c>
      <c r="K1173" vm="13952">
        <f ca="1"/>
        <v>20.187999999999999</v>
      </c>
      <c r="L1173" vm="13953">
        <f ca="1"/>
        <v>143.63999999999999</v>
      </c>
      <c r="M1173" vm="13954">
        <f ca="1"/>
        <v>409.67</v>
      </c>
      <c r="N1173" vm="13955">
        <f ca="1"/>
        <v>4468</v>
      </c>
    </row>
    <row r="1174" spans="2:14" x14ac:dyDescent="0.35">
      <c r="B1174" vm="13956">
        <f ca="1"/>
        <v>44424</v>
      </c>
      <c r="C1174" vm="13957">
        <f ca="1"/>
        <v>138.30950000000001</v>
      </c>
      <c r="D1174" vm="13958">
        <f ca="1"/>
        <v>164.9495</v>
      </c>
      <c r="E1174" vm="13959">
        <f ca="1"/>
        <v>89.07</v>
      </c>
      <c r="F1174" vm="13619">
        <f ca="1"/>
        <v>827.81</v>
      </c>
      <c r="G1174" vm="13960">
        <f ca="1"/>
        <v>233.74</v>
      </c>
      <c r="H1174" vm="13961">
        <f ca="1"/>
        <v>363.56</v>
      </c>
      <c r="I1174" vm="12479">
        <f ca="1"/>
        <v>83.95</v>
      </c>
      <c r="J1174" vm="13962">
        <f ca="1"/>
        <v>27.78</v>
      </c>
      <c r="K1174" vm="13963">
        <f ca="1"/>
        <v>19.95</v>
      </c>
      <c r="L1174" vm="13964">
        <f ca="1"/>
        <v>144.63999999999999</v>
      </c>
      <c r="M1174" vm="13965">
        <f ca="1"/>
        <v>417.21</v>
      </c>
      <c r="N1174" vm="13966">
        <f ca="1"/>
        <v>4479.71</v>
      </c>
    </row>
    <row r="1175" spans="2:14" x14ac:dyDescent="0.35">
      <c r="B1175" vm="13967">
        <f ca="1"/>
        <v>44425</v>
      </c>
      <c r="C1175" vm="13968">
        <f ca="1"/>
        <v>136.66149999999999</v>
      </c>
      <c r="D1175" vm="13969">
        <f ca="1"/>
        <v>162.09800000000001</v>
      </c>
      <c r="E1175" vm="12425">
        <f ca="1"/>
        <v>89.39</v>
      </c>
      <c r="F1175" vm="13970">
        <f ca="1"/>
        <v>814.27</v>
      </c>
      <c r="G1175" vm="13971">
        <f ca="1"/>
        <v>231.45</v>
      </c>
      <c r="H1175" vm="13972">
        <f ca="1"/>
        <v>363.23</v>
      </c>
      <c r="I1175" vm="13973">
        <f ca="1"/>
        <v>83.96</v>
      </c>
      <c r="J1175" vm="12864">
        <f ca="1"/>
        <v>27.19</v>
      </c>
      <c r="K1175" vm="13974">
        <f ca="1"/>
        <v>19.457999999999998</v>
      </c>
      <c r="L1175" vm="13975">
        <f ca="1"/>
        <v>144.88</v>
      </c>
      <c r="M1175" vm="13976">
        <f ca="1"/>
        <v>421.78</v>
      </c>
      <c r="N1175" vm="13977">
        <f ca="1"/>
        <v>4448.08</v>
      </c>
    </row>
    <row r="1176" spans="2:14" x14ac:dyDescent="0.35">
      <c r="B1176" vm="13978">
        <f ca="1"/>
        <v>44426</v>
      </c>
      <c r="C1176" vm="13979">
        <f ca="1"/>
        <v>135.44900000000001</v>
      </c>
      <c r="D1176" vm="13980">
        <f ca="1"/>
        <v>160.06100000000001</v>
      </c>
      <c r="E1176" vm="13981">
        <f ca="1"/>
        <v>90.71</v>
      </c>
      <c r="F1176" vm="13982">
        <f ca="1"/>
        <v>833.96</v>
      </c>
      <c r="G1176" vm="13983">
        <f ca="1"/>
        <v>228.42</v>
      </c>
      <c r="H1176" vm="13984">
        <f ca="1"/>
        <v>360.95</v>
      </c>
      <c r="I1176" vm="13739">
        <f ca="1"/>
        <v>84.42</v>
      </c>
      <c r="J1176" vm="9600">
        <f ca="1"/>
        <v>26.81</v>
      </c>
      <c r="K1176" vm="13985">
        <f ca="1"/>
        <v>19.04</v>
      </c>
      <c r="L1176" vm="13986">
        <f ca="1"/>
        <v>143.30000000000001</v>
      </c>
      <c r="M1176" vm="5403">
        <f ca="1"/>
        <v>417.32</v>
      </c>
      <c r="N1176" vm="13987">
        <f ca="1"/>
        <v>4400.2700000000004</v>
      </c>
    </row>
    <row r="1177" spans="2:14" x14ac:dyDescent="0.35">
      <c r="B1177" vm="13988">
        <f ca="1"/>
        <v>44427</v>
      </c>
      <c r="C1177" vm="13989">
        <f ca="1"/>
        <v>135.68</v>
      </c>
      <c r="D1177" vm="13990">
        <f ca="1"/>
        <v>159.38749999999999</v>
      </c>
      <c r="E1177" vm="13991">
        <f ca="1"/>
        <v>92.5</v>
      </c>
      <c r="F1177" vm="13992">
        <f ca="1"/>
        <v>835.63</v>
      </c>
      <c r="G1177" vm="13993">
        <f ca="1"/>
        <v>227.73</v>
      </c>
      <c r="H1177" vm="13994">
        <f ca="1"/>
        <v>357.31</v>
      </c>
      <c r="I1177" vm="13995">
        <f ca="1"/>
        <v>84.55</v>
      </c>
      <c r="J1177" vm="13996">
        <f ca="1"/>
        <v>26.44</v>
      </c>
      <c r="K1177" vm="13997">
        <f ca="1"/>
        <v>19.797999999999998</v>
      </c>
      <c r="L1177" vm="13998">
        <f ca="1"/>
        <v>144.99</v>
      </c>
      <c r="M1177" vm="13999">
        <f ca="1"/>
        <v>427.89</v>
      </c>
      <c r="N1177" vm="14000">
        <f ca="1"/>
        <v>4405.8</v>
      </c>
    </row>
    <row r="1178" spans="2:14" x14ac:dyDescent="0.35">
      <c r="B1178" vm="14001">
        <f ca="1"/>
        <v>44428</v>
      </c>
      <c r="C1178" vm="14002">
        <f ca="1"/>
        <v>137.42949999999999</v>
      </c>
      <c r="D1178" vm="14003">
        <f ca="1"/>
        <v>159.9975</v>
      </c>
      <c r="E1178" vm="14004">
        <f ca="1"/>
        <v>94.63</v>
      </c>
      <c r="F1178" vm="14005">
        <f ca="1"/>
        <v>835.57</v>
      </c>
      <c r="G1178" vm="14006">
        <f ca="1"/>
        <v>227.7</v>
      </c>
      <c r="H1178" vm="14007">
        <f ca="1"/>
        <v>354.99</v>
      </c>
      <c r="I1178" vm="14008">
        <f ca="1"/>
        <v>86.28</v>
      </c>
      <c r="J1178" vm="14009">
        <f ca="1"/>
        <v>26.46</v>
      </c>
      <c r="K1178" vm="14010">
        <f ca="1"/>
        <v>20.815999999999999</v>
      </c>
      <c r="L1178" vm="14011">
        <f ca="1"/>
        <v>145.09</v>
      </c>
      <c r="M1178" vm="14012">
        <f ca="1"/>
        <v>429.71</v>
      </c>
      <c r="N1178" vm="14013">
        <f ca="1"/>
        <v>4441.67</v>
      </c>
    </row>
    <row r="1179" spans="2:14" x14ac:dyDescent="0.35">
      <c r="B1179" vm="14014">
        <f ca="1"/>
        <v>44431</v>
      </c>
      <c r="C1179" vm="14015">
        <f ca="1"/>
        <v>140.04150000000001</v>
      </c>
      <c r="D1179" vm="14016">
        <f ca="1"/>
        <v>163.29349999999999</v>
      </c>
      <c r="E1179" vm="14017">
        <f ca="1"/>
        <v>94.85</v>
      </c>
      <c r="F1179" vm="14018">
        <f ca="1"/>
        <v>820.24</v>
      </c>
      <c r="G1179" vm="14019">
        <f ca="1"/>
        <v>229.11</v>
      </c>
      <c r="H1179" vm="14020">
        <f ca="1"/>
        <v>361.01</v>
      </c>
      <c r="I1179" vm="74">
        <f ca="1"/>
        <v>84.4</v>
      </c>
      <c r="J1179" vm="14021">
        <f ca="1"/>
        <v>27.49</v>
      </c>
      <c r="K1179" vm="14022">
        <f ca="1"/>
        <v>21.957999999999998</v>
      </c>
      <c r="L1179" vm="14023">
        <f ca="1"/>
        <v>144.35</v>
      </c>
      <c r="M1179" vm="14024">
        <f ca="1"/>
        <v>425.36</v>
      </c>
      <c r="N1179" vm="14025">
        <f ca="1"/>
        <v>4479.53</v>
      </c>
    </row>
    <row r="1180" spans="2:14" x14ac:dyDescent="0.35">
      <c r="B1180" vm="14026">
        <f ca="1"/>
        <v>44432</v>
      </c>
      <c r="C1180" vm="4758">
        <f ca="1"/>
        <v>141.26150000000001</v>
      </c>
      <c r="D1180" vm="14027">
        <f ca="1"/>
        <v>165.28899999999999</v>
      </c>
      <c r="E1180" vm="5879">
        <f ca="1"/>
        <v>94.51</v>
      </c>
      <c r="F1180" vm="14028">
        <f ca="1"/>
        <v>807.53</v>
      </c>
      <c r="G1180" vm="14029">
        <f ca="1"/>
        <v>230.44</v>
      </c>
      <c r="H1180" vm="14030">
        <f ca="1"/>
        <v>361.78</v>
      </c>
      <c r="I1180" vm="14031">
        <f ca="1"/>
        <v>84.14</v>
      </c>
      <c r="J1180" vm="13120">
        <f ca="1"/>
        <v>28.22</v>
      </c>
      <c r="K1180" vm="14032">
        <f ca="1"/>
        <v>21.792999999999999</v>
      </c>
      <c r="L1180" vm="14033">
        <f ca="1"/>
        <v>143.18</v>
      </c>
      <c r="M1180" vm="14034">
        <f ca="1"/>
        <v>423.41</v>
      </c>
      <c r="N1180" vm="14035">
        <f ca="1"/>
        <v>4486.2299999999996</v>
      </c>
    </row>
    <row r="1181" spans="2:14" x14ac:dyDescent="0.35">
      <c r="B1181" vm="14036">
        <f ca="1"/>
        <v>44433</v>
      </c>
      <c r="C1181" vm="14037">
        <f ca="1"/>
        <v>142.07900000000001</v>
      </c>
      <c r="D1181" vm="14038">
        <f ca="1"/>
        <v>164.959</v>
      </c>
      <c r="E1181" vm="14039">
        <f ca="1"/>
        <v>94.66</v>
      </c>
      <c r="F1181" vm="14040">
        <f ca="1"/>
        <v>824.99</v>
      </c>
      <c r="G1181" vm="8055">
        <f ca="1"/>
        <v>230.66</v>
      </c>
      <c r="H1181" vm="14041">
        <f ca="1"/>
        <v>359.1</v>
      </c>
      <c r="I1181" vm="12848">
        <f ca="1"/>
        <v>84.53</v>
      </c>
      <c r="J1181" vm="14042">
        <f ca="1"/>
        <v>28.45</v>
      </c>
      <c r="K1181" vm="14043">
        <f ca="1"/>
        <v>22.213000000000001</v>
      </c>
      <c r="L1181" vm="14044">
        <f ca="1"/>
        <v>142.66999999999999</v>
      </c>
      <c r="M1181" vm="14045">
        <f ca="1"/>
        <v>419.74</v>
      </c>
      <c r="N1181" vm="14046">
        <f ca="1"/>
        <v>4496.1899999999996</v>
      </c>
    </row>
    <row r="1182" spans="2:14" x14ac:dyDescent="0.35">
      <c r="B1182" vm="14047">
        <f ca="1"/>
        <v>44434</v>
      </c>
      <c r="C1182" vm="14048">
        <f ca="1"/>
        <v>141.44049999999999</v>
      </c>
      <c r="D1182" vm="14049">
        <f ca="1"/>
        <v>165.8</v>
      </c>
      <c r="E1182" vm="14050">
        <f ca="1"/>
        <v>94.31</v>
      </c>
      <c r="F1182" vm="14051">
        <f ca="1"/>
        <v>824.81</v>
      </c>
      <c r="G1182" vm="14052">
        <f ca="1"/>
        <v>230.88</v>
      </c>
      <c r="H1182" vm="14053">
        <f ca="1"/>
        <v>352.86</v>
      </c>
      <c r="I1182" vm="14054">
        <f ca="1"/>
        <v>83.81</v>
      </c>
      <c r="J1182" vm="14055">
        <f ca="1"/>
        <v>28.13</v>
      </c>
      <c r="K1182" vm="14056">
        <f ca="1"/>
        <v>22.068000000000001</v>
      </c>
      <c r="L1182" vm="2203">
        <f ca="1"/>
        <v>142.41999999999999</v>
      </c>
      <c r="M1182" vm="14057">
        <f ca="1"/>
        <v>416.85</v>
      </c>
      <c r="N1182" vm="14058">
        <f ca="1"/>
        <v>4470</v>
      </c>
    </row>
    <row r="1183" spans="2:14" x14ac:dyDescent="0.35">
      <c r="B1183" vm="14059">
        <f ca="1"/>
        <v>44435</v>
      </c>
      <c r="C1183" vm="14060">
        <f ca="1"/>
        <v>144.00399999999999</v>
      </c>
      <c r="D1183" vm="14061">
        <f ca="1"/>
        <v>167.48150000000001</v>
      </c>
      <c r="E1183" vm="14062">
        <f ca="1"/>
        <v>94.37</v>
      </c>
      <c r="F1183" vm="14063">
        <f ca="1"/>
        <v>840.03</v>
      </c>
      <c r="G1183" vm="14064">
        <f ca="1"/>
        <v>231.14</v>
      </c>
      <c r="H1183" vm="14065">
        <f ca="1"/>
        <v>355.73</v>
      </c>
      <c r="I1183" vm="5110">
        <f ca="1"/>
        <v>83.41</v>
      </c>
      <c r="J1183" vm="14066">
        <f ca="1"/>
        <v>29.08</v>
      </c>
      <c r="K1183" vm="14067">
        <f ca="1"/>
        <v>22.635999999999999</v>
      </c>
      <c r="L1183" vm="14068">
        <f ca="1"/>
        <v>142.31</v>
      </c>
      <c r="M1183" vm="14069">
        <f ca="1"/>
        <v>418.76</v>
      </c>
      <c r="N1183" vm="14070">
        <f ca="1"/>
        <v>4509.37</v>
      </c>
    </row>
    <row r="1184" spans="2:14" x14ac:dyDescent="0.35">
      <c r="B1184" vm="14071">
        <f ca="1"/>
        <v>44438</v>
      </c>
      <c r="C1184" vm="14072">
        <f ca="1"/>
        <v>144.59049999999999</v>
      </c>
      <c r="D1184" vm="14073">
        <f ca="1"/>
        <v>171.07849999999999</v>
      </c>
      <c r="E1184" vm="14074">
        <f ca="1"/>
        <v>95.69</v>
      </c>
      <c r="F1184" vm="14075">
        <f ca="1"/>
        <v>843.45</v>
      </c>
      <c r="G1184" vm="14076">
        <f ca="1"/>
        <v>231.87</v>
      </c>
      <c r="H1184" vm="14077">
        <f ca="1"/>
        <v>353.05</v>
      </c>
      <c r="I1184" vm="12479">
        <f ca="1"/>
        <v>83.95</v>
      </c>
      <c r="J1184" vm="14078">
        <f ca="1"/>
        <v>28.28</v>
      </c>
      <c r="K1184" vm="14079">
        <f ca="1"/>
        <v>22.687999999999999</v>
      </c>
      <c r="L1184" vm="14080">
        <f ca="1"/>
        <v>142.93</v>
      </c>
      <c r="M1184" vm="14081">
        <f ca="1"/>
        <v>418.3</v>
      </c>
      <c r="N1184" vm="14082">
        <f ca="1"/>
        <v>4528.79</v>
      </c>
    </row>
    <row r="1185" spans="2:14" x14ac:dyDescent="0.35">
      <c r="B1185" vm="14083">
        <f ca="1"/>
        <v>44439</v>
      </c>
      <c r="C1185" vm="14084">
        <f ca="1"/>
        <v>144.69749999999999</v>
      </c>
      <c r="D1185" vm="14085">
        <f ca="1"/>
        <v>173.5395</v>
      </c>
      <c r="E1185" vm="14086">
        <f ca="1"/>
        <v>95.96</v>
      </c>
      <c r="F1185" vm="14087">
        <f ca="1"/>
        <v>868.84</v>
      </c>
      <c r="G1185" vm="14088">
        <f ca="1"/>
        <v>231.91</v>
      </c>
      <c r="H1185" vm="14089">
        <f ca="1"/>
        <v>346.23</v>
      </c>
      <c r="I1185" vm="14090">
        <f ca="1"/>
        <v>83.99</v>
      </c>
      <c r="J1185" vm="14091">
        <f ca="1"/>
        <v>28.04</v>
      </c>
      <c r="K1185" vm="14092">
        <f ca="1"/>
        <v>22.385000000000002</v>
      </c>
      <c r="L1185" vm="14093">
        <f ca="1"/>
        <v>142.38999999999999</v>
      </c>
      <c r="M1185" vm="14094">
        <f ca="1"/>
        <v>416.27</v>
      </c>
      <c r="N1185" vm="14095">
        <f ca="1"/>
        <v>4522.68</v>
      </c>
    </row>
    <row r="1186" spans="2:14" x14ac:dyDescent="0.35">
      <c r="B1186" vm="14096">
        <f ca="1"/>
        <v>44440</v>
      </c>
      <c r="C1186" vm="14097">
        <f ca="1"/>
        <v>145.21549999999999</v>
      </c>
      <c r="D1186" vm="14098">
        <f ca="1"/>
        <v>173.95</v>
      </c>
      <c r="E1186" vm="14099">
        <f ca="1"/>
        <v>96.66</v>
      </c>
      <c r="F1186" vm="14100">
        <f ca="1"/>
        <v>874.43</v>
      </c>
      <c r="G1186" vm="14101">
        <f ca="1"/>
        <v>229.8</v>
      </c>
      <c r="H1186" vm="14102">
        <f ca="1"/>
        <v>349.57</v>
      </c>
      <c r="I1186" vm="14103">
        <f ca="1"/>
        <v>85.34</v>
      </c>
      <c r="J1186" vm="13766">
        <f ca="1"/>
        <v>27.98</v>
      </c>
      <c r="K1186" vm="14104">
        <f ca="1"/>
        <v>22.440999999999999</v>
      </c>
      <c r="L1186" vm="14105">
        <f ca="1"/>
        <v>143.84</v>
      </c>
      <c r="M1186" vm="14106">
        <f ca="1"/>
        <v>417.35</v>
      </c>
      <c r="N1186" vm="14107">
        <f ca="1"/>
        <v>4524.09</v>
      </c>
    </row>
    <row r="1187" spans="2:14" x14ac:dyDescent="0.35">
      <c r="B1187" vm="14108">
        <f ca="1"/>
        <v>44441</v>
      </c>
      <c r="C1187" vm="14109">
        <f ca="1"/>
        <v>143.28700000000001</v>
      </c>
      <c r="D1187" vm="14110">
        <f ca="1"/>
        <v>173.15600000000001</v>
      </c>
      <c r="E1187" vm="14111">
        <f ca="1"/>
        <v>97.79</v>
      </c>
      <c r="F1187" vm="14112">
        <f ca="1"/>
        <v>882.83</v>
      </c>
      <c r="G1187" vm="13004">
        <f ca="1"/>
        <v>230.97</v>
      </c>
      <c r="H1187" vm="14113">
        <f ca="1"/>
        <v>341.28</v>
      </c>
      <c r="I1187" vm="59">
        <f ca="1"/>
        <v>86.48</v>
      </c>
      <c r="J1187" vm="14114">
        <f ca="1"/>
        <v>28.61</v>
      </c>
      <c r="K1187" vm="14115">
        <f ca="1"/>
        <v>22.396000000000001</v>
      </c>
      <c r="L1187" vm="13860">
        <f ca="1"/>
        <v>143.94999999999999</v>
      </c>
      <c r="M1187" vm="14116">
        <f ca="1"/>
        <v>423.71</v>
      </c>
      <c r="N1187" vm="14117">
        <f ca="1"/>
        <v>4536.95</v>
      </c>
    </row>
    <row r="1188" spans="2:14" x14ac:dyDescent="0.35">
      <c r="B1188" vm="14118">
        <f ca="1"/>
        <v>44442</v>
      </c>
      <c r="C1188" vm="14119">
        <f ca="1"/>
        <v>143.73949999999999</v>
      </c>
      <c r="D1188" vm="14120">
        <f ca="1"/>
        <v>173.9025</v>
      </c>
      <c r="E1188" vm="14121">
        <f ca="1"/>
        <v>97.38</v>
      </c>
      <c r="F1188" vm="14122">
        <f ca="1"/>
        <v>881.76</v>
      </c>
      <c r="G1188" vm="14123">
        <f ca="1"/>
        <v>228.36</v>
      </c>
      <c r="H1188" vm="14124">
        <f ca="1"/>
        <v>340.23</v>
      </c>
      <c r="I1188" vm="14125">
        <f ca="1"/>
        <v>85.69</v>
      </c>
      <c r="J1188" vm="14126">
        <f ca="1"/>
        <v>28.09</v>
      </c>
      <c r="K1188" vm="14127">
        <f ca="1"/>
        <v>22.843</v>
      </c>
      <c r="L1188" vm="5789">
        <f ca="1"/>
        <v>144.05000000000001</v>
      </c>
      <c r="M1188" vm="1047">
        <f ca="1"/>
        <v>422.86</v>
      </c>
      <c r="N1188" vm="14128">
        <f ca="1"/>
        <v>4535.43</v>
      </c>
    </row>
    <row r="1189" spans="2:14" x14ac:dyDescent="0.35">
      <c r="B1189" vm="14129">
        <f ca="1"/>
        <v>44446</v>
      </c>
      <c r="C1189" vm="14130">
        <f ca="1"/>
        <v>144.28049999999999</v>
      </c>
      <c r="D1189" vm="14131">
        <f ca="1"/>
        <v>175.46449999999999</v>
      </c>
      <c r="E1189" vm="14132">
        <f ca="1"/>
        <v>96.93</v>
      </c>
      <c r="F1189" vm="14133">
        <f ca="1"/>
        <v>882.31</v>
      </c>
      <c r="G1189" vm="8080">
        <f ca="1"/>
        <v>222.93</v>
      </c>
      <c r="H1189" vm="14134">
        <f ca="1"/>
        <v>344.71</v>
      </c>
      <c r="I1189" vm="61">
        <f ca="1"/>
        <v>85.03</v>
      </c>
      <c r="J1189" vm="14135">
        <f ca="1"/>
        <v>27.83</v>
      </c>
      <c r="K1189" vm="14136">
        <f ca="1"/>
        <v>22.661999999999999</v>
      </c>
      <c r="L1189" vm="14137">
        <f ca="1"/>
        <v>143.51</v>
      </c>
      <c r="M1189" vm="14138">
        <f ca="1"/>
        <v>421.24</v>
      </c>
      <c r="N1189" vm="14139">
        <f ca="1"/>
        <v>4520.03</v>
      </c>
    </row>
    <row r="1190" spans="2:14" x14ac:dyDescent="0.35">
      <c r="B1190" vm="14140">
        <f ca="1"/>
        <v>44447</v>
      </c>
      <c r="C1190" vm="14141">
        <f ca="1"/>
        <v>143.691</v>
      </c>
      <c r="D1190" vm="14142">
        <f ca="1"/>
        <v>176.27500000000001</v>
      </c>
      <c r="E1190" vm="14143">
        <f ca="1"/>
        <v>96.68</v>
      </c>
      <c r="F1190" vm="14144">
        <f ca="1"/>
        <v>854.56</v>
      </c>
      <c r="G1190" vm="14145">
        <f ca="1"/>
        <v>224.4</v>
      </c>
      <c r="H1190" vm="14146">
        <f ca="1"/>
        <v>351.04</v>
      </c>
      <c r="I1190" vm="14147">
        <f ca="1"/>
        <v>86.44</v>
      </c>
      <c r="J1190" vm="12982">
        <f ca="1"/>
        <v>26.66</v>
      </c>
      <c r="K1190" vm="14148">
        <f ca="1"/>
        <v>22.338999999999999</v>
      </c>
      <c r="L1190" vm="14149">
        <f ca="1"/>
        <v>144.6</v>
      </c>
      <c r="M1190" vm="14150">
        <f ca="1"/>
        <v>415.39</v>
      </c>
      <c r="N1190" vm="14151">
        <f ca="1"/>
        <v>4514.07</v>
      </c>
    </row>
    <row r="1191" spans="2:14" x14ac:dyDescent="0.35">
      <c r="B1191" vm="14152">
        <f ca="1"/>
        <v>44448</v>
      </c>
      <c r="C1191" vm="14153">
        <f ca="1"/>
        <v>143.541</v>
      </c>
      <c r="D1191" vm="14154">
        <f ca="1"/>
        <v>174.208</v>
      </c>
      <c r="E1191" vm="14155">
        <f ca="1"/>
        <v>95.46</v>
      </c>
      <c r="F1191" vm="14156">
        <f ca="1"/>
        <v>844</v>
      </c>
      <c r="G1191" vm="8080">
        <f ca="1"/>
        <v>222.93</v>
      </c>
      <c r="H1191" vm="14157">
        <f ca="1"/>
        <v>351.41</v>
      </c>
      <c r="I1191" vm="14158">
        <f ca="1"/>
        <v>85.84</v>
      </c>
      <c r="J1191" vm="12467">
        <f ca="1"/>
        <v>26.62</v>
      </c>
      <c r="K1191" vm="14159">
        <f ca="1"/>
        <v>22.177</v>
      </c>
      <c r="L1191" vm="14160">
        <f ca="1"/>
        <v>143.99</v>
      </c>
      <c r="M1191" vm="14161">
        <f ca="1"/>
        <v>414.55</v>
      </c>
      <c r="N1191" vm="14162">
        <f ca="1"/>
        <v>4493.28</v>
      </c>
    </row>
    <row r="1192" spans="2:14" x14ac:dyDescent="0.35">
      <c r="B1192" vm="14163">
        <f ca="1"/>
        <v>44449</v>
      </c>
      <c r="C1192" vm="14164">
        <f ca="1"/>
        <v>140.876</v>
      </c>
      <c r="D1192" vm="14165">
        <f ca="1"/>
        <v>173.45750000000001</v>
      </c>
      <c r="E1192" vm="14166">
        <f ca="1"/>
        <v>94.83</v>
      </c>
      <c r="F1192" vm="14167">
        <f ca="1"/>
        <v>839.54</v>
      </c>
      <c r="G1192" vm="5368">
        <f ca="1"/>
        <v>222.37</v>
      </c>
      <c r="H1192" vm="14168">
        <f ca="1"/>
        <v>347.39</v>
      </c>
      <c r="I1192" vm="151">
        <f ca="1"/>
        <v>84.93</v>
      </c>
      <c r="J1192" vm="14169">
        <f ca="1"/>
        <v>26.78</v>
      </c>
      <c r="K1192" vm="14170">
        <f ca="1"/>
        <v>22.478000000000002</v>
      </c>
      <c r="L1192" vm="14171">
        <f ca="1"/>
        <v>144.13</v>
      </c>
      <c r="M1192" vm="14172">
        <f ca="1"/>
        <v>403.91</v>
      </c>
      <c r="N1192" vm="14173">
        <f ca="1"/>
        <v>4458.58</v>
      </c>
    </row>
    <row r="1193" spans="2:14" x14ac:dyDescent="0.35">
      <c r="B1193" vm="14174">
        <f ca="1"/>
        <v>44452</v>
      </c>
      <c r="C1193" vm="14175">
        <f ca="1"/>
        <v>142.33250000000001</v>
      </c>
      <c r="D1193" vm="14176">
        <f ca="1"/>
        <v>172.85849999999999</v>
      </c>
      <c r="E1193" vm="14177">
        <f ca="1"/>
        <v>94.06</v>
      </c>
      <c r="F1193" vm="14178">
        <f ca="1"/>
        <v>834.89</v>
      </c>
      <c r="G1193" vm="14179">
        <f ca="1"/>
        <v>223.6</v>
      </c>
      <c r="H1193" vm="14180">
        <f ca="1"/>
        <v>347.82</v>
      </c>
      <c r="I1193" vm="200">
        <f ca="1"/>
        <v>84.58</v>
      </c>
      <c r="J1193" vm="14181">
        <f ca="1"/>
        <v>28.11</v>
      </c>
      <c r="K1193" vm="14182">
        <f ca="1"/>
        <v>22.152000000000001</v>
      </c>
      <c r="L1193" vm="14183">
        <f ca="1"/>
        <v>145.68</v>
      </c>
      <c r="M1193" vm="14184">
        <f ca="1"/>
        <v>414.52</v>
      </c>
      <c r="N1193" vm="14185">
        <f ca="1"/>
        <v>4468.7299999999996</v>
      </c>
    </row>
    <row r="1194" spans="2:14" x14ac:dyDescent="0.35">
      <c r="B1194" vm="14186">
        <f ca="1"/>
        <v>44453</v>
      </c>
      <c r="C1194" vm="14187">
        <f ca="1"/>
        <v>142.5445</v>
      </c>
      <c r="D1194" vm="14188">
        <f ca="1"/>
        <v>172.5</v>
      </c>
      <c r="E1194" vm="2330">
        <f ca="1"/>
        <v>92.65</v>
      </c>
      <c r="F1194" vm="14189">
        <f ca="1"/>
        <v>843.44</v>
      </c>
      <c r="G1194" vm="14190">
        <f ca="1"/>
        <v>220.19</v>
      </c>
      <c r="H1194" vm="14191">
        <f ca="1"/>
        <v>345.8</v>
      </c>
      <c r="I1194" vm="12706">
        <f ca="1"/>
        <v>84.64</v>
      </c>
      <c r="J1194" vm="14192">
        <f ca="1"/>
        <v>27.67</v>
      </c>
      <c r="K1194" vm="14193">
        <f ca="1"/>
        <v>22.242000000000001</v>
      </c>
      <c r="L1194" vm="14194">
        <f ca="1"/>
        <v>145.43</v>
      </c>
      <c r="M1194" vm="14195">
        <f ca="1"/>
        <v>412.54</v>
      </c>
      <c r="N1194" vm="14196">
        <f ca="1"/>
        <v>4443.05</v>
      </c>
    </row>
    <row r="1195" spans="2:14" x14ac:dyDescent="0.35">
      <c r="B1195" vm="14197">
        <f ca="1"/>
        <v>44454</v>
      </c>
      <c r="C1195" vm="14198">
        <f ca="1"/>
        <v>144.42949999999999</v>
      </c>
      <c r="D1195" vm="14199">
        <f ca="1"/>
        <v>173.7895</v>
      </c>
      <c r="E1195" vm="14200">
        <f ca="1"/>
        <v>93.21</v>
      </c>
      <c r="F1195" vm="14201">
        <f ca="1"/>
        <v>853.25</v>
      </c>
      <c r="G1195" vm="3071">
        <f ca="1"/>
        <v>221.69</v>
      </c>
      <c r="H1195" vm="14202">
        <f ca="1"/>
        <v>344.75</v>
      </c>
      <c r="I1195" vm="14203">
        <f ca="1"/>
        <v>84.61</v>
      </c>
      <c r="J1195" vm="14204">
        <f ca="1"/>
        <v>29.24</v>
      </c>
      <c r="K1195" vm="14205">
        <f ca="1"/>
        <v>22.341000000000001</v>
      </c>
      <c r="L1195" vm="14206">
        <f ca="1"/>
        <v>145.12</v>
      </c>
      <c r="M1195" vm="14207">
        <f ca="1"/>
        <v>417.52</v>
      </c>
      <c r="N1195" vm="14208">
        <f ca="1"/>
        <v>4480.7</v>
      </c>
    </row>
    <row r="1196" spans="2:14" x14ac:dyDescent="0.35">
      <c r="B1196" vm="14209">
        <f ca="1"/>
        <v>44455</v>
      </c>
      <c r="C1196" vm="14210">
        <f ca="1"/>
        <v>143.61000000000001</v>
      </c>
      <c r="D1196" vm="14211">
        <f ca="1"/>
        <v>174.41200000000001</v>
      </c>
      <c r="E1196" vm="14212">
        <f ca="1"/>
        <v>92.75</v>
      </c>
      <c r="F1196" vm="14213">
        <f ca="1"/>
        <v>872.58</v>
      </c>
      <c r="G1196" vm="14214">
        <f ca="1"/>
        <v>219.65</v>
      </c>
      <c r="H1196" vm="14215">
        <f ca="1"/>
        <v>346.31</v>
      </c>
      <c r="I1196" vm="5249">
        <f ca="1"/>
        <v>84</v>
      </c>
      <c r="J1196" vm="14216">
        <f ca="1"/>
        <v>28.86</v>
      </c>
      <c r="K1196" vm="14193">
        <f ca="1"/>
        <v>22.242000000000001</v>
      </c>
      <c r="L1196" vm="10623">
        <f ca="1"/>
        <v>144.11000000000001</v>
      </c>
      <c r="M1196" vm="14217">
        <f ca="1"/>
        <v>416.84</v>
      </c>
      <c r="N1196" vm="14218">
        <f ca="1"/>
        <v>4473.75</v>
      </c>
    </row>
    <row r="1197" spans="2:14" x14ac:dyDescent="0.35">
      <c r="B1197" vm="14219">
        <f ca="1"/>
        <v>44456</v>
      </c>
      <c r="C1197" vm="14220">
        <f ca="1"/>
        <v>140.80000000000001</v>
      </c>
      <c r="D1197" vm="14221">
        <f ca="1"/>
        <v>173.126</v>
      </c>
      <c r="E1197" vm="14222">
        <f ca="1"/>
        <v>92.36</v>
      </c>
      <c r="F1197" vm="14223">
        <f ca="1"/>
        <v>850.23</v>
      </c>
      <c r="G1197" vm="14224">
        <f ca="1"/>
        <v>218.49</v>
      </c>
      <c r="H1197" vm="14225">
        <f ca="1"/>
        <v>343.04</v>
      </c>
      <c r="I1197" vm="14226">
        <f ca="1"/>
        <v>81.64</v>
      </c>
      <c r="J1197" vm="12747">
        <f ca="1"/>
        <v>28.31</v>
      </c>
      <c r="K1197" vm="14227">
        <f ca="1"/>
        <v>21.9</v>
      </c>
      <c r="L1197" vm="14228">
        <f ca="1"/>
        <v>144.34</v>
      </c>
      <c r="M1197" vm="14229">
        <f ca="1"/>
        <v>420.16</v>
      </c>
      <c r="N1197" vm="14230">
        <f ca="1"/>
        <v>4432.99</v>
      </c>
    </row>
    <row r="1198" spans="2:14" x14ac:dyDescent="0.35">
      <c r="B1198" vm="14231">
        <f ca="1"/>
        <v>44459</v>
      </c>
      <c r="C1198" vm="14232">
        <f ca="1"/>
        <v>138.71950000000001</v>
      </c>
      <c r="D1198" vm="14233">
        <f ca="1"/>
        <v>167.78649999999999</v>
      </c>
      <c r="E1198" vm="14212">
        <f ca="1"/>
        <v>92.75</v>
      </c>
      <c r="F1198" vm="14234">
        <f ca="1"/>
        <v>848.2</v>
      </c>
      <c r="G1198" vm="14235">
        <f ca="1"/>
        <v>215.73</v>
      </c>
      <c r="H1198" vm="14236">
        <f ca="1"/>
        <v>339.69</v>
      </c>
      <c r="I1198" vm="316">
        <f ca="1"/>
        <v>81.69</v>
      </c>
      <c r="J1198" vm="12759">
        <f ca="1"/>
        <v>27.25</v>
      </c>
      <c r="K1198" vm="14237">
        <f ca="1"/>
        <v>21.113</v>
      </c>
      <c r="L1198" vm="5838">
        <f ca="1"/>
        <v>142.88999999999999</v>
      </c>
      <c r="M1198" vm="13326">
        <f ca="1"/>
        <v>412.7</v>
      </c>
      <c r="N1198" vm="14238">
        <f ca="1"/>
        <v>4357.7299999999996</v>
      </c>
    </row>
    <row r="1199" spans="2:14" x14ac:dyDescent="0.35">
      <c r="B1199" vm="14239">
        <f ca="1"/>
        <v>44460</v>
      </c>
      <c r="C1199" vm="14240">
        <f ca="1"/>
        <v>139.03299999999999</v>
      </c>
      <c r="D1199" vm="14241">
        <f ca="1"/>
        <v>167.1815</v>
      </c>
      <c r="E1199" vm="2135">
        <f ca="1"/>
        <v>92.53</v>
      </c>
      <c r="F1199" vm="14242">
        <f ca="1"/>
        <v>860.12</v>
      </c>
      <c r="G1199" vm="14243">
        <f ca="1"/>
        <v>214.9</v>
      </c>
      <c r="H1199" vm="14244">
        <f ca="1"/>
        <v>337.38</v>
      </c>
      <c r="I1199" vm="5396">
        <f ca="1"/>
        <v>81.92</v>
      </c>
      <c r="J1199" vm="14245">
        <f ca="1"/>
        <v>26.93</v>
      </c>
      <c r="K1199" vm="14246">
        <f ca="1"/>
        <v>21.245999999999999</v>
      </c>
      <c r="L1199" vm="14247">
        <f ca="1"/>
        <v>143.11000000000001</v>
      </c>
      <c r="M1199" vm="14248">
        <f ca="1"/>
        <v>412.34</v>
      </c>
      <c r="N1199" vm="14249">
        <f ca="1"/>
        <v>4354.1899999999996</v>
      </c>
    </row>
    <row r="1200" spans="2:14" x14ac:dyDescent="0.35">
      <c r="B1200" vm="14250">
        <f ca="1"/>
        <v>44461</v>
      </c>
      <c r="C1200" vm="14251">
        <f ca="1"/>
        <v>140.2835</v>
      </c>
      <c r="D1200" vm="14252">
        <f ca="1"/>
        <v>169.0025</v>
      </c>
      <c r="E1200" vm="14253">
        <f ca="1"/>
        <v>92.95</v>
      </c>
      <c r="F1200" vm="14254">
        <f ca="1"/>
        <v>848.01</v>
      </c>
      <c r="G1200" vm="14255">
        <f ca="1"/>
        <v>217.02</v>
      </c>
      <c r="H1200" vm="14256">
        <f ca="1"/>
        <v>343.41</v>
      </c>
      <c r="I1200" vm="14257">
        <f ca="1"/>
        <v>81.900000000000006</v>
      </c>
      <c r="J1200" vm="14258">
        <f ca="1"/>
        <v>27.15</v>
      </c>
      <c r="K1200" vm="14259">
        <f ca="1"/>
        <v>21.940999999999999</v>
      </c>
      <c r="L1200" vm="14260">
        <f ca="1"/>
        <v>143.6</v>
      </c>
      <c r="M1200" vm="14261">
        <f ca="1"/>
        <v>408.7</v>
      </c>
      <c r="N1200" vm="14262">
        <f ca="1"/>
        <v>4395.6400000000003</v>
      </c>
    </row>
    <row r="1201" spans="2:14" x14ac:dyDescent="0.35">
      <c r="B1201" vm="14263">
        <f ca="1"/>
        <v>44462</v>
      </c>
      <c r="C1201" vm="14264">
        <f ca="1"/>
        <v>141.21600000000001</v>
      </c>
      <c r="D1201" vm="14265">
        <f ca="1"/>
        <v>170.8</v>
      </c>
      <c r="E1201" vm="14266">
        <f ca="1"/>
        <v>93.25</v>
      </c>
      <c r="F1201" vm="14267">
        <f ca="1"/>
        <v>834.68</v>
      </c>
      <c r="G1201" vm="14268">
        <f ca="1"/>
        <v>219.7</v>
      </c>
      <c r="H1201" vm="14269">
        <f ca="1"/>
        <v>354.07</v>
      </c>
      <c r="I1201" vm="14270">
        <f ca="1"/>
        <v>81.27</v>
      </c>
      <c r="J1201" vm="14271">
        <f ca="1"/>
        <v>28.88</v>
      </c>
      <c r="K1201" vm="14272">
        <f ca="1"/>
        <v>22.481999999999999</v>
      </c>
      <c r="L1201" vm="14273">
        <f ca="1"/>
        <v>144.19</v>
      </c>
      <c r="M1201" vm="14274">
        <f ca="1"/>
        <v>408.03</v>
      </c>
      <c r="N1201" vm="14275">
        <f ca="1"/>
        <v>4448.9799999999996</v>
      </c>
    </row>
    <row r="1202" spans="2:14" x14ac:dyDescent="0.35">
      <c r="B1202" vm="14276">
        <f ca="1"/>
        <v>44463</v>
      </c>
      <c r="C1202" vm="14277">
        <f ca="1"/>
        <v>142.215</v>
      </c>
      <c r="D1202" vm="14278">
        <f ca="1"/>
        <v>171.27600000000001</v>
      </c>
      <c r="E1202" vm="14279">
        <f ca="1"/>
        <v>92.3</v>
      </c>
      <c r="F1202" vm="14028">
        <f ca="1"/>
        <v>807.53</v>
      </c>
      <c r="G1202" vm="12896">
        <f ca="1"/>
        <v>219.19</v>
      </c>
      <c r="H1202" vm="14280">
        <f ca="1"/>
        <v>358.16</v>
      </c>
      <c r="I1202" vm="542">
        <f ca="1"/>
        <v>80.7</v>
      </c>
      <c r="J1202" vm="12710">
        <f ca="1"/>
        <v>29.01</v>
      </c>
      <c r="K1202" vm="14281">
        <f ca="1"/>
        <v>22.081</v>
      </c>
      <c r="L1202" vm="14282">
        <f ca="1"/>
        <v>143.55000000000001</v>
      </c>
      <c r="M1202" vm="14283">
        <f ca="1"/>
        <v>407.08</v>
      </c>
      <c r="N1202" vm="14284">
        <f ca="1"/>
        <v>4455.4799999999996</v>
      </c>
    </row>
    <row r="1203" spans="2:14" x14ac:dyDescent="0.35">
      <c r="B1203" vm="14285">
        <f ca="1"/>
        <v>44466</v>
      </c>
      <c r="C1203" vm="14286">
        <f ca="1"/>
        <v>141.072</v>
      </c>
      <c r="D1203" vm="14287">
        <f ca="1"/>
        <v>170.29</v>
      </c>
      <c r="E1203" vm="1839">
        <f ca="1"/>
        <v>90.82</v>
      </c>
      <c r="F1203" vm="14288">
        <f ca="1"/>
        <v>798.94</v>
      </c>
      <c r="G1203" vm="14289">
        <f ca="1"/>
        <v>217.9</v>
      </c>
      <c r="H1203" vm="14290">
        <f ca="1"/>
        <v>356.77</v>
      </c>
      <c r="I1203" vm="8060">
        <f ca="1"/>
        <v>78.760000000000005</v>
      </c>
      <c r="J1203" vm="14291">
        <f ca="1"/>
        <v>30.19</v>
      </c>
      <c r="K1203" vm="14292">
        <f ca="1"/>
        <v>21.66</v>
      </c>
      <c r="L1203" vm="14293">
        <f ca="1"/>
        <v>141.66</v>
      </c>
      <c r="M1203" vm="14294">
        <f ca="1"/>
        <v>405.27</v>
      </c>
      <c r="N1203" vm="14295">
        <f ca="1"/>
        <v>4443.1099999999997</v>
      </c>
    </row>
    <row r="1204" spans="2:14" x14ac:dyDescent="0.35">
      <c r="B1204" vm="14296">
        <f ca="1"/>
        <v>44467</v>
      </c>
      <c r="C1204" vm="14297">
        <f ca="1"/>
        <v>135.83000000000001</v>
      </c>
      <c r="D1204" vm="14298">
        <f ca="1"/>
        <v>165.798</v>
      </c>
      <c r="E1204" vm="14299">
        <f ca="1"/>
        <v>89.71</v>
      </c>
      <c r="F1204" vm="14300">
        <f ca="1"/>
        <v>801.58</v>
      </c>
      <c r="G1204" vm="14301">
        <f ca="1"/>
        <v>214.97</v>
      </c>
      <c r="H1204" vm="14302">
        <f ca="1"/>
        <v>351.18</v>
      </c>
      <c r="I1204" vm="14303">
        <f ca="1"/>
        <v>77.27</v>
      </c>
      <c r="J1204" vm="14304">
        <f ca="1"/>
        <v>30.91</v>
      </c>
      <c r="K1204" vm="14305">
        <f ca="1"/>
        <v>20.699000000000002</v>
      </c>
      <c r="L1204" vm="9952">
        <f ca="1"/>
        <v>140.59</v>
      </c>
      <c r="M1204" vm="14306">
        <f ca="1"/>
        <v>398.62</v>
      </c>
      <c r="N1204" vm="14307">
        <f ca="1"/>
        <v>4352.63</v>
      </c>
    </row>
    <row r="1205" spans="2:14" x14ac:dyDescent="0.35">
      <c r="B1205" vm="14308">
        <f ca="1"/>
        <v>44468</v>
      </c>
      <c r="C1205" vm="14309">
        <f ca="1"/>
        <v>134.3535</v>
      </c>
      <c r="D1205" vm="14310">
        <f ca="1"/>
        <v>165.05600000000001</v>
      </c>
      <c r="E1205" vm="14311">
        <f ca="1"/>
        <v>89.74</v>
      </c>
      <c r="F1205" vm="14312">
        <f ca="1"/>
        <v>790.13</v>
      </c>
      <c r="G1205" vm="14313">
        <f ca="1"/>
        <v>214.92</v>
      </c>
      <c r="H1205" vm="14314">
        <f ca="1"/>
        <v>353.19</v>
      </c>
      <c r="I1205" vm="14315">
        <f ca="1"/>
        <v>78.349999999999994</v>
      </c>
      <c r="J1205" vm="14316">
        <f ca="1"/>
        <v>30.33</v>
      </c>
      <c r="K1205" vm="14317">
        <f ca="1"/>
        <v>20.516999999999999</v>
      </c>
      <c r="L1205" vm="14318">
        <f ca="1"/>
        <v>142.02000000000001</v>
      </c>
      <c r="M1205" vm="14319">
        <f ca="1"/>
        <v>400.41</v>
      </c>
      <c r="N1205" vm="14320">
        <f ca="1"/>
        <v>4359.46</v>
      </c>
    </row>
    <row r="1206" spans="2:14" x14ac:dyDescent="0.35">
      <c r="B1206" vm="14321">
        <f ca="1"/>
        <v>44469</v>
      </c>
      <c r="C1206" vm="14322">
        <f ca="1"/>
        <v>133.67599999999999</v>
      </c>
      <c r="D1206" vm="14323">
        <f ca="1"/>
        <v>164.25200000000001</v>
      </c>
      <c r="E1206" vm="826">
        <f ca="1"/>
        <v>89.97</v>
      </c>
      <c r="F1206" vm="14324">
        <f ca="1"/>
        <v>789.32</v>
      </c>
      <c r="G1206" vm="14325">
        <f ca="1"/>
        <v>212.28</v>
      </c>
      <c r="H1206" vm="14326">
        <f ca="1"/>
        <v>347.68</v>
      </c>
      <c r="I1206" vm="3607">
        <f ca="1"/>
        <v>78.52</v>
      </c>
      <c r="J1206" vm="13824">
        <f ca="1"/>
        <v>29.64</v>
      </c>
      <c r="K1206" vm="14327">
        <f ca="1"/>
        <v>20.716000000000001</v>
      </c>
      <c r="L1206" vm="14328">
        <f ca="1"/>
        <v>139.80000000000001</v>
      </c>
      <c r="M1206" vm="14329">
        <f ca="1"/>
        <v>390.74</v>
      </c>
      <c r="N1206" vm="14330">
        <f ca="1"/>
        <v>4307.54</v>
      </c>
    </row>
    <row r="1207" spans="2:14" x14ac:dyDescent="0.35">
      <c r="B1207" vm="14331">
        <f ca="1"/>
        <v>44470</v>
      </c>
      <c r="C1207" vm="14332">
        <f ca="1"/>
        <v>136.54300000000001</v>
      </c>
      <c r="D1207" vm="14333">
        <f ca="1"/>
        <v>164.16300000000001</v>
      </c>
      <c r="E1207" vm="792">
        <f ca="1"/>
        <v>89.85</v>
      </c>
      <c r="F1207" vm="14334">
        <f ca="1"/>
        <v>785.61</v>
      </c>
      <c r="G1207" vm="14335">
        <f ca="1"/>
        <v>215.65</v>
      </c>
      <c r="H1207" vm="14336">
        <f ca="1"/>
        <v>360.18</v>
      </c>
      <c r="I1207" vm="3306">
        <f ca="1"/>
        <v>79.209999999999994</v>
      </c>
      <c r="J1207" vm="14337">
        <f ca="1"/>
        <v>30.36</v>
      </c>
      <c r="K1207" vm="14338">
        <f ca="1"/>
        <v>20.742000000000001</v>
      </c>
      <c r="L1207" vm="14339">
        <f ca="1"/>
        <v>139.58000000000001</v>
      </c>
      <c r="M1207" vm="5641">
        <f ca="1"/>
        <v>392.43</v>
      </c>
      <c r="N1207" vm="14340">
        <f ca="1"/>
        <v>4357.04</v>
      </c>
    </row>
    <row r="1208" spans="2:14" x14ac:dyDescent="0.35">
      <c r="B1208" vm="14341">
        <f ca="1"/>
        <v>44473</v>
      </c>
      <c r="C1208" vm="14342">
        <f ca="1"/>
        <v>133.65950000000001</v>
      </c>
      <c r="D1208" vm="14343">
        <f ca="1"/>
        <v>159.489</v>
      </c>
      <c r="E1208" vm="14344">
        <f ca="1"/>
        <v>89.82</v>
      </c>
      <c r="F1208" vm="14345">
        <f ca="1"/>
        <v>760.07</v>
      </c>
      <c r="G1208" vm="14346">
        <f ca="1"/>
        <v>214.21</v>
      </c>
      <c r="H1208" vm="14347">
        <f ca="1"/>
        <v>344.2</v>
      </c>
      <c r="I1208" vm="14348">
        <f ca="1"/>
        <v>79.36</v>
      </c>
      <c r="J1208" vm="14349">
        <f ca="1"/>
        <v>30.88</v>
      </c>
      <c r="K1208" vm="14350">
        <f ca="1"/>
        <v>19.731999999999999</v>
      </c>
      <c r="L1208" vm="12207">
        <f ca="1"/>
        <v>138.79</v>
      </c>
      <c r="M1208" vm="14351">
        <f ca="1"/>
        <v>387.01</v>
      </c>
      <c r="N1208" vm="14352">
        <f ca="1"/>
        <v>4300.46</v>
      </c>
    </row>
    <row r="1209" spans="2:14" x14ac:dyDescent="0.35">
      <c r="B1209" vm="14353">
        <f ca="1"/>
        <v>44474</v>
      </c>
      <c r="C1209" vm="14354">
        <f ca="1"/>
        <v>136.023</v>
      </c>
      <c r="D1209" vm="14355">
        <f ca="1"/>
        <v>161.05000000000001</v>
      </c>
      <c r="E1209" vm="14356">
        <f ca="1"/>
        <v>91.49</v>
      </c>
      <c r="F1209" vm="14357">
        <f ca="1"/>
        <v>762.32</v>
      </c>
      <c r="G1209" vm="14358">
        <f ca="1"/>
        <v>215.72</v>
      </c>
      <c r="H1209" vm="14359">
        <f ca="1"/>
        <v>343.21</v>
      </c>
      <c r="I1209" vm="14360">
        <f ca="1"/>
        <v>79.48</v>
      </c>
      <c r="J1209" vm="14361">
        <f ca="1"/>
        <v>30.59</v>
      </c>
      <c r="K1209" vm="14362">
        <f ca="1"/>
        <v>20.451000000000001</v>
      </c>
      <c r="L1209" vm="14363">
        <f ca="1"/>
        <v>139.33000000000001</v>
      </c>
      <c r="M1209" vm="14364">
        <f ca="1"/>
        <v>393.43</v>
      </c>
      <c r="N1209" vm="14365">
        <f ca="1"/>
        <v>4345.72</v>
      </c>
    </row>
    <row r="1210" spans="2:14" x14ac:dyDescent="0.35">
      <c r="B1210" vm="14366">
        <f ca="1"/>
        <v>44475</v>
      </c>
      <c r="C1210" vm="14367">
        <f ca="1"/>
        <v>137.565</v>
      </c>
      <c r="D1210" vm="14368">
        <f ca="1"/>
        <v>163.10050000000001</v>
      </c>
      <c r="E1210" vm="5926">
        <f ca="1"/>
        <v>92.45</v>
      </c>
      <c r="F1210" vm="14369">
        <f ca="1"/>
        <v>766.49</v>
      </c>
      <c r="G1210" vm="14370">
        <f ca="1"/>
        <v>216.86</v>
      </c>
      <c r="H1210" vm="14371">
        <f ca="1"/>
        <v>348.69</v>
      </c>
      <c r="I1210" vm="14372">
        <f ca="1"/>
        <v>81.180000000000007</v>
      </c>
      <c r="J1210" vm="14373">
        <f ca="1"/>
        <v>29.94</v>
      </c>
      <c r="K1210" vm="14374">
        <f ca="1"/>
        <v>20.7</v>
      </c>
      <c r="L1210" vm="14375">
        <f ca="1"/>
        <v>141.19</v>
      </c>
      <c r="M1210" vm="14376">
        <f ca="1"/>
        <v>394.25</v>
      </c>
      <c r="N1210" vm="14377">
        <f ca="1"/>
        <v>4363.55</v>
      </c>
    </row>
    <row r="1211" spans="2:14" x14ac:dyDescent="0.35">
      <c r="B1211" vm="14378">
        <f ca="1"/>
        <v>44476</v>
      </c>
      <c r="C1211" vm="14379">
        <f ca="1"/>
        <v>139.22499999999999</v>
      </c>
      <c r="D1211" vm="14380">
        <f ca="1"/>
        <v>165.1215</v>
      </c>
      <c r="E1211" vm="14381">
        <f ca="1"/>
        <v>91.91</v>
      </c>
      <c r="F1211" vm="14382">
        <f ca="1"/>
        <v>750.96</v>
      </c>
      <c r="G1211" vm="14383">
        <f ca="1"/>
        <v>218.37</v>
      </c>
      <c r="H1211" vm="14384">
        <f ca="1"/>
        <v>353.91</v>
      </c>
      <c r="I1211" vm="14385">
        <f ca="1"/>
        <v>80.92</v>
      </c>
      <c r="J1211" vm="14386">
        <f ca="1"/>
        <v>31.02</v>
      </c>
      <c r="K1211" vm="14387">
        <f ca="1"/>
        <v>21.074999999999999</v>
      </c>
      <c r="L1211" vm="14388">
        <f ca="1"/>
        <v>142.32</v>
      </c>
      <c r="M1211" vm="14389">
        <f ca="1"/>
        <v>404.7</v>
      </c>
      <c r="N1211" vm="14390">
        <f ca="1"/>
        <v>4399.76</v>
      </c>
    </row>
    <row r="1212" spans="2:14" x14ac:dyDescent="0.35">
      <c r="B1212" vm="14391">
        <f ca="1"/>
        <v>44477</v>
      </c>
      <c r="C1212" vm="14392">
        <f ca="1"/>
        <v>139.78550000000001</v>
      </c>
      <c r="D1212" vm="14393">
        <f ca="1"/>
        <v>164.43100000000001</v>
      </c>
      <c r="E1212" vm="646">
        <f ca="1"/>
        <v>91.4</v>
      </c>
      <c r="F1212" vm="14394">
        <f ca="1"/>
        <v>750.01</v>
      </c>
      <c r="G1212" vm="14395">
        <f ca="1"/>
        <v>217.7</v>
      </c>
      <c r="H1212" vm="14396">
        <f ca="1"/>
        <v>354.96</v>
      </c>
      <c r="I1212" vm="14397">
        <f ca="1"/>
        <v>80.209999999999994</v>
      </c>
      <c r="J1212" vm="14398">
        <f ca="1"/>
        <v>31.66</v>
      </c>
      <c r="K1212" vm="14399">
        <f ca="1"/>
        <v>20.831</v>
      </c>
      <c r="L1212" vm="14400">
        <f ca="1"/>
        <v>141.72999999999999</v>
      </c>
      <c r="M1212" vm="14401">
        <f ca="1"/>
        <v>408.46</v>
      </c>
      <c r="N1212" vm="14402">
        <f ca="1"/>
        <v>4391.34</v>
      </c>
    </row>
    <row r="1213" spans="2:14" x14ac:dyDescent="0.35">
      <c r="B1213" vm="14403">
        <f ca="1"/>
        <v>44480</v>
      </c>
      <c r="C1213" vm="14404">
        <f ca="1"/>
        <v>138.91399999999999</v>
      </c>
      <c r="D1213" vm="14405">
        <f ca="1"/>
        <v>162.315</v>
      </c>
      <c r="E1213" vm="14406">
        <f ca="1"/>
        <v>90.94</v>
      </c>
      <c r="F1213" vm="14407">
        <f ca="1"/>
        <v>759.43</v>
      </c>
      <c r="G1213" vm="14408">
        <f ca="1"/>
        <v>215.29</v>
      </c>
      <c r="H1213" vm="14409">
        <f ca="1"/>
        <v>347.15</v>
      </c>
      <c r="I1213" vm="14410">
        <f ca="1"/>
        <v>77.83</v>
      </c>
      <c r="J1213" vm="14411">
        <f ca="1"/>
        <v>32.46</v>
      </c>
      <c r="K1213" vm="14412">
        <f ca="1"/>
        <v>20.695</v>
      </c>
      <c r="L1213" vm="14388">
        <f ca="1"/>
        <v>142.32</v>
      </c>
      <c r="M1213" vm="14413">
        <f ca="1"/>
        <v>404.99</v>
      </c>
      <c r="N1213" vm="14414">
        <f ca="1"/>
        <v>4361.1899999999996</v>
      </c>
    </row>
    <row r="1214" spans="2:14" x14ac:dyDescent="0.35">
      <c r="B1214" vm="14415">
        <f ca="1"/>
        <v>44481</v>
      </c>
      <c r="C1214" vm="14416">
        <f ca="1"/>
        <v>136.44900000000001</v>
      </c>
      <c r="D1214" vm="14417">
        <f ca="1"/>
        <v>162.3665</v>
      </c>
      <c r="E1214" vm="14418">
        <f ca="1"/>
        <v>90.46</v>
      </c>
      <c r="F1214" vm="14419">
        <f ca="1"/>
        <v>763.45</v>
      </c>
      <c r="G1214" vm="14420">
        <f ca="1"/>
        <v>214.33</v>
      </c>
      <c r="H1214" vm="14421">
        <f ca="1"/>
        <v>345.34</v>
      </c>
      <c r="I1214" vm="5459">
        <f ca="1"/>
        <v>78.87</v>
      </c>
      <c r="J1214" vm="13530">
        <f ca="1"/>
        <v>32.880000000000003</v>
      </c>
      <c r="K1214" vm="14422">
        <f ca="1"/>
        <v>20.670999999999999</v>
      </c>
      <c r="L1214" vm="14423">
        <f ca="1"/>
        <v>142.11000000000001</v>
      </c>
      <c r="M1214" vm="14424">
        <f ca="1"/>
        <v>403.24</v>
      </c>
      <c r="N1214" vm="14425">
        <f ca="1"/>
        <v>4350.6499999999996</v>
      </c>
    </row>
    <row r="1215" spans="2:14" x14ac:dyDescent="0.35">
      <c r="B1215" vm="14426">
        <f ca="1"/>
        <v>44482</v>
      </c>
      <c r="C1215" vm="14427">
        <f ca="1"/>
        <v>137.58199999999999</v>
      </c>
      <c r="D1215" vm="14428">
        <f ca="1"/>
        <v>164.214</v>
      </c>
      <c r="E1215" vm="14429">
        <f ca="1"/>
        <v>90.78</v>
      </c>
      <c r="F1215" vm="14430">
        <f ca="1"/>
        <v>769.65</v>
      </c>
      <c r="G1215" vm="14431">
        <f ca="1"/>
        <v>215.58</v>
      </c>
      <c r="H1215" vm="14432">
        <f ca="1"/>
        <v>342.35</v>
      </c>
      <c r="I1215" vm="12348">
        <f ca="1"/>
        <v>80.19</v>
      </c>
      <c r="J1215" vm="14433">
        <f ca="1"/>
        <v>32.76</v>
      </c>
      <c r="K1215" vm="14434">
        <f ca="1"/>
        <v>20.939</v>
      </c>
      <c r="L1215" vm="14435">
        <f ca="1"/>
        <v>142.44</v>
      </c>
      <c r="M1215" vm="14436">
        <f ca="1"/>
        <v>403.55</v>
      </c>
      <c r="N1215" vm="14437">
        <f ca="1"/>
        <v>4363.8</v>
      </c>
    </row>
    <row r="1216" spans="2:14" x14ac:dyDescent="0.35">
      <c r="B1216" vm="14438">
        <f ca="1"/>
        <v>44483</v>
      </c>
      <c r="C1216" vm="14439">
        <f ca="1"/>
        <v>141.15100000000001</v>
      </c>
      <c r="D1216" vm="14440">
        <f ca="1"/>
        <v>164.99299999999999</v>
      </c>
      <c r="E1216" vm="6083">
        <f ca="1"/>
        <v>92.02</v>
      </c>
      <c r="F1216" vm="14441">
        <f ca="1"/>
        <v>781.39</v>
      </c>
      <c r="G1216" vm="14442">
        <f ca="1"/>
        <v>218.59</v>
      </c>
      <c r="H1216" vm="14443">
        <f ca="1"/>
        <v>344.58</v>
      </c>
      <c r="I1216" vm="14444">
        <f ca="1"/>
        <v>81.459999999999994</v>
      </c>
      <c r="J1216" vm="14445">
        <f ca="1"/>
        <v>33.520000000000003</v>
      </c>
      <c r="K1216" vm="14446">
        <f ca="1"/>
        <v>21.745999999999999</v>
      </c>
      <c r="L1216" vm="5789">
        <f ca="1"/>
        <v>144.05000000000001</v>
      </c>
      <c r="M1216" vm="14447">
        <f ca="1"/>
        <v>420.36</v>
      </c>
      <c r="N1216" vm="14448">
        <f ca="1"/>
        <v>4438.26</v>
      </c>
    </row>
    <row r="1217" spans="2:14" x14ac:dyDescent="0.35">
      <c r="B1217" vm="14449">
        <f ca="1"/>
        <v>44484</v>
      </c>
      <c r="C1217" vm="14450">
        <f ca="1"/>
        <v>141.36799999999999</v>
      </c>
      <c r="D1217" vm="14451">
        <f ca="1"/>
        <v>170.45099999999999</v>
      </c>
      <c r="E1217" vm="12299">
        <f ca="1"/>
        <v>91.3</v>
      </c>
      <c r="F1217" vm="14452">
        <f ca="1"/>
        <v>767.77</v>
      </c>
      <c r="G1217" vm="14453">
        <f ca="1"/>
        <v>220.72</v>
      </c>
      <c r="H1217" vm="11106">
        <f ca="1"/>
        <v>356</v>
      </c>
      <c r="I1217" vm="14454">
        <f ca="1"/>
        <v>81.67</v>
      </c>
      <c r="J1217" vm="14455">
        <f ca="1"/>
        <v>34</v>
      </c>
      <c r="K1217" vm="14456">
        <f ca="1"/>
        <v>21.861999999999998</v>
      </c>
      <c r="L1217" vm="14457">
        <f ca="1"/>
        <v>144.41999999999999</v>
      </c>
      <c r="M1217" vm="14458">
        <f ca="1"/>
        <v>428.07</v>
      </c>
      <c r="N1217" vm="14459">
        <f ca="1"/>
        <v>4471.37</v>
      </c>
    </row>
    <row r="1218" spans="2:14" x14ac:dyDescent="0.35">
      <c r="B1218" vm="14460">
        <f ca="1"/>
        <v>44487</v>
      </c>
      <c r="C1218" vm="14461">
        <f ca="1"/>
        <v>142.77799999999999</v>
      </c>
      <c r="D1218" vm="14462">
        <f ca="1"/>
        <v>172.33699999999999</v>
      </c>
      <c r="E1218" vm="14463">
        <f ca="1"/>
        <v>90.11</v>
      </c>
      <c r="F1218" vm="14464">
        <f ca="1"/>
        <v>779.67</v>
      </c>
      <c r="G1218" vm="14465">
        <f ca="1"/>
        <v>220.63</v>
      </c>
      <c r="H1218" vm="14466">
        <f ca="1"/>
        <v>358.44</v>
      </c>
      <c r="I1218" vm="14467">
        <f ca="1"/>
        <v>80.989999999999995</v>
      </c>
      <c r="J1218" vm="14468">
        <f ca="1"/>
        <v>34.159999999999997</v>
      </c>
      <c r="K1218" vm="14469">
        <f ca="1"/>
        <v>22.222000000000001</v>
      </c>
      <c r="L1218" vm="14470">
        <f ca="1"/>
        <v>142.34</v>
      </c>
      <c r="M1218" vm="14471">
        <f ca="1"/>
        <v>424.62</v>
      </c>
      <c r="N1218" vm="14472">
        <f ca="1"/>
        <v>4486.46</v>
      </c>
    </row>
    <row r="1219" spans="2:14" x14ac:dyDescent="0.35">
      <c r="B1219" vm="14473">
        <f ca="1"/>
        <v>44488</v>
      </c>
      <c r="C1219" vm="14474">
        <f ca="1"/>
        <v>143.23699999999999</v>
      </c>
      <c r="D1219" vm="14475">
        <f ca="1"/>
        <v>172.20750000000001</v>
      </c>
      <c r="E1219" vm="6129">
        <f ca="1"/>
        <v>90.64</v>
      </c>
      <c r="F1219" vm="14476">
        <f ca="1"/>
        <v>793.84</v>
      </c>
      <c r="G1219" vm="14477">
        <f ca="1"/>
        <v>221.78</v>
      </c>
      <c r="H1219" vm="14478">
        <f ca="1"/>
        <v>362.1</v>
      </c>
      <c r="I1219" vm="13537">
        <f ca="1"/>
        <v>82.03</v>
      </c>
      <c r="J1219" vm="8334">
        <f ca="1"/>
        <v>34.54</v>
      </c>
      <c r="K1219" vm="14479">
        <f ca="1"/>
        <v>22.29</v>
      </c>
      <c r="L1219" vm="14480">
        <f ca="1"/>
        <v>140.66</v>
      </c>
      <c r="M1219" vm="14481">
        <f ca="1"/>
        <v>424.38</v>
      </c>
      <c r="N1219" vm="14482">
        <f ca="1"/>
        <v>4519.63</v>
      </c>
    </row>
    <row r="1220" spans="2:14" x14ac:dyDescent="0.35">
      <c r="B1220" vm="14483">
        <f ca="1"/>
        <v>44489</v>
      </c>
      <c r="C1220" vm="14484">
        <f ca="1"/>
        <v>141.76900000000001</v>
      </c>
      <c r="D1220" vm="14485">
        <f ca="1"/>
        <v>170.75299999999999</v>
      </c>
      <c r="E1220" vm="11993">
        <f ca="1"/>
        <v>92.58</v>
      </c>
      <c r="F1220" vm="14486">
        <f ca="1"/>
        <v>810.16</v>
      </c>
      <c r="G1220" vm="14487">
        <f ca="1"/>
        <v>223.64</v>
      </c>
      <c r="H1220" vm="14290">
        <f ca="1"/>
        <v>356.77</v>
      </c>
      <c r="I1220" vm="14488">
        <f ca="1"/>
        <v>83.92</v>
      </c>
      <c r="J1220" vm="1241">
        <f ca="1"/>
        <v>34.74</v>
      </c>
      <c r="K1220" vm="14489">
        <f ca="1"/>
        <v>22.103000000000002</v>
      </c>
      <c r="L1220" vm="14490">
        <f ca="1"/>
        <v>141.21</v>
      </c>
      <c r="M1220" vm="14491">
        <f ca="1"/>
        <v>435.09</v>
      </c>
      <c r="N1220" vm="14492">
        <f ca="1"/>
        <v>4536.1899999999996</v>
      </c>
    </row>
    <row r="1221" spans="2:14" x14ac:dyDescent="0.35">
      <c r="B1221" vm="14493">
        <f ca="1"/>
        <v>44490</v>
      </c>
      <c r="C1221" vm="14494">
        <f ca="1"/>
        <v>141.886</v>
      </c>
      <c r="D1221" vm="14495">
        <f ca="1"/>
        <v>171.75049999999999</v>
      </c>
      <c r="E1221" vm="2484">
        <f ca="1"/>
        <v>93.04</v>
      </c>
      <c r="F1221" vm="14496">
        <f ca="1"/>
        <v>821.02</v>
      </c>
      <c r="G1221" vm="14497">
        <f ca="1"/>
        <v>224.52</v>
      </c>
      <c r="H1221" vm="14498">
        <f ca="1"/>
        <v>356.21</v>
      </c>
      <c r="I1221" vm="14054">
        <f ca="1"/>
        <v>83.81</v>
      </c>
      <c r="J1221" vm="14499">
        <f ca="1"/>
        <v>34.299999999999997</v>
      </c>
      <c r="K1221" vm="14500">
        <f ca="1"/>
        <v>22.692</v>
      </c>
      <c r="L1221" vm="14363">
        <f ca="1"/>
        <v>139.33000000000001</v>
      </c>
      <c r="M1221" vm="2908">
        <f ca="1"/>
        <v>442.28</v>
      </c>
      <c r="N1221" vm="14501">
        <f ca="1"/>
        <v>4549.78</v>
      </c>
    </row>
    <row r="1222" spans="2:14" x14ac:dyDescent="0.35">
      <c r="B1222" vm="14502">
        <f ca="1"/>
        <v>44491</v>
      </c>
      <c r="C1222" vm="14503">
        <f ca="1"/>
        <v>137.56649999999999</v>
      </c>
      <c r="D1222" vm="14504">
        <f ca="1"/>
        <v>166.7775</v>
      </c>
      <c r="E1222" vm="14505">
        <f ca="1"/>
        <v>92.21</v>
      </c>
      <c r="F1222" vm="14506">
        <f ca="1"/>
        <v>822.78</v>
      </c>
      <c r="G1222" vm="14507">
        <f ca="1"/>
        <v>217.4</v>
      </c>
      <c r="H1222" vm="14508">
        <f ca="1"/>
        <v>358.67</v>
      </c>
      <c r="I1222" vm="13739">
        <f ca="1"/>
        <v>84.42</v>
      </c>
      <c r="J1222" vm="14509">
        <f ca="1"/>
        <v>33.909999999999997</v>
      </c>
      <c r="K1222" vm="14510">
        <f ca="1"/>
        <v>22.725999999999999</v>
      </c>
      <c r="L1222" vm="14511">
        <f ca="1"/>
        <v>140.83000000000001</v>
      </c>
      <c r="M1222" vm="14512">
        <f ca="1"/>
        <v>449.16</v>
      </c>
      <c r="N1222" vm="14513">
        <f ca="1"/>
        <v>4544.8999999999996</v>
      </c>
    </row>
    <row r="1223" spans="2:14" x14ac:dyDescent="0.35">
      <c r="B1223" vm="14514">
        <f ca="1"/>
        <v>44494</v>
      </c>
      <c r="C1223" vm="14515">
        <f ca="1"/>
        <v>137.447</v>
      </c>
      <c r="D1223" vm="14516">
        <f ca="1"/>
        <v>166.01849999999999</v>
      </c>
      <c r="E1223" vm="149">
        <f ca="1"/>
        <v>87.48</v>
      </c>
      <c r="F1223" vm="14517">
        <f ca="1"/>
        <v>831.85</v>
      </c>
      <c r="G1223" vm="14518">
        <f ca="1"/>
        <v>217.54</v>
      </c>
      <c r="H1223" vm="14519">
        <f ca="1"/>
        <v>360.86</v>
      </c>
      <c r="I1223" vm="14520">
        <f ca="1"/>
        <v>84.29</v>
      </c>
      <c r="J1223" vm="14521">
        <f ca="1"/>
        <v>34.36</v>
      </c>
      <c r="K1223" vm="14522">
        <f ca="1"/>
        <v>23.166</v>
      </c>
      <c r="L1223" vm="13804">
        <f ca="1"/>
        <v>140.85</v>
      </c>
      <c r="M1223" vm="1958">
        <f ca="1"/>
        <v>449.49</v>
      </c>
      <c r="N1223" vm="14523">
        <f ca="1"/>
        <v>4566.4799999999996</v>
      </c>
    </row>
    <row r="1224" spans="2:14" x14ac:dyDescent="0.35">
      <c r="B1224" vm="14524">
        <f ca="1"/>
        <v>44495</v>
      </c>
      <c r="C1224" vm="14525">
        <f ca="1"/>
        <v>139.30850000000001</v>
      </c>
      <c r="D1224" vm="14526">
        <f ca="1"/>
        <v>168.80350000000001</v>
      </c>
      <c r="E1224" vm="1790">
        <f ca="1"/>
        <v>89.14</v>
      </c>
      <c r="F1224" vm="14527">
        <f ca="1"/>
        <v>824.82</v>
      </c>
      <c r="G1224" vm="14528">
        <f ca="1"/>
        <v>218.32</v>
      </c>
      <c r="H1224" vm="6170">
        <f ca="1"/>
        <v>357.32</v>
      </c>
      <c r="I1224" vm="14529">
        <f ca="1"/>
        <v>85.47</v>
      </c>
      <c r="J1224" vm="14530">
        <f ca="1"/>
        <v>34.26</v>
      </c>
      <c r="K1224" vm="14531">
        <f ca="1"/>
        <v>24.716999999999999</v>
      </c>
      <c r="L1224" vm="14532">
        <f ca="1"/>
        <v>142.85</v>
      </c>
      <c r="M1224" vm="14533">
        <f ca="1"/>
        <v>454.64</v>
      </c>
      <c r="N1224" vm="14534">
        <f ca="1"/>
        <v>4574.79</v>
      </c>
    </row>
    <row r="1225" spans="2:14" x14ac:dyDescent="0.35">
      <c r="B1225" vm="14535">
        <f ca="1"/>
        <v>44496</v>
      </c>
      <c r="C1225" vm="14536">
        <f ca="1"/>
        <v>146.2175</v>
      </c>
      <c r="D1225" vm="14537">
        <f ca="1"/>
        <v>169.62450000000001</v>
      </c>
      <c r="E1225" vm="14538">
        <f ca="1"/>
        <v>91.45</v>
      </c>
      <c r="F1225" vm="14539">
        <f ca="1"/>
        <v>847.3</v>
      </c>
      <c r="G1225" vm="14358">
        <f ca="1"/>
        <v>215.72</v>
      </c>
      <c r="H1225" vm="14540">
        <f ca="1"/>
        <v>335.72</v>
      </c>
      <c r="I1225" vm="14541">
        <f ca="1"/>
        <v>85.01</v>
      </c>
      <c r="J1225" vm="14542">
        <f ca="1"/>
        <v>32.54</v>
      </c>
      <c r="K1225" vm="14543">
        <f ca="1"/>
        <v>24.451000000000001</v>
      </c>
      <c r="L1225" vm="14544">
        <f ca="1"/>
        <v>141.83000000000001</v>
      </c>
      <c r="M1225" vm="14545">
        <f ca="1"/>
        <v>453.48</v>
      </c>
      <c r="N1225" vm="14546">
        <f ca="1"/>
        <v>4551.68</v>
      </c>
    </row>
    <row r="1226" spans="2:14" x14ac:dyDescent="0.35">
      <c r="B1226" vm="14547">
        <f ca="1"/>
        <v>44497</v>
      </c>
      <c r="C1226" vm="14548">
        <f ca="1"/>
        <v>145.84899999999999</v>
      </c>
      <c r="D1226" vm="14549">
        <f ca="1"/>
        <v>172.32849999999999</v>
      </c>
      <c r="E1226" vm="14550">
        <f ca="1"/>
        <v>91.81</v>
      </c>
      <c r="F1226" vm="14551">
        <f ca="1"/>
        <v>837.07</v>
      </c>
      <c r="G1226" vm="14552">
        <f ca="1"/>
        <v>218.48</v>
      </c>
      <c r="H1226" vm="14553">
        <f ca="1"/>
        <v>333.03</v>
      </c>
      <c r="I1226" vm="14554">
        <f ca="1"/>
        <v>86.42</v>
      </c>
      <c r="J1226" vm="14555">
        <f ca="1"/>
        <v>33.299999999999997</v>
      </c>
      <c r="K1226" vm="14556">
        <f ca="1"/>
        <v>24.940999999999999</v>
      </c>
      <c r="L1226" vm="5898">
        <f ca="1"/>
        <v>142.68</v>
      </c>
      <c r="M1226" vm="14557">
        <f ca="1"/>
        <v>455.44</v>
      </c>
      <c r="N1226" vm="14558">
        <f ca="1"/>
        <v>4596.42</v>
      </c>
    </row>
    <row r="1227" spans="2:14" x14ac:dyDescent="0.35">
      <c r="B1227" vm="14559">
        <f ca="1"/>
        <v>44498</v>
      </c>
      <c r="C1227" vm="14560">
        <f ca="1"/>
        <v>148.04599999999999</v>
      </c>
      <c r="D1227" vm="14561">
        <f ca="1"/>
        <v>168.6215</v>
      </c>
      <c r="E1227" vm="14562">
        <f ca="1"/>
        <v>91.48</v>
      </c>
      <c r="F1227" vm="14563">
        <f ca="1"/>
        <v>830.46</v>
      </c>
      <c r="G1227" vm="14564">
        <f ca="1"/>
        <v>218.62</v>
      </c>
      <c r="H1227" vm="14565">
        <f ca="1"/>
        <v>335.52</v>
      </c>
      <c r="I1227" vm="110">
        <f ca="1"/>
        <v>85.33</v>
      </c>
      <c r="J1227" vm="8103">
        <f ca="1"/>
        <v>32.26</v>
      </c>
      <c r="K1227" vm="14566">
        <f ca="1"/>
        <v>25.567</v>
      </c>
      <c r="L1227" vm="14567">
        <f ca="1"/>
        <v>142.99</v>
      </c>
      <c r="M1227" vm="14568">
        <f ca="1"/>
        <v>460.47</v>
      </c>
      <c r="N1227" vm="14569">
        <f ca="1"/>
        <v>4605.38</v>
      </c>
    </row>
    <row r="1228" spans="2:14" x14ac:dyDescent="0.35">
      <c r="B1228" vm="14570">
        <f ca="1"/>
        <v>44501</v>
      </c>
      <c r="C1228" vm="14571">
        <f ca="1"/>
        <v>143.49700000000001</v>
      </c>
      <c r="D1228" vm="14572">
        <f ca="1"/>
        <v>165.90549999999999</v>
      </c>
      <c r="E1228" vm="9321">
        <f ca="1"/>
        <v>92.9</v>
      </c>
      <c r="F1228" vm="14573">
        <f ca="1"/>
        <v>836.91</v>
      </c>
      <c r="G1228" vm="14574">
        <f ca="1"/>
        <v>219.76</v>
      </c>
      <c r="H1228" vm="14575">
        <f ca="1"/>
        <v>334.05</v>
      </c>
      <c r="I1228" vm="14576">
        <f ca="1"/>
        <v>85.59</v>
      </c>
      <c r="J1228" vm="14555">
        <f ca="1"/>
        <v>33.299999999999997</v>
      </c>
      <c r="K1228" vm="14577">
        <f ca="1"/>
        <v>25.827000000000002</v>
      </c>
      <c r="L1228" vm="14578">
        <f ca="1"/>
        <v>142.63999999999999</v>
      </c>
      <c r="M1228" vm="14579">
        <f ca="1"/>
        <v>454.11</v>
      </c>
      <c r="N1228" vm="14580">
        <f ca="1"/>
        <v>4613.67</v>
      </c>
    </row>
    <row r="1229" spans="2:14" x14ac:dyDescent="0.35">
      <c r="B1229" vm="14581">
        <f ca="1"/>
        <v>44502</v>
      </c>
      <c r="C1229" vm="14582">
        <f ca="1"/>
        <v>145.4325</v>
      </c>
      <c r="D1229" vm="14583">
        <f ca="1"/>
        <v>165.63749999999999</v>
      </c>
      <c r="E1229" vm="14584">
        <f ca="1"/>
        <v>93.23</v>
      </c>
      <c r="F1229" vm="14585">
        <f ca="1"/>
        <v>837.88</v>
      </c>
      <c r="G1229" vm="14586">
        <f ca="1"/>
        <v>221.19</v>
      </c>
      <c r="H1229" vm="14587">
        <f ca="1"/>
        <v>328.48</v>
      </c>
      <c r="I1229" vm="14588">
        <f ca="1"/>
        <v>85.42</v>
      </c>
      <c r="J1229" vm="729">
        <f ca="1"/>
        <v>33.200000000000003</v>
      </c>
      <c r="K1229" vm="14589">
        <f ca="1"/>
        <v>26.401</v>
      </c>
      <c r="L1229" vm="14590">
        <f ca="1"/>
        <v>144.06</v>
      </c>
      <c r="M1229" vm="14591">
        <f ca="1"/>
        <v>452.04</v>
      </c>
      <c r="N1229" vm="14592">
        <f ca="1"/>
        <v>4630.6499999999996</v>
      </c>
    </row>
    <row r="1230" spans="2:14" x14ac:dyDescent="0.35">
      <c r="B1230" vm="14593">
        <f ca="1"/>
        <v>44503</v>
      </c>
      <c r="C1230" vm="14594">
        <f ca="1"/>
        <v>146.59800000000001</v>
      </c>
      <c r="D1230" vm="8356">
        <f ca="1"/>
        <v>169.2</v>
      </c>
      <c r="E1230" vm="14595">
        <f ca="1"/>
        <v>94.12</v>
      </c>
      <c r="F1230" vm="14596">
        <f ca="1"/>
        <v>803.59</v>
      </c>
      <c r="G1230" vm="14597">
        <f ca="1"/>
        <v>222.8</v>
      </c>
      <c r="H1230" vm="14598">
        <f ca="1"/>
        <v>329.43</v>
      </c>
      <c r="I1230" vm="13888">
        <f ca="1"/>
        <v>85.24</v>
      </c>
      <c r="J1230" vm="8140">
        <f ca="1"/>
        <v>32.979999999999997</v>
      </c>
      <c r="K1230" vm="14599">
        <f ca="1"/>
        <v>26.597999999999999</v>
      </c>
      <c r="L1230" vm="14600">
        <f ca="1"/>
        <v>145.05000000000001</v>
      </c>
      <c r="M1230" vm="14601">
        <f ca="1"/>
        <v>457.33</v>
      </c>
      <c r="N1230" vm="14602">
        <f ca="1"/>
        <v>4660.57</v>
      </c>
    </row>
    <row r="1231" spans="2:14" x14ac:dyDescent="0.35">
      <c r="B1231" vm="14603">
        <f ca="1"/>
        <v>44504</v>
      </c>
      <c r="C1231" vm="14604">
        <f ca="1"/>
        <v>148.26750000000001</v>
      </c>
      <c r="D1231" vm="14605">
        <f ca="1"/>
        <v>173.85</v>
      </c>
      <c r="E1231" vm="14562">
        <f ca="1"/>
        <v>91.48</v>
      </c>
      <c r="F1231" vm="14606">
        <f ca="1"/>
        <v>781.92</v>
      </c>
      <c r="G1231" vm="2984">
        <f ca="1"/>
        <v>222.49</v>
      </c>
      <c r="H1231" vm="14607">
        <f ca="1"/>
        <v>335.43</v>
      </c>
      <c r="I1231" vm="13667">
        <f ca="1"/>
        <v>84.76</v>
      </c>
      <c r="J1231" vm="14608">
        <f ca="1"/>
        <v>33.15</v>
      </c>
      <c r="K1231" vm="14609">
        <f ca="1"/>
        <v>29.800999999999998</v>
      </c>
      <c r="L1231" vm="14610">
        <f ca="1"/>
        <v>145.32</v>
      </c>
      <c r="M1231" vm="14611">
        <f ca="1"/>
        <v>456.76</v>
      </c>
      <c r="N1231" vm="14612">
        <f ca="1"/>
        <v>4680.0600000000004</v>
      </c>
    </row>
    <row r="1232" spans="2:14" x14ac:dyDescent="0.35">
      <c r="B1232" vm="14613">
        <f ca="1"/>
        <v>44505</v>
      </c>
      <c r="C1232" vm="14614">
        <f ca="1"/>
        <v>148.852</v>
      </c>
      <c r="D1232" vm="14615">
        <f ca="1"/>
        <v>175.9495</v>
      </c>
      <c r="E1232" vm="743">
        <f ca="1"/>
        <v>90.49</v>
      </c>
      <c r="F1232" vm="14616">
        <f ca="1"/>
        <v>786.9</v>
      </c>
      <c r="G1232" vm="14617">
        <f ca="1"/>
        <v>226.06</v>
      </c>
      <c r="H1232" vm="14618">
        <f ca="1"/>
        <v>348.79</v>
      </c>
      <c r="I1232" vm="14619">
        <f ca="1"/>
        <v>85.53</v>
      </c>
      <c r="J1232" vm="9348">
        <f ca="1"/>
        <v>33.51</v>
      </c>
      <c r="K1232" vm="14620">
        <f ca="1"/>
        <v>29.751999999999999</v>
      </c>
      <c r="L1232" vm="14621">
        <f ca="1"/>
        <v>146.04</v>
      </c>
      <c r="M1232" vm="14622">
        <f ca="1"/>
        <v>455.81</v>
      </c>
      <c r="N1232" vm="14623">
        <f ca="1"/>
        <v>4697.53</v>
      </c>
    </row>
    <row r="1233" spans="2:14" x14ac:dyDescent="0.35">
      <c r="B1233" vm="14624">
        <f ca="1"/>
        <v>44508</v>
      </c>
      <c r="C1233" vm="14625">
        <f ca="1"/>
        <v>149.03100000000001</v>
      </c>
      <c r="D1233" vm="14626">
        <f ca="1"/>
        <v>174.44900000000001</v>
      </c>
      <c r="E1233" vm="14627">
        <f ca="1"/>
        <v>91.02</v>
      </c>
      <c r="F1233" vm="14628">
        <f ca="1"/>
        <v>797.79</v>
      </c>
      <c r="G1233" vm="14629">
        <f ca="1"/>
        <v>225.73</v>
      </c>
      <c r="H1233" vm="14630">
        <f ca="1"/>
        <v>349.67</v>
      </c>
      <c r="I1233" vm="11153">
        <f ca="1"/>
        <v>84.59</v>
      </c>
      <c r="J1233" vm="14499">
        <f ca="1"/>
        <v>34.299999999999997</v>
      </c>
      <c r="K1233" vm="14631">
        <f ca="1"/>
        <v>30.803999999999998</v>
      </c>
      <c r="L1233" vm="14632">
        <f ca="1"/>
        <v>144.94999999999999</v>
      </c>
      <c r="M1233" vm="14633">
        <f ca="1"/>
        <v>462.62</v>
      </c>
      <c r="N1233" vm="14634">
        <f ca="1"/>
        <v>4701.7</v>
      </c>
    </row>
    <row r="1234" spans="2:14" x14ac:dyDescent="0.35">
      <c r="B1234" vm="14635">
        <f ca="1"/>
        <v>44509</v>
      </c>
      <c r="C1234" vm="14636">
        <f ca="1"/>
        <v>148.91849999999999</v>
      </c>
      <c r="D1234" vm="14637">
        <f ca="1"/>
        <v>178.8115</v>
      </c>
      <c r="E1234" vm="6117">
        <f ca="1"/>
        <v>91.28</v>
      </c>
      <c r="F1234" vm="14638">
        <f ca="1"/>
        <v>781.41</v>
      </c>
      <c r="G1234" vm="14639">
        <f ca="1"/>
        <v>227.75</v>
      </c>
      <c r="H1234" vm="14640">
        <f ca="1"/>
        <v>344.65</v>
      </c>
      <c r="I1234" vm="13703">
        <f ca="1"/>
        <v>84.94</v>
      </c>
      <c r="J1234" vm="14641">
        <f ca="1"/>
        <v>34.14</v>
      </c>
      <c r="K1234" vm="14642">
        <f ca="1"/>
        <v>30.657</v>
      </c>
      <c r="L1234" vm="14643">
        <f ca="1"/>
        <v>145.38999999999999</v>
      </c>
      <c r="M1234" vm="14644">
        <f ca="1"/>
        <v>464.35</v>
      </c>
      <c r="N1234" vm="14645">
        <f ca="1"/>
        <v>4685.25</v>
      </c>
    </row>
    <row r="1235" spans="2:14" x14ac:dyDescent="0.35">
      <c r="B1235" vm="14646">
        <f ca="1"/>
        <v>44510</v>
      </c>
      <c r="C1235" vm="14647">
        <f ca="1"/>
        <v>145.89349999999999</v>
      </c>
      <c r="D1235" vm="14648">
        <f ca="1"/>
        <v>174.10249999999999</v>
      </c>
      <c r="E1235" vm="2937">
        <f ca="1"/>
        <v>91.25</v>
      </c>
      <c r="F1235" vm="14649">
        <f ca="1"/>
        <v>774.67</v>
      </c>
      <c r="G1235" vm="14650">
        <f ca="1"/>
        <v>225.41</v>
      </c>
      <c r="H1235" vm="14651">
        <f ca="1"/>
        <v>357.94</v>
      </c>
      <c r="I1235" vm="14652">
        <f ca="1"/>
        <v>85.2</v>
      </c>
      <c r="J1235" vm="14653">
        <f ca="1"/>
        <v>32.729999999999997</v>
      </c>
      <c r="K1235" vm="14654">
        <f ca="1"/>
        <v>29.459</v>
      </c>
      <c r="L1235" vm="14655">
        <f ca="1"/>
        <v>146.82</v>
      </c>
      <c r="M1235" vm="14656">
        <f ca="1"/>
        <v>459.9</v>
      </c>
      <c r="N1235" vm="14657">
        <f ca="1"/>
        <v>4646.71</v>
      </c>
    </row>
    <row r="1236" spans="2:14" x14ac:dyDescent="0.35">
      <c r="B1236" vm="14658">
        <f ca="1"/>
        <v>44511</v>
      </c>
      <c r="C1236" vm="14659">
        <f ca="1"/>
        <v>145.76650000000001</v>
      </c>
      <c r="D1236" vm="14660">
        <f ca="1"/>
        <v>173.625</v>
      </c>
      <c r="E1236" vm="519">
        <f ca="1"/>
        <v>91.66</v>
      </c>
      <c r="F1236" vm="14661">
        <f ca="1"/>
        <v>775.39</v>
      </c>
      <c r="G1236" vm="14662">
        <f ca="1"/>
        <v>221.01</v>
      </c>
      <c r="H1236" vm="14663">
        <f ca="1"/>
        <v>354.34</v>
      </c>
      <c r="I1236" vm="11418">
        <f ca="1"/>
        <v>85.37</v>
      </c>
      <c r="J1236" vm="14664">
        <f ca="1"/>
        <v>32.78</v>
      </c>
      <c r="K1236" vm="14665">
        <f ca="1"/>
        <v>30.39</v>
      </c>
      <c r="L1236" vm="14666">
        <f ca="1"/>
        <v>146.4</v>
      </c>
      <c r="M1236" vm="14667">
        <f ca="1"/>
        <v>457.39</v>
      </c>
      <c r="N1236" vm="14668">
        <f ca="1"/>
        <v>4649.2700000000004</v>
      </c>
    </row>
    <row r="1237" spans="2:14" x14ac:dyDescent="0.35">
      <c r="B1237" vm="14669">
        <f ca="1"/>
        <v>44512</v>
      </c>
      <c r="C1237" vm="14670">
        <f ca="1"/>
        <v>148.678</v>
      </c>
      <c r="D1237" vm="14671">
        <f ca="1"/>
        <v>176.25749999999999</v>
      </c>
      <c r="E1237" vm="14672">
        <f ca="1"/>
        <v>93.57</v>
      </c>
      <c r="F1237" vm="14673">
        <f ca="1"/>
        <v>797.84</v>
      </c>
      <c r="G1237" vm="14674">
        <f ca="1"/>
        <v>222.39</v>
      </c>
      <c r="H1237" vm="14675">
        <f ca="1"/>
        <v>363.5</v>
      </c>
      <c r="I1237" vm="14676">
        <f ca="1"/>
        <v>86.31</v>
      </c>
      <c r="J1237" vm="14433">
        <f ca="1"/>
        <v>32.76</v>
      </c>
      <c r="K1237" vm="14665">
        <f ca="1"/>
        <v>30.39</v>
      </c>
      <c r="L1237" vm="14677">
        <f ca="1"/>
        <v>146.56</v>
      </c>
      <c r="M1237" vm="14678">
        <f ca="1"/>
        <v>458.99</v>
      </c>
      <c r="N1237" vm="14679">
        <f ca="1"/>
        <v>4682.8500000000004</v>
      </c>
    </row>
    <row r="1238" spans="2:14" x14ac:dyDescent="0.35">
      <c r="B1238" vm="14680">
        <f ca="1"/>
        <v>44515</v>
      </c>
      <c r="C1238" vm="14681">
        <f ca="1"/>
        <v>148.452</v>
      </c>
      <c r="D1238" vm="14682">
        <f ca="1"/>
        <v>177.28399999999999</v>
      </c>
      <c r="E1238" vm="14683">
        <f ca="1"/>
        <v>95.88</v>
      </c>
      <c r="F1238" vm="14684">
        <f ca="1"/>
        <v>795.1</v>
      </c>
      <c r="G1238" vm="14685">
        <f ca="1"/>
        <v>222.47</v>
      </c>
      <c r="H1238" vm="14686">
        <f ca="1"/>
        <v>361.36</v>
      </c>
      <c r="I1238" vm="14687">
        <f ca="1"/>
        <v>87.34</v>
      </c>
      <c r="J1238" vm="7990">
        <f ca="1"/>
        <v>32.72</v>
      </c>
      <c r="K1238" vm="14688">
        <f ca="1"/>
        <v>30.024999999999999</v>
      </c>
      <c r="L1238" vm="14689">
        <f ca="1"/>
        <v>147.4</v>
      </c>
      <c r="M1238" vm="14690">
        <f ca="1"/>
        <v>450.8</v>
      </c>
      <c r="N1238" vm="14691">
        <f ca="1"/>
        <v>4682.8</v>
      </c>
    </row>
    <row r="1239" spans="2:14" x14ac:dyDescent="0.35">
      <c r="B1239" vm="14692">
        <f ca="1"/>
        <v>44516</v>
      </c>
      <c r="C1239" vm="14693">
        <f ca="1"/>
        <v>147.876</v>
      </c>
      <c r="D1239" vm="14694">
        <f ca="1"/>
        <v>177.035</v>
      </c>
      <c r="E1239" vm="14695">
        <f ca="1"/>
        <v>96.88</v>
      </c>
      <c r="F1239" vm="14696">
        <f ca="1"/>
        <v>798</v>
      </c>
      <c r="G1239" vm="14697">
        <f ca="1"/>
        <v>221.37</v>
      </c>
      <c r="H1239" vm="14698">
        <f ca="1"/>
        <v>369.56</v>
      </c>
      <c r="I1239" vm="2572">
        <f ca="1"/>
        <v>86.98</v>
      </c>
      <c r="J1239" vm="14699">
        <f ca="1"/>
        <v>32.89</v>
      </c>
      <c r="K1239" vm="14700">
        <f ca="1"/>
        <v>30.202999999999999</v>
      </c>
      <c r="L1239" vm="14701">
        <f ca="1"/>
        <v>147.19</v>
      </c>
      <c r="M1239" vm="14702">
        <f ca="1"/>
        <v>449.62</v>
      </c>
      <c r="N1239" vm="14703">
        <f ca="1"/>
        <v>4700.8999999999996</v>
      </c>
    </row>
    <row r="1240" spans="2:14" x14ac:dyDescent="0.35">
      <c r="B1240" vm="14704">
        <f ca="1"/>
        <v>44517</v>
      </c>
      <c r="C1240" vm="14705">
        <f ca="1"/>
        <v>148.047</v>
      </c>
      <c r="D1240" vm="14706">
        <f ca="1"/>
        <v>177.45</v>
      </c>
      <c r="E1240" vm="14707">
        <f ca="1"/>
        <v>95.06</v>
      </c>
      <c r="F1240" vm="14708">
        <f ca="1"/>
        <v>792.84</v>
      </c>
      <c r="G1240" vm="14709">
        <f ca="1"/>
        <v>220.49</v>
      </c>
      <c r="H1240" vm="14710">
        <f ca="1"/>
        <v>359.17</v>
      </c>
      <c r="I1240" vm="2721">
        <f ca="1"/>
        <v>87.78</v>
      </c>
      <c r="J1240" vm="14711">
        <f ca="1"/>
        <v>32.06</v>
      </c>
      <c r="K1240" vm="14712">
        <f ca="1"/>
        <v>29.260999999999999</v>
      </c>
      <c r="L1240" vm="14713">
        <f ca="1"/>
        <v>147.1</v>
      </c>
      <c r="M1240" vm="14714">
        <f ca="1"/>
        <v>448.95</v>
      </c>
      <c r="N1240" vm="14715">
        <f ca="1"/>
        <v>4688.67</v>
      </c>
    </row>
    <row r="1241" spans="2:14" x14ac:dyDescent="0.35">
      <c r="B1241" vm="14716">
        <f ca="1"/>
        <v>44518</v>
      </c>
      <c r="C1241" vm="14717">
        <f ca="1"/>
        <v>149.83850000000001</v>
      </c>
      <c r="D1241" vm="14718">
        <f ca="1"/>
        <v>184.803</v>
      </c>
      <c r="E1241" vm="14719">
        <f ca="1"/>
        <v>94.22</v>
      </c>
      <c r="F1241" vm="14720">
        <f ca="1"/>
        <v>788.53</v>
      </c>
      <c r="G1241" vm="14721">
        <f ca="1"/>
        <v>220.7</v>
      </c>
      <c r="H1241" vm="14722">
        <f ca="1"/>
        <v>348.22</v>
      </c>
      <c r="I1241" vm="266">
        <f ca="1"/>
        <v>87.6</v>
      </c>
      <c r="J1241" vm="14723">
        <f ca="1"/>
        <v>31.86</v>
      </c>
      <c r="K1241" vm="14724">
        <f ca="1"/>
        <v>31.675000000000001</v>
      </c>
      <c r="L1241" vm="14725">
        <f ca="1"/>
        <v>147.12</v>
      </c>
      <c r="M1241" vm="14726">
        <f ca="1"/>
        <v>449.47</v>
      </c>
      <c r="N1241" vm="14727">
        <f ca="1"/>
        <v>4704.54</v>
      </c>
    </row>
    <row r="1242" spans="2:14" x14ac:dyDescent="0.35">
      <c r="B1242" vm="14728">
        <f ca="1"/>
        <v>44519</v>
      </c>
      <c r="C1242" vm="14729">
        <f ca="1"/>
        <v>148.9265</v>
      </c>
      <c r="D1242" vm="14730">
        <f ca="1"/>
        <v>183.82849999999999</v>
      </c>
      <c r="E1242" vm="14731">
        <f ca="1"/>
        <v>95.7</v>
      </c>
      <c r="F1242" vm="14732">
        <f ca="1"/>
        <v>777.21</v>
      </c>
      <c r="G1242" vm="14224">
        <f ca="1"/>
        <v>218.49</v>
      </c>
      <c r="H1242" vm="14733">
        <f ca="1"/>
        <v>339.72</v>
      </c>
      <c r="I1242" vm="382">
        <f ca="1"/>
        <v>88.31</v>
      </c>
      <c r="J1242" vm="14734">
        <f ca="1"/>
        <v>30.05</v>
      </c>
      <c r="K1242" vm="923">
        <f ca="1"/>
        <v>32.984999999999999</v>
      </c>
      <c r="L1242" vm="14655">
        <f ca="1"/>
        <v>146.82</v>
      </c>
      <c r="M1242" vm="14735">
        <f ca="1"/>
        <v>440</v>
      </c>
      <c r="N1242" vm="14736">
        <f ca="1"/>
        <v>4697.96</v>
      </c>
    </row>
    <row r="1243" spans="2:14" x14ac:dyDescent="0.35">
      <c r="B1243" vm="14737">
        <f ca="1"/>
        <v>44522</v>
      </c>
      <c r="C1243" vm="14738">
        <f ca="1"/>
        <v>146.30199999999999</v>
      </c>
      <c r="D1243" vm="14739">
        <f ca="1"/>
        <v>178.6285</v>
      </c>
      <c r="E1243" vm="14740">
        <f ca="1"/>
        <v>94.96</v>
      </c>
      <c r="F1243" vm="14741">
        <f ca="1"/>
        <v>779.36</v>
      </c>
      <c r="G1243" vm="14742">
        <f ca="1"/>
        <v>218.14</v>
      </c>
      <c r="H1243" vm="14743">
        <f ca="1"/>
        <v>321.3</v>
      </c>
      <c r="I1243" vm="6061">
        <f ca="1"/>
        <v>87.36</v>
      </c>
      <c r="J1243" vm="13145">
        <f ca="1"/>
        <v>30.34</v>
      </c>
      <c r="K1243" vm="14744">
        <f ca="1"/>
        <v>31.956</v>
      </c>
      <c r="L1243" vm="14745">
        <f ca="1"/>
        <v>147.80000000000001</v>
      </c>
      <c r="M1243" vm="14746">
        <f ca="1"/>
        <v>437.54</v>
      </c>
      <c r="N1243" vm="14747">
        <f ca="1"/>
        <v>4682.9399999999996</v>
      </c>
    </row>
    <row r="1244" spans="2:14" x14ac:dyDescent="0.35">
      <c r="B1244" vm="14748">
        <f ca="1"/>
        <v>44523</v>
      </c>
      <c r="C1244" vm="14749">
        <f ca="1"/>
        <v>145.78200000000001</v>
      </c>
      <c r="D1244" vm="14750">
        <f ca="1"/>
        <v>179.00200000000001</v>
      </c>
      <c r="E1244" vm="11675">
        <f ca="1"/>
        <v>94.11</v>
      </c>
      <c r="F1244" vm="14751">
        <f ca="1"/>
        <v>797.59</v>
      </c>
      <c r="G1244" vm="13506">
        <f ca="1"/>
        <v>216</v>
      </c>
      <c r="H1244" vm="14752">
        <f ca="1"/>
        <v>329</v>
      </c>
      <c r="I1244" vm="14753">
        <f ca="1"/>
        <v>87.31</v>
      </c>
      <c r="J1244" vm="14754">
        <f ca="1"/>
        <v>31.18</v>
      </c>
      <c r="K1244" vm="14755">
        <f ca="1"/>
        <v>31.745999999999999</v>
      </c>
      <c r="L1244" vm="14756">
        <f ca="1"/>
        <v>149.44</v>
      </c>
      <c r="M1244" vm="14757">
        <f ca="1"/>
        <v>447.13</v>
      </c>
      <c r="N1244" vm="14758">
        <f ca="1"/>
        <v>4690.7</v>
      </c>
    </row>
    <row r="1245" spans="2:14" x14ac:dyDescent="0.35">
      <c r="B1245" vm="14759">
        <f ca="1"/>
        <v>44524</v>
      </c>
      <c r="C1245" vm="14760">
        <f ca="1"/>
        <v>146.12</v>
      </c>
      <c r="D1245" vm="14761">
        <f ca="1"/>
        <v>179.0205</v>
      </c>
      <c r="E1245" vm="14762">
        <f ca="1"/>
        <v>93.62</v>
      </c>
      <c r="F1245" vm="14476">
        <f ca="1"/>
        <v>793.84</v>
      </c>
      <c r="G1245" vm="14763">
        <f ca="1"/>
        <v>212.21</v>
      </c>
      <c r="H1245" vm="14764">
        <f ca="1"/>
        <v>340</v>
      </c>
      <c r="I1245" vm="14765">
        <f ca="1"/>
        <v>87.21</v>
      </c>
      <c r="J1245" vm="14766">
        <f ca="1"/>
        <v>31.41</v>
      </c>
      <c r="K1245" vm="14767">
        <f ca="1"/>
        <v>32.673999999999999</v>
      </c>
      <c r="L1245" vm="14768">
        <f ca="1"/>
        <v>148.66</v>
      </c>
      <c r="M1245" vm="14769">
        <f ca="1"/>
        <v>450.16</v>
      </c>
      <c r="N1245" vm="14770">
        <f ca="1"/>
        <v>4701.46</v>
      </c>
    </row>
    <row r="1246" spans="2:14" x14ac:dyDescent="0.35">
      <c r="B1246" vm="14771">
        <f ca="1"/>
        <v>44526</v>
      </c>
      <c r="C1246" vm="14772">
        <f ca="1"/>
        <v>142.18299999999999</v>
      </c>
      <c r="D1246" vm="14773">
        <f ca="1"/>
        <v>175.22800000000001</v>
      </c>
      <c r="E1246" vm="14774">
        <f ca="1"/>
        <v>94.7</v>
      </c>
      <c r="F1246" vm="14775">
        <f ca="1"/>
        <v>820</v>
      </c>
      <c r="G1246" vm="14776">
        <f ca="1"/>
        <v>208.21</v>
      </c>
      <c r="H1246" vm="14777">
        <f ca="1"/>
        <v>324.17</v>
      </c>
      <c r="I1246" vm="14778">
        <f ca="1"/>
        <v>86.09</v>
      </c>
      <c r="J1246" vm="14779">
        <f ca="1"/>
        <v>29.7</v>
      </c>
      <c r="K1246" vm="14780">
        <f ca="1"/>
        <v>31.503</v>
      </c>
      <c r="L1246" vm="5776">
        <f ca="1"/>
        <v>147.47</v>
      </c>
      <c r="M1246" vm="1289">
        <f ca="1"/>
        <v>439.91</v>
      </c>
      <c r="N1246" vm="14781">
        <f ca="1"/>
        <v>4594.62</v>
      </c>
    </row>
    <row r="1247" spans="2:14" x14ac:dyDescent="0.35">
      <c r="B1247" vm="14782">
        <f ca="1"/>
        <v>44529</v>
      </c>
      <c r="C1247" vm="14783">
        <f ca="1"/>
        <v>145.53049999999999</v>
      </c>
      <c r="D1247" vm="14784">
        <f ca="1"/>
        <v>178.07849999999999</v>
      </c>
      <c r="E1247" vm="4949">
        <f ca="1"/>
        <v>94.81</v>
      </c>
      <c r="F1247" vm="14785">
        <f ca="1"/>
        <v>812.2</v>
      </c>
      <c r="G1247" vm="14786">
        <f ca="1"/>
        <v>207.66</v>
      </c>
      <c r="H1247" vm="14787">
        <f ca="1"/>
        <v>323.01</v>
      </c>
      <c r="I1247" vm="14788">
        <f ca="1"/>
        <v>88.66</v>
      </c>
      <c r="J1247" vm="14789">
        <f ca="1"/>
        <v>29.65</v>
      </c>
      <c r="K1247" vm="14790">
        <f ca="1"/>
        <v>33.375999999999998</v>
      </c>
      <c r="L1247" vm="2789">
        <f ca="1"/>
        <v>149.02000000000001</v>
      </c>
      <c r="M1247" vm="14791">
        <f ca="1"/>
        <v>452</v>
      </c>
      <c r="N1247" vm="14792">
        <f ca="1"/>
        <v>4655.2700000000004</v>
      </c>
    </row>
    <row r="1248" spans="2:14" x14ac:dyDescent="0.35">
      <c r="B1248" vm="14793">
        <f ca="1"/>
        <v>44530</v>
      </c>
      <c r="C1248" vm="14794">
        <f ca="1"/>
        <v>141.89750000000001</v>
      </c>
      <c r="D1248" vm="14795">
        <f ca="1"/>
        <v>175.3535</v>
      </c>
      <c r="E1248" vm="7232">
        <f ca="1"/>
        <v>93.45</v>
      </c>
      <c r="F1248" vm="14796">
        <f ca="1"/>
        <v>803.45</v>
      </c>
      <c r="G1248" vm="14797">
        <f ca="1"/>
        <v>202.24</v>
      </c>
      <c r="H1248" vm="14798">
        <f ca="1"/>
        <v>314.92</v>
      </c>
      <c r="I1248" vm="13279">
        <f ca="1"/>
        <v>86.78</v>
      </c>
      <c r="J1248" vm="14799">
        <f ca="1"/>
        <v>28.68</v>
      </c>
      <c r="K1248" vm="14800">
        <f ca="1"/>
        <v>32.676000000000002</v>
      </c>
      <c r="L1248" vm="14801">
        <f ca="1"/>
        <v>144.58000000000001</v>
      </c>
      <c r="M1248" vm="14802">
        <f ca="1"/>
        <v>444.22</v>
      </c>
      <c r="N1248" vm="14803">
        <f ca="1"/>
        <v>4567</v>
      </c>
    </row>
    <row r="1249" spans="2:14" x14ac:dyDescent="0.35">
      <c r="B1249" vm="14804">
        <f ca="1"/>
        <v>44531</v>
      </c>
      <c r="C1249" vm="14805">
        <f ca="1"/>
        <v>141.0515</v>
      </c>
      <c r="D1249" vm="14806">
        <f ca="1"/>
        <v>172.18600000000001</v>
      </c>
      <c r="E1249" vm="531">
        <f ca="1"/>
        <v>90.91</v>
      </c>
      <c r="F1249" vm="14807">
        <f ca="1"/>
        <v>798.61</v>
      </c>
      <c r="G1249" vm="14808">
        <f ca="1"/>
        <v>199.42</v>
      </c>
      <c r="H1249" vm="14809">
        <f ca="1"/>
        <v>306.27999999999997</v>
      </c>
      <c r="I1249" vm="14810">
        <f ca="1"/>
        <v>87.84</v>
      </c>
      <c r="J1249" vm="9553">
        <f ca="1"/>
        <v>28.38</v>
      </c>
      <c r="K1249" vm="14811">
        <f ca="1"/>
        <v>31.434999999999999</v>
      </c>
      <c r="L1249" vm="14666">
        <f ca="1"/>
        <v>146.4</v>
      </c>
      <c r="M1249" vm="14812">
        <f ca="1"/>
        <v>444.34</v>
      </c>
      <c r="N1249" vm="14813">
        <f ca="1"/>
        <v>4513.04</v>
      </c>
    </row>
    <row r="1250" spans="2:14" x14ac:dyDescent="0.35">
      <c r="B1250" vm="14814">
        <f ca="1"/>
        <v>44532</v>
      </c>
      <c r="C1250" vm="14815">
        <f ca="1"/>
        <v>142.96600000000001</v>
      </c>
      <c r="D1250" vm="14816">
        <f ca="1"/>
        <v>171.86799999999999</v>
      </c>
      <c r="E1250" vm="14817">
        <f ca="1"/>
        <v>93.58</v>
      </c>
      <c r="F1250" vm="14818">
        <f ca="1"/>
        <v>794.03</v>
      </c>
      <c r="G1250" vm="14819">
        <f ca="1"/>
        <v>204</v>
      </c>
      <c r="H1250" vm="14820">
        <f ca="1"/>
        <v>320.2</v>
      </c>
      <c r="I1250" vm="964">
        <f ca="1"/>
        <v>88.62</v>
      </c>
      <c r="J1250" vm="13814">
        <f ca="1"/>
        <v>29.32</v>
      </c>
      <c r="K1250" vm="14821">
        <f ca="1"/>
        <v>32.125999999999998</v>
      </c>
      <c r="L1250" vm="14822">
        <f ca="1"/>
        <v>147.26</v>
      </c>
      <c r="M1250" vm="14823">
        <f ca="1"/>
        <v>446.02</v>
      </c>
      <c r="N1250" vm="14824">
        <f ca="1"/>
        <v>4577.1000000000004</v>
      </c>
    </row>
    <row r="1251" spans="2:14" x14ac:dyDescent="0.35">
      <c r="B1251" vm="14825">
        <f ca="1"/>
        <v>44533</v>
      </c>
      <c r="C1251" vm="14826">
        <f ca="1"/>
        <v>142.00149999999999</v>
      </c>
      <c r="D1251" vm="14827">
        <f ca="1"/>
        <v>169.48949999999999</v>
      </c>
      <c r="E1251" vm="14584">
        <f ca="1"/>
        <v>93.23</v>
      </c>
      <c r="F1251" vm="14828">
        <f ca="1"/>
        <v>796.47</v>
      </c>
      <c r="G1251" vm="14829">
        <f ca="1"/>
        <v>203.5</v>
      </c>
      <c r="H1251" vm="14830">
        <f ca="1"/>
        <v>322.11</v>
      </c>
      <c r="I1251" vm="14831">
        <f ca="1"/>
        <v>88.03</v>
      </c>
      <c r="J1251" vm="14204">
        <f ca="1"/>
        <v>29.24</v>
      </c>
      <c r="K1251" vm="14832">
        <f ca="1"/>
        <v>30.693000000000001</v>
      </c>
      <c r="L1251" vm="14833">
        <f ca="1"/>
        <v>149.88</v>
      </c>
      <c r="M1251" vm="14834">
        <f ca="1"/>
        <v>449.32</v>
      </c>
      <c r="N1251" vm="14835">
        <f ca="1"/>
        <v>4538.43</v>
      </c>
    </row>
    <row r="1252" spans="2:14" x14ac:dyDescent="0.35">
      <c r="B1252" vm="14836">
        <f ca="1"/>
        <v>44536</v>
      </c>
      <c r="C1252" vm="14837">
        <f ca="1"/>
        <v>143.155</v>
      </c>
      <c r="D1252" vm="14838">
        <f ca="1"/>
        <v>171.36850000000001</v>
      </c>
      <c r="E1252" vm="14839">
        <f ca="1"/>
        <v>92.68</v>
      </c>
      <c r="F1252" vm="14840">
        <f ca="1"/>
        <v>812.86</v>
      </c>
      <c r="G1252" vm="14841">
        <f ca="1"/>
        <v>206.25</v>
      </c>
      <c r="H1252" vm="14842">
        <f ca="1"/>
        <v>333.33</v>
      </c>
      <c r="I1252" vm="14843">
        <f ca="1"/>
        <v>89.15</v>
      </c>
      <c r="J1252" vm="14844">
        <f ca="1"/>
        <v>30.01</v>
      </c>
      <c r="K1252" vm="14845">
        <f ca="1"/>
        <v>30.036999999999999</v>
      </c>
      <c r="L1252" vm="14846">
        <f ca="1"/>
        <v>152.15</v>
      </c>
      <c r="M1252" vm="6921">
        <f ca="1"/>
        <v>460.11</v>
      </c>
      <c r="N1252" vm="14847">
        <f ca="1"/>
        <v>4591.67</v>
      </c>
    </row>
    <row r="1253" spans="2:14" x14ac:dyDescent="0.35">
      <c r="B1253" vm="14848">
        <f ca="1"/>
        <v>44537</v>
      </c>
      <c r="C1253" vm="14849">
        <f ca="1"/>
        <v>147.26949999999999</v>
      </c>
      <c r="D1253" vm="14850">
        <f ca="1"/>
        <v>176.1645</v>
      </c>
      <c r="E1253" vm="7232">
        <f ca="1"/>
        <v>93.45</v>
      </c>
      <c r="F1253" vm="14851">
        <f ca="1"/>
        <v>814.46</v>
      </c>
      <c r="G1253" vm="14852">
        <f ca="1"/>
        <v>207.15</v>
      </c>
      <c r="H1253" vm="14853">
        <f ca="1"/>
        <v>339.51</v>
      </c>
      <c r="I1253" vm="14854">
        <f ca="1"/>
        <v>90.41</v>
      </c>
      <c r="J1253" vm="14855">
        <f ca="1"/>
        <v>30.76</v>
      </c>
      <c r="K1253" vm="14856">
        <f ca="1"/>
        <v>32.427</v>
      </c>
      <c r="L1253" vm="14857">
        <f ca="1"/>
        <v>151.75</v>
      </c>
      <c r="M1253" vm="14858">
        <f ca="1"/>
        <v>464.73</v>
      </c>
      <c r="N1253" vm="14859">
        <f ca="1"/>
        <v>4686.75</v>
      </c>
    </row>
    <row r="1254" spans="2:14" x14ac:dyDescent="0.35">
      <c r="B1254" vm="14860">
        <f ca="1"/>
        <v>44538</v>
      </c>
      <c r="C1254" vm="14861">
        <f ca="1"/>
        <v>148.1865</v>
      </c>
      <c r="D1254" vm="14862">
        <f ca="1"/>
        <v>176.15799999999999</v>
      </c>
      <c r="E1254" vm="14863">
        <f ca="1"/>
        <v>93.94</v>
      </c>
      <c r="F1254" vm="14864">
        <f ca="1"/>
        <v>798.8</v>
      </c>
      <c r="G1254" vm="14865">
        <f ca="1"/>
        <v>204.65</v>
      </c>
      <c r="H1254" vm="14866">
        <f ca="1"/>
        <v>342.34</v>
      </c>
      <c r="I1254" vm="14867">
        <f ca="1"/>
        <v>90.32</v>
      </c>
      <c r="J1254" vm="14868">
        <f ca="1"/>
        <v>31.06</v>
      </c>
      <c r="K1254" vm="14869">
        <f ca="1"/>
        <v>31.826000000000001</v>
      </c>
      <c r="L1254" vm="14870">
        <f ca="1"/>
        <v>152.43</v>
      </c>
      <c r="M1254" vm="14871">
        <f ca="1"/>
        <v>468.86</v>
      </c>
      <c r="N1254" vm="14872">
        <f ca="1"/>
        <v>4701.21</v>
      </c>
    </row>
    <row r="1255" spans="2:14" x14ac:dyDescent="0.35">
      <c r="B1255" vm="14873">
        <f ca="1"/>
        <v>44539</v>
      </c>
      <c r="C1255" vm="14874">
        <f ca="1"/>
        <v>147.63849999999999</v>
      </c>
      <c r="D1255" vm="14875">
        <f ca="1"/>
        <v>174.17099999999999</v>
      </c>
      <c r="E1255" vm="14876">
        <f ca="1"/>
        <v>92.62</v>
      </c>
      <c r="F1255" vm="14877">
        <f ca="1"/>
        <v>797.89</v>
      </c>
      <c r="G1255" vm="14878">
        <f ca="1"/>
        <v>206</v>
      </c>
      <c r="H1255" vm="14879">
        <f ca="1"/>
        <v>344.52</v>
      </c>
      <c r="I1255" vm="815">
        <f ca="1"/>
        <v>89.91</v>
      </c>
      <c r="J1255" vm="14880">
        <f ca="1"/>
        <v>30.62</v>
      </c>
      <c r="K1255" vm="14881">
        <f ca="1"/>
        <v>30.49</v>
      </c>
      <c r="L1255" vm="6483">
        <f ca="1"/>
        <v>153.32</v>
      </c>
      <c r="M1255" vm="14882">
        <f ca="1"/>
        <v>473.32</v>
      </c>
      <c r="N1255" vm="14883">
        <f ca="1"/>
        <v>4667.45</v>
      </c>
    </row>
    <row r="1256" spans="2:14" x14ac:dyDescent="0.35">
      <c r="B1256" vm="14884">
        <f ca="1"/>
        <v>44540</v>
      </c>
      <c r="C1256" vm="14885">
        <f ca="1"/>
        <v>148.00149999999999</v>
      </c>
      <c r="D1256" vm="14886">
        <f ca="1"/>
        <v>172.21199999999999</v>
      </c>
      <c r="E1256" vm="14887">
        <f ca="1"/>
        <v>93.5</v>
      </c>
      <c r="F1256" vm="14888">
        <f ca="1"/>
        <v>816.17</v>
      </c>
      <c r="G1256" vm="14889">
        <f ca="1"/>
        <v>209.81</v>
      </c>
      <c r="H1256" vm="14890">
        <f ca="1"/>
        <v>349.92</v>
      </c>
      <c r="I1256" vm="8036">
        <f ca="1"/>
        <v>90.28</v>
      </c>
      <c r="J1256" vm="14891">
        <f ca="1"/>
        <v>30.99</v>
      </c>
      <c r="K1256" vm="14892">
        <f ca="1"/>
        <v>30.198</v>
      </c>
      <c r="L1256" vm="14893">
        <f ca="1"/>
        <v>155.46</v>
      </c>
      <c r="M1256" vm="14894">
        <f ca="1"/>
        <v>478.23</v>
      </c>
      <c r="N1256" vm="14895">
        <f ca="1"/>
        <v>4712.0200000000004</v>
      </c>
    </row>
    <row r="1257" spans="2:14" x14ac:dyDescent="0.35">
      <c r="B1257" vm="14896">
        <f ca="1"/>
        <v>44543</v>
      </c>
      <c r="C1257" vm="14897">
        <f ca="1"/>
        <v>145.82650000000001</v>
      </c>
      <c r="D1257" vm="14898">
        <f ca="1"/>
        <v>169.5675</v>
      </c>
      <c r="E1257" vm="14899">
        <f ca="1"/>
        <v>93.66</v>
      </c>
      <c r="F1257" vm="14900">
        <f ca="1"/>
        <v>805.83</v>
      </c>
      <c r="G1257" vm="14901">
        <f ca="1"/>
        <v>209.23</v>
      </c>
      <c r="H1257" vm="14902">
        <f ca="1"/>
        <v>345.31</v>
      </c>
      <c r="I1257" vm="1938">
        <f ca="1"/>
        <v>91.74</v>
      </c>
      <c r="J1257" vm="14903">
        <f ca="1"/>
        <v>29.83</v>
      </c>
      <c r="K1257" vm="14904">
        <f ca="1"/>
        <v>28.161000000000001</v>
      </c>
      <c r="L1257" vm="14905">
        <f ca="1"/>
        <v>157.66999999999999</v>
      </c>
      <c r="M1257" vm="14906">
        <f ca="1"/>
        <v>478.14</v>
      </c>
      <c r="N1257" vm="14907">
        <f ca="1"/>
        <v>4668.97</v>
      </c>
    </row>
    <row r="1258" spans="2:14" x14ac:dyDescent="0.35">
      <c r="B1258" vm="14908">
        <f ca="1"/>
        <v>44544</v>
      </c>
      <c r="C1258" vm="14909">
        <f ca="1"/>
        <v>143.90700000000001</v>
      </c>
      <c r="D1258" vm="14910">
        <f ca="1"/>
        <v>169.0915</v>
      </c>
      <c r="E1258" vm="2102">
        <f ca="1"/>
        <v>92.32</v>
      </c>
      <c r="F1258" vm="14911">
        <f ca="1"/>
        <v>817.09</v>
      </c>
      <c r="G1258" vm="14912">
        <f ca="1"/>
        <v>206.68</v>
      </c>
      <c r="H1258" vm="14913">
        <f ca="1"/>
        <v>340.55</v>
      </c>
      <c r="I1258" vm="902">
        <f ca="1"/>
        <v>90.03</v>
      </c>
      <c r="J1258" vm="14914">
        <f ca="1"/>
        <v>29.67</v>
      </c>
      <c r="K1258" vm="14915">
        <f ca="1"/>
        <v>28.337</v>
      </c>
      <c r="L1258" vm="14916">
        <f ca="1"/>
        <v>158.25</v>
      </c>
      <c r="M1258" vm="14917">
        <f ca="1"/>
        <v>479.46</v>
      </c>
      <c r="N1258" vm="14918">
        <f ca="1"/>
        <v>4634.09</v>
      </c>
    </row>
    <row r="1259" spans="2:14" x14ac:dyDescent="0.35">
      <c r="B1259" vm="14919">
        <f ca="1"/>
        <v>44545</v>
      </c>
      <c r="C1259" vm="14920">
        <f ca="1"/>
        <v>146.441</v>
      </c>
      <c r="D1259" vm="14921">
        <f ca="1"/>
        <v>173.315</v>
      </c>
      <c r="E1259" vm="14922">
        <f ca="1"/>
        <v>91.86</v>
      </c>
      <c r="F1259" vm="14923">
        <f ca="1"/>
        <v>822.9</v>
      </c>
      <c r="G1259" vm="5430">
        <f ca="1"/>
        <v>209.76</v>
      </c>
      <c r="H1259" vm="14924">
        <f ca="1"/>
        <v>346.35</v>
      </c>
      <c r="I1259" vm="14925">
        <f ca="1"/>
        <v>92</v>
      </c>
      <c r="J1259" vm="14926">
        <f ca="1"/>
        <v>29.31</v>
      </c>
      <c r="K1259" vm="14927">
        <f ca="1"/>
        <v>30.459</v>
      </c>
      <c r="L1259" vm="14928">
        <f ca="1"/>
        <v>158.86000000000001</v>
      </c>
      <c r="M1259" vm="14929">
        <f ca="1"/>
        <v>494.38</v>
      </c>
      <c r="N1259" vm="14930">
        <f ca="1"/>
        <v>4709.8500000000004</v>
      </c>
    </row>
    <row r="1260" spans="2:14" x14ac:dyDescent="0.35">
      <c r="B1260" vm="14931">
        <f ca="1"/>
        <v>44546</v>
      </c>
      <c r="C1260" vm="14932">
        <f ca="1"/>
        <v>144.44499999999999</v>
      </c>
      <c r="D1260" vm="14933">
        <f ca="1"/>
        <v>168.87100000000001</v>
      </c>
      <c r="E1260" vm="12103">
        <f ca="1"/>
        <v>92.34</v>
      </c>
      <c r="F1260" vm="14934">
        <f ca="1"/>
        <v>822.26</v>
      </c>
      <c r="G1260" vm="14935">
        <f ca="1"/>
        <v>209.61</v>
      </c>
      <c r="H1260" vm="14936">
        <f ca="1"/>
        <v>352.92</v>
      </c>
      <c r="I1260" vm="14937">
        <f ca="1"/>
        <v>92.23</v>
      </c>
      <c r="J1260" vm="14779">
        <f ca="1"/>
        <v>29.7</v>
      </c>
      <c r="K1260" vm="14938">
        <f ca="1"/>
        <v>28.387</v>
      </c>
      <c r="L1260" vm="14939">
        <f ca="1"/>
        <v>161.11000000000001</v>
      </c>
      <c r="M1260" vm="14940">
        <f ca="1"/>
        <v>492.86</v>
      </c>
      <c r="N1260" vm="14941">
        <f ca="1"/>
        <v>4668.67</v>
      </c>
    </row>
    <row r="1261" spans="2:14" x14ac:dyDescent="0.35">
      <c r="B1261" vm="14942">
        <f ca="1"/>
        <v>44547</v>
      </c>
      <c r="C1261" vm="14943">
        <f ca="1"/>
        <v>141.72499999999999</v>
      </c>
      <c r="D1261" vm="14944">
        <f ca="1"/>
        <v>170.01750000000001</v>
      </c>
      <c r="E1261" vm="2039">
        <f ca="1"/>
        <v>92.79</v>
      </c>
      <c r="F1261" vm="14945">
        <f ca="1"/>
        <v>822.35</v>
      </c>
      <c r="G1261" vm="14946">
        <f ca="1"/>
        <v>205.17</v>
      </c>
      <c r="H1261" vm="14947">
        <f ca="1"/>
        <v>349.31</v>
      </c>
      <c r="I1261" vm="14406">
        <f ca="1"/>
        <v>90.94</v>
      </c>
      <c r="J1261" vm="14948">
        <f ca="1"/>
        <v>28.97</v>
      </c>
      <c r="K1261" vm="14949">
        <f ca="1"/>
        <v>27.800999999999998</v>
      </c>
      <c r="L1261" vm="14950">
        <f ca="1"/>
        <v>157.46</v>
      </c>
      <c r="M1261" vm="14951">
        <f ca="1"/>
        <v>487.12</v>
      </c>
      <c r="N1261" vm="14952">
        <f ca="1"/>
        <v>4620.6400000000003</v>
      </c>
    </row>
    <row r="1262" spans="2:14" x14ac:dyDescent="0.35">
      <c r="B1262" vm="14953">
        <f ca="1"/>
        <v>44550</v>
      </c>
      <c r="C1262" vm="14954">
        <f ca="1"/>
        <v>141.607</v>
      </c>
      <c r="D1262" vm="14955">
        <f ca="1"/>
        <v>167.07900000000001</v>
      </c>
      <c r="E1262" vm="989">
        <f ca="1"/>
        <v>90</v>
      </c>
      <c r="F1262" vm="14956">
        <f ca="1"/>
        <v>804.58</v>
      </c>
      <c r="G1262" vm="14957">
        <f ca="1"/>
        <v>199.85</v>
      </c>
      <c r="H1262" vm="14958">
        <f ca="1"/>
        <v>337.02</v>
      </c>
      <c r="I1262" vm="14959">
        <f ca="1"/>
        <v>89.94</v>
      </c>
      <c r="J1262" vm="14960">
        <f ca="1"/>
        <v>28.47</v>
      </c>
      <c r="K1262" vm="14961">
        <f ca="1"/>
        <v>27.719000000000001</v>
      </c>
      <c r="L1262" vm="14962">
        <f ca="1"/>
        <v>157.86000000000001</v>
      </c>
      <c r="M1262" vm="14963">
        <f ca="1"/>
        <v>483.73</v>
      </c>
      <c r="N1262" vm="14964">
        <f ca="1"/>
        <v>4568.0200000000004</v>
      </c>
    </row>
    <row r="1263" spans="2:14" x14ac:dyDescent="0.35">
      <c r="B1263" vm="14965">
        <f ca="1"/>
        <v>44551</v>
      </c>
      <c r="C1263" vm="14966">
        <f ca="1"/>
        <v>143.4725</v>
      </c>
      <c r="D1263" vm="14967">
        <f ca="1"/>
        <v>170.417</v>
      </c>
      <c r="E1263" vm="2890">
        <f ca="1"/>
        <v>89.99</v>
      </c>
      <c r="F1263" vm="14968">
        <f ca="1"/>
        <v>818.73</v>
      </c>
      <c r="G1263" vm="14969">
        <f ca="1"/>
        <v>201.67</v>
      </c>
      <c r="H1263" vm="14970">
        <f ca="1"/>
        <v>350.74</v>
      </c>
      <c r="I1263" vm="14971">
        <f ca="1"/>
        <v>90.45</v>
      </c>
      <c r="J1263" vm="14972">
        <f ca="1"/>
        <v>29.45</v>
      </c>
      <c r="K1263" vm="14973">
        <f ca="1"/>
        <v>29.074999999999999</v>
      </c>
      <c r="L1263" vm="14974">
        <f ca="1"/>
        <v>157.76</v>
      </c>
      <c r="M1263" vm="14975">
        <f ca="1"/>
        <v>487.21</v>
      </c>
      <c r="N1263" vm="14976">
        <f ca="1"/>
        <v>4649.2299999999996</v>
      </c>
    </row>
    <row r="1264" spans="2:14" x14ac:dyDescent="0.35">
      <c r="B1264" vm="14977">
        <f ca="1"/>
        <v>44552</v>
      </c>
      <c r="C1264" vm="14978">
        <f ca="1"/>
        <v>146.41499999999999</v>
      </c>
      <c r="D1264" vm="14979">
        <f ca="1"/>
        <v>171.03700000000001</v>
      </c>
      <c r="E1264" vm="902">
        <f ca="1"/>
        <v>90.03</v>
      </c>
      <c r="F1264" vm="14980">
        <f ca="1"/>
        <v>818.76</v>
      </c>
      <c r="G1264" vm="14981">
        <f ca="1"/>
        <v>201.84</v>
      </c>
      <c r="H1264" vm="14982">
        <f ca="1"/>
        <v>357.48</v>
      </c>
      <c r="I1264" vm="926">
        <f ca="1"/>
        <v>90.8</v>
      </c>
      <c r="J1264" vm="14983">
        <f ca="1"/>
        <v>29.5</v>
      </c>
      <c r="K1264" vm="12698">
        <f ca="1"/>
        <v>29.4</v>
      </c>
      <c r="L1264" vm="14984">
        <f ca="1"/>
        <v>159.32</v>
      </c>
      <c r="M1264" vm="14985">
        <f ca="1"/>
        <v>494.13</v>
      </c>
      <c r="N1264" vm="14986">
        <f ca="1"/>
        <v>4696.5600000000004</v>
      </c>
    </row>
    <row r="1265" spans="2:14" x14ac:dyDescent="0.35">
      <c r="B1265" vm="14987">
        <f ca="1"/>
        <v>44553</v>
      </c>
      <c r="C1265" vm="14988">
        <f ca="1"/>
        <v>146.91650000000001</v>
      </c>
      <c r="D1265" vm="14989">
        <f ca="1"/>
        <v>171.0685</v>
      </c>
      <c r="E1265" vm="989">
        <f ca="1"/>
        <v>90</v>
      </c>
      <c r="F1265" vm="14990">
        <f ca="1"/>
        <v>835.11</v>
      </c>
      <c r="G1265" vm="5047">
        <f ca="1"/>
        <v>205.22</v>
      </c>
      <c r="H1265" vm="13333">
        <f ca="1"/>
        <v>360.58</v>
      </c>
      <c r="I1265" vm="12943">
        <f ca="1"/>
        <v>90.7</v>
      </c>
      <c r="J1265" vm="14991">
        <f ca="1"/>
        <v>29.57</v>
      </c>
      <c r="K1265" vm="13824">
        <f ca="1"/>
        <v>29.64</v>
      </c>
      <c r="L1265" vm="14992">
        <f ca="1"/>
        <v>160.1</v>
      </c>
      <c r="M1265" vm="14993">
        <f ca="1"/>
        <v>495.38</v>
      </c>
      <c r="N1265" vm="14994">
        <f ca="1"/>
        <v>4725.79</v>
      </c>
    </row>
    <row r="1266" spans="2:14" x14ac:dyDescent="0.35">
      <c r="B1266" vm="14995">
        <f ca="1"/>
        <v>44557</v>
      </c>
      <c r="C1266" vm="14996">
        <f ca="1"/>
        <v>147.90649999999999</v>
      </c>
      <c r="D1266" vm="14997">
        <f ca="1"/>
        <v>169.6695</v>
      </c>
      <c r="E1266" vm="1925">
        <f ca="1"/>
        <v>91.92</v>
      </c>
      <c r="F1266" vm="14998">
        <f ca="1"/>
        <v>838.01</v>
      </c>
      <c r="G1266" vm="14999">
        <f ca="1"/>
        <v>206.43</v>
      </c>
      <c r="H1266" vm="15000">
        <f ca="1"/>
        <v>360.31</v>
      </c>
      <c r="I1266" vm="15001">
        <f ca="1"/>
        <v>91.32</v>
      </c>
      <c r="J1266" vm="15002">
        <f ca="1"/>
        <v>29.84</v>
      </c>
      <c r="K1266" vm="15003">
        <f ca="1"/>
        <v>30.945</v>
      </c>
      <c r="L1266" vm="15004">
        <f ca="1"/>
        <v>161.97</v>
      </c>
      <c r="M1266" vm="15005">
        <f ca="1"/>
        <v>499.5</v>
      </c>
      <c r="N1266" vm="15006">
        <f ca="1"/>
        <v>4791.1899999999996</v>
      </c>
    </row>
    <row r="1267" spans="2:14" x14ac:dyDescent="0.35">
      <c r="B1267" vm="15007">
        <f ca="1"/>
        <v>44558</v>
      </c>
      <c r="C1267" vm="15008">
        <f ca="1"/>
        <v>146.68700000000001</v>
      </c>
      <c r="D1267" vm="15009">
        <f ca="1"/>
        <v>170.661</v>
      </c>
      <c r="E1267" vm="6296">
        <f ca="1"/>
        <v>94.3</v>
      </c>
      <c r="F1267" vm="15010">
        <f ca="1"/>
        <v>842</v>
      </c>
      <c r="G1267" vm="15011">
        <f ca="1"/>
        <v>207.05</v>
      </c>
      <c r="H1267" vm="15012">
        <f ca="1"/>
        <v>360.78</v>
      </c>
      <c r="I1267" vm="3034">
        <f ca="1"/>
        <v>91.88</v>
      </c>
      <c r="J1267" vm="15013">
        <f ca="1"/>
        <v>30.11</v>
      </c>
      <c r="K1267" vm="15014">
        <f ca="1"/>
        <v>30.321999999999999</v>
      </c>
      <c r="L1267" vm="15015">
        <f ca="1"/>
        <v>162.84</v>
      </c>
      <c r="M1267" vm="15016">
        <f ca="1"/>
        <v>502.94</v>
      </c>
      <c r="N1267" vm="15017">
        <f ca="1"/>
        <v>4786.3500000000004</v>
      </c>
    </row>
    <row r="1268" spans="2:14" x14ac:dyDescent="0.35">
      <c r="B1268" vm="15018">
        <f ca="1"/>
        <v>44559</v>
      </c>
      <c r="C1268" vm="15019">
        <f ca="1"/>
        <v>146.655</v>
      </c>
      <c r="D1268" vm="15020">
        <f ca="1"/>
        <v>169.20099999999999</v>
      </c>
      <c r="E1268" vm="15021">
        <f ca="1"/>
        <v>95.23</v>
      </c>
      <c r="F1268" vm="15022">
        <f ca="1"/>
        <v>845.49</v>
      </c>
      <c r="G1268" vm="15023">
        <f ca="1"/>
        <v>207.53</v>
      </c>
      <c r="H1268" vm="15024">
        <f ca="1"/>
        <v>361.29</v>
      </c>
      <c r="I1268" vm="15025">
        <f ca="1"/>
        <v>91.99</v>
      </c>
      <c r="J1268" vm="14789">
        <f ca="1"/>
        <v>29.65</v>
      </c>
      <c r="K1268" vm="15026">
        <f ca="1"/>
        <v>30.001000000000001</v>
      </c>
      <c r="L1268" vm="8369">
        <f ca="1"/>
        <v>164.19</v>
      </c>
      <c r="M1268" vm="15027">
        <f ca="1"/>
        <v>505.58</v>
      </c>
      <c r="N1268" vm="15028">
        <f ca="1"/>
        <v>4793.0600000000004</v>
      </c>
    </row>
    <row r="1269" spans="2:14" x14ac:dyDescent="0.35">
      <c r="B1269" vm="15029">
        <f ca="1"/>
        <v>44560</v>
      </c>
      <c r="C1269" vm="15030">
        <f ca="1"/>
        <v>146.20050000000001</v>
      </c>
      <c r="D1269" vm="15031">
        <f ca="1"/>
        <v>168.64449999999999</v>
      </c>
      <c r="E1269" vm="15032">
        <f ca="1"/>
        <v>95.45</v>
      </c>
      <c r="F1269" vm="15033">
        <f ca="1"/>
        <v>845.84</v>
      </c>
      <c r="G1269" vm="15034">
        <f ca="1"/>
        <v>207.11</v>
      </c>
      <c r="H1269" vm="15035">
        <f ca="1"/>
        <v>360.99</v>
      </c>
      <c r="I1269" vm="2523">
        <f ca="1"/>
        <v>92.77</v>
      </c>
      <c r="J1269" vm="161">
        <f ca="1"/>
        <v>29.82</v>
      </c>
      <c r="K1269" vm="15036">
        <f ca="1"/>
        <v>29.585999999999999</v>
      </c>
      <c r="L1269" vm="15037">
        <f ca="1"/>
        <v>162.77000000000001</v>
      </c>
      <c r="M1269" vm="15038">
        <f ca="1"/>
        <v>504.43</v>
      </c>
      <c r="N1269" vm="15039">
        <f ca="1"/>
        <v>4778.7299999999996</v>
      </c>
    </row>
    <row r="1270" spans="2:14" x14ac:dyDescent="0.35">
      <c r="B1270" vm="15040">
        <f ca="1"/>
        <v>44561</v>
      </c>
      <c r="C1270" vm="15041">
        <f ca="1"/>
        <v>144.852</v>
      </c>
      <c r="D1270" vm="15042">
        <f ca="1"/>
        <v>166.71700000000001</v>
      </c>
      <c r="E1270" vm="15043">
        <f ca="1"/>
        <v>96.27</v>
      </c>
      <c r="F1270" vm="15044">
        <f ca="1"/>
        <v>836.11</v>
      </c>
      <c r="G1270" vm="15045">
        <f ca="1"/>
        <v>208.51</v>
      </c>
      <c r="H1270" vm="15046">
        <f ca="1"/>
        <v>359.32</v>
      </c>
      <c r="I1270" vm="11969">
        <f ca="1"/>
        <v>93.36</v>
      </c>
      <c r="J1270" vm="12685">
        <f ca="1"/>
        <v>29.95</v>
      </c>
      <c r="K1270" vm="15047">
        <f ca="1"/>
        <v>29.411000000000001</v>
      </c>
      <c r="L1270" vm="15048">
        <f ca="1"/>
        <v>163.58000000000001</v>
      </c>
      <c r="M1270" vm="15049">
        <f ca="1"/>
        <v>502.14</v>
      </c>
      <c r="N1270" vm="15050">
        <f ca="1"/>
        <v>4766.18</v>
      </c>
    </row>
    <row r="1271" spans="2:14" x14ac:dyDescent="0.35">
      <c r="B1271" vm="15051">
        <f ca="1"/>
        <v>44564</v>
      </c>
      <c r="C1271" vm="15052">
        <f ca="1"/>
        <v>144.9915</v>
      </c>
      <c r="D1271" vm="15053">
        <f ca="1"/>
        <v>170.40450000000001</v>
      </c>
      <c r="E1271" vm="11982">
        <f ca="1"/>
        <v>93.26</v>
      </c>
      <c r="F1271" vm="15054">
        <f ca="1"/>
        <v>814.63</v>
      </c>
      <c r="G1271" vm="15055">
        <f ca="1"/>
        <v>206.8</v>
      </c>
      <c r="H1271" vm="15056">
        <f ca="1"/>
        <v>370.95</v>
      </c>
      <c r="I1271" vm="519">
        <f ca="1"/>
        <v>91.66</v>
      </c>
      <c r="J1271" vm="8128">
        <f ca="1"/>
        <v>31.72</v>
      </c>
      <c r="K1271" vm="15057">
        <f ca="1"/>
        <v>30.120999999999999</v>
      </c>
      <c r="L1271" vm="8039">
        <f ca="1"/>
        <v>162.9</v>
      </c>
      <c r="M1271" vm="15058">
        <f ca="1"/>
        <v>502.28</v>
      </c>
      <c r="N1271" vm="15059">
        <f ca="1"/>
        <v>4796.5600000000004</v>
      </c>
    </row>
    <row r="1272" spans="2:14" x14ac:dyDescent="0.35">
      <c r="B1272" vm="15060">
        <f ca="1"/>
        <v>44565</v>
      </c>
      <c r="C1272" vm="15061">
        <f ca="1"/>
        <v>144.39949999999999</v>
      </c>
      <c r="D1272" vm="15062">
        <f ca="1"/>
        <v>167.52199999999999</v>
      </c>
      <c r="E1272" vm="15063">
        <f ca="1"/>
        <v>90.01</v>
      </c>
      <c r="F1272" vm="15064">
        <f ca="1"/>
        <v>789.1</v>
      </c>
      <c r="G1272" vm="15065">
        <f ca="1"/>
        <v>209</v>
      </c>
      <c r="H1272" vm="15066">
        <f ca="1"/>
        <v>375.39</v>
      </c>
      <c r="I1272" vm="1815">
        <f ca="1"/>
        <v>90.68</v>
      </c>
      <c r="J1272" vm="1037">
        <f ca="1"/>
        <v>33.26</v>
      </c>
      <c r="K1272" vm="15067">
        <f ca="1"/>
        <v>29.29</v>
      </c>
      <c r="L1272" vm="8013">
        <f ca="1"/>
        <v>163.47</v>
      </c>
      <c r="M1272" vm="15068">
        <f ca="1"/>
        <v>490.9</v>
      </c>
      <c r="N1272" vm="15069">
        <f ca="1"/>
        <v>4793.54</v>
      </c>
    </row>
    <row r="1273" spans="2:14" x14ac:dyDescent="0.35">
      <c r="B1273" vm="15070">
        <f ca="1"/>
        <v>44566</v>
      </c>
      <c r="C1273" vm="15071">
        <f ca="1"/>
        <v>137.77500000000001</v>
      </c>
      <c r="D1273" vm="15072">
        <f ca="1"/>
        <v>164.357</v>
      </c>
      <c r="E1273" vm="6257">
        <f ca="1"/>
        <v>91.42</v>
      </c>
      <c r="F1273" vm="15073">
        <f ca="1"/>
        <v>775.08</v>
      </c>
      <c r="G1273" vm="15074">
        <f ca="1"/>
        <v>211.06</v>
      </c>
      <c r="H1273" vm="15075">
        <f ca="1"/>
        <v>373.9</v>
      </c>
      <c r="I1273" vm="15076">
        <f ca="1"/>
        <v>89.73</v>
      </c>
      <c r="J1273" vm="1037">
        <f ca="1"/>
        <v>33.26</v>
      </c>
      <c r="K1273" vm="15077">
        <f ca="1"/>
        <v>27.603999999999999</v>
      </c>
      <c r="L1273" vm="15078">
        <f ca="1"/>
        <v>164.21</v>
      </c>
      <c r="M1273" vm="15079">
        <f ca="1"/>
        <v>489.69</v>
      </c>
      <c r="N1273" vm="15080">
        <f ca="1"/>
        <v>4700.58</v>
      </c>
    </row>
    <row r="1274" spans="2:14" x14ac:dyDescent="0.35">
      <c r="B1274" vm="15081">
        <f ca="1"/>
        <v>44567</v>
      </c>
      <c r="C1274" vm="15082">
        <f ca="1"/>
        <v>137.7475</v>
      </c>
      <c r="D1274" vm="15083">
        <f ca="1"/>
        <v>163.25399999999999</v>
      </c>
      <c r="E1274" vm="11593">
        <f ca="1"/>
        <v>91.56</v>
      </c>
      <c r="F1274" vm="15084">
        <f ca="1"/>
        <v>774.94</v>
      </c>
      <c r="G1274" vm="15085">
        <f ca="1"/>
        <v>210.82</v>
      </c>
      <c r="H1274" vm="15086">
        <f ca="1"/>
        <v>370</v>
      </c>
      <c r="I1274" vm="72">
        <f ca="1"/>
        <v>85.77</v>
      </c>
      <c r="J1274" vm="13236">
        <f ca="1"/>
        <v>34.049999999999997</v>
      </c>
      <c r="K1274" vm="15087">
        <f ca="1"/>
        <v>28.178000000000001</v>
      </c>
      <c r="L1274" vm="15088">
        <f ca="1"/>
        <v>162.83000000000001</v>
      </c>
      <c r="M1274" vm="15089">
        <f ca="1"/>
        <v>469.65</v>
      </c>
      <c r="N1274" vm="15090">
        <f ca="1"/>
        <v>4696.05</v>
      </c>
    </row>
    <row r="1275" spans="2:14" x14ac:dyDescent="0.35">
      <c r="B1275" vm="15091">
        <f ca="1"/>
        <v>44568</v>
      </c>
      <c r="C1275" vm="15092">
        <f ca="1"/>
        <v>137.017</v>
      </c>
      <c r="D1275" vm="15093">
        <f ca="1"/>
        <v>162.554</v>
      </c>
      <c r="E1275" vm="12391">
        <f ca="1"/>
        <v>90.51</v>
      </c>
      <c r="F1275" vm="15094">
        <f ca="1"/>
        <v>764.33</v>
      </c>
      <c r="G1275" vm="15095">
        <f ca="1"/>
        <v>215.75</v>
      </c>
      <c r="H1275" vm="15096">
        <f ca="1"/>
        <v>369.65</v>
      </c>
      <c r="I1275" vm="15097">
        <f ca="1"/>
        <v>86.41</v>
      </c>
      <c r="J1275" vm="8735">
        <f ca="1"/>
        <v>35.03</v>
      </c>
      <c r="K1275" vm="15098">
        <f ca="1"/>
        <v>27.247</v>
      </c>
      <c r="L1275" vm="15099">
        <f ca="1"/>
        <v>162.74</v>
      </c>
      <c r="M1275" vm="15100">
        <f ca="1"/>
        <v>458.6</v>
      </c>
      <c r="N1275" vm="15101">
        <f ca="1"/>
        <v>4677.03</v>
      </c>
    </row>
    <row r="1276" spans="2:14" x14ac:dyDescent="0.35">
      <c r="B1276" vm="15102">
        <f ca="1"/>
        <v>44571</v>
      </c>
      <c r="C1276" vm="15103">
        <f ca="1"/>
        <v>138.6695</v>
      </c>
      <c r="D1276" vm="15104">
        <f ca="1"/>
        <v>161.48599999999999</v>
      </c>
      <c r="E1276" vm="14959">
        <f ca="1"/>
        <v>89.94</v>
      </c>
      <c r="F1276" vm="15105">
        <f ca="1"/>
        <v>766.88</v>
      </c>
      <c r="G1276" vm="15106">
        <f ca="1"/>
        <v>213.46</v>
      </c>
      <c r="H1276" vm="13224">
        <f ca="1"/>
        <v>363.91</v>
      </c>
      <c r="I1276" vm="14520">
        <f ca="1"/>
        <v>84.29</v>
      </c>
      <c r="J1276" vm="1637">
        <f ca="1"/>
        <v>35.119999999999997</v>
      </c>
      <c r="K1276" vm="12818">
        <f ca="1"/>
        <v>27.4</v>
      </c>
      <c r="L1276" vm="15107">
        <f ca="1"/>
        <v>160.52000000000001</v>
      </c>
      <c r="M1276" vm="15108">
        <f ca="1"/>
        <v>465</v>
      </c>
      <c r="N1276" vm="15109">
        <f ca="1"/>
        <v>4670.29</v>
      </c>
    </row>
    <row r="1277" spans="2:14" x14ac:dyDescent="0.35">
      <c r="B1277" vm="15110">
        <f ca="1"/>
        <v>44572</v>
      </c>
      <c r="C1277" vm="15111">
        <f ca="1"/>
        <v>139.73599999999999</v>
      </c>
      <c r="D1277" vm="15112">
        <f ca="1"/>
        <v>165.36199999999999</v>
      </c>
      <c r="E1277" vm="792">
        <f ca="1"/>
        <v>89.85</v>
      </c>
      <c r="F1277" vm="15113">
        <f ca="1"/>
        <v>764.46</v>
      </c>
      <c r="G1277" vm="15114">
        <f ca="1"/>
        <v>216.31</v>
      </c>
      <c r="H1277" vm="15115">
        <f ca="1"/>
        <v>366.29</v>
      </c>
      <c r="I1277" vm="13654">
        <f ca="1"/>
        <v>84.79</v>
      </c>
      <c r="J1277" vm="15116">
        <f ca="1"/>
        <v>36.479999999999997</v>
      </c>
      <c r="K1277" vm="15117">
        <f ca="1"/>
        <v>27.817</v>
      </c>
      <c r="L1277" vm="177">
        <f ca="1"/>
        <v>158.66</v>
      </c>
      <c r="M1277" vm="15118">
        <f ca="1"/>
        <v>469</v>
      </c>
      <c r="N1277" vm="15119">
        <f ca="1"/>
        <v>4713.07</v>
      </c>
    </row>
    <row r="1278" spans="2:14" x14ac:dyDescent="0.35">
      <c r="B1278" vm="15120">
        <f ca="1"/>
        <v>44573</v>
      </c>
      <c r="C1278" vm="15121">
        <f ca="1"/>
        <v>141.43049999999999</v>
      </c>
      <c r="D1278" vm="15122">
        <f ca="1"/>
        <v>165.20699999999999</v>
      </c>
      <c r="E1278" vm="14406">
        <f ca="1"/>
        <v>90.94</v>
      </c>
      <c r="F1278" vm="15123">
        <f ca="1"/>
        <v>748.12</v>
      </c>
      <c r="G1278" vm="15124">
        <f ca="1"/>
        <v>218.25</v>
      </c>
      <c r="H1278" vm="15125">
        <f ca="1"/>
        <v>367.31</v>
      </c>
      <c r="I1278" vm="15126">
        <f ca="1"/>
        <v>85.09</v>
      </c>
      <c r="J1278" vm="4643">
        <f ca="1"/>
        <v>36.450000000000003</v>
      </c>
      <c r="K1278" vm="15127">
        <f ca="1"/>
        <v>27.998999999999999</v>
      </c>
      <c r="L1278" vm="15128">
        <f ca="1"/>
        <v>159.01</v>
      </c>
      <c r="M1278" vm="15129">
        <f ca="1"/>
        <v>473.72</v>
      </c>
      <c r="N1278" vm="15130">
        <f ca="1"/>
        <v>4726.3500000000004</v>
      </c>
    </row>
    <row r="1279" spans="2:14" x14ac:dyDescent="0.35">
      <c r="B1279" vm="15131">
        <f ca="1"/>
        <v>44574</v>
      </c>
      <c r="C1279" vm="15132">
        <f ca="1"/>
        <v>138.58699999999999</v>
      </c>
      <c r="D1279" vm="15133">
        <f ca="1"/>
        <v>161.214</v>
      </c>
      <c r="E1279" vm="14627">
        <f ca="1"/>
        <v>91.02</v>
      </c>
      <c r="F1279" vm="15134">
        <f ca="1"/>
        <v>746.76</v>
      </c>
      <c r="G1279" vm="15135">
        <f ca="1"/>
        <v>219.43</v>
      </c>
      <c r="H1279" vm="15136">
        <f ca="1"/>
        <v>369.52</v>
      </c>
      <c r="I1279" vm="15137">
        <f ca="1"/>
        <v>84.9</v>
      </c>
      <c r="J1279" vm="15138">
        <f ca="1"/>
        <v>36.17</v>
      </c>
      <c r="K1279" vm="15139">
        <f ca="1"/>
        <v>26.574999999999999</v>
      </c>
      <c r="L1279" vm="15140">
        <f ca="1"/>
        <v>158.29</v>
      </c>
      <c r="M1279" vm="15141">
        <f ca="1"/>
        <v>467.43</v>
      </c>
      <c r="N1279" vm="15142">
        <f ca="1"/>
        <v>4659.03</v>
      </c>
    </row>
    <row r="1280" spans="2:14" x14ac:dyDescent="0.35">
      <c r="B1280" vm="15143">
        <f ca="1"/>
        <v>44575</v>
      </c>
      <c r="C1280" vm="15144">
        <f ca="1"/>
        <v>139.48050000000001</v>
      </c>
      <c r="D1280" vm="15145">
        <f ca="1"/>
        <v>162.13800000000001</v>
      </c>
      <c r="E1280" vm="15146">
        <f ca="1"/>
        <v>90.59</v>
      </c>
      <c r="F1280" vm="15147">
        <f ca="1"/>
        <v>742.94</v>
      </c>
      <c r="G1280" vm="15148">
        <f ca="1"/>
        <v>217.65</v>
      </c>
      <c r="H1280" vm="15149">
        <f ca="1"/>
        <v>372.14</v>
      </c>
      <c r="I1280" vm="15150">
        <f ca="1"/>
        <v>83.2</v>
      </c>
      <c r="J1280" vm="80">
        <f ca="1"/>
        <v>37.81</v>
      </c>
      <c r="K1280" vm="15151">
        <f ca="1"/>
        <v>26.942</v>
      </c>
      <c r="L1280" vm="15152">
        <f ca="1"/>
        <v>159.81</v>
      </c>
      <c r="M1280" vm="15153">
        <f ca="1"/>
        <v>468.69</v>
      </c>
      <c r="N1280" vm="15154">
        <f ca="1"/>
        <v>4662.8500000000004</v>
      </c>
    </row>
    <row r="1281" spans="2:14" x14ac:dyDescent="0.35">
      <c r="B1281" vm="15155">
        <f ca="1"/>
        <v>44579</v>
      </c>
      <c r="C1281" vm="15156">
        <f ca="1"/>
        <v>135.99799999999999</v>
      </c>
      <c r="D1281" vm="15157">
        <f ca="1"/>
        <v>158.91749999999999</v>
      </c>
      <c r="E1281" vm="976">
        <f ca="1"/>
        <v>89.55</v>
      </c>
      <c r="F1281" vm="15158">
        <f ca="1"/>
        <v>730.49</v>
      </c>
      <c r="G1281" vm="15159">
        <f ca="1"/>
        <v>213.59</v>
      </c>
      <c r="H1281" vm="15160">
        <f ca="1"/>
        <v>366.3</v>
      </c>
      <c r="I1281" vm="12767">
        <f ca="1"/>
        <v>81.25</v>
      </c>
      <c r="J1281" vm="2133">
        <f ca="1"/>
        <v>37.54</v>
      </c>
      <c r="K1281" vm="15161">
        <f ca="1"/>
        <v>25.902999999999999</v>
      </c>
      <c r="L1281" vm="15162">
        <f ca="1"/>
        <v>156.72999999999999</v>
      </c>
      <c r="M1281" vm="15163">
        <f ca="1"/>
        <v>460.99</v>
      </c>
      <c r="N1281" vm="15164">
        <f ca="1"/>
        <v>4577.1099999999997</v>
      </c>
    </row>
    <row r="1282" spans="2:14" x14ac:dyDescent="0.35">
      <c r="B1282" vm="15165">
        <f ca="1"/>
        <v>44580</v>
      </c>
      <c r="C1282" vm="15166">
        <f ca="1"/>
        <v>135.1165</v>
      </c>
      <c r="D1282" vm="15167">
        <f ca="1"/>
        <v>156.29900000000001</v>
      </c>
      <c r="E1282" vm="15168">
        <f ca="1"/>
        <v>91.75</v>
      </c>
      <c r="F1282" vm="15169">
        <f ca="1"/>
        <v>730.51</v>
      </c>
      <c r="G1282" vm="15170">
        <f ca="1"/>
        <v>210.73</v>
      </c>
      <c r="H1282" vm="15171">
        <f ca="1"/>
        <v>360.73</v>
      </c>
      <c r="I1282" vm="12656">
        <f ca="1"/>
        <v>82.59</v>
      </c>
      <c r="J1282" vm="15172">
        <f ca="1"/>
        <v>37.1</v>
      </c>
      <c r="K1282" vm="15173">
        <f ca="1"/>
        <v>25.067</v>
      </c>
      <c r="L1282" vm="6969">
        <f ca="1"/>
        <v>162</v>
      </c>
      <c r="M1282" vm="15174">
        <f ca="1"/>
        <v>462.52</v>
      </c>
      <c r="N1282" vm="15175">
        <f ca="1"/>
        <v>4532.76</v>
      </c>
    </row>
    <row r="1283" spans="2:14" x14ac:dyDescent="0.35">
      <c r="B1283" vm="15176">
        <f ca="1"/>
        <v>44581</v>
      </c>
      <c r="C1283" vm="15177">
        <f ca="1"/>
        <v>133.3075</v>
      </c>
      <c r="D1283" vm="15178">
        <f ca="1"/>
        <v>151.66749999999999</v>
      </c>
      <c r="E1283" vm="3153">
        <f ca="1"/>
        <v>90.54</v>
      </c>
      <c r="F1283" vm="15179">
        <f ca="1"/>
        <v>721.58</v>
      </c>
      <c r="G1283" vm="15180">
        <f ca="1"/>
        <v>208.92</v>
      </c>
      <c r="H1283" vm="15181">
        <f ca="1"/>
        <v>364</v>
      </c>
      <c r="I1283" vm="15182">
        <f ca="1"/>
        <v>83.51</v>
      </c>
      <c r="J1283" vm="15183">
        <f ca="1"/>
        <v>37.049999999999997</v>
      </c>
      <c r="K1283" vm="15184">
        <f ca="1"/>
        <v>24.15</v>
      </c>
      <c r="L1283" vm="6969">
        <f ca="1"/>
        <v>162</v>
      </c>
      <c r="M1283" vm="15185">
        <f ca="1"/>
        <v>463</v>
      </c>
      <c r="N1283" vm="15186">
        <f ca="1"/>
        <v>4482.7299999999996</v>
      </c>
    </row>
    <row r="1284" spans="2:14" x14ac:dyDescent="0.35">
      <c r="B1284" vm="15187">
        <f ca="1"/>
        <v>44582</v>
      </c>
      <c r="C1284" vm="15188">
        <f ca="1"/>
        <v>130.35149999999999</v>
      </c>
      <c r="D1284" vm="15189">
        <f ca="1"/>
        <v>142.643</v>
      </c>
      <c r="E1284" vm="344">
        <f ca="1"/>
        <v>88.33</v>
      </c>
      <c r="F1284" vm="15190">
        <f ca="1"/>
        <v>730.84</v>
      </c>
      <c r="G1284" vm="15191">
        <f ca="1"/>
        <v>205.1</v>
      </c>
      <c r="H1284" vm="15192">
        <f ca="1"/>
        <v>355.08</v>
      </c>
      <c r="I1284" vm="3521">
        <f ca="1"/>
        <v>82.6</v>
      </c>
      <c r="J1284" vm="8875">
        <f ca="1"/>
        <v>36.36</v>
      </c>
      <c r="K1284" vm="15193">
        <f ca="1"/>
        <v>23.373999999999999</v>
      </c>
      <c r="L1284" vm="15194">
        <f ca="1"/>
        <v>162.62</v>
      </c>
      <c r="M1284" vm="15195">
        <f ca="1"/>
        <v>461.17</v>
      </c>
      <c r="N1284" vm="15196">
        <f ca="1"/>
        <v>4397.9399999999996</v>
      </c>
    </row>
    <row r="1285" spans="2:14" x14ac:dyDescent="0.35">
      <c r="B1285" vm="15197">
        <f ca="1"/>
        <v>44585</v>
      </c>
      <c r="C1285" vm="15198">
        <f ca="1"/>
        <v>130.804</v>
      </c>
      <c r="D1285" vm="15199">
        <f ca="1"/>
        <v>144.54400000000001</v>
      </c>
      <c r="E1285" vm="15200">
        <f ca="1"/>
        <v>87.23</v>
      </c>
      <c r="F1285" vm="15201">
        <f ca="1"/>
        <v>719.67</v>
      </c>
      <c r="G1285" vm="15202">
        <f ca="1"/>
        <v>204.45</v>
      </c>
      <c r="H1285" vm="15203">
        <f ca="1"/>
        <v>349.42</v>
      </c>
      <c r="I1285" vm="5396">
        <f ca="1"/>
        <v>81.92</v>
      </c>
      <c r="J1285" vm="6092">
        <f ca="1"/>
        <v>36.6</v>
      </c>
      <c r="K1285" vm="15204">
        <f ca="1"/>
        <v>23.372</v>
      </c>
      <c r="L1285" vm="15205">
        <f ca="1"/>
        <v>161.30000000000001</v>
      </c>
      <c r="M1285" vm="15206">
        <f ca="1"/>
        <v>462.27</v>
      </c>
      <c r="N1285" vm="15207">
        <f ca="1"/>
        <v>4410.13</v>
      </c>
    </row>
    <row r="1286" spans="2:14" x14ac:dyDescent="0.35">
      <c r="B1286" vm="15208">
        <f ca="1"/>
        <v>44586</v>
      </c>
      <c r="C1286" vm="15209">
        <f ca="1"/>
        <v>126.935</v>
      </c>
      <c r="D1286" vm="15210">
        <f ca="1"/>
        <v>139.98599999999999</v>
      </c>
      <c r="E1286" vm="1117">
        <f ca="1"/>
        <v>86.4</v>
      </c>
      <c r="F1286" vm="15211">
        <f ca="1"/>
        <v>695.83</v>
      </c>
      <c r="G1286" vm="15212">
        <f ca="1"/>
        <v>202.3</v>
      </c>
      <c r="H1286" vm="15213">
        <f ca="1"/>
        <v>338.76</v>
      </c>
      <c r="I1286" vm="12549">
        <f ca="1"/>
        <v>75.099999999999994</v>
      </c>
      <c r="J1286" vm="2730">
        <f ca="1"/>
        <v>38.79</v>
      </c>
      <c r="K1286" vm="15214">
        <f ca="1"/>
        <v>22.324000000000002</v>
      </c>
      <c r="L1286" vm="15215">
        <f ca="1"/>
        <v>159.54</v>
      </c>
      <c r="M1286" vm="15216">
        <f ca="1"/>
        <v>456.84</v>
      </c>
      <c r="N1286" vm="15217">
        <f ca="1"/>
        <v>4356.45</v>
      </c>
    </row>
    <row r="1287" spans="2:14" x14ac:dyDescent="0.35">
      <c r="B1287" vm="15218">
        <f ca="1"/>
        <v>44587</v>
      </c>
      <c r="C1287" vm="15219">
        <f ca="1"/>
        <v>129.233</v>
      </c>
      <c r="D1287" vm="15220">
        <f ca="1"/>
        <v>138.8725</v>
      </c>
      <c r="E1287" vm="15221">
        <f ca="1"/>
        <v>86.57</v>
      </c>
      <c r="F1287" vm="15222">
        <f ca="1"/>
        <v>683.02</v>
      </c>
      <c r="G1287" vm="15223">
        <f ca="1"/>
        <v>200.65</v>
      </c>
      <c r="H1287" vm="15224">
        <f ca="1"/>
        <v>344.66</v>
      </c>
      <c r="I1287" vm="15225">
        <f ca="1"/>
        <v>72.64</v>
      </c>
      <c r="J1287" vm="15226">
        <f ca="1"/>
        <v>39.799999999999997</v>
      </c>
      <c r="K1287" vm="15227">
        <f ca="1"/>
        <v>22.771999999999998</v>
      </c>
      <c r="L1287" vm="15228">
        <f ca="1"/>
        <v>158.15</v>
      </c>
      <c r="M1287" vm="15229">
        <f ca="1"/>
        <v>458.43</v>
      </c>
      <c r="N1287" vm="15230">
        <f ca="1"/>
        <v>4349.93</v>
      </c>
    </row>
    <row r="1288" spans="2:14" x14ac:dyDescent="0.35">
      <c r="B1288" vm="15231">
        <f ca="1"/>
        <v>44588</v>
      </c>
      <c r="C1288" vm="15232">
        <f ca="1"/>
        <v>129.005</v>
      </c>
      <c r="D1288" vm="15233">
        <f ca="1"/>
        <v>139.63749999999999</v>
      </c>
      <c r="E1288" vm="2195">
        <f ca="1"/>
        <v>93.99</v>
      </c>
      <c r="F1288" vm="15234">
        <f ca="1"/>
        <v>707.56</v>
      </c>
      <c r="G1288" vm="15223">
        <f ca="1"/>
        <v>200.65</v>
      </c>
      <c r="H1288" vm="12256">
        <f ca="1"/>
        <v>350.53</v>
      </c>
      <c r="I1288" vm="9645">
        <f ca="1"/>
        <v>72.510000000000005</v>
      </c>
      <c r="J1288" vm="15235">
        <f ca="1"/>
        <v>38.86</v>
      </c>
      <c r="K1288" vm="15236">
        <f ca="1"/>
        <v>21.943999999999999</v>
      </c>
      <c r="L1288" vm="15237">
        <f ca="1"/>
        <v>159.13</v>
      </c>
      <c r="M1288" vm="15238">
        <f ca="1"/>
        <v>461.6</v>
      </c>
      <c r="N1288" vm="15239">
        <f ca="1"/>
        <v>4326.51</v>
      </c>
    </row>
    <row r="1289" spans="2:14" x14ac:dyDescent="0.35">
      <c r="B1289" vm="15240">
        <f ca="1"/>
        <v>44589</v>
      </c>
      <c r="C1289" vm="15241">
        <f ca="1"/>
        <v>133.351</v>
      </c>
      <c r="D1289" vm="15242">
        <f ca="1"/>
        <v>143.97800000000001</v>
      </c>
      <c r="E1289" vm="14887">
        <f ca="1"/>
        <v>93.5</v>
      </c>
      <c r="F1289" vm="15243">
        <f ca="1"/>
        <v>724.9</v>
      </c>
      <c r="G1289" vm="15244">
        <f ca="1"/>
        <v>201.99</v>
      </c>
      <c r="H1289" vm="15245">
        <f ca="1"/>
        <v>382.51</v>
      </c>
      <c r="I1289" vm="4056">
        <f ca="1"/>
        <v>72.5</v>
      </c>
      <c r="J1289" vm="15246">
        <f ca="1"/>
        <v>39.68</v>
      </c>
      <c r="K1289" vm="12034">
        <f ca="1"/>
        <v>22.84</v>
      </c>
      <c r="L1289" vm="15247">
        <f ca="1"/>
        <v>160.5</v>
      </c>
      <c r="M1289" vm="15248">
        <f ca="1"/>
        <v>466.06</v>
      </c>
      <c r="N1289" vm="15249">
        <f ca="1"/>
        <v>4431.8500000000004</v>
      </c>
    </row>
    <row r="1290" spans="2:14" x14ac:dyDescent="0.35">
      <c r="B1290" vm="15250">
        <f ca="1"/>
        <v>44592</v>
      </c>
      <c r="C1290" vm="15251">
        <f ca="1"/>
        <v>135.30350000000001</v>
      </c>
      <c r="D1290" vm="15252">
        <f ca="1"/>
        <v>149.5735</v>
      </c>
      <c r="E1290" vm="15253">
        <f ca="1"/>
        <v>97.1</v>
      </c>
      <c r="F1290" vm="15254">
        <f ca="1"/>
        <v>715.29</v>
      </c>
      <c r="G1290" vm="15255">
        <f ca="1"/>
        <v>204.48</v>
      </c>
      <c r="H1290" vm="15256">
        <f ca="1"/>
        <v>386.38</v>
      </c>
      <c r="I1290" vm="15257">
        <f ca="1"/>
        <v>78.12</v>
      </c>
      <c r="J1290" vm="8970">
        <f ca="1"/>
        <v>39.07</v>
      </c>
      <c r="K1290" vm="15258">
        <f ca="1"/>
        <v>24.486000000000001</v>
      </c>
      <c r="L1290" vm="15259">
        <f ca="1"/>
        <v>160.44999999999999</v>
      </c>
      <c r="M1290" vm="15260">
        <f ca="1"/>
        <v>472.57</v>
      </c>
      <c r="N1290" vm="15261">
        <f ca="1"/>
        <v>4515.55</v>
      </c>
    </row>
    <row r="1291" spans="2:14" x14ac:dyDescent="0.35">
      <c r="B1291" vm="15262">
        <f ca="1"/>
        <v>44593</v>
      </c>
      <c r="C1291" vm="15263">
        <f ca="1"/>
        <v>137.64400000000001</v>
      </c>
      <c r="D1291" vm="15264">
        <f ca="1"/>
        <v>151.1935</v>
      </c>
      <c r="E1291" vm="15265">
        <f ca="1"/>
        <v>96.57</v>
      </c>
      <c r="F1291" vm="15266">
        <f ca="1"/>
        <v>716.55</v>
      </c>
      <c r="G1291" vm="15267">
        <f ca="1"/>
        <v>205.34</v>
      </c>
      <c r="H1291" vm="15268">
        <f ca="1"/>
        <v>392.06</v>
      </c>
      <c r="I1291" vm="15269">
        <f ca="1"/>
        <v>77.23</v>
      </c>
      <c r="J1291" vm="2823">
        <f ca="1"/>
        <v>39.520000000000003</v>
      </c>
      <c r="K1291" vm="15270">
        <f ca="1"/>
        <v>24.638000000000002</v>
      </c>
      <c r="L1291" vm="15271">
        <f ca="1"/>
        <v>159.74</v>
      </c>
      <c r="M1291" vm="2120">
        <f ca="1"/>
        <v>468.41</v>
      </c>
      <c r="N1291" vm="15272">
        <f ca="1"/>
        <v>4546.54</v>
      </c>
    </row>
    <row r="1292" spans="2:14" x14ac:dyDescent="0.35">
      <c r="B1292" vm="15273">
        <f ca="1"/>
        <v>44594</v>
      </c>
      <c r="C1292" vm="15274">
        <f ca="1"/>
        <v>148</v>
      </c>
      <c r="D1292" vm="15275">
        <f ca="1"/>
        <v>150.61250000000001</v>
      </c>
      <c r="E1292" vm="15276">
        <f ca="1"/>
        <v>94.46</v>
      </c>
      <c r="F1292" vm="15277">
        <f ca="1"/>
        <v>712.91</v>
      </c>
      <c r="G1292" vm="15278">
        <f ca="1"/>
        <v>207.55</v>
      </c>
      <c r="H1292" vm="15279">
        <f ca="1"/>
        <v>396.75</v>
      </c>
      <c r="I1292" vm="15280">
        <f ca="1"/>
        <v>77.73</v>
      </c>
      <c r="J1292" vm="2851">
        <f ca="1"/>
        <v>39.25</v>
      </c>
      <c r="K1292" vm="15281">
        <f ca="1"/>
        <v>25.242000000000001</v>
      </c>
      <c r="L1292" vm="469">
        <f ca="1"/>
        <v>162.6</v>
      </c>
      <c r="M1292" vm="15282">
        <f ca="1"/>
        <v>479.78</v>
      </c>
      <c r="N1292" vm="15283">
        <f ca="1"/>
        <v>4589.38</v>
      </c>
    </row>
    <row r="1293" spans="2:14" x14ac:dyDescent="0.35">
      <c r="B1293" vm="15284">
        <f ca="1"/>
        <v>44595</v>
      </c>
      <c r="C1293" vm="15285">
        <f ca="1"/>
        <v>143.09</v>
      </c>
      <c r="D1293" vm="15286">
        <f ca="1"/>
        <v>138.84549999999999</v>
      </c>
      <c r="E1293" vm="15287">
        <f ca="1"/>
        <v>93.12</v>
      </c>
      <c r="F1293" vm="15288">
        <f ca="1"/>
        <v>702.15</v>
      </c>
      <c r="G1293" vm="15289">
        <f ca="1"/>
        <v>191.74</v>
      </c>
      <c r="H1293" vm="15290">
        <f ca="1"/>
        <v>390.07</v>
      </c>
      <c r="I1293" vm="12874">
        <f ca="1"/>
        <v>75.77</v>
      </c>
      <c r="J1293" vm="4834">
        <f ca="1"/>
        <v>38.58</v>
      </c>
      <c r="K1293" vm="15291">
        <f ca="1"/>
        <v>23.948</v>
      </c>
      <c r="L1293" vm="15292">
        <f ca="1"/>
        <v>164.14</v>
      </c>
      <c r="M1293" vm="15293">
        <f ca="1"/>
        <v>488.77</v>
      </c>
      <c r="N1293" vm="15294">
        <f ca="1"/>
        <v>4477.4399999999996</v>
      </c>
    </row>
    <row r="1294" spans="2:14" x14ac:dyDescent="0.35">
      <c r="B1294" vm="15295">
        <f ca="1"/>
        <v>44596</v>
      </c>
      <c r="C1294" vm="15296">
        <f ca="1"/>
        <v>143.29300000000001</v>
      </c>
      <c r="D1294" vm="15297">
        <f ca="1"/>
        <v>157.6395</v>
      </c>
      <c r="E1294" vm="15298">
        <f ca="1"/>
        <v>93.68</v>
      </c>
      <c r="F1294" vm="15299">
        <f ca="1"/>
        <v>698.15</v>
      </c>
      <c r="G1294" vm="1753">
        <f ca="1"/>
        <v>191.5</v>
      </c>
      <c r="H1294" vm="15300">
        <f ca="1"/>
        <v>382.2</v>
      </c>
      <c r="I1294" vm="15301">
        <f ca="1"/>
        <v>76.010000000000005</v>
      </c>
      <c r="J1294" vm="7854">
        <f ca="1"/>
        <v>38.51</v>
      </c>
      <c r="K1294" vm="15302">
        <f ca="1"/>
        <v>24.318999999999999</v>
      </c>
      <c r="L1294" vm="15303">
        <f ca="1"/>
        <v>161.53</v>
      </c>
      <c r="M1294" vm="15304">
        <f ca="1"/>
        <v>483.17</v>
      </c>
      <c r="N1294" vm="15305">
        <f ca="1"/>
        <v>4500.53</v>
      </c>
    </row>
    <row r="1295" spans="2:14" x14ac:dyDescent="0.35">
      <c r="B1295" vm="15306">
        <f ca="1"/>
        <v>44599</v>
      </c>
      <c r="C1295" vm="15307">
        <f ca="1"/>
        <v>139.20099999999999</v>
      </c>
      <c r="D1295" vm="15308">
        <f ca="1"/>
        <v>157.93549999999999</v>
      </c>
      <c r="E1295" vm="5705">
        <f ca="1"/>
        <v>92.41</v>
      </c>
      <c r="F1295" vm="15309">
        <f ca="1"/>
        <v>690.52</v>
      </c>
      <c r="G1295" vm="15310">
        <f ca="1"/>
        <v>192.48</v>
      </c>
      <c r="H1295" vm="132">
        <f ca="1"/>
        <v>376.13</v>
      </c>
      <c r="I1295" vm="15311">
        <f ca="1"/>
        <v>75.680000000000007</v>
      </c>
      <c r="J1295" vm="1994">
        <f ca="1"/>
        <v>40.270000000000003</v>
      </c>
      <c r="K1295" vm="15312">
        <f ca="1"/>
        <v>24.728000000000002</v>
      </c>
      <c r="L1295" vm="15313">
        <f ca="1"/>
        <v>160.32</v>
      </c>
      <c r="M1295" vm="15314">
        <f ca="1"/>
        <v>483.7</v>
      </c>
      <c r="N1295" vm="15315">
        <f ca="1"/>
        <v>4483.87</v>
      </c>
    </row>
    <row r="1296" spans="2:14" x14ac:dyDescent="0.35">
      <c r="B1296" vm="15316">
        <f ca="1"/>
        <v>44600</v>
      </c>
      <c r="C1296" vm="15317">
        <f ca="1"/>
        <v>139.399</v>
      </c>
      <c r="D1296" vm="15318">
        <f ca="1"/>
        <v>161.4135</v>
      </c>
      <c r="E1296" vm="7232">
        <f ca="1"/>
        <v>93.45</v>
      </c>
      <c r="F1296" vm="15319">
        <f ca="1"/>
        <v>718.61</v>
      </c>
      <c r="G1296" vm="15320">
        <f ca="1"/>
        <v>194.56</v>
      </c>
      <c r="H1296" vm="15321">
        <f ca="1"/>
        <v>374.37</v>
      </c>
      <c r="I1296" vm="15322">
        <f ca="1"/>
        <v>75.459999999999994</v>
      </c>
      <c r="J1296" vm="15323">
        <f ca="1"/>
        <v>38.9</v>
      </c>
      <c r="K1296" vm="15324">
        <f ca="1"/>
        <v>25.108000000000001</v>
      </c>
      <c r="L1296" vm="11417">
        <f ca="1"/>
        <v>159.96</v>
      </c>
      <c r="M1296" vm="15325">
        <f ca="1"/>
        <v>493.41</v>
      </c>
      <c r="N1296" vm="15326">
        <f ca="1"/>
        <v>4521.54</v>
      </c>
    </row>
    <row r="1297" spans="2:14" x14ac:dyDescent="0.35">
      <c r="B1297" vm="15327">
        <f ca="1"/>
        <v>44601</v>
      </c>
      <c r="C1297" vm="15328">
        <f ca="1"/>
        <v>141.59200000000001</v>
      </c>
      <c r="D1297" vm="15329">
        <f ca="1"/>
        <v>161.18950000000001</v>
      </c>
      <c r="E1297" vm="15330">
        <f ca="1"/>
        <v>94.05</v>
      </c>
      <c r="F1297" vm="15331">
        <f ca="1"/>
        <v>687.72</v>
      </c>
      <c r="G1297" vm="15332">
        <f ca="1"/>
        <v>196.62</v>
      </c>
      <c r="H1297" vm="15333">
        <f ca="1"/>
        <v>381.37</v>
      </c>
      <c r="I1297" vm="15334">
        <f ca="1"/>
        <v>76.66</v>
      </c>
      <c r="J1297" vm="3014">
        <f ca="1"/>
        <v>39.4</v>
      </c>
      <c r="K1297" vm="15335">
        <f ca="1"/>
        <v>26.704999999999998</v>
      </c>
      <c r="L1297" vm="15336">
        <f ca="1"/>
        <v>159.6</v>
      </c>
      <c r="M1297" vm="15337">
        <f ca="1"/>
        <v>498.1</v>
      </c>
      <c r="N1297" vm="15338">
        <f ca="1"/>
        <v>4587.18</v>
      </c>
    </row>
    <row r="1298" spans="2:14" x14ac:dyDescent="0.35">
      <c r="B1298" vm="15339">
        <f ca="1"/>
        <v>44602</v>
      </c>
      <c r="C1298" vm="15340">
        <f ca="1"/>
        <v>138.62</v>
      </c>
      <c r="D1298" vm="15341">
        <f ca="1"/>
        <v>159.0035</v>
      </c>
      <c r="E1298" vm="15342">
        <f ca="1"/>
        <v>92.67</v>
      </c>
      <c r="F1298" vm="15343">
        <f ca="1"/>
        <v>671.52</v>
      </c>
      <c r="G1298" vm="2319">
        <f ca="1"/>
        <v>191.75</v>
      </c>
      <c r="H1298" vm="13742">
        <f ca="1"/>
        <v>374.39</v>
      </c>
      <c r="I1298" vm="15344">
        <f ca="1"/>
        <v>75.45</v>
      </c>
      <c r="J1298" vm="15345">
        <f ca="1"/>
        <v>39.17</v>
      </c>
      <c r="K1298" vm="15346">
        <f ca="1"/>
        <v>25.824000000000002</v>
      </c>
      <c r="L1298" vm="15347">
        <f ca="1"/>
        <v>157.16999999999999</v>
      </c>
      <c r="M1298" vm="15348">
        <f ca="1"/>
        <v>486.72</v>
      </c>
      <c r="N1298" vm="15349">
        <f ca="1"/>
        <v>4504.08</v>
      </c>
    </row>
    <row r="1299" spans="2:14" x14ac:dyDescent="0.35">
      <c r="B1299" vm="15350">
        <f ca="1"/>
        <v>44603</v>
      </c>
      <c r="C1299" vm="15351">
        <f ca="1"/>
        <v>134.2825</v>
      </c>
      <c r="D1299" vm="15352">
        <f ca="1"/>
        <v>153.29349999999999</v>
      </c>
      <c r="E1299" vm="1988">
        <f ca="1"/>
        <v>92.44</v>
      </c>
      <c r="F1299" vm="15353">
        <f ca="1"/>
        <v>669.38</v>
      </c>
      <c r="G1299" vm="15354">
        <f ca="1"/>
        <v>186.99</v>
      </c>
      <c r="H1299" vm="15355">
        <f ca="1"/>
        <v>369.77</v>
      </c>
      <c r="I1299" vm="15356">
        <f ca="1"/>
        <v>74.959999999999994</v>
      </c>
      <c r="J1299" vm="7666">
        <f ca="1"/>
        <v>40.619999999999997</v>
      </c>
      <c r="K1299" vm="15357">
        <f ca="1"/>
        <v>23.949000000000002</v>
      </c>
      <c r="L1299" vm="6752">
        <f ca="1"/>
        <v>156.29</v>
      </c>
      <c r="M1299" vm="15358">
        <f ca="1"/>
        <v>478.13</v>
      </c>
      <c r="N1299" vm="15359">
        <f ca="1"/>
        <v>4418.6400000000003</v>
      </c>
    </row>
    <row r="1300" spans="2:14" x14ac:dyDescent="0.35">
      <c r="B1300" vm="15360">
        <f ca="1"/>
        <v>44606</v>
      </c>
      <c r="C1300" vm="15361">
        <f ca="1"/>
        <v>135.52600000000001</v>
      </c>
      <c r="D1300" vm="15362">
        <f ca="1"/>
        <v>155.167</v>
      </c>
      <c r="E1300" vm="15363">
        <f ca="1"/>
        <v>92.28</v>
      </c>
      <c r="F1300" vm="15364">
        <f ca="1"/>
        <v>673.38</v>
      </c>
      <c r="G1300" vm="1677">
        <f ca="1"/>
        <v>186.69</v>
      </c>
      <c r="H1300" vm="15365">
        <f ca="1"/>
        <v>374.16</v>
      </c>
      <c r="I1300" vm="15366">
        <f ca="1"/>
        <v>74.92</v>
      </c>
      <c r="J1300" vm="2070">
        <f ca="1"/>
        <v>39.299999999999997</v>
      </c>
      <c r="K1300" vm="15367">
        <f ca="1"/>
        <v>24.266999999999999</v>
      </c>
      <c r="L1300" vm="15368">
        <f ca="1"/>
        <v>156.74</v>
      </c>
      <c r="M1300" vm="15369">
        <f ca="1"/>
        <v>474.4</v>
      </c>
      <c r="N1300" vm="15370">
        <f ca="1"/>
        <v>4401.67</v>
      </c>
    </row>
    <row r="1301" spans="2:14" x14ac:dyDescent="0.35">
      <c r="B1301" vm="15371">
        <f ca="1"/>
        <v>44607</v>
      </c>
      <c r="C1301" vm="15372">
        <f ca="1"/>
        <v>136.60849999999999</v>
      </c>
      <c r="D1301" vm="15373">
        <f ca="1"/>
        <v>156.51050000000001</v>
      </c>
      <c r="E1301" vm="15374">
        <f ca="1"/>
        <v>91.84</v>
      </c>
      <c r="F1301" vm="15375">
        <f ca="1"/>
        <v>673.58</v>
      </c>
      <c r="G1301" vm="4330">
        <f ca="1"/>
        <v>189.53</v>
      </c>
      <c r="H1301" vm="15376">
        <f ca="1"/>
        <v>381.54</v>
      </c>
      <c r="I1301" vm="13671">
        <f ca="1"/>
        <v>75.09</v>
      </c>
      <c r="J1301" vm="3884">
        <f ca="1"/>
        <v>40.090000000000003</v>
      </c>
      <c r="K1301" vm="15377">
        <f ca="1"/>
        <v>26.495000000000001</v>
      </c>
      <c r="L1301" vm="15378">
        <f ca="1"/>
        <v>156.82</v>
      </c>
      <c r="M1301" vm="14894">
        <f ca="1"/>
        <v>478.23</v>
      </c>
      <c r="N1301" vm="15379">
        <f ca="1"/>
        <v>4471.07</v>
      </c>
    </row>
    <row r="1302" spans="2:14" x14ac:dyDescent="0.35">
      <c r="B1302" vm="15380">
        <f ca="1"/>
        <v>44608</v>
      </c>
      <c r="C1302" vm="15381">
        <f ca="1"/>
        <v>137.738</v>
      </c>
      <c r="D1302" vm="15382">
        <f ca="1"/>
        <v>158.10050000000001</v>
      </c>
      <c r="E1302" vm="12017">
        <f ca="1"/>
        <v>92.04</v>
      </c>
      <c r="F1302" vm="15383">
        <f ca="1"/>
        <v>691.61</v>
      </c>
      <c r="G1302" vm="15384">
        <f ca="1"/>
        <v>189.06</v>
      </c>
      <c r="H1302" vm="15385">
        <f ca="1"/>
        <v>382.93</v>
      </c>
      <c r="I1302" vm="10980">
        <f ca="1"/>
        <v>75.23</v>
      </c>
      <c r="J1302" vm="15386">
        <f ca="1"/>
        <v>41.69</v>
      </c>
      <c r="K1302" vm="15387">
        <f ca="1"/>
        <v>26.510999999999999</v>
      </c>
      <c r="L1302" vm="15388">
        <f ca="1"/>
        <v>158.01</v>
      </c>
      <c r="M1302" vm="15389">
        <f ca="1"/>
        <v>480.05</v>
      </c>
      <c r="N1302" vm="15390">
        <f ca="1"/>
        <v>4475.01</v>
      </c>
    </row>
    <row r="1303" spans="2:14" x14ac:dyDescent="0.35">
      <c r="B1303" vm="15391">
        <f ca="1"/>
        <v>44609</v>
      </c>
      <c r="C1303" vm="15392">
        <f ca="1"/>
        <v>132.53899999999999</v>
      </c>
      <c r="D1303" vm="15393">
        <f ca="1"/>
        <v>154.6525</v>
      </c>
      <c r="E1303" vm="15394">
        <f ca="1"/>
        <v>90.92</v>
      </c>
      <c r="F1303" vm="15395">
        <f ca="1"/>
        <v>692.94</v>
      </c>
      <c r="G1303" vm="15396">
        <f ca="1"/>
        <v>184.59</v>
      </c>
      <c r="H1303" vm="15397">
        <f ca="1"/>
        <v>373.7</v>
      </c>
      <c r="I1303" vm="12734">
        <f ca="1"/>
        <v>75.38</v>
      </c>
      <c r="J1303" vm="15398">
        <f ca="1"/>
        <v>41.11</v>
      </c>
      <c r="K1303" vm="15399">
        <f ca="1"/>
        <v>24.507000000000001</v>
      </c>
      <c r="L1303" vm="15400">
        <f ca="1"/>
        <v>159.82</v>
      </c>
      <c r="M1303" vm="15401">
        <f ca="1"/>
        <v>470.34</v>
      </c>
      <c r="N1303" vm="15402">
        <f ca="1"/>
        <v>4380.26</v>
      </c>
    </row>
    <row r="1304" spans="2:14" x14ac:dyDescent="0.35">
      <c r="B1304" vm="15403">
        <f ca="1"/>
        <v>44610</v>
      </c>
      <c r="C1304" vm="15404">
        <f ca="1"/>
        <v>130.40299999999999</v>
      </c>
      <c r="D1304" vm="12825">
        <f ca="1"/>
        <v>152.60149999999999</v>
      </c>
      <c r="E1304" vm="15405">
        <f ca="1"/>
        <v>90.61</v>
      </c>
      <c r="F1304" vm="15406">
        <f ca="1"/>
        <v>680.77</v>
      </c>
      <c r="G1304" vm="15407">
        <f ca="1"/>
        <v>182.13</v>
      </c>
      <c r="H1304" vm="15408">
        <f ca="1"/>
        <v>369.95</v>
      </c>
      <c r="I1304" vm="9355">
        <f ca="1"/>
        <v>74.150000000000006</v>
      </c>
      <c r="J1304" vm="15409">
        <f ca="1"/>
        <v>40.21</v>
      </c>
      <c r="K1304" vm="15410">
        <f ca="1"/>
        <v>23.641999999999999</v>
      </c>
      <c r="L1304" vm="15411">
        <f ca="1"/>
        <v>159.9</v>
      </c>
      <c r="M1304" vm="15412">
        <f ca="1"/>
        <v>467.81</v>
      </c>
      <c r="N1304" vm="15413">
        <f ca="1"/>
        <v>4348.87</v>
      </c>
    </row>
    <row r="1305" spans="2:14" x14ac:dyDescent="0.35">
      <c r="B1305" vm="15414">
        <f ca="1"/>
        <v>44614</v>
      </c>
      <c r="C1305" vm="15415">
        <f ca="1"/>
        <v>129.8135</v>
      </c>
      <c r="D1305" vm="15416">
        <f ca="1"/>
        <v>150.19749999999999</v>
      </c>
      <c r="E1305" vm="8858">
        <f ca="1"/>
        <v>90.04</v>
      </c>
      <c r="F1305" vm="15417">
        <f ca="1"/>
        <v>674.13</v>
      </c>
      <c r="G1305" vm="15418">
        <f ca="1"/>
        <v>182.56</v>
      </c>
      <c r="H1305" vm="15419">
        <f ca="1"/>
        <v>368.29</v>
      </c>
      <c r="I1305" vm="13144">
        <f ca="1"/>
        <v>73.78</v>
      </c>
      <c r="J1305" vm="3551">
        <f ca="1"/>
        <v>39.549999999999997</v>
      </c>
      <c r="K1305" vm="15420">
        <f ca="1"/>
        <v>23.39</v>
      </c>
      <c r="L1305" vm="15421">
        <f ca="1"/>
        <v>157.93</v>
      </c>
      <c r="M1305" vm="15422">
        <f ca="1"/>
        <v>462.51</v>
      </c>
      <c r="N1305" vm="15423">
        <f ca="1"/>
        <v>4304.76</v>
      </c>
    </row>
    <row r="1306" spans="2:14" x14ac:dyDescent="0.35">
      <c r="B1306" vm="15424">
        <f ca="1"/>
        <v>44615</v>
      </c>
      <c r="C1306" vm="15425">
        <f ca="1"/>
        <v>127.58799999999999</v>
      </c>
      <c r="D1306" vm="15426">
        <f ca="1"/>
        <v>144.827</v>
      </c>
      <c r="E1306" vm="15427">
        <f ca="1"/>
        <v>88.56</v>
      </c>
      <c r="F1306" vm="15428">
        <f ca="1"/>
        <v>705.49</v>
      </c>
      <c r="G1306" vm="15429">
        <f ca="1"/>
        <v>178.96</v>
      </c>
      <c r="H1306" vm="15430">
        <f ca="1"/>
        <v>361.23</v>
      </c>
      <c r="I1306" vm="15431">
        <f ca="1"/>
        <v>72.319999999999993</v>
      </c>
      <c r="J1306" vm="2799">
        <f ca="1"/>
        <v>39.74</v>
      </c>
      <c r="K1306" vm="15432">
        <f ca="1"/>
        <v>22.387</v>
      </c>
      <c r="L1306" vm="15433">
        <f ca="1"/>
        <v>155.96</v>
      </c>
      <c r="M1306" vm="15434">
        <f ca="1"/>
        <v>459.62</v>
      </c>
      <c r="N1306" vm="15435">
        <f ca="1"/>
        <v>4225.5</v>
      </c>
    </row>
    <row r="1307" spans="2:14" x14ac:dyDescent="0.35">
      <c r="B1307" vm="15436">
        <f ca="1"/>
        <v>44616</v>
      </c>
      <c r="C1307" vm="15437">
        <f ca="1"/>
        <v>132.691</v>
      </c>
      <c r="D1307" vm="15438">
        <f ca="1"/>
        <v>151.358</v>
      </c>
      <c r="E1307" vm="1384">
        <f ca="1"/>
        <v>87.85</v>
      </c>
      <c r="F1307" vm="15439">
        <f ca="1"/>
        <v>715.74</v>
      </c>
      <c r="G1307" vm="15440">
        <f ca="1"/>
        <v>182.34</v>
      </c>
      <c r="H1307" vm="15441">
        <f ca="1"/>
        <v>369.38</v>
      </c>
      <c r="I1307" vm="15442">
        <f ca="1"/>
        <v>75.44</v>
      </c>
      <c r="J1307" vm="15443">
        <f ca="1"/>
        <v>38.32</v>
      </c>
      <c r="K1307" vm="15444">
        <f ca="1"/>
        <v>23.748000000000001</v>
      </c>
      <c r="L1307" vm="15445">
        <f ca="1"/>
        <v>151.76</v>
      </c>
      <c r="M1307" vm="15446">
        <f ca="1"/>
        <v>455.89</v>
      </c>
      <c r="N1307" vm="15447">
        <f ca="1"/>
        <v>4288.7</v>
      </c>
    </row>
    <row r="1308" spans="2:14" x14ac:dyDescent="0.35">
      <c r="B1308" vm="15448">
        <f ca="1"/>
        <v>44617</v>
      </c>
      <c r="C1308" vm="15449">
        <f ca="1"/>
        <v>134.45949999999999</v>
      </c>
      <c r="D1308" vm="15450">
        <f ca="1"/>
        <v>153.7885</v>
      </c>
      <c r="E1308" vm="2341">
        <f ca="1"/>
        <v>90.87</v>
      </c>
      <c r="F1308" vm="12056">
        <f ca="1"/>
        <v>709.73</v>
      </c>
      <c r="G1308" vm="15451">
        <f ca="1"/>
        <v>188.56</v>
      </c>
      <c r="H1308" vm="15452">
        <f ca="1"/>
        <v>369.09</v>
      </c>
      <c r="I1308" vm="15453">
        <f ca="1"/>
        <v>77.16</v>
      </c>
      <c r="J1308" vm="15454">
        <f ca="1"/>
        <v>39.450000000000003</v>
      </c>
      <c r="K1308" vm="15455">
        <f ca="1"/>
        <v>24.157</v>
      </c>
      <c r="L1308" vm="15456">
        <f ca="1"/>
        <v>158.24</v>
      </c>
      <c r="M1308" vm="15457">
        <f ca="1"/>
        <v>475.75</v>
      </c>
      <c r="N1308" vm="15458">
        <f ca="1"/>
        <v>4384.6499999999996</v>
      </c>
    </row>
    <row r="1309" spans="2:14" x14ac:dyDescent="0.35">
      <c r="B1309" vm="15459">
        <f ca="1"/>
        <v>44620</v>
      </c>
      <c r="C1309" vm="15460">
        <f ca="1"/>
        <v>135.05699999999999</v>
      </c>
      <c r="D1309" vm="15461">
        <f ca="1"/>
        <v>153.56299999999999</v>
      </c>
      <c r="E1309" vm="14311">
        <f ca="1"/>
        <v>89.74</v>
      </c>
      <c r="F1309" vm="15462">
        <f ca="1"/>
        <v>710.8</v>
      </c>
      <c r="G1309" vm="15463">
        <f ca="1"/>
        <v>189.75</v>
      </c>
      <c r="H1309" vm="15464">
        <f ca="1"/>
        <v>360.82</v>
      </c>
      <c r="I1309" vm="3948">
        <f ca="1"/>
        <v>78.27</v>
      </c>
      <c r="J1309" vm="15465">
        <f ca="1"/>
        <v>39.24</v>
      </c>
      <c r="K1309" vm="15466">
        <f ca="1"/>
        <v>24.385000000000002</v>
      </c>
      <c r="L1309" vm="15467">
        <f ca="1"/>
        <v>155.88999999999999</v>
      </c>
      <c r="M1309" vm="15468">
        <f ca="1"/>
        <v>475.87</v>
      </c>
      <c r="N1309" vm="15469">
        <f ca="1"/>
        <v>4373.9399999999996</v>
      </c>
    </row>
    <row r="1310" spans="2:14" x14ac:dyDescent="0.35">
      <c r="B1310" vm="15470">
        <f ca="1"/>
        <v>44621</v>
      </c>
      <c r="C1310" vm="15471">
        <f ca="1"/>
        <v>134.0615</v>
      </c>
      <c r="D1310" vm="15472">
        <f ca="1"/>
        <v>151.142</v>
      </c>
      <c r="E1310" vm="15473">
        <f ca="1"/>
        <v>86.84</v>
      </c>
      <c r="F1310" vm="15474">
        <f ca="1"/>
        <v>709.46</v>
      </c>
      <c r="G1310" vm="15475">
        <f ca="1"/>
        <v>183.6</v>
      </c>
      <c r="H1310" vm="15476">
        <f ca="1"/>
        <v>344.48</v>
      </c>
      <c r="I1310" vm="15477">
        <f ca="1"/>
        <v>77.44</v>
      </c>
      <c r="J1310" vm="4340">
        <f ca="1"/>
        <v>37.67</v>
      </c>
      <c r="K1310" vm="15478">
        <f ca="1"/>
        <v>23.477</v>
      </c>
      <c r="L1310" vm="15479">
        <f ca="1"/>
        <v>153.31</v>
      </c>
      <c r="M1310" vm="15480">
        <f ca="1"/>
        <v>476.25</v>
      </c>
      <c r="N1310" vm="15481">
        <f ca="1"/>
        <v>4306.26</v>
      </c>
    </row>
    <row r="1311" spans="2:14" x14ac:dyDescent="0.35">
      <c r="B1311" vm="15482">
        <f ca="1"/>
        <v>44622</v>
      </c>
      <c r="C1311" vm="15483">
        <f ca="1"/>
        <v>134.57149999999999</v>
      </c>
      <c r="D1311" vm="15484">
        <f ca="1"/>
        <v>152.05250000000001</v>
      </c>
      <c r="E1311" vm="15485">
        <f ca="1"/>
        <v>88.17</v>
      </c>
      <c r="F1311" vm="15486">
        <f ca="1"/>
        <v>720.82</v>
      </c>
      <c r="G1311" vm="15487">
        <f ca="1"/>
        <v>186.44</v>
      </c>
      <c r="H1311" vm="15488">
        <f ca="1"/>
        <v>344.09</v>
      </c>
      <c r="I1311" vm="15489">
        <f ca="1"/>
        <v>77.55</v>
      </c>
      <c r="J1311" vm="15465">
        <f ca="1"/>
        <v>39.24</v>
      </c>
      <c r="K1311" vm="15490">
        <f ca="1"/>
        <v>24.22</v>
      </c>
      <c r="L1311" vm="15491">
        <f ca="1"/>
        <v>153.79</v>
      </c>
      <c r="M1311" vm="15492">
        <f ca="1"/>
        <v>485.38</v>
      </c>
      <c r="N1311" vm="15493">
        <f ca="1"/>
        <v>4386.54</v>
      </c>
    </row>
    <row r="1312" spans="2:14" x14ac:dyDescent="0.35">
      <c r="B1312" vm="15494">
        <f ca="1"/>
        <v>44623</v>
      </c>
      <c r="C1312" vm="15495">
        <f ca="1"/>
        <v>133.89949999999999</v>
      </c>
      <c r="D1312" vm="15496">
        <f ca="1"/>
        <v>147.89850000000001</v>
      </c>
      <c r="E1312" vm="583">
        <f ca="1"/>
        <v>90.14</v>
      </c>
      <c r="F1312" vm="15497">
        <f ca="1"/>
        <v>720.92</v>
      </c>
      <c r="G1312" vm="15498">
        <f ca="1"/>
        <v>187.52</v>
      </c>
      <c r="H1312" vm="15499">
        <f ca="1"/>
        <v>340.99</v>
      </c>
      <c r="I1312" vm="15500">
        <f ca="1"/>
        <v>78.790000000000006</v>
      </c>
      <c r="J1312" vm="15501">
        <f ca="1"/>
        <v>38.520000000000003</v>
      </c>
      <c r="K1312" vm="15502">
        <f ca="1"/>
        <v>23.713999999999999</v>
      </c>
      <c r="L1312" vm="15503">
        <f ca="1"/>
        <v>154.36000000000001</v>
      </c>
      <c r="M1312" vm="15504">
        <f ca="1"/>
        <v>486.59</v>
      </c>
      <c r="N1312" vm="15505">
        <f ca="1"/>
        <v>4363.49</v>
      </c>
    </row>
    <row r="1313" spans="2:14" x14ac:dyDescent="0.35">
      <c r="B1313" vm="15506">
        <f ca="1"/>
        <v>44624</v>
      </c>
      <c r="C1313" vm="15507">
        <f ca="1"/>
        <v>131.90649999999999</v>
      </c>
      <c r="D1313" vm="15508">
        <f ca="1"/>
        <v>145.64099999999999</v>
      </c>
      <c r="E1313" vm="781">
        <f ca="1"/>
        <v>90.2</v>
      </c>
      <c r="F1313" vm="15509">
        <f ca="1"/>
        <v>703.07</v>
      </c>
      <c r="G1313" vm="15510">
        <f ca="1"/>
        <v>187.43</v>
      </c>
      <c r="H1313" vm="15511">
        <f ca="1"/>
        <v>330.76</v>
      </c>
      <c r="I1313" vm="14397">
        <f ca="1"/>
        <v>80.209999999999994</v>
      </c>
      <c r="J1313" vm="15512">
        <f ca="1"/>
        <v>38.94</v>
      </c>
      <c r="K1313" vm="15513">
        <f ca="1"/>
        <v>22.936</v>
      </c>
      <c r="L1313" vm="15514">
        <f ca="1"/>
        <v>155.13999999999999</v>
      </c>
      <c r="M1313" vm="15515">
        <f ca="1"/>
        <v>498.65</v>
      </c>
      <c r="N1313" vm="15516">
        <f ca="1"/>
        <v>4328.87</v>
      </c>
    </row>
    <row r="1314" spans="2:14" x14ac:dyDescent="0.35">
      <c r="B1314" vm="15517">
        <f ca="1"/>
        <v>44627</v>
      </c>
      <c r="C1314" vm="15518">
        <f ca="1"/>
        <v>126.3785</v>
      </c>
      <c r="D1314" vm="15519">
        <f ca="1"/>
        <v>137.453</v>
      </c>
      <c r="E1314" vm="15520">
        <f ca="1"/>
        <v>89.69</v>
      </c>
      <c r="F1314" vm="15521">
        <f ca="1"/>
        <v>681.42</v>
      </c>
      <c r="G1314" vm="15522">
        <f ca="1"/>
        <v>182.16</v>
      </c>
      <c r="H1314" vm="15523">
        <f ca="1"/>
        <v>312.92</v>
      </c>
      <c r="I1314" vm="15524">
        <f ca="1"/>
        <v>84.18</v>
      </c>
      <c r="J1314" vm="1695">
        <f ca="1"/>
        <v>42.1</v>
      </c>
      <c r="K1314" vm="15525">
        <f ca="1"/>
        <v>21.352</v>
      </c>
      <c r="L1314" vm="15526">
        <f ca="1"/>
        <v>152.84</v>
      </c>
      <c r="M1314" vm="15527">
        <f ca="1"/>
        <v>486.87</v>
      </c>
      <c r="N1314" vm="15528">
        <f ca="1"/>
        <v>4201.09</v>
      </c>
    </row>
    <row r="1315" spans="2:14" x14ac:dyDescent="0.35">
      <c r="B1315" vm="15529">
        <f ca="1"/>
        <v>44628</v>
      </c>
      <c r="C1315" vm="15530">
        <f ca="1"/>
        <v>127.1045</v>
      </c>
      <c r="D1315" vm="15531">
        <f ca="1"/>
        <v>136.0145</v>
      </c>
      <c r="E1315" vm="15532">
        <f ca="1"/>
        <v>87.79</v>
      </c>
      <c r="F1315" vm="15533">
        <f ca="1"/>
        <v>704.2</v>
      </c>
      <c r="G1315" vm="3687">
        <f ca="1"/>
        <v>183.24</v>
      </c>
      <c r="H1315" vm="15534">
        <f ca="1"/>
        <v>314.33</v>
      </c>
      <c r="I1315" vm="15535">
        <f ca="1"/>
        <v>81.95</v>
      </c>
      <c r="J1315" vm="15536">
        <f ca="1"/>
        <v>45.08</v>
      </c>
      <c r="K1315" vm="15537">
        <f ca="1"/>
        <v>21.513999999999999</v>
      </c>
      <c r="L1315" vm="15538">
        <f ca="1"/>
        <v>146.79</v>
      </c>
      <c r="M1315" vm="15539">
        <f ca="1"/>
        <v>473.46</v>
      </c>
      <c r="N1315" vm="15540">
        <f ca="1"/>
        <v>4170.7</v>
      </c>
    </row>
    <row r="1316" spans="2:14" x14ac:dyDescent="0.35">
      <c r="B1316" vm="15541">
        <f ca="1"/>
        <v>44629</v>
      </c>
      <c r="C1316" vm="13110">
        <f ca="1"/>
        <v>133.41999999999999</v>
      </c>
      <c r="D1316" vm="15542">
        <f ca="1"/>
        <v>139.279</v>
      </c>
      <c r="E1316" vm="15097">
        <f ca="1"/>
        <v>86.41</v>
      </c>
      <c r="F1316" vm="15543">
        <f ca="1"/>
        <v>706.48</v>
      </c>
      <c r="G1316" vm="15544">
        <f ca="1"/>
        <v>185.4</v>
      </c>
      <c r="H1316" vm="15545">
        <f ca="1"/>
        <v>328.13</v>
      </c>
      <c r="I1316" vm="15546">
        <f ca="1"/>
        <v>80.319999999999993</v>
      </c>
      <c r="J1316" vm="15547">
        <f ca="1"/>
        <v>42.56</v>
      </c>
      <c r="K1316" vm="15548">
        <f ca="1"/>
        <v>23.013999999999999</v>
      </c>
      <c r="L1316" vm="2631">
        <f ca="1"/>
        <v>148.77000000000001</v>
      </c>
      <c r="M1316" vm="15549">
        <f ca="1"/>
        <v>485.57</v>
      </c>
      <c r="N1316" vm="15550">
        <f ca="1"/>
        <v>4277.88</v>
      </c>
    </row>
    <row r="1317" spans="2:14" x14ac:dyDescent="0.35">
      <c r="B1317" vm="15551">
        <f ca="1"/>
        <v>44630</v>
      </c>
      <c r="C1317" vm="15552">
        <f ca="1"/>
        <v>132.42949999999999</v>
      </c>
      <c r="D1317" vm="15553">
        <f ca="1"/>
        <v>146.8175</v>
      </c>
      <c r="E1317" vm="15554">
        <f ca="1"/>
        <v>87.06</v>
      </c>
      <c r="F1317" vm="15555">
        <f ca="1"/>
        <v>693.55</v>
      </c>
      <c r="G1317" vm="15556">
        <f ca="1"/>
        <v>184.36</v>
      </c>
      <c r="H1317" vm="15557">
        <f ca="1"/>
        <v>324.58999999999997</v>
      </c>
      <c r="I1317" vm="15558">
        <f ca="1"/>
        <v>80.16</v>
      </c>
      <c r="J1317" vm="15559">
        <f ca="1"/>
        <v>43.4</v>
      </c>
      <c r="K1317" vm="15560">
        <f ca="1"/>
        <v>22.658000000000001</v>
      </c>
      <c r="L1317" vm="10299">
        <f ca="1"/>
        <v>144.94</v>
      </c>
      <c r="M1317" vm="15561">
        <f ca="1"/>
        <v>491.44</v>
      </c>
      <c r="N1317" vm="15562">
        <f ca="1"/>
        <v>4259.5200000000004</v>
      </c>
    </row>
    <row r="1318" spans="2:14" x14ac:dyDescent="0.35">
      <c r="B1318" vm="15563">
        <f ca="1"/>
        <v>44631</v>
      </c>
      <c r="C1318" vm="15564">
        <f ca="1"/>
        <v>129.87049999999999</v>
      </c>
      <c r="D1318" vm="15565">
        <f ca="1"/>
        <v>145.52449999999999</v>
      </c>
      <c r="E1318" vm="15566">
        <f ca="1"/>
        <v>85.56</v>
      </c>
      <c r="F1318" vm="15567">
        <f ca="1"/>
        <v>683.6</v>
      </c>
      <c r="G1318" vm="15568">
        <f ca="1"/>
        <v>182.24</v>
      </c>
      <c r="H1318" vm="15569">
        <f ca="1"/>
        <v>324.79000000000002</v>
      </c>
      <c r="I1318" vm="15570">
        <f ca="1"/>
        <v>79.3</v>
      </c>
      <c r="J1318" vm="15571">
        <f ca="1"/>
        <v>42.9</v>
      </c>
      <c r="K1318" vm="11863">
        <f ca="1"/>
        <v>22.1</v>
      </c>
      <c r="L1318" vm="5825">
        <f ca="1"/>
        <v>143.22</v>
      </c>
      <c r="M1318" vm="15572">
        <f ca="1"/>
        <v>482.87</v>
      </c>
      <c r="N1318" vm="15573">
        <f ca="1"/>
        <v>4204.3100000000004</v>
      </c>
    </row>
    <row r="1319" spans="2:14" x14ac:dyDescent="0.35">
      <c r="B1319" vm="15574">
        <f ca="1"/>
        <v>44634</v>
      </c>
      <c r="C1319" vm="15575">
        <f ca="1"/>
        <v>125.95099999999999</v>
      </c>
      <c r="D1319" vm="15576">
        <f ca="1"/>
        <v>141.85300000000001</v>
      </c>
      <c r="E1319" vm="1436">
        <f ca="1"/>
        <v>88.44</v>
      </c>
      <c r="F1319" vm="15577">
        <f ca="1"/>
        <v>701.64</v>
      </c>
      <c r="G1319" vm="15578">
        <f ca="1"/>
        <v>183.2</v>
      </c>
      <c r="H1319" vm="15579">
        <f ca="1"/>
        <v>328.59</v>
      </c>
      <c r="I1319" vm="3853">
        <f ca="1"/>
        <v>79.28</v>
      </c>
      <c r="J1319" vm="15580">
        <f ca="1"/>
        <v>41.55</v>
      </c>
      <c r="K1319" vm="15581">
        <f ca="1"/>
        <v>21.33</v>
      </c>
      <c r="L1319" vm="14600">
        <f ca="1"/>
        <v>145.05000000000001</v>
      </c>
      <c r="M1319" vm="15582">
        <f ca="1"/>
        <v>487.92</v>
      </c>
      <c r="N1319" vm="15583">
        <f ca="1"/>
        <v>4173.1099999999997</v>
      </c>
    </row>
    <row r="1320" spans="2:14" x14ac:dyDescent="0.35">
      <c r="B1320" vm="15584">
        <f ca="1"/>
        <v>44635</v>
      </c>
      <c r="C1320" vm="15585">
        <f ca="1"/>
        <v>129.19800000000001</v>
      </c>
      <c r="D1320" vm="15586">
        <f ca="1"/>
        <v>147.3665</v>
      </c>
      <c r="E1320" vm="15587">
        <f ca="1"/>
        <v>90.75</v>
      </c>
      <c r="F1320" vm="15588">
        <f ca="1"/>
        <v>704.06</v>
      </c>
      <c r="G1320" vm="15589">
        <f ca="1"/>
        <v>187.79</v>
      </c>
      <c r="H1320" vm="15590">
        <f ca="1"/>
        <v>335</v>
      </c>
      <c r="I1320" vm="15591">
        <f ca="1"/>
        <v>81.98</v>
      </c>
      <c r="J1320" vm="3907">
        <f ca="1"/>
        <v>39.26</v>
      </c>
      <c r="K1320" vm="15592">
        <f ca="1"/>
        <v>22.972999999999999</v>
      </c>
      <c r="L1320" vm="15593">
        <f ca="1"/>
        <v>150.27000000000001</v>
      </c>
      <c r="M1320" vm="15594">
        <f ca="1"/>
        <v>497.91</v>
      </c>
      <c r="N1320" vm="15595">
        <f ca="1"/>
        <v>4262.45</v>
      </c>
    </row>
    <row r="1321" spans="2:14" x14ac:dyDescent="0.35">
      <c r="B1321" vm="15596">
        <f ca="1"/>
        <v>44636</v>
      </c>
      <c r="C1321" vm="15597">
        <f ca="1"/>
        <v>133.28049999999999</v>
      </c>
      <c r="D1321" vm="15598">
        <f ca="1"/>
        <v>153.10400000000001</v>
      </c>
      <c r="E1321" vm="4810">
        <f ca="1"/>
        <v>90.4</v>
      </c>
      <c r="F1321" vm="15599">
        <f ca="1"/>
        <v>719.86</v>
      </c>
      <c r="G1321" vm="15600">
        <f ca="1"/>
        <v>191.03</v>
      </c>
      <c r="H1321" vm="15601">
        <f ca="1"/>
        <v>344.68</v>
      </c>
      <c r="I1321" vm="15602">
        <f ca="1"/>
        <v>82.51</v>
      </c>
      <c r="J1321" vm="2494">
        <f ca="1"/>
        <v>37.880000000000003</v>
      </c>
      <c r="K1321" vm="15603">
        <f ca="1"/>
        <v>24.495999999999999</v>
      </c>
      <c r="L1321" vm="15604">
        <f ca="1"/>
        <v>149.76</v>
      </c>
      <c r="M1321" vm="15605">
        <f ca="1"/>
        <v>498.26</v>
      </c>
      <c r="N1321" vm="15606">
        <f ca="1"/>
        <v>4357.8599999999997</v>
      </c>
    </row>
    <row r="1322" spans="2:14" x14ac:dyDescent="0.35">
      <c r="B1322" vm="15607">
        <f ca="1"/>
        <v>44637</v>
      </c>
      <c r="C1322" vm="15608">
        <f ca="1"/>
        <v>133.839</v>
      </c>
      <c r="D1322" vm="15609">
        <f ca="1"/>
        <v>157.239</v>
      </c>
      <c r="E1322" vm="15610">
        <f ca="1"/>
        <v>91.57</v>
      </c>
      <c r="F1322" vm="15611">
        <f ca="1"/>
        <v>732.26</v>
      </c>
      <c r="G1322" vm="15612">
        <f ca="1"/>
        <v>191.93</v>
      </c>
      <c r="H1322" vm="15613">
        <f ca="1"/>
        <v>346.44</v>
      </c>
      <c r="I1322" vm="15614">
        <f ca="1"/>
        <v>82.69</v>
      </c>
      <c r="J1322" vm="2108">
        <f ca="1"/>
        <v>39.51</v>
      </c>
      <c r="K1322" vm="15615">
        <f ca="1"/>
        <v>24.765999999999998</v>
      </c>
      <c r="L1322" vm="15616">
        <f ca="1"/>
        <v>150.22999999999999</v>
      </c>
      <c r="M1322" vm="15617">
        <f ca="1"/>
        <v>507.02</v>
      </c>
      <c r="N1322" vm="15618">
        <f ca="1"/>
        <v>4411.67</v>
      </c>
    </row>
    <row r="1323" spans="2:14" x14ac:dyDescent="0.35">
      <c r="B1323" vm="15619">
        <f ca="1"/>
        <v>44638</v>
      </c>
      <c r="C1323" vm="15620">
        <f ca="1"/>
        <v>136.12549999999999</v>
      </c>
      <c r="D1323" vm="15621">
        <f ca="1"/>
        <v>161.25049999999999</v>
      </c>
      <c r="E1323" vm="15622">
        <f ca="1"/>
        <v>93</v>
      </c>
      <c r="F1323" vm="15623">
        <f ca="1"/>
        <v>717.75</v>
      </c>
      <c r="G1323" vm="15624">
        <f ca="1"/>
        <v>194.72</v>
      </c>
      <c r="H1323" vm="15625">
        <f ca="1"/>
        <v>350.09</v>
      </c>
      <c r="I1323" vm="13927">
        <f ca="1"/>
        <v>82.37</v>
      </c>
      <c r="J1323" vm="3564">
        <f ca="1"/>
        <v>39.729999999999997</v>
      </c>
      <c r="K1323" vm="15626">
        <f ca="1"/>
        <v>26.452999999999999</v>
      </c>
      <c r="L1323" vm="15627">
        <f ca="1"/>
        <v>150.15</v>
      </c>
      <c r="M1323" vm="15628">
        <f ca="1"/>
        <v>506.12</v>
      </c>
      <c r="N1323" vm="15629">
        <f ca="1"/>
        <v>4463.12</v>
      </c>
    </row>
    <row r="1324" spans="2:14" x14ac:dyDescent="0.35">
      <c r="B1324" vm="15630">
        <f ca="1"/>
        <v>44641</v>
      </c>
      <c r="C1324" vm="15631">
        <f ca="1"/>
        <v>136.10149999999999</v>
      </c>
      <c r="D1324" vm="15632">
        <f ca="1"/>
        <v>161.4915</v>
      </c>
      <c r="E1324" vm="14817">
        <f ca="1"/>
        <v>93.58</v>
      </c>
      <c r="F1324" vm="15633">
        <f ca="1"/>
        <v>719.1</v>
      </c>
      <c r="G1324" vm="1952">
        <f ca="1"/>
        <v>193.02</v>
      </c>
      <c r="H1324" vm="15634">
        <f ca="1"/>
        <v>345.58</v>
      </c>
      <c r="I1324" vm="15635">
        <f ca="1"/>
        <v>81.8</v>
      </c>
      <c r="J1324" vm="15636">
        <f ca="1"/>
        <v>41.19</v>
      </c>
      <c r="K1324" vm="15637">
        <f ca="1"/>
        <v>26.734000000000002</v>
      </c>
      <c r="L1324" vm="15638">
        <f ca="1"/>
        <v>150.72</v>
      </c>
      <c r="M1324" vm="15639">
        <f ca="1"/>
        <v>507.66</v>
      </c>
      <c r="N1324" vm="15640">
        <f ca="1"/>
        <v>4461.18</v>
      </c>
    </row>
    <row r="1325" spans="2:14" x14ac:dyDescent="0.35">
      <c r="B1325" vm="15641">
        <f ca="1"/>
        <v>44642</v>
      </c>
      <c r="C1325" vm="15642">
        <f ca="1"/>
        <v>139.86799999999999</v>
      </c>
      <c r="D1325" vm="15643">
        <f ca="1"/>
        <v>164.88900000000001</v>
      </c>
      <c r="E1325" vm="15644">
        <f ca="1"/>
        <v>94.19</v>
      </c>
      <c r="F1325" vm="15645">
        <f ca="1"/>
        <v>707.82</v>
      </c>
      <c r="G1325" vm="15646">
        <f ca="1"/>
        <v>195.03</v>
      </c>
      <c r="H1325" vm="15647">
        <f ca="1"/>
        <v>349.53</v>
      </c>
      <c r="I1325" vm="15648">
        <f ca="1"/>
        <v>82.85</v>
      </c>
      <c r="J1325" vm="1339">
        <f ca="1"/>
        <v>41.2</v>
      </c>
      <c r="K1325" vm="15649">
        <f ca="1"/>
        <v>26.524000000000001</v>
      </c>
      <c r="L1325" vm="15650">
        <f ca="1"/>
        <v>151.88</v>
      </c>
      <c r="M1325" vm="15651">
        <f ca="1"/>
        <v>505.32</v>
      </c>
      <c r="N1325" vm="15652">
        <f ca="1"/>
        <v>4511.6099999999997</v>
      </c>
    </row>
    <row r="1326" spans="2:14" x14ac:dyDescent="0.35">
      <c r="B1326" vm="15653">
        <f ca="1"/>
        <v>44643</v>
      </c>
      <c r="C1326" vm="15654">
        <f ca="1"/>
        <v>138.27549999999999</v>
      </c>
      <c r="D1326" vm="15655">
        <f ca="1"/>
        <v>163.40799999999999</v>
      </c>
      <c r="E1326" vm="2914">
        <f ca="1"/>
        <v>91.41</v>
      </c>
      <c r="F1326" vm="15656">
        <f ca="1"/>
        <v>711.63</v>
      </c>
      <c r="G1326" vm="15657">
        <f ca="1"/>
        <v>192.34</v>
      </c>
      <c r="H1326" vm="15658">
        <f ca="1"/>
        <v>342.18</v>
      </c>
      <c r="I1326" vm="15659">
        <f ca="1"/>
        <v>82.57</v>
      </c>
      <c r="J1326" vm="1796">
        <f ca="1"/>
        <v>42.41</v>
      </c>
      <c r="K1326" vm="15660">
        <f ca="1"/>
        <v>25.634</v>
      </c>
      <c r="L1326" vm="10906">
        <f ca="1"/>
        <v>150.82</v>
      </c>
      <c r="M1326" vm="7492">
        <f ca="1"/>
        <v>503.23</v>
      </c>
      <c r="N1326" vm="15661">
        <f ca="1"/>
        <v>4456.24</v>
      </c>
    </row>
    <row r="1327" spans="2:14" x14ac:dyDescent="0.35">
      <c r="B1327" vm="15662">
        <f ca="1"/>
        <v>44644</v>
      </c>
      <c r="C1327" vm="15663">
        <f ca="1"/>
        <v>141.572</v>
      </c>
      <c r="D1327" vm="15664">
        <f ca="1"/>
        <v>163.64949999999999</v>
      </c>
      <c r="E1327" vm="14253">
        <f ca="1"/>
        <v>92.95</v>
      </c>
      <c r="F1327" vm="15665">
        <f ca="1"/>
        <v>710.14</v>
      </c>
      <c r="G1327" vm="15666">
        <f ca="1"/>
        <v>194.69</v>
      </c>
      <c r="H1327" vm="15667">
        <f ca="1"/>
        <v>349.35</v>
      </c>
      <c r="I1327" vm="15668">
        <f ca="1"/>
        <v>83.7</v>
      </c>
      <c r="J1327" vm="2615">
        <f ca="1"/>
        <v>42.64</v>
      </c>
      <c r="K1327" vm="15669">
        <f ca="1"/>
        <v>28.15</v>
      </c>
      <c r="L1327" vm="15670">
        <f ca="1"/>
        <v>151.08000000000001</v>
      </c>
      <c r="M1327" vm="15671">
        <f ca="1"/>
        <v>513.46</v>
      </c>
      <c r="N1327" vm="15672">
        <f ca="1"/>
        <v>4520.16</v>
      </c>
    </row>
    <row r="1328" spans="2:14" x14ac:dyDescent="0.35">
      <c r="B1328" vm="15673">
        <f ca="1"/>
        <v>44645</v>
      </c>
      <c r="C1328" vm="15674">
        <f ca="1"/>
        <v>141.673</v>
      </c>
      <c r="D1328" vm="15675">
        <f ca="1"/>
        <v>164.77350000000001</v>
      </c>
      <c r="E1328" vm="15676">
        <f ca="1"/>
        <v>94.23</v>
      </c>
      <c r="F1328" vm="15677">
        <f ca="1"/>
        <v>730.92</v>
      </c>
      <c r="G1328" vm="15678">
        <f ca="1"/>
        <v>197.79</v>
      </c>
      <c r="H1328" vm="15679">
        <f ca="1"/>
        <v>349.02</v>
      </c>
      <c r="I1328" vm="15680">
        <f ca="1"/>
        <v>83.94</v>
      </c>
      <c r="J1328" vm="6220">
        <f ca="1"/>
        <v>43.68</v>
      </c>
      <c r="K1328" vm="15681">
        <f ca="1"/>
        <v>27.692</v>
      </c>
      <c r="L1328" vm="15682">
        <f ca="1"/>
        <v>152.83000000000001</v>
      </c>
      <c r="M1328" vm="15683">
        <f ca="1"/>
        <v>513.03</v>
      </c>
      <c r="N1328" vm="15684">
        <f ca="1"/>
        <v>4543.0600000000004</v>
      </c>
    </row>
    <row r="1329" spans="2:14" x14ac:dyDescent="0.35">
      <c r="B1329" vm="15685">
        <f ca="1"/>
        <v>44648</v>
      </c>
      <c r="C1329" vm="15686">
        <f ca="1"/>
        <v>141.4555</v>
      </c>
      <c r="D1329" vm="15687">
        <f ca="1"/>
        <v>168.9905</v>
      </c>
      <c r="E1329" vm="15688">
        <f ca="1"/>
        <v>93.28</v>
      </c>
      <c r="F1329" vm="15689">
        <f ca="1"/>
        <v>761.38</v>
      </c>
      <c r="G1329" vm="15690">
        <f ca="1"/>
        <v>197.11</v>
      </c>
      <c r="H1329" vm="15691">
        <f ca="1"/>
        <v>350.49</v>
      </c>
      <c r="I1329" vm="11252">
        <f ca="1"/>
        <v>84.43</v>
      </c>
      <c r="J1329" vm="15692">
        <f ca="1"/>
        <v>41.73</v>
      </c>
      <c r="K1329" vm="15693">
        <f ca="1"/>
        <v>28.219000000000001</v>
      </c>
      <c r="L1329" vm="15694">
        <f ca="1"/>
        <v>153.88</v>
      </c>
      <c r="M1329" vm="15695">
        <f ca="1"/>
        <v>513.20000000000005</v>
      </c>
      <c r="N1329" vm="15696">
        <f ca="1"/>
        <v>4575.5200000000004</v>
      </c>
    </row>
    <row r="1330" spans="2:14" x14ac:dyDescent="0.35">
      <c r="B1330" vm="15697">
        <f ca="1"/>
        <v>44649</v>
      </c>
      <c r="C1330" vm="15698">
        <f ca="1"/>
        <v>142.50550000000001</v>
      </c>
      <c r="D1330" vm="15699">
        <f ca="1"/>
        <v>169.315</v>
      </c>
      <c r="E1330" vm="494">
        <f ca="1"/>
        <v>90.89</v>
      </c>
      <c r="F1330" vm="15700">
        <f ca="1"/>
        <v>753.81</v>
      </c>
      <c r="G1330" vm="15701">
        <f ca="1"/>
        <v>197.54</v>
      </c>
      <c r="H1330" vm="15702">
        <f ca="1"/>
        <v>367.55</v>
      </c>
      <c r="I1330" vm="15703">
        <f ca="1"/>
        <v>84.62</v>
      </c>
      <c r="J1330" vm="15704">
        <f ca="1"/>
        <v>42.63</v>
      </c>
      <c r="K1330" vm="15705">
        <f ca="1"/>
        <v>28.655999999999999</v>
      </c>
      <c r="L1330" vm="14893">
        <f ca="1"/>
        <v>155.46</v>
      </c>
      <c r="M1330" vm="15706">
        <f ca="1"/>
        <v>510.73</v>
      </c>
      <c r="N1330" vm="15707">
        <f ca="1"/>
        <v>4631.6000000000004</v>
      </c>
    </row>
    <row r="1331" spans="2:14" x14ac:dyDescent="0.35">
      <c r="B1331" vm="15708">
        <f ca="1"/>
        <v>44650</v>
      </c>
      <c r="C1331" vm="15709">
        <f ca="1"/>
        <v>141.9385</v>
      </c>
      <c r="D1331" vm="15710">
        <f ca="1"/>
        <v>166.30099999999999</v>
      </c>
      <c r="E1331" vm="14356">
        <f ca="1"/>
        <v>91.49</v>
      </c>
      <c r="F1331" vm="15711">
        <f ca="1"/>
        <v>741.62</v>
      </c>
      <c r="G1331" vm="15712">
        <f ca="1"/>
        <v>196.54</v>
      </c>
      <c r="H1331" vm="15713">
        <f ca="1"/>
        <v>362.24</v>
      </c>
      <c r="I1331" vm="15714">
        <f ca="1"/>
        <v>85.5</v>
      </c>
      <c r="J1331" vm="1582">
        <f ca="1"/>
        <v>42.21</v>
      </c>
      <c r="K1331" vm="15715">
        <f ca="1"/>
        <v>27.69</v>
      </c>
      <c r="L1331" vm="15716">
        <f ca="1"/>
        <v>154.38999999999999</v>
      </c>
      <c r="M1331" vm="15717">
        <f ca="1"/>
        <v>520.82000000000005</v>
      </c>
      <c r="N1331" vm="15718">
        <f ca="1"/>
        <v>4602.45</v>
      </c>
    </row>
    <row r="1332" spans="2:14" x14ac:dyDescent="0.35">
      <c r="B1332" vm="15719">
        <f ca="1"/>
        <v>44651</v>
      </c>
      <c r="C1332" vm="15720">
        <f ca="1"/>
        <v>139.0675</v>
      </c>
      <c r="D1332" vm="15721">
        <f ca="1"/>
        <v>162.9975</v>
      </c>
      <c r="E1332" vm="989">
        <f ca="1"/>
        <v>90</v>
      </c>
      <c r="F1332" vm="15722">
        <f ca="1"/>
        <v>763</v>
      </c>
      <c r="G1332" vm="15723">
        <f ca="1"/>
        <v>194.58</v>
      </c>
      <c r="H1332" vm="15724">
        <f ca="1"/>
        <v>357.38</v>
      </c>
      <c r="I1332" vm="15725">
        <f ca="1"/>
        <v>84.71</v>
      </c>
      <c r="J1332" vm="15726">
        <f ca="1"/>
        <v>41.31</v>
      </c>
      <c r="K1332" vm="15727">
        <f ca="1"/>
        <v>27.286000000000001</v>
      </c>
      <c r="L1332" vm="15728">
        <f ca="1"/>
        <v>152.80000000000001</v>
      </c>
      <c r="M1332" vm="15729">
        <f ca="1"/>
        <v>509.97</v>
      </c>
      <c r="N1332" vm="15730">
        <f ca="1"/>
        <v>4530.41</v>
      </c>
    </row>
    <row r="1333" spans="2:14" x14ac:dyDescent="0.35">
      <c r="B1333" vm="15731">
        <f ca="1"/>
        <v>44652</v>
      </c>
      <c r="C1333" vm="15732">
        <f ca="1"/>
        <v>140.15049999999999</v>
      </c>
      <c r="D1333" vm="15733">
        <f ca="1"/>
        <v>163.56</v>
      </c>
      <c r="E1333" vm="11629">
        <f ca="1"/>
        <v>89.22</v>
      </c>
      <c r="F1333" vm="15113">
        <f ca="1"/>
        <v>764.46</v>
      </c>
      <c r="G1333" vm="15734">
        <f ca="1"/>
        <v>196.03</v>
      </c>
      <c r="H1333" vm="15735">
        <f ca="1"/>
        <v>363.97</v>
      </c>
      <c r="I1333" vm="15736">
        <f ca="1"/>
        <v>85.71</v>
      </c>
      <c r="J1333" vm="15386">
        <f ca="1"/>
        <v>41.69</v>
      </c>
      <c r="K1333" vm="15737">
        <f ca="1"/>
        <v>26.712</v>
      </c>
      <c r="L1333" vm="15738">
        <f ca="1"/>
        <v>155.09</v>
      </c>
      <c r="M1333" vm="15739">
        <f ca="1"/>
        <v>512.59</v>
      </c>
      <c r="N1333" vm="15740">
        <f ca="1"/>
        <v>4545.8599999999997</v>
      </c>
    </row>
    <row r="1334" spans="2:14" x14ac:dyDescent="0.35">
      <c r="B1334" vm="15741">
        <f ca="1"/>
        <v>44655</v>
      </c>
      <c r="C1334" vm="15742">
        <f ca="1"/>
        <v>142.97149999999999</v>
      </c>
      <c r="D1334" vm="15743">
        <f ca="1"/>
        <v>168.34649999999999</v>
      </c>
      <c r="E1334" vm="15744">
        <f ca="1"/>
        <v>89.84</v>
      </c>
      <c r="F1334" vm="15745">
        <f ca="1"/>
        <v>762.4</v>
      </c>
      <c r="G1334" vm="15746">
        <f ca="1"/>
        <v>196.07</v>
      </c>
      <c r="H1334" vm="15747">
        <f ca="1"/>
        <v>366.91</v>
      </c>
      <c r="I1334" vm="15748">
        <f ca="1"/>
        <v>85.62</v>
      </c>
      <c r="J1334" vm="15580">
        <f ca="1"/>
        <v>41.55</v>
      </c>
      <c r="K1334" vm="13084">
        <f ca="1"/>
        <v>27.36</v>
      </c>
      <c r="L1334" vm="15749">
        <f ca="1"/>
        <v>154.08000000000001</v>
      </c>
      <c r="M1334" vm="15750">
        <f ca="1"/>
        <v>510.02</v>
      </c>
      <c r="N1334" vm="15751">
        <f ca="1"/>
        <v>4582.6400000000003</v>
      </c>
    </row>
    <row r="1335" spans="2:14" x14ac:dyDescent="0.35">
      <c r="B1335" vm="15752">
        <f ca="1"/>
        <v>44656</v>
      </c>
      <c r="C1335" vm="15753">
        <f ca="1"/>
        <v>140.59100000000001</v>
      </c>
      <c r="D1335" vm="15754">
        <f ca="1"/>
        <v>164.05500000000001</v>
      </c>
      <c r="E1335" vm="14311">
        <f ca="1"/>
        <v>89.74</v>
      </c>
      <c r="F1335" vm="15755">
        <f ca="1"/>
        <v>766.57</v>
      </c>
      <c r="G1335" vm="15756">
        <f ca="1"/>
        <v>193.63</v>
      </c>
      <c r="H1335" vm="15757">
        <f ca="1"/>
        <v>363.32</v>
      </c>
      <c r="I1335" vm="1168">
        <f ca="1"/>
        <v>86.33</v>
      </c>
      <c r="J1335" vm="15758">
        <f ca="1"/>
        <v>40.46</v>
      </c>
      <c r="K1335" vm="15759">
        <f ca="1"/>
        <v>25.931000000000001</v>
      </c>
      <c r="L1335" vm="15760">
        <f ca="1"/>
        <v>154.62</v>
      </c>
      <c r="M1335" vm="15761">
        <f ca="1"/>
        <v>517.76</v>
      </c>
      <c r="N1335" vm="15762">
        <f ca="1"/>
        <v>4525.12</v>
      </c>
    </row>
    <row r="1336" spans="2:14" x14ac:dyDescent="0.35">
      <c r="B1336" vm="15763">
        <f ca="1"/>
        <v>44657</v>
      </c>
      <c r="C1336" vm="15764">
        <f ca="1"/>
        <v>136.548</v>
      </c>
      <c r="D1336" vm="15765">
        <f ca="1"/>
        <v>158.756</v>
      </c>
      <c r="E1336" vm="1563">
        <f ca="1"/>
        <v>88.37</v>
      </c>
      <c r="F1336" vm="15766">
        <f ca="1"/>
        <v>759.23</v>
      </c>
      <c r="G1336" vm="15767">
        <f ca="1"/>
        <v>193.62</v>
      </c>
      <c r="H1336" vm="15768">
        <f ca="1"/>
        <v>353.55</v>
      </c>
      <c r="I1336" vm="174">
        <f ca="1"/>
        <v>86.49</v>
      </c>
      <c r="J1336" vm="2251">
        <f ca="1"/>
        <v>40.78</v>
      </c>
      <c r="K1336" vm="15769">
        <f ca="1"/>
        <v>24.407</v>
      </c>
      <c r="L1336" vm="15770">
        <f ca="1"/>
        <v>156.83000000000001</v>
      </c>
      <c r="M1336" vm="15771">
        <f ca="1"/>
        <v>531.75</v>
      </c>
      <c r="N1336" vm="15772">
        <f ca="1"/>
        <v>4481.1499999999996</v>
      </c>
    </row>
    <row r="1337" spans="2:14" x14ac:dyDescent="0.35">
      <c r="B1337" vm="15773">
        <f ca="1"/>
        <v>44658</v>
      </c>
      <c r="C1337" vm="15774">
        <f ca="1"/>
        <v>135.88849999999999</v>
      </c>
      <c r="D1337" vm="15775">
        <f ca="1"/>
        <v>157.78450000000001</v>
      </c>
      <c r="E1337" vm="3343">
        <f ca="1"/>
        <v>87.73</v>
      </c>
      <c r="F1337" vm="15776">
        <f ca="1"/>
        <v>768.78</v>
      </c>
      <c r="G1337" vm="2002">
        <f ca="1"/>
        <v>192.7</v>
      </c>
      <c r="H1337" vm="15777">
        <f ca="1"/>
        <v>349.55</v>
      </c>
      <c r="I1337" vm="15778">
        <f ca="1"/>
        <v>87.08</v>
      </c>
      <c r="J1337" vm="2324">
        <f ca="1"/>
        <v>40.97</v>
      </c>
      <c r="K1337" vm="15779">
        <f ca="1"/>
        <v>24.207999999999998</v>
      </c>
      <c r="L1337" vm="14928">
        <f ca="1"/>
        <v>158.86000000000001</v>
      </c>
      <c r="M1337" vm="15780">
        <f ca="1"/>
        <v>536.95000000000005</v>
      </c>
      <c r="N1337" vm="15781">
        <f ca="1"/>
        <v>4500.21</v>
      </c>
    </row>
    <row r="1338" spans="2:14" x14ac:dyDescent="0.35">
      <c r="B1338" vm="15782">
        <f ca="1"/>
        <v>44659</v>
      </c>
      <c r="C1338" vm="15783">
        <f ca="1"/>
        <v>133.28749999999999</v>
      </c>
      <c r="D1338" vm="15784">
        <f ca="1"/>
        <v>154.4605</v>
      </c>
      <c r="E1338" vm="15785">
        <f ca="1"/>
        <v>87.42</v>
      </c>
      <c r="F1338" vm="15786">
        <f ca="1"/>
        <v>751.61</v>
      </c>
      <c r="G1338" vm="15787">
        <f ca="1"/>
        <v>190.16</v>
      </c>
      <c r="H1338" vm="15788">
        <f ca="1"/>
        <v>352.27</v>
      </c>
      <c r="I1338" vm="14778">
        <f ca="1"/>
        <v>86.09</v>
      </c>
      <c r="J1338" vm="459">
        <f ca="1"/>
        <v>42.55</v>
      </c>
      <c r="K1338" vm="15789">
        <f ca="1"/>
        <v>23.119</v>
      </c>
      <c r="L1338" vm="14992">
        <f ca="1"/>
        <v>160.1</v>
      </c>
      <c r="M1338" vm="15790">
        <f ca="1"/>
        <v>545.96</v>
      </c>
      <c r="N1338" vm="15791">
        <f ca="1"/>
        <v>4488.28</v>
      </c>
    </row>
    <row r="1339" spans="2:14" x14ac:dyDescent="0.35">
      <c r="B1339" vm="15792">
        <f ca="1"/>
        <v>44662</v>
      </c>
      <c r="C1339" vm="15793">
        <f ca="1"/>
        <v>128.8235</v>
      </c>
      <c r="D1339" vm="15794">
        <f ca="1"/>
        <v>151.12200000000001</v>
      </c>
      <c r="E1339" vm="15795">
        <f ca="1"/>
        <v>88.05</v>
      </c>
      <c r="F1339" vm="15796">
        <f ca="1"/>
        <v>741.65</v>
      </c>
      <c r="G1339" vm="15797">
        <f ca="1"/>
        <v>189.27</v>
      </c>
      <c r="H1339" vm="15798">
        <f ca="1"/>
        <v>347.37</v>
      </c>
      <c r="I1339" vm="200">
        <f ca="1"/>
        <v>84.58</v>
      </c>
      <c r="J1339" vm="4668">
        <f ca="1"/>
        <v>41.33</v>
      </c>
      <c r="K1339" vm="15799">
        <f ca="1"/>
        <v>21.917000000000002</v>
      </c>
      <c r="L1339" vm="15800">
        <f ca="1"/>
        <v>159.49</v>
      </c>
      <c r="M1339" vm="15801">
        <f ca="1"/>
        <v>537.44000000000005</v>
      </c>
      <c r="N1339" vm="15802">
        <f ca="1"/>
        <v>4412.53</v>
      </c>
    </row>
    <row r="1340" spans="2:14" x14ac:dyDescent="0.35">
      <c r="B1340" vm="15803">
        <f ca="1"/>
        <v>44663</v>
      </c>
      <c r="C1340" vm="15804">
        <f ca="1"/>
        <v>127.7145</v>
      </c>
      <c r="D1340" vm="15805">
        <f ca="1"/>
        <v>150.78749999999999</v>
      </c>
      <c r="E1340" vm="14676">
        <f ca="1"/>
        <v>86.31</v>
      </c>
      <c r="F1340" vm="15806">
        <f ca="1"/>
        <v>751.93</v>
      </c>
      <c r="G1340" vm="15807">
        <f ca="1"/>
        <v>190.99</v>
      </c>
      <c r="H1340" vm="14191">
        <f ca="1"/>
        <v>345.8</v>
      </c>
      <c r="I1340" vm="15808">
        <f ca="1"/>
        <v>83.89</v>
      </c>
      <c r="J1340" vm="15809">
        <f ca="1"/>
        <v>41.53</v>
      </c>
      <c r="K1340" vm="15810">
        <f ca="1"/>
        <v>21.504000000000001</v>
      </c>
      <c r="L1340" vm="15128">
        <f ca="1"/>
        <v>159.01</v>
      </c>
      <c r="M1340" vm="15811">
        <f ca="1"/>
        <v>533.71</v>
      </c>
      <c r="N1340" vm="15812">
        <f ca="1"/>
        <v>4397.45</v>
      </c>
    </row>
    <row r="1341" spans="2:14" x14ac:dyDescent="0.35">
      <c r="B1341" vm="15813">
        <f ca="1"/>
        <v>44664</v>
      </c>
      <c r="C1341" vm="15814">
        <f ca="1"/>
        <v>129.89400000000001</v>
      </c>
      <c r="D1341" vm="15815">
        <f ca="1"/>
        <v>155.541</v>
      </c>
      <c r="E1341" vm="15816">
        <f ca="1"/>
        <v>87.95</v>
      </c>
      <c r="F1341" vm="12333">
        <f ca="1"/>
        <v>735.24</v>
      </c>
      <c r="G1341" vm="15817">
        <f ca="1"/>
        <v>194.85</v>
      </c>
      <c r="H1341" vm="15818">
        <f ca="1"/>
        <v>355.14</v>
      </c>
      <c r="I1341" vm="15819">
        <f ca="1"/>
        <v>83.55</v>
      </c>
      <c r="J1341" vm="15820">
        <f ca="1"/>
        <v>42.57</v>
      </c>
      <c r="K1341" vm="15821">
        <f ca="1"/>
        <v>22.202999999999999</v>
      </c>
      <c r="L1341" vm="15822">
        <f ca="1"/>
        <v>159.46</v>
      </c>
      <c r="M1341" vm="15823">
        <f ca="1"/>
        <v>537</v>
      </c>
      <c r="N1341" vm="15824">
        <f ca="1"/>
        <v>4446.59</v>
      </c>
    </row>
    <row r="1342" spans="2:14" x14ac:dyDescent="0.35">
      <c r="B1342" vm="15825">
        <f ca="1"/>
        <v>44665</v>
      </c>
      <c r="C1342" vm="15826">
        <f ca="1"/>
        <v>126.73</v>
      </c>
      <c r="D1342" vm="15827">
        <f ca="1"/>
        <v>151.70650000000001</v>
      </c>
      <c r="E1342" vm="1589">
        <f ca="1"/>
        <v>87.15</v>
      </c>
      <c r="F1342" vm="15828">
        <f ca="1"/>
        <v>730.66</v>
      </c>
      <c r="G1342" vm="15829">
        <f ca="1"/>
        <v>195.19</v>
      </c>
      <c r="H1342" vm="15830">
        <f ca="1"/>
        <v>357.82</v>
      </c>
      <c r="I1342" vm="12277">
        <f ca="1"/>
        <v>82.81</v>
      </c>
      <c r="J1342" vm="6742">
        <f ca="1"/>
        <v>43.25</v>
      </c>
      <c r="K1342" vm="15831">
        <f ca="1"/>
        <v>21.257999999999999</v>
      </c>
      <c r="L1342" vm="15832">
        <f ca="1"/>
        <v>158.57</v>
      </c>
      <c r="M1342" vm="15833">
        <f ca="1"/>
        <v>534.82000000000005</v>
      </c>
      <c r="N1342" vm="15834">
        <f ca="1"/>
        <v>4392.59</v>
      </c>
    </row>
    <row r="1343" spans="2:14" x14ac:dyDescent="0.35">
      <c r="B1343" vm="15835">
        <f ca="1"/>
        <v>44669</v>
      </c>
      <c r="C1343" vm="15836">
        <f ca="1"/>
        <v>127.6765</v>
      </c>
      <c r="D1343" vm="15837">
        <f ca="1"/>
        <v>152.785</v>
      </c>
      <c r="E1343" vm="15838">
        <f ca="1"/>
        <v>86.11</v>
      </c>
      <c r="F1343" vm="15839">
        <f ca="1"/>
        <v>754.22</v>
      </c>
      <c r="G1343" vm="15840">
        <f ca="1"/>
        <v>192.07</v>
      </c>
      <c r="H1343" vm="15841">
        <f ca="1"/>
        <v>356.8</v>
      </c>
      <c r="I1343" vm="15842">
        <f ca="1"/>
        <v>81.709999999999994</v>
      </c>
      <c r="J1343" vm="6220">
        <f ca="1"/>
        <v>43.68</v>
      </c>
      <c r="K1343" vm="15843">
        <f ca="1"/>
        <v>21.783000000000001</v>
      </c>
      <c r="L1343" vm="15844">
        <f ca="1"/>
        <v>157.06</v>
      </c>
      <c r="M1343" vm="15845">
        <f ca="1"/>
        <v>534.08000000000004</v>
      </c>
      <c r="N1343" vm="15846">
        <f ca="1"/>
        <v>4391.6899999999996</v>
      </c>
    </row>
    <row r="1344" spans="2:14" x14ac:dyDescent="0.35">
      <c r="B1344" vm="15847">
        <f ca="1"/>
        <v>44670</v>
      </c>
      <c r="C1344" vm="15848">
        <f ca="1"/>
        <v>130.00899999999999</v>
      </c>
      <c r="D1344" vm="15849">
        <f ca="1"/>
        <v>158.1155</v>
      </c>
      <c r="E1344" vm="12919">
        <f ca="1"/>
        <v>87.63</v>
      </c>
      <c r="F1344" vm="15850">
        <f ca="1"/>
        <v>768.17</v>
      </c>
      <c r="G1344" vm="15851">
        <f ca="1"/>
        <v>197.2</v>
      </c>
      <c r="H1344" vm="15852">
        <f ca="1"/>
        <v>363.87</v>
      </c>
      <c r="I1344" vm="13607">
        <f ca="1"/>
        <v>81.83</v>
      </c>
      <c r="J1344" vm="7073">
        <f ca="1"/>
        <v>43.43</v>
      </c>
      <c r="K1344" vm="15853">
        <f ca="1"/>
        <v>22.198</v>
      </c>
      <c r="L1344" vm="15854">
        <f ca="1"/>
        <v>159.41</v>
      </c>
      <c r="M1344" vm="15855">
        <f ca="1"/>
        <v>537.70000000000005</v>
      </c>
      <c r="N1344" vm="15856">
        <f ca="1"/>
        <v>4462.21</v>
      </c>
    </row>
    <row r="1345" spans="2:14" x14ac:dyDescent="0.35">
      <c r="B1345" vm="15857">
        <f ca="1"/>
        <v>44671</v>
      </c>
      <c r="C1345" vm="1737">
        <f ca="1"/>
        <v>128.04</v>
      </c>
      <c r="D1345" vm="15858">
        <f ca="1"/>
        <v>153.99799999999999</v>
      </c>
      <c r="E1345" vm="2744">
        <f ca="1"/>
        <v>89</v>
      </c>
      <c r="F1345" vm="15859">
        <f ca="1"/>
        <v>757.63</v>
      </c>
      <c r="G1345" vm="15860">
        <f ca="1"/>
        <v>196.34</v>
      </c>
      <c r="H1345" vm="15861">
        <f ca="1"/>
        <v>365.29</v>
      </c>
      <c r="I1345" vm="15862">
        <f ca="1"/>
        <v>81.510000000000005</v>
      </c>
      <c r="J1345" vm="1770">
        <f ca="1"/>
        <v>42.68</v>
      </c>
      <c r="K1345" vm="15863">
        <f ca="1"/>
        <v>21.481999999999999</v>
      </c>
      <c r="L1345" vm="418">
        <f ca="1"/>
        <v>163.65</v>
      </c>
      <c r="M1345" vm="15864">
        <f ca="1"/>
        <v>546.01</v>
      </c>
      <c r="N1345" vm="15865">
        <f ca="1"/>
        <v>4459.45</v>
      </c>
    </row>
    <row r="1346" spans="2:14" x14ac:dyDescent="0.35">
      <c r="B1346" vm="15866">
        <f ca="1"/>
        <v>44672</v>
      </c>
      <c r="C1346" vm="15867">
        <f ca="1"/>
        <v>124.8145</v>
      </c>
      <c r="D1346" vm="15868">
        <f ca="1"/>
        <v>148.29599999999999</v>
      </c>
      <c r="E1346" vm="13232">
        <f ca="1"/>
        <v>88.63</v>
      </c>
      <c r="F1346" vm="15869">
        <f ca="1"/>
        <v>745.41</v>
      </c>
      <c r="G1346" vm="15870">
        <f ca="1"/>
        <v>195.94</v>
      </c>
      <c r="H1346" vm="15871">
        <f ca="1"/>
        <v>364.44</v>
      </c>
      <c r="I1346" vm="11186">
        <f ca="1"/>
        <v>76.180000000000007</v>
      </c>
      <c r="J1346" vm="2907">
        <f ca="1"/>
        <v>40.65</v>
      </c>
      <c r="K1346" vm="15872">
        <f ca="1"/>
        <v>20.183</v>
      </c>
      <c r="L1346" vm="15873">
        <f ca="1"/>
        <v>162.61000000000001</v>
      </c>
      <c r="M1346" vm="15801">
        <f ca="1"/>
        <v>537.44000000000005</v>
      </c>
      <c r="N1346" vm="15874">
        <f ca="1"/>
        <v>4393.66</v>
      </c>
    </row>
    <row r="1347" spans="2:14" x14ac:dyDescent="0.35">
      <c r="B1347" vm="15875">
        <f ca="1"/>
        <v>44673</v>
      </c>
      <c r="C1347" vm="15876">
        <f ca="1"/>
        <v>119.63549999999999</v>
      </c>
      <c r="D1347" vm="14023">
        <f ca="1"/>
        <v>144.35</v>
      </c>
      <c r="E1347" vm="1078">
        <f ca="1"/>
        <v>86.45</v>
      </c>
      <c r="F1347" vm="15877">
        <f ca="1"/>
        <v>752.52</v>
      </c>
      <c r="G1347" vm="4177">
        <f ca="1"/>
        <v>190.63</v>
      </c>
      <c r="H1347" vm="14302">
        <f ca="1"/>
        <v>351.18</v>
      </c>
      <c r="I1347" vm="7886">
        <f ca="1"/>
        <v>73.95</v>
      </c>
      <c r="J1347" vm="3696">
        <f ca="1"/>
        <v>41.65</v>
      </c>
      <c r="K1347" vm="15878">
        <f ca="1"/>
        <v>19.515000000000001</v>
      </c>
      <c r="L1347" vm="10916">
        <f ca="1"/>
        <v>161.25</v>
      </c>
      <c r="M1347" vm="15879">
        <f ca="1"/>
        <v>520.94000000000005</v>
      </c>
      <c r="N1347" vm="15880">
        <f ca="1"/>
        <v>4271.78</v>
      </c>
    </row>
    <row r="1348" spans="2:14" x14ac:dyDescent="0.35">
      <c r="B1348" vm="15881">
        <f ca="1"/>
        <v>44676</v>
      </c>
      <c r="C1348" vm="15882">
        <f ca="1"/>
        <v>123.074</v>
      </c>
      <c r="D1348" vm="15883">
        <f ca="1"/>
        <v>146.07400000000001</v>
      </c>
      <c r="E1348" vm="15884">
        <f ca="1"/>
        <v>85.96</v>
      </c>
      <c r="F1348" vm="15885">
        <f ca="1"/>
        <v>739.28</v>
      </c>
      <c r="G1348" vm="15886">
        <f ca="1"/>
        <v>191.82</v>
      </c>
      <c r="H1348" vm="12738">
        <f ca="1"/>
        <v>354.6</v>
      </c>
      <c r="I1348" vm="15887">
        <f ca="1"/>
        <v>74.040000000000006</v>
      </c>
      <c r="J1348" vm="15888">
        <f ca="1"/>
        <v>38.69</v>
      </c>
      <c r="K1348" vm="15889">
        <f ca="1"/>
        <v>19.902000000000001</v>
      </c>
      <c r="L1348" vm="15890">
        <f ca="1"/>
        <v>162.55000000000001</v>
      </c>
      <c r="M1348" vm="15891">
        <f ca="1"/>
        <v>524.27</v>
      </c>
      <c r="N1348" vm="15892">
        <f ca="1"/>
        <v>4296.12</v>
      </c>
    </row>
    <row r="1349" spans="2:14" x14ac:dyDescent="0.35">
      <c r="B1349" vm="15893">
        <f ca="1"/>
        <v>44677</v>
      </c>
      <c r="C1349" vm="15894">
        <f ca="1"/>
        <v>118.65</v>
      </c>
      <c r="D1349" vm="15895">
        <f ca="1"/>
        <v>139.39099999999999</v>
      </c>
      <c r="E1349" vm="15896">
        <f ca="1"/>
        <v>80.89</v>
      </c>
      <c r="F1349" vm="15897">
        <f ca="1"/>
        <v>717.9</v>
      </c>
      <c r="G1349" vm="15898">
        <f ca="1"/>
        <v>187.67</v>
      </c>
      <c r="H1349" vm="15899">
        <f ca="1"/>
        <v>344.11</v>
      </c>
      <c r="I1349" vm="15900">
        <f ca="1"/>
        <v>73.569999999999993</v>
      </c>
      <c r="J1349" vm="15901">
        <f ca="1"/>
        <v>39.54</v>
      </c>
      <c r="K1349" vm="15902">
        <f ca="1"/>
        <v>18.788</v>
      </c>
      <c r="L1349" vm="15903">
        <f ca="1"/>
        <v>159.79</v>
      </c>
      <c r="M1349" vm="15904">
        <f ca="1"/>
        <v>513.78</v>
      </c>
      <c r="N1349" vm="15905">
        <f ca="1"/>
        <v>4175.2</v>
      </c>
    </row>
    <row r="1350" spans="2:14" x14ac:dyDescent="0.35">
      <c r="B1350" vm="15906">
        <f ca="1"/>
        <v>44678</v>
      </c>
      <c r="C1350" vm="15907">
        <f ca="1"/>
        <v>114.2945</v>
      </c>
      <c r="D1350" vm="15908">
        <f ca="1"/>
        <v>138.167</v>
      </c>
      <c r="E1350" vm="5495">
        <f ca="1"/>
        <v>81.010000000000005</v>
      </c>
      <c r="F1350" vm="15909">
        <f ca="1"/>
        <v>756.45</v>
      </c>
      <c r="G1350" vm="1716">
        <f ca="1"/>
        <v>186.35</v>
      </c>
      <c r="H1350" vm="15910">
        <f ca="1"/>
        <v>361.57</v>
      </c>
      <c r="I1350" vm="11948">
        <f ca="1"/>
        <v>73.27</v>
      </c>
      <c r="J1350" vm="3601">
        <f ca="1"/>
        <v>39.950000000000003</v>
      </c>
      <c r="K1350" vm="15911">
        <f ca="1"/>
        <v>18.414999999999999</v>
      </c>
      <c r="L1350" vm="15912">
        <f ca="1"/>
        <v>159.36000000000001</v>
      </c>
      <c r="M1350" vm="15913">
        <f ca="1"/>
        <v>513.80999999999995</v>
      </c>
      <c r="N1350" vm="15914">
        <f ca="1"/>
        <v>4183.96</v>
      </c>
    </row>
    <row r="1351" spans="2:14" x14ac:dyDescent="0.35">
      <c r="B1351" vm="15915">
        <f ca="1"/>
        <v>44679</v>
      </c>
      <c r="C1351" vm="15916">
        <f ca="1"/>
        <v>118.52249999999999</v>
      </c>
      <c r="D1351" vm="15917">
        <f ca="1"/>
        <v>144.59649999999999</v>
      </c>
      <c r="E1351" vm="12394">
        <f ca="1"/>
        <v>82.93</v>
      </c>
      <c r="F1351" vm="15918">
        <f ca="1"/>
        <v>719.08</v>
      </c>
      <c r="G1351" vm="15919">
        <f ca="1"/>
        <v>189.92</v>
      </c>
      <c r="H1351" vm="15920">
        <f ca="1"/>
        <v>378.83</v>
      </c>
      <c r="I1351" vm="13436">
        <f ca="1"/>
        <v>73.489999999999995</v>
      </c>
      <c r="J1351" vm="4975">
        <f ca="1"/>
        <v>40.11</v>
      </c>
      <c r="K1351" vm="15921">
        <f ca="1"/>
        <v>19.782</v>
      </c>
      <c r="L1351" vm="15922">
        <f ca="1"/>
        <v>163.41</v>
      </c>
      <c r="M1351" vm="15923">
        <f ca="1"/>
        <v>524.41999999999996</v>
      </c>
      <c r="N1351" vm="15924">
        <f ca="1"/>
        <v>4287.5</v>
      </c>
    </row>
    <row r="1352" spans="2:14" x14ac:dyDescent="0.35">
      <c r="B1352" vm="15925">
        <f ca="1"/>
        <v>44680</v>
      </c>
      <c r="C1352" vm="15926">
        <f ca="1"/>
        <v>114.1095</v>
      </c>
      <c r="D1352" vm="15927">
        <f ca="1"/>
        <v>124.28149999999999</v>
      </c>
      <c r="E1352" vm="15928">
        <f ca="1"/>
        <v>81.16</v>
      </c>
      <c r="F1352" vm="15929">
        <f ca="1"/>
        <v>702.39</v>
      </c>
      <c r="G1352" vm="15930">
        <f ca="1"/>
        <v>193.51</v>
      </c>
      <c r="H1352" vm="15931">
        <f ca="1"/>
        <v>363.38</v>
      </c>
      <c r="I1352" vm="1153">
        <f ca="1"/>
        <v>71.02</v>
      </c>
      <c r="J1352" vm="2790">
        <f ca="1"/>
        <v>39.01</v>
      </c>
      <c r="K1352" vm="15932">
        <f ca="1"/>
        <v>18.547000000000001</v>
      </c>
      <c r="L1352" vm="15933">
        <f ca="1"/>
        <v>160.55000000000001</v>
      </c>
      <c r="M1352" vm="15934">
        <f ca="1"/>
        <v>508.55</v>
      </c>
      <c r="N1352" vm="15935">
        <f ca="1"/>
        <v>4131.93</v>
      </c>
    </row>
    <row r="1353" spans="2:14" x14ac:dyDescent="0.35">
      <c r="B1353" vm="15936">
        <f ca="1"/>
        <v>44683</v>
      </c>
      <c r="C1353" vm="15937">
        <f ca="1"/>
        <v>116.583</v>
      </c>
      <c r="D1353" vm="9614">
        <f ca="1"/>
        <v>124.5</v>
      </c>
      <c r="E1353" vm="15938">
        <f ca="1"/>
        <v>80.64</v>
      </c>
      <c r="F1353" vm="15939">
        <f ca="1"/>
        <v>721.32</v>
      </c>
      <c r="G1353" vm="15940">
        <f ca="1"/>
        <v>196.87</v>
      </c>
      <c r="H1353" vm="15941">
        <f ca="1"/>
        <v>359.04</v>
      </c>
      <c r="I1353" vm="4438">
        <f ca="1"/>
        <v>69.87</v>
      </c>
      <c r="J1353" vm="7571">
        <f ca="1"/>
        <v>39.11</v>
      </c>
      <c r="K1353" vm="15942">
        <f ca="1"/>
        <v>19.533000000000001</v>
      </c>
      <c r="L1353" vm="15943">
        <f ca="1"/>
        <v>158.38</v>
      </c>
      <c r="M1353" vm="15944">
        <f ca="1"/>
        <v>501.15</v>
      </c>
      <c r="N1353" vm="15945">
        <f ca="1"/>
        <v>4155.38</v>
      </c>
    </row>
    <row r="1354" spans="2:14" x14ac:dyDescent="0.35">
      <c r="B1354" vm="15946">
        <f ca="1"/>
        <v>44684</v>
      </c>
      <c r="C1354" vm="15947">
        <f ca="1"/>
        <v>117.334</v>
      </c>
      <c r="D1354" vm="15948">
        <f ca="1"/>
        <v>124.2535</v>
      </c>
      <c r="E1354" vm="15842">
        <f ca="1"/>
        <v>81.709999999999994</v>
      </c>
      <c r="F1354" vm="15949">
        <f ca="1"/>
        <v>732.14</v>
      </c>
      <c r="G1354" vm="15950">
        <f ca="1"/>
        <v>197.04</v>
      </c>
      <c r="H1354" vm="15951">
        <f ca="1"/>
        <v>357.79</v>
      </c>
      <c r="I1354" vm="15952">
        <f ca="1"/>
        <v>70.760000000000005</v>
      </c>
      <c r="J1354" vm="2130">
        <f ca="1"/>
        <v>40.15</v>
      </c>
      <c r="K1354" vm="15953">
        <f ca="1"/>
        <v>19.602</v>
      </c>
      <c r="L1354" vm="15954">
        <f ca="1"/>
        <v>156.21</v>
      </c>
      <c r="M1354" vm="15955">
        <f ca="1"/>
        <v>499.62</v>
      </c>
      <c r="N1354" vm="15956">
        <f ca="1"/>
        <v>4175.4799999999996</v>
      </c>
    </row>
    <row r="1355" spans="2:14" x14ac:dyDescent="0.35">
      <c r="B1355" vm="15957">
        <f ca="1"/>
        <v>44685</v>
      </c>
      <c r="C1355" vm="15958">
        <f ca="1"/>
        <v>122.261</v>
      </c>
      <c r="D1355" vm="15959">
        <f ca="1"/>
        <v>125.9285</v>
      </c>
      <c r="E1355" vm="15960">
        <f ca="1"/>
        <v>83.22</v>
      </c>
      <c r="F1355" vm="15961">
        <f ca="1"/>
        <v>713.39</v>
      </c>
      <c r="G1355" vm="15962">
        <f ca="1"/>
        <v>205.85</v>
      </c>
      <c r="H1355" vm="15963">
        <f ca="1"/>
        <v>368.52</v>
      </c>
      <c r="I1355" vm="15964">
        <f ca="1"/>
        <v>73.06</v>
      </c>
      <c r="J1355" vm="15965">
        <f ca="1"/>
        <v>42.6</v>
      </c>
      <c r="K1355" vm="15966">
        <f ca="1"/>
        <v>20.334</v>
      </c>
      <c r="L1355" vm="15967">
        <f ca="1"/>
        <v>157.36000000000001</v>
      </c>
      <c r="M1355" vm="15968">
        <f ca="1"/>
        <v>507.62</v>
      </c>
      <c r="N1355" vm="15969">
        <f ca="1"/>
        <v>4300.17</v>
      </c>
    </row>
    <row r="1356" spans="2:14" x14ac:dyDescent="0.35">
      <c r="B1356" vm="15970">
        <f ca="1"/>
        <v>44686</v>
      </c>
      <c r="C1356" vm="15971">
        <f ca="1"/>
        <v>116.5055</v>
      </c>
      <c r="D1356" vm="15972">
        <f ca="1"/>
        <v>116.407</v>
      </c>
      <c r="E1356" vm="15973">
        <f ca="1"/>
        <v>76.8</v>
      </c>
      <c r="F1356" vm="12079">
        <f ca="1"/>
        <v>713.44</v>
      </c>
      <c r="G1356" vm="4837">
        <f ca="1"/>
        <v>197.87</v>
      </c>
      <c r="H1356" vm="15974">
        <f ca="1"/>
        <v>353.37</v>
      </c>
      <c r="I1356" vm="15975">
        <f ca="1"/>
        <v>71.84</v>
      </c>
      <c r="J1356" vm="6668">
        <f ca="1"/>
        <v>42.08</v>
      </c>
      <c r="K1356" vm="15976">
        <f ca="1"/>
        <v>18.844000000000001</v>
      </c>
      <c r="L1356" vm="15977">
        <f ca="1"/>
        <v>154.46</v>
      </c>
      <c r="M1356" vm="15978">
        <f ca="1"/>
        <v>494.72</v>
      </c>
      <c r="N1356" vm="15979">
        <f ca="1"/>
        <v>4146.87</v>
      </c>
    </row>
    <row r="1357" spans="2:14" x14ac:dyDescent="0.35">
      <c r="B1357" vm="15980">
        <f ca="1"/>
        <v>44687</v>
      </c>
      <c r="C1357" vm="15981">
        <f ca="1"/>
        <v>115.7465</v>
      </c>
      <c r="D1357" vm="15982">
        <f ca="1"/>
        <v>114.77249999999999</v>
      </c>
      <c r="E1357" vm="8580">
        <f ca="1"/>
        <v>71.91</v>
      </c>
      <c r="F1357" vm="15983">
        <f ca="1"/>
        <v>654.19000000000005</v>
      </c>
      <c r="G1357" vm="6207">
        <f ca="1"/>
        <v>195.43</v>
      </c>
      <c r="H1357" vm="15984">
        <f ca="1"/>
        <v>347.12</v>
      </c>
      <c r="I1357" vm="13393">
        <f ca="1"/>
        <v>72.47</v>
      </c>
      <c r="J1357" vm="15985">
        <f ca="1"/>
        <v>43.03</v>
      </c>
      <c r="K1357" vm="15986">
        <f ca="1"/>
        <v>18.675000000000001</v>
      </c>
      <c r="L1357" vm="15987">
        <f ca="1"/>
        <v>156</v>
      </c>
      <c r="M1357" vm="15955">
        <f ca="1"/>
        <v>499.62</v>
      </c>
      <c r="N1357" vm="15988">
        <f ca="1"/>
        <v>4123.34</v>
      </c>
    </row>
    <row r="1358" spans="2:14" x14ac:dyDescent="0.35">
      <c r="B1358" vm="15989">
        <f ca="1"/>
        <v>44690</v>
      </c>
      <c r="C1358" vm="15990">
        <f ca="1"/>
        <v>112.511</v>
      </c>
      <c r="D1358" vm="15991">
        <f ca="1"/>
        <v>108.789</v>
      </c>
      <c r="E1358" vm="4681">
        <f ca="1"/>
        <v>69.489999999999995</v>
      </c>
      <c r="F1358" vm="15992">
        <f ca="1"/>
        <v>630.04999999999995</v>
      </c>
      <c r="G1358" vm="15993">
        <f ca="1"/>
        <v>193.96</v>
      </c>
      <c r="H1358" vm="15994">
        <f ca="1"/>
        <v>327.99</v>
      </c>
      <c r="I1358" vm="15995">
        <f ca="1"/>
        <v>70.709999999999994</v>
      </c>
      <c r="J1358" vm="15996">
        <f ca="1"/>
        <v>38.04</v>
      </c>
      <c r="K1358" vm="15997">
        <f ca="1"/>
        <v>16.95</v>
      </c>
      <c r="L1358" vm="15998">
        <f ca="1"/>
        <v>155.61000000000001</v>
      </c>
      <c r="M1358" vm="15999">
        <f ca="1"/>
        <v>486.42</v>
      </c>
      <c r="N1358" vm="16000">
        <f ca="1"/>
        <v>3991.24</v>
      </c>
    </row>
    <row r="1359" spans="2:14" x14ac:dyDescent="0.35">
      <c r="B1359" vm="16001">
        <f ca="1"/>
        <v>44691</v>
      </c>
      <c r="C1359" vm="16002">
        <f ca="1"/>
        <v>114.395</v>
      </c>
      <c r="D1359" vm="16003">
        <f ca="1"/>
        <v>108.85899999999999</v>
      </c>
      <c r="E1359" vm="16004">
        <f ca="1"/>
        <v>69.09</v>
      </c>
      <c r="F1359" vm="16005">
        <f ca="1"/>
        <v>624.16999999999996</v>
      </c>
      <c r="G1359" vm="1878">
        <f ca="1"/>
        <v>194.77</v>
      </c>
      <c r="H1359" vm="16006">
        <f ca="1"/>
        <v>325.33</v>
      </c>
      <c r="I1359" vm="7579">
        <f ca="1"/>
        <v>69.989999999999995</v>
      </c>
      <c r="J1359" vm="16007">
        <f ca="1"/>
        <v>37.89</v>
      </c>
      <c r="K1359" vm="16008">
        <f ca="1"/>
        <v>17.594999999999999</v>
      </c>
      <c r="L1359" vm="16009">
        <f ca="1"/>
        <v>154.79</v>
      </c>
      <c r="M1359" vm="16010">
        <f ca="1"/>
        <v>488.01</v>
      </c>
      <c r="N1359" vm="16011">
        <f ca="1"/>
        <v>4001.05</v>
      </c>
    </row>
    <row r="1360" spans="2:14" x14ac:dyDescent="0.35">
      <c r="B1360" vm="16012">
        <f ca="1"/>
        <v>44692</v>
      </c>
      <c r="C1360" vm="16013">
        <f ca="1"/>
        <v>113.60250000000001</v>
      </c>
      <c r="D1360" vm="16014">
        <f ca="1"/>
        <v>105.372</v>
      </c>
      <c r="E1360" vm="16015">
        <f ca="1"/>
        <v>67.28</v>
      </c>
      <c r="F1360" vm="16016">
        <f ca="1"/>
        <v>629.88</v>
      </c>
      <c r="G1360" vm="16017">
        <f ca="1"/>
        <v>192.02</v>
      </c>
      <c r="H1360" vm="16018">
        <f ca="1"/>
        <v>325.87</v>
      </c>
      <c r="I1360" vm="9986">
        <f ca="1"/>
        <v>70.2</v>
      </c>
      <c r="J1360" vm="4316">
        <f ca="1"/>
        <v>38.369999999999997</v>
      </c>
      <c r="K1360" vm="16019">
        <f ca="1"/>
        <v>16.63</v>
      </c>
      <c r="L1360" vm="6519">
        <f ca="1"/>
        <v>152.61000000000001</v>
      </c>
      <c r="M1360" vm="16020">
        <f ca="1"/>
        <v>486.15</v>
      </c>
      <c r="N1360" vm="16021">
        <f ca="1"/>
        <v>3935.18</v>
      </c>
    </row>
    <row r="1361" spans="2:14" x14ac:dyDescent="0.35">
      <c r="B1361" vm="16022">
        <f ca="1"/>
        <v>44693</v>
      </c>
      <c r="C1361" vm="16023">
        <f ca="1"/>
        <v>112.84399999999999</v>
      </c>
      <c r="D1361" vm="16024">
        <f ca="1"/>
        <v>106.93049999999999</v>
      </c>
      <c r="E1361" vm="9254">
        <f ca="1"/>
        <v>69.260000000000005</v>
      </c>
      <c r="F1361" vm="16025">
        <f ca="1"/>
        <v>659.8</v>
      </c>
      <c r="G1361" vm="2472">
        <f ca="1"/>
        <v>192.92</v>
      </c>
      <c r="H1361" vm="16026">
        <f ca="1"/>
        <v>321.24</v>
      </c>
      <c r="I1361" vm="7719">
        <f ca="1"/>
        <v>68.510000000000005</v>
      </c>
      <c r="J1361" vm="16027">
        <f ca="1"/>
        <v>39.03</v>
      </c>
      <c r="K1361" vm="16028">
        <f ca="1"/>
        <v>16.175000000000001</v>
      </c>
      <c r="L1361" vm="16029">
        <f ca="1"/>
        <v>151.99</v>
      </c>
      <c r="M1361" vm="16030">
        <f ca="1"/>
        <v>478.8</v>
      </c>
      <c r="N1361" vm="16031">
        <f ca="1"/>
        <v>3930.08</v>
      </c>
    </row>
    <row r="1362" spans="2:14" x14ac:dyDescent="0.35">
      <c r="B1362" vm="16032">
        <f ca="1"/>
        <v>44694</v>
      </c>
      <c r="C1362" vm="16033">
        <f ca="1"/>
        <v>116.0505</v>
      </c>
      <c r="D1362" vm="16034">
        <f ca="1"/>
        <v>113.05500000000001</v>
      </c>
      <c r="E1362" vm="3434">
        <f ca="1"/>
        <v>69.75</v>
      </c>
      <c r="F1362" vm="16035">
        <f ca="1"/>
        <v>646.41999999999996</v>
      </c>
      <c r="G1362" vm="16036">
        <f ca="1"/>
        <v>193.53</v>
      </c>
      <c r="H1362" vm="16037">
        <f ca="1"/>
        <v>332.8</v>
      </c>
      <c r="I1362" vm="16038">
        <f ca="1"/>
        <v>69.8</v>
      </c>
      <c r="J1362" vm="2704">
        <f ca="1"/>
        <v>40.74</v>
      </c>
      <c r="K1362" vm="16039">
        <f ca="1"/>
        <v>17.706</v>
      </c>
      <c r="L1362" vm="16040">
        <f ca="1"/>
        <v>153.62</v>
      </c>
      <c r="M1362" vm="16041">
        <f ca="1"/>
        <v>485.4</v>
      </c>
      <c r="N1362" vm="16042">
        <f ca="1"/>
        <v>4023.89</v>
      </c>
    </row>
    <row r="1363" spans="2:14" x14ac:dyDescent="0.35">
      <c r="B1363" vm="16043">
        <f ca="1"/>
        <v>44697</v>
      </c>
      <c r="C1363" vm="16044">
        <f ca="1"/>
        <v>114.44499999999999</v>
      </c>
      <c r="D1363" vm="16045">
        <f ca="1"/>
        <v>110.8105</v>
      </c>
      <c r="E1363" vm="16046">
        <f ca="1"/>
        <v>71.709999999999994</v>
      </c>
      <c r="F1363" vm="16047">
        <f ca="1"/>
        <v>646.80999999999995</v>
      </c>
      <c r="G1363" vm="15993">
        <f ca="1"/>
        <v>193.96</v>
      </c>
      <c r="H1363" vm="16048">
        <f ca="1"/>
        <v>329.73</v>
      </c>
      <c r="I1363" vm="16049">
        <f ca="1"/>
        <v>70.12</v>
      </c>
      <c r="J1363" vm="4635">
        <f ca="1"/>
        <v>42.14</v>
      </c>
      <c r="K1363" vm="16050">
        <f ca="1"/>
        <v>17.263999999999999</v>
      </c>
      <c r="L1363" vm="16051">
        <f ca="1"/>
        <v>155.12</v>
      </c>
      <c r="M1363" vm="16052">
        <f ca="1"/>
        <v>489.22</v>
      </c>
      <c r="N1363" vm="16053">
        <f ca="1"/>
        <v>4008.01</v>
      </c>
    </row>
    <row r="1364" spans="2:14" x14ac:dyDescent="0.35">
      <c r="B1364" vm="16054">
        <f ca="1"/>
        <v>44698</v>
      </c>
      <c r="C1364" vm="16055">
        <f ca="1"/>
        <v>116.473</v>
      </c>
      <c r="D1364" vm="16056">
        <f ca="1"/>
        <v>115.3685</v>
      </c>
      <c r="E1364" vm="13473">
        <f ca="1"/>
        <v>73.3</v>
      </c>
      <c r="F1364" vm="16057">
        <f ca="1"/>
        <v>637.44000000000005</v>
      </c>
      <c r="G1364" vm="16058">
        <f ca="1"/>
        <v>199.06</v>
      </c>
      <c r="H1364" vm="16059">
        <f ca="1"/>
        <v>338.86</v>
      </c>
      <c r="I1364" vm="16060">
        <f ca="1"/>
        <v>72.02</v>
      </c>
      <c r="J1364" vm="16061">
        <f ca="1"/>
        <v>42.95</v>
      </c>
      <c r="K1364" vm="16062">
        <f ca="1"/>
        <v>18.177</v>
      </c>
      <c r="L1364" vm="16063">
        <f ca="1"/>
        <v>154.68</v>
      </c>
      <c r="M1364" vm="16064">
        <f ca="1"/>
        <v>492.53</v>
      </c>
      <c r="N1364" vm="16065">
        <f ca="1"/>
        <v>4088.85</v>
      </c>
    </row>
    <row r="1365" spans="2:14" x14ac:dyDescent="0.35">
      <c r="B1365" vm="16066">
        <f ca="1"/>
        <v>44699</v>
      </c>
      <c r="C1365" vm="16067">
        <f ca="1"/>
        <v>111.8995</v>
      </c>
      <c r="D1365" vm="16068">
        <f ca="1"/>
        <v>107.1125</v>
      </c>
      <c r="E1365" vm="16069">
        <f ca="1"/>
        <v>71.209999999999994</v>
      </c>
      <c r="F1365" vm="16070">
        <f ca="1"/>
        <v>635.09</v>
      </c>
      <c r="G1365" vm="16071">
        <f ca="1"/>
        <v>193.87</v>
      </c>
      <c r="H1365" vm="16072">
        <f ca="1"/>
        <v>335.9</v>
      </c>
      <c r="I1365" vm="16073">
        <f ca="1"/>
        <v>71</v>
      </c>
      <c r="J1365" vm="16074">
        <f ca="1"/>
        <v>41.13</v>
      </c>
      <c r="K1365" vm="16075">
        <f ca="1"/>
        <v>16.937999999999999</v>
      </c>
      <c r="L1365" vm="16076">
        <f ca="1"/>
        <v>145.04</v>
      </c>
      <c r="M1365" vm="16077">
        <f ca="1"/>
        <v>471.38</v>
      </c>
      <c r="N1365" vm="16078">
        <f ca="1"/>
        <v>3923.68</v>
      </c>
    </row>
    <row r="1366" spans="2:14" x14ac:dyDescent="0.35">
      <c r="B1366" vm="16079">
        <f ca="1"/>
        <v>44700</v>
      </c>
      <c r="C1366" vm="16080">
        <f ca="1"/>
        <v>110.384</v>
      </c>
      <c r="D1366" vm="16081">
        <f ca="1"/>
        <v>107.319</v>
      </c>
      <c r="E1366" vm="16082">
        <f ca="1"/>
        <v>69.7</v>
      </c>
      <c r="F1366" vm="16083">
        <f ca="1"/>
        <v>651.79</v>
      </c>
      <c r="G1366" vm="16084">
        <f ca="1"/>
        <v>192.65</v>
      </c>
      <c r="H1366" vm="12597">
        <f ca="1"/>
        <v>332.22</v>
      </c>
      <c r="I1366" vm="9573">
        <f ca="1"/>
        <v>70.459999999999994</v>
      </c>
      <c r="J1366" vm="16085">
        <f ca="1"/>
        <v>40.85</v>
      </c>
      <c r="K1366" vm="16086">
        <f ca="1"/>
        <v>17.123999999999999</v>
      </c>
      <c r="L1366" vm="16087">
        <f ca="1"/>
        <v>141.69999999999999</v>
      </c>
      <c r="M1366" vm="16088">
        <f ca="1"/>
        <v>478.55</v>
      </c>
      <c r="N1366" vm="16089">
        <f ca="1"/>
        <v>3900.79</v>
      </c>
    </row>
    <row r="1367" spans="2:14" x14ac:dyDescent="0.35">
      <c r="B1367" vm="16090">
        <f ca="1"/>
        <v>44701</v>
      </c>
      <c r="C1367" vm="16091">
        <f ca="1"/>
        <v>108.908</v>
      </c>
      <c r="D1367" vm="16092">
        <f ca="1"/>
        <v>107.59099999999999</v>
      </c>
      <c r="E1367" vm="10559">
        <f ca="1"/>
        <v>68.98</v>
      </c>
      <c r="F1367" vm="16093">
        <f ca="1"/>
        <v>663.53</v>
      </c>
      <c r="G1367" vm="15463">
        <f ca="1"/>
        <v>189.75</v>
      </c>
      <c r="H1367" vm="16094">
        <f ca="1"/>
        <v>336.18</v>
      </c>
      <c r="I1367" vm="4308">
        <f ca="1"/>
        <v>71.22</v>
      </c>
      <c r="J1367" vm="7109">
        <f ca="1"/>
        <v>41.12</v>
      </c>
      <c r="K1367" vm="16095">
        <f ca="1"/>
        <v>16.693999999999999</v>
      </c>
      <c r="L1367" vm="16096">
        <f ca="1"/>
        <v>141.79</v>
      </c>
      <c r="M1367" vm="16097">
        <f ca="1"/>
        <v>485.73</v>
      </c>
      <c r="N1367" vm="16098">
        <f ca="1"/>
        <v>3901.36</v>
      </c>
    </row>
    <row r="1368" spans="2:14" x14ac:dyDescent="0.35">
      <c r="B1368" vm="16099">
        <f ca="1"/>
        <v>44704</v>
      </c>
      <c r="C1368" vm="16100">
        <f ca="1"/>
        <v>111.488</v>
      </c>
      <c r="D1368" vm="16101">
        <f ca="1"/>
        <v>107.557</v>
      </c>
      <c r="E1368" vm="16102">
        <f ca="1"/>
        <v>70.81</v>
      </c>
      <c r="F1368" vm="16103">
        <f ca="1"/>
        <v>671.81</v>
      </c>
      <c r="G1368" vm="16104">
        <f ca="1"/>
        <v>189.58</v>
      </c>
      <c r="H1368" vm="16105">
        <f ca="1"/>
        <v>348.43</v>
      </c>
      <c r="I1368" vm="16106">
        <f ca="1"/>
        <v>72.55</v>
      </c>
      <c r="J1368" vm="5209">
        <f ca="1"/>
        <v>43.81</v>
      </c>
      <c r="K1368" vm="16107">
        <f ca="1"/>
        <v>16.898</v>
      </c>
      <c r="L1368" vm="14600">
        <f ca="1"/>
        <v>145.05000000000001</v>
      </c>
      <c r="M1368" vm="16108">
        <f ca="1"/>
        <v>492.08</v>
      </c>
      <c r="N1368" vm="16109">
        <f ca="1"/>
        <v>3973.75</v>
      </c>
    </row>
    <row r="1369" spans="2:14" x14ac:dyDescent="0.35">
      <c r="B1369" vm="16110">
        <f ca="1"/>
        <v>44705</v>
      </c>
      <c r="C1369" vm="16111">
        <f ca="1"/>
        <v>105.97</v>
      </c>
      <c r="D1369" vm="16112">
        <f ca="1"/>
        <v>104.1</v>
      </c>
      <c r="E1369" vm="16113">
        <f ca="1"/>
        <v>70.11</v>
      </c>
      <c r="F1369" vm="16114">
        <f ca="1"/>
        <v>686.53</v>
      </c>
      <c r="G1369" vm="16115">
        <f ca="1"/>
        <v>189.96</v>
      </c>
      <c r="H1369" vm="16116">
        <f ca="1"/>
        <v>340.69</v>
      </c>
      <c r="I1369" vm="16117">
        <f ca="1"/>
        <v>74.67</v>
      </c>
      <c r="J1369" vm="5562">
        <f ca="1"/>
        <v>43.9</v>
      </c>
      <c r="K1369" vm="16118">
        <f ca="1"/>
        <v>16.154</v>
      </c>
      <c r="L1369" vm="16119">
        <f ca="1"/>
        <v>147.63</v>
      </c>
      <c r="M1369" vm="16120">
        <f ca="1"/>
        <v>497.56</v>
      </c>
      <c r="N1369" vm="16121">
        <f ca="1"/>
        <v>3941.48</v>
      </c>
    </row>
    <row r="1370" spans="2:14" x14ac:dyDescent="0.35">
      <c r="B1370" vm="16122">
        <f ca="1"/>
        <v>44706</v>
      </c>
      <c r="C1370" vm="16123">
        <f ca="1"/>
        <v>105.80500000000001</v>
      </c>
      <c r="D1370" vm="16124">
        <f ca="1"/>
        <v>106.77500000000001</v>
      </c>
      <c r="E1370" vm="10748">
        <f ca="1"/>
        <v>70.290000000000006</v>
      </c>
      <c r="F1370" vm="16125">
        <f ca="1"/>
        <v>670</v>
      </c>
      <c r="G1370" vm="16126">
        <f ca="1"/>
        <v>190.44</v>
      </c>
      <c r="H1370" vm="16127">
        <f ca="1"/>
        <v>344.76</v>
      </c>
      <c r="I1370" vm="16128">
        <f ca="1"/>
        <v>74.790000000000006</v>
      </c>
      <c r="J1370" vm="16129">
        <f ca="1"/>
        <v>45.05</v>
      </c>
      <c r="K1370" vm="16130">
        <f ca="1"/>
        <v>16.975000000000001</v>
      </c>
      <c r="L1370" vm="16131">
        <f ca="1"/>
        <v>145.21</v>
      </c>
      <c r="M1370" vm="16132">
        <f ca="1"/>
        <v>498.09</v>
      </c>
      <c r="N1370" vm="16133">
        <f ca="1"/>
        <v>3978.73</v>
      </c>
    </row>
    <row r="1371" spans="2:14" x14ac:dyDescent="0.35">
      <c r="B1371" vm="16134">
        <f ca="1"/>
        <v>44707</v>
      </c>
      <c r="C1371" vm="16135">
        <f ca="1"/>
        <v>107.7925</v>
      </c>
      <c r="D1371" vm="16136">
        <f ca="1"/>
        <v>111.0775</v>
      </c>
      <c r="E1371" vm="16137">
        <f ca="1"/>
        <v>71.760000000000005</v>
      </c>
      <c r="F1371" vm="16138">
        <f ca="1"/>
        <v>693.68</v>
      </c>
      <c r="G1371" vm="16139">
        <f ca="1"/>
        <v>193.1</v>
      </c>
      <c r="H1371" vm="11940">
        <f ca="1"/>
        <v>349.89</v>
      </c>
      <c r="I1371" vm="10904">
        <f ca="1"/>
        <v>75.040000000000006</v>
      </c>
      <c r="J1371" vm="16140">
        <f ca="1"/>
        <v>46.69</v>
      </c>
      <c r="K1371" vm="16141">
        <f ca="1"/>
        <v>17.850999999999999</v>
      </c>
      <c r="L1371" vm="16142">
        <f ca="1"/>
        <v>146.47999999999999</v>
      </c>
      <c r="M1371" vm="16143">
        <f ca="1"/>
        <v>502.23</v>
      </c>
      <c r="N1371" vm="16144">
        <f ca="1"/>
        <v>4057.84</v>
      </c>
    </row>
    <row r="1372" spans="2:14" x14ac:dyDescent="0.35">
      <c r="B1372" vm="16145">
        <f ca="1"/>
        <v>44708</v>
      </c>
      <c r="C1372" vm="16146">
        <f ca="1"/>
        <v>112.3165</v>
      </c>
      <c r="D1372" vm="16147">
        <f ca="1"/>
        <v>115.1465</v>
      </c>
      <c r="E1372" vm="4286">
        <f ca="1"/>
        <v>73.73</v>
      </c>
      <c r="F1372" vm="16148">
        <f ca="1"/>
        <v>687.09</v>
      </c>
      <c r="G1372" vm="16149">
        <f ca="1"/>
        <v>196.35</v>
      </c>
      <c r="H1372" vm="16150">
        <f ca="1"/>
        <v>357.78</v>
      </c>
      <c r="I1372" vm="4551">
        <f ca="1"/>
        <v>77.430000000000007</v>
      </c>
      <c r="J1372" vm="16151">
        <f ca="1"/>
        <v>48.21</v>
      </c>
      <c r="K1372" vm="16152">
        <f ca="1"/>
        <v>18.811</v>
      </c>
      <c r="L1372" vm="16153">
        <f ca="1"/>
        <v>148.72</v>
      </c>
      <c r="M1372" vm="16154">
        <f ca="1"/>
        <v>507.11</v>
      </c>
      <c r="N1372" vm="16155">
        <f ca="1"/>
        <v>4158.24</v>
      </c>
    </row>
    <row r="1373" spans="2:14" x14ac:dyDescent="0.35">
      <c r="B1373" vm="16156">
        <f ca="1"/>
        <v>44712</v>
      </c>
      <c r="C1373" vm="16157">
        <f ca="1"/>
        <v>113.762</v>
      </c>
      <c r="D1373" vm="16158">
        <f ca="1"/>
        <v>120.20950000000001</v>
      </c>
      <c r="E1373" vm="16159">
        <f ca="1"/>
        <v>70.89</v>
      </c>
      <c r="F1373" vm="16160">
        <f ca="1"/>
        <v>679</v>
      </c>
      <c r="G1373" vm="15767">
        <f ca="1"/>
        <v>193.62</v>
      </c>
      <c r="H1373" vm="16161">
        <f ca="1"/>
        <v>357.87</v>
      </c>
      <c r="I1373" vm="13131">
        <f ca="1"/>
        <v>75.69</v>
      </c>
      <c r="J1373" vm="16162">
        <f ca="1"/>
        <v>45.96</v>
      </c>
      <c r="K1373" vm="16163">
        <f ca="1"/>
        <v>18.672000000000001</v>
      </c>
      <c r="L1373" vm="16164">
        <f ca="1"/>
        <v>147.88</v>
      </c>
      <c r="M1373" vm="16165">
        <f ca="1"/>
        <v>496.78</v>
      </c>
      <c r="N1373" vm="16166">
        <f ca="1"/>
        <v>4132.1499999999996</v>
      </c>
    </row>
    <row r="1374" spans="2:14" x14ac:dyDescent="0.35">
      <c r="B1374" vm="16167">
        <f ca="1"/>
        <v>44713</v>
      </c>
      <c r="C1374" vm="16168">
        <f ca="1"/>
        <v>113.892</v>
      </c>
      <c r="D1374" vm="16169">
        <f ca="1"/>
        <v>121.684</v>
      </c>
      <c r="E1374" vm="16170">
        <f ca="1"/>
        <v>71.27</v>
      </c>
      <c r="F1374" vm="16171">
        <f ca="1"/>
        <v>694.64</v>
      </c>
      <c r="G1374" vm="4306">
        <f ca="1"/>
        <v>191.91</v>
      </c>
      <c r="H1374" vm="16172">
        <f ca="1"/>
        <v>357.06</v>
      </c>
      <c r="I1374" vm="16173">
        <f ca="1"/>
        <v>76.17</v>
      </c>
      <c r="J1374" vm="16174">
        <f ca="1"/>
        <v>46.68</v>
      </c>
      <c r="K1374" vm="16175">
        <f ca="1"/>
        <v>18.32</v>
      </c>
      <c r="L1374" vm="16176">
        <f ca="1"/>
        <v>145.63999999999999</v>
      </c>
      <c r="M1374" vm="16177">
        <f ca="1"/>
        <v>492.55</v>
      </c>
      <c r="N1374" vm="16178">
        <f ca="1"/>
        <v>4101.2299999999996</v>
      </c>
    </row>
    <row r="1375" spans="2:14" x14ac:dyDescent="0.35">
      <c r="B1375" vm="16179">
        <f ca="1"/>
        <v>44714</v>
      </c>
      <c r="C1375" vm="16180">
        <f ca="1"/>
        <v>117.6225</v>
      </c>
      <c r="D1375" vm="16181">
        <f ca="1"/>
        <v>125.511</v>
      </c>
      <c r="E1375" vm="9645">
        <f ca="1"/>
        <v>72.510000000000005</v>
      </c>
      <c r="F1375" vm="16182">
        <f ca="1"/>
        <v>678.44</v>
      </c>
      <c r="G1375" vm="15950">
        <f ca="1"/>
        <v>197.04</v>
      </c>
      <c r="H1375" vm="16183">
        <f ca="1"/>
        <v>363.08</v>
      </c>
      <c r="I1375" vm="3607">
        <f ca="1"/>
        <v>78.52</v>
      </c>
      <c r="J1375" vm="5889">
        <f ca="1"/>
        <v>46.3</v>
      </c>
      <c r="K1375" vm="16184">
        <f ca="1"/>
        <v>19.591999999999999</v>
      </c>
      <c r="L1375" vm="16185">
        <f ca="1"/>
        <v>147.21</v>
      </c>
      <c r="M1375" vm="16186">
        <f ca="1"/>
        <v>492.26</v>
      </c>
      <c r="N1375" vm="16187">
        <f ca="1"/>
        <v>4176.82</v>
      </c>
    </row>
    <row r="1376" spans="2:14" x14ac:dyDescent="0.35">
      <c r="B1376" vm="16188">
        <f ca="1"/>
        <v>44715</v>
      </c>
      <c r="C1376" vm="16189">
        <f ca="1"/>
        <v>114.541</v>
      </c>
      <c r="D1376" vm="16190">
        <f ca="1"/>
        <v>122.35</v>
      </c>
      <c r="E1376" vm="3176">
        <f ca="1"/>
        <v>73.599999999999994</v>
      </c>
      <c r="F1376" vm="16191">
        <f ca="1"/>
        <v>692.36</v>
      </c>
      <c r="G1376" vm="16192">
        <f ca="1"/>
        <v>194.82</v>
      </c>
      <c r="H1376" vm="15830">
        <f ca="1"/>
        <v>357.82</v>
      </c>
      <c r="I1376" vm="606">
        <f ca="1"/>
        <v>78.69</v>
      </c>
      <c r="J1376" vm="16193">
        <f ca="1"/>
        <v>47.47</v>
      </c>
      <c r="K1376" vm="10884">
        <f ca="1"/>
        <v>18.72</v>
      </c>
      <c r="L1376" vm="16194">
        <f ca="1"/>
        <v>145.88999999999999</v>
      </c>
      <c r="M1376" vm="16195">
        <f ca="1"/>
        <v>485.61</v>
      </c>
      <c r="N1376" vm="16196">
        <f ca="1"/>
        <v>4108.54</v>
      </c>
    </row>
    <row r="1377" spans="2:14" x14ac:dyDescent="0.35">
      <c r="B1377" vm="16197">
        <f ca="1"/>
        <v>44718</v>
      </c>
      <c r="C1377" vm="16198">
        <f ca="1"/>
        <v>116.8205</v>
      </c>
      <c r="D1377" vm="8574">
        <f ca="1"/>
        <v>124.79</v>
      </c>
      <c r="E1377" vm="4310">
        <f ca="1"/>
        <v>73.77</v>
      </c>
      <c r="F1377" vm="16199">
        <f ca="1"/>
        <v>691.55</v>
      </c>
      <c r="G1377" vm="15829">
        <f ca="1"/>
        <v>195.19</v>
      </c>
      <c r="H1377" vm="16200">
        <f ca="1"/>
        <v>360.14</v>
      </c>
      <c r="I1377" vm="12348">
        <f ca="1"/>
        <v>80.19</v>
      </c>
      <c r="J1377" vm="16201">
        <f ca="1"/>
        <v>47.22</v>
      </c>
      <c r="K1377" vm="16202">
        <f ca="1"/>
        <v>18.786000000000001</v>
      </c>
      <c r="L1377" vm="14610">
        <f ca="1"/>
        <v>145.32</v>
      </c>
      <c r="M1377" vm="16203">
        <f ca="1"/>
        <v>490.18</v>
      </c>
      <c r="N1377" vm="16204">
        <f ca="1"/>
        <v>4121.43</v>
      </c>
    </row>
    <row r="1378" spans="2:14" x14ac:dyDescent="0.35">
      <c r="B1378" vm="16205">
        <f ca="1"/>
        <v>44719</v>
      </c>
      <c r="C1378" vm="16206">
        <f ca="1"/>
        <v>117.1495</v>
      </c>
      <c r="D1378" vm="8561">
        <f ca="1"/>
        <v>123</v>
      </c>
      <c r="E1378" vm="16207">
        <f ca="1"/>
        <v>74.17</v>
      </c>
      <c r="F1378" vm="16208">
        <f ca="1"/>
        <v>668.66</v>
      </c>
      <c r="G1378" vm="16209">
        <f ca="1"/>
        <v>197.62</v>
      </c>
      <c r="H1378" vm="16210">
        <f ca="1"/>
        <v>364.02</v>
      </c>
      <c r="I1378" vm="16211">
        <f ca="1"/>
        <v>79.78</v>
      </c>
      <c r="J1378" vm="16212">
        <f ca="1"/>
        <v>48.93</v>
      </c>
      <c r="K1378" vm="16213">
        <f ca="1"/>
        <v>18.925999999999998</v>
      </c>
      <c r="L1378" vm="16214">
        <f ca="1"/>
        <v>146.94</v>
      </c>
      <c r="M1378" vm="16215">
        <f ca="1"/>
        <v>497.1</v>
      </c>
      <c r="N1378" vm="16216">
        <f ca="1"/>
        <v>4160.68</v>
      </c>
    </row>
    <row r="1379" spans="2:14" x14ac:dyDescent="0.35">
      <c r="B1379" vm="16217">
        <f ca="1"/>
        <v>44720</v>
      </c>
      <c r="C1379" vm="16218">
        <f ca="1"/>
        <v>117.194</v>
      </c>
      <c r="D1379" vm="8105">
        <f ca="1"/>
        <v>121.18</v>
      </c>
      <c r="E1379" vm="10656">
        <f ca="1"/>
        <v>72.680000000000007</v>
      </c>
      <c r="F1379" vm="16219">
        <f ca="1"/>
        <v>658.42</v>
      </c>
      <c r="G1379" vm="16220">
        <f ca="1"/>
        <v>194.52</v>
      </c>
      <c r="H1379" vm="16221">
        <f ca="1"/>
        <v>362.33</v>
      </c>
      <c r="I1379" vm="16222">
        <f ca="1"/>
        <v>78.489999999999995</v>
      </c>
      <c r="J1379" vm="5860">
        <f ca="1"/>
        <v>49.57</v>
      </c>
      <c r="K1379" vm="16223">
        <f ca="1"/>
        <v>18.648</v>
      </c>
      <c r="L1379" vm="16224">
        <f ca="1"/>
        <v>145.11000000000001</v>
      </c>
      <c r="M1379" vm="16225">
        <f ca="1"/>
        <v>493.53</v>
      </c>
      <c r="N1379" vm="16226">
        <f ca="1"/>
        <v>4115.7700000000004</v>
      </c>
    </row>
    <row r="1380" spans="2:14" x14ac:dyDescent="0.35">
      <c r="B1380" vm="16227">
        <f ca="1"/>
        <v>44721</v>
      </c>
      <c r="C1380" vm="16228">
        <f ca="1"/>
        <v>114.8355</v>
      </c>
      <c r="D1380" vm="16229">
        <f ca="1"/>
        <v>116.15</v>
      </c>
      <c r="E1380" vm="16230">
        <f ca="1"/>
        <v>70.42</v>
      </c>
      <c r="F1380" vm="16231">
        <f ca="1"/>
        <v>649.16999999999996</v>
      </c>
      <c r="G1380" vm="16232">
        <f ca="1"/>
        <v>192.01</v>
      </c>
      <c r="H1380" vm="16233">
        <f ca="1"/>
        <v>349</v>
      </c>
      <c r="I1380" vm="16234">
        <f ca="1"/>
        <v>77.34</v>
      </c>
      <c r="J1380" vm="16235">
        <f ca="1"/>
        <v>48.14</v>
      </c>
      <c r="K1380" vm="16236">
        <f ca="1"/>
        <v>18.047999999999998</v>
      </c>
      <c r="L1380" vm="2266">
        <f ca="1"/>
        <v>142.49</v>
      </c>
      <c r="M1380" vm="16237">
        <f ca="1"/>
        <v>489.43</v>
      </c>
      <c r="N1380" vm="16238">
        <f ca="1"/>
        <v>4017.82</v>
      </c>
    </row>
    <row r="1381" spans="2:14" x14ac:dyDescent="0.35">
      <c r="B1381" vm="16239">
        <f ca="1"/>
        <v>44722</v>
      </c>
      <c r="C1381" vm="16240">
        <f ca="1"/>
        <v>111.1615</v>
      </c>
      <c r="D1381" vm="7584">
        <f ca="1"/>
        <v>109.65</v>
      </c>
      <c r="E1381" vm="16241">
        <f ca="1"/>
        <v>68.48</v>
      </c>
      <c r="F1381" vm="16242">
        <f ca="1"/>
        <v>616.28</v>
      </c>
      <c r="G1381" vm="16243">
        <f ca="1"/>
        <v>186.28</v>
      </c>
      <c r="H1381" vm="16244">
        <f ca="1"/>
        <v>334.75</v>
      </c>
      <c r="I1381" vm="3804">
        <f ca="1"/>
        <v>75.91</v>
      </c>
      <c r="J1381" vm="16245">
        <f ca="1"/>
        <v>47.21</v>
      </c>
      <c r="K1381" vm="16246">
        <f ca="1"/>
        <v>16.974</v>
      </c>
      <c r="L1381" vm="16247">
        <f ca="1"/>
        <v>141.94999999999999</v>
      </c>
      <c r="M1381" vm="16248">
        <f ca="1"/>
        <v>484.63</v>
      </c>
      <c r="N1381" vm="16249">
        <f ca="1"/>
        <v>3900.86</v>
      </c>
    </row>
    <row r="1382" spans="2:14" x14ac:dyDescent="0.35">
      <c r="B1382" vm="16250">
        <f ca="1"/>
        <v>44725</v>
      </c>
      <c r="C1382" vm="16251">
        <f ca="1"/>
        <v>106.3925</v>
      </c>
      <c r="D1382" vm="16252">
        <f ca="1"/>
        <v>103.67</v>
      </c>
      <c r="E1382" vm="4725">
        <f ca="1"/>
        <v>67.42</v>
      </c>
      <c r="F1382" vm="16253">
        <f ca="1"/>
        <v>618.51</v>
      </c>
      <c r="G1382" vm="16254">
        <f ca="1"/>
        <v>184.42</v>
      </c>
      <c r="H1382" vm="16255">
        <f ca="1"/>
        <v>319.74</v>
      </c>
      <c r="I1382" vm="16256">
        <f ca="1"/>
        <v>72.41</v>
      </c>
      <c r="J1382" vm="16257">
        <f ca="1"/>
        <v>44.32</v>
      </c>
      <c r="K1382" vm="16258">
        <f ca="1"/>
        <v>15.647</v>
      </c>
      <c r="L1382" vm="11208">
        <f ca="1"/>
        <v>138.15</v>
      </c>
      <c r="M1382" vm="16259">
        <f ca="1"/>
        <v>469.7</v>
      </c>
      <c r="N1382" vm="16260">
        <f ca="1"/>
        <v>3749.63</v>
      </c>
    </row>
    <row r="1383" spans="2:14" x14ac:dyDescent="0.35">
      <c r="B1383" vm="16261">
        <f ca="1"/>
        <v>44726</v>
      </c>
      <c r="C1383" vm="16262">
        <f ca="1"/>
        <v>106.71550000000001</v>
      </c>
      <c r="D1383" vm="16263">
        <f ca="1"/>
        <v>102.31</v>
      </c>
      <c r="E1383" vm="2508">
        <f ca="1"/>
        <v>66.5</v>
      </c>
      <c r="F1383" vm="16264">
        <f ca="1"/>
        <v>641.25</v>
      </c>
      <c r="G1383" vm="11690">
        <f ca="1"/>
        <v>183.28</v>
      </c>
      <c r="H1383" vm="16265">
        <f ca="1"/>
        <v>322.14</v>
      </c>
      <c r="I1383" vm="7837">
        <f ca="1"/>
        <v>71.48</v>
      </c>
      <c r="J1383" vm="16266">
        <f ca="1"/>
        <v>43.22</v>
      </c>
      <c r="K1383" vm="16267">
        <f ca="1"/>
        <v>15.836</v>
      </c>
      <c r="L1383" vm="2098">
        <f ca="1"/>
        <v>133.84</v>
      </c>
      <c r="M1383" vm="16268">
        <f ca="1"/>
        <v>461.75</v>
      </c>
      <c r="N1383" vm="16269">
        <f ca="1"/>
        <v>3735.48</v>
      </c>
    </row>
    <row r="1384" spans="2:14" x14ac:dyDescent="0.35">
      <c r="B1384" vm="16270">
        <f ca="1"/>
        <v>44727</v>
      </c>
      <c r="C1384" vm="16271">
        <f ca="1"/>
        <v>109.7645</v>
      </c>
      <c r="D1384" vm="16272">
        <f ca="1"/>
        <v>107.67</v>
      </c>
      <c r="E1384" vm="9184">
        <f ca="1"/>
        <v>66.27</v>
      </c>
      <c r="F1384" vm="16273">
        <f ca="1"/>
        <v>618.42999999999995</v>
      </c>
      <c r="G1384" vm="16274">
        <f ca="1"/>
        <v>184.97</v>
      </c>
      <c r="H1384" vm="16275">
        <f ca="1"/>
        <v>325.39</v>
      </c>
      <c r="I1384" vm="13600">
        <f ca="1"/>
        <v>74.19</v>
      </c>
      <c r="J1384" vm="16276">
        <f ca="1"/>
        <v>41.52</v>
      </c>
      <c r="K1384" vm="16277">
        <f ca="1"/>
        <v>16.527000000000001</v>
      </c>
      <c r="L1384" vm="13098">
        <f ca="1"/>
        <v>132.51</v>
      </c>
      <c r="M1384" vm="16278">
        <f ca="1"/>
        <v>464.33</v>
      </c>
      <c r="N1384" vm="16279">
        <f ca="1"/>
        <v>3789.99</v>
      </c>
    </row>
    <row r="1385" spans="2:14" x14ac:dyDescent="0.35">
      <c r="B1385" vm="16280">
        <f ca="1"/>
        <v>44728</v>
      </c>
      <c r="C1385" vm="16281">
        <f ca="1"/>
        <v>106.0335</v>
      </c>
      <c r="D1385" vm="16282">
        <f ca="1"/>
        <v>103.66</v>
      </c>
      <c r="E1385" vm="16283">
        <f ca="1"/>
        <v>63.31</v>
      </c>
      <c r="F1385" vm="16284">
        <f ca="1"/>
        <v>632.80999999999995</v>
      </c>
      <c r="G1385" vm="9516">
        <f ca="1"/>
        <v>179.88</v>
      </c>
      <c r="H1385" vm="16285">
        <f ca="1"/>
        <v>308.77999999999997</v>
      </c>
      <c r="I1385" vm="16286">
        <f ca="1"/>
        <v>70.87</v>
      </c>
      <c r="J1385" vm="16287">
        <f ca="1"/>
        <v>38.479999999999997</v>
      </c>
      <c r="K1385" vm="16288">
        <f ca="1"/>
        <v>15.601000000000001</v>
      </c>
      <c r="L1385" vm="16289">
        <f ca="1"/>
        <v>133.32</v>
      </c>
      <c r="M1385" vm="16290">
        <f ca="1"/>
        <v>456.09</v>
      </c>
      <c r="N1385" vm="16291">
        <f ca="1"/>
        <v>3666.77</v>
      </c>
    </row>
    <row r="1386" spans="2:14" x14ac:dyDescent="0.35">
      <c r="B1386" vm="16292">
        <f ca="1"/>
        <v>44729</v>
      </c>
      <c r="C1386" vm="16293">
        <f ca="1"/>
        <v>107.1435</v>
      </c>
      <c r="D1386" vm="16294">
        <f ca="1"/>
        <v>106.22</v>
      </c>
      <c r="E1386" vm="9070">
        <f ca="1"/>
        <v>64.91</v>
      </c>
      <c r="F1386" vm="16295">
        <f ca="1"/>
        <v>640.17999999999995</v>
      </c>
      <c r="G1386" vm="16296">
        <f ca="1"/>
        <v>179.7</v>
      </c>
      <c r="H1386" vm="16297">
        <f ca="1"/>
        <v>310.69</v>
      </c>
      <c r="I1386" vm="16102">
        <f ca="1"/>
        <v>70.81</v>
      </c>
      <c r="J1386" vm="16298">
        <f ca="1"/>
        <v>36.64</v>
      </c>
      <c r="K1386" vm="16299">
        <f ca="1"/>
        <v>15.88</v>
      </c>
      <c r="L1386" vm="16300">
        <f ca="1"/>
        <v>132.36000000000001</v>
      </c>
      <c r="M1386" vm="16301">
        <f ca="1"/>
        <v>452.06</v>
      </c>
      <c r="N1386" vm="16302">
        <f ca="1"/>
        <v>3674.84</v>
      </c>
    </row>
    <row r="1387" spans="2:14" x14ac:dyDescent="0.35">
      <c r="B1387" vm="16303">
        <f ca="1"/>
        <v>44733</v>
      </c>
      <c r="C1387" vm="16304">
        <f ca="1"/>
        <v>111.544</v>
      </c>
      <c r="D1387" vm="16305">
        <f ca="1"/>
        <v>108.68</v>
      </c>
      <c r="E1387" vm="1913">
        <f ca="1"/>
        <v>65.489999999999995</v>
      </c>
      <c r="F1387" vm="16306">
        <f ca="1"/>
        <v>657.95</v>
      </c>
      <c r="G1387" vm="16307">
        <f ca="1"/>
        <v>180.51</v>
      </c>
      <c r="H1387" vm="16308">
        <f ca="1"/>
        <v>317.39999999999998</v>
      </c>
      <c r="I1387" vm="8220">
        <f ca="1"/>
        <v>72.73</v>
      </c>
      <c r="J1387" vm="16309">
        <f ca="1"/>
        <v>38.82</v>
      </c>
      <c r="K1387" vm="16310">
        <f ca="1"/>
        <v>16.565999999999999</v>
      </c>
      <c r="L1387" vm="12937">
        <f ca="1"/>
        <v>136.37</v>
      </c>
      <c r="M1387" vm="16311">
        <f ca="1"/>
        <v>480.32</v>
      </c>
      <c r="N1387" vm="16312">
        <f ca="1"/>
        <v>3764.79</v>
      </c>
    </row>
    <row r="1388" spans="2:14" x14ac:dyDescent="0.35">
      <c r="B1388" vm="16313">
        <f ca="1"/>
        <v>44734</v>
      </c>
      <c r="C1388" vm="16314">
        <f ca="1"/>
        <v>111.4875</v>
      </c>
      <c r="D1388" vm="16315">
        <f ca="1"/>
        <v>108.95</v>
      </c>
      <c r="E1388" vm="16316">
        <f ca="1"/>
        <v>65.459999999999994</v>
      </c>
      <c r="F1388" vm="16317">
        <f ca="1"/>
        <v>677.42</v>
      </c>
      <c r="G1388" vm="16318">
        <f ca="1"/>
        <v>177.73</v>
      </c>
      <c r="H1388" vm="16319">
        <f ca="1"/>
        <v>316.14999999999998</v>
      </c>
      <c r="I1388" vm="16320">
        <f ca="1"/>
        <v>74.69</v>
      </c>
      <c r="J1388" vm="3494">
        <f ca="1"/>
        <v>37.520000000000003</v>
      </c>
      <c r="K1388" vm="16321">
        <f ca="1"/>
        <v>16.36</v>
      </c>
      <c r="L1388" vm="11657">
        <f ca="1"/>
        <v>138.5</v>
      </c>
      <c r="M1388" vm="16322">
        <f ca="1"/>
        <v>489.68</v>
      </c>
      <c r="N1388" vm="16323">
        <f ca="1"/>
        <v>3759.89</v>
      </c>
    </row>
    <row r="1389" spans="2:14" x14ac:dyDescent="0.35">
      <c r="B1389" vm="16324">
        <f ca="1"/>
        <v>44735</v>
      </c>
      <c r="C1389" vm="16325">
        <f ca="1"/>
        <v>112.242</v>
      </c>
      <c r="D1389" vm="10255">
        <f ca="1"/>
        <v>112.44</v>
      </c>
      <c r="E1389" vm="2157">
        <f ca="1"/>
        <v>65.72</v>
      </c>
      <c r="F1389" vm="16326">
        <f ca="1"/>
        <v>689.17</v>
      </c>
      <c r="G1389" vm="16327">
        <f ca="1"/>
        <v>174.57</v>
      </c>
      <c r="H1389" vm="16328">
        <f ca="1"/>
        <v>316.76</v>
      </c>
      <c r="I1389" vm="13778">
        <f ca="1"/>
        <v>77.2</v>
      </c>
      <c r="J1389" vm="16329">
        <f ca="1"/>
        <v>34.979999999999997</v>
      </c>
      <c r="K1389" vm="16330">
        <f ca="1"/>
        <v>16.225000000000001</v>
      </c>
      <c r="L1389" vm="16331">
        <f ca="1"/>
        <v>142.30000000000001</v>
      </c>
      <c r="M1389" vm="16332">
        <f ca="1"/>
        <v>499.81</v>
      </c>
      <c r="N1389" vm="16333">
        <f ca="1"/>
        <v>3795.73</v>
      </c>
    </row>
    <row r="1390" spans="2:14" x14ac:dyDescent="0.35">
      <c r="B1390" vm="16334">
        <f ca="1"/>
        <v>44736</v>
      </c>
      <c r="C1390" vm="16335">
        <f ca="1"/>
        <v>117.97499999999999</v>
      </c>
      <c r="D1390" vm="16336">
        <f ca="1"/>
        <v>116.46</v>
      </c>
      <c r="E1390" vm="16337">
        <f ca="1"/>
        <v>71.59</v>
      </c>
      <c r="F1390" vm="16338">
        <f ca="1"/>
        <v>685.57</v>
      </c>
      <c r="G1390" vm="16339">
        <f ca="1"/>
        <v>180.02</v>
      </c>
      <c r="H1390" vm="16340">
        <f ca="1"/>
        <v>330.5</v>
      </c>
      <c r="I1390" vm="16341">
        <f ca="1"/>
        <v>78.02</v>
      </c>
      <c r="J1390" vm="1394">
        <f ca="1"/>
        <v>35.06</v>
      </c>
      <c r="K1390" vm="16342">
        <f ca="1"/>
        <v>17.126000000000001</v>
      </c>
      <c r="L1390" vm="14023">
        <f ca="1"/>
        <v>144.35</v>
      </c>
      <c r="M1390" vm="16343">
        <f ca="1"/>
        <v>495.64</v>
      </c>
      <c r="N1390" vm="16344">
        <f ca="1"/>
        <v>3911.74</v>
      </c>
    </row>
    <row r="1391" spans="2:14" x14ac:dyDescent="0.35">
      <c r="B1391" vm="16345">
        <f ca="1"/>
        <v>44739</v>
      </c>
      <c r="C1391" vm="16346">
        <f ca="1"/>
        <v>115.8335</v>
      </c>
      <c r="D1391" vm="16347">
        <f ca="1"/>
        <v>113.22</v>
      </c>
      <c r="E1391" vm="1153">
        <f ca="1"/>
        <v>71.02</v>
      </c>
      <c r="F1391" vm="16348">
        <f ca="1"/>
        <v>669.1</v>
      </c>
      <c r="G1391" vm="16349">
        <f ca="1"/>
        <v>178.29</v>
      </c>
      <c r="H1391" vm="16350">
        <f ca="1"/>
        <v>328.83</v>
      </c>
      <c r="I1391" vm="16351">
        <f ca="1"/>
        <v>77.89</v>
      </c>
      <c r="J1391" vm="16352">
        <f ca="1"/>
        <v>35.89</v>
      </c>
      <c r="K1391" vm="16353">
        <f ca="1"/>
        <v>16.869</v>
      </c>
      <c r="L1391" vm="11563">
        <f ca="1"/>
        <v>143.25</v>
      </c>
      <c r="M1391" vm="16354">
        <f ca="1"/>
        <v>505.66</v>
      </c>
      <c r="N1391" vm="16355">
        <f ca="1"/>
        <v>3900.11</v>
      </c>
    </row>
    <row r="1392" spans="2:14" x14ac:dyDescent="0.35">
      <c r="B1392" vm="16356">
        <f ca="1"/>
        <v>44740</v>
      </c>
      <c r="C1392" vm="16357">
        <f ca="1"/>
        <v>112.00749999999999</v>
      </c>
      <c r="D1392" vm="16358">
        <f ca="1"/>
        <v>107.4</v>
      </c>
      <c r="E1392" vm="16359">
        <f ca="1"/>
        <v>69.95</v>
      </c>
      <c r="F1392" vm="16360">
        <f ca="1"/>
        <v>649.5</v>
      </c>
      <c r="G1392" vm="16361">
        <f ca="1"/>
        <v>175.95</v>
      </c>
      <c r="H1392" vm="16362">
        <f ca="1"/>
        <v>318.29000000000002</v>
      </c>
      <c r="I1392" vm="4538">
        <f ca="1"/>
        <v>76.44</v>
      </c>
      <c r="J1392" vm="16363">
        <f ca="1"/>
        <v>36.97</v>
      </c>
      <c r="K1392" vm="16364">
        <f ca="1"/>
        <v>15.981999999999999</v>
      </c>
      <c r="L1392" vm="16365">
        <f ca="1"/>
        <v>140.91999999999999</v>
      </c>
      <c r="M1392" vm="16366">
        <f ca="1"/>
        <v>508.44</v>
      </c>
      <c r="N1392" vm="16367">
        <f ca="1"/>
        <v>3821.55</v>
      </c>
    </row>
    <row r="1393" spans="2:14" x14ac:dyDescent="0.35">
      <c r="B1393" vm="16368">
        <f ca="1"/>
        <v>44741</v>
      </c>
      <c r="C1393" vm="16369">
        <f ca="1"/>
        <v>111.7015</v>
      </c>
      <c r="D1393" vm="16370">
        <f ca="1"/>
        <v>108.92</v>
      </c>
      <c r="E1393" vm="16371">
        <f ca="1"/>
        <v>68.349999999999994</v>
      </c>
      <c r="F1393" vm="16372">
        <f ca="1"/>
        <v>657.02</v>
      </c>
      <c r="G1393" vm="16373">
        <f ca="1"/>
        <v>173.2</v>
      </c>
      <c r="H1393" vm="16374">
        <f ca="1"/>
        <v>322.58999999999997</v>
      </c>
      <c r="I1393" vm="16375">
        <f ca="1"/>
        <v>76</v>
      </c>
      <c r="J1393" vm="7321">
        <f ca="1"/>
        <v>36.18</v>
      </c>
      <c r="K1393" vm="16376">
        <f ca="1"/>
        <v>15.542</v>
      </c>
      <c r="L1393" vm="16377">
        <f ca="1"/>
        <v>142.19999999999999</v>
      </c>
      <c r="M1393" vm="16378">
        <f ca="1"/>
        <v>515.71</v>
      </c>
      <c r="N1393" vm="16379">
        <f ca="1"/>
        <v>3818.83</v>
      </c>
    </row>
    <row r="1394" spans="2:14" x14ac:dyDescent="0.35">
      <c r="B1394" vm="16380">
        <f ca="1"/>
        <v>44742</v>
      </c>
      <c r="C1394" vm="16381">
        <f ca="1"/>
        <v>108.96299999999999</v>
      </c>
      <c r="D1394" vm="16382">
        <f ca="1"/>
        <v>106.21</v>
      </c>
      <c r="E1394" vm="16383">
        <f ca="1"/>
        <v>68.77</v>
      </c>
      <c r="F1394" vm="16384">
        <f ca="1"/>
        <v>673.03</v>
      </c>
      <c r="G1394" vm="16385">
        <f ca="1"/>
        <v>173.81</v>
      </c>
      <c r="H1394" vm="16386">
        <f ca="1"/>
        <v>315.48</v>
      </c>
      <c r="I1394" vm="7923">
        <f ca="1"/>
        <v>77.459999999999994</v>
      </c>
      <c r="J1394" vm="4619">
        <f ca="1"/>
        <v>35.76</v>
      </c>
      <c r="K1394" vm="16387">
        <f ca="1"/>
        <v>15.159000000000001</v>
      </c>
      <c r="L1394" vm="16388">
        <f ca="1"/>
        <v>143.79</v>
      </c>
      <c r="M1394" vm="16389">
        <f ca="1"/>
        <v>513.63</v>
      </c>
      <c r="N1394" vm="16390">
        <f ca="1"/>
        <v>3785.38</v>
      </c>
    </row>
    <row r="1395" spans="2:14" x14ac:dyDescent="0.35">
      <c r="B1395" vm="16391">
        <f ca="1"/>
        <v>44743</v>
      </c>
      <c r="C1395" vm="16392">
        <f ca="1"/>
        <v>108.7375</v>
      </c>
      <c r="D1395" vm="16393">
        <f ca="1"/>
        <v>109.56</v>
      </c>
      <c r="E1395" vm="16394">
        <f ca="1"/>
        <v>70.930000000000007</v>
      </c>
      <c r="F1395" vm="16395">
        <f ca="1"/>
        <v>667.16</v>
      </c>
      <c r="G1395" vm="16396">
        <f ca="1"/>
        <v>175.11</v>
      </c>
      <c r="H1395" vm="16397">
        <f ca="1"/>
        <v>318.24</v>
      </c>
      <c r="I1395" vm="13904">
        <f ca="1"/>
        <v>80.56</v>
      </c>
      <c r="J1395" vm="16398">
        <f ca="1"/>
        <v>35.65</v>
      </c>
      <c r="K1395" vm="13157">
        <f ca="1"/>
        <v>14.523</v>
      </c>
      <c r="L1395" vm="16399">
        <f ca="1"/>
        <v>146.11000000000001</v>
      </c>
      <c r="M1395" vm="16400">
        <f ca="1"/>
        <v>517.4</v>
      </c>
      <c r="N1395" vm="16401">
        <f ca="1"/>
        <v>3825.33</v>
      </c>
    </row>
    <row r="1396" spans="2:14" x14ac:dyDescent="0.35">
      <c r="B1396" vm="16402">
        <f ca="1"/>
        <v>44747</v>
      </c>
      <c r="C1396" vm="16403">
        <f ca="1"/>
        <v>113.26300000000001</v>
      </c>
      <c r="D1396" vm="9567">
        <f ca="1"/>
        <v>113.5</v>
      </c>
      <c r="E1396" vm="16404">
        <f ca="1"/>
        <v>70.03</v>
      </c>
      <c r="F1396" vm="16405">
        <f ca="1"/>
        <v>662.53</v>
      </c>
      <c r="G1396" vm="16406">
        <f ca="1"/>
        <v>172.09</v>
      </c>
      <c r="H1396" vm="16407">
        <f ca="1"/>
        <v>319.26</v>
      </c>
      <c r="I1396" vm="16408">
        <f ca="1"/>
        <v>79.11</v>
      </c>
      <c r="J1396" vm="16409">
        <f ca="1"/>
        <v>33.33</v>
      </c>
      <c r="K1396" vm="16410">
        <f ca="1"/>
        <v>14.964</v>
      </c>
      <c r="L1396" vm="16411">
        <f ca="1"/>
        <v>144.69999999999999</v>
      </c>
      <c r="M1396" vm="16412">
        <f ca="1"/>
        <v>505.24</v>
      </c>
      <c r="N1396" vm="16413">
        <f ca="1"/>
        <v>3831.39</v>
      </c>
    </row>
    <row r="1397" spans="2:14" x14ac:dyDescent="0.35">
      <c r="B1397" vm="16414">
        <f ca="1"/>
        <v>44748</v>
      </c>
      <c r="C1397" vm="16415">
        <f ca="1"/>
        <v>114.572</v>
      </c>
      <c r="D1397" vm="16416">
        <f ca="1"/>
        <v>114.33</v>
      </c>
      <c r="E1397" vm="1051">
        <f ca="1"/>
        <v>71.45</v>
      </c>
      <c r="F1397" vm="16417">
        <f ca="1"/>
        <v>660.74</v>
      </c>
      <c r="G1397" vm="8896">
        <f ca="1"/>
        <v>173.21</v>
      </c>
      <c r="H1397" vm="16418">
        <f ca="1"/>
        <v>320.17</v>
      </c>
      <c r="I1397" vm="887">
        <f ca="1"/>
        <v>79.569999999999993</v>
      </c>
      <c r="J1397" vm="14653">
        <f ca="1"/>
        <v>32.729999999999997</v>
      </c>
      <c r="K1397" vm="16419">
        <f ca="1"/>
        <v>15.13</v>
      </c>
      <c r="L1397" vm="16420">
        <f ca="1"/>
        <v>146.05000000000001</v>
      </c>
      <c r="M1397" vm="16421">
        <f ca="1"/>
        <v>515.29</v>
      </c>
      <c r="N1397" vm="16422">
        <f ca="1"/>
        <v>3845.08</v>
      </c>
    </row>
    <row r="1398" spans="2:14" x14ac:dyDescent="0.35">
      <c r="B1398" vm="16423">
        <f ca="1"/>
        <v>44749</v>
      </c>
      <c r="C1398" vm="16424">
        <f ca="1"/>
        <v>118.783</v>
      </c>
      <c r="D1398" vm="16425">
        <f ca="1"/>
        <v>116.33</v>
      </c>
      <c r="E1398" vm="16230">
        <f ca="1"/>
        <v>70.42</v>
      </c>
      <c r="F1398" vm="16426">
        <f ca="1"/>
        <v>650.52</v>
      </c>
      <c r="G1398" vm="16427">
        <f ca="1"/>
        <v>173.79</v>
      </c>
      <c r="H1398" vm="16428">
        <f ca="1"/>
        <v>324.07</v>
      </c>
      <c r="I1398" vm="16429">
        <f ca="1"/>
        <v>80.38</v>
      </c>
      <c r="J1398" vm="16430">
        <f ca="1"/>
        <v>34.380000000000003</v>
      </c>
      <c r="K1398" vm="16431">
        <f ca="1"/>
        <v>15.858000000000001</v>
      </c>
      <c r="L1398" vm="16432">
        <f ca="1"/>
        <v>146</v>
      </c>
      <c r="M1398" vm="16433">
        <f ca="1"/>
        <v>514.38</v>
      </c>
      <c r="N1398" vm="16434">
        <f ca="1"/>
        <v>3902.62</v>
      </c>
    </row>
    <row r="1399" spans="2:14" x14ac:dyDescent="0.35">
      <c r="B1399" vm="16435">
        <f ca="1"/>
        <v>44750</v>
      </c>
      <c r="C1399" vm="16436">
        <f ca="1"/>
        <v>119.3535</v>
      </c>
      <c r="D1399" vm="16437">
        <f ca="1"/>
        <v>115.54</v>
      </c>
      <c r="E1399" vm="16438">
        <f ca="1"/>
        <v>68.62</v>
      </c>
      <c r="F1399" vm="16439">
        <f ca="1"/>
        <v>647.30999999999995</v>
      </c>
      <c r="G1399" vm="16440">
        <f ca="1"/>
        <v>173.34</v>
      </c>
      <c r="H1399" vm="11601">
        <f ca="1"/>
        <v>323.06</v>
      </c>
      <c r="I1399" vm="644">
        <f ca="1"/>
        <v>80.25</v>
      </c>
      <c r="J1399" vm="16441">
        <f ca="1"/>
        <v>34.32</v>
      </c>
      <c r="K1399" vm="16442">
        <f ca="1"/>
        <v>15.837999999999999</v>
      </c>
      <c r="L1399" vm="10635">
        <f ca="1"/>
        <v>145.02000000000001</v>
      </c>
      <c r="M1399" vm="16443">
        <f ca="1"/>
        <v>518.63</v>
      </c>
      <c r="N1399" vm="16444">
        <f ca="1"/>
        <v>3899.38</v>
      </c>
    </row>
    <row r="1400" spans="2:14" x14ac:dyDescent="0.35">
      <c r="B1400" vm="16445">
        <f ca="1"/>
        <v>44753</v>
      </c>
      <c r="C1400" vm="16446">
        <f ca="1"/>
        <v>115.6765</v>
      </c>
      <c r="D1400" vm="16447">
        <f ca="1"/>
        <v>111.75</v>
      </c>
      <c r="E1400" vm="16448">
        <f ca="1"/>
        <v>68.42</v>
      </c>
      <c r="F1400" vm="16449">
        <f ca="1"/>
        <v>628.25</v>
      </c>
      <c r="G1400" vm="16450">
        <f ca="1"/>
        <v>172.84</v>
      </c>
      <c r="H1400" vm="16451">
        <f ca="1"/>
        <v>324.19</v>
      </c>
      <c r="I1400" vm="441">
        <f ca="1"/>
        <v>80.680000000000007</v>
      </c>
      <c r="J1400" vm="16452">
        <f ca="1"/>
        <v>33.369999999999997</v>
      </c>
      <c r="K1400" vm="16453">
        <f ca="1"/>
        <v>15.151999999999999</v>
      </c>
      <c r="L1400" vm="14621">
        <f ca="1"/>
        <v>146.04</v>
      </c>
      <c r="M1400" vm="16454">
        <f ca="1"/>
        <v>516.95000000000005</v>
      </c>
      <c r="N1400" vm="16455">
        <f ca="1"/>
        <v>3854.43</v>
      </c>
    </row>
    <row r="1401" spans="2:14" x14ac:dyDescent="0.35">
      <c r="B1401" vm="16456">
        <f ca="1"/>
        <v>44754</v>
      </c>
      <c r="C1401" vm="16457">
        <f ca="1"/>
        <v>114.0205</v>
      </c>
      <c r="D1401" vm="16458">
        <f ca="1"/>
        <v>109.22</v>
      </c>
      <c r="E1401" vm="16459">
        <f ca="1"/>
        <v>67.66</v>
      </c>
      <c r="F1401" vm="16460">
        <f ca="1"/>
        <v>625.89</v>
      </c>
      <c r="G1401" vm="7804">
        <f ca="1"/>
        <v>173.61</v>
      </c>
      <c r="H1401" vm="16461">
        <f ca="1"/>
        <v>322.86</v>
      </c>
      <c r="I1401" vm="568">
        <f ca="1"/>
        <v>79.95</v>
      </c>
      <c r="J1401" vm="14653">
        <f ca="1"/>
        <v>32.729999999999997</v>
      </c>
      <c r="K1401" vm="16462">
        <f ca="1"/>
        <v>15.082000000000001</v>
      </c>
      <c r="L1401" vm="16463">
        <f ca="1"/>
        <v>144.75</v>
      </c>
      <c r="M1401" vm="16464">
        <f ca="1"/>
        <v>514.41999999999996</v>
      </c>
      <c r="N1401" vm="16465">
        <f ca="1"/>
        <v>3818.8</v>
      </c>
    </row>
    <row r="1402" spans="2:14" x14ac:dyDescent="0.35">
      <c r="B1402" vm="16466">
        <f ca="1"/>
        <v>44755</v>
      </c>
      <c r="C1402" vm="16467">
        <f ca="1"/>
        <v>111.3535</v>
      </c>
      <c r="D1402" vm="16468">
        <f ca="1"/>
        <v>110.4</v>
      </c>
      <c r="E1402" vm="8766">
        <f ca="1"/>
        <v>67.59</v>
      </c>
      <c r="F1402" vm="16469">
        <f ca="1"/>
        <v>611.92999999999995</v>
      </c>
      <c r="G1402" vm="16470">
        <f ca="1"/>
        <v>170.87</v>
      </c>
      <c r="H1402" vm="16471">
        <f ca="1"/>
        <v>323.37</v>
      </c>
      <c r="I1402" vm="16472">
        <f ca="1"/>
        <v>80.260000000000005</v>
      </c>
      <c r="J1402" vm="16473">
        <f ca="1"/>
        <v>32.29</v>
      </c>
      <c r="K1402" vm="16474">
        <f ca="1"/>
        <v>15.164</v>
      </c>
      <c r="L1402" vm="16475">
        <f ca="1"/>
        <v>145.69999999999999</v>
      </c>
      <c r="M1402" vm="16476">
        <f ca="1"/>
        <v>501.24</v>
      </c>
      <c r="N1402" vm="16477">
        <f ca="1"/>
        <v>3801.78</v>
      </c>
    </row>
    <row r="1403" spans="2:14" x14ac:dyDescent="0.35">
      <c r="B1403" vm="16478">
        <f ca="1"/>
        <v>44756</v>
      </c>
      <c r="C1403" vm="16479">
        <f ca="1"/>
        <v>110.36750000000001</v>
      </c>
      <c r="D1403" vm="16480">
        <f ca="1"/>
        <v>110.63</v>
      </c>
      <c r="E1403" vm="16481">
        <f ca="1"/>
        <v>66.650000000000006</v>
      </c>
      <c r="F1403" vm="16482">
        <f ca="1"/>
        <v>619.75</v>
      </c>
      <c r="G1403" vm="16483">
        <f ca="1"/>
        <v>169.51</v>
      </c>
      <c r="H1403" vm="16484">
        <f ca="1"/>
        <v>325.02999999999997</v>
      </c>
      <c r="I1403" vm="5484">
        <f ca="1"/>
        <v>80.13</v>
      </c>
      <c r="J1403" vm="13335">
        <f ca="1"/>
        <v>31.33</v>
      </c>
      <c r="K1403" vm="16485">
        <f ca="1"/>
        <v>15.372</v>
      </c>
      <c r="L1403" vm="16486">
        <f ca="1"/>
        <v>145.27000000000001</v>
      </c>
      <c r="M1403" vm="16487">
        <f ca="1"/>
        <v>502.43</v>
      </c>
      <c r="N1403" vm="16488">
        <f ca="1"/>
        <v>3790.38</v>
      </c>
    </row>
    <row r="1404" spans="2:14" x14ac:dyDescent="0.35">
      <c r="B1404" vm="16489">
        <f ca="1"/>
        <v>44757</v>
      </c>
      <c r="C1404" vm="16490">
        <f ca="1"/>
        <v>111.7775</v>
      </c>
      <c r="D1404" vm="16491">
        <f ca="1"/>
        <v>113.55</v>
      </c>
      <c r="E1404" vm="16492">
        <f ca="1"/>
        <v>66.48</v>
      </c>
      <c r="F1404" vm="16493">
        <f ca="1"/>
        <v>614.97</v>
      </c>
      <c r="G1404" vm="16494">
        <f ca="1"/>
        <v>172.8</v>
      </c>
      <c r="H1404" vm="16495">
        <f ca="1"/>
        <v>332.57</v>
      </c>
      <c r="I1404" vm="862">
        <f ca="1"/>
        <v>78.709999999999994</v>
      </c>
      <c r="J1404" vm="16496">
        <f ca="1"/>
        <v>32.299999999999997</v>
      </c>
      <c r="K1404" vm="16497">
        <f ca="1"/>
        <v>15.762</v>
      </c>
      <c r="L1404" vm="16498">
        <f ca="1"/>
        <v>145.07</v>
      </c>
      <c r="M1404" vm="16499">
        <f ca="1"/>
        <v>529.75</v>
      </c>
      <c r="N1404" vm="16500">
        <f ca="1"/>
        <v>3863.16</v>
      </c>
    </row>
    <row r="1405" spans="2:14" x14ac:dyDescent="0.35">
      <c r="B1405" vm="16501">
        <f ca="1"/>
        <v>44760</v>
      </c>
      <c r="C1405" vm="16502">
        <f ca="1"/>
        <v>109.03</v>
      </c>
      <c r="D1405" vm="16503">
        <f ca="1"/>
        <v>113.76</v>
      </c>
      <c r="E1405" vm="4498">
        <f ca="1"/>
        <v>67.040000000000006</v>
      </c>
      <c r="F1405" vm="16504">
        <f ca="1"/>
        <v>637.38</v>
      </c>
      <c r="G1405" vm="16505">
        <f ca="1"/>
        <v>170.95</v>
      </c>
      <c r="H1405" vm="16506">
        <f ca="1"/>
        <v>331.01</v>
      </c>
      <c r="I1405" vm="13108">
        <f ca="1"/>
        <v>77.510000000000005</v>
      </c>
      <c r="J1405" vm="16507">
        <f ca="1"/>
        <v>33.130000000000003</v>
      </c>
      <c r="K1405" vm="16508">
        <f ca="1"/>
        <v>16.100999999999999</v>
      </c>
      <c r="L1405" vm="16509">
        <f ca="1"/>
        <v>143.31</v>
      </c>
      <c r="M1405" vm="16510">
        <f ca="1"/>
        <v>519.37</v>
      </c>
      <c r="N1405" vm="16511">
        <f ca="1"/>
        <v>3830.85</v>
      </c>
    </row>
    <row r="1406" spans="2:14" x14ac:dyDescent="0.35">
      <c r="B1406" vm="16512">
        <f ca="1"/>
        <v>44761</v>
      </c>
      <c r="C1406" vm="10219">
        <f ca="1"/>
        <v>113.81</v>
      </c>
      <c r="D1406" vm="1164">
        <f ca="1"/>
        <v>118.21</v>
      </c>
      <c r="E1406" vm="16513">
        <f ca="1"/>
        <v>69.98</v>
      </c>
      <c r="F1406" vm="16504">
        <f ca="1"/>
        <v>637.38</v>
      </c>
      <c r="G1406" vm="16514">
        <f ca="1"/>
        <v>177.23</v>
      </c>
      <c r="H1406" vm="16515">
        <f ca="1"/>
        <v>340.38</v>
      </c>
      <c r="I1406" vm="16516">
        <f ca="1"/>
        <v>78.930000000000007</v>
      </c>
      <c r="J1406" vm="16517">
        <f ca="1"/>
        <v>34.22</v>
      </c>
      <c r="K1406" vm="16518">
        <f ca="1"/>
        <v>16.992000000000001</v>
      </c>
      <c r="L1406" vm="11505">
        <f ca="1"/>
        <v>144.04</v>
      </c>
      <c r="M1406" vm="16519">
        <f ca="1"/>
        <v>533.45000000000005</v>
      </c>
      <c r="N1406" vm="16520">
        <f ca="1"/>
        <v>3936.69</v>
      </c>
    </row>
    <row r="1407" spans="2:14" x14ac:dyDescent="0.35">
      <c r="B1407" vm="16521">
        <f ca="1"/>
        <v>44762</v>
      </c>
      <c r="C1407" vm="16522">
        <f ca="1"/>
        <v>113.9</v>
      </c>
      <c r="D1407" vm="8214">
        <f ca="1"/>
        <v>122.77</v>
      </c>
      <c r="E1407" vm="16523">
        <f ca="1"/>
        <v>70.75</v>
      </c>
      <c r="F1407" vm="16524">
        <f ca="1"/>
        <v>650.19000000000005</v>
      </c>
      <c r="G1407" vm="16525">
        <f ca="1"/>
        <v>178.26</v>
      </c>
      <c r="H1407" vm="16526">
        <f ca="1"/>
        <v>341.27</v>
      </c>
      <c r="I1407" vm="13040">
        <f ca="1"/>
        <v>78.319999999999993</v>
      </c>
      <c r="J1407" vm="14641">
        <f ca="1"/>
        <v>34.14</v>
      </c>
      <c r="K1407" vm="16527">
        <f ca="1"/>
        <v>17.806999999999999</v>
      </c>
      <c r="L1407" vm="16528">
        <f ca="1"/>
        <v>141.55000000000001</v>
      </c>
      <c r="M1407" vm="16529">
        <f ca="1"/>
        <v>519.47</v>
      </c>
      <c r="N1407" vm="16530">
        <f ca="1"/>
        <v>3959.9</v>
      </c>
    </row>
    <row r="1408" spans="2:14" x14ac:dyDescent="0.35">
      <c r="B1408" vm="16531">
        <f ca="1"/>
        <v>44763</v>
      </c>
      <c r="C1408" vm="16532">
        <f ca="1"/>
        <v>114.34</v>
      </c>
      <c r="D1408" vm="16533">
        <f ca="1"/>
        <v>124.63</v>
      </c>
      <c r="E1408" vm="16534">
        <f ca="1"/>
        <v>71.819999999999993</v>
      </c>
      <c r="F1408" vm="16535">
        <f ca="1"/>
        <v>653.78</v>
      </c>
      <c r="G1408" vm="16536">
        <f ca="1"/>
        <v>180.03</v>
      </c>
      <c r="H1408" vm="16537">
        <f ca="1"/>
        <v>346.92</v>
      </c>
      <c r="I1408" vm="5459">
        <f ca="1"/>
        <v>78.87</v>
      </c>
      <c r="J1408" vm="16538">
        <f ca="1"/>
        <v>33.630000000000003</v>
      </c>
      <c r="K1408" vm="10171">
        <f ca="1"/>
        <v>18.05</v>
      </c>
      <c r="L1408" vm="16539">
        <f ca="1"/>
        <v>140.77000000000001</v>
      </c>
      <c r="M1408" vm="16540">
        <f ca="1"/>
        <v>522.46</v>
      </c>
      <c r="N1408" vm="16541">
        <f ca="1"/>
        <v>3998.95</v>
      </c>
    </row>
    <row r="1409" spans="2:14" x14ac:dyDescent="0.35">
      <c r="B1409" vm="16542">
        <f ca="1"/>
        <v>44764</v>
      </c>
      <c r="C1409" vm="16543">
        <f ca="1"/>
        <v>107.9</v>
      </c>
      <c r="D1409" vm="16544">
        <f ca="1"/>
        <v>122.42</v>
      </c>
      <c r="E1409" vm="15995">
        <f ca="1"/>
        <v>70.709999999999994</v>
      </c>
      <c r="F1409" vm="16545">
        <f ca="1"/>
        <v>649.48</v>
      </c>
      <c r="G1409" vm="16546">
        <f ca="1"/>
        <v>181.47</v>
      </c>
      <c r="H1409" vm="16547">
        <f ca="1"/>
        <v>343.88</v>
      </c>
      <c r="I1409" vm="644">
        <f ca="1"/>
        <v>80.25</v>
      </c>
      <c r="J1409" vm="9386">
        <f ca="1"/>
        <v>35.07</v>
      </c>
      <c r="K1409" vm="16548">
        <f ca="1"/>
        <v>17.318999999999999</v>
      </c>
      <c r="L1409" vm="2383">
        <f ca="1"/>
        <v>143.02000000000001</v>
      </c>
      <c r="M1409" vm="16549">
        <f ca="1"/>
        <v>521.41</v>
      </c>
      <c r="N1409" vm="16550">
        <f ca="1"/>
        <v>3961.63</v>
      </c>
    </row>
    <row r="1410" spans="2:14" x14ac:dyDescent="0.35">
      <c r="B1410" vm="16551">
        <f ca="1"/>
        <v>44767</v>
      </c>
      <c r="C1410" vm="16552">
        <f ca="1"/>
        <v>107.51</v>
      </c>
      <c r="D1410" vm="16553">
        <f ca="1"/>
        <v>121.14</v>
      </c>
      <c r="E1410" vm="16554">
        <f ca="1"/>
        <v>69.86</v>
      </c>
      <c r="F1410" vm="16555">
        <f ca="1"/>
        <v>641.70000000000005</v>
      </c>
      <c r="G1410" vm="16556">
        <f ca="1"/>
        <v>181.26</v>
      </c>
      <c r="H1410" vm="16557">
        <f ca="1"/>
        <v>344.21</v>
      </c>
      <c r="I1410" vm="16558">
        <f ca="1"/>
        <v>80.98</v>
      </c>
      <c r="J1410" vm="15138">
        <f ca="1"/>
        <v>36.17</v>
      </c>
      <c r="K1410" vm="16559">
        <f ca="1"/>
        <v>17.024000000000001</v>
      </c>
      <c r="L1410" vm="14160">
        <f ca="1"/>
        <v>143.99</v>
      </c>
      <c r="M1410" vm="16560">
        <f ca="1"/>
        <v>529.47</v>
      </c>
      <c r="N1410" vm="16561">
        <f ca="1"/>
        <v>3966.84</v>
      </c>
    </row>
    <row r="1411" spans="2:14" x14ac:dyDescent="0.35">
      <c r="B1411" vm="16562">
        <f ca="1"/>
        <v>44768</v>
      </c>
      <c r="C1411" vm="16563">
        <f ca="1"/>
        <v>105.02</v>
      </c>
      <c r="D1411" vm="16564">
        <f ca="1"/>
        <v>114.81</v>
      </c>
      <c r="E1411" vm="16565">
        <f ca="1"/>
        <v>70.16</v>
      </c>
      <c r="F1411" vm="16566">
        <f ca="1"/>
        <v>652.21</v>
      </c>
      <c r="G1411" vm="16567">
        <f ca="1"/>
        <v>181.42</v>
      </c>
      <c r="H1411" vm="14113">
        <f ca="1"/>
        <v>341.28</v>
      </c>
      <c r="I1411" vm="16568">
        <f ca="1"/>
        <v>79.91</v>
      </c>
      <c r="J1411" vm="7409">
        <f ca="1"/>
        <v>35.6</v>
      </c>
      <c r="K1411" vm="16569">
        <f ca="1"/>
        <v>16.533000000000001</v>
      </c>
      <c r="L1411" vm="16570">
        <f ca="1"/>
        <v>144.27000000000001</v>
      </c>
      <c r="M1411" vm="16571">
        <f ca="1"/>
        <v>531.59</v>
      </c>
      <c r="N1411" vm="16572">
        <f ca="1"/>
        <v>3921.05</v>
      </c>
    </row>
    <row r="1412" spans="2:14" x14ac:dyDescent="0.35">
      <c r="B1412" vm="16573">
        <f ca="1"/>
        <v>44769</v>
      </c>
      <c r="C1412" vm="16574">
        <f ca="1"/>
        <v>113.06</v>
      </c>
      <c r="D1412" vm="16575">
        <f ca="1"/>
        <v>120.97</v>
      </c>
      <c r="E1412" vm="16576">
        <f ca="1"/>
        <v>72.36</v>
      </c>
      <c r="F1412" vm="16577">
        <f ca="1"/>
        <v>711.31</v>
      </c>
      <c r="G1412" vm="16578">
        <f ca="1"/>
        <v>183.66</v>
      </c>
      <c r="H1412" vm="16579">
        <f ca="1"/>
        <v>343.27</v>
      </c>
      <c r="I1412" vm="16429">
        <f ca="1"/>
        <v>80.38</v>
      </c>
      <c r="J1412" vm="6081">
        <f ca="1"/>
        <v>36.33</v>
      </c>
      <c r="K1412" vm="10277">
        <f ca="1"/>
        <v>17.79</v>
      </c>
      <c r="L1412" vm="16176">
        <f ca="1"/>
        <v>145.63999999999999</v>
      </c>
      <c r="M1412" vm="16580">
        <f ca="1"/>
        <v>534.61</v>
      </c>
      <c r="N1412" vm="16581">
        <f ca="1"/>
        <v>4023.61</v>
      </c>
    </row>
    <row r="1413" spans="2:14" x14ac:dyDescent="0.35">
      <c r="B1413" vm="16582">
        <f ca="1"/>
        <v>44770</v>
      </c>
      <c r="C1413" vm="16583">
        <f ca="1"/>
        <v>114.22</v>
      </c>
      <c r="D1413" vm="16584">
        <f ca="1"/>
        <v>122.28</v>
      </c>
      <c r="E1413" vm="16585">
        <f ca="1"/>
        <v>73.56</v>
      </c>
      <c r="F1413" vm="16586">
        <f ca="1"/>
        <v>703.74</v>
      </c>
      <c r="G1413" vm="16126">
        <f ca="1"/>
        <v>190.44</v>
      </c>
      <c r="H1413" vm="16587">
        <f ca="1"/>
        <v>352.45</v>
      </c>
      <c r="I1413" vm="16588">
        <f ca="1"/>
        <v>84.54</v>
      </c>
      <c r="J1413" vm="1459">
        <f ca="1"/>
        <v>35.71</v>
      </c>
      <c r="K1413" vm="16589">
        <f ca="1"/>
        <v>17.984000000000002</v>
      </c>
      <c r="L1413" vm="16590">
        <f ca="1"/>
        <v>148.06</v>
      </c>
      <c r="M1413" vm="16591">
        <f ca="1"/>
        <v>541.49</v>
      </c>
      <c r="N1413" vm="16592">
        <f ca="1"/>
        <v>4072.43</v>
      </c>
    </row>
    <row r="1414" spans="2:14" x14ac:dyDescent="0.35">
      <c r="B1414" vm="16593">
        <f ca="1"/>
        <v>44771</v>
      </c>
      <c r="C1414" vm="1024">
        <f ca="1"/>
        <v>116.32</v>
      </c>
      <c r="D1414" vm="16594">
        <f ca="1"/>
        <v>134.94999999999999</v>
      </c>
      <c r="E1414" vm="16595">
        <f ca="1"/>
        <v>73.42</v>
      </c>
      <c r="F1414" vm="12511">
        <f ca="1"/>
        <v>694.43</v>
      </c>
      <c r="G1414" vm="16596">
        <f ca="1"/>
        <v>192.46</v>
      </c>
      <c r="H1414" vm="6135">
        <f ca="1"/>
        <v>353.79</v>
      </c>
      <c r="I1414" vm="16597">
        <f ca="1"/>
        <v>84.49</v>
      </c>
      <c r="J1414" vm="16598">
        <f ca="1"/>
        <v>37.03</v>
      </c>
      <c r="K1414" vm="16599">
        <f ca="1"/>
        <v>18.163</v>
      </c>
      <c r="L1414" vm="16600">
        <f ca="1"/>
        <v>138.91</v>
      </c>
      <c r="M1414" vm="16601">
        <f ca="1"/>
        <v>542.34</v>
      </c>
      <c r="N1414" vm="16602">
        <f ca="1"/>
        <v>4130.29</v>
      </c>
    </row>
    <row r="1415" spans="2:14" x14ac:dyDescent="0.35">
      <c r="B1415" vm="16603">
        <f ca="1"/>
        <v>44774</v>
      </c>
      <c r="C1415" vm="16604">
        <f ca="1"/>
        <v>114.86</v>
      </c>
      <c r="D1415" vm="16605">
        <f ca="1"/>
        <v>135.38999999999999</v>
      </c>
      <c r="E1415" vm="10809">
        <f ca="1"/>
        <v>73.16</v>
      </c>
      <c r="F1415" vm="12895">
        <f ca="1"/>
        <v>688.71</v>
      </c>
      <c r="G1415" vm="16606">
        <f ca="1"/>
        <v>191.99</v>
      </c>
      <c r="H1415" vm="16607">
        <f ca="1"/>
        <v>350.54</v>
      </c>
      <c r="I1415" vm="16608">
        <f ca="1"/>
        <v>85.31</v>
      </c>
      <c r="J1415" vm="932">
        <f ca="1"/>
        <v>36.4</v>
      </c>
      <c r="K1415" vm="16609">
        <f ca="1"/>
        <v>18.440999999999999</v>
      </c>
      <c r="L1415" vm="16610">
        <f ca="1"/>
        <v>142.9</v>
      </c>
      <c r="M1415" vm="16611">
        <f ca="1"/>
        <v>535.38</v>
      </c>
      <c r="N1415" vm="16612">
        <f ca="1"/>
        <v>4118.63</v>
      </c>
    </row>
    <row r="1416" spans="2:14" x14ac:dyDescent="0.35">
      <c r="B1416" vm="16613">
        <f ca="1"/>
        <v>44775</v>
      </c>
      <c r="C1416" vm="16614">
        <f ca="1"/>
        <v>115.13</v>
      </c>
      <c r="D1416" vm="16615">
        <f ca="1"/>
        <v>134.16</v>
      </c>
      <c r="E1416" vm="16616">
        <f ca="1"/>
        <v>71.790000000000006</v>
      </c>
      <c r="F1416" vm="16617">
        <f ca="1"/>
        <v>696.16</v>
      </c>
      <c r="G1416" vm="16618">
        <f ca="1"/>
        <v>189.12</v>
      </c>
      <c r="H1416" vm="16619">
        <f ca="1"/>
        <v>349.01</v>
      </c>
      <c r="I1416" vm="16620">
        <f ca="1"/>
        <v>85.67</v>
      </c>
      <c r="J1416" vm="7435">
        <f ca="1"/>
        <v>36.69</v>
      </c>
      <c r="K1416" vm="16621">
        <f ca="1"/>
        <v>18.526</v>
      </c>
      <c r="L1416" vm="16247">
        <f ca="1"/>
        <v>141.94999999999999</v>
      </c>
      <c r="M1416" vm="16622">
        <f ca="1"/>
        <v>535.46</v>
      </c>
      <c r="N1416" vm="16623">
        <f ca="1"/>
        <v>4091.19</v>
      </c>
    </row>
    <row r="1417" spans="2:14" x14ac:dyDescent="0.35">
      <c r="B1417" vm="16624">
        <f ca="1"/>
        <v>44776</v>
      </c>
      <c r="C1417" vm="16625">
        <f ca="1"/>
        <v>118.08</v>
      </c>
      <c r="D1417" vm="16626">
        <f ca="1"/>
        <v>139.52000000000001</v>
      </c>
      <c r="E1417" vm="4090">
        <f ca="1"/>
        <v>72.81</v>
      </c>
      <c r="F1417" vm="16627">
        <f ca="1"/>
        <v>697</v>
      </c>
      <c r="G1417" vm="1753">
        <f ca="1"/>
        <v>191.5</v>
      </c>
      <c r="H1417" vm="16628">
        <f ca="1"/>
        <v>354.13</v>
      </c>
      <c r="I1417" vm="16629">
        <f ca="1"/>
        <v>86.46</v>
      </c>
      <c r="J1417" vm="16630">
        <f ca="1"/>
        <v>35.54</v>
      </c>
      <c r="K1417" vm="16631">
        <f ca="1"/>
        <v>18.893000000000001</v>
      </c>
      <c r="L1417" vm="13975">
        <f ca="1"/>
        <v>144.88</v>
      </c>
      <c r="M1417" vm="16632">
        <f ca="1"/>
        <v>540.65</v>
      </c>
      <c r="N1417" vm="16633">
        <f ca="1"/>
        <v>4155.17</v>
      </c>
    </row>
    <row r="1418" spans="2:14" x14ac:dyDescent="0.35">
      <c r="B1418" vm="16634">
        <f ca="1"/>
        <v>44777</v>
      </c>
      <c r="C1418" vm="16635">
        <f ca="1"/>
        <v>118.19</v>
      </c>
      <c r="D1418" vm="16636">
        <f ca="1"/>
        <v>142.57</v>
      </c>
      <c r="E1418" vm="16637">
        <f ca="1"/>
        <v>59.28</v>
      </c>
      <c r="F1418" vm="16638">
        <f ca="1"/>
        <v>697.51</v>
      </c>
      <c r="G1418" vm="16639">
        <f ca="1"/>
        <v>192.44</v>
      </c>
      <c r="H1418" vm="16640">
        <f ca="1"/>
        <v>356.07</v>
      </c>
      <c r="I1418" vm="16641">
        <f ca="1"/>
        <v>87.98</v>
      </c>
      <c r="J1418" vm="16642">
        <f ca="1"/>
        <v>33.950000000000003</v>
      </c>
      <c r="K1418" vm="16643">
        <f ca="1"/>
        <v>19.215</v>
      </c>
      <c r="L1418" vm="16644">
        <f ca="1"/>
        <v>144.65</v>
      </c>
      <c r="M1418" vm="16645">
        <f ca="1"/>
        <v>533.75</v>
      </c>
      <c r="N1418" vm="16646">
        <f ca="1"/>
        <v>4151.9399999999996</v>
      </c>
    </row>
    <row r="1419" spans="2:14" x14ac:dyDescent="0.35">
      <c r="B1419" vm="16647">
        <f ca="1"/>
        <v>44778</v>
      </c>
      <c r="C1419" vm="8527">
        <f ca="1"/>
        <v>117.47</v>
      </c>
      <c r="D1419" vm="14220">
        <f ca="1"/>
        <v>140.80000000000001</v>
      </c>
      <c r="E1419" vm="16648">
        <f ca="1"/>
        <v>56.36</v>
      </c>
      <c r="F1419" vm="16649">
        <f ca="1"/>
        <v>697.02</v>
      </c>
      <c r="G1419" vm="16650">
        <f ca="1"/>
        <v>192.27</v>
      </c>
      <c r="H1419" vm="16651">
        <f ca="1"/>
        <v>357.51</v>
      </c>
      <c r="I1419" vm="16641">
        <f ca="1"/>
        <v>87.98</v>
      </c>
      <c r="J1419" vm="16652">
        <f ca="1"/>
        <v>34.659999999999997</v>
      </c>
      <c r="K1419" vm="16653">
        <f ca="1"/>
        <v>18.989000000000001</v>
      </c>
      <c r="L1419" vm="16654">
        <f ca="1"/>
        <v>144.72</v>
      </c>
      <c r="M1419" vm="16655">
        <f ca="1"/>
        <v>535.05999999999995</v>
      </c>
      <c r="N1419" vm="16656">
        <f ca="1"/>
        <v>4145.1899999999996</v>
      </c>
    </row>
    <row r="1420" spans="2:14" x14ac:dyDescent="0.35">
      <c r="B1420" vm="16657">
        <f ca="1"/>
        <v>44781</v>
      </c>
      <c r="C1420" vm="16658">
        <f ca="1"/>
        <v>117.3</v>
      </c>
      <c r="D1420" vm="16659">
        <f ca="1"/>
        <v>139.41</v>
      </c>
      <c r="E1420" vm="16660">
        <f ca="1"/>
        <v>56.98</v>
      </c>
      <c r="F1420" vm="16661">
        <f ca="1"/>
        <v>697.75</v>
      </c>
      <c r="G1420" vm="16662">
        <f ca="1"/>
        <v>193.97</v>
      </c>
      <c r="H1420" vm="16663">
        <f ca="1"/>
        <v>352.16</v>
      </c>
      <c r="I1420" vm="16664">
        <f ca="1"/>
        <v>87.52</v>
      </c>
      <c r="J1420" vm="16665">
        <f ca="1"/>
        <v>34.65</v>
      </c>
      <c r="K1420" vm="16666">
        <f ca="1"/>
        <v>17.792999999999999</v>
      </c>
      <c r="L1420" vm="16486">
        <f ca="1"/>
        <v>145.27000000000001</v>
      </c>
      <c r="M1420" vm="16667">
        <f ca="1"/>
        <v>536.6</v>
      </c>
      <c r="N1420" vm="16668">
        <f ca="1"/>
        <v>4140.0600000000004</v>
      </c>
    </row>
    <row r="1421" spans="2:14" x14ac:dyDescent="0.35">
      <c r="B1421" vm="16669">
        <f ca="1"/>
        <v>44782</v>
      </c>
      <c r="C1421" vm="8517">
        <f ca="1"/>
        <v>116.63</v>
      </c>
      <c r="D1421" vm="16670">
        <f ca="1"/>
        <v>137.83000000000001</v>
      </c>
      <c r="E1421" vm="6543">
        <f ca="1"/>
        <v>54.88</v>
      </c>
      <c r="F1421" vm="15474">
        <f ca="1"/>
        <v>709.46</v>
      </c>
      <c r="G1421" vm="16671">
        <f ca="1"/>
        <v>194.09</v>
      </c>
      <c r="H1421" vm="16672">
        <f ca="1"/>
        <v>346.54</v>
      </c>
      <c r="I1421" vm="16673">
        <f ca="1"/>
        <v>88.92</v>
      </c>
      <c r="J1421" vm="8886">
        <f ca="1"/>
        <v>34.99</v>
      </c>
      <c r="K1421" vm="16674">
        <f ca="1"/>
        <v>17.085999999999999</v>
      </c>
      <c r="L1421" vm="16675">
        <f ca="1"/>
        <v>144.93</v>
      </c>
      <c r="M1421" vm="16676">
        <f ca="1"/>
        <v>537.26</v>
      </c>
      <c r="N1421" vm="16677">
        <f ca="1"/>
        <v>4122.47</v>
      </c>
    </row>
    <row r="1422" spans="2:14" x14ac:dyDescent="0.35">
      <c r="B1422" vm="16678">
        <f ca="1"/>
        <v>44783</v>
      </c>
      <c r="C1422" vm="8702">
        <f ca="1"/>
        <v>119.7</v>
      </c>
      <c r="D1422" vm="16679">
        <f ca="1"/>
        <v>142.69</v>
      </c>
      <c r="E1422" vm="16680">
        <f ca="1"/>
        <v>57.48</v>
      </c>
      <c r="F1422" vm="16681">
        <f ca="1"/>
        <v>689.31</v>
      </c>
      <c r="G1422" vm="16682">
        <f ca="1"/>
        <v>197.23</v>
      </c>
      <c r="H1422" vm="16683">
        <f ca="1"/>
        <v>353.38</v>
      </c>
      <c r="I1422" vm="16684">
        <f ca="1"/>
        <v>89.78</v>
      </c>
      <c r="J1422" vm="16685">
        <f ca="1"/>
        <v>34.92</v>
      </c>
      <c r="K1422" vm="16686">
        <f ca="1"/>
        <v>18.097000000000001</v>
      </c>
      <c r="L1422" vm="16687">
        <f ca="1"/>
        <v>146.30000000000001</v>
      </c>
      <c r="M1422" vm="16688">
        <f ca="1"/>
        <v>537.72</v>
      </c>
      <c r="N1422" vm="16689">
        <f ca="1"/>
        <v>4210.24</v>
      </c>
    </row>
    <row r="1423" spans="2:14" x14ac:dyDescent="0.35">
      <c r="B1423" vm="16690">
        <f ca="1"/>
        <v>44784</v>
      </c>
      <c r="C1423" vm="16691">
        <f ca="1"/>
        <v>118.84</v>
      </c>
      <c r="D1423" vm="11682">
        <f ca="1"/>
        <v>140.63999999999999</v>
      </c>
      <c r="E1423" vm="10097">
        <f ca="1"/>
        <v>57.78</v>
      </c>
      <c r="F1423" vm="16692">
        <f ca="1"/>
        <v>704.56</v>
      </c>
      <c r="G1423" vm="16693">
        <f ca="1"/>
        <v>198.51</v>
      </c>
      <c r="H1423" vm="16694">
        <f ca="1"/>
        <v>350.58</v>
      </c>
      <c r="I1423" vm="16695">
        <f ca="1"/>
        <v>89.43</v>
      </c>
      <c r="J1423" vm="8923">
        <f ca="1"/>
        <v>36.89</v>
      </c>
      <c r="K1423" vm="16696">
        <f ca="1"/>
        <v>17.942</v>
      </c>
      <c r="L1423" vm="16697">
        <f ca="1"/>
        <v>145.26</v>
      </c>
      <c r="M1423" vm="16698">
        <f ca="1"/>
        <v>532.86</v>
      </c>
      <c r="N1423" vm="16699">
        <f ca="1"/>
        <v>4207.2700000000004</v>
      </c>
    </row>
    <row r="1424" spans="2:14" x14ac:dyDescent="0.35">
      <c r="B1424" vm="16700">
        <f ca="1"/>
        <v>44785</v>
      </c>
      <c r="C1424" vm="16701">
        <f ca="1"/>
        <v>121.68</v>
      </c>
      <c r="D1424" vm="14282">
        <f ca="1"/>
        <v>143.55000000000001</v>
      </c>
      <c r="E1424" vm="16702">
        <f ca="1"/>
        <v>59.47</v>
      </c>
      <c r="F1424" vm="16703">
        <f ca="1"/>
        <v>714.79</v>
      </c>
      <c r="G1424" vm="16704">
        <f ca="1"/>
        <v>200.87</v>
      </c>
      <c r="H1424" vm="16705">
        <f ca="1"/>
        <v>354.27</v>
      </c>
      <c r="I1424" vm="3212">
        <f ca="1"/>
        <v>90.47</v>
      </c>
      <c r="J1424" vm="16706">
        <f ca="1"/>
        <v>37.14</v>
      </c>
      <c r="K1424" vm="16707">
        <f ca="1"/>
        <v>18.709</v>
      </c>
      <c r="L1424" vm="16708">
        <f ca="1"/>
        <v>146.66999999999999</v>
      </c>
      <c r="M1424" vm="16709">
        <f ca="1"/>
        <v>543.70000000000005</v>
      </c>
      <c r="N1424" vm="16710">
        <f ca="1"/>
        <v>4280.1499999999996</v>
      </c>
    </row>
    <row r="1425" spans="2:14" x14ac:dyDescent="0.35">
      <c r="B1425" vm="16711">
        <f ca="1"/>
        <v>44788</v>
      </c>
      <c r="C1425" vm="16712">
        <f ca="1"/>
        <v>122.08</v>
      </c>
      <c r="D1425" vm="14033">
        <f ca="1"/>
        <v>143.18</v>
      </c>
      <c r="E1425" vm="16713">
        <f ca="1"/>
        <v>60.25</v>
      </c>
      <c r="F1425" vm="16714">
        <f ca="1"/>
        <v>712.04</v>
      </c>
      <c r="G1425" vm="12312">
        <f ca="1"/>
        <v>202.25</v>
      </c>
      <c r="H1425" vm="16715">
        <f ca="1"/>
        <v>359.95</v>
      </c>
      <c r="I1425" vm="633">
        <f ca="1"/>
        <v>91</v>
      </c>
      <c r="J1425" vm="4619">
        <f ca="1"/>
        <v>35.76</v>
      </c>
      <c r="K1425" vm="16716">
        <f ca="1"/>
        <v>19.032</v>
      </c>
      <c r="L1425" vm="16717">
        <f ca="1"/>
        <v>148.56</v>
      </c>
      <c r="M1425" vm="16718">
        <f ca="1"/>
        <v>544.64</v>
      </c>
      <c r="N1425" vm="16719">
        <f ca="1"/>
        <v>4297.1400000000003</v>
      </c>
    </row>
    <row r="1426" spans="2:14" x14ac:dyDescent="0.35">
      <c r="B1426" vm="16720">
        <f ca="1"/>
        <v>44789</v>
      </c>
      <c r="C1426" vm="16721">
        <f ca="1"/>
        <v>121.7</v>
      </c>
      <c r="D1426" vm="16722">
        <f ca="1"/>
        <v>144.78</v>
      </c>
      <c r="E1426" vm="16723">
        <f ca="1"/>
        <v>61.69</v>
      </c>
      <c r="F1426" vm="16724">
        <f ca="1"/>
        <v>706.9</v>
      </c>
      <c r="G1426" vm="16725">
        <f ca="1"/>
        <v>203.67</v>
      </c>
      <c r="H1426" vm="16726">
        <f ca="1"/>
        <v>359.25</v>
      </c>
      <c r="I1426" vm="16727">
        <f ca="1"/>
        <v>90.53</v>
      </c>
      <c r="J1426" vm="7447">
        <f ca="1"/>
        <v>35.58</v>
      </c>
      <c r="K1426" vm="16728">
        <f ca="1"/>
        <v>18.879000000000001</v>
      </c>
      <c r="L1426" vm="16729">
        <f ca="1"/>
        <v>149.93</v>
      </c>
      <c r="M1426" vm="16730">
        <f ca="1"/>
        <v>546.12</v>
      </c>
      <c r="N1426" vm="16731">
        <f ca="1"/>
        <v>4305.2</v>
      </c>
    </row>
    <row r="1427" spans="2:14" x14ac:dyDescent="0.35">
      <c r="B1427" vm="16732">
        <f ca="1"/>
        <v>44790</v>
      </c>
      <c r="C1427" vm="16733">
        <f ca="1"/>
        <v>119.55</v>
      </c>
      <c r="D1427" vm="16734">
        <f ca="1"/>
        <v>142.1</v>
      </c>
      <c r="E1427" vm="16735">
        <f ca="1"/>
        <v>61.25</v>
      </c>
      <c r="F1427" vm="16736">
        <f ca="1"/>
        <v>701.42</v>
      </c>
      <c r="G1427" vm="16737">
        <f ca="1"/>
        <v>202.78</v>
      </c>
      <c r="H1427" vm="16738">
        <f ca="1"/>
        <v>355.33</v>
      </c>
      <c r="I1427" vm="781">
        <f ca="1"/>
        <v>90.2</v>
      </c>
      <c r="J1427" vm="16739">
        <f ca="1"/>
        <v>35.4</v>
      </c>
      <c r="K1427" vm="16740">
        <f ca="1"/>
        <v>18.335000000000001</v>
      </c>
      <c r="L1427" vm="16741">
        <f ca="1"/>
        <v>149.24</v>
      </c>
      <c r="M1427" vm="16742">
        <f ca="1"/>
        <v>545</v>
      </c>
      <c r="N1427" vm="16743">
        <f ca="1"/>
        <v>4274.04</v>
      </c>
    </row>
    <row r="1428" spans="2:14" x14ac:dyDescent="0.35">
      <c r="B1428" vm="16744">
        <f ca="1"/>
        <v>44791</v>
      </c>
      <c r="C1428" vm="16745">
        <f ca="1"/>
        <v>120.17</v>
      </c>
      <c r="D1428" vm="16331">
        <f ca="1"/>
        <v>142.30000000000001</v>
      </c>
      <c r="E1428" vm="16746">
        <f ca="1"/>
        <v>61.71</v>
      </c>
      <c r="F1428" vm="16747">
        <f ca="1"/>
        <v>696.79</v>
      </c>
      <c r="G1428" vm="16748">
        <f ca="1"/>
        <v>203.72</v>
      </c>
      <c r="H1428" vm="16749">
        <f ca="1"/>
        <v>357.36</v>
      </c>
      <c r="I1428" vm="12225">
        <f ca="1"/>
        <v>90.24</v>
      </c>
      <c r="J1428" vm="787">
        <f ca="1"/>
        <v>37.130000000000003</v>
      </c>
      <c r="K1428" vm="16750">
        <f ca="1"/>
        <v>18.773</v>
      </c>
      <c r="L1428" vm="16751">
        <f ca="1"/>
        <v>149.77000000000001</v>
      </c>
      <c r="M1428" vm="16752">
        <f ca="1"/>
        <v>545.22</v>
      </c>
      <c r="N1428" vm="16753">
        <f ca="1"/>
        <v>4283.74</v>
      </c>
    </row>
    <row r="1429" spans="2:14" x14ac:dyDescent="0.35">
      <c r="B1429" vm="16754">
        <f ca="1"/>
        <v>44792</v>
      </c>
      <c r="C1429" vm="16755">
        <f ca="1"/>
        <v>117.21</v>
      </c>
      <c r="D1429" vm="16756">
        <f ca="1"/>
        <v>138.22999999999999</v>
      </c>
      <c r="E1429" vm="2558">
        <f ca="1"/>
        <v>61.91</v>
      </c>
      <c r="F1429" vm="16757">
        <f ca="1"/>
        <v>675.35</v>
      </c>
      <c r="G1429" vm="16758">
        <f ca="1"/>
        <v>201.56</v>
      </c>
      <c r="H1429" vm="16759">
        <f ca="1"/>
        <v>354.28</v>
      </c>
      <c r="I1429" vm="14299">
        <f ca="1"/>
        <v>89.71</v>
      </c>
      <c r="J1429" vm="16760">
        <f ca="1"/>
        <v>37.119999999999997</v>
      </c>
      <c r="K1429" vm="16761">
        <f ca="1"/>
        <v>17.849</v>
      </c>
      <c r="L1429" vm="16762">
        <f ca="1"/>
        <v>149.72999999999999</v>
      </c>
      <c r="M1429" vm="16763">
        <f ca="1"/>
        <v>548.32000000000005</v>
      </c>
      <c r="N1429" vm="16764">
        <f ca="1"/>
        <v>4228.4799999999996</v>
      </c>
    </row>
    <row r="1430" spans="2:14" x14ac:dyDescent="0.35">
      <c r="B1430" vm="16765">
        <f ca="1"/>
        <v>44795</v>
      </c>
      <c r="C1430" vm="16766">
        <f ca="1"/>
        <v>114.24</v>
      </c>
      <c r="D1430" vm="16767">
        <f ca="1"/>
        <v>133.22</v>
      </c>
      <c r="E1430" vm="9074">
        <f ca="1"/>
        <v>60.49</v>
      </c>
      <c r="F1430" vm="16768">
        <f ca="1"/>
        <v>667.78</v>
      </c>
      <c r="G1430" vm="16769">
        <f ca="1"/>
        <v>197.84</v>
      </c>
      <c r="H1430" vm="16770">
        <f ca="1"/>
        <v>345.51</v>
      </c>
      <c r="I1430" vm="16771">
        <f ca="1"/>
        <v>88.54</v>
      </c>
      <c r="J1430" vm="298">
        <f ca="1"/>
        <v>36.92</v>
      </c>
      <c r="K1430" vm="16772">
        <f ca="1"/>
        <v>17.033999999999999</v>
      </c>
      <c r="L1430" vm="16773">
        <f ca="1"/>
        <v>149.33000000000001</v>
      </c>
      <c r="M1430" vm="16774">
        <f ca="1"/>
        <v>544.57000000000005</v>
      </c>
      <c r="N1430" vm="16775">
        <f ca="1"/>
        <v>4137.99</v>
      </c>
    </row>
    <row r="1431" spans="2:14" x14ac:dyDescent="0.35">
      <c r="B1431" vm="16776">
        <f ca="1"/>
        <v>44796</v>
      </c>
      <c r="C1431" vm="16777">
        <f ca="1"/>
        <v>113.86</v>
      </c>
      <c r="D1431" vm="16778">
        <f ca="1"/>
        <v>133.62</v>
      </c>
      <c r="E1431" vm="16779">
        <f ca="1"/>
        <v>61.06</v>
      </c>
      <c r="F1431" vm="16780">
        <f ca="1"/>
        <v>671.47</v>
      </c>
      <c r="G1431" vm="16781">
        <f ca="1"/>
        <v>197.55</v>
      </c>
      <c r="H1431" vm="16782">
        <f ca="1"/>
        <v>340.89</v>
      </c>
      <c r="I1431" vm="16641">
        <f ca="1"/>
        <v>87.98</v>
      </c>
      <c r="J1431" vm="16783">
        <f ca="1"/>
        <v>39.36</v>
      </c>
      <c r="K1431" vm="16784">
        <f ca="1"/>
        <v>17.181000000000001</v>
      </c>
      <c r="L1431" vm="16785">
        <f ca="1"/>
        <v>146.44999999999999</v>
      </c>
      <c r="M1431" vm="16786">
        <f ca="1"/>
        <v>535.79999999999995</v>
      </c>
      <c r="N1431" vm="16787">
        <f ca="1"/>
        <v>4128.7299999999996</v>
      </c>
    </row>
    <row r="1432" spans="2:14" x14ac:dyDescent="0.35">
      <c r="B1432" vm="16788">
        <f ca="1"/>
        <v>44797</v>
      </c>
      <c r="C1432" vm="16789">
        <f ca="1"/>
        <v>113.69</v>
      </c>
      <c r="D1432" vm="2035">
        <f ca="1"/>
        <v>133.80000000000001</v>
      </c>
      <c r="E1432" vm="16790">
        <f ca="1"/>
        <v>61.3</v>
      </c>
      <c r="F1432" vm="16791">
        <f ca="1"/>
        <v>689.53</v>
      </c>
      <c r="G1432" vm="15678">
        <f ca="1"/>
        <v>197.79</v>
      </c>
      <c r="H1432" vm="16792">
        <f ca="1"/>
        <v>339.71</v>
      </c>
      <c r="I1432" vm="16793">
        <f ca="1"/>
        <v>88.71</v>
      </c>
      <c r="J1432" vm="2884">
        <f ca="1"/>
        <v>39.909999999999997</v>
      </c>
      <c r="K1432" vm="16794">
        <f ca="1"/>
        <v>17.222000000000001</v>
      </c>
      <c r="L1432" vm="16795">
        <f ca="1"/>
        <v>145.82</v>
      </c>
      <c r="M1432" vm="16796">
        <f ca="1"/>
        <v>536.46</v>
      </c>
      <c r="N1432" vm="16797">
        <f ca="1"/>
        <v>4140.7700000000004</v>
      </c>
    </row>
    <row r="1433" spans="2:14" x14ac:dyDescent="0.35">
      <c r="B1433" vm="16798">
        <f ca="1"/>
        <v>44798</v>
      </c>
      <c r="C1433" vm="1126">
        <f ca="1"/>
        <v>116.65</v>
      </c>
      <c r="D1433" vm="16799">
        <f ca="1"/>
        <v>137.28</v>
      </c>
      <c r="E1433" vm="9074">
        <f ca="1"/>
        <v>60.49</v>
      </c>
      <c r="F1433" vm="16800">
        <f ca="1"/>
        <v>670.74</v>
      </c>
      <c r="G1433" vm="16801">
        <f ca="1"/>
        <v>200.43</v>
      </c>
      <c r="H1433" vm="16802">
        <f ca="1"/>
        <v>344.67</v>
      </c>
      <c r="I1433" vm="12425">
        <f ca="1"/>
        <v>89.39</v>
      </c>
      <c r="J1433" vm="6151">
        <f ca="1"/>
        <v>40.17</v>
      </c>
      <c r="K1433" vm="16803">
        <f ca="1"/>
        <v>17.913</v>
      </c>
      <c r="L1433" vm="16475">
        <f ca="1"/>
        <v>145.69999999999999</v>
      </c>
      <c r="M1433" vm="16804">
        <f ca="1"/>
        <v>541.57000000000005</v>
      </c>
      <c r="N1433" vm="16805">
        <f ca="1"/>
        <v>4199.12</v>
      </c>
    </row>
    <row r="1434" spans="2:14" x14ac:dyDescent="0.35">
      <c r="B1434" vm="16806">
        <f ca="1"/>
        <v>44799</v>
      </c>
      <c r="C1434" vm="16807">
        <f ca="1"/>
        <v>110.34</v>
      </c>
      <c r="D1434" vm="16808">
        <f ca="1"/>
        <v>130.75</v>
      </c>
      <c r="E1434" vm="16809">
        <f ca="1"/>
        <v>57.71</v>
      </c>
      <c r="F1434" vm="16810">
        <f ca="1"/>
        <v>659.33</v>
      </c>
      <c r="G1434" vm="16811">
        <f ca="1"/>
        <v>193.06</v>
      </c>
      <c r="H1434" vm="16812">
        <f ca="1"/>
        <v>331.96</v>
      </c>
      <c r="I1434" vm="1423">
        <f ca="1"/>
        <v>88.06</v>
      </c>
      <c r="J1434" vm="16813">
        <f ca="1"/>
        <v>39.42</v>
      </c>
      <c r="K1434" vm="16814">
        <f ca="1"/>
        <v>16.260000000000002</v>
      </c>
      <c r="L1434" vm="16815">
        <f ca="1"/>
        <v>142.29</v>
      </c>
      <c r="M1434" vm="16816">
        <f ca="1"/>
        <v>529.25</v>
      </c>
      <c r="N1434" vm="16817">
        <f ca="1"/>
        <v>4057.66</v>
      </c>
    </row>
    <row r="1435" spans="2:14" x14ac:dyDescent="0.35">
      <c r="B1435" vm="16818">
        <f ca="1"/>
        <v>44802</v>
      </c>
      <c r="C1435" vm="426">
        <f ca="1"/>
        <v>109.42</v>
      </c>
      <c r="D1435" vm="16819">
        <f ca="1"/>
        <v>129.79</v>
      </c>
      <c r="E1435" vm="16820">
        <f ca="1"/>
        <v>56.8</v>
      </c>
      <c r="F1435" vm="16821">
        <f ca="1"/>
        <v>655.89</v>
      </c>
      <c r="G1435" vm="16822">
        <f ca="1"/>
        <v>192.42</v>
      </c>
      <c r="H1435" vm="16823">
        <f ca="1"/>
        <v>329.35</v>
      </c>
      <c r="I1435" vm="16824">
        <f ca="1"/>
        <v>87.02</v>
      </c>
      <c r="J1435" vm="16825">
        <f ca="1"/>
        <v>40.380000000000003</v>
      </c>
      <c r="K1435" vm="16826">
        <f ca="1"/>
        <v>15.801</v>
      </c>
      <c r="L1435" vm="16827">
        <f ca="1"/>
        <v>141.69</v>
      </c>
      <c r="M1435" vm="16828">
        <f ca="1"/>
        <v>529.77</v>
      </c>
      <c r="N1435" vm="16829">
        <f ca="1"/>
        <v>4030.61</v>
      </c>
    </row>
    <row r="1436" spans="2:14" x14ac:dyDescent="0.35">
      <c r="B1436" vm="16830">
        <f ca="1"/>
        <v>44803</v>
      </c>
      <c r="C1436" vm="16831">
        <f ca="1"/>
        <v>108.94</v>
      </c>
      <c r="D1436" vm="16832">
        <f ca="1"/>
        <v>128.72999999999999</v>
      </c>
      <c r="E1436" vm="16833">
        <f ca="1"/>
        <v>56.82</v>
      </c>
      <c r="F1436" vm="16834">
        <f ca="1"/>
        <v>657.37</v>
      </c>
      <c r="G1436" vm="16835">
        <f ca="1"/>
        <v>190.7</v>
      </c>
      <c r="H1436" vm="16836">
        <f ca="1"/>
        <v>327.81</v>
      </c>
      <c r="I1436" vm="16837">
        <f ca="1"/>
        <v>85.7</v>
      </c>
      <c r="J1436" vm="16838">
        <f ca="1"/>
        <v>38.68</v>
      </c>
      <c r="K1436" vm="16839">
        <f ca="1"/>
        <v>15.468</v>
      </c>
      <c r="L1436" vm="16840">
        <f ca="1"/>
        <v>140.18</v>
      </c>
      <c r="M1436" vm="16841">
        <f ca="1"/>
        <v>522.84</v>
      </c>
      <c r="N1436" vm="16842">
        <f ca="1"/>
        <v>3986.16</v>
      </c>
    </row>
    <row r="1437" spans="2:14" x14ac:dyDescent="0.35">
      <c r="B1437" vm="16843">
        <f ca="1"/>
        <v>44804</v>
      </c>
      <c r="C1437" vm="16844">
        <f ca="1"/>
        <v>108.22</v>
      </c>
      <c r="D1437" vm="16845">
        <f ca="1"/>
        <v>126.77</v>
      </c>
      <c r="E1437" vm="16846">
        <f ca="1"/>
        <v>55.81</v>
      </c>
      <c r="F1437" vm="16847">
        <f ca="1"/>
        <v>653.29999999999995</v>
      </c>
      <c r="G1437" vm="16848">
        <f ca="1"/>
        <v>189.35</v>
      </c>
      <c r="H1437" vm="16849">
        <f ca="1"/>
        <v>324.37</v>
      </c>
      <c r="I1437" vm="48">
        <f ca="1"/>
        <v>85.06</v>
      </c>
      <c r="J1437" vm="4236">
        <f ca="1"/>
        <v>38.15</v>
      </c>
      <c r="K1437" vm="16850">
        <f ca="1"/>
        <v>15.093999999999999</v>
      </c>
      <c r="L1437" vm="9940">
        <f ca="1"/>
        <v>137.94</v>
      </c>
      <c r="M1437" vm="16851">
        <f ca="1"/>
        <v>519.33000000000004</v>
      </c>
      <c r="N1437" vm="16852">
        <f ca="1"/>
        <v>3955</v>
      </c>
    </row>
    <row r="1438" spans="2:14" x14ac:dyDescent="0.35">
      <c r="B1438" vm="16853">
        <f ca="1"/>
        <v>44805</v>
      </c>
      <c r="C1438" vm="16854">
        <f ca="1"/>
        <v>109.74</v>
      </c>
      <c r="D1438" vm="16855">
        <f ca="1"/>
        <v>127.82</v>
      </c>
      <c r="E1438" vm="16856">
        <f ca="1"/>
        <v>55.62</v>
      </c>
      <c r="F1438" vm="16857">
        <f ca="1"/>
        <v>631.16</v>
      </c>
      <c r="G1438" vm="16858">
        <f ca="1"/>
        <v>190.73</v>
      </c>
      <c r="H1438" vm="16859">
        <f ca="1"/>
        <v>325.25</v>
      </c>
      <c r="I1438" vm="1194">
        <f ca="1"/>
        <v>86.26</v>
      </c>
      <c r="J1438" vm="436">
        <f ca="1"/>
        <v>36.85</v>
      </c>
      <c r="K1438" vm="16860">
        <f ca="1"/>
        <v>13.936999999999999</v>
      </c>
      <c r="L1438" vm="16861">
        <f ca="1"/>
        <v>139.63999999999999</v>
      </c>
      <c r="M1438" vm="16862">
        <f ca="1"/>
        <v>524</v>
      </c>
      <c r="N1438" vm="16863">
        <f ca="1"/>
        <v>3966.85</v>
      </c>
    </row>
    <row r="1439" spans="2:14" x14ac:dyDescent="0.35">
      <c r="B1439" vm="16864">
        <f ca="1"/>
        <v>44806</v>
      </c>
      <c r="C1439" vm="16865">
        <f ca="1"/>
        <v>107.85</v>
      </c>
      <c r="D1439" vm="16866">
        <f ca="1"/>
        <v>127.51</v>
      </c>
      <c r="E1439" vm="16846">
        <f ca="1"/>
        <v>55.81</v>
      </c>
      <c r="F1439" vm="16867">
        <f ca="1"/>
        <v>631.84</v>
      </c>
      <c r="G1439" vm="16868">
        <f ca="1"/>
        <v>186.89</v>
      </c>
      <c r="H1439" vm="16869">
        <f ca="1"/>
        <v>322.56</v>
      </c>
      <c r="I1439" vm="16870">
        <f ca="1"/>
        <v>85.11</v>
      </c>
      <c r="J1439" vm="4162">
        <f ca="1"/>
        <v>38.07</v>
      </c>
      <c r="K1439" vm="16871">
        <f ca="1"/>
        <v>13.647</v>
      </c>
      <c r="L1439" vm="16872">
        <f ca="1"/>
        <v>137.16</v>
      </c>
      <c r="M1439" vm="16873">
        <f ca="1"/>
        <v>516.35</v>
      </c>
      <c r="N1439" vm="16874">
        <f ca="1"/>
        <v>3924.26</v>
      </c>
    </row>
    <row r="1440" spans="2:14" x14ac:dyDescent="0.35">
      <c r="B1440" vm="16875">
        <f ca="1"/>
        <v>44810</v>
      </c>
      <c r="C1440" vm="16876">
        <f ca="1"/>
        <v>106.81</v>
      </c>
      <c r="D1440" vm="16877">
        <f ca="1"/>
        <v>126.11</v>
      </c>
      <c r="E1440" vm="16878">
        <f ca="1"/>
        <v>55.54</v>
      </c>
      <c r="F1440" vm="16879">
        <f ca="1"/>
        <v>647.20000000000005</v>
      </c>
      <c r="G1440" vm="16880">
        <f ca="1"/>
        <v>185.6</v>
      </c>
      <c r="H1440" vm="16881">
        <f ca="1"/>
        <v>324.08</v>
      </c>
      <c r="I1440" vm="1627">
        <f ca="1"/>
        <v>87.37</v>
      </c>
      <c r="J1440" vm="16882">
        <f ca="1"/>
        <v>37.36</v>
      </c>
      <c r="K1440" vm="16883">
        <f ca="1"/>
        <v>13.465</v>
      </c>
      <c r="L1440" vm="13852">
        <f ca="1"/>
        <v>135.63</v>
      </c>
      <c r="M1440" vm="16884">
        <f ca="1"/>
        <v>517.67999999999995</v>
      </c>
      <c r="N1440" vm="16885">
        <f ca="1"/>
        <v>3908.19</v>
      </c>
    </row>
    <row r="1441" spans="2:14" x14ac:dyDescent="0.35">
      <c r="B1441" vm="16886">
        <f ca="1"/>
        <v>44811</v>
      </c>
      <c r="C1441" vm="16887">
        <f ca="1"/>
        <v>109.45</v>
      </c>
      <c r="D1441" vm="16888">
        <f ca="1"/>
        <v>129.47999999999999</v>
      </c>
      <c r="E1441" vm="8911">
        <f ca="1"/>
        <v>58.64</v>
      </c>
      <c r="F1441" vm="16889">
        <f ca="1"/>
        <v>650.9</v>
      </c>
      <c r="G1441" vm="16890">
        <f ca="1"/>
        <v>189.09</v>
      </c>
      <c r="H1441" vm="16891">
        <f ca="1"/>
        <v>328.62</v>
      </c>
      <c r="I1441" vm="12225">
        <f ca="1"/>
        <v>90.24</v>
      </c>
      <c r="J1441" vm="4664">
        <f ca="1"/>
        <v>37.06</v>
      </c>
      <c r="K1441" vm="16892">
        <f ca="1"/>
        <v>13.714</v>
      </c>
      <c r="L1441" vm="11951">
        <f ca="1"/>
        <v>137.68</v>
      </c>
      <c r="M1441" vm="16893">
        <f ca="1"/>
        <v>521.67999999999995</v>
      </c>
      <c r="N1441" vm="16894">
        <f ca="1"/>
        <v>3979.87</v>
      </c>
    </row>
    <row r="1442" spans="2:14" x14ac:dyDescent="0.35">
      <c r="B1442" vm="16895">
        <f ca="1"/>
        <v>44812</v>
      </c>
      <c r="C1442" vm="16896">
        <f ca="1"/>
        <v>108.38</v>
      </c>
      <c r="D1442" vm="1886">
        <f ca="1"/>
        <v>129.82</v>
      </c>
      <c r="E1442" vm="16897">
        <f ca="1"/>
        <v>58.87</v>
      </c>
      <c r="F1442" vm="16898">
        <f ca="1"/>
        <v>657.89</v>
      </c>
      <c r="G1442" vm="16899">
        <f ca="1"/>
        <v>187.82</v>
      </c>
      <c r="H1442" vm="16900">
        <f ca="1"/>
        <v>330.07</v>
      </c>
      <c r="I1442" vm="16901">
        <f ca="1"/>
        <v>90.27</v>
      </c>
      <c r="J1442" vm="8248">
        <f ca="1"/>
        <v>38.17</v>
      </c>
      <c r="K1442" vm="16902">
        <f ca="1"/>
        <v>13.99</v>
      </c>
      <c r="L1442" vm="16903">
        <f ca="1"/>
        <v>137.86000000000001</v>
      </c>
      <c r="M1442" vm="16904">
        <f ca="1"/>
        <v>527.51</v>
      </c>
      <c r="N1442" vm="16905">
        <f ca="1"/>
        <v>4006.18</v>
      </c>
    </row>
    <row r="1443" spans="2:14" x14ac:dyDescent="0.35">
      <c r="B1443" vm="16906">
        <f ca="1"/>
        <v>44813</v>
      </c>
      <c r="C1443" vm="16907">
        <f ca="1"/>
        <v>110.65</v>
      </c>
      <c r="D1443" vm="16908">
        <f ca="1"/>
        <v>133.27000000000001</v>
      </c>
      <c r="E1443" vm="5470">
        <f ca="1"/>
        <v>59.33</v>
      </c>
      <c r="F1443" vm="16909">
        <f ca="1"/>
        <v>665.47</v>
      </c>
      <c r="G1443" vm="16910">
        <f ca="1"/>
        <v>191.69</v>
      </c>
      <c r="H1443" vm="16911">
        <f ca="1"/>
        <v>335.85</v>
      </c>
      <c r="I1443" vm="16912">
        <f ca="1"/>
        <v>89.9</v>
      </c>
      <c r="J1443" vm="4950">
        <f ca="1"/>
        <v>39.65</v>
      </c>
      <c r="K1443" vm="16913">
        <f ca="1"/>
        <v>14.387</v>
      </c>
      <c r="L1443" vm="16914">
        <f ca="1"/>
        <v>139.96</v>
      </c>
      <c r="M1443" vm="16915">
        <f ca="1"/>
        <v>524.34</v>
      </c>
      <c r="N1443" vm="16916">
        <f ca="1"/>
        <v>4067.36</v>
      </c>
    </row>
    <row r="1444" spans="2:14" x14ac:dyDescent="0.35">
      <c r="B1444" vm="16917">
        <f ca="1"/>
        <v>44816</v>
      </c>
      <c r="C1444" vm="16918">
        <f ca="1"/>
        <v>110.86</v>
      </c>
      <c r="D1444" vm="12888">
        <f ca="1"/>
        <v>136.44999999999999</v>
      </c>
      <c r="E1444" vm="16919">
        <f ca="1"/>
        <v>60.69</v>
      </c>
      <c r="F1444" vm="16920">
        <f ca="1"/>
        <v>636.27</v>
      </c>
      <c r="G1444" vm="2027">
        <f ca="1"/>
        <v>192.03</v>
      </c>
      <c r="H1444" vm="16921">
        <f ca="1"/>
        <v>338.42</v>
      </c>
      <c r="I1444" vm="11511">
        <f ca="1"/>
        <v>90.81</v>
      </c>
      <c r="J1444" vm="2130">
        <f ca="1"/>
        <v>40.15</v>
      </c>
      <c r="K1444" vm="16922">
        <f ca="1"/>
        <v>14.505000000000001</v>
      </c>
      <c r="L1444" vm="16923">
        <f ca="1"/>
        <v>141.1</v>
      </c>
      <c r="M1444" vm="16924">
        <f ca="1"/>
        <v>531.25</v>
      </c>
      <c r="N1444" vm="16925">
        <f ca="1"/>
        <v>4110.41</v>
      </c>
    </row>
    <row r="1445" spans="2:14" x14ac:dyDescent="0.35">
      <c r="B1445" vm="16926">
        <f ca="1"/>
        <v>44817</v>
      </c>
      <c r="C1445" vm="16927">
        <f ca="1"/>
        <v>104.32</v>
      </c>
      <c r="D1445" vm="16928">
        <f ca="1"/>
        <v>126.82</v>
      </c>
      <c r="E1445" vm="5195">
        <f ca="1"/>
        <v>58.58</v>
      </c>
      <c r="F1445" vm="16929">
        <f ca="1"/>
        <v>626.67999999999995</v>
      </c>
      <c r="G1445" vm="16930">
        <f ca="1"/>
        <v>184.98</v>
      </c>
      <c r="H1445" vm="16931">
        <f ca="1"/>
        <v>325.44</v>
      </c>
      <c r="I1445" vm="16932">
        <f ca="1"/>
        <v>88.86</v>
      </c>
      <c r="J1445" vm="234">
        <f ca="1"/>
        <v>38.47</v>
      </c>
      <c r="K1445" vm="16933">
        <f ca="1"/>
        <v>13.131</v>
      </c>
      <c r="L1445" vm="11147">
        <f ca="1"/>
        <v>138.18</v>
      </c>
      <c r="M1445" vm="16934">
        <f ca="1"/>
        <v>513.96</v>
      </c>
      <c r="N1445" vm="16935">
        <f ca="1"/>
        <v>3932.69</v>
      </c>
    </row>
    <row r="1446" spans="2:14" x14ac:dyDescent="0.35">
      <c r="B1446" vm="16936">
        <f ca="1"/>
        <v>44818</v>
      </c>
      <c r="C1446" vm="275">
        <f ca="1"/>
        <v>105</v>
      </c>
      <c r="D1446" vm="1947">
        <f ca="1"/>
        <v>128.55000000000001</v>
      </c>
      <c r="E1446" vm="16937">
        <f ca="1"/>
        <v>57.41</v>
      </c>
      <c r="F1446" vm="16938">
        <f ca="1"/>
        <v>616.32000000000005</v>
      </c>
      <c r="G1446" vm="16939">
        <f ca="1"/>
        <v>179.97</v>
      </c>
      <c r="H1446" vm="16940">
        <f ca="1"/>
        <v>325.85000000000002</v>
      </c>
      <c r="I1446" vm="16941">
        <f ca="1"/>
        <v>88.88</v>
      </c>
      <c r="J1446" vm="16942">
        <f ca="1"/>
        <v>40.24</v>
      </c>
      <c r="K1446" vm="16943">
        <f ca="1"/>
        <v>13.128</v>
      </c>
      <c r="L1446" vm="11073">
        <f ca="1"/>
        <v>138.51</v>
      </c>
      <c r="M1446" vm="16944">
        <f ca="1"/>
        <v>509.77</v>
      </c>
      <c r="N1446" vm="16945">
        <f ca="1"/>
        <v>3946.01</v>
      </c>
    </row>
    <row r="1447" spans="2:14" x14ac:dyDescent="0.35">
      <c r="B1447" vm="16946">
        <f ca="1"/>
        <v>44819</v>
      </c>
      <c r="C1447" vm="7348">
        <f ca="1"/>
        <v>102.91</v>
      </c>
      <c r="D1447" vm="16947">
        <f ca="1"/>
        <v>126.28</v>
      </c>
      <c r="E1447" vm="16948">
        <f ca="1"/>
        <v>57.66</v>
      </c>
      <c r="F1447" vm="16949">
        <f ca="1"/>
        <v>624.75</v>
      </c>
      <c r="G1447" vm="16950">
        <f ca="1"/>
        <v>176.86</v>
      </c>
      <c r="H1447" vm="16951">
        <f ca="1"/>
        <v>316.95999999999998</v>
      </c>
      <c r="I1447" vm="16952">
        <f ca="1"/>
        <v>86.01</v>
      </c>
      <c r="J1447" vm="16953">
        <f ca="1"/>
        <v>39.630000000000003</v>
      </c>
      <c r="K1447" vm="16954">
        <f ca="1"/>
        <v>12.929</v>
      </c>
      <c r="L1447" vm="11062">
        <f ca="1"/>
        <v>137.44</v>
      </c>
      <c r="M1447" vm="16955">
        <f ca="1"/>
        <v>522.91</v>
      </c>
      <c r="N1447" vm="16956">
        <f ca="1"/>
        <v>3901.35</v>
      </c>
    </row>
    <row r="1448" spans="2:14" x14ac:dyDescent="0.35">
      <c r="B1448" vm="16957">
        <f ca="1"/>
        <v>44820</v>
      </c>
      <c r="C1448" vm="16958">
        <f ca="1"/>
        <v>102.8</v>
      </c>
      <c r="D1448" vm="12596">
        <f ca="1"/>
        <v>123.53</v>
      </c>
      <c r="E1448" vm="16959">
        <f ca="1"/>
        <v>56.66</v>
      </c>
      <c r="F1448" vm="16960">
        <f ca="1"/>
        <v>625.96</v>
      </c>
      <c r="G1448" vm="16961">
        <f ca="1"/>
        <v>177.35</v>
      </c>
      <c r="H1448" vm="16962">
        <f ca="1"/>
        <v>315.13</v>
      </c>
      <c r="I1448" vm="13654">
        <f ca="1"/>
        <v>84.79</v>
      </c>
      <c r="J1448" vm="4316">
        <f ca="1"/>
        <v>38.369999999999997</v>
      </c>
      <c r="K1448" vm="16963">
        <f ca="1"/>
        <v>13.198</v>
      </c>
      <c r="L1448" vm="16964">
        <f ca="1"/>
        <v>138.28</v>
      </c>
      <c r="M1448" vm="16965">
        <f ca="1"/>
        <v>521.02</v>
      </c>
      <c r="N1448" vm="16966">
        <f ca="1"/>
        <v>3873.33</v>
      </c>
    </row>
    <row r="1449" spans="2:14" x14ac:dyDescent="0.35">
      <c r="B1449" vm="16967">
        <f ca="1"/>
        <v>44823</v>
      </c>
      <c r="C1449" vm="16968">
        <f ca="1"/>
        <v>103.07</v>
      </c>
      <c r="D1449" vm="8959">
        <f ca="1"/>
        <v>124.66</v>
      </c>
      <c r="E1449" vm="16969">
        <f ca="1"/>
        <v>56.99</v>
      </c>
      <c r="F1449" vm="16970">
        <f ca="1"/>
        <v>616.5</v>
      </c>
      <c r="G1449" vm="16971">
        <f ca="1"/>
        <v>178.63</v>
      </c>
      <c r="H1449" vm="16972">
        <f ca="1"/>
        <v>314.02999999999997</v>
      </c>
      <c r="I1449" vm="15473">
        <f ca="1"/>
        <v>86.84</v>
      </c>
      <c r="J1449" vm="4847">
        <f ca="1"/>
        <v>38.97</v>
      </c>
      <c r="K1449" vm="16973">
        <f ca="1"/>
        <v>13.382</v>
      </c>
      <c r="L1449" vm="11717">
        <f ca="1"/>
        <v>137.99</v>
      </c>
      <c r="M1449" vm="16974">
        <f ca="1"/>
        <v>523.54999999999995</v>
      </c>
      <c r="N1449" vm="16975">
        <f ca="1"/>
        <v>3899.89</v>
      </c>
    </row>
    <row r="1450" spans="2:14" x14ac:dyDescent="0.35">
      <c r="B1450" vm="16976">
        <f ca="1"/>
        <v>44824</v>
      </c>
      <c r="C1450" vm="16977">
        <f ca="1"/>
        <v>101.14</v>
      </c>
      <c r="D1450" vm="16978">
        <f ca="1"/>
        <v>122.19</v>
      </c>
      <c r="E1450" vm="16979">
        <f ca="1"/>
        <v>55.27</v>
      </c>
      <c r="F1450" vm="16980">
        <f ca="1"/>
        <v>620.20000000000005</v>
      </c>
      <c r="G1450" vm="16981">
        <f ca="1"/>
        <v>177.01</v>
      </c>
      <c r="H1450" vm="16982">
        <f ca="1"/>
        <v>313.27</v>
      </c>
      <c r="I1450" vm="14125">
        <f ca="1"/>
        <v>85.69</v>
      </c>
      <c r="J1450" vm="3092">
        <f ca="1"/>
        <v>38.5</v>
      </c>
      <c r="K1450" vm="16983">
        <f ca="1"/>
        <v>13.176</v>
      </c>
      <c r="L1450" vm="16984">
        <f ca="1"/>
        <v>137.5</v>
      </c>
      <c r="M1450" vm="16985">
        <f ca="1"/>
        <v>522.79999999999995</v>
      </c>
      <c r="N1450" vm="16986">
        <f ca="1"/>
        <v>3855.93</v>
      </c>
    </row>
    <row r="1451" spans="2:14" x14ac:dyDescent="0.35">
      <c r="B1451" vm="16987">
        <f ca="1"/>
        <v>44825</v>
      </c>
      <c r="C1451" vm="6512">
        <f ca="1"/>
        <v>99.28</v>
      </c>
      <c r="D1451" vm="16988">
        <f ca="1"/>
        <v>118.54</v>
      </c>
      <c r="E1451" vm="6423">
        <f ca="1"/>
        <v>53.9</v>
      </c>
      <c r="F1451" vm="16989">
        <f ca="1"/>
        <v>609.26</v>
      </c>
      <c r="G1451" vm="16990">
        <f ca="1"/>
        <v>174.3</v>
      </c>
      <c r="H1451" vm="10899">
        <f ca="1"/>
        <v>304.5</v>
      </c>
      <c r="I1451" vm="16991">
        <f ca="1"/>
        <v>83.97</v>
      </c>
      <c r="J1451" vm="3235">
        <f ca="1"/>
        <v>37.58</v>
      </c>
      <c r="K1451" vm="16992">
        <f ca="1"/>
        <v>13.260999999999999</v>
      </c>
      <c r="L1451" vm="16993">
        <f ca="1"/>
        <v>135.72999999999999</v>
      </c>
      <c r="M1451" vm="16994">
        <f ca="1"/>
        <v>512.08000000000004</v>
      </c>
      <c r="N1451" vm="16995">
        <f ca="1"/>
        <v>3789.93</v>
      </c>
    </row>
    <row r="1452" spans="2:14" x14ac:dyDescent="0.35">
      <c r="B1452" vm="16996">
        <f ca="1"/>
        <v>44826</v>
      </c>
      <c r="C1452" vm="16997">
        <f ca="1"/>
        <v>100.14</v>
      </c>
      <c r="D1452" vm="16998">
        <f ca="1"/>
        <v>117.31</v>
      </c>
      <c r="E1452" vm="16999">
        <f ca="1"/>
        <v>49.23</v>
      </c>
      <c r="F1452" vm="17000">
        <f ca="1"/>
        <v>593.13</v>
      </c>
      <c r="G1452" vm="17001">
        <f ca="1"/>
        <v>173.25</v>
      </c>
      <c r="H1452" vm="10676">
        <f ca="1"/>
        <v>298.36</v>
      </c>
      <c r="I1452" vm="17002">
        <f ca="1"/>
        <v>83.54</v>
      </c>
      <c r="J1452" vm="195">
        <f ca="1"/>
        <v>38.229999999999997</v>
      </c>
      <c r="K1452" vm="17003">
        <f ca="1"/>
        <v>12.561</v>
      </c>
      <c r="L1452" vm="17004">
        <f ca="1"/>
        <v>136.21</v>
      </c>
      <c r="M1452" vm="17005">
        <f ca="1"/>
        <v>517.46</v>
      </c>
      <c r="N1452" vm="17006">
        <f ca="1"/>
        <v>3757.99</v>
      </c>
    </row>
    <row r="1453" spans="2:14" x14ac:dyDescent="0.35">
      <c r="B1453" vm="17007">
        <f ca="1"/>
        <v>44827</v>
      </c>
      <c r="C1453" vm="17008">
        <f ca="1"/>
        <v>98.74</v>
      </c>
      <c r="D1453" vm="17009">
        <f ca="1"/>
        <v>113.78</v>
      </c>
      <c r="E1453" vm="17010">
        <f ca="1"/>
        <v>49.14</v>
      </c>
      <c r="F1453" vm="17011">
        <f ca="1"/>
        <v>581.59</v>
      </c>
      <c r="G1453" vm="7106">
        <f ca="1"/>
        <v>171.38</v>
      </c>
      <c r="H1453" vm="17012">
        <f ca="1"/>
        <v>293.58</v>
      </c>
      <c r="I1453" vm="4896">
        <f ca="1"/>
        <v>82.52</v>
      </c>
      <c r="J1453" vm="17013">
        <f ca="1"/>
        <v>35</v>
      </c>
      <c r="K1453" vm="17014">
        <f ca="1"/>
        <v>12.516</v>
      </c>
      <c r="L1453" vm="17015">
        <f ca="1"/>
        <v>135.58000000000001</v>
      </c>
      <c r="M1453" vm="17016">
        <f ca="1"/>
        <v>513.61</v>
      </c>
      <c r="N1453" vm="17017">
        <f ca="1"/>
        <v>3693.23</v>
      </c>
    </row>
    <row r="1454" spans="2:14" x14ac:dyDescent="0.35">
      <c r="B1454" vm="17018">
        <f ca="1"/>
        <v>44830</v>
      </c>
      <c r="C1454" vm="17019">
        <f ca="1"/>
        <v>98.17</v>
      </c>
      <c r="D1454" vm="17020">
        <f ca="1"/>
        <v>115.15</v>
      </c>
      <c r="E1454" vm="5779">
        <f ca="1"/>
        <v>48.31</v>
      </c>
      <c r="F1454" vm="17021">
        <f ca="1"/>
        <v>567.69000000000005</v>
      </c>
      <c r="G1454" vm="17022">
        <f ca="1"/>
        <v>170.07</v>
      </c>
      <c r="H1454" vm="17023">
        <f ca="1"/>
        <v>290.11</v>
      </c>
      <c r="I1454" vm="17024">
        <f ca="1"/>
        <v>81.150000000000006</v>
      </c>
      <c r="J1454" vm="17025">
        <f ca="1"/>
        <v>33.86</v>
      </c>
      <c r="K1454" vm="17026">
        <f ca="1"/>
        <v>12.228</v>
      </c>
      <c r="L1454" vm="17027">
        <f ca="1"/>
        <v>135.71</v>
      </c>
      <c r="M1454" vm="17028">
        <f ca="1"/>
        <v>508.36</v>
      </c>
      <c r="N1454" vm="17029">
        <f ca="1"/>
        <v>3655.04</v>
      </c>
    </row>
    <row r="1455" spans="2:14" x14ac:dyDescent="0.35">
      <c r="B1455" vm="17030">
        <f ca="1"/>
        <v>44831</v>
      </c>
      <c r="C1455" vm="17031">
        <f ca="1"/>
        <v>97.5</v>
      </c>
      <c r="D1455" vm="17032">
        <f ca="1"/>
        <v>114.41</v>
      </c>
      <c r="E1455" vm="17033">
        <f ca="1"/>
        <v>47.49</v>
      </c>
      <c r="F1455" vm="17034">
        <f ca="1"/>
        <v>576.5</v>
      </c>
      <c r="G1455" vm="17022">
        <f ca="1"/>
        <v>170.07</v>
      </c>
      <c r="H1455" vm="17035">
        <f ca="1"/>
        <v>286.48</v>
      </c>
      <c r="I1455" vm="17036">
        <f ca="1"/>
        <v>81.08</v>
      </c>
      <c r="J1455" vm="17037">
        <f ca="1"/>
        <v>33.979999999999997</v>
      </c>
      <c r="K1455" vm="17038">
        <f ca="1"/>
        <v>12.413</v>
      </c>
      <c r="L1455" vm="17039">
        <f ca="1"/>
        <v>131.97999999999999</v>
      </c>
      <c r="M1455" vm="7513">
        <f ca="1"/>
        <v>508.37</v>
      </c>
      <c r="N1455" vm="17040">
        <f ca="1"/>
        <v>3647.29</v>
      </c>
    </row>
    <row r="1456" spans="2:14" x14ac:dyDescent="0.35">
      <c r="B1456" vm="17041">
        <f ca="1"/>
        <v>44832</v>
      </c>
      <c r="C1456" vm="6682">
        <f ca="1"/>
        <v>100.05</v>
      </c>
      <c r="D1456" vm="17042">
        <f ca="1"/>
        <v>118.01</v>
      </c>
      <c r="E1456" vm="16999">
        <f ca="1"/>
        <v>49.23</v>
      </c>
      <c r="F1456" vm="17043">
        <f ca="1"/>
        <v>561.39</v>
      </c>
      <c r="G1456" vm="17044">
        <f ca="1"/>
        <v>173.83</v>
      </c>
      <c r="H1456" vm="10707">
        <f ca="1"/>
        <v>290.18</v>
      </c>
      <c r="I1456" vm="13927">
        <f ca="1"/>
        <v>82.37</v>
      </c>
      <c r="J1456" vm="17045">
        <f ca="1"/>
        <v>35.44</v>
      </c>
      <c r="K1456" vm="17046">
        <f ca="1"/>
        <v>12.736000000000001</v>
      </c>
      <c r="L1456" vm="17039">
        <f ca="1"/>
        <v>131.97999999999999</v>
      </c>
      <c r="M1456" vm="17047">
        <f ca="1"/>
        <v>513.94000000000005</v>
      </c>
      <c r="N1456" vm="17048">
        <f ca="1"/>
        <v>3719.04</v>
      </c>
    </row>
    <row r="1457" spans="2:14" x14ac:dyDescent="0.35">
      <c r="B1457" vm="17049">
        <f ca="1"/>
        <v>44833</v>
      </c>
      <c r="C1457" vm="17050">
        <f ca="1"/>
        <v>97.42</v>
      </c>
      <c r="D1457" vm="17051">
        <f ca="1"/>
        <v>114.8</v>
      </c>
      <c r="E1457" vm="6181">
        <f ca="1"/>
        <v>47.65</v>
      </c>
      <c r="F1457" vm="17052">
        <f ca="1"/>
        <v>568.84</v>
      </c>
      <c r="G1457" vm="17022">
        <f ca="1"/>
        <v>170.07</v>
      </c>
      <c r="H1457" vm="17053">
        <f ca="1"/>
        <v>286.77</v>
      </c>
      <c r="I1457" vm="3678">
        <f ca="1"/>
        <v>79.97</v>
      </c>
      <c r="J1457" vm="4506">
        <f ca="1"/>
        <v>35.97</v>
      </c>
      <c r="K1457" vm="17054">
        <f ca="1"/>
        <v>12.22</v>
      </c>
      <c r="L1457" vm="12761">
        <f ca="1"/>
        <v>128.69999999999999</v>
      </c>
      <c r="M1457" vm="17055">
        <f ca="1"/>
        <v>508.83</v>
      </c>
      <c r="N1457" vm="17056">
        <f ca="1"/>
        <v>3585.62</v>
      </c>
    </row>
    <row r="1458" spans="2:14" x14ac:dyDescent="0.35">
      <c r="B1458" vm="17057">
        <f ca="1"/>
        <v>44834</v>
      </c>
      <c r="C1458" vm="17058">
        <f ca="1"/>
        <v>95.65</v>
      </c>
      <c r="D1458" vm="17059">
        <f ca="1"/>
        <v>113</v>
      </c>
      <c r="E1458" vm="17060">
        <f ca="1"/>
        <v>48.32</v>
      </c>
      <c r="F1458" vm="17061">
        <f ca="1"/>
        <v>578.9</v>
      </c>
      <c r="G1458" vm="17062">
        <f ca="1"/>
        <v>166.97</v>
      </c>
      <c r="H1458" vm="17063">
        <f ca="1"/>
        <v>284.33999999999997</v>
      </c>
      <c r="I1458" vm="17064">
        <f ca="1"/>
        <v>78.41</v>
      </c>
      <c r="J1458" vm="13405">
        <f ca="1"/>
        <v>35.9</v>
      </c>
      <c r="K1458" vm="17065">
        <f ca="1"/>
        <v>12.138999999999999</v>
      </c>
      <c r="L1458" vm="17066">
        <f ca="1"/>
        <v>126.25</v>
      </c>
      <c r="M1458" vm="17067">
        <f ca="1"/>
        <v>505.04</v>
      </c>
      <c r="N1458" vm="17068">
        <f ca="1"/>
        <v>3678.43</v>
      </c>
    </row>
    <row r="1459" spans="2:14" x14ac:dyDescent="0.35">
      <c r="B1459" vm="17069">
        <f ca="1"/>
        <v>44837</v>
      </c>
      <c r="C1459" vm="17070">
        <f ca="1"/>
        <v>98.64</v>
      </c>
      <c r="D1459" vm="17071">
        <f ca="1"/>
        <v>115.88</v>
      </c>
      <c r="E1459" vm="17072">
        <f ca="1"/>
        <v>49.37</v>
      </c>
      <c r="F1459" vm="17073">
        <f ca="1"/>
        <v>587.83000000000004</v>
      </c>
      <c r="G1459" vm="17074">
        <f ca="1"/>
        <v>173.04</v>
      </c>
      <c r="H1459" vm="17075">
        <f ca="1"/>
        <v>290.48</v>
      </c>
      <c r="I1459" vm="12503">
        <f ca="1"/>
        <v>81.19</v>
      </c>
      <c r="J1459" vm="17076">
        <f ca="1"/>
        <v>38.299999999999997</v>
      </c>
      <c r="K1459" vm="17077">
        <f ca="1"/>
        <v>12.512</v>
      </c>
      <c r="L1459" vm="17078">
        <f ca="1"/>
        <v>128.51</v>
      </c>
      <c r="M1459" vm="17079">
        <f ca="1"/>
        <v>515.51</v>
      </c>
      <c r="N1459" vm="17080">
        <f ca="1"/>
        <v>3790.93</v>
      </c>
    </row>
    <row r="1460" spans="2:14" x14ac:dyDescent="0.35">
      <c r="B1460" vm="17081">
        <f ca="1"/>
        <v>44838</v>
      </c>
      <c r="C1460" vm="17082">
        <f ca="1"/>
        <v>101.64</v>
      </c>
      <c r="D1460" vm="8468">
        <f ca="1"/>
        <v>121.09</v>
      </c>
      <c r="E1460" vm="17083">
        <f ca="1"/>
        <v>50.56</v>
      </c>
      <c r="F1460" vm="17084">
        <f ca="1"/>
        <v>578.41</v>
      </c>
      <c r="G1460" vm="17085">
        <f ca="1"/>
        <v>178.19</v>
      </c>
      <c r="H1460" vm="17086">
        <f ca="1"/>
        <v>301.27</v>
      </c>
      <c r="I1460" vm="13630">
        <f ca="1"/>
        <v>82.82</v>
      </c>
      <c r="J1460" vm="3501">
        <f ca="1"/>
        <v>39.119999999999997</v>
      </c>
      <c r="K1460" vm="17087">
        <f ca="1"/>
        <v>13.167</v>
      </c>
      <c r="L1460" vm="17088">
        <f ca="1"/>
        <v>130.1</v>
      </c>
      <c r="M1460" vm="17089">
        <f ca="1"/>
        <v>523.16999999999996</v>
      </c>
      <c r="N1460" vm="17090">
        <f ca="1"/>
        <v>3612.39</v>
      </c>
    </row>
    <row r="1461" spans="2:14" x14ac:dyDescent="0.35">
      <c r="B1461" vm="17091">
        <f ca="1"/>
        <v>44839</v>
      </c>
      <c r="C1461" vm="17092">
        <f ca="1"/>
        <v>101.43</v>
      </c>
      <c r="D1461" vm="17093">
        <f ca="1"/>
        <v>120.95</v>
      </c>
      <c r="E1461" vm="17094">
        <f ca="1"/>
        <v>50.94</v>
      </c>
      <c r="F1461" vm="17095">
        <f ca="1"/>
        <v>557.42999999999995</v>
      </c>
      <c r="G1461" vm="17096">
        <f ca="1"/>
        <v>177.81</v>
      </c>
      <c r="H1461" vm="17097">
        <f ca="1"/>
        <v>304.2</v>
      </c>
      <c r="I1461" vm="17098">
        <f ca="1"/>
        <v>81.77</v>
      </c>
      <c r="J1461" vm="17099">
        <f ca="1"/>
        <v>41.57</v>
      </c>
      <c r="K1461" vm="17100">
        <f ca="1"/>
        <v>13.209</v>
      </c>
      <c r="L1461" vm="17101">
        <f ca="1"/>
        <v>129.19999999999999</v>
      </c>
      <c r="M1461" vm="17102">
        <f ca="1"/>
        <v>527.07000000000005</v>
      </c>
      <c r="N1461" vm="17103">
        <f ca="1"/>
        <v>3588.84</v>
      </c>
    </row>
    <row r="1462" spans="2:14" x14ac:dyDescent="0.35">
      <c r="B1462" vm="17104">
        <f ca="1"/>
        <v>44840</v>
      </c>
      <c r="C1462" vm="17105">
        <f ca="1"/>
        <v>101.42</v>
      </c>
      <c r="D1462" vm="17106">
        <f ca="1"/>
        <v>120.3</v>
      </c>
      <c r="E1462" vm="17107">
        <f ca="1"/>
        <v>49.94</v>
      </c>
      <c r="F1462" vm="17108">
        <f ca="1"/>
        <v>541.86</v>
      </c>
      <c r="G1462" vm="17109">
        <f ca="1"/>
        <v>175.04</v>
      </c>
      <c r="H1462" vm="17110">
        <f ca="1"/>
        <v>299.23</v>
      </c>
      <c r="I1462" vm="17111">
        <f ca="1"/>
        <v>78.91</v>
      </c>
      <c r="J1462" vm="698">
        <f ca="1"/>
        <v>42.49</v>
      </c>
      <c r="K1462" vm="17112">
        <f ca="1"/>
        <v>13.13</v>
      </c>
      <c r="L1462" vm="17113">
        <f ca="1"/>
        <v>126.48</v>
      </c>
      <c r="M1462" vm="17114">
        <f ca="1"/>
        <v>519.13</v>
      </c>
      <c r="N1462" vm="17115">
        <f ca="1"/>
        <v>3577.03</v>
      </c>
    </row>
    <row r="1463" spans="2:14" x14ac:dyDescent="0.35">
      <c r="B1463" vm="17116">
        <f ca="1"/>
        <v>44841</v>
      </c>
      <c r="C1463" vm="17117">
        <f ca="1"/>
        <v>98.68</v>
      </c>
      <c r="D1463" vm="17118">
        <f ca="1"/>
        <v>114.56</v>
      </c>
      <c r="E1463" vm="17119">
        <f ca="1"/>
        <v>48.52</v>
      </c>
      <c r="F1463" vm="17120">
        <f ca="1"/>
        <v>527.92999999999995</v>
      </c>
      <c r="G1463" vm="17121">
        <f ca="1"/>
        <v>171.41</v>
      </c>
      <c r="H1463" vm="17122">
        <f ca="1"/>
        <v>294.97000000000003</v>
      </c>
      <c r="I1463" vm="17123">
        <f ca="1"/>
        <v>76.73</v>
      </c>
      <c r="J1463" vm="6680">
        <f ca="1"/>
        <v>42.59</v>
      </c>
      <c r="K1463" vm="17124">
        <f ca="1"/>
        <v>12.076000000000001</v>
      </c>
      <c r="L1463" vm="8947">
        <f ca="1"/>
        <v>124.27</v>
      </c>
      <c r="M1463" vm="17125">
        <f ca="1"/>
        <v>504.85</v>
      </c>
      <c r="N1463" vm="17126">
        <f ca="1"/>
        <v>3669.91</v>
      </c>
    </row>
    <row r="1464" spans="2:14" x14ac:dyDescent="0.35">
      <c r="B1464" vm="17127">
        <f ca="1"/>
        <v>44844</v>
      </c>
      <c r="C1464" vm="17128">
        <f ca="1"/>
        <v>97.86</v>
      </c>
      <c r="D1464" vm="17129">
        <f ca="1"/>
        <v>113.67</v>
      </c>
      <c r="E1464" vm="17130">
        <f ca="1"/>
        <v>49.33</v>
      </c>
      <c r="F1464" vm="17131">
        <f ca="1"/>
        <v>524.29999999999995</v>
      </c>
      <c r="G1464" vm="17132">
        <f ca="1"/>
        <v>171.89</v>
      </c>
      <c r="H1464" vm="17133">
        <f ca="1"/>
        <v>291.77999999999997</v>
      </c>
      <c r="I1464" vm="17134">
        <f ca="1"/>
        <v>76.739999999999995</v>
      </c>
      <c r="J1464" vm="17135">
        <f ca="1"/>
        <v>42.13</v>
      </c>
      <c r="K1464" vm="17136">
        <f ca="1"/>
        <v>11.67</v>
      </c>
      <c r="L1464" vm="17137">
        <f ca="1"/>
        <v>123.76</v>
      </c>
      <c r="M1464" vm="17138">
        <f ca="1"/>
        <v>498.86</v>
      </c>
      <c r="N1464" vm="17139">
        <f ca="1"/>
        <v>3583.07</v>
      </c>
    </row>
    <row r="1465" spans="2:14" x14ac:dyDescent="0.35">
      <c r="B1465" vm="17140">
        <f ca="1"/>
        <v>44845</v>
      </c>
      <c r="C1465" vm="17141">
        <f ca="1"/>
        <v>97.18</v>
      </c>
      <c r="D1465" vm="17142">
        <f ca="1"/>
        <v>112.21</v>
      </c>
      <c r="E1465" vm="6204">
        <f ca="1"/>
        <v>48.47</v>
      </c>
      <c r="F1465" vm="17143">
        <f ca="1"/>
        <v>511.86</v>
      </c>
      <c r="G1465" vm="17144">
        <f ca="1"/>
        <v>173.62</v>
      </c>
      <c r="H1465" vm="17145">
        <f ca="1"/>
        <v>286.05</v>
      </c>
      <c r="I1465" vm="17146">
        <f ca="1"/>
        <v>76.03</v>
      </c>
      <c r="J1465" vm="2393">
        <f ca="1"/>
        <v>41.76</v>
      </c>
      <c r="K1465" vm="17147">
        <f ca="1"/>
        <v>11.586</v>
      </c>
      <c r="L1465" vm="1660">
        <f ca="1"/>
        <v>124.23</v>
      </c>
      <c r="M1465" vm="16332">
        <f ca="1"/>
        <v>499.81</v>
      </c>
      <c r="N1465" vm="17148">
        <f ca="1"/>
        <v>3677.95</v>
      </c>
    </row>
    <row r="1466" spans="2:14" x14ac:dyDescent="0.35">
      <c r="B1466" vm="17149">
        <f ca="1"/>
        <v>44846</v>
      </c>
      <c r="C1466" vm="17150">
        <f ca="1"/>
        <v>97.56</v>
      </c>
      <c r="D1466" vm="17151">
        <f ca="1"/>
        <v>112.9</v>
      </c>
      <c r="E1466" vm="17152">
        <f ca="1"/>
        <v>48.94</v>
      </c>
      <c r="F1466" vm="17153">
        <f ca="1"/>
        <v>522.51</v>
      </c>
      <c r="G1466" vm="17154">
        <f ca="1"/>
        <v>172.79</v>
      </c>
      <c r="H1466" vm="17155">
        <f ca="1"/>
        <v>283.38</v>
      </c>
      <c r="I1466" vm="4079">
        <f ca="1"/>
        <v>72.75</v>
      </c>
      <c r="J1466" vm="1620">
        <f ca="1"/>
        <v>42.02</v>
      </c>
      <c r="K1466" vm="17156">
        <f ca="1"/>
        <v>11.5</v>
      </c>
      <c r="L1466" vm="17157">
        <f ca="1"/>
        <v>124.43</v>
      </c>
      <c r="M1466" vm="17158">
        <f ca="1"/>
        <v>499.96</v>
      </c>
      <c r="N1466" vm="17159">
        <f ca="1"/>
        <v>3719.98</v>
      </c>
    </row>
    <row r="1467" spans="2:14" x14ac:dyDescent="0.35">
      <c r="B1467" vm="17160">
        <f ca="1"/>
        <v>44847</v>
      </c>
      <c r="C1467" vm="17161">
        <f ca="1"/>
        <v>99.06</v>
      </c>
      <c r="D1467" vm="17162">
        <f ca="1"/>
        <v>112.53</v>
      </c>
      <c r="E1467" vm="17152">
        <f ca="1"/>
        <v>48.94</v>
      </c>
      <c r="F1467" vm="17163">
        <f ca="1"/>
        <v>505.39</v>
      </c>
      <c r="G1467" vm="17164">
        <f ca="1"/>
        <v>177.55</v>
      </c>
      <c r="H1467" vm="17165">
        <f ca="1"/>
        <v>293.95999999999998</v>
      </c>
      <c r="I1467" vm="17166">
        <f ca="1"/>
        <v>73.09</v>
      </c>
      <c r="J1467" vm="17167">
        <f ca="1"/>
        <v>44.19</v>
      </c>
      <c r="K1467" vm="17168">
        <f ca="1"/>
        <v>11.96</v>
      </c>
      <c r="L1467" vm="9272">
        <f ca="1"/>
        <v>126.31</v>
      </c>
      <c r="M1467" vm="17169">
        <f ca="1"/>
        <v>509.91</v>
      </c>
      <c r="N1467" vm="17170">
        <f ca="1"/>
        <v>3695.16</v>
      </c>
    </row>
    <row r="1468" spans="2:14" x14ac:dyDescent="0.35">
      <c r="B1468" vm="17171">
        <f ca="1"/>
        <v>44848</v>
      </c>
      <c r="C1468" vm="11796">
        <f ca="1"/>
        <v>96.56</v>
      </c>
      <c r="D1468" vm="17172">
        <f ca="1"/>
        <v>106.9</v>
      </c>
      <c r="E1468" vm="17173">
        <f ca="1"/>
        <v>47.46</v>
      </c>
      <c r="F1468" vm="17174">
        <f ca="1"/>
        <v>526.91999999999996</v>
      </c>
      <c r="G1468" vm="17175">
        <f ca="1"/>
        <v>174.16</v>
      </c>
      <c r="H1468" vm="10185">
        <f ca="1"/>
        <v>288.69</v>
      </c>
      <c r="I1468" vm="7625">
        <f ca="1"/>
        <v>71.77</v>
      </c>
      <c r="J1468" vm="687">
        <f ca="1"/>
        <v>42.16</v>
      </c>
      <c r="K1468" vm="17176">
        <f ca="1"/>
        <v>11.227</v>
      </c>
      <c r="L1468" vm="17177">
        <f ca="1"/>
        <v>125.08</v>
      </c>
      <c r="M1468" vm="17178">
        <f ca="1"/>
        <v>513.13</v>
      </c>
      <c r="N1468" vm="17179">
        <f ca="1"/>
        <v>3665.78</v>
      </c>
    </row>
    <row r="1469" spans="2:14" x14ac:dyDescent="0.35">
      <c r="B1469" vm="17180">
        <f ca="1"/>
        <v>44851</v>
      </c>
      <c r="C1469" vm="17181">
        <f ca="1"/>
        <v>99.97</v>
      </c>
      <c r="D1469" vm="17182">
        <f ca="1"/>
        <v>113.79</v>
      </c>
      <c r="E1469" vm="17183">
        <f ca="1"/>
        <v>49.21</v>
      </c>
      <c r="F1469" vm="17184">
        <f ca="1"/>
        <v>540.21</v>
      </c>
      <c r="G1469" vm="17185">
        <f ca="1"/>
        <v>177.04</v>
      </c>
      <c r="H1469" vm="17186">
        <f ca="1"/>
        <v>295.04000000000002</v>
      </c>
      <c r="I1469" vm="17187">
        <f ca="1"/>
        <v>73.650000000000006</v>
      </c>
      <c r="J1469" vm="17188">
        <f ca="1"/>
        <v>42.86</v>
      </c>
      <c r="K1469" vm="17189">
        <f ca="1"/>
        <v>11.888</v>
      </c>
      <c r="L1469" vm="12687">
        <f ca="1"/>
        <v>127.34</v>
      </c>
      <c r="M1469" vm="17190">
        <f ca="1"/>
        <v>521.88</v>
      </c>
      <c r="N1469" vm="17191">
        <f ca="1"/>
        <v>3752.75</v>
      </c>
    </row>
    <row r="1470" spans="2:14" x14ac:dyDescent="0.35">
      <c r="B1470" vm="17192">
        <f ca="1"/>
        <v>44852</v>
      </c>
      <c r="C1470" vm="17193">
        <f ca="1"/>
        <v>100.77</v>
      </c>
      <c r="D1470" vm="17194">
        <f ca="1"/>
        <v>116.36</v>
      </c>
      <c r="E1470" vm="17195">
        <f ca="1"/>
        <v>50.13</v>
      </c>
      <c r="F1470" vm="17196">
        <f ca="1"/>
        <v>525.52</v>
      </c>
      <c r="G1470" vm="9516">
        <f ca="1"/>
        <v>179.88</v>
      </c>
      <c r="H1470" vm="17197">
        <f ca="1"/>
        <v>300.38</v>
      </c>
      <c r="I1470" vm="12046">
        <f ca="1"/>
        <v>75.06</v>
      </c>
      <c r="J1470" vm="5246">
        <f ca="1"/>
        <v>43.36</v>
      </c>
      <c r="K1470" vm="17198">
        <f ca="1"/>
        <v>11.967000000000001</v>
      </c>
      <c r="L1470" vm="17199">
        <f ca="1"/>
        <v>128.37</v>
      </c>
      <c r="M1470" vm="17200">
        <f ca="1"/>
        <v>522.21</v>
      </c>
      <c r="N1470" vm="17201">
        <f ca="1"/>
        <v>3797.34</v>
      </c>
    </row>
    <row r="1471" spans="2:14" x14ac:dyDescent="0.35">
      <c r="B1471" vm="17202">
        <f ca="1"/>
        <v>44853</v>
      </c>
      <c r="C1471" vm="17203">
        <f ca="1"/>
        <v>99.63</v>
      </c>
      <c r="D1471" vm="17204">
        <f ca="1"/>
        <v>115.07</v>
      </c>
      <c r="E1471" vm="17152">
        <f ca="1"/>
        <v>48.94</v>
      </c>
      <c r="F1471" vm="17205">
        <f ca="1"/>
        <v>526.20000000000005</v>
      </c>
      <c r="G1471" vm="17206">
        <f ca="1"/>
        <v>179.28</v>
      </c>
      <c r="H1471" vm="17207">
        <f ca="1"/>
        <v>297.76</v>
      </c>
      <c r="I1471" vm="17208">
        <f ca="1"/>
        <v>73.64</v>
      </c>
      <c r="J1471" vm="17209">
        <f ca="1"/>
        <v>45.47</v>
      </c>
      <c r="K1471" vm="17210">
        <f ca="1"/>
        <v>12.051</v>
      </c>
      <c r="L1471" vm="17211">
        <f ca="1"/>
        <v>129.56</v>
      </c>
      <c r="M1471" vm="17212">
        <f ca="1"/>
        <v>520.32000000000005</v>
      </c>
      <c r="N1471" vm="17213">
        <f ca="1"/>
        <v>3859.11</v>
      </c>
    </row>
    <row r="1472" spans="2:14" x14ac:dyDescent="0.35">
      <c r="B1472" vm="17214">
        <f ca="1"/>
        <v>44854</v>
      </c>
      <c r="C1472" vm="17181">
        <f ca="1"/>
        <v>99.97</v>
      </c>
      <c r="D1472" vm="17215">
        <f ca="1"/>
        <v>115.25</v>
      </c>
      <c r="E1472" vm="17216">
        <f ca="1"/>
        <v>48.51</v>
      </c>
      <c r="F1472" vm="17217">
        <f ca="1"/>
        <v>534.6</v>
      </c>
      <c r="G1472" vm="17218">
        <f ca="1"/>
        <v>177.64</v>
      </c>
      <c r="H1472" vm="17219">
        <f ca="1"/>
        <v>296.27999999999997</v>
      </c>
      <c r="I1472" vm="17220">
        <f ca="1"/>
        <v>70.64</v>
      </c>
      <c r="J1472" vm="17221">
        <f ca="1"/>
        <v>45.69</v>
      </c>
      <c r="K1472" vm="17222">
        <f ca="1"/>
        <v>12.194000000000001</v>
      </c>
      <c r="L1472" vm="17223">
        <f ca="1"/>
        <v>126.99</v>
      </c>
      <c r="M1472" vm="17224">
        <f ca="1"/>
        <v>520.88</v>
      </c>
      <c r="N1472" vm="17225">
        <f ca="1"/>
        <v>3830.6</v>
      </c>
    </row>
    <row r="1473" spans="2:14" x14ac:dyDescent="0.35">
      <c r="B1473" vm="17226">
        <f ca="1"/>
        <v>44855</v>
      </c>
      <c r="C1473" vm="17227">
        <f ca="1"/>
        <v>101.13</v>
      </c>
      <c r="D1473" vm="8067">
        <f ca="1"/>
        <v>119.32</v>
      </c>
      <c r="E1473" vm="17228">
        <f ca="1"/>
        <v>49.2</v>
      </c>
      <c r="F1473" vm="17229">
        <f ca="1"/>
        <v>531.16</v>
      </c>
      <c r="G1473" vm="17230">
        <f ca="1"/>
        <v>182.81</v>
      </c>
      <c r="H1473" vm="17231">
        <f ca="1"/>
        <v>302.37</v>
      </c>
      <c r="I1473" vm="17232">
        <f ca="1"/>
        <v>71.650000000000006</v>
      </c>
      <c r="J1473" vm="17233">
        <f ca="1"/>
        <v>50.41</v>
      </c>
      <c r="K1473" vm="17234">
        <f ca="1"/>
        <v>12.465999999999999</v>
      </c>
      <c r="L1473" vm="17235">
        <f ca="1"/>
        <v>128.58000000000001</v>
      </c>
      <c r="M1473" vm="17236">
        <f ca="1"/>
        <v>533.73</v>
      </c>
      <c r="N1473" vm="17237">
        <f ca="1"/>
        <v>3807.3</v>
      </c>
    </row>
    <row r="1474" spans="2:14" x14ac:dyDescent="0.35">
      <c r="B1474" vm="17238">
        <f ca="1"/>
        <v>44858</v>
      </c>
      <c r="C1474" vm="17239">
        <f ca="1"/>
        <v>102.52</v>
      </c>
      <c r="D1474" vm="17240">
        <f ca="1"/>
        <v>119.82</v>
      </c>
      <c r="E1474" vm="2439">
        <f ca="1"/>
        <v>49.39</v>
      </c>
      <c r="F1474" vm="17241">
        <f ca="1"/>
        <v>554.89</v>
      </c>
      <c r="G1474" vm="1703">
        <f ca="1"/>
        <v>186.9</v>
      </c>
      <c r="H1474" vm="17242">
        <f ca="1"/>
        <v>305.60000000000002</v>
      </c>
      <c r="I1474" vm="4218">
        <f ca="1"/>
        <v>73.28</v>
      </c>
      <c r="J1474" vm="17243">
        <f ca="1"/>
        <v>52.15</v>
      </c>
      <c r="K1474" vm="17244">
        <f ca="1"/>
        <v>12.599</v>
      </c>
      <c r="L1474" vm="17245">
        <f ca="1"/>
        <v>129.37</v>
      </c>
      <c r="M1474" vm="17246">
        <f ca="1"/>
        <v>541.6</v>
      </c>
      <c r="N1474" vm="17247">
        <f ca="1"/>
        <v>3901.06</v>
      </c>
    </row>
    <row r="1475" spans="2:14" x14ac:dyDescent="0.35">
      <c r="B1475" vm="17248">
        <f ca="1"/>
        <v>44859</v>
      </c>
      <c r="C1475" vm="17249">
        <f ca="1"/>
        <v>104.48</v>
      </c>
      <c r="D1475" vm="10005">
        <f ca="1"/>
        <v>120.6</v>
      </c>
      <c r="E1475" vm="17250">
        <f ca="1"/>
        <v>48.42</v>
      </c>
      <c r="F1475" vm="17251">
        <f ca="1"/>
        <v>555.14</v>
      </c>
      <c r="G1475" vm="17252">
        <f ca="1"/>
        <v>189.65</v>
      </c>
      <c r="H1475" vm="17253">
        <f ca="1"/>
        <v>311.41000000000003</v>
      </c>
      <c r="I1475" vm="17254">
        <f ca="1"/>
        <v>75.86</v>
      </c>
      <c r="J1475" vm="17255">
        <f ca="1"/>
        <v>52.47</v>
      </c>
      <c r="K1475" vm="16992">
        <f ca="1"/>
        <v>13.260999999999999</v>
      </c>
      <c r="L1475" vm="17256">
        <f ca="1"/>
        <v>130.86000000000001</v>
      </c>
      <c r="M1475" vm="17257">
        <f ca="1"/>
        <v>540.22</v>
      </c>
      <c r="N1475" vm="17258">
        <f ca="1"/>
        <v>3871.98</v>
      </c>
    </row>
    <row r="1476" spans="2:14" x14ac:dyDescent="0.35">
      <c r="B1476" vm="17259">
        <f ca="1"/>
        <v>44860</v>
      </c>
      <c r="C1476" vm="17260">
        <f ca="1"/>
        <v>94.93</v>
      </c>
      <c r="D1476" vm="17261">
        <f ca="1"/>
        <v>115.66</v>
      </c>
      <c r="E1476" vm="5957">
        <f ca="1"/>
        <v>48.19</v>
      </c>
      <c r="F1476" vm="17262">
        <f ca="1"/>
        <v>554.92999999999995</v>
      </c>
      <c r="G1476" vm="17263">
        <f ca="1"/>
        <v>190.27</v>
      </c>
      <c r="H1476" vm="17264">
        <f ca="1"/>
        <v>319.51</v>
      </c>
      <c r="I1476" vm="3210">
        <f ca="1"/>
        <v>75.599999999999994</v>
      </c>
      <c r="J1476" vm="17265">
        <f ca="1"/>
        <v>52.18</v>
      </c>
      <c r="K1476" vm="17266">
        <f ca="1"/>
        <v>12.896000000000001</v>
      </c>
      <c r="L1476" vm="17267">
        <f ca="1"/>
        <v>131.78</v>
      </c>
      <c r="M1476" vm="17268">
        <f ca="1"/>
        <v>543.16999999999996</v>
      </c>
      <c r="N1476" vm="17269">
        <f ca="1"/>
        <v>3856.1</v>
      </c>
    </row>
    <row r="1477" spans="2:14" x14ac:dyDescent="0.35">
      <c r="B1477" vm="17270">
        <f ca="1"/>
        <v>44861</v>
      </c>
      <c r="C1477" vm="17271">
        <f ca="1"/>
        <v>92.22</v>
      </c>
      <c r="D1477" vm="566">
        <f ca="1"/>
        <v>110.96</v>
      </c>
      <c r="E1477" vm="17272">
        <f ca="1"/>
        <v>47.77</v>
      </c>
      <c r="F1477" vm="17273">
        <f ca="1"/>
        <v>568.04999999999995</v>
      </c>
      <c r="G1477" vm="17274">
        <f ca="1"/>
        <v>196.49</v>
      </c>
      <c r="H1477" vm="17275">
        <f ca="1"/>
        <v>319.37</v>
      </c>
      <c r="I1477" vm="17276">
        <f ca="1"/>
        <v>75.47</v>
      </c>
      <c r="J1477" vm="17277">
        <f ca="1"/>
        <v>51.68</v>
      </c>
      <c r="K1477" vm="16983">
        <f ca="1"/>
        <v>13.176</v>
      </c>
      <c r="L1477" vm="17278">
        <f ca="1"/>
        <v>131.88</v>
      </c>
      <c r="M1477" vm="17279">
        <f ca="1"/>
        <v>541.79999999999995</v>
      </c>
      <c r="N1477" vm="17280">
        <f ca="1"/>
        <v>3759.69</v>
      </c>
    </row>
    <row r="1478" spans="2:14" x14ac:dyDescent="0.35">
      <c r="B1478" vm="17281">
        <f ca="1"/>
        <v>44862</v>
      </c>
      <c r="C1478" vm="17282">
        <f ca="1"/>
        <v>96.29</v>
      </c>
      <c r="D1478" vm="17283">
        <f ca="1"/>
        <v>103.41</v>
      </c>
      <c r="E1478" vm="17284">
        <f ca="1"/>
        <v>49.6</v>
      </c>
      <c r="F1478" vm="17285">
        <f ca="1"/>
        <v>566.44000000000005</v>
      </c>
      <c r="G1478" vm="17286">
        <f ca="1"/>
        <v>204.93</v>
      </c>
      <c r="H1478" vm="17287">
        <f ca="1"/>
        <v>329.47</v>
      </c>
      <c r="I1478" vm="13866">
        <f ca="1"/>
        <v>79.03</v>
      </c>
      <c r="J1478" vm="17288">
        <f ca="1"/>
        <v>50.45</v>
      </c>
      <c r="K1478" vm="17289">
        <f ca="1"/>
        <v>13.834</v>
      </c>
      <c r="L1478" vm="17290">
        <f ca="1"/>
        <v>135.22</v>
      </c>
      <c r="M1478" vm="17291">
        <f ca="1"/>
        <v>551.24</v>
      </c>
      <c r="N1478" vm="17292">
        <f ca="1"/>
        <v>3719.89</v>
      </c>
    </row>
    <row r="1479" spans="2:14" x14ac:dyDescent="0.35">
      <c r="B1479" vm="17293">
        <f ca="1"/>
        <v>44865</v>
      </c>
      <c r="C1479" vm="5879">
        <f ca="1"/>
        <v>94.51</v>
      </c>
      <c r="D1479" vm="6719">
        <f ca="1"/>
        <v>102.44</v>
      </c>
      <c r="E1479" vm="2439">
        <f ca="1"/>
        <v>49.39</v>
      </c>
      <c r="F1479" vm="17294">
        <f ca="1"/>
        <v>554.51</v>
      </c>
      <c r="G1479" vm="6342">
        <f ca="1"/>
        <v>204.02</v>
      </c>
      <c r="H1479" vm="17295">
        <f ca="1"/>
        <v>328.18</v>
      </c>
      <c r="I1479" vm="17296">
        <f ca="1"/>
        <v>77.5</v>
      </c>
      <c r="J1479" vm="6362">
        <f ca="1"/>
        <v>52.03</v>
      </c>
      <c r="K1479" vm="17297">
        <f ca="1"/>
        <v>13.497</v>
      </c>
      <c r="L1479" vm="17298">
        <f ca="1"/>
        <v>134.66999999999999</v>
      </c>
      <c r="M1479" vm="17299">
        <f ca="1"/>
        <v>555.15</v>
      </c>
      <c r="N1479" vm="17300">
        <f ca="1"/>
        <v>3770.55</v>
      </c>
    </row>
    <row r="1480" spans="2:14" x14ac:dyDescent="0.35">
      <c r="B1480" vm="17301">
        <f ca="1"/>
        <v>44866</v>
      </c>
      <c r="C1480" vm="3212">
        <f ca="1"/>
        <v>90.47</v>
      </c>
      <c r="D1480" vm="17302">
        <f ca="1"/>
        <v>96.79</v>
      </c>
      <c r="E1480" vm="17303">
        <f ca="1"/>
        <v>49.46</v>
      </c>
      <c r="F1480" vm="17304">
        <f ca="1"/>
        <v>549.25</v>
      </c>
      <c r="G1480" vm="17305">
        <f ca="1"/>
        <v>203.1</v>
      </c>
      <c r="H1480" vm="11866">
        <f ca="1"/>
        <v>333.19</v>
      </c>
      <c r="I1480" vm="17306">
        <f ca="1"/>
        <v>77.709999999999994</v>
      </c>
      <c r="J1480" vm="17307">
        <f ca="1"/>
        <v>51.55</v>
      </c>
      <c r="K1480" vm="17308">
        <f ca="1"/>
        <v>13.542999999999999</v>
      </c>
      <c r="L1480" vm="17309">
        <f ca="1"/>
        <v>134.88</v>
      </c>
      <c r="M1480" vm="17310">
        <f ca="1"/>
        <v>547.30999999999995</v>
      </c>
      <c r="N1480" vm="17311">
        <f ca="1"/>
        <v>3806.8</v>
      </c>
    </row>
    <row r="1481" spans="2:14" x14ac:dyDescent="0.35">
      <c r="B1481" vm="17312">
        <f ca="1"/>
        <v>44867</v>
      </c>
      <c r="C1481" vm="17313">
        <f ca="1"/>
        <v>86.97</v>
      </c>
      <c r="D1481" vm="2387">
        <f ca="1"/>
        <v>92.12</v>
      </c>
      <c r="E1481" vm="17314">
        <f ca="1"/>
        <v>47.85</v>
      </c>
      <c r="F1481" vm="17315">
        <f ca="1"/>
        <v>585.35</v>
      </c>
      <c r="G1481" vm="17316">
        <f ca="1"/>
        <v>200.47</v>
      </c>
      <c r="H1481" vm="17317">
        <f ca="1"/>
        <v>319.82</v>
      </c>
      <c r="I1481" vm="13070">
        <f ca="1"/>
        <v>77.28</v>
      </c>
      <c r="J1481" vm="17318">
        <f ca="1"/>
        <v>51.14</v>
      </c>
      <c r="K1481" vm="17319">
        <f ca="1"/>
        <v>13.218999999999999</v>
      </c>
      <c r="L1481" vm="17320">
        <f ca="1"/>
        <v>132.94</v>
      </c>
      <c r="M1481" vm="17321">
        <f ca="1"/>
        <v>543.42999999999995</v>
      </c>
      <c r="N1481" vm="17322">
        <f ca="1"/>
        <v>3828.11</v>
      </c>
    </row>
    <row r="1482" spans="2:14" x14ac:dyDescent="0.35">
      <c r="B1482" vm="17323">
        <f ca="1"/>
        <v>44868</v>
      </c>
      <c r="C1482" vm="17324">
        <f ca="1"/>
        <v>83.43</v>
      </c>
      <c r="D1482" vm="1803">
        <f ca="1"/>
        <v>89.3</v>
      </c>
      <c r="E1482" vm="17325">
        <f ca="1"/>
        <v>51.03</v>
      </c>
      <c r="F1482" vm="17326">
        <f ca="1"/>
        <v>611.09</v>
      </c>
      <c r="G1482" vm="17327">
        <f ca="1"/>
        <v>204.39</v>
      </c>
      <c r="H1482" vm="17328">
        <f ca="1"/>
        <v>309.17</v>
      </c>
      <c r="I1482" vm="3318">
        <f ca="1"/>
        <v>78.180000000000007</v>
      </c>
      <c r="J1482" vm="17329">
        <f ca="1"/>
        <v>51.8</v>
      </c>
      <c r="K1482" vm="17330">
        <f ca="1"/>
        <v>13.420999999999999</v>
      </c>
      <c r="L1482" vm="13498">
        <f ca="1"/>
        <v>132.03</v>
      </c>
      <c r="M1482" vm="17331">
        <f ca="1"/>
        <v>543.61</v>
      </c>
      <c r="N1482" vm="17332">
        <f ca="1"/>
        <v>3748.57</v>
      </c>
    </row>
    <row r="1483" spans="2:14" x14ac:dyDescent="0.35">
      <c r="B1483" vm="17333">
        <f ca="1"/>
        <v>44869</v>
      </c>
      <c r="C1483" vm="2674">
        <f ca="1"/>
        <v>86.58</v>
      </c>
      <c r="D1483" vm="2364">
        <f ca="1"/>
        <v>90.98</v>
      </c>
      <c r="E1483" vm="17334">
        <f ca="1"/>
        <v>50.85</v>
      </c>
      <c r="F1483" vm="17335">
        <f ca="1"/>
        <v>606.52</v>
      </c>
      <c r="G1483" vm="17336">
        <f ca="1"/>
        <v>207.85</v>
      </c>
      <c r="H1483" vm="17337">
        <f ca="1"/>
        <v>318.37</v>
      </c>
      <c r="I1483" vm="3901">
        <f ca="1"/>
        <v>78.8</v>
      </c>
      <c r="J1483" vm="17338">
        <f ca="1"/>
        <v>53.1</v>
      </c>
      <c r="K1483" vm="17339">
        <f ca="1"/>
        <v>14.156000000000001</v>
      </c>
      <c r="L1483" vm="17340">
        <f ca="1"/>
        <v>134.44</v>
      </c>
      <c r="M1483" vm="17341">
        <f ca="1"/>
        <v>538.16999999999996</v>
      </c>
      <c r="N1483" vm="17342">
        <f ca="1"/>
        <v>3956.37</v>
      </c>
    </row>
    <row r="1484" spans="2:14" x14ac:dyDescent="0.35">
      <c r="B1484" vm="17343">
        <f ca="1"/>
        <v>44872</v>
      </c>
      <c r="C1484" vm="17344">
        <f ca="1"/>
        <v>88.49</v>
      </c>
      <c r="D1484" vm="16727">
        <f ca="1"/>
        <v>90.53</v>
      </c>
      <c r="E1484" vm="17345">
        <f ca="1"/>
        <v>51.01</v>
      </c>
      <c r="F1484" vm="17346">
        <f ca="1"/>
        <v>596.25</v>
      </c>
      <c r="G1484" vm="17347">
        <f ca="1"/>
        <v>209.77</v>
      </c>
      <c r="H1484" vm="17348">
        <f ca="1"/>
        <v>325.13</v>
      </c>
      <c r="I1484" vm="17349">
        <f ca="1"/>
        <v>77.290000000000006</v>
      </c>
      <c r="J1484" vm="17350">
        <f ca="1"/>
        <v>54.81</v>
      </c>
      <c r="K1484" vm="17351">
        <f ca="1"/>
        <v>14.301</v>
      </c>
      <c r="L1484" vm="12901">
        <f ca="1"/>
        <v>136.5</v>
      </c>
      <c r="M1484" vm="17352">
        <f ca="1"/>
        <v>545.02</v>
      </c>
      <c r="N1484" vm="17353">
        <f ca="1"/>
        <v>3992.93</v>
      </c>
    </row>
    <row r="1485" spans="2:14" x14ac:dyDescent="0.35">
      <c r="B1485" vm="17354">
        <f ca="1"/>
        <v>44873</v>
      </c>
      <c r="C1485" vm="8719">
        <f ca="1"/>
        <v>88.9</v>
      </c>
      <c r="D1485" vm="17355">
        <f ca="1"/>
        <v>89.98</v>
      </c>
      <c r="E1485" vm="17356">
        <f ca="1"/>
        <v>50.54</v>
      </c>
      <c r="F1485" vm="17357">
        <f ca="1"/>
        <v>597.95000000000005</v>
      </c>
      <c r="G1485" vm="17358">
        <f ca="1"/>
        <v>211.36</v>
      </c>
      <c r="H1485" vm="17359">
        <f ca="1"/>
        <v>325.75</v>
      </c>
      <c r="I1485" vm="3948">
        <f ca="1"/>
        <v>78.27</v>
      </c>
      <c r="J1485" vm="17360">
        <f ca="1"/>
        <v>54.69</v>
      </c>
      <c r="K1485" vm="17361">
        <f ca="1"/>
        <v>14.602</v>
      </c>
      <c r="L1485" vm="5946">
        <f ca="1"/>
        <v>136.81</v>
      </c>
      <c r="M1485" vm="17362">
        <f ca="1"/>
        <v>553.04999999999995</v>
      </c>
      <c r="N1485" vm="17363">
        <f ca="1"/>
        <v>3957.25</v>
      </c>
    </row>
    <row r="1486" spans="2:14" x14ac:dyDescent="0.35">
      <c r="B1486" vm="17364">
        <f ca="1"/>
        <v>44874</v>
      </c>
      <c r="C1486" vm="17365">
        <f ca="1"/>
        <v>87.32</v>
      </c>
      <c r="D1486" vm="17366">
        <f ca="1"/>
        <v>86.14</v>
      </c>
      <c r="E1486" vm="17367">
        <f ca="1"/>
        <v>49.55</v>
      </c>
      <c r="F1486" vm="17368">
        <f ca="1"/>
        <v>648</v>
      </c>
      <c r="G1486" vm="17369">
        <f ca="1"/>
        <v>208.63</v>
      </c>
      <c r="H1486" vm="17370">
        <f ca="1"/>
        <v>315.64</v>
      </c>
      <c r="I1486" vm="4006">
        <f ca="1"/>
        <v>78.2</v>
      </c>
      <c r="J1486" vm="17371">
        <f ca="1"/>
        <v>53.07</v>
      </c>
      <c r="K1486" vm="17372">
        <f ca="1"/>
        <v>13.776</v>
      </c>
      <c r="L1486" vm="17373">
        <f ca="1"/>
        <v>136.47999999999999</v>
      </c>
      <c r="M1486" vm="17374">
        <f ca="1"/>
        <v>540.66</v>
      </c>
      <c r="N1486" vm="17375">
        <f ca="1"/>
        <v>3991.73</v>
      </c>
    </row>
    <row r="1487" spans="2:14" x14ac:dyDescent="0.35">
      <c r="B1487" vm="17376">
        <f ca="1"/>
        <v>44875</v>
      </c>
      <c r="C1487" vm="14863">
        <f ca="1"/>
        <v>93.94</v>
      </c>
      <c r="D1487" vm="17377">
        <f ca="1"/>
        <v>96.63</v>
      </c>
      <c r="E1487" vm="17378">
        <f ca="1"/>
        <v>53.5</v>
      </c>
      <c r="F1487" vm="17379">
        <f ca="1"/>
        <v>660.6</v>
      </c>
      <c r="G1487" vm="17380">
        <f ca="1"/>
        <v>214.8</v>
      </c>
      <c r="H1487" vm="17381">
        <f ca="1"/>
        <v>337.27</v>
      </c>
      <c r="I1487" vm="15150">
        <f ca="1"/>
        <v>83.2</v>
      </c>
      <c r="J1487" vm="17338">
        <f ca="1"/>
        <v>53.1</v>
      </c>
      <c r="K1487" vm="10110">
        <f ca="1"/>
        <v>15.75</v>
      </c>
      <c r="L1487" vm="6291">
        <f ca="1"/>
        <v>141.18</v>
      </c>
      <c r="M1487" vm="17382">
        <f ca="1"/>
        <v>544.16999999999996</v>
      </c>
      <c r="N1487" vm="17383">
        <f ca="1"/>
        <v>3958.79</v>
      </c>
    </row>
    <row r="1488" spans="2:14" x14ac:dyDescent="0.35">
      <c r="B1488" vm="17384">
        <f ca="1"/>
        <v>44876</v>
      </c>
      <c r="C1488" vm="17385">
        <f ca="1"/>
        <v>96.41</v>
      </c>
      <c r="D1488" vm="17386">
        <f ca="1"/>
        <v>100.79</v>
      </c>
      <c r="E1488" vm="5541">
        <f ca="1"/>
        <v>56.81</v>
      </c>
      <c r="F1488" vm="17387">
        <f ca="1"/>
        <v>638.94000000000005</v>
      </c>
      <c r="G1488" vm="17388">
        <f ca="1"/>
        <v>212.73</v>
      </c>
      <c r="H1488" vm="17389">
        <f ca="1"/>
        <v>339.29</v>
      </c>
      <c r="I1488" vm="17390">
        <f ca="1"/>
        <v>83.31</v>
      </c>
      <c r="J1488" vm="17391">
        <f ca="1"/>
        <v>54.82</v>
      </c>
      <c r="K1488" vm="17392">
        <f ca="1"/>
        <v>16.327000000000002</v>
      </c>
      <c r="L1488" vm="17393">
        <f ca="1"/>
        <v>140.97</v>
      </c>
      <c r="M1488" vm="17394">
        <f ca="1"/>
        <v>522.08000000000004</v>
      </c>
      <c r="N1488" vm="17395">
        <f ca="1"/>
        <v>3946.56</v>
      </c>
    </row>
    <row r="1489" spans="2:14" x14ac:dyDescent="0.35">
      <c r="B1489" vm="17396">
        <f ca="1"/>
        <v>44879</v>
      </c>
      <c r="C1489" vm="14731">
        <f ca="1"/>
        <v>95.7</v>
      </c>
      <c r="D1489" vm="17397">
        <f ca="1"/>
        <v>98.49</v>
      </c>
      <c r="E1489" vm="16878">
        <f ca="1"/>
        <v>55.54</v>
      </c>
      <c r="F1489" vm="17398">
        <f ca="1"/>
        <v>657.23</v>
      </c>
      <c r="G1489" vm="17399">
        <f ca="1"/>
        <v>213</v>
      </c>
      <c r="H1489" vm="17400">
        <f ca="1"/>
        <v>339.37</v>
      </c>
      <c r="I1489" vm="17401">
        <f ca="1"/>
        <v>81.66</v>
      </c>
      <c r="J1489" vm="17402">
        <f ca="1"/>
        <v>54.07</v>
      </c>
      <c r="K1489" vm="17403">
        <f ca="1"/>
        <v>16.295000000000002</v>
      </c>
      <c r="L1489" vm="17404">
        <f ca="1"/>
        <v>140.97999999999999</v>
      </c>
      <c r="M1489" vm="17405">
        <f ca="1"/>
        <v>513.75</v>
      </c>
      <c r="N1489" vm="17406">
        <f ca="1"/>
        <v>3965.34</v>
      </c>
    </row>
    <row r="1490" spans="2:14" x14ac:dyDescent="0.35">
      <c r="B1490" vm="17407">
        <f ca="1"/>
        <v>44880</v>
      </c>
      <c r="C1490" vm="6597">
        <f ca="1"/>
        <v>98.44</v>
      </c>
      <c r="D1490" vm="17408">
        <f ca="1"/>
        <v>98.94</v>
      </c>
      <c r="E1490" vm="17409">
        <f ca="1"/>
        <v>55.49</v>
      </c>
      <c r="F1490" vm="17410">
        <f ca="1"/>
        <v>647.89</v>
      </c>
      <c r="G1490" vm="17411">
        <f ca="1"/>
        <v>215.43</v>
      </c>
      <c r="H1490" vm="17412">
        <f ca="1"/>
        <v>343.51</v>
      </c>
      <c r="I1490" vm="17413">
        <f ca="1"/>
        <v>82.91</v>
      </c>
      <c r="J1490" vm="6554">
        <f ca="1"/>
        <v>54.67</v>
      </c>
      <c r="K1490" vm="17414">
        <f ca="1"/>
        <v>16.666</v>
      </c>
      <c r="L1490" vm="17415">
        <f ca="1"/>
        <v>140.49</v>
      </c>
      <c r="M1490" vm="17416">
        <f ca="1"/>
        <v>503.01</v>
      </c>
      <c r="N1490" vm="17417">
        <f ca="1"/>
        <v>3949.94</v>
      </c>
    </row>
    <row r="1491" spans="2:14" x14ac:dyDescent="0.35">
      <c r="B1491" vm="17418">
        <f ca="1"/>
        <v>44881</v>
      </c>
      <c r="C1491" vm="17419">
        <f ca="1"/>
        <v>98.85</v>
      </c>
      <c r="D1491" vm="17420">
        <f ca="1"/>
        <v>97.12</v>
      </c>
      <c r="E1491" vm="8002">
        <f ca="1"/>
        <v>54.74</v>
      </c>
      <c r="F1491" vm="17421">
        <f ca="1"/>
        <v>639.94000000000005</v>
      </c>
      <c r="G1491" vm="3854">
        <f ca="1"/>
        <v>214</v>
      </c>
      <c r="H1491" vm="17422">
        <f ca="1"/>
        <v>342.76</v>
      </c>
      <c r="I1491" vm="12779">
        <f ca="1"/>
        <v>84.32</v>
      </c>
      <c r="J1491" vm="17423">
        <f ca="1"/>
        <v>52.99</v>
      </c>
      <c r="K1491" vm="17424">
        <f ca="1"/>
        <v>15.91</v>
      </c>
      <c r="L1491" vm="6329">
        <f ca="1"/>
        <v>141.74</v>
      </c>
      <c r="M1491" vm="17425">
        <f ca="1"/>
        <v>511.52</v>
      </c>
      <c r="N1491" vm="17426">
        <f ca="1"/>
        <v>4003.58</v>
      </c>
    </row>
    <row r="1492" spans="2:14" x14ac:dyDescent="0.35">
      <c r="B1492" vm="17427">
        <f ca="1"/>
        <v>44882</v>
      </c>
      <c r="C1492" vm="17428">
        <f ca="1"/>
        <v>98.36</v>
      </c>
      <c r="D1492" vm="14017">
        <f ca="1"/>
        <v>94.85</v>
      </c>
      <c r="E1492" vm="17429">
        <f ca="1"/>
        <v>54.37</v>
      </c>
      <c r="F1492" vm="17430">
        <f ca="1"/>
        <v>647.41</v>
      </c>
      <c r="G1492" vm="17431">
        <f ca="1"/>
        <v>214.51</v>
      </c>
      <c r="H1492" vm="16526">
        <f ca="1"/>
        <v>341.27</v>
      </c>
      <c r="I1492" vm="4920">
        <f ca="1"/>
        <v>82.35</v>
      </c>
      <c r="J1492" vm="17432">
        <f ca="1"/>
        <v>52.83</v>
      </c>
      <c r="K1492" vm="17433">
        <f ca="1"/>
        <v>15.677</v>
      </c>
      <c r="L1492" vm="17434">
        <f ca="1"/>
        <v>140.87</v>
      </c>
      <c r="M1492" vm="17435">
        <f ca="1"/>
        <v>515.30999999999995</v>
      </c>
      <c r="N1492" vm="17436">
        <f ca="1"/>
        <v>4027.26</v>
      </c>
    </row>
    <row r="1493" spans="2:14" x14ac:dyDescent="0.35">
      <c r="B1493" vm="17437">
        <f ca="1"/>
        <v>44883</v>
      </c>
      <c r="C1493" vm="17438">
        <f ca="1"/>
        <v>97.43</v>
      </c>
      <c r="D1493" vm="17439">
        <f ca="1"/>
        <v>94.14</v>
      </c>
      <c r="E1493" vm="5552">
        <f ca="1"/>
        <v>55.09</v>
      </c>
      <c r="F1493" vm="17440">
        <f ca="1"/>
        <v>654.89</v>
      </c>
      <c r="G1493" vm="17441">
        <f ca="1"/>
        <v>214.53</v>
      </c>
      <c r="H1493" vm="17442">
        <f ca="1"/>
        <v>343.69</v>
      </c>
      <c r="I1493" vm="15150">
        <f ca="1"/>
        <v>83.2</v>
      </c>
      <c r="J1493" vm="17443">
        <f ca="1"/>
        <v>53.44</v>
      </c>
      <c r="K1493" vm="17444">
        <f ca="1"/>
        <v>15.409000000000001</v>
      </c>
      <c r="L1493" vm="16636">
        <f ca="1"/>
        <v>142.57</v>
      </c>
      <c r="M1493" vm="17445">
        <f ca="1"/>
        <v>530</v>
      </c>
      <c r="N1493" vm="17446">
        <f ca="1"/>
        <v>4026.12</v>
      </c>
    </row>
    <row r="1494" spans="2:14" x14ac:dyDescent="0.35">
      <c r="B1494" vm="17447">
        <f ca="1"/>
        <v>44886</v>
      </c>
      <c r="C1494" vm="17448">
        <f ca="1"/>
        <v>95.6</v>
      </c>
      <c r="D1494" vm="6163">
        <f ca="1"/>
        <v>92.46</v>
      </c>
      <c r="E1494" vm="17449">
        <f ca="1"/>
        <v>55.19</v>
      </c>
      <c r="F1494" vm="17450">
        <f ca="1"/>
        <v>656.07</v>
      </c>
      <c r="G1494" vm="17451">
        <f ca="1"/>
        <v>216.56</v>
      </c>
      <c r="H1494" vm="17452">
        <f ca="1"/>
        <v>338.25</v>
      </c>
      <c r="I1494" vm="12429">
        <f ca="1"/>
        <v>83.6</v>
      </c>
      <c r="J1494" vm="17453">
        <f ca="1"/>
        <v>52.27</v>
      </c>
      <c r="K1494" vm="17454">
        <f ca="1"/>
        <v>15.317</v>
      </c>
      <c r="L1494" vm="17455">
        <f ca="1"/>
        <v>144.38</v>
      </c>
      <c r="M1494" vm="17456">
        <f ca="1"/>
        <v>517.19000000000005</v>
      </c>
      <c r="N1494" vm="17457">
        <f ca="1"/>
        <v>3963.94</v>
      </c>
    </row>
    <row r="1495" spans="2:14" x14ac:dyDescent="0.35">
      <c r="B1495" vm="17458">
        <f ca="1"/>
        <v>44887</v>
      </c>
      <c r="C1495" vm="17459">
        <f ca="1"/>
        <v>97.05</v>
      </c>
      <c r="D1495" vm="17460">
        <f ca="1"/>
        <v>93.2</v>
      </c>
      <c r="E1495" vm="17461">
        <f ca="1"/>
        <v>55.4</v>
      </c>
      <c r="F1495" vm="17462">
        <f ca="1"/>
        <v>671.77</v>
      </c>
      <c r="G1495" vm="17463">
        <f ca="1"/>
        <v>218.76</v>
      </c>
      <c r="H1495" vm="17464">
        <f ca="1"/>
        <v>344.96</v>
      </c>
      <c r="I1495" vm="17465">
        <f ca="1"/>
        <v>84.11</v>
      </c>
      <c r="J1495" vm="17466">
        <f ca="1"/>
        <v>53.64</v>
      </c>
      <c r="K1495" vm="17467">
        <f ca="1"/>
        <v>16.038</v>
      </c>
      <c r="L1495" vm="17468">
        <f ca="1"/>
        <v>145.62</v>
      </c>
      <c r="M1495" vm="17469">
        <f ca="1"/>
        <v>523.09</v>
      </c>
      <c r="N1495" vm="17470">
        <f ca="1"/>
        <v>3957.63</v>
      </c>
    </row>
    <row r="1496" spans="2:14" x14ac:dyDescent="0.35">
      <c r="B1496" vm="17471">
        <f ca="1"/>
        <v>44888</v>
      </c>
      <c r="C1496" vm="6476">
        <f ca="1"/>
        <v>98.46</v>
      </c>
      <c r="D1496" vm="17472">
        <f ca="1"/>
        <v>94.13</v>
      </c>
      <c r="E1496" vm="10158">
        <f ca="1"/>
        <v>56.12</v>
      </c>
      <c r="F1496" vm="17473">
        <f ca="1"/>
        <v>674.66</v>
      </c>
      <c r="G1496" vm="6449">
        <f ca="1"/>
        <v>218.91</v>
      </c>
      <c r="H1496" vm="17474">
        <f ca="1"/>
        <v>348.64</v>
      </c>
      <c r="I1496" vm="17475">
        <f ca="1"/>
        <v>84.92</v>
      </c>
      <c r="J1496" vm="17476">
        <f ca="1"/>
        <v>51.42</v>
      </c>
      <c r="K1496" vm="17477">
        <f ca="1"/>
        <v>16.518999999999998</v>
      </c>
      <c r="L1496" vm="16785">
        <f ca="1"/>
        <v>146.44999999999999</v>
      </c>
      <c r="M1496" vm="17478">
        <f ca="1"/>
        <v>529.71</v>
      </c>
      <c r="N1496" vm="17479">
        <f ca="1"/>
        <v>4080.11</v>
      </c>
    </row>
    <row r="1497" spans="2:14" x14ac:dyDescent="0.35">
      <c r="B1497" vm="17480">
        <f ca="1"/>
        <v>44890</v>
      </c>
      <c r="C1497" vm="11699">
        <f ca="1"/>
        <v>97.46</v>
      </c>
      <c r="D1497" vm="17481">
        <f ca="1"/>
        <v>93.41</v>
      </c>
      <c r="E1497" vm="17482">
        <f ca="1"/>
        <v>56.17</v>
      </c>
      <c r="F1497" vm="17483">
        <f ca="1"/>
        <v>662.61</v>
      </c>
      <c r="G1497" vm="5245">
        <f ca="1"/>
        <v>220.05</v>
      </c>
      <c r="H1497" vm="17484">
        <f ca="1"/>
        <v>351.29</v>
      </c>
      <c r="I1497" vm="14103">
        <f ca="1"/>
        <v>85.34</v>
      </c>
      <c r="J1497" vm="17485">
        <f ca="1"/>
        <v>50.83</v>
      </c>
      <c r="K1497" vm="17486">
        <f ca="1"/>
        <v>16.27</v>
      </c>
      <c r="L1497" vm="17487">
        <f ca="1"/>
        <v>146.72</v>
      </c>
      <c r="M1497" vm="17488">
        <f ca="1"/>
        <v>537.62</v>
      </c>
      <c r="N1497" vm="17489">
        <f ca="1"/>
        <v>4076.57</v>
      </c>
    </row>
    <row r="1498" spans="2:14" x14ac:dyDescent="0.35">
      <c r="B1498" vm="17490">
        <f ca="1"/>
        <v>44893</v>
      </c>
      <c r="C1498" vm="7139">
        <f ca="1"/>
        <v>96.05</v>
      </c>
      <c r="D1498" vm="17491">
        <f ca="1"/>
        <v>93.95</v>
      </c>
      <c r="E1498" vm="17492">
        <f ca="1"/>
        <v>55.18</v>
      </c>
      <c r="F1498" vm="17493">
        <f ca="1"/>
        <v>670.96</v>
      </c>
      <c r="G1498" vm="17494">
        <f ca="1"/>
        <v>215.77</v>
      </c>
      <c r="H1498" vm="17495">
        <f ca="1"/>
        <v>344.59</v>
      </c>
      <c r="I1498" vm="17496">
        <f ca="1"/>
        <v>83.73</v>
      </c>
      <c r="J1498" vm="17497">
        <f ca="1"/>
        <v>49.88</v>
      </c>
      <c r="K1498" vm="17498">
        <f ca="1"/>
        <v>15.827</v>
      </c>
      <c r="L1498" vm="17499">
        <f ca="1"/>
        <v>146.6</v>
      </c>
      <c r="M1498" vm="17500">
        <f ca="1"/>
        <v>532.27</v>
      </c>
      <c r="N1498" vm="17501">
        <f ca="1"/>
        <v>4071.7</v>
      </c>
    </row>
    <row r="1499" spans="2:14" x14ac:dyDescent="0.35">
      <c r="B1499" vm="17502">
        <f ca="1"/>
        <v>44894</v>
      </c>
      <c r="C1499" vm="17503">
        <f ca="1"/>
        <v>95.19</v>
      </c>
      <c r="D1499" vm="2399">
        <f ca="1"/>
        <v>92.42</v>
      </c>
      <c r="E1499" vm="8002">
        <f ca="1"/>
        <v>54.74</v>
      </c>
      <c r="F1499" vm="17504">
        <f ca="1"/>
        <v>690.65</v>
      </c>
      <c r="G1499" vm="17505">
        <f ca="1"/>
        <v>216.72</v>
      </c>
      <c r="H1499" vm="17506">
        <f ca="1"/>
        <v>343.13</v>
      </c>
      <c r="I1499" vm="17507">
        <f ca="1"/>
        <v>82.49</v>
      </c>
      <c r="J1499" vm="17508">
        <f ca="1"/>
        <v>51.05</v>
      </c>
      <c r="K1499" vm="17509">
        <f ca="1"/>
        <v>15.638999999999999</v>
      </c>
      <c r="L1499" vm="5642">
        <f ca="1"/>
        <v>145.47999999999999</v>
      </c>
      <c r="M1499" vm="17510">
        <f ca="1"/>
        <v>528</v>
      </c>
      <c r="N1499" vm="17511">
        <f ca="1"/>
        <v>3998.84</v>
      </c>
    </row>
    <row r="1500" spans="2:14" x14ac:dyDescent="0.35">
      <c r="B1500" vm="17512">
        <f ca="1"/>
        <v>44895</v>
      </c>
      <c r="C1500" vm="17513">
        <f ca="1"/>
        <v>100.99</v>
      </c>
      <c r="D1500" vm="17514">
        <f ca="1"/>
        <v>96.54</v>
      </c>
      <c r="E1500" vm="17515">
        <f ca="1"/>
        <v>56.08</v>
      </c>
      <c r="F1500" vm="15299">
        <f ca="1"/>
        <v>698.15</v>
      </c>
      <c r="G1500" vm="17516">
        <f ca="1"/>
        <v>219.55</v>
      </c>
      <c r="H1500" vm="17517">
        <f ca="1"/>
        <v>356.4</v>
      </c>
      <c r="I1500" vm="163">
        <f ca="1"/>
        <v>84.7</v>
      </c>
      <c r="J1500" vm="17307">
        <f ca="1"/>
        <v>51.55</v>
      </c>
      <c r="K1500" vm="17518">
        <f ca="1"/>
        <v>16.922999999999998</v>
      </c>
      <c r="L1500" vm="10858">
        <f ca="1"/>
        <v>149.16</v>
      </c>
      <c r="M1500" vm="17519">
        <f ca="1"/>
        <v>547.76</v>
      </c>
      <c r="N1500" vm="17520">
        <f ca="1"/>
        <v>3941.26</v>
      </c>
    </row>
    <row r="1501" spans="2:14" x14ac:dyDescent="0.35">
      <c r="B1501" vm="17521">
        <f ca="1"/>
        <v>44896</v>
      </c>
      <c r="C1501" vm="17513">
        <f ca="1"/>
        <v>100.99</v>
      </c>
      <c r="D1501" vm="11945">
        <f ca="1"/>
        <v>95.5</v>
      </c>
      <c r="E1501" vm="17522">
        <f ca="1"/>
        <v>55.85</v>
      </c>
      <c r="F1501" vm="17523">
        <f ca="1"/>
        <v>691.47</v>
      </c>
      <c r="G1501" vm="17524">
        <f ca="1"/>
        <v>217.39</v>
      </c>
      <c r="H1501" vm="17525">
        <f ca="1"/>
        <v>360.8</v>
      </c>
      <c r="I1501" vm="17526">
        <f ca="1"/>
        <v>84.83</v>
      </c>
      <c r="J1501" vm="17527">
        <f ca="1"/>
        <v>51.76</v>
      </c>
      <c r="K1501" vm="17528">
        <f ca="1"/>
        <v>17.135000000000002</v>
      </c>
      <c r="L1501" vm="17529">
        <f ca="1"/>
        <v>149.25</v>
      </c>
      <c r="M1501" vm="17530">
        <f ca="1"/>
        <v>536.91</v>
      </c>
      <c r="N1501" vm="17531">
        <f ca="1"/>
        <v>3933.92</v>
      </c>
    </row>
    <row r="1502" spans="2:14" x14ac:dyDescent="0.35">
      <c r="B1502" vm="17532">
        <f ca="1"/>
        <v>44897</v>
      </c>
      <c r="C1502" vm="17533">
        <f ca="1"/>
        <v>100.44</v>
      </c>
      <c r="D1502" vm="17472">
        <f ca="1"/>
        <v>94.13</v>
      </c>
      <c r="E1502" vm="16846">
        <f ca="1"/>
        <v>55.81</v>
      </c>
      <c r="F1502" vm="17534">
        <f ca="1"/>
        <v>684.27</v>
      </c>
      <c r="G1502" vm="17535">
        <f ca="1"/>
        <v>219.08</v>
      </c>
      <c r="H1502" vm="17536">
        <f ca="1"/>
        <v>360.06</v>
      </c>
      <c r="I1502" vm="14652">
        <f ca="1"/>
        <v>85.2</v>
      </c>
      <c r="J1502" vm="17537">
        <f ca="1"/>
        <v>52.79</v>
      </c>
      <c r="K1502" vm="17538">
        <f ca="1"/>
        <v>16.876000000000001</v>
      </c>
      <c r="L1502" vm="17539">
        <f ca="1"/>
        <v>150.61000000000001</v>
      </c>
      <c r="M1502" vm="17540">
        <f ca="1"/>
        <v>536.16</v>
      </c>
      <c r="N1502" vm="17541">
        <f ca="1"/>
        <v>3963.51</v>
      </c>
    </row>
    <row r="1503" spans="2:14" x14ac:dyDescent="0.35">
      <c r="B1503" vm="17542">
        <f ca="1"/>
        <v>44900</v>
      </c>
      <c r="C1503" vm="17543">
        <f ca="1"/>
        <v>99.48</v>
      </c>
      <c r="D1503" vm="12990">
        <f ca="1"/>
        <v>91.01</v>
      </c>
      <c r="E1503" vm="17544">
        <f ca="1"/>
        <v>54.35</v>
      </c>
      <c r="F1503" vm="17545">
        <f ca="1"/>
        <v>686.87</v>
      </c>
      <c r="G1503" vm="17546">
        <f ca="1"/>
        <v>215.6</v>
      </c>
      <c r="H1503" vm="17547">
        <f ca="1"/>
        <v>356.09</v>
      </c>
      <c r="I1503" vm="17548">
        <f ca="1"/>
        <v>85.15</v>
      </c>
      <c r="J1503" vm="17549">
        <f ca="1"/>
        <v>51.38</v>
      </c>
      <c r="K1503" vm="11325">
        <f ca="1"/>
        <v>16.61</v>
      </c>
      <c r="L1503" vm="17550">
        <f ca="1"/>
        <v>149.09</v>
      </c>
      <c r="M1503" vm="17551">
        <f ca="1"/>
        <v>535.04</v>
      </c>
      <c r="N1503" vm="17552">
        <f ca="1"/>
        <v>3934.38</v>
      </c>
    </row>
    <row r="1504" spans="2:14" x14ac:dyDescent="0.35">
      <c r="B1504" vm="17553">
        <f ca="1"/>
        <v>44901</v>
      </c>
      <c r="C1504" vm="17554">
        <f ca="1"/>
        <v>96.98</v>
      </c>
      <c r="D1504" vm="2547">
        <f ca="1"/>
        <v>88.25</v>
      </c>
      <c r="E1504" vm="17555">
        <f ca="1"/>
        <v>54.8</v>
      </c>
      <c r="F1504" vm="17556">
        <f ca="1"/>
        <v>685.12</v>
      </c>
      <c r="G1504" vm="17557">
        <f ca="1"/>
        <v>213.19</v>
      </c>
      <c r="H1504" vm="17558">
        <f ca="1"/>
        <v>347.53</v>
      </c>
      <c r="I1504" vm="17559">
        <f ca="1"/>
        <v>85.18</v>
      </c>
      <c r="J1504" vm="17560">
        <f ca="1"/>
        <v>50.88</v>
      </c>
      <c r="K1504" vm="17561">
        <f ca="1"/>
        <v>15.987</v>
      </c>
      <c r="L1504" vm="17562">
        <f ca="1"/>
        <v>149.28</v>
      </c>
      <c r="M1504" vm="17563">
        <f ca="1"/>
        <v>539.32000000000005</v>
      </c>
      <c r="N1504" vm="17564">
        <f ca="1"/>
        <v>3990.56</v>
      </c>
    </row>
    <row r="1505" spans="2:14" x14ac:dyDescent="0.35">
      <c r="B1505" vm="17565">
        <f ca="1"/>
        <v>44902</v>
      </c>
      <c r="C1505" vm="17566">
        <f ca="1"/>
        <v>94.94</v>
      </c>
      <c r="D1505" vm="13210">
        <f ca="1"/>
        <v>88.46</v>
      </c>
      <c r="E1505" vm="17567">
        <f ca="1"/>
        <v>52.49</v>
      </c>
      <c r="F1505" vm="17568">
        <f ca="1"/>
        <v>683.34</v>
      </c>
      <c r="G1505" vm="5187">
        <f ca="1"/>
        <v>213.45</v>
      </c>
      <c r="H1505" vm="12170">
        <f ca="1"/>
        <v>347.42</v>
      </c>
      <c r="I1505" vm="13642">
        <f ca="1"/>
        <v>85.29</v>
      </c>
      <c r="J1505" vm="17569">
        <f ca="1"/>
        <v>49.8</v>
      </c>
      <c r="K1505" vm="11480">
        <f ca="1"/>
        <v>16.12</v>
      </c>
      <c r="L1505" vm="17570">
        <f ca="1"/>
        <v>150.24</v>
      </c>
      <c r="M1505" vm="17571">
        <f ca="1"/>
        <v>542.91</v>
      </c>
      <c r="N1505" vm="17572">
        <f ca="1"/>
        <v>4019.65</v>
      </c>
    </row>
    <row r="1506" spans="2:14" x14ac:dyDescent="0.35">
      <c r="B1506" vm="17573">
        <f ca="1"/>
        <v>44903</v>
      </c>
      <c r="C1506" vm="17574">
        <f ca="1"/>
        <v>93.71</v>
      </c>
      <c r="D1506" vm="17575">
        <f ca="1"/>
        <v>90.35</v>
      </c>
      <c r="E1506" vm="17576">
        <f ca="1"/>
        <v>53.89</v>
      </c>
      <c r="F1506" vm="17577">
        <f ca="1"/>
        <v>675.8</v>
      </c>
      <c r="G1506" vm="17578">
        <f ca="1"/>
        <v>213.35</v>
      </c>
      <c r="H1506" vm="17579">
        <f ca="1"/>
        <v>351.17</v>
      </c>
      <c r="I1506" vm="17580">
        <f ca="1"/>
        <v>85.76</v>
      </c>
      <c r="J1506" vm="17581">
        <f ca="1"/>
        <v>49.92</v>
      </c>
      <c r="K1506" vm="17582">
        <f ca="1"/>
        <v>17.169</v>
      </c>
      <c r="L1506" vm="17583">
        <f ca="1"/>
        <v>151.32</v>
      </c>
      <c r="M1506" vm="17584">
        <f ca="1"/>
        <v>547.91999999999996</v>
      </c>
      <c r="N1506" vm="17585">
        <f ca="1"/>
        <v>3995.32</v>
      </c>
    </row>
    <row r="1507" spans="2:14" x14ac:dyDescent="0.35">
      <c r="B1507" vm="17586">
        <f ca="1"/>
        <v>44904</v>
      </c>
      <c r="C1507" vm="17587">
        <f ca="1"/>
        <v>92.83</v>
      </c>
      <c r="D1507" vm="17588">
        <f ca="1"/>
        <v>89.09</v>
      </c>
      <c r="E1507" vm="17589">
        <f ca="1"/>
        <v>53.56</v>
      </c>
      <c r="F1507" vm="17590">
        <f ca="1"/>
        <v>680.37</v>
      </c>
      <c r="G1507" vm="17591">
        <f ca="1"/>
        <v>211.63</v>
      </c>
      <c r="H1507" vm="17592">
        <f ca="1"/>
        <v>348.83</v>
      </c>
      <c r="I1507" vm="17593">
        <f ca="1"/>
        <v>84.51</v>
      </c>
      <c r="J1507" vm="6546">
        <f ca="1"/>
        <v>46.97</v>
      </c>
      <c r="K1507" vm="17594">
        <f ca="1"/>
        <v>17.001000000000001</v>
      </c>
      <c r="L1507" vm="17595">
        <f ca="1"/>
        <v>150.91999999999999</v>
      </c>
      <c r="M1507" vm="17596">
        <f ca="1"/>
        <v>539.20000000000005</v>
      </c>
      <c r="N1507" vm="17597">
        <f ca="1"/>
        <v>3895.75</v>
      </c>
    </row>
    <row r="1508" spans="2:14" x14ac:dyDescent="0.35">
      <c r="B1508" vm="17598">
        <f ca="1"/>
        <v>44907</v>
      </c>
      <c r="C1508" vm="5903">
        <f ca="1"/>
        <v>93.31</v>
      </c>
      <c r="D1508" vm="12977">
        <f ca="1"/>
        <v>90.55</v>
      </c>
      <c r="E1508" vm="3012">
        <f ca="1"/>
        <v>53.6</v>
      </c>
      <c r="F1508" vm="17599">
        <f ca="1"/>
        <v>707.01</v>
      </c>
      <c r="G1508" vm="17600">
        <f ca="1"/>
        <v>214.5</v>
      </c>
      <c r="H1508" vm="17601">
        <f ca="1"/>
        <v>358.17</v>
      </c>
      <c r="I1508" vm="1104">
        <f ca="1"/>
        <v>86.55</v>
      </c>
      <c r="J1508" vm="5723">
        <f ca="1"/>
        <v>49.1</v>
      </c>
      <c r="K1508" vm="17602">
        <f ca="1"/>
        <v>17.535</v>
      </c>
      <c r="L1508" vm="17603">
        <f ca="1"/>
        <v>152.47</v>
      </c>
      <c r="M1508" vm="17604">
        <f ca="1"/>
        <v>545.86</v>
      </c>
      <c r="N1508" vm="17605">
        <f ca="1"/>
        <v>3852.36</v>
      </c>
    </row>
    <row r="1509" spans="2:14" x14ac:dyDescent="0.35">
      <c r="B1509" vm="17606">
        <f ca="1"/>
        <v>44908</v>
      </c>
      <c r="C1509" vm="17607">
        <f ca="1"/>
        <v>95.63</v>
      </c>
      <c r="D1509" vm="6014">
        <f ca="1"/>
        <v>92.49</v>
      </c>
      <c r="E1509" vm="17608">
        <f ca="1"/>
        <v>53.82</v>
      </c>
      <c r="F1509" vm="17609">
        <f ca="1"/>
        <v>703.43</v>
      </c>
      <c r="G1509" vm="17610">
        <f ca="1"/>
        <v>214.96</v>
      </c>
      <c r="H1509" vm="17611">
        <f ca="1"/>
        <v>357.15</v>
      </c>
      <c r="I1509" vm="1589">
        <f ca="1"/>
        <v>87.15</v>
      </c>
      <c r="J1509" vm="17508">
        <f ca="1"/>
        <v>51.05</v>
      </c>
      <c r="K1509" vm="17612">
        <f ca="1"/>
        <v>18.071999999999999</v>
      </c>
      <c r="L1509" vm="17613">
        <f ca="1"/>
        <v>152.24</v>
      </c>
      <c r="M1509" vm="17614">
        <f ca="1"/>
        <v>538.22</v>
      </c>
      <c r="N1509" vm="17615">
        <f ca="1"/>
        <v>3817.66</v>
      </c>
    </row>
    <row r="1510" spans="2:14" x14ac:dyDescent="0.35">
      <c r="B1510" vm="17616">
        <f ca="1"/>
        <v>44909</v>
      </c>
      <c r="C1510" vm="17617">
        <f ca="1"/>
        <v>95.07</v>
      </c>
      <c r="D1510" vm="1915">
        <f ca="1"/>
        <v>91.58</v>
      </c>
      <c r="E1510" vm="17618">
        <f ca="1"/>
        <v>54.46</v>
      </c>
      <c r="F1510" vm="17619">
        <f ca="1"/>
        <v>691.36</v>
      </c>
      <c r="G1510" vm="17620">
        <f ca="1"/>
        <v>214.72</v>
      </c>
      <c r="H1510" vm="16651">
        <f ca="1"/>
        <v>357.51</v>
      </c>
      <c r="I1510" vm="13244">
        <f ca="1"/>
        <v>87.05</v>
      </c>
      <c r="J1510" vm="17621">
        <f ca="1"/>
        <v>50.43</v>
      </c>
      <c r="K1510" vm="17622">
        <f ca="1"/>
        <v>17.673999999999999</v>
      </c>
      <c r="L1510" vm="15526">
        <f ca="1"/>
        <v>152.84</v>
      </c>
      <c r="M1510" vm="17623">
        <f ca="1"/>
        <v>538.36</v>
      </c>
      <c r="N1510" vm="17624">
        <f ca="1"/>
        <v>3821.62</v>
      </c>
    </row>
    <row r="1511" spans="2:14" x14ac:dyDescent="0.35">
      <c r="B1511" vm="17625">
        <f ca="1"/>
        <v>44910</v>
      </c>
      <c r="C1511" vm="1877">
        <f ca="1"/>
        <v>90.86</v>
      </c>
      <c r="D1511" vm="2842">
        <f ca="1"/>
        <v>88.45</v>
      </c>
      <c r="E1511" vm="17626">
        <f ca="1"/>
        <v>51.65</v>
      </c>
      <c r="F1511" vm="17627">
        <f ca="1"/>
        <v>667.84</v>
      </c>
      <c r="G1511" vm="17628">
        <f ca="1"/>
        <v>208.97</v>
      </c>
      <c r="H1511" vm="17629">
        <f ca="1"/>
        <v>346.25</v>
      </c>
      <c r="I1511" vm="17630">
        <f ca="1"/>
        <v>85.81</v>
      </c>
      <c r="J1511" vm="17631">
        <f ca="1"/>
        <v>50.11</v>
      </c>
      <c r="K1511" vm="17632">
        <f ca="1"/>
        <v>16.952000000000002</v>
      </c>
      <c r="L1511" vm="17633">
        <f ca="1"/>
        <v>151.11000000000001</v>
      </c>
      <c r="M1511" vm="17634">
        <f ca="1"/>
        <v>527.67999999999995</v>
      </c>
      <c r="N1511" vm="17635">
        <f ca="1"/>
        <v>3878.44</v>
      </c>
    </row>
    <row r="1512" spans="2:14" x14ac:dyDescent="0.35">
      <c r="B1512" vm="17636">
        <f ca="1"/>
        <v>44911</v>
      </c>
      <c r="C1512" vm="11465">
        <f ca="1"/>
        <v>90.26</v>
      </c>
      <c r="D1512" vm="202">
        <f ca="1"/>
        <v>87.86</v>
      </c>
      <c r="E1512" vm="6327">
        <f ca="1"/>
        <v>51.32</v>
      </c>
      <c r="F1512" vm="17637">
        <f ca="1"/>
        <v>658.19</v>
      </c>
      <c r="G1512" vm="17638">
        <f ca="1"/>
        <v>209.74</v>
      </c>
      <c r="H1512" vm="11489">
        <f ca="1"/>
        <v>345.84</v>
      </c>
      <c r="I1512" vm="14031">
        <f ca="1"/>
        <v>84.14</v>
      </c>
      <c r="J1512" vm="17639">
        <f ca="1"/>
        <v>49.38</v>
      </c>
      <c r="K1512" vm="17640">
        <f ca="1"/>
        <v>16.571000000000002</v>
      </c>
      <c r="L1512" vm="17641">
        <f ca="1"/>
        <v>150.44</v>
      </c>
      <c r="M1512" vm="17642">
        <f ca="1"/>
        <v>523.70000000000005</v>
      </c>
      <c r="N1512" vm="17643">
        <f ca="1"/>
        <v>3822.39</v>
      </c>
    </row>
    <row r="1513" spans="2:14" x14ac:dyDescent="0.35">
      <c r="B1513" vm="17644">
        <f ca="1"/>
        <v>44914</v>
      </c>
      <c r="C1513" vm="1436">
        <f ca="1"/>
        <v>88.44</v>
      </c>
      <c r="D1513" vm="17475">
        <f ca="1"/>
        <v>84.92</v>
      </c>
      <c r="E1513" vm="17645">
        <f ca="1"/>
        <v>50.61</v>
      </c>
      <c r="F1513" vm="17646">
        <f ca="1"/>
        <v>652.15</v>
      </c>
      <c r="G1513" vm="11873">
        <f ca="1"/>
        <v>209.41</v>
      </c>
      <c r="H1513" vm="17647">
        <f ca="1"/>
        <v>341.26</v>
      </c>
      <c r="I1513" vm="12743">
        <f ca="1"/>
        <v>83.52</v>
      </c>
      <c r="J1513" vm="17648">
        <f ca="1"/>
        <v>49.83</v>
      </c>
      <c r="K1513" vm="17649">
        <f ca="1"/>
        <v>16.254000000000001</v>
      </c>
      <c r="L1513" vm="17650">
        <f ca="1"/>
        <v>150.4</v>
      </c>
      <c r="M1513" vm="17651">
        <f ca="1"/>
        <v>523.6</v>
      </c>
      <c r="N1513" vm="17652">
        <f ca="1"/>
        <v>3844.82</v>
      </c>
    </row>
    <row r="1514" spans="2:14" x14ac:dyDescent="0.35">
      <c r="B1514" vm="17653">
        <f ca="1"/>
        <v>44915</v>
      </c>
      <c r="C1514" vm="17654">
        <f ca="1"/>
        <v>89.02</v>
      </c>
      <c r="D1514" vm="17655">
        <f ca="1"/>
        <v>85.19</v>
      </c>
      <c r="E1514" vm="17656">
        <f ca="1"/>
        <v>50.63</v>
      </c>
      <c r="F1514" vm="17657">
        <f ca="1"/>
        <v>665.95</v>
      </c>
      <c r="G1514" vm="17658">
        <f ca="1"/>
        <v>211.49</v>
      </c>
      <c r="H1514" vm="17659">
        <f ca="1"/>
        <v>342.95</v>
      </c>
      <c r="I1514" vm="12743">
        <f ca="1"/>
        <v>83.52</v>
      </c>
      <c r="J1514" vm="17527">
        <f ca="1"/>
        <v>51.76</v>
      </c>
      <c r="K1514" vm="17660">
        <f ca="1"/>
        <v>16.085000000000001</v>
      </c>
      <c r="L1514" vm="17661">
        <f ca="1"/>
        <v>150.46</v>
      </c>
      <c r="M1514" vm="17662">
        <f ca="1"/>
        <v>520.21</v>
      </c>
      <c r="N1514" vm="17663">
        <f ca="1"/>
        <v>3829.25</v>
      </c>
    </row>
    <row r="1515" spans="2:14" x14ac:dyDescent="0.35">
      <c r="B1515" vm="17664">
        <f ca="1"/>
        <v>44916</v>
      </c>
      <c r="C1515" vm="17665">
        <f ca="1"/>
        <v>89.58</v>
      </c>
      <c r="D1515" vm="1664">
        <f ca="1"/>
        <v>86.77</v>
      </c>
      <c r="E1515" vm="7472">
        <f ca="1"/>
        <v>51.74</v>
      </c>
      <c r="F1515" vm="17666">
        <f ca="1"/>
        <v>655.08000000000004</v>
      </c>
      <c r="G1515" vm="17667">
        <f ca="1"/>
        <v>215.1</v>
      </c>
      <c r="H1515" vm="17668">
        <f ca="1"/>
        <v>345.69</v>
      </c>
      <c r="I1515" vm="17669">
        <f ca="1"/>
        <v>84.65</v>
      </c>
      <c r="J1515" vm="17670">
        <f ca="1"/>
        <v>53.31</v>
      </c>
      <c r="K1515" vm="17671">
        <f ca="1"/>
        <v>16.501000000000001</v>
      </c>
      <c r="L1515" vm="17672">
        <f ca="1"/>
        <v>151.84</v>
      </c>
      <c r="M1515" vm="17673">
        <f ca="1"/>
        <v>527.54</v>
      </c>
      <c r="N1515" vm="17674">
        <f ca="1"/>
        <v>3783.22</v>
      </c>
    </row>
    <row r="1516" spans="2:14" x14ac:dyDescent="0.35">
      <c r="B1516" vm="17675">
        <f ca="1"/>
        <v>44917</v>
      </c>
      <c r="C1516" vm="292">
        <f ca="1"/>
        <v>87.76</v>
      </c>
      <c r="D1516" vm="17676">
        <f ca="1"/>
        <v>83.79</v>
      </c>
      <c r="E1516" vm="17677">
        <f ca="1"/>
        <v>51.15</v>
      </c>
      <c r="F1516" vm="17678">
        <f ca="1"/>
        <v>657.68</v>
      </c>
      <c r="G1516" vm="17679">
        <f ca="1"/>
        <v>212.31</v>
      </c>
      <c r="H1516" vm="17680">
        <f ca="1"/>
        <v>341.52</v>
      </c>
      <c r="I1516" vm="17681">
        <f ca="1"/>
        <v>83.34</v>
      </c>
      <c r="J1516" vm="17682">
        <f ca="1"/>
        <v>51.39</v>
      </c>
      <c r="K1516" vm="17683">
        <f ca="1"/>
        <v>15.339</v>
      </c>
      <c r="L1516" vm="17684">
        <f ca="1"/>
        <v>152.19</v>
      </c>
      <c r="M1516" vm="17685">
        <f ca="1"/>
        <v>527.09</v>
      </c>
      <c r="N1516" vm="17686">
        <f ca="1"/>
        <v>3849.28</v>
      </c>
    </row>
    <row r="1517" spans="2:14" x14ac:dyDescent="0.35">
      <c r="B1517" vm="17687">
        <f ca="1"/>
        <v>44918</v>
      </c>
      <c r="C1517" vm="851">
        <f ca="1"/>
        <v>89.23</v>
      </c>
      <c r="D1517" vm="17688">
        <f ca="1"/>
        <v>85.25</v>
      </c>
      <c r="E1517" vm="17689">
        <f ca="1"/>
        <v>51.63</v>
      </c>
      <c r="F1517" vm="17690">
        <f ca="1"/>
        <v>654.58000000000004</v>
      </c>
      <c r="G1517" vm="17691">
        <f ca="1"/>
        <v>213.87</v>
      </c>
      <c r="H1517" vm="17692">
        <f ca="1"/>
        <v>343.6</v>
      </c>
      <c r="I1517" vm="17693">
        <f ca="1"/>
        <v>84.17</v>
      </c>
      <c r="J1517" vm="17423">
        <f ca="1"/>
        <v>52.99</v>
      </c>
      <c r="K1517" vm="17694">
        <f ca="1"/>
        <v>15.206</v>
      </c>
      <c r="L1517" vm="17695">
        <f ca="1"/>
        <v>152.62</v>
      </c>
      <c r="M1517" vm="17696">
        <f ca="1"/>
        <v>531.30999999999995</v>
      </c>
      <c r="N1517" vm="17697">
        <f ca="1"/>
        <v>3839.5</v>
      </c>
    </row>
    <row r="1518" spans="2:14" x14ac:dyDescent="0.35">
      <c r="B1518" vm="17698">
        <f ca="1"/>
        <v>44922</v>
      </c>
      <c r="C1518" vm="17699">
        <f ca="1"/>
        <v>87.39</v>
      </c>
      <c r="D1518" vm="17700">
        <f ca="1"/>
        <v>83.04</v>
      </c>
      <c r="E1518" vm="17701">
        <f ca="1"/>
        <v>51.79</v>
      </c>
      <c r="F1518" vm="17702">
        <f ca="1"/>
        <v>652.54</v>
      </c>
      <c r="G1518" vm="17703">
        <f ca="1"/>
        <v>214.89</v>
      </c>
      <c r="H1518" vm="17704">
        <f ca="1"/>
        <v>346.16</v>
      </c>
      <c r="I1518" vm="5249">
        <f ca="1"/>
        <v>84</v>
      </c>
      <c r="J1518" vm="17378">
        <f ca="1"/>
        <v>53.5</v>
      </c>
      <c r="K1518" vm="17705">
        <f ca="1"/>
        <v>14.121</v>
      </c>
      <c r="L1518" vm="17706">
        <f ca="1"/>
        <v>153.94999999999999</v>
      </c>
      <c r="M1518" vm="17707">
        <f ca="1"/>
        <v>531.99</v>
      </c>
    </row>
    <row r="1519" spans="2:14" x14ac:dyDescent="0.35">
      <c r="B1519" vm="17708">
        <f ca="1"/>
        <v>44923</v>
      </c>
      <c r="C1519" vm="17709">
        <f ca="1"/>
        <v>86.02</v>
      </c>
      <c r="D1519" vm="380">
        <f ca="1"/>
        <v>81.819999999999993</v>
      </c>
      <c r="E1519" vm="17710">
        <f ca="1"/>
        <v>50.58</v>
      </c>
      <c r="F1519" vm="17711">
        <f ca="1"/>
        <v>665.37</v>
      </c>
      <c r="G1519" vm="17712">
        <f ca="1"/>
        <v>212.19</v>
      </c>
      <c r="H1519" vm="17713">
        <f ca="1"/>
        <v>341.95</v>
      </c>
      <c r="I1519" vm="17714">
        <f ca="1"/>
        <v>83.16</v>
      </c>
      <c r="J1519" vm="7677">
        <f ca="1"/>
        <v>52.6</v>
      </c>
      <c r="K1519" vm="17715">
        <f ca="1"/>
        <v>14.036</v>
      </c>
      <c r="L1519" vm="17716">
        <f ca="1"/>
        <v>151.96</v>
      </c>
      <c r="M1519" vm="17717">
        <f ca="1"/>
        <v>528.45000000000005</v>
      </c>
    </row>
    <row r="1520" spans="2:14" x14ac:dyDescent="0.35">
      <c r="B1520" vm="17718">
        <f ca="1"/>
        <v>44924</v>
      </c>
      <c r="C1520" vm="2842">
        <f ca="1"/>
        <v>88.45</v>
      </c>
      <c r="D1520" vm="15524">
        <f ca="1"/>
        <v>84.18</v>
      </c>
      <c r="E1520" vm="17719">
        <f ca="1"/>
        <v>51.62</v>
      </c>
      <c r="F1520" vm="17720">
        <f ca="1"/>
        <v>655.03</v>
      </c>
      <c r="G1520" vm="17721">
        <f ca="1"/>
        <v>214.75</v>
      </c>
      <c r="H1520" vm="17722">
        <f ca="1"/>
        <v>348.21</v>
      </c>
      <c r="I1520" vm="17723">
        <f ca="1"/>
        <v>84.08</v>
      </c>
      <c r="J1520" vm="17724">
        <f ca="1"/>
        <v>52.91</v>
      </c>
      <c r="K1520" vm="17725">
        <f ca="1"/>
        <v>14.603</v>
      </c>
      <c r="L1520" vm="17726">
        <f ca="1"/>
        <v>152.59</v>
      </c>
      <c r="M1520" vm="17727">
        <f ca="1"/>
        <v>529.88</v>
      </c>
    </row>
    <row r="1521" spans="2:13" x14ac:dyDescent="0.35">
      <c r="B1521" vm="17728">
        <f ca="1"/>
        <v>44925</v>
      </c>
      <c r="C1521" vm="2768">
        <f ca="1"/>
        <v>88.23</v>
      </c>
      <c r="D1521" vm="5249">
        <f ca="1"/>
        <v>84</v>
      </c>
      <c r="E1521" vm="17318">
        <f ca="1"/>
        <v>51.14</v>
      </c>
      <c r="G1521" vm="17729">
        <f ca="1"/>
        <v>214.3</v>
      </c>
      <c r="H1521" vm="17730">
        <f ca="1"/>
        <v>347.73</v>
      </c>
      <c r="I1521" vm="12429">
        <f ca="1"/>
        <v>83.6</v>
      </c>
      <c r="J1521" vm="17731">
        <f ca="1"/>
        <v>53.46</v>
      </c>
      <c r="K1521" vm="17732">
        <f ca="1"/>
        <v>14.614000000000001</v>
      </c>
      <c r="L1521" vm="17733">
        <f ca="1"/>
        <v>151.56</v>
      </c>
      <c r="M1521" vm="17734">
        <f ca="1"/>
        <v>530.17999999999995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79871-6FBC-4E1D-9AAE-4ED3B7461B39}">
  <dimension ref="A1:AE108"/>
  <sheetViews>
    <sheetView topLeftCell="U87" zoomScale="128" zoomScaleNormal="85" workbookViewId="0">
      <selection activeCell="AE36" sqref="AE36:AE107"/>
    </sheetView>
  </sheetViews>
  <sheetFormatPr defaultRowHeight="14.5" x14ac:dyDescent="0.35"/>
  <cols>
    <col min="2" max="2" width="9.81640625" bestFit="1" customWidth="1"/>
    <col min="3" max="3" width="30.453125" bestFit="1" customWidth="1"/>
    <col min="4" max="4" width="9.453125" customWidth="1"/>
    <col min="5" max="5" width="9.1796875" bestFit="1" customWidth="1"/>
    <col min="6" max="6" width="9.1796875" customWidth="1"/>
    <col min="25" max="25" width="16.1796875" bestFit="1" customWidth="1"/>
    <col min="26" max="26" width="8.81640625" bestFit="1" customWidth="1"/>
    <col min="28" max="28" width="9.1796875" bestFit="1" customWidth="1"/>
  </cols>
  <sheetData>
    <row r="1" spans="1:30" x14ac:dyDescent="0.35">
      <c r="A1" t="s">
        <v>0</v>
      </c>
    </row>
    <row r="2" spans="1:30" x14ac:dyDescent="0.35">
      <c r="A2" t="s">
        <v>1</v>
      </c>
      <c r="B2" s="1">
        <v>42005</v>
      </c>
    </row>
    <row r="3" spans="1:30" x14ac:dyDescent="0.35">
      <c r="A3" t="s">
        <v>2</v>
      </c>
      <c r="B3" s="1">
        <v>44926</v>
      </c>
    </row>
    <row r="4" spans="1:30" x14ac:dyDescent="0.35">
      <c r="A4" t="s">
        <v>3</v>
      </c>
      <c r="B4">
        <v>1</v>
      </c>
    </row>
    <row r="8" spans="1:30" x14ac:dyDescent="0.35">
      <c r="C8">
        <v>1</v>
      </c>
      <c r="E8">
        <v>2</v>
      </c>
      <c r="G8">
        <v>3</v>
      </c>
      <c r="I8">
        <v>4</v>
      </c>
      <c r="K8">
        <v>5</v>
      </c>
      <c r="M8">
        <v>6</v>
      </c>
      <c r="O8">
        <v>7</v>
      </c>
      <c r="Q8">
        <v>8</v>
      </c>
      <c r="S8">
        <v>9</v>
      </c>
      <c r="U8">
        <v>10</v>
      </c>
      <c r="W8">
        <v>11</v>
      </c>
    </row>
    <row r="9" spans="1:30" x14ac:dyDescent="0.35">
      <c r="B9" s="2" t="s">
        <v>4</v>
      </c>
      <c r="C9" s="3" t="e" vm="1">
        <v>#VALUE!</v>
      </c>
      <c r="D9" s="3" t="s">
        <v>18</v>
      </c>
      <c r="E9" s="3" t="e" vm="2">
        <v>#VALUE!</v>
      </c>
      <c r="F9" s="3"/>
      <c r="G9" s="3" t="s">
        <v>5</v>
      </c>
      <c r="H9" s="3"/>
      <c r="I9" s="3" t="e" vm="3">
        <v>#VALUE!</v>
      </c>
      <c r="J9" s="3"/>
      <c r="K9" s="3" t="e" vm="4">
        <v>#VALUE!</v>
      </c>
      <c r="L9" s="3"/>
      <c r="M9" s="3" t="e" vm="5">
        <v>#VALUE!</v>
      </c>
      <c r="N9" s="3"/>
      <c r="O9" s="3" t="e" vm="6">
        <v>#VALUE!</v>
      </c>
      <c r="P9" s="3"/>
      <c r="Q9" s="3" t="e" vm="7">
        <v>#VALUE!</v>
      </c>
      <c r="R9" s="3"/>
      <c r="S9" s="3" t="e" vm="8">
        <v>#VALUE!</v>
      </c>
      <c r="T9" s="3"/>
      <c r="U9" s="3" t="e" vm="9">
        <v>#VALUE!</v>
      </c>
      <c r="V9" s="3"/>
      <c r="W9" s="3" t="e" vm="10">
        <v>#VALUE!</v>
      </c>
      <c r="X9" s="3"/>
      <c r="Y9" s="3" t="e" vm="11">
        <v>#VALUE!</v>
      </c>
      <c r="AA9" s="3" t="e" vm="17735">
        <v>#VALUE!</v>
      </c>
      <c r="AD9" s="3" t="e" vm="17736">
        <v>#VALUE!</v>
      </c>
    </row>
    <row r="10" spans="1:30" x14ac:dyDescent="0.35">
      <c r="B10" s="5" t="s">
        <v>6</v>
      </c>
      <c r="C10" s="4" t="s">
        <v>7</v>
      </c>
      <c r="D10" s="4"/>
      <c r="E10" s="4" t="s">
        <v>8</v>
      </c>
      <c r="F10" s="4"/>
      <c r="G10" s="4" t="s">
        <v>9</v>
      </c>
      <c r="H10" s="4"/>
      <c r="I10" s="4" t="s">
        <v>10</v>
      </c>
      <c r="J10" s="4"/>
      <c r="K10" s="4" t="s">
        <v>11</v>
      </c>
      <c r="L10" s="4"/>
      <c r="M10" s="4" t="s">
        <v>12</v>
      </c>
      <c r="N10" s="4"/>
      <c r="O10" s="4" t="s">
        <v>13</v>
      </c>
      <c r="P10" s="4"/>
      <c r="Q10" s="4" t="s">
        <v>14</v>
      </c>
      <c r="R10" s="4"/>
      <c r="S10" s="4" t="s">
        <v>15</v>
      </c>
      <c r="T10" s="4"/>
      <c r="U10" s="4" t="s">
        <v>16</v>
      </c>
      <c r="V10" s="4"/>
      <c r="W10" s="4" t="s">
        <v>17</v>
      </c>
      <c r="X10" s="4"/>
    </row>
    <row r="11" spans="1:30" x14ac:dyDescent="0.35">
      <c r="B11" s="4" t="str" cm="1">
        <f t="array" aca="1" ref="B11:C107" ca="1">_xlfn.STOCKHISTORY(C10,B2,B3,2,1,0,1)</f>
        <v>Date</v>
      </c>
      <c r="C11" s="6" t="str">
        <f ca="1"/>
        <v>Close</v>
      </c>
      <c r="D11" s="6"/>
      <c r="E11" s="4" t="str" cm="1">
        <f t="array" aca="1" ref="E11:E107" ca="1">_xlfn.STOCKHISTORY(E10,$B$2,$B$3,2,1,1)</f>
        <v>Close</v>
      </c>
      <c r="F11" s="4"/>
      <c r="G11" s="4" t="str" cm="1">
        <f t="array" aca="1" ref="G11:G107" ca="1">_xlfn.STOCKHISTORY(G10,$B$2,$B$3,2,1,1)</f>
        <v>Close</v>
      </c>
      <c r="H11" s="4"/>
      <c r="I11" s="4" t="str" cm="1">
        <f t="array" aca="1" ref="I11:I107" ca="1">_xlfn.STOCKHISTORY(I10,$B$2,$B$3,2,1,1)</f>
        <v>Close</v>
      </c>
      <c r="J11" s="4"/>
      <c r="K11" s="4" t="str" cm="1">
        <f t="array" aca="1" ref="K11:K107" ca="1">_xlfn.STOCKHISTORY(K10,$B$2,$B$3,2,1,1)</f>
        <v>Close</v>
      </c>
      <c r="L11" s="4"/>
      <c r="M11" s="4" t="str" cm="1">
        <f t="array" aca="1" ref="M11:M107" ca="1">_xlfn.STOCKHISTORY(M10,$B$2,$B$3,2,1,1)</f>
        <v>Close</v>
      </c>
      <c r="N11" s="4"/>
      <c r="O11" s="4" t="str" cm="1">
        <f t="array" aca="1" ref="O11:O107" ca="1">_xlfn.STOCKHISTORY(O10,$B$2,$B$3,2,1,1)</f>
        <v>Close</v>
      </c>
      <c r="P11" s="4"/>
      <c r="Q11" s="4" t="str" cm="1">
        <f t="array" aca="1" ref="Q11:Q107" ca="1">_xlfn.STOCKHISTORY(Q10,$B$2,$B$3,2,1,1)</f>
        <v>Close</v>
      </c>
      <c r="R11" s="4"/>
      <c r="S11" s="4" t="str" cm="1">
        <f t="array" aca="1" ref="S11:S107" ca="1">_xlfn.STOCKHISTORY(S10,$B$2,$B$3,2,1,1)</f>
        <v>Close</v>
      </c>
      <c r="T11" s="4"/>
      <c r="U11" s="4" t="str" cm="1">
        <f t="array" aca="1" ref="U11:U107" ca="1">_xlfn.STOCKHISTORY(U10,$B$2,$B$3,2,1,1)</f>
        <v>Close</v>
      </c>
      <c r="V11" s="4"/>
      <c r="W11" s="4" t="str" cm="1">
        <f t="array" aca="1" ref="W11:W107" ca="1">_xlfn.STOCKHISTORY(W10,$B$2,$B$3,2,1,1)</f>
        <v>Close</v>
      </c>
      <c r="X11" s="4"/>
      <c r="Y11" s="4" t="str" cm="1">
        <f t="array" aca="1" ref="Y11:Y107" ca="1">_xlfn.STOCKHISTORY(Y9,$B$2,$B$3,2,1,1)</f>
        <v>Close</v>
      </c>
      <c r="AA11" s="4" t="str" cm="1">
        <f t="array" aca="1" ref="AA11:AA107" ca="1">_xlfn.STOCKHISTORY(AA9,$B$2,$B$3,2,1,1)</f>
        <v>Close</v>
      </c>
      <c r="AD11" s="4" t="str" cm="1">
        <f t="array" aca="1" ref="AD11:AD107" ca="1">_xlfn.STOCKHISTORY(AD9,$B$2,$B$3,2,1,1)</f>
        <v>Close</v>
      </c>
    </row>
    <row r="12" spans="1:30" x14ac:dyDescent="0.35">
      <c r="B12" vm="17737">
        <f ca="1"/>
        <v>42005</v>
      </c>
      <c r="C12" vm="17738">
        <f ca="1"/>
        <v>26.877500000000001</v>
      </c>
      <c r="E12" vm="17739">
        <f ca="1"/>
        <v>17.726500000000001</v>
      </c>
      <c r="G12" vm="17740">
        <f ca="1"/>
        <v>31.664999999999999</v>
      </c>
      <c r="I12" vm="17741">
        <f ca="1"/>
        <v>210.64699999999999</v>
      </c>
      <c r="K12" vm="17742">
        <f ca="1"/>
        <v>93.067099999999996</v>
      </c>
      <c r="M12" vm="13537">
        <f ca="1"/>
        <v>82.03</v>
      </c>
      <c r="O12" vm="12969">
        <f ca="1"/>
        <v>27.31</v>
      </c>
      <c r="Q12" vm="13596">
        <f ca="1"/>
        <v>82.39</v>
      </c>
      <c r="S12" vm="17743">
        <f ca="1"/>
        <v>0.48010000000000003</v>
      </c>
      <c r="U12" vm="14520">
        <f ca="1"/>
        <v>84.29</v>
      </c>
      <c r="W12" vm="17744">
        <f ca="1"/>
        <v>106.25</v>
      </c>
      <c r="Y12" vm="17745">
        <f ca="1"/>
        <v>1994.99</v>
      </c>
      <c r="AA12" vm="17746">
        <f ca="1"/>
        <v>16.75</v>
      </c>
      <c r="AB12" vm="17746">
        <v>16.75</v>
      </c>
      <c r="AD12" vm="17747">
        <f ca="1"/>
        <v>101.1</v>
      </c>
    </row>
    <row r="13" spans="1:30" x14ac:dyDescent="0.35">
      <c r="B13" vm="17748">
        <f ca="1"/>
        <v>42036</v>
      </c>
      <c r="C13" vm="17749">
        <f ca="1"/>
        <v>28.131499999999999</v>
      </c>
      <c r="E13" vm="17750">
        <f ca="1"/>
        <v>19.007999999999999</v>
      </c>
      <c r="G13" vm="17751">
        <f ca="1"/>
        <v>35.854999999999997</v>
      </c>
      <c r="I13" vm="17752">
        <f ca="1"/>
        <v>217.75239999999999</v>
      </c>
      <c r="K13" vm="17753">
        <f ca="1"/>
        <v>97.846100000000007</v>
      </c>
      <c r="M13" vm="17754">
        <f ca="1"/>
        <v>90.13</v>
      </c>
      <c r="O13" vm="17755">
        <f ca="1"/>
        <v>25.864999999999998</v>
      </c>
      <c r="Q13" vm="17756">
        <f ca="1"/>
        <v>84.16</v>
      </c>
      <c r="S13" vm="17757">
        <f ca="1"/>
        <v>0.55149999999999999</v>
      </c>
      <c r="U13" vm="17758">
        <f ca="1"/>
        <v>85.13</v>
      </c>
      <c r="W13" vm="17759">
        <f ca="1"/>
        <v>113.63</v>
      </c>
      <c r="Y13" vm="17760">
        <f ca="1"/>
        <v>2104.5</v>
      </c>
      <c r="AA13" vm="17761">
        <f ca="1"/>
        <v>20.02</v>
      </c>
      <c r="AB13" vm="17761">
        <v>20.02</v>
      </c>
      <c r="AD13" vm="134">
        <f ca="1"/>
        <v>108.4</v>
      </c>
    </row>
    <row r="14" spans="1:30" x14ac:dyDescent="0.35">
      <c r="B14" vm="17762">
        <f ca="1"/>
        <v>42064</v>
      </c>
      <c r="C14" vm="17763">
        <f ca="1"/>
        <v>27.734999999999999</v>
      </c>
      <c r="E14" vm="17764">
        <f ca="1"/>
        <v>18.605</v>
      </c>
      <c r="G14" vm="17765">
        <f ca="1"/>
        <v>35.32</v>
      </c>
      <c r="I14" vm="17766">
        <f ca="1"/>
        <v>226.1788</v>
      </c>
      <c r="K14" vm="17767">
        <f ca="1"/>
        <v>99.302700000000002</v>
      </c>
      <c r="M14" vm="17768">
        <f ca="1"/>
        <v>86.39</v>
      </c>
      <c r="O14" vm="17769">
        <f ca="1"/>
        <v>26.012499999999999</v>
      </c>
      <c r="Q14" vm="5075">
        <f ca="1"/>
        <v>83.44</v>
      </c>
      <c r="S14" vm="17770">
        <f ca="1"/>
        <v>0.52310000000000001</v>
      </c>
      <c r="U14" vm="17771">
        <f ca="1"/>
        <v>81.94</v>
      </c>
      <c r="W14" vm="17772">
        <f ca="1"/>
        <v>118.29</v>
      </c>
      <c r="Y14" vm="17773">
        <f ca="1"/>
        <v>2067.89</v>
      </c>
      <c r="AA14" vm="17774">
        <f ca="1"/>
        <v>19.34</v>
      </c>
      <c r="AB14" vm="17774">
        <v>19.34</v>
      </c>
      <c r="AD14" vm="7202">
        <f ca="1"/>
        <v>105.6</v>
      </c>
    </row>
    <row r="15" spans="1:30" x14ac:dyDescent="0.35">
      <c r="B15" vm="17775">
        <f ca="1"/>
        <v>42095</v>
      </c>
      <c r="C15" vm="17776">
        <f ca="1"/>
        <v>27.438500000000001</v>
      </c>
      <c r="E15" vm="17777">
        <f ca="1"/>
        <v>21.088999999999999</v>
      </c>
      <c r="G15" vm="2316">
        <f ca="1"/>
        <v>36.704999999999998</v>
      </c>
      <c r="I15" vm="17778">
        <f ca="1"/>
        <v>248.5976</v>
      </c>
      <c r="K15" vm="17779">
        <f ca="1"/>
        <v>96.075400000000002</v>
      </c>
      <c r="M15" vm="1827">
        <f ca="1"/>
        <v>90.21</v>
      </c>
      <c r="O15" vm="17780">
        <f ca="1"/>
        <v>25.232500000000002</v>
      </c>
      <c r="Q15" vm="17781">
        <f ca="1"/>
        <v>94.61</v>
      </c>
      <c r="S15" vm="17782">
        <f ca="1"/>
        <v>0.55489999999999995</v>
      </c>
      <c r="U15" vm="17783">
        <f ca="1"/>
        <v>79.510000000000005</v>
      </c>
      <c r="W15" vm="17784">
        <f ca="1"/>
        <v>111.4</v>
      </c>
      <c r="Y15" vm="17785">
        <f ca="1"/>
        <v>2085.5100000000002</v>
      </c>
      <c r="AA15" vm="11813">
        <f ca="1"/>
        <v>20.46</v>
      </c>
      <c r="AB15" vm="11813">
        <v>20.46</v>
      </c>
      <c r="AD15" vm="17786">
        <f ca="1"/>
        <v>107.63</v>
      </c>
    </row>
    <row r="16" spans="1:30" x14ac:dyDescent="0.35">
      <c r="B16" vm="17787">
        <f ca="1"/>
        <v>42125</v>
      </c>
      <c r="C16" vm="17788">
        <f ca="1"/>
        <v>27.265999999999998</v>
      </c>
      <c r="E16" vm="17789">
        <f ca="1"/>
        <v>21.461500000000001</v>
      </c>
      <c r="G16" vm="17790">
        <f ca="1"/>
        <v>35.494999999999997</v>
      </c>
      <c r="I16" vm="17791">
        <f ca="1"/>
        <v>260.38979999999998</v>
      </c>
      <c r="K16" vm="17792">
        <f ca="1"/>
        <v>99.197900000000004</v>
      </c>
      <c r="M16" vm="12286">
        <f ca="1"/>
        <v>92.26</v>
      </c>
      <c r="O16" vm="17793">
        <f ca="1"/>
        <v>25.585000000000001</v>
      </c>
      <c r="Q16" vm="719">
        <f ca="1"/>
        <v>90.77</v>
      </c>
      <c r="S16" vm="17794">
        <f ca="1"/>
        <v>0.55330000000000001</v>
      </c>
      <c r="U16" vm="17795">
        <f ca="1"/>
        <v>78.39</v>
      </c>
      <c r="W16" vm="17796">
        <f ca="1"/>
        <v>120.21</v>
      </c>
      <c r="Y16" vm="17797">
        <f ca="1"/>
        <v>2107.39</v>
      </c>
      <c r="AA16" vm="17798">
        <f ca="1"/>
        <v>20.95</v>
      </c>
      <c r="AB16" vm="17798">
        <v>20.95</v>
      </c>
      <c r="AD16" vm="17799">
        <f ca="1"/>
        <v>110.05</v>
      </c>
    </row>
    <row r="17" spans="2:30" x14ac:dyDescent="0.35">
      <c r="B17" vm="17800">
        <f ca="1"/>
        <v>42156</v>
      </c>
      <c r="C17" vm="17801">
        <f ca="1"/>
        <v>27.001999999999999</v>
      </c>
      <c r="E17" vm="17802">
        <f ca="1"/>
        <v>21.704499999999999</v>
      </c>
      <c r="G17" vm="17803">
        <f ca="1"/>
        <v>35.075000000000003</v>
      </c>
      <c r="I17" vm="17804">
        <f ca="1"/>
        <v>246.72290000000001</v>
      </c>
      <c r="K17" vm="17805">
        <f ca="1"/>
        <v>97.075000000000003</v>
      </c>
      <c r="M17" vm="17806">
        <f ca="1"/>
        <v>93.48</v>
      </c>
      <c r="O17" vm="17807">
        <f ca="1"/>
        <v>24.5075</v>
      </c>
      <c r="Q17" vm="1155">
        <f ca="1"/>
        <v>86.19</v>
      </c>
      <c r="S17" vm="17808">
        <f ca="1"/>
        <v>0.50280000000000002</v>
      </c>
      <c r="U17" vm="912">
        <f ca="1"/>
        <v>78.239999999999995</v>
      </c>
      <c r="W17" vm="17809">
        <f ca="1"/>
        <v>122</v>
      </c>
      <c r="Y17" vm="17810">
        <f ca="1"/>
        <v>2063.11</v>
      </c>
      <c r="AA17" vm="17811">
        <f ca="1"/>
        <v>23.35</v>
      </c>
      <c r="AB17" vm="17811">
        <v>23.35</v>
      </c>
      <c r="AD17" vm="17812">
        <f ca="1"/>
        <v>107.07</v>
      </c>
    </row>
    <row r="18" spans="2:30" x14ac:dyDescent="0.35">
      <c r="B18" vm="17813">
        <f ca="1"/>
        <v>42186</v>
      </c>
      <c r="C18" vm="936">
        <f ca="1"/>
        <v>32.875</v>
      </c>
      <c r="E18" vm="17814">
        <f ca="1"/>
        <v>26.807500000000001</v>
      </c>
      <c r="G18" vm="17815">
        <f ca="1"/>
        <v>33.92</v>
      </c>
      <c r="I18" vm="17816">
        <f ca="1"/>
        <v>270.91919999999999</v>
      </c>
      <c r="K18" vm="17817">
        <f ca="1"/>
        <v>100.00709999999999</v>
      </c>
      <c r="M18" vm="17818">
        <f ca="1"/>
        <v>97.4</v>
      </c>
      <c r="O18" vm="17819">
        <f ca="1"/>
        <v>26.3</v>
      </c>
      <c r="Q18" vm="13630">
        <f ca="1"/>
        <v>82.82</v>
      </c>
      <c r="S18" vm="17820">
        <f ca="1"/>
        <v>0.49880000000000002</v>
      </c>
      <c r="U18" vm="13119">
        <f ca="1"/>
        <v>76.7</v>
      </c>
      <c r="W18" vm="8092">
        <f ca="1"/>
        <v>121.4</v>
      </c>
      <c r="Y18" vm="17821">
        <f ca="1"/>
        <v>2103.84</v>
      </c>
      <c r="AA18" vm="17822">
        <f ca="1"/>
        <v>22.05</v>
      </c>
      <c r="AB18" vm="17822">
        <v>22.05</v>
      </c>
      <c r="AD18" vm="17823">
        <f ca="1"/>
        <v>111.95</v>
      </c>
    </row>
    <row r="19" spans="2:30" x14ac:dyDescent="0.35">
      <c r="B19" vm="17824">
        <f ca="1"/>
        <v>42217</v>
      </c>
      <c r="C19" vm="17825">
        <f ca="1"/>
        <v>32.390999999999998</v>
      </c>
      <c r="E19" vm="17826">
        <f ca="1"/>
        <v>25.644500000000001</v>
      </c>
      <c r="G19" vm="17827">
        <f ca="1"/>
        <v>32.954999999999998</v>
      </c>
      <c r="I19" vm="17828">
        <f ca="1"/>
        <v>262.04109999999997</v>
      </c>
      <c r="K19" vm="17829">
        <f ca="1"/>
        <v>94.504599999999996</v>
      </c>
      <c r="M19" vm="17830">
        <f ca="1"/>
        <v>92.37</v>
      </c>
      <c r="O19" vm="17831">
        <f ca="1"/>
        <v>24.602499999999999</v>
      </c>
      <c r="Q19" vm="17832">
        <f ca="1"/>
        <v>77.37</v>
      </c>
      <c r="S19" vm="17833">
        <f ca="1"/>
        <v>0.56200000000000006</v>
      </c>
      <c r="U19" vm="17834">
        <f ca="1"/>
        <v>70.67</v>
      </c>
      <c r="W19" vm="973">
        <f ca="1"/>
        <v>115.7</v>
      </c>
      <c r="Y19" vm="17835">
        <f ca="1"/>
        <v>1972.18</v>
      </c>
      <c r="AA19" vm="17836">
        <f ca="1"/>
        <v>22</v>
      </c>
      <c r="AB19" vm="17836">
        <v>22</v>
      </c>
      <c r="AD19" vm="17837">
        <f ca="1"/>
        <v>104.31</v>
      </c>
    </row>
    <row r="20" spans="2:30" x14ac:dyDescent="0.35">
      <c r="B20" vm="17838">
        <f ca="1"/>
        <v>42248</v>
      </c>
      <c r="C20" vm="17839">
        <f ca="1"/>
        <v>31.918500000000002</v>
      </c>
      <c r="E20" vm="17840">
        <f ca="1"/>
        <v>25.5945</v>
      </c>
      <c r="G20" vm="17841">
        <f ca="1"/>
        <v>31.1</v>
      </c>
      <c r="I20" vm="17842">
        <f ca="1"/>
        <v>265.56709999999998</v>
      </c>
      <c r="K20" vm="17843">
        <f ca="1"/>
        <v>90.144499999999994</v>
      </c>
      <c r="M20" vm="17844">
        <f ca="1"/>
        <v>90.12</v>
      </c>
      <c r="O20" vm="17845">
        <f ca="1"/>
        <v>24.387499999999999</v>
      </c>
      <c r="Q20" vm="17846">
        <f ca="1"/>
        <v>68.97</v>
      </c>
      <c r="S20" vm="17847">
        <f ca="1"/>
        <v>0.61629999999999996</v>
      </c>
      <c r="U20" vm="17848">
        <f ca="1"/>
        <v>71.94</v>
      </c>
      <c r="W20" vm="10137">
        <f ca="1"/>
        <v>116.01</v>
      </c>
      <c r="Y20" vm="17849">
        <f ca="1"/>
        <v>1920.03</v>
      </c>
      <c r="AA20" vm="17850">
        <f ca="1"/>
        <v>20.6</v>
      </c>
      <c r="AB20" vm="17850">
        <v>20.6</v>
      </c>
      <c r="AD20" vm="17851">
        <f ca="1"/>
        <v>101.76</v>
      </c>
    </row>
    <row r="21" spans="2:30" x14ac:dyDescent="0.35">
      <c r="B21" vm="17852">
        <f ca="1"/>
        <v>42278</v>
      </c>
      <c r="C21" vm="17853">
        <f ca="1"/>
        <v>36.869500000000002</v>
      </c>
      <c r="E21" vm="17854">
        <f ca="1"/>
        <v>31.295000000000002</v>
      </c>
      <c r="G21" vm="17855">
        <f ca="1"/>
        <v>34.25</v>
      </c>
      <c r="I21" vm="17856">
        <f ca="1"/>
        <v>296.68</v>
      </c>
      <c r="K21" vm="17857">
        <f ca="1"/>
        <v>98.322100000000006</v>
      </c>
      <c r="M21" vm="17858">
        <f ca="1"/>
        <v>98.99</v>
      </c>
      <c r="O21" vm="17859">
        <f ca="1"/>
        <v>25.664999999999999</v>
      </c>
      <c r="Q21" vm="3924">
        <f ca="1"/>
        <v>78.16</v>
      </c>
      <c r="S21" vm="17860">
        <f ca="1"/>
        <v>0.70930000000000004</v>
      </c>
      <c r="U21" vm="3353">
        <f ca="1"/>
        <v>76.38</v>
      </c>
      <c r="W21" vm="17861">
        <f ca="1"/>
        <v>117.78</v>
      </c>
      <c r="Y21" vm="17862">
        <f ca="1"/>
        <v>2079.36</v>
      </c>
      <c r="AA21" vm="17863">
        <f ca="1"/>
        <v>21.51</v>
      </c>
      <c r="AB21" vm="17863">
        <v>21.51</v>
      </c>
      <c r="AD21" vm="17864">
        <f ca="1"/>
        <v>113.33</v>
      </c>
    </row>
    <row r="22" spans="2:30" x14ac:dyDescent="0.35">
      <c r="B22" vm="17865">
        <f ca="1"/>
        <v>42309</v>
      </c>
      <c r="C22" vm="17866">
        <f ca="1"/>
        <v>38.142499999999998</v>
      </c>
      <c r="E22" vm="17867">
        <f ca="1"/>
        <v>33.24</v>
      </c>
      <c r="G22" vm="8746">
        <f ca="1"/>
        <v>34.71</v>
      </c>
      <c r="I22" vm="10525">
        <f ca="1"/>
        <v>296.5</v>
      </c>
      <c r="K22" vm="17868">
        <f ca="1"/>
        <v>98.959900000000005</v>
      </c>
      <c r="M22" vm="6405">
        <f ca="1"/>
        <v>97.92</v>
      </c>
      <c r="O22" vm="17869">
        <f ca="1"/>
        <v>24.965</v>
      </c>
      <c r="Q22" vm="12145">
        <f ca="1"/>
        <v>77.150000000000006</v>
      </c>
      <c r="S22" vm="17870">
        <f ca="1"/>
        <v>0.79300000000000004</v>
      </c>
      <c r="U22" vm="962">
        <f ca="1"/>
        <v>74.84</v>
      </c>
      <c r="W22" vm="17871">
        <f ca="1"/>
        <v>112.71</v>
      </c>
      <c r="Y22" vm="17872">
        <f ca="1"/>
        <v>2080.41</v>
      </c>
      <c r="AA22" vm="12009">
        <f ca="1"/>
        <v>22.18</v>
      </c>
      <c r="AB22" vm="12009">
        <v>22.18</v>
      </c>
      <c r="AD22" vm="17873">
        <f ca="1"/>
        <v>114.02</v>
      </c>
    </row>
    <row r="23" spans="2:30" x14ac:dyDescent="0.35">
      <c r="B23" vm="17874">
        <f ca="1"/>
        <v>42339</v>
      </c>
      <c r="C23" vm="17875">
        <f ca="1"/>
        <v>38.900500000000001</v>
      </c>
      <c r="E23" vm="17876">
        <f ca="1"/>
        <v>33.794499999999999</v>
      </c>
      <c r="G23" vm="550">
        <f ca="1"/>
        <v>36.365000000000002</v>
      </c>
      <c r="I23" vm="17877">
        <f ca="1"/>
        <v>302.39999999999998</v>
      </c>
      <c r="K23" vm="17878">
        <f ca="1"/>
        <v>98.598200000000006</v>
      </c>
      <c r="M23" vm="17879">
        <f ca="1"/>
        <v>97.36</v>
      </c>
      <c r="O23" vm="17880">
        <f ca="1"/>
        <v>25.9725</v>
      </c>
      <c r="Q23" vm="3434">
        <f ca="1"/>
        <v>69.75</v>
      </c>
      <c r="S23" vm="17881">
        <f ca="1"/>
        <v>0.82399999999999995</v>
      </c>
      <c r="U23" vm="17882">
        <f ca="1"/>
        <v>79.41</v>
      </c>
      <c r="W23" vm="17883">
        <f ca="1"/>
        <v>117.64</v>
      </c>
      <c r="Y23" vm="17884">
        <f ca="1"/>
        <v>2043.94</v>
      </c>
      <c r="AA23" vm="17885">
        <f ca="1"/>
        <v>22.69</v>
      </c>
      <c r="AB23" vm="17885">
        <v>22.69</v>
      </c>
      <c r="AD23" vm="17886">
        <f ca="1"/>
        <v>111.86</v>
      </c>
    </row>
    <row r="24" spans="2:30" x14ac:dyDescent="0.35">
      <c r="B24" vm="17887">
        <f ca="1"/>
        <v>42370</v>
      </c>
      <c r="C24" vm="17888">
        <f ca="1"/>
        <v>38.067500000000003</v>
      </c>
      <c r="E24" vm="12673">
        <f ca="1"/>
        <v>29.35</v>
      </c>
      <c r="G24" vm="17889">
        <f ca="1"/>
        <v>33.414999999999999</v>
      </c>
      <c r="I24" vm="17890">
        <f ca="1"/>
        <v>310.57</v>
      </c>
      <c r="K24" vm="17891">
        <f ca="1"/>
        <v>98.245999999999995</v>
      </c>
      <c r="M24" vm="1513">
        <f ca="1"/>
        <v>89.03</v>
      </c>
      <c r="O24" vm="17892">
        <f ca="1"/>
        <v>27.927499999999998</v>
      </c>
      <c r="Q24" vm="8441">
        <f ca="1"/>
        <v>72.27</v>
      </c>
      <c r="S24" vm="17893">
        <f ca="1"/>
        <v>0.73229999999999995</v>
      </c>
      <c r="U24" vm="316">
        <f ca="1"/>
        <v>81.69</v>
      </c>
      <c r="W24" vm="17894">
        <f ca="1"/>
        <v>115.16</v>
      </c>
      <c r="Y24" vm="17895">
        <f ca="1"/>
        <v>1940.24</v>
      </c>
      <c r="AA24" vm="11180">
        <f ca="1"/>
        <v>19.309999999999999</v>
      </c>
      <c r="AB24" vm="11180">
        <v>19.309999999999999</v>
      </c>
      <c r="AD24" vm="17896">
        <f ca="1"/>
        <v>104.13</v>
      </c>
    </row>
    <row r="25" spans="2:30" x14ac:dyDescent="0.35">
      <c r="B25" vm="17897">
        <f ca="1"/>
        <v>42401</v>
      </c>
      <c r="C25" vm="17898">
        <f ca="1"/>
        <v>35.860999999999997</v>
      </c>
      <c r="E25" vm="17899">
        <f ca="1"/>
        <v>27.626000000000001</v>
      </c>
      <c r="G25" vm="17900">
        <f ca="1"/>
        <v>33.115000000000002</v>
      </c>
      <c r="I25" vm="17901">
        <f ca="1"/>
        <v>303.69</v>
      </c>
      <c r="K25" vm="17902">
        <f ca="1"/>
        <v>96.484800000000007</v>
      </c>
      <c r="M25" vm="17903">
        <f ca="1"/>
        <v>86.92</v>
      </c>
      <c r="O25" vm="17904">
        <f ca="1"/>
        <v>28.204999999999998</v>
      </c>
      <c r="Q25" vm="17905">
        <f ca="1"/>
        <v>71.72</v>
      </c>
      <c r="S25" vm="17906">
        <f ca="1"/>
        <v>0.78400000000000003</v>
      </c>
      <c r="U25" vm="3642">
        <f ca="1"/>
        <v>80.290000000000006</v>
      </c>
      <c r="W25" vm="17907">
        <f ca="1"/>
        <v>119.1</v>
      </c>
      <c r="Y25" vm="17908">
        <f ca="1"/>
        <v>1932.23</v>
      </c>
      <c r="AA25" vm="17909">
        <f ca="1"/>
        <v>17.399999999999999</v>
      </c>
      <c r="AB25" vm="17909">
        <v>17.399999999999999</v>
      </c>
      <c r="AD25" vm="12704">
        <f ca="1"/>
        <v>102.5</v>
      </c>
    </row>
    <row r="26" spans="2:30" x14ac:dyDescent="0.35">
      <c r="B26" vm="17910">
        <f ca="1"/>
        <v>42430</v>
      </c>
      <c r="C26" vm="17911">
        <f ca="1"/>
        <v>38.145000000000003</v>
      </c>
      <c r="E26" vm="17912">
        <f ca="1"/>
        <v>29.681999999999999</v>
      </c>
      <c r="G26" vm="1369">
        <f ca="1"/>
        <v>35.645000000000003</v>
      </c>
      <c r="I26" vm="17913">
        <f ca="1"/>
        <v>330.71</v>
      </c>
      <c r="K26" vm="17914">
        <f ca="1"/>
        <v>106.6711</v>
      </c>
      <c r="M26" vm="17915">
        <f ca="1"/>
        <v>94.5</v>
      </c>
      <c r="O26" vm="17916">
        <f ca="1"/>
        <v>29.585000000000001</v>
      </c>
      <c r="Q26" vm="17917">
        <f ca="1"/>
        <v>73.75</v>
      </c>
      <c r="S26" vm="17918">
        <f ca="1"/>
        <v>0.89080000000000004</v>
      </c>
      <c r="U26" vm="17919">
        <f ca="1"/>
        <v>82.31</v>
      </c>
      <c r="W26" vm="17920">
        <f ca="1"/>
        <v>128.9</v>
      </c>
      <c r="Y26" vm="17921">
        <f ca="1"/>
        <v>2059.7399999999998</v>
      </c>
      <c r="AA26" vm="10564">
        <f ca="1"/>
        <v>17.86</v>
      </c>
      <c r="AB26" vm="10564">
        <v>17.86</v>
      </c>
      <c r="AD26" vm="17922">
        <f ca="1"/>
        <v>109.2</v>
      </c>
    </row>
    <row r="27" spans="2:30" x14ac:dyDescent="0.35">
      <c r="B27" vm="17923">
        <f ca="1"/>
        <v>42461</v>
      </c>
      <c r="C27" vm="17924">
        <f ca="1"/>
        <v>35.393999999999998</v>
      </c>
      <c r="E27" vm="17925">
        <f ca="1"/>
        <v>32.979500000000002</v>
      </c>
      <c r="G27" vm="17926">
        <f ca="1"/>
        <v>35.69</v>
      </c>
      <c r="I27" vm="17927">
        <f ca="1"/>
        <v>330.35</v>
      </c>
      <c r="K27" vm="17928">
        <f ca="1"/>
        <v>108.78449999999999</v>
      </c>
      <c r="M27" vm="17929">
        <f ca="1"/>
        <v>96.99</v>
      </c>
      <c r="O27" vm="17930">
        <f ca="1"/>
        <v>29.395</v>
      </c>
      <c r="Q27" vm="17931">
        <f ca="1"/>
        <v>80.34</v>
      </c>
      <c r="S27" vm="17932">
        <f ca="1"/>
        <v>0.88829999999999998</v>
      </c>
      <c r="U27" vm="17933">
        <f ca="1"/>
        <v>80.12</v>
      </c>
      <c r="W27" vm="17934">
        <f ca="1"/>
        <v>131.68</v>
      </c>
      <c r="Y27" vm="17935">
        <f ca="1"/>
        <v>2065.3000000000002</v>
      </c>
      <c r="AA27" vm="9662">
        <f ca="1"/>
        <v>18.190000000000001</v>
      </c>
      <c r="AB27" vm="9662">
        <v>18.190000000000001</v>
      </c>
      <c r="AD27" vm="17936">
        <f ca="1"/>
        <v>105.72</v>
      </c>
    </row>
    <row r="28" spans="2:30" x14ac:dyDescent="0.35">
      <c r="B28" vm="17937">
        <f ca="1"/>
        <v>42491</v>
      </c>
      <c r="C28" vm="17938">
        <f ca="1"/>
        <v>37.442500000000003</v>
      </c>
      <c r="E28" vm="17939">
        <f ca="1"/>
        <v>36.139499999999998</v>
      </c>
      <c r="G28" vm="908">
        <f ca="1"/>
        <v>36.15</v>
      </c>
      <c r="I28" vm="13322">
        <f ca="1"/>
        <v>362</v>
      </c>
      <c r="K28" vm="17940">
        <f ca="1"/>
        <v>108.3657</v>
      </c>
      <c r="M28" vm="17941">
        <f ca="1"/>
        <v>95.9</v>
      </c>
      <c r="O28" vm="17942">
        <f ca="1"/>
        <v>30.03</v>
      </c>
      <c r="Q28" vm="17943">
        <f ca="1"/>
        <v>76.3</v>
      </c>
      <c r="S28" vm="17944">
        <f ca="1"/>
        <v>1.1679999999999999</v>
      </c>
      <c r="U28" vm="6650">
        <f ca="1"/>
        <v>81.040000000000006</v>
      </c>
      <c r="W28" vm="17945">
        <f ca="1"/>
        <v>133.66999999999999</v>
      </c>
      <c r="Y28" vm="17946">
        <f ca="1"/>
        <v>2096.96</v>
      </c>
      <c r="AA28" vm="17947">
        <f ca="1"/>
        <v>18.34</v>
      </c>
      <c r="AB28" vm="17947">
        <v>18.34</v>
      </c>
      <c r="AD28" vm="16807">
        <f ca="1"/>
        <v>110.34</v>
      </c>
    </row>
    <row r="29" spans="2:30" x14ac:dyDescent="0.35">
      <c r="B29" vm="17948">
        <f ca="1"/>
        <v>42522</v>
      </c>
      <c r="C29" vm="17949">
        <f ca="1"/>
        <v>35.176499999999997</v>
      </c>
      <c r="E29" vm="17950">
        <f ca="1"/>
        <v>35.780999999999999</v>
      </c>
      <c r="G29" vm="17951">
        <f ca="1"/>
        <v>36.145000000000003</v>
      </c>
      <c r="I29" vm="17952">
        <f ca="1"/>
        <v>387.73</v>
      </c>
      <c r="K29" vm="17953">
        <f ca="1"/>
        <v>110.73609999999999</v>
      </c>
      <c r="M29" vm="1423">
        <f ca="1"/>
        <v>88.06</v>
      </c>
      <c r="O29" vm="17954">
        <f ca="1"/>
        <v>32.6</v>
      </c>
      <c r="Q29" vm="17955">
        <f ca="1"/>
        <v>79.08</v>
      </c>
      <c r="S29" vm="17956">
        <f ca="1"/>
        <v>1.1752</v>
      </c>
      <c r="U29" vm="11262">
        <f ca="1"/>
        <v>84.67</v>
      </c>
      <c r="W29" vm="2360">
        <f ca="1"/>
        <v>141.19999999999999</v>
      </c>
      <c r="Y29" vm="17957">
        <f ca="1"/>
        <v>2098.86</v>
      </c>
      <c r="AA29" vm="17958">
        <f ca="1"/>
        <v>14.88</v>
      </c>
      <c r="AB29" vm="17958">
        <v>14.88</v>
      </c>
      <c r="AD29" vm="9431">
        <f ca="1"/>
        <v>107.54</v>
      </c>
    </row>
    <row r="30" spans="2:30" x14ac:dyDescent="0.35">
      <c r="B30" vm="17959">
        <f ca="1"/>
        <v>42552</v>
      </c>
      <c r="C30" vm="17960">
        <f ca="1"/>
        <v>39.567</v>
      </c>
      <c r="E30" vm="17961">
        <f ca="1"/>
        <v>37.9405</v>
      </c>
      <c r="G30" vm="17962">
        <f ca="1"/>
        <v>35.335000000000001</v>
      </c>
      <c r="I30" vm="17963">
        <f ca="1"/>
        <v>372.87</v>
      </c>
      <c r="K30" vm="17964">
        <f ca="1"/>
        <v>110.7457</v>
      </c>
      <c r="M30" vm="17965">
        <f ca="1"/>
        <v>95.24</v>
      </c>
      <c r="O30" vm="17966">
        <f ca="1"/>
        <v>32.072499999999998</v>
      </c>
      <c r="Q30" vm="17967">
        <f ca="1"/>
        <v>80.52</v>
      </c>
      <c r="S30" vm="17968">
        <f ca="1"/>
        <v>1.4275</v>
      </c>
      <c r="U30" vm="14576">
        <f ca="1"/>
        <v>85.59</v>
      </c>
      <c r="W30" vm="17969">
        <f ca="1"/>
        <v>143.19999999999999</v>
      </c>
      <c r="Y30" vm="17970">
        <f ca="1"/>
        <v>2173.6</v>
      </c>
      <c r="AA30" vm="17971">
        <f ca="1"/>
        <v>14.58</v>
      </c>
      <c r="AB30" vm="17971">
        <v>14.58</v>
      </c>
      <c r="AD30" vm="10591">
        <f ca="1"/>
        <v>115.23</v>
      </c>
    </row>
    <row r="31" spans="2:30" x14ac:dyDescent="0.35">
      <c r="B31" vm="17972">
        <f ca="1"/>
        <v>42583</v>
      </c>
      <c r="C31" vm="17973">
        <f ca="1"/>
        <v>39.4925</v>
      </c>
      <c r="E31" vm="17974">
        <f ca="1"/>
        <v>38.457999999999998</v>
      </c>
      <c r="G31" vm="17975">
        <f ca="1"/>
        <v>39.594999999999999</v>
      </c>
      <c r="I31" vm="17976">
        <f ca="1"/>
        <v>368.65</v>
      </c>
      <c r="K31" vm="17977">
        <f ca="1"/>
        <v>111.1074</v>
      </c>
      <c r="M31" vm="17377">
        <f ca="1"/>
        <v>96.63</v>
      </c>
      <c r="O31" vm="17978">
        <f ca="1"/>
        <v>30.234999999999999</v>
      </c>
      <c r="Q31" vm="3724">
        <f ca="1"/>
        <v>79</v>
      </c>
      <c r="S31" vm="17979">
        <f ca="1"/>
        <v>1.5335000000000001</v>
      </c>
      <c r="U31" vm="14753">
        <f ca="1"/>
        <v>87.31</v>
      </c>
      <c r="W31" vm="17980">
        <f ca="1"/>
        <v>136.05000000000001</v>
      </c>
      <c r="Y31" vm="17981">
        <f ca="1"/>
        <v>2170.9499999999998</v>
      </c>
      <c r="AA31" vm="17982">
        <f ca="1"/>
        <v>15.68</v>
      </c>
      <c r="AB31" vm="17982">
        <v>15.68</v>
      </c>
      <c r="AD31" vm="7868">
        <f ca="1"/>
        <v>116.44</v>
      </c>
    </row>
    <row r="32" spans="2:30" x14ac:dyDescent="0.35">
      <c r="B32" vm="17983">
        <f ca="1"/>
        <v>42614</v>
      </c>
      <c r="C32" vm="17984">
        <f ca="1"/>
        <v>40.203000000000003</v>
      </c>
      <c r="E32" vm="17985">
        <f ca="1"/>
        <v>41.865499999999997</v>
      </c>
      <c r="G32" vm="17986">
        <f ca="1"/>
        <v>40.975000000000001</v>
      </c>
      <c r="I32" vm="12626">
        <f ca="1"/>
        <v>360.25</v>
      </c>
      <c r="K32" vm="17987">
        <f ca="1"/>
        <v>110.9932</v>
      </c>
      <c r="M32" vm="17988">
        <f ca="1"/>
        <v>101.77</v>
      </c>
      <c r="O32" vm="17989">
        <f ca="1"/>
        <v>30.58</v>
      </c>
      <c r="Q32" vm="17990">
        <f ca="1"/>
        <v>78.64</v>
      </c>
      <c r="S32" vm="17991">
        <f ca="1"/>
        <v>1.7130000000000001</v>
      </c>
      <c r="U32" vm="17992">
        <f ca="1"/>
        <v>89.75</v>
      </c>
      <c r="W32" vm="17993">
        <f ca="1"/>
        <v>140</v>
      </c>
      <c r="Y32" vm="17994">
        <f ca="1"/>
        <v>2168.27</v>
      </c>
      <c r="AA32" vm="17995">
        <f ca="1"/>
        <v>16.079999999999998</v>
      </c>
      <c r="AB32" vm="17995">
        <v>16.079999999999998</v>
      </c>
      <c r="AD32" vm="17996">
        <f ca="1"/>
        <v>118.72</v>
      </c>
    </row>
    <row r="33" spans="2:31" x14ac:dyDescent="0.35">
      <c r="B33" vm="17997">
        <f ca="1"/>
        <v>42644</v>
      </c>
      <c r="C33" vm="17998">
        <f ca="1"/>
        <v>40.494999999999997</v>
      </c>
      <c r="E33" vm="17999">
        <f ca="1"/>
        <v>39.491</v>
      </c>
      <c r="G33" vm="18000">
        <f ca="1"/>
        <v>38.534999999999997</v>
      </c>
      <c r="I33" vm="18001">
        <f ca="1"/>
        <v>357.28</v>
      </c>
      <c r="K33" vm="18002">
        <f ca="1"/>
        <v>105.01260000000001</v>
      </c>
      <c r="M33" vm="18003">
        <f ca="1"/>
        <v>107.02</v>
      </c>
      <c r="O33" vm="13259">
        <f ca="1"/>
        <v>32</v>
      </c>
      <c r="Q33" vm="18004">
        <f ca="1"/>
        <v>78.23</v>
      </c>
      <c r="S33" vm="18005">
        <f ca="1"/>
        <v>1.7789999999999999</v>
      </c>
      <c r="U33" vm="18006">
        <f ca="1"/>
        <v>86.8</v>
      </c>
      <c r="W33" vm="18007">
        <f ca="1"/>
        <v>141.33000000000001</v>
      </c>
      <c r="Y33" vm="18008">
        <f ca="1"/>
        <v>2126.15</v>
      </c>
      <c r="AA33" vm="17947">
        <f ca="1"/>
        <v>18.34</v>
      </c>
      <c r="AB33" vm="17947">
        <v>18.34</v>
      </c>
      <c r="AD33" vm="18009">
        <f ca="1"/>
        <v>116.99</v>
      </c>
    </row>
    <row r="34" spans="2:31" x14ac:dyDescent="0.35">
      <c r="B34" vm="18010">
        <f ca="1"/>
        <v>42675</v>
      </c>
      <c r="C34" vm="18011">
        <f ca="1"/>
        <v>38.793999999999997</v>
      </c>
      <c r="E34" vm="18012">
        <f ca="1"/>
        <v>37.528500000000001</v>
      </c>
      <c r="G34" vm="3467">
        <f ca="1"/>
        <v>37.53</v>
      </c>
      <c r="I34" vm="15213">
        <f ca="1"/>
        <v>338.76</v>
      </c>
      <c r="K34" vm="18013">
        <f ca="1"/>
        <v>109.0913</v>
      </c>
      <c r="M34" vm="18014">
        <f ca="1"/>
        <v>102.2</v>
      </c>
      <c r="O34" vm="18015">
        <f ca="1"/>
        <v>28.557500000000001</v>
      </c>
      <c r="Q34" vm="12290">
        <f ca="1"/>
        <v>84.05</v>
      </c>
      <c r="S34" vm="18016">
        <f ca="1"/>
        <v>2.3050000000000002</v>
      </c>
      <c r="U34" vm="391">
        <f ca="1"/>
        <v>82.46</v>
      </c>
      <c r="W34" vm="18017">
        <f ca="1"/>
        <v>158.32</v>
      </c>
      <c r="Y34" vm="18018">
        <f ca="1"/>
        <v>2198.81</v>
      </c>
      <c r="AA34" vm="18019">
        <f ca="1"/>
        <v>23.68</v>
      </c>
      <c r="AB34" vm="18019">
        <v>23.68</v>
      </c>
      <c r="AD34" vm="1087">
        <f ca="1"/>
        <v>117.5</v>
      </c>
    </row>
    <row r="35" spans="2:31" x14ac:dyDescent="0.35">
      <c r="B35" vm="18020">
        <f ca="1"/>
        <v>42705</v>
      </c>
      <c r="C35" vm="18021">
        <f ca="1"/>
        <v>39.622500000000002</v>
      </c>
      <c r="E35" vm="18022">
        <f ca="1"/>
        <v>37.493499999999997</v>
      </c>
      <c r="G35" vm="18023">
        <f ca="1"/>
        <v>37.534999999999997</v>
      </c>
      <c r="I35" vm="18024">
        <f ca="1"/>
        <v>357.41</v>
      </c>
      <c r="K35" vm="18025">
        <f ca="1"/>
        <v>110.92010000000001</v>
      </c>
      <c r="M35" vm="18026">
        <f ca="1"/>
        <v>103.25</v>
      </c>
      <c r="O35" vm="18027">
        <f ca="1"/>
        <v>29.864999999999998</v>
      </c>
      <c r="Q35" vm="12479">
        <f ca="1"/>
        <v>83.95</v>
      </c>
      <c r="S35" vm="18028">
        <f ca="1"/>
        <v>2.6684999999999999</v>
      </c>
      <c r="U35" vm="17723">
        <f ca="1"/>
        <v>84.08</v>
      </c>
      <c r="W35" vm="18029">
        <f ca="1"/>
        <v>160.04</v>
      </c>
      <c r="Y35" vm="18030">
        <f ca="1"/>
        <v>2238.83</v>
      </c>
      <c r="AA35" vm="18031">
        <f ca="1"/>
        <v>24.46</v>
      </c>
      <c r="AB35" vm="18031">
        <v>24.46</v>
      </c>
      <c r="AD35" vm="18032">
        <f ca="1"/>
        <v>118.48</v>
      </c>
    </row>
    <row r="36" spans="2:31" x14ac:dyDescent="0.35">
      <c r="B36" vm="18033">
        <f ca="1"/>
        <v>42736</v>
      </c>
      <c r="C36" vm="257">
        <f ca="1"/>
        <v>41.009500000000003</v>
      </c>
      <c r="D36" s="9">
        <f ca="1">(C36/C35)-1</f>
        <v>3.5005363114392063E-2</v>
      </c>
      <c r="E36" vm="258">
        <f ca="1"/>
        <v>41.173999999999999</v>
      </c>
      <c r="F36" s="9">
        <f ca="1">(E36/E35)-1</f>
        <v>9.8163681704828809E-2</v>
      </c>
      <c r="G36" vm="259">
        <f ca="1"/>
        <v>38.130000000000003</v>
      </c>
      <c r="H36" s="9">
        <f ca="1">(G36/G35)-1</f>
        <v>1.5851871586519461E-2</v>
      </c>
      <c r="I36" vm="260">
        <f ca="1"/>
        <v>384.98</v>
      </c>
      <c r="J36" s="9">
        <f ca="1">(I36/I35)-1</f>
        <v>7.7138300551187644E-2</v>
      </c>
      <c r="K36" vm="261">
        <f ca="1"/>
        <v>113.28489999999999</v>
      </c>
      <c r="L36" s="9">
        <f ca="1">(K36/K35)-1</f>
        <v>2.131985095577793E-2</v>
      </c>
      <c r="M36" vm="262">
        <f ca="1"/>
        <v>106.33</v>
      </c>
      <c r="N36" s="9">
        <f ca="1">(M36/M35)-1</f>
        <v>2.9830508474576245E-2</v>
      </c>
      <c r="O36" vm="263">
        <f ca="1"/>
        <v>30.93</v>
      </c>
      <c r="P36" s="9">
        <f ca="1">(O36/O35)-1</f>
        <v>3.5660472124560583E-2</v>
      </c>
      <c r="Q36" vm="264">
        <f ca="1"/>
        <v>83.71</v>
      </c>
      <c r="R36" s="9">
        <f ca="1">(Q36/Q35)-1</f>
        <v>-2.8588445503276994E-3</v>
      </c>
      <c r="S36" vm="265">
        <f ca="1"/>
        <v>2.7294999999999998</v>
      </c>
      <c r="T36" s="9">
        <f ca="1">(S36/S35)-1</f>
        <v>2.2859284242083611E-2</v>
      </c>
      <c r="U36" vm="266">
        <f ca="1"/>
        <v>87.6</v>
      </c>
      <c r="V36" s="9">
        <f ca="1">(U36/U35)-1</f>
        <v>4.186489058039955E-2</v>
      </c>
      <c r="W36" vm="267">
        <f ca="1"/>
        <v>162.1</v>
      </c>
      <c r="X36" s="9">
        <f ca="1">(W36/W35)-1</f>
        <v>1.2871782054486358E-2</v>
      </c>
      <c r="Y36" vm="268">
        <f ca="1"/>
        <v>2278.87</v>
      </c>
      <c r="Z36" s="9">
        <f ca="1">(Y36/Y35)-1</f>
        <v>1.7884341374735824E-2</v>
      </c>
      <c r="AA36" vm="18034">
        <f ca="1"/>
        <v>24.51</v>
      </c>
      <c r="AB36" vm="18034">
        <v>24.51</v>
      </c>
      <c r="AC36">
        <f>AB36/10</f>
        <v>2.4510000000000001</v>
      </c>
      <c r="AD36" vm="8349">
        <f ca="1"/>
        <v>124.57</v>
      </c>
      <c r="AE36" s="9">
        <f ca="1">(AD36/AD35)-1</f>
        <v>5.1401080351114015E-2</v>
      </c>
    </row>
    <row r="37" spans="2:31" x14ac:dyDescent="0.35">
      <c r="B37" vm="269">
        <f ca="1"/>
        <v>42767</v>
      </c>
      <c r="C37" vm="498">
        <f ca="1"/>
        <v>42.246499999999997</v>
      </c>
      <c r="D37" s="9">
        <f t="shared" ref="D37:D100" ca="1" si="0">(C37/C36)-1</f>
        <v>3.016374254745835E-2</v>
      </c>
      <c r="E37" vm="499">
        <f ca="1"/>
        <v>42.252000000000002</v>
      </c>
      <c r="F37" s="9">
        <f t="shared" ref="F37:F100" ca="1" si="1">(E37/E36)-1</f>
        <v>2.6181570894253658E-2</v>
      </c>
      <c r="G37" vm="500">
        <f ca="1"/>
        <v>36.765000000000001</v>
      </c>
      <c r="H37" s="9">
        <f t="shared" ref="H37:H100" ca="1" si="2">(G37/G36)-1</f>
        <v>-3.5798583792289618E-2</v>
      </c>
      <c r="I37" vm="501">
        <f ca="1"/>
        <v>376.07</v>
      </c>
      <c r="J37" s="9">
        <f t="shared" ref="J37:J100" ca="1" si="3">(I37/I36)-1</f>
        <v>-2.314405943165887E-2</v>
      </c>
      <c r="K37" vm="502">
        <f ca="1"/>
        <v>119.202</v>
      </c>
      <c r="L37" s="9">
        <f t="shared" ref="L37:L100" ca="1" si="4">(K37/K36)-1</f>
        <v>5.2232027392882907E-2</v>
      </c>
      <c r="M37" vm="503">
        <f ca="1"/>
        <v>110.46</v>
      </c>
      <c r="N37" s="9">
        <f t="shared" ref="N37:N100" ca="1" si="5">(M37/M36)-1</f>
        <v>3.8841342988808369E-2</v>
      </c>
      <c r="O37" vm="504">
        <f ca="1"/>
        <v>32.75</v>
      </c>
      <c r="P37" s="9">
        <f t="shared" ref="P37:P100" ca="1" si="6">(O37/O36)-1</f>
        <v>5.8842547688328528E-2</v>
      </c>
      <c r="Q37" vm="505">
        <f ca="1"/>
        <v>80.36</v>
      </c>
      <c r="R37" s="9">
        <f t="shared" ref="R37:R100" ca="1" si="7">(Q37/Q36)-1</f>
        <v>-4.0019113606498569E-2</v>
      </c>
      <c r="S37" vm="506">
        <f ca="1"/>
        <v>2.5369999999999999</v>
      </c>
      <c r="T37" s="9">
        <f t="shared" ref="T37:T100" ca="1" si="8">(S37/S36)-1</f>
        <v>-7.0525737314526382E-2</v>
      </c>
      <c r="U37" vm="507">
        <f ca="1"/>
        <v>91.07</v>
      </c>
      <c r="V37" s="9">
        <f t="shared" ref="V37:V100" ca="1" si="9">(U37/U36)-1</f>
        <v>3.9611872146118721E-2</v>
      </c>
      <c r="W37" vm="495">
        <f ca="1"/>
        <v>165.38</v>
      </c>
      <c r="X37" s="9">
        <f t="shared" ref="X37:X100" ca="1" si="10">(W37/W36)-1</f>
        <v>2.0234423195558238E-2</v>
      </c>
      <c r="Y37" vm="508">
        <f ca="1"/>
        <v>2363.64</v>
      </c>
      <c r="Z37" s="9">
        <f t="shared" ref="Z37:Z100" ca="1" si="11">(Y37/Y36)-1</f>
        <v>3.7198260541408734E-2</v>
      </c>
      <c r="AA37" vm="18035">
        <f ca="1"/>
        <v>23.58</v>
      </c>
      <c r="AB37" vm="18035">
        <v>23.58</v>
      </c>
      <c r="AC37">
        <f t="shared" ref="AC37:AC100" si="12">AB37/10</f>
        <v>2.3579999999999997</v>
      </c>
      <c r="AD37" vm="18036">
        <f ca="1"/>
        <v>130.02000000000001</v>
      </c>
      <c r="AE37" s="9">
        <f ca="1">(AD37/AD36)-1</f>
        <v>4.3750501725937418E-2</v>
      </c>
    </row>
    <row r="38" spans="2:31" x14ac:dyDescent="0.35">
      <c r="B38" vm="509">
        <f ca="1"/>
        <v>42795</v>
      </c>
      <c r="C38" vm="785">
        <f ca="1"/>
        <v>42.39</v>
      </c>
      <c r="D38" s="9">
        <f t="shared" ca="1" si="0"/>
        <v>3.3967310901494852E-3</v>
      </c>
      <c r="E38" vm="786">
        <f ca="1"/>
        <v>44.326999999999998</v>
      </c>
      <c r="F38" s="9">
        <f t="shared" ca="1" si="1"/>
        <v>4.9110101296979902E-2</v>
      </c>
      <c r="G38" vm="787">
        <f ca="1"/>
        <v>37.130000000000003</v>
      </c>
      <c r="H38" s="9">
        <f t="shared" ca="1" si="2"/>
        <v>9.9279205766353851E-3</v>
      </c>
      <c r="I38" vm="788">
        <f ca="1"/>
        <v>400.37</v>
      </c>
      <c r="J38" s="9">
        <f t="shared" ca="1" si="3"/>
        <v>6.4615630068870278E-2</v>
      </c>
      <c r="K38" vm="789">
        <f ca="1"/>
        <v>119.5562</v>
      </c>
      <c r="L38" s="9">
        <f t="shared" ca="1" si="4"/>
        <v>2.9714266539151435E-3</v>
      </c>
      <c r="M38" vm="752">
        <f ca="1"/>
        <v>112.47</v>
      </c>
      <c r="N38" s="9">
        <f t="shared" ca="1" si="5"/>
        <v>1.8196632265073287E-2</v>
      </c>
      <c r="O38" vm="790">
        <f ca="1"/>
        <v>32.092500000000001</v>
      </c>
      <c r="P38" s="9">
        <f t="shared" ca="1" si="6"/>
        <v>-2.0076335877862506E-2</v>
      </c>
      <c r="Q38" vm="581">
        <f ca="1"/>
        <v>78.099999999999994</v>
      </c>
      <c r="R38" s="9">
        <f t="shared" ca="1" si="7"/>
        <v>-2.8123444499751238E-2</v>
      </c>
      <c r="S38" vm="791">
        <f ca="1"/>
        <v>2.7233000000000001</v>
      </c>
      <c r="T38" s="9">
        <f t="shared" ca="1" si="8"/>
        <v>7.3433188805676064E-2</v>
      </c>
      <c r="U38" vm="792">
        <f ca="1"/>
        <v>89.85</v>
      </c>
      <c r="V38" s="9">
        <f t="shared" ca="1" si="9"/>
        <v>-1.3396288569232473E-2</v>
      </c>
      <c r="W38" vm="793">
        <f ca="1"/>
        <v>164.01</v>
      </c>
      <c r="X38" s="9">
        <f t="shared" ca="1" si="10"/>
        <v>-8.283952110291426E-3</v>
      </c>
      <c r="Y38" vm="794">
        <f ca="1"/>
        <v>2362.7199999999998</v>
      </c>
      <c r="Z38" s="9">
        <f t="shared" ca="1" si="11"/>
        <v>-3.8923017041514463E-4</v>
      </c>
      <c r="AA38" vm="18037">
        <f ca="1"/>
        <v>23.96</v>
      </c>
      <c r="AB38" vm="18037">
        <v>23.96</v>
      </c>
      <c r="AC38">
        <f t="shared" si="12"/>
        <v>2.3959999999999999</v>
      </c>
      <c r="AD38" vm="18038">
        <f ca="1"/>
        <v>132.38</v>
      </c>
      <c r="AE38" s="9">
        <f ca="1">(AD38/AD37)-1</f>
        <v>1.8151053684048568E-2</v>
      </c>
    </row>
    <row r="39" spans="2:31" x14ac:dyDescent="0.35">
      <c r="B39" vm="18039">
        <f ca="1"/>
        <v>42826</v>
      </c>
      <c r="C39" vm="1019">
        <f ca="1"/>
        <v>46.225999999999999</v>
      </c>
      <c r="D39" s="9">
        <f t="shared" ca="1" si="0"/>
        <v>9.0493040811512104E-2</v>
      </c>
      <c r="E39" vm="1020">
        <f ca="1"/>
        <v>46.249499999999998</v>
      </c>
      <c r="F39" s="9">
        <f t="shared" ca="1" si="1"/>
        <v>4.3370857490919734E-2</v>
      </c>
      <c r="G39" vm="1021">
        <f ca="1"/>
        <v>38.445</v>
      </c>
      <c r="H39" s="9">
        <f t="shared" ca="1" si="2"/>
        <v>3.5416105575006629E-2</v>
      </c>
      <c r="I39" vm="1022">
        <f ca="1"/>
        <v>417.7</v>
      </c>
      <c r="J39" s="9">
        <f t="shared" ca="1" si="3"/>
        <v>4.3284961410695155E-2</v>
      </c>
      <c r="K39" vm="1023">
        <f ca="1"/>
        <v>125.5594</v>
      </c>
      <c r="L39" s="9">
        <f t="shared" ca="1" si="4"/>
        <v>5.0212368743737246E-2</v>
      </c>
      <c r="M39" vm="1024">
        <f ca="1"/>
        <v>116.32</v>
      </c>
      <c r="N39" s="9">
        <f t="shared" ca="1" si="5"/>
        <v>3.4231350582377473E-2</v>
      </c>
      <c r="O39" vm="1025">
        <f ca="1"/>
        <v>33.39</v>
      </c>
      <c r="P39" s="9">
        <f t="shared" ca="1" si="6"/>
        <v>4.0430007010983759E-2</v>
      </c>
      <c r="Q39" vm="1026">
        <f ca="1"/>
        <v>72.59</v>
      </c>
      <c r="R39" s="9">
        <f t="shared" ca="1" si="7"/>
        <v>-7.0550576184378877E-2</v>
      </c>
      <c r="S39" vm="1027">
        <f ca="1"/>
        <v>2.6074999999999999</v>
      </c>
      <c r="T39" s="9">
        <f t="shared" ca="1" si="8"/>
        <v>-4.2521940293026916E-2</v>
      </c>
      <c r="U39" vm="279">
        <f ca="1"/>
        <v>87.33</v>
      </c>
      <c r="V39" s="9">
        <f t="shared" ca="1" si="9"/>
        <v>-2.8046744574290461E-2</v>
      </c>
      <c r="W39" vm="1028">
        <f ca="1"/>
        <v>174.88</v>
      </c>
      <c r="X39" s="9">
        <f t="shared" ca="1" si="10"/>
        <v>6.6276446558136692E-2</v>
      </c>
      <c r="Y39" vm="1029">
        <f ca="1"/>
        <v>2384.1999999999998</v>
      </c>
      <c r="Z39" s="9">
        <f t="shared" ca="1" si="11"/>
        <v>9.0912169025529899E-3</v>
      </c>
      <c r="AA39" vm="18040">
        <f ca="1"/>
        <v>22.82</v>
      </c>
      <c r="AB39" vm="18040">
        <v>22.82</v>
      </c>
      <c r="AC39">
        <f t="shared" si="12"/>
        <v>2.282</v>
      </c>
      <c r="AD39" vm="18041">
        <f ca="1"/>
        <v>135.99</v>
      </c>
      <c r="AE39" s="9">
        <f t="shared" ref="AE37:AE100" ca="1" si="13">(AD39/AD38)-1</f>
        <v>2.7269980359571067E-2</v>
      </c>
    </row>
    <row r="40" spans="2:31" x14ac:dyDescent="0.35">
      <c r="B40" vm="1030">
        <f ca="1"/>
        <v>42856</v>
      </c>
      <c r="C40" vm="1298">
        <f ca="1"/>
        <v>49.354500000000002</v>
      </c>
      <c r="D40" s="9">
        <f t="shared" ca="1" si="0"/>
        <v>6.7678362826115279E-2</v>
      </c>
      <c r="E40" vm="1299">
        <f ca="1"/>
        <v>49.731000000000002</v>
      </c>
      <c r="F40" s="9">
        <f t="shared" ca="1" si="1"/>
        <v>7.5276489475561981E-2</v>
      </c>
      <c r="G40" vm="1300">
        <f ca="1"/>
        <v>40.9</v>
      </c>
      <c r="H40" s="9">
        <f t="shared" ca="1" si="2"/>
        <v>6.3857458707244019E-2</v>
      </c>
      <c r="I40" vm="1301">
        <f ca="1"/>
        <v>441.01</v>
      </c>
      <c r="J40" s="9">
        <f t="shared" ca="1" si="3"/>
        <v>5.5805602106775209E-2</v>
      </c>
      <c r="K40" vm="1302">
        <f ca="1"/>
        <v>127.33069999999999</v>
      </c>
      <c r="L40" s="9">
        <f t="shared" ca="1" si="4"/>
        <v>1.4107267158014469E-2</v>
      </c>
      <c r="M40" vm="1303">
        <f ca="1"/>
        <v>122.88</v>
      </c>
      <c r="N40" s="9">
        <f t="shared" ca="1" si="5"/>
        <v>5.6396148555708514E-2</v>
      </c>
      <c r="O40" vm="1304">
        <f ca="1"/>
        <v>35.36</v>
      </c>
      <c r="P40" s="9">
        <f t="shared" ca="1" si="6"/>
        <v>5.8999700509134501E-2</v>
      </c>
      <c r="Q40" vm="1305">
        <f ca="1"/>
        <v>69.59</v>
      </c>
      <c r="R40" s="9">
        <f t="shared" ca="1" si="7"/>
        <v>-4.1328006612481039E-2</v>
      </c>
      <c r="S40" vm="1306">
        <f ca="1"/>
        <v>3.6088</v>
      </c>
      <c r="T40" s="9">
        <f t="shared" ca="1" si="8"/>
        <v>0.38400767018216686</v>
      </c>
      <c r="U40" vm="1307">
        <f ca="1"/>
        <v>88.09</v>
      </c>
      <c r="V40" s="9">
        <f t="shared" ca="1" si="9"/>
        <v>8.7026222374899653E-3</v>
      </c>
      <c r="W40" vm="1308">
        <f ca="1"/>
        <v>175.18</v>
      </c>
      <c r="X40" s="9">
        <f t="shared" ca="1" si="10"/>
        <v>1.7154620311070623E-3</v>
      </c>
      <c r="Y40" vm="1309">
        <f ca="1"/>
        <v>2411.8000000000002</v>
      </c>
      <c r="Z40" s="9">
        <f t="shared" ca="1" si="11"/>
        <v>1.1576210049492719E-2</v>
      </c>
      <c r="AA40" vm="18042">
        <f ca="1"/>
        <v>21.96</v>
      </c>
      <c r="AB40" vm="18042">
        <v>21.96</v>
      </c>
      <c r="AC40">
        <f t="shared" si="12"/>
        <v>2.1960000000000002</v>
      </c>
      <c r="AD40" vm="18043">
        <f ca="1"/>
        <v>141.29</v>
      </c>
      <c r="AE40" s="9">
        <f t="shared" ca="1" si="13"/>
        <v>3.8973453930435831E-2</v>
      </c>
    </row>
    <row r="41" spans="2:31" x14ac:dyDescent="0.35">
      <c r="B41" vm="1310">
        <f ca="1"/>
        <v>42887</v>
      </c>
      <c r="C41" vm="1580">
        <f ca="1"/>
        <v>46.484000000000002</v>
      </c>
      <c r="D41" s="9">
        <f t="shared" ca="1" si="0"/>
        <v>-5.8160856659473792E-2</v>
      </c>
      <c r="E41" vm="1581">
        <f ca="1"/>
        <v>48.4</v>
      </c>
      <c r="F41" s="9">
        <f t="shared" ca="1" si="1"/>
        <v>-2.6763990267639981E-2</v>
      </c>
      <c r="G41" vm="1582">
        <f ca="1"/>
        <v>42.21</v>
      </c>
      <c r="H41" s="9">
        <f t="shared" ca="1" si="2"/>
        <v>3.2029339853300698E-2</v>
      </c>
      <c r="I41" vm="1583">
        <f ca="1"/>
        <v>429.16</v>
      </c>
      <c r="J41" s="9">
        <f t="shared" ca="1" si="3"/>
        <v>-2.6870138999115611E-2</v>
      </c>
      <c r="K41" vm="1584">
        <f ca="1"/>
        <v>127.61790000000001</v>
      </c>
      <c r="L41" s="9">
        <f t="shared" ca="1" si="4"/>
        <v>2.255544028266554E-3</v>
      </c>
      <c r="M41" vm="1585">
        <f ca="1"/>
        <v>121.45</v>
      </c>
      <c r="N41" s="9">
        <f t="shared" ca="1" si="5"/>
        <v>-1.163736979166663E-2</v>
      </c>
      <c r="O41" vm="1586">
        <f ca="1"/>
        <v>35.032499999999999</v>
      </c>
      <c r="P41" s="9">
        <f t="shared" ca="1" si="6"/>
        <v>-9.2618778280543212E-3</v>
      </c>
      <c r="Q41" vm="1587">
        <f ca="1"/>
        <v>65.84</v>
      </c>
      <c r="R41" s="9">
        <f t="shared" ca="1" si="7"/>
        <v>-5.3887052737462304E-2</v>
      </c>
      <c r="S41" vm="1588">
        <f ca="1"/>
        <v>3.6139999999999999</v>
      </c>
      <c r="T41" s="9">
        <f t="shared" ca="1" si="8"/>
        <v>1.4409221902016434E-3</v>
      </c>
      <c r="U41" vm="1589">
        <f ca="1"/>
        <v>87.15</v>
      </c>
      <c r="V41" s="9">
        <f t="shared" ca="1" si="9"/>
        <v>-1.0670904756499011E-2</v>
      </c>
      <c r="W41" vm="1590">
        <f ca="1"/>
        <v>185.42</v>
      </c>
      <c r="X41" s="9">
        <f t="shared" ca="1" si="10"/>
        <v>5.8454161433953544E-2</v>
      </c>
      <c r="Y41" vm="1591">
        <f ca="1"/>
        <v>2423.41</v>
      </c>
      <c r="Z41" s="9">
        <f t="shared" ca="1" si="11"/>
        <v>4.8138319927024664E-3</v>
      </c>
      <c r="AA41" vm="18044">
        <f ca="1"/>
        <v>23.02</v>
      </c>
      <c r="AB41" vm="18044">
        <v>23.02</v>
      </c>
      <c r="AC41">
        <f t="shared" si="12"/>
        <v>2.302</v>
      </c>
      <c r="AD41" vm="18045">
        <f ca="1"/>
        <v>137.63999999999999</v>
      </c>
      <c r="AE41" s="9">
        <f t="shared" ca="1" si="13"/>
        <v>-2.5833392313681092E-2</v>
      </c>
    </row>
    <row r="42" spans="2:31" x14ac:dyDescent="0.35">
      <c r="B42" vm="18046">
        <f ca="1"/>
        <v>42917</v>
      </c>
      <c r="C42" vm="1831">
        <f ca="1"/>
        <v>47.274999999999999</v>
      </c>
      <c r="D42" s="9">
        <f t="shared" ca="1" si="0"/>
        <v>1.7016607865071753E-2</v>
      </c>
      <c r="E42" vm="1832">
        <f ca="1"/>
        <v>49.389000000000003</v>
      </c>
      <c r="F42" s="9">
        <f t="shared" ca="1" si="1"/>
        <v>2.0433884297520688E-2</v>
      </c>
      <c r="G42" vm="1833">
        <f ca="1"/>
        <v>41.9</v>
      </c>
      <c r="H42" s="9">
        <f t="shared" ca="1" si="2"/>
        <v>-7.3442312248283015E-3</v>
      </c>
      <c r="I42" vm="1834">
        <f ca="1"/>
        <v>450.73</v>
      </c>
      <c r="J42" s="9">
        <f t="shared" ca="1" si="3"/>
        <v>5.0260974927765822E-2</v>
      </c>
      <c r="K42" vm="1835">
        <f ca="1"/>
        <v>130.32749999999999</v>
      </c>
      <c r="L42" s="9">
        <f t="shared" ca="1" si="4"/>
        <v>2.1232131229239615E-2</v>
      </c>
      <c r="M42" vm="1836">
        <f ca="1"/>
        <v>127.8</v>
      </c>
      <c r="N42" s="9">
        <f t="shared" ca="1" si="5"/>
        <v>5.2284890901605596E-2</v>
      </c>
      <c r="O42" vm="1837">
        <f ca="1"/>
        <v>36.522500000000001</v>
      </c>
      <c r="P42" s="9">
        <f t="shared" ca="1" si="6"/>
        <v>4.2531934632127344E-2</v>
      </c>
      <c r="Q42" vm="1838">
        <f ca="1"/>
        <v>68.599999999999994</v>
      </c>
      <c r="R42" s="9">
        <f t="shared" ca="1" si="7"/>
        <v>4.1919805589307302E-2</v>
      </c>
      <c r="S42" vm="1676">
        <f ca="1"/>
        <v>4.0628000000000002</v>
      </c>
      <c r="T42" s="9">
        <f t="shared" ca="1" si="8"/>
        <v>0.12418372993912574</v>
      </c>
      <c r="U42" vm="1839">
        <f ca="1"/>
        <v>90.82</v>
      </c>
      <c r="V42" s="9">
        <f t="shared" ca="1" si="9"/>
        <v>4.2111302352266122E-2</v>
      </c>
      <c r="W42" vm="1840">
        <f ca="1"/>
        <v>191.81</v>
      </c>
      <c r="X42" s="9">
        <f t="shared" ca="1" si="10"/>
        <v>3.4462301801315931E-2</v>
      </c>
      <c r="Y42" vm="1841">
        <f ca="1"/>
        <v>2470.3000000000002</v>
      </c>
      <c r="Z42" s="9">
        <f t="shared" ca="1" si="11"/>
        <v>1.9348768883515444E-2</v>
      </c>
      <c r="AA42" vm="18047">
        <f ca="1"/>
        <v>22.92</v>
      </c>
      <c r="AB42" vm="18047">
        <v>22.92</v>
      </c>
      <c r="AC42">
        <f t="shared" si="12"/>
        <v>2.2920000000000003</v>
      </c>
      <c r="AD42" vm="11706">
        <f ca="1"/>
        <v>143.22999999999999</v>
      </c>
      <c r="AE42" s="9">
        <f t="shared" ca="1" si="13"/>
        <v>4.0613193839000417E-2</v>
      </c>
    </row>
    <row r="43" spans="2:31" x14ac:dyDescent="0.35">
      <c r="B43" vm="1842">
        <f ca="1"/>
        <v>42948</v>
      </c>
      <c r="C43" vm="2117">
        <f ca="1"/>
        <v>47.762</v>
      </c>
      <c r="D43" s="9">
        <f t="shared" ca="1" si="0"/>
        <v>1.0301427815970321E-2</v>
      </c>
      <c r="E43" vm="2118">
        <f ca="1"/>
        <v>49.03</v>
      </c>
      <c r="F43" s="9">
        <f t="shared" ca="1" si="1"/>
        <v>-7.2688250420134271E-3</v>
      </c>
      <c r="G43" vm="2119">
        <f ca="1"/>
        <v>39.99</v>
      </c>
      <c r="H43" s="9">
        <f t="shared" ca="1" si="2"/>
        <v>-4.5584725536992776E-2</v>
      </c>
      <c r="I43" vm="2120">
        <f ca="1"/>
        <v>468.41</v>
      </c>
      <c r="J43" s="9">
        <f t="shared" ca="1" si="3"/>
        <v>3.9225256805626385E-2</v>
      </c>
      <c r="K43" vm="1959">
        <f ca="1"/>
        <v>132.386</v>
      </c>
      <c r="L43" s="9">
        <f t="shared" ca="1" si="4"/>
        <v>1.5794824576547573E-2</v>
      </c>
      <c r="M43" vm="2121">
        <f ca="1"/>
        <v>133.30000000000001</v>
      </c>
      <c r="N43" s="9">
        <f t="shared" ca="1" si="5"/>
        <v>4.3035993740219158E-2</v>
      </c>
      <c r="O43" vm="2122">
        <f ca="1"/>
        <v>37.627499999999998</v>
      </c>
      <c r="P43" s="9">
        <f t="shared" ca="1" si="6"/>
        <v>3.0255322061742751E-2</v>
      </c>
      <c r="Q43" vm="2123">
        <f ca="1"/>
        <v>63.51</v>
      </c>
      <c r="R43" s="9">
        <f t="shared" ca="1" si="7"/>
        <v>-7.419825072886288E-2</v>
      </c>
      <c r="S43" vm="2124">
        <f ca="1"/>
        <v>4.2359999999999998</v>
      </c>
      <c r="T43" s="9">
        <f t="shared" ca="1" si="8"/>
        <v>4.2630698040760029E-2</v>
      </c>
      <c r="U43" vm="2064">
        <f ca="1"/>
        <v>92.27</v>
      </c>
      <c r="V43" s="9">
        <f t="shared" ca="1" si="9"/>
        <v>1.5965646333406802E-2</v>
      </c>
      <c r="W43" vm="2125">
        <f ca="1"/>
        <v>198.9</v>
      </c>
      <c r="X43" s="9">
        <f t="shared" ca="1" si="10"/>
        <v>3.6963661957145177E-2</v>
      </c>
      <c r="Y43" vm="2126">
        <f ca="1"/>
        <v>2471.65</v>
      </c>
      <c r="Z43" s="9">
        <f t="shared" ca="1" si="11"/>
        <v>5.4649232886694321E-4</v>
      </c>
      <c r="AA43" vm="18048">
        <f ca="1"/>
        <v>21.21</v>
      </c>
      <c r="AB43" vm="18048">
        <v>21.21</v>
      </c>
      <c r="AC43">
        <f t="shared" si="12"/>
        <v>2.121</v>
      </c>
      <c r="AD43" vm="18049">
        <f ca="1"/>
        <v>146.19999999999999</v>
      </c>
      <c r="AE43" s="9">
        <f t="shared" ca="1" si="13"/>
        <v>2.0735879354883746E-2</v>
      </c>
    </row>
    <row r="44" spans="2:31" x14ac:dyDescent="0.35">
      <c r="B44" vm="2127">
        <f ca="1"/>
        <v>42979</v>
      </c>
      <c r="C44" vm="2356">
        <f ca="1"/>
        <v>48.686</v>
      </c>
      <c r="D44" s="9">
        <f t="shared" ca="1" si="0"/>
        <v>1.9345923537540388E-2</v>
      </c>
      <c r="E44" vm="1147">
        <f ca="1"/>
        <v>48.067500000000003</v>
      </c>
      <c r="F44" s="9">
        <f t="shared" ca="1" si="1"/>
        <v>-1.9630838262288397E-2</v>
      </c>
      <c r="G44" vm="2357">
        <f ca="1"/>
        <v>41.3</v>
      </c>
      <c r="H44" s="9">
        <f t="shared" ca="1" si="2"/>
        <v>3.275818954738674E-2</v>
      </c>
      <c r="I44" vm="2358">
        <f ca="1"/>
        <v>446.3</v>
      </c>
      <c r="J44" s="9">
        <f t="shared" ca="1" si="3"/>
        <v>-4.7202237356162358E-2</v>
      </c>
      <c r="K44" vm="2359">
        <f ca="1"/>
        <v>135.70830000000001</v>
      </c>
      <c r="L44" s="9">
        <f t="shared" ca="1" si="4"/>
        <v>2.5095553910534418E-2</v>
      </c>
      <c r="M44" vm="2360">
        <f ca="1"/>
        <v>141.19999999999999</v>
      </c>
      <c r="N44" s="9">
        <f t="shared" ca="1" si="5"/>
        <v>5.9264816204050774E-2</v>
      </c>
      <c r="O44" vm="2361">
        <f ca="1"/>
        <v>36.637500000000003</v>
      </c>
      <c r="P44" s="9">
        <f t="shared" ca="1" si="6"/>
        <v>-2.6310544149890203E-2</v>
      </c>
      <c r="Q44" vm="2362">
        <f ca="1"/>
        <v>69.760000000000005</v>
      </c>
      <c r="R44" s="9">
        <f t="shared" ca="1" si="7"/>
        <v>9.8409699259959238E-2</v>
      </c>
      <c r="S44" vm="2363">
        <f ca="1"/>
        <v>4.4692999999999996</v>
      </c>
      <c r="T44" s="9">
        <f t="shared" ca="1" si="8"/>
        <v>5.5075542965061342E-2</v>
      </c>
      <c r="U44" vm="2364">
        <f ca="1"/>
        <v>90.98</v>
      </c>
      <c r="V44" s="9">
        <f t="shared" ca="1" si="9"/>
        <v>-1.3980708789422258E-2</v>
      </c>
      <c r="W44" vm="2365">
        <f ca="1"/>
        <v>195.85</v>
      </c>
      <c r="X44" s="9">
        <f t="shared" ca="1" si="10"/>
        <v>-1.5334338863750685E-2</v>
      </c>
      <c r="Y44" vm="2366">
        <f ca="1"/>
        <v>2519.36</v>
      </c>
      <c r="Z44" s="9">
        <f t="shared" ca="1" si="11"/>
        <v>1.9302894827342154E-2</v>
      </c>
      <c r="AA44" vm="18050">
        <f ca="1"/>
        <v>23.26</v>
      </c>
      <c r="AB44" vm="18050">
        <v>23.26</v>
      </c>
      <c r="AC44">
        <f t="shared" si="12"/>
        <v>2.3260000000000001</v>
      </c>
      <c r="AD44" vm="18051">
        <f ca="1"/>
        <v>145.44999999999999</v>
      </c>
      <c r="AE44" s="9">
        <f t="shared" ca="1" si="13"/>
        <v>-5.1299589603283069E-3</v>
      </c>
    </row>
    <row r="45" spans="2:31" x14ac:dyDescent="0.35">
      <c r="B45" vm="18052">
        <f ca="1"/>
        <v>43009</v>
      </c>
      <c r="C45" vm="2626">
        <f ca="1"/>
        <v>51.652000000000001</v>
      </c>
      <c r="D45" s="9">
        <f t="shared" ca="1" si="0"/>
        <v>6.0921003984718336E-2</v>
      </c>
      <c r="E45" vm="2627">
        <f ca="1"/>
        <v>55.264000000000003</v>
      </c>
      <c r="F45" s="9">
        <f t="shared" ca="1" si="1"/>
        <v>0.14971654444271087</v>
      </c>
      <c r="G45" vm="2628">
        <f ca="1"/>
        <v>42.93</v>
      </c>
      <c r="H45" s="9">
        <f t="shared" ca="1" si="2"/>
        <v>3.9467312348668404E-2</v>
      </c>
      <c r="I45" vm="2629">
        <f ca="1"/>
        <v>463.5</v>
      </c>
      <c r="J45" s="9">
        <f t="shared" ca="1" si="3"/>
        <v>3.8539099260586962E-2</v>
      </c>
      <c r="K45" vm="2630">
        <f ca="1"/>
        <v>138.02529999999999</v>
      </c>
      <c r="L45" s="9">
        <f t="shared" ca="1" si="4"/>
        <v>1.7073384605068131E-2</v>
      </c>
      <c r="M45" vm="2631">
        <f ca="1"/>
        <v>148.77000000000001</v>
      </c>
      <c r="N45" s="9">
        <f t="shared" ca="1" si="5"/>
        <v>5.3611898016997284E-2</v>
      </c>
      <c r="O45" vm="2632">
        <f ca="1"/>
        <v>38.767499999999998</v>
      </c>
      <c r="P45" s="9">
        <f t="shared" ca="1" si="6"/>
        <v>5.8137154554759318E-2</v>
      </c>
      <c r="Q45" vm="2633">
        <f ca="1"/>
        <v>64</v>
      </c>
      <c r="R45" s="9">
        <f t="shared" ca="1" si="7"/>
        <v>-8.2568807339449601E-2</v>
      </c>
      <c r="S45" vm="2634">
        <f ca="1"/>
        <v>5.1703000000000001</v>
      </c>
      <c r="T45" s="9">
        <f t="shared" ca="1" si="8"/>
        <v>0.15684782851900758</v>
      </c>
      <c r="U45" vm="2635">
        <f ca="1"/>
        <v>86.34</v>
      </c>
      <c r="V45" s="9">
        <f t="shared" ca="1" si="9"/>
        <v>-5.1000219828533755E-2</v>
      </c>
      <c r="W45" vm="2636">
        <f ca="1"/>
        <v>210.22</v>
      </c>
      <c r="X45" s="9">
        <f t="shared" ca="1" si="10"/>
        <v>7.3372478937962837E-2</v>
      </c>
      <c r="Y45" vm="2637">
        <f ca="1"/>
        <v>2575.2600000000002</v>
      </c>
      <c r="Z45" s="9">
        <f t="shared" ca="1" si="11"/>
        <v>2.2188174774546043E-2</v>
      </c>
      <c r="AA45" vm="18053">
        <f ca="1"/>
        <v>23.76</v>
      </c>
      <c r="AB45" vm="18053">
        <v>23.76</v>
      </c>
      <c r="AC45">
        <f t="shared" si="12"/>
        <v>2.3760000000000003</v>
      </c>
      <c r="AD45" vm="14846">
        <f ca="1"/>
        <v>152.15</v>
      </c>
      <c r="AE45" s="9">
        <f t="shared" ca="1" si="13"/>
        <v>4.6063939498109496E-2</v>
      </c>
    </row>
    <row r="46" spans="2:31" x14ac:dyDescent="0.35">
      <c r="B46" vm="2638">
        <f ca="1"/>
        <v>43040</v>
      </c>
      <c r="C46" vm="2882">
        <f ca="1"/>
        <v>51.808500000000002</v>
      </c>
      <c r="D46" s="9">
        <f t="shared" ca="1" si="0"/>
        <v>3.0298923565399427E-3</v>
      </c>
      <c r="E46" vm="2883">
        <f ca="1"/>
        <v>58.837499999999999</v>
      </c>
      <c r="F46" s="9">
        <f t="shared" ca="1" si="1"/>
        <v>6.4662348002316072E-2</v>
      </c>
      <c r="G46" vm="2884">
        <f ca="1"/>
        <v>39.909999999999997</v>
      </c>
      <c r="H46" s="9">
        <f t="shared" ca="1" si="2"/>
        <v>-7.0347076636384842E-2</v>
      </c>
      <c r="I46" vm="2885">
        <f ca="1"/>
        <v>464.49</v>
      </c>
      <c r="J46" s="9">
        <f t="shared" ca="1" si="3"/>
        <v>2.1359223300971841E-3</v>
      </c>
      <c r="K46" vm="2886">
        <f ca="1"/>
        <v>149.32320000000001</v>
      </c>
      <c r="L46" s="9">
        <f t="shared" ca="1" si="4"/>
        <v>8.1853834043469131E-2</v>
      </c>
      <c r="M46" vm="2887">
        <f ca="1"/>
        <v>150.47</v>
      </c>
      <c r="N46" s="9">
        <f t="shared" ca="1" si="5"/>
        <v>1.1427035020501464E-2</v>
      </c>
      <c r="O46" vm="2108">
        <f ca="1"/>
        <v>39.51</v>
      </c>
      <c r="P46" s="9">
        <f t="shared" ca="1" si="6"/>
        <v>1.9152640742890359E-2</v>
      </c>
      <c r="Q46" vm="2888">
        <f ca="1"/>
        <v>62.85</v>
      </c>
      <c r="R46" s="9">
        <f t="shared" ca="1" si="7"/>
        <v>-1.7968749999999978E-2</v>
      </c>
      <c r="S46" vm="2889">
        <f ca="1"/>
        <v>5.0178000000000003</v>
      </c>
      <c r="T46" s="9">
        <f t="shared" ca="1" si="8"/>
        <v>-2.9495387114867544E-2</v>
      </c>
      <c r="U46" vm="2890">
        <f ca="1"/>
        <v>89.99</v>
      </c>
      <c r="V46" s="9">
        <f t="shared" ca="1" si="9"/>
        <v>4.227472782024555E-2</v>
      </c>
      <c r="W46" vm="2891">
        <f ca="1"/>
        <v>228.17</v>
      </c>
      <c r="X46" s="9">
        <f t="shared" ca="1" si="10"/>
        <v>8.5386737703358362E-2</v>
      </c>
      <c r="Y46" vm="2892">
        <f ca="1"/>
        <v>2647.58</v>
      </c>
      <c r="Z46" s="9">
        <f t="shared" ca="1" si="11"/>
        <v>2.8082601368405458E-2</v>
      </c>
      <c r="AA46" vm="18054">
        <f ca="1"/>
        <v>24.17</v>
      </c>
      <c r="AB46" vm="18054">
        <v>24.17</v>
      </c>
      <c r="AC46">
        <f t="shared" si="12"/>
        <v>2.4170000000000003</v>
      </c>
      <c r="AD46" vm="18055">
        <f ca="1"/>
        <v>155.15</v>
      </c>
      <c r="AE46" s="9">
        <f t="shared" ca="1" si="13"/>
        <v>1.9717384160368168E-2</v>
      </c>
    </row>
    <row r="47" spans="2:31" x14ac:dyDescent="0.35">
      <c r="B47" vm="2893">
        <f ca="1"/>
        <v>43070</v>
      </c>
      <c r="C47" vm="3121">
        <f ca="1"/>
        <v>52.67</v>
      </c>
      <c r="D47" s="9">
        <f t="shared" ca="1" si="0"/>
        <v>1.6628545508941661E-2</v>
      </c>
      <c r="E47" vm="3122">
        <f ca="1"/>
        <v>58.473500000000001</v>
      </c>
      <c r="F47" s="9">
        <f t="shared" ca="1" si="1"/>
        <v>-6.1865306989589142E-3</v>
      </c>
      <c r="G47" vm="2192">
        <f ca="1"/>
        <v>37.85</v>
      </c>
      <c r="H47" s="9">
        <f t="shared" ca="1" si="2"/>
        <v>-5.161613630668993E-2</v>
      </c>
      <c r="I47" vm="3123">
        <f ca="1"/>
        <v>453.22</v>
      </c>
      <c r="J47" s="9">
        <f t="shared" ca="1" si="3"/>
        <v>-2.4263170358888253E-2</v>
      </c>
      <c r="K47" vm="3124">
        <f ca="1"/>
        <v>146.8338</v>
      </c>
      <c r="L47" s="9">
        <f t="shared" ca="1" si="4"/>
        <v>-1.6671220547108678E-2</v>
      </c>
      <c r="M47" vm="3125">
        <f ca="1"/>
        <v>151.36000000000001</v>
      </c>
      <c r="N47" s="9">
        <f t="shared" ca="1" si="5"/>
        <v>5.9148002924171994E-3</v>
      </c>
      <c r="O47" vm="3126">
        <f ca="1"/>
        <v>39.047499999999999</v>
      </c>
      <c r="P47" s="9">
        <f t="shared" ca="1" si="6"/>
        <v>-1.1705897241204744E-2</v>
      </c>
      <c r="Q47" vm="3127">
        <f ca="1"/>
        <v>67.39</v>
      </c>
      <c r="R47" s="9">
        <f t="shared" ca="1" si="7"/>
        <v>7.2235481304693705E-2</v>
      </c>
      <c r="S47" vm="3128">
        <f ca="1"/>
        <v>4.8375000000000004</v>
      </c>
      <c r="T47" s="9">
        <f t="shared" ca="1" si="8"/>
        <v>-3.5932081788831782E-2</v>
      </c>
      <c r="U47" vm="3034">
        <f ca="1"/>
        <v>91.88</v>
      </c>
      <c r="V47" s="9">
        <f t="shared" ca="1" si="9"/>
        <v>2.1002333592621492E-2</v>
      </c>
      <c r="W47" vm="3129">
        <f ca="1"/>
        <v>220.46</v>
      </c>
      <c r="X47" s="9">
        <f t="shared" ca="1" si="10"/>
        <v>-3.3790594731997969E-2</v>
      </c>
      <c r="Y47" vm="3130">
        <f ca="1"/>
        <v>2673.61</v>
      </c>
      <c r="Z47" s="9">
        <f t="shared" ca="1" si="11"/>
        <v>9.8316198188534987E-3</v>
      </c>
      <c r="AA47" vm="18056">
        <f ca="1"/>
        <v>24.05</v>
      </c>
      <c r="AB47" vm="18056">
        <v>24.05</v>
      </c>
      <c r="AC47">
        <f t="shared" si="12"/>
        <v>2.4050000000000002</v>
      </c>
      <c r="AD47" vm="18057">
        <f ca="1"/>
        <v>155.76</v>
      </c>
      <c r="AE47" s="9">
        <f t="shared" ca="1" si="13"/>
        <v>3.9316790203027807E-3</v>
      </c>
    </row>
    <row r="48" spans="2:31" x14ac:dyDescent="0.35">
      <c r="B48" vm="18058">
        <f ca="1"/>
        <v>43101</v>
      </c>
      <c r="C48" vm="3369">
        <f ca="1"/>
        <v>59.110999999999997</v>
      </c>
      <c r="D48" s="9">
        <f t="shared" ca="1" si="0"/>
        <v>0.1222897284981963</v>
      </c>
      <c r="E48" vm="3370">
        <f ca="1"/>
        <v>72.544499999999999</v>
      </c>
      <c r="F48" s="9">
        <f t="shared" ca="1" si="1"/>
        <v>0.24063892190479441</v>
      </c>
      <c r="G48" vm="3371">
        <f ca="1"/>
        <v>38.28</v>
      </c>
      <c r="H48" s="9">
        <f t="shared" ca="1" si="2"/>
        <v>1.1360634081902132E-2</v>
      </c>
      <c r="I48" vm="3372">
        <f ca="1"/>
        <v>455.19</v>
      </c>
      <c r="J48" s="9">
        <f t="shared" ca="1" si="3"/>
        <v>4.3466749040199648E-3</v>
      </c>
      <c r="K48" vm="3373">
        <f ca="1"/>
        <v>152.87530000000001</v>
      </c>
      <c r="L48" s="9">
        <f t="shared" ca="1" si="4"/>
        <v>4.114515867599966E-2</v>
      </c>
      <c r="M48" vm="3374">
        <f ca="1"/>
        <v>169</v>
      </c>
      <c r="N48" s="9">
        <f t="shared" ca="1" si="5"/>
        <v>0.11654334038054959</v>
      </c>
      <c r="O48" vm="3375">
        <f ca="1"/>
        <v>39.604999999999997</v>
      </c>
      <c r="P48" s="9">
        <f t="shared" ca="1" si="6"/>
        <v>1.4277482553300302E-2</v>
      </c>
      <c r="Q48" vm="3376">
        <f ca="1"/>
        <v>73.58</v>
      </c>
      <c r="R48" s="9">
        <f t="shared" ca="1" si="7"/>
        <v>9.1853390710787908E-2</v>
      </c>
      <c r="S48" vm="3377">
        <f ca="1"/>
        <v>6.1449999999999996</v>
      </c>
      <c r="T48" s="9">
        <f t="shared" ca="1" si="8"/>
        <v>0.27028423772609811</v>
      </c>
      <c r="U48" vm="2635">
        <f ca="1"/>
        <v>86.34</v>
      </c>
      <c r="V48" s="9">
        <f t="shared" ca="1" si="9"/>
        <v>-6.0296038310840183E-2</v>
      </c>
      <c r="W48" vm="3378">
        <f ca="1"/>
        <v>236.78</v>
      </c>
      <c r="X48" s="9">
        <f t="shared" ca="1" si="10"/>
        <v>7.4027034382654344E-2</v>
      </c>
      <c r="Y48" vm="3379">
        <f ca="1"/>
        <v>2823.81</v>
      </c>
      <c r="Z48" s="9">
        <f t="shared" ca="1" si="11"/>
        <v>5.6178724645703726E-2</v>
      </c>
      <c r="AA48" vm="18059">
        <f ca="1"/>
        <v>27.2</v>
      </c>
      <c r="AB48" vm="18059">
        <v>27.2</v>
      </c>
      <c r="AC48">
        <f t="shared" si="12"/>
        <v>2.7199999999999998</v>
      </c>
      <c r="AD48" vm="18060">
        <f ca="1"/>
        <v>169.4</v>
      </c>
      <c r="AE48" s="9">
        <f t="shared" ca="1" si="13"/>
        <v>8.757062146892669E-2</v>
      </c>
    </row>
    <row r="49" spans="2:31" x14ac:dyDescent="0.35">
      <c r="B49" vm="3380">
        <f ca="1"/>
        <v>43132</v>
      </c>
      <c r="C49" vm="3599">
        <f ca="1"/>
        <v>55.195999999999998</v>
      </c>
      <c r="D49" s="9">
        <f t="shared" ca="1" si="0"/>
        <v>-6.6231327502495274E-2</v>
      </c>
      <c r="E49" vm="3600">
        <f ca="1"/>
        <v>75.622500000000002</v>
      </c>
      <c r="F49" s="9">
        <f t="shared" ca="1" si="1"/>
        <v>4.242912970659396E-2</v>
      </c>
      <c r="G49" vm="3601">
        <f ca="1"/>
        <v>39.950000000000003</v>
      </c>
      <c r="H49" s="9">
        <f t="shared" ca="1" si="2"/>
        <v>4.3625914315569503E-2</v>
      </c>
      <c r="I49" vm="3602">
        <f ca="1"/>
        <v>392.1</v>
      </c>
      <c r="J49" s="9">
        <f t="shared" ca="1" si="3"/>
        <v>-0.13860146312528832</v>
      </c>
      <c r="K49" vm="3603">
        <f ca="1"/>
        <v>144.67959999999999</v>
      </c>
      <c r="L49" s="9">
        <f t="shared" ca="1" si="4"/>
        <v>-5.3610360862742512E-2</v>
      </c>
      <c r="M49" vm="3567">
        <f ca="1"/>
        <v>175.76</v>
      </c>
      <c r="N49" s="9">
        <f t="shared" ca="1" si="5"/>
        <v>4.0000000000000036E-2</v>
      </c>
      <c r="O49" vm="3604">
        <f ca="1"/>
        <v>38.037500000000001</v>
      </c>
      <c r="P49" s="9">
        <f t="shared" ca="1" si="6"/>
        <v>-3.957833606867811E-2</v>
      </c>
      <c r="Q49" vm="3605">
        <f ca="1"/>
        <v>65.64</v>
      </c>
      <c r="R49" s="9">
        <f t="shared" ca="1" si="7"/>
        <v>-0.10790975808643655</v>
      </c>
      <c r="S49" vm="3606">
        <f ca="1"/>
        <v>6.05</v>
      </c>
      <c r="T49" s="9">
        <f t="shared" ca="1" si="8"/>
        <v>-1.5459723352318933E-2</v>
      </c>
      <c r="U49" vm="3607">
        <f ca="1"/>
        <v>78.52</v>
      </c>
      <c r="V49" s="9">
        <f t="shared" ca="1" si="9"/>
        <v>-9.0572156590224773E-2</v>
      </c>
      <c r="W49" vm="3608">
        <f ca="1"/>
        <v>226.16</v>
      </c>
      <c r="X49" s="9">
        <f t="shared" ca="1" si="10"/>
        <v>-4.4851761128473666E-2</v>
      </c>
      <c r="Y49" vm="3609">
        <f ca="1"/>
        <v>2713.83</v>
      </c>
      <c r="Z49" s="9">
        <f t="shared" ca="1" si="11"/>
        <v>-3.8947379604151844E-2</v>
      </c>
      <c r="AA49" vm="14799">
        <f ca="1"/>
        <v>28.68</v>
      </c>
      <c r="AB49" vm="14799">
        <v>28.68</v>
      </c>
      <c r="AC49">
        <f t="shared" si="12"/>
        <v>2.8679999999999999</v>
      </c>
      <c r="AD49" vm="18061">
        <f ca="1"/>
        <v>167.21</v>
      </c>
      <c r="AE49" s="9">
        <f t="shared" ca="1" si="13"/>
        <v>-1.2927981109799314E-2</v>
      </c>
    </row>
    <row r="50" spans="2:31" x14ac:dyDescent="0.35">
      <c r="B50" vm="3610">
        <f ca="1"/>
        <v>43160</v>
      </c>
      <c r="C50" vm="3844">
        <f ca="1"/>
        <v>51.856999999999999</v>
      </c>
      <c r="D50" s="9">
        <f t="shared" ca="1" si="0"/>
        <v>-6.0493514022755268E-2</v>
      </c>
      <c r="E50" vm="3845">
        <f ca="1"/>
        <v>72.367000000000004</v>
      </c>
      <c r="F50" s="9">
        <f t="shared" ca="1" si="1"/>
        <v>-4.3049357003537292E-2</v>
      </c>
      <c r="G50" vm="3846">
        <f ca="1"/>
        <v>39.71</v>
      </c>
      <c r="H50" s="9">
        <f t="shared" ca="1" si="2"/>
        <v>-6.007509386733445E-3</v>
      </c>
      <c r="I50" vm="3847">
        <f ca="1"/>
        <v>418.14</v>
      </c>
      <c r="J50" s="9">
        <f t="shared" ca="1" si="3"/>
        <v>6.641162968630443E-2</v>
      </c>
      <c r="K50" vm="3848">
        <f ca="1"/>
        <v>138.3604</v>
      </c>
      <c r="L50" s="9">
        <f t="shared" ca="1" si="4"/>
        <v>-4.3677201208739858E-2</v>
      </c>
      <c r="M50" vm="3849">
        <f ca="1"/>
        <v>175.16</v>
      </c>
      <c r="N50" s="9">
        <f t="shared" ca="1" si="5"/>
        <v>-3.4137460172962708E-3</v>
      </c>
      <c r="O50" vm="3850">
        <f ca="1"/>
        <v>40.832500000000003</v>
      </c>
      <c r="P50" s="9">
        <f t="shared" ca="1" si="6"/>
        <v>7.3480118304305009E-2</v>
      </c>
      <c r="Q50" vm="3851">
        <f ca="1"/>
        <v>64.78</v>
      </c>
      <c r="R50" s="9">
        <f t="shared" ca="1" si="7"/>
        <v>-1.3101767215112692E-2</v>
      </c>
      <c r="S50" vm="3852">
        <f ca="1"/>
        <v>5.7897999999999996</v>
      </c>
      <c r="T50" s="9">
        <f t="shared" ca="1" si="8"/>
        <v>-4.300826446280992E-2</v>
      </c>
      <c r="U50" vm="3853">
        <f ca="1"/>
        <v>79.28</v>
      </c>
      <c r="V50" s="9">
        <f t="shared" ca="1" si="9"/>
        <v>9.679062659195159E-3</v>
      </c>
      <c r="W50" vm="3854">
        <f ca="1"/>
        <v>214</v>
      </c>
      <c r="X50" s="9">
        <f t="shared" ca="1" si="10"/>
        <v>-5.3767244428723049E-2</v>
      </c>
      <c r="Y50" vm="3855">
        <f ca="1"/>
        <v>2640.87</v>
      </c>
      <c r="Z50" s="9">
        <f t="shared" ca="1" si="11"/>
        <v>-2.6884513768364315E-2</v>
      </c>
      <c r="AA50" vm="18062">
        <f ca="1"/>
        <v>27.41</v>
      </c>
      <c r="AB50" vm="18062">
        <v>27.41</v>
      </c>
      <c r="AC50">
        <f t="shared" si="12"/>
        <v>2.7410000000000001</v>
      </c>
      <c r="AD50" vm="18063">
        <f ca="1"/>
        <v>160.13</v>
      </c>
      <c r="AE50" s="9">
        <f t="shared" ca="1" si="13"/>
        <v>-4.2341965193469333E-2</v>
      </c>
    </row>
    <row r="51" spans="2:31" x14ac:dyDescent="0.35">
      <c r="B51" vm="18064">
        <f ca="1"/>
        <v>43191</v>
      </c>
      <c r="C51" vm="4094">
        <f ca="1"/>
        <v>50.929000000000002</v>
      </c>
      <c r="D51" s="9">
        <f t="shared" ca="1" si="0"/>
        <v>-1.7895366102936849E-2</v>
      </c>
      <c r="E51" vm="4095">
        <f ca="1"/>
        <v>78.3065</v>
      </c>
      <c r="F51" s="9">
        <f t="shared" ca="1" si="1"/>
        <v>8.2074702557795698E-2</v>
      </c>
      <c r="G51" vm="3884">
        <f ca="1"/>
        <v>40.090000000000003</v>
      </c>
      <c r="H51" s="9">
        <f t="shared" ca="1" si="2"/>
        <v>9.5693779904306719E-3</v>
      </c>
      <c r="I51" vm="4096">
        <f ca="1"/>
        <v>420.79</v>
      </c>
      <c r="J51" s="9">
        <f t="shared" ca="1" si="3"/>
        <v>6.3375902807671913E-3</v>
      </c>
      <c r="K51" vm="4097">
        <f ca="1"/>
        <v>138.5232</v>
      </c>
      <c r="L51" s="9">
        <f t="shared" ca="1" si="4"/>
        <v>1.1766372459172114E-3</v>
      </c>
      <c r="M51" vm="4098">
        <f ca="1"/>
        <v>178.27</v>
      </c>
      <c r="N51" s="9">
        <f t="shared" ca="1" si="5"/>
        <v>1.7755195250057199E-2</v>
      </c>
      <c r="O51" vm="4099">
        <f ca="1"/>
        <v>40.977499999999999</v>
      </c>
      <c r="P51" s="9">
        <f t="shared" ca="1" si="6"/>
        <v>3.551092879446438E-3</v>
      </c>
      <c r="Q51" vm="4100">
        <f ca="1"/>
        <v>68.56</v>
      </c>
      <c r="R51" s="9">
        <f t="shared" ca="1" si="7"/>
        <v>5.8351343007100986E-2</v>
      </c>
      <c r="S51" vm="4101">
        <f ca="1"/>
        <v>5.6224999999999996</v>
      </c>
      <c r="T51" s="9">
        <f t="shared" ca="1" si="8"/>
        <v>-2.8895644063698267E-2</v>
      </c>
      <c r="U51" vm="4102">
        <f ca="1"/>
        <v>72.34</v>
      </c>
      <c r="V51" s="9">
        <f t="shared" ca="1" si="9"/>
        <v>-8.7537840565085734E-2</v>
      </c>
      <c r="W51" vm="4007">
        <f ca="1"/>
        <v>236.4</v>
      </c>
      <c r="X51" s="9">
        <f t="shared" ca="1" si="10"/>
        <v>0.10467289719626161</v>
      </c>
      <c r="Y51" vm="4103">
        <f ca="1"/>
        <v>2648.05</v>
      </c>
      <c r="Z51" s="9">
        <f t="shared" ca="1" si="11"/>
        <v>2.718801001185378E-3</v>
      </c>
      <c r="AA51" vm="18065">
        <f ca="1"/>
        <v>29.36</v>
      </c>
      <c r="AB51" vm="18065">
        <v>29.36</v>
      </c>
      <c r="AC51">
        <f t="shared" si="12"/>
        <v>2.9359999999999999</v>
      </c>
      <c r="AD51" vm="18066">
        <f ca="1"/>
        <v>160.94</v>
      </c>
      <c r="AE51" s="9">
        <f t="shared" ca="1" si="13"/>
        <v>5.058390058077844E-3</v>
      </c>
    </row>
    <row r="52" spans="2:31" x14ac:dyDescent="0.35">
      <c r="B52" vm="4104">
        <f ca="1"/>
        <v>43221</v>
      </c>
      <c r="C52" vm="4351">
        <f ca="1"/>
        <v>55</v>
      </c>
      <c r="D52" s="9">
        <f t="shared" ca="1" si="0"/>
        <v>7.9934811207759804E-2</v>
      </c>
      <c r="E52" vm="4352">
        <f ca="1"/>
        <v>81.480999999999995</v>
      </c>
      <c r="F52" s="9">
        <f t="shared" ca="1" si="1"/>
        <v>4.0539418822192141E-2</v>
      </c>
      <c r="G52" vm="4353">
        <f ca="1"/>
        <v>36.950000000000003</v>
      </c>
      <c r="H52" s="9">
        <f t="shared" ca="1" si="2"/>
        <v>-7.832377151409331E-2</v>
      </c>
      <c r="I52" vm="4354">
        <f ca="1"/>
        <v>396.85</v>
      </c>
      <c r="J52" s="9">
        <f t="shared" ca="1" si="3"/>
        <v>-5.6892987000641604E-2</v>
      </c>
      <c r="K52" vm="4355">
        <f ca="1"/>
        <v>141.61580000000001</v>
      </c>
      <c r="L52" s="9">
        <f t="shared" ca="1" si="4"/>
        <v>2.2325502154151744E-2</v>
      </c>
      <c r="M52" vm="4356">
        <f ca="1"/>
        <v>190.12</v>
      </c>
      <c r="N52" s="9">
        <f t="shared" ca="1" si="5"/>
        <v>6.6472205082178659E-2</v>
      </c>
      <c r="O52" vm="4357">
        <f ca="1"/>
        <v>41.452500000000001</v>
      </c>
      <c r="P52" s="9">
        <f t="shared" ca="1" si="6"/>
        <v>1.159172716734802E-2</v>
      </c>
      <c r="Q52" vm="1370">
        <f ca="1"/>
        <v>68.67</v>
      </c>
      <c r="R52" s="9">
        <f t="shared" ca="1" si="7"/>
        <v>1.6044340723453399E-3</v>
      </c>
      <c r="S52" vm="4358">
        <f ca="1"/>
        <v>6.3048000000000002</v>
      </c>
      <c r="T52" s="9">
        <f t="shared" ca="1" si="8"/>
        <v>0.12135171187194316</v>
      </c>
      <c r="U52" vm="4359">
        <f ca="1"/>
        <v>73.17</v>
      </c>
      <c r="V52" s="9">
        <f t="shared" ca="1" si="9"/>
        <v>1.147359690351113E-2</v>
      </c>
      <c r="W52" vm="4360">
        <f ca="1"/>
        <v>241.51</v>
      </c>
      <c r="X52" s="9">
        <f t="shared" ca="1" si="10"/>
        <v>2.1615905245346845E-2</v>
      </c>
      <c r="Y52" vm="4361">
        <f ca="1"/>
        <v>2705.27</v>
      </c>
      <c r="Z52" s="9">
        <f t="shared" ca="1" si="11"/>
        <v>2.1608353316591389E-2</v>
      </c>
      <c r="AA52" vm="13120">
        <f ca="1"/>
        <v>28.22</v>
      </c>
      <c r="AB52" vm="13120">
        <v>28.22</v>
      </c>
      <c r="AC52">
        <f t="shared" si="12"/>
        <v>2.8220000000000001</v>
      </c>
      <c r="AD52" vm="17022">
        <f ca="1"/>
        <v>170.07</v>
      </c>
      <c r="AE52" s="9">
        <f t="shared" ca="1" si="13"/>
        <v>5.6729215856841098E-2</v>
      </c>
    </row>
    <row r="53" spans="2:31" x14ac:dyDescent="0.35">
      <c r="B53" vm="4362">
        <f ca="1"/>
        <v>43252</v>
      </c>
      <c r="C53" vm="4604">
        <f ca="1"/>
        <v>56.459499999999998</v>
      </c>
      <c r="D53" s="9">
        <f t="shared" ca="1" si="0"/>
        <v>2.653636363636358E-2</v>
      </c>
      <c r="E53" vm="4605">
        <f ca="1"/>
        <v>84.99</v>
      </c>
      <c r="F53" s="9">
        <f t="shared" ca="1" si="1"/>
        <v>4.3065254476503778E-2</v>
      </c>
      <c r="G53" vm="4606">
        <f ca="1"/>
        <v>35.549999999999997</v>
      </c>
      <c r="H53" s="9">
        <f t="shared" ca="1" si="2"/>
        <v>-3.7889039242219313E-2</v>
      </c>
      <c r="I53" vm="4607">
        <f ca="1"/>
        <v>429.89</v>
      </c>
      <c r="J53" s="9">
        <f t="shared" ca="1" si="3"/>
        <v>8.3255638150434574E-2</v>
      </c>
      <c r="K53" vm="4608">
        <f ca="1"/>
        <v>137.91999999999999</v>
      </c>
      <c r="L53" s="9">
        <f t="shared" ca="1" si="4"/>
        <v>-2.609737049114591E-2</v>
      </c>
      <c r="M53" vm="4609">
        <f ca="1"/>
        <v>196.52</v>
      </c>
      <c r="N53" s="9">
        <f t="shared" ca="1" si="5"/>
        <v>3.3662949715968837E-2</v>
      </c>
      <c r="O53" vm="4610">
        <f ca="1"/>
        <v>41.7575</v>
      </c>
      <c r="P53" s="9">
        <f t="shared" ca="1" si="6"/>
        <v>7.3578191906398249E-3</v>
      </c>
      <c r="Q53" vm="4611">
        <f ca="1"/>
        <v>67.03</v>
      </c>
      <c r="R53" s="9">
        <f t="shared" ca="1" si="7"/>
        <v>-2.388233580894128E-2</v>
      </c>
      <c r="S53" vm="4612">
        <f ca="1"/>
        <v>5.9225000000000003</v>
      </c>
      <c r="T53" s="9">
        <f t="shared" ca="1" si="8"/>
        <v>-6.0636340565918045E-2</v>
      </c>
      <c r="U53" vm="4613">
        <f ca="1"/>
        <v>78.06</v>
      </c>
      <c r="V53" s="9">
        <f t="shared" ca="1" si="9"/>
        <v>6.683066830668305E-2</v>
      </c>
      <c r="W53" vm="4614">
        <f ca="1"/>
        <v>245.34</v>
      </c>
      <c r="X53" s="9">
        <f t="shared" ca="1" si="10"/>
        <v>1.5858556581508143E-2</v>
      </c>
      <c r="Y53" vm="4615">
        <f ca="1"/>
        <v>2718.37</v>
      </c>
      <c r="Z53" s="9">
        <f t="shared" ca="1" si="11"/>
        <v>4.8424002040461378E-3</v>
      </c>
      <c r="AA53" vm="18067">
        <f ca="1"/>
        <v>28.49</v>
      </c>
      <c r="AB53" vm="18067">
        <v>28.49</v>
      </c>
      <c r="AC53">
        <f t="shared" si="12"/>
        <v>2.8489999999999998</v>
      </c>
      <c r="AD53" vm="7432">
        <f ca="1"/>
        <v>171.65</v>
      </c>
      <c r="AE53" s="9">
        <f t="shared" ca="1" si="13"/>
        <v>9.2902922326101312E-3</v>
      </c>
    </row>
    <row r="54" spans="2:31" x14ac:dyDescent="0.35">
      <c r="B54" vm="18068">
        <f ca="1"/>
        <v>43282</v>
      </c>
      <c r="C54" vm="4845">
        <f ca="1"/>
        <v>61.360999999999997</v>
      </c>
      <c r="D54" s="9">
        <f t="shared" ca="1" si="0"/>
        <v>8.6814442210788156E-2</v>
      </c>
      <c r="E54" vm="4846">
        <f ca="1"/>
        <v>88.872</v>
      </c>
      <c r="F54" s="9">
        <f t="shared" ca="1" si="1"/>
        <v>4.5675961877868154E-2</v>
      </c>
      <c r="G54" vm="4847">
        <f ca="1"/>
        <v>38.97</v>
      </c>
      <c r="H54" s="9">
        <f t="shared" ca="1" si="2"/>
        <v>9.6202531645569689E-2</v>
      </c>
      <c r="I54" vm="4848">
        <f ca="1"/>
        <v>439.28</v>
      </c>
      <c r="J54" s="9">
        <f t="shared" ca="1" si="3"/>
        <v>2.1842796994580027E-2</v>
      </c>
      <c r="K54" vm="3384">
        <f ca="1"/>
        <v>152.8562</v>
      </c>
      <c r="L54" s="9">
        <f t="shared" ca="1" si="4"/>
        <v>0.1082961136890952</v>
      </c>
      <c r="M54" vm="4849">
        <f ca="1"/>
        <v>198</v>
      </c>
      <c r="N54" s="9">
        <f t="shared" ca="1" si="5"/>
        <v>7.5310400977000036E-3</v>
      </c>
      <c r="O54" vm="4850">
        <f ca="1"/>
        <v>41.884999999999998</v>
      </c>
      <c r="P54" s="9">
        <f t="shared" ca="1" si="6"/>
        <v>3.0533437107105321E-3</v>
      </c>
      <c r="Q54" vm="4851">
        <f ca="1"/>
        <v>67.52</v>
      </c>
      <c r="R54" s="9">
        <f t="shared" ca="1" si="7"/>
        <v>7.3101596300162441E-3</v>
      </c>
      <c r="S54" vm="4852">
        <f ca="1"/>
        <v>6.1215000000000002</v>
      </c>
      <c r="T54" s="9">
        <f t="shared" ca="1" si="8"/>
        <v>3.3600675390460077E-2</v>
      </c>
      <c r="U54" vm="4853">
        <f ca="1"/>
        <v>80.88</v>
      </c>
      <c r="V54" s="9">
        <f t="shared" ca="1" si="9"/>
        <v>3.6126056879323576E-2</v>
      </c>
      <c r="W54" vm="4854">
        <f ca="1"/>
        <v>253.22</v>
      </c>
      <c r="X54" s="9">
        <f t="shared" ca="1" si="10"/>
        <v>3.2118692426836182E-2</v>
      </c>
      <c r="Y54" vm="4855">
        <f ca="1"/>
        <v>2816.29</v>
      </c>
      <c r="Z54" s="9">
        <f t="shared" ca="1" si="11"/>
        <v>3.6021586465418753E-2</v>
      </c>
      <c r="AA54" vm="13824">
        <f ca="1"/>
        <v>29.64</v>
      </c>
      <c r="AB54" vm="13824">
        <v>29.64</v>
      </c>
      <c r="AC54">
        <f t="shared" si="12"/>
        <v>2.964</v>
      </c>
      <c r="AD54" vm="18069">
        <f ca="1"/>
        <v>176.45</v>
      </c>
      <c r="AE54" s="9">
        <f t="shared" ca="1" si="13"/>
        <v>2.7963879988348372E-2</v>
      </c>
    </row>
    <row r="55" spans="2:31" x14ac:dyDescent="0.35">
      <c r="B55" vm="4856">
        <f ca="1"/>
        <v>43313</v>
      </c>
      <c r="C55" vm="5114">
        <f ca="1"/>
        <v>61.59</v>
      </c>
      <c r="D55" s="9">
        <f t="shared" ca="1" si="0"/>
        <v>3.7320121901533998E-3</v>
      </c>
      <c r="E55" vm="5115">
        <f ca="1"/>
        <v>100.63549999999999</v>
      </c>
      <c r="F55" s="9">
        <f t="shared" ca="1" si="1"/>
        <v>0.13236452425960921</v>
      </c>
      <c r="G55" vm="1858">
        <f ca="1"/>
        <v>41.88</v>
      </c>
      <c r="H55" s="9">
        <f t="shared" ca="1" si="2"/>
        <v>7.4672825250192476E-2</v>
      </c>
      <c r="I55" vm="5116">
        <f ca="1"/>
        <v>436.13</v>
      </c>
      <c r="J55" s="9">
        <f t="shared" ca="1" si="3"/>
        <v>-7.170824986341251E-3</v>
      </c>
      <c r="K55" vm="5117">
        <f ca="1"/>
        <v>152.29130000000001</v>
      </c>
      <c r="L55" s="9">
        <f t="shared" ca="1" si="4"/>
        <v>-3.6956302721119494E-3</v>
      </c>
      <c r="M55" vm="5118">
        <f ca="1"/>
        <v>215.56</v>
      </c>
      <c r="N55" s="9">
        <f t="shared" ca="1" si="5"/>
        <v>8.8686868686868703E-2</v>
      </c>
      <c r="O55" vm="575">
        <f ca="1"/>
        <v>42.524999999999999</v>
      </c>
      <c r="P55" s="9">
        <f t="shared" ca="1" si="6"/>
        <v>1.5279933150292413E-2</v>
      </c>
      <c r="Q55" vm="5119">
        <f ca="1"/>
        <v>63.16</v>
      </c>
      <c r="R55" s="9">
        <f t="shared" ca="1" si="7"/>
        <v>-6.4573459715639769E-2</v>
      </c>
      <c r="S55" vm="5120">
        <f ca="1"/>
        <v>7.0170000000000003</v>
      </c>
      <c r="T55" s="9">
        <f t="shared" ca="1" si="8"/>
        <v>0.14628767458956138</v>
      </c>
      <c r="U55" vm="5121">
        <f ca="1"/>
        <v>82.95</v>
      </c>
      <c r="V55" s="9">
        <f t="shared" ca="1" si="9"/>
        <v>2.5593471810089197E-2</v>
      </c>
      <c r="W55" vm="5122">
        <f ca="1"/>
        <v>268.45999999999998</v>
      </c>
      <c r="X55" s="9">
        <f t="shared" ca="1" si="10"/>
        <v>6.0184819524524036E-2</v>
      </c>
      <c r="Y55" vm="5123">
        <f ca="1"/>
        <v>2901.52</v>
      </c>
      <c r="Z55" s="9">
        <f t="shared" ca="1" si="11"/>
        <v>3.0263218631604083E-2</v>
      </c>
      <c r="AA55" vm="18070">
        <f ca="1"/>
        <v>28.53</v>
      </c>
      <c r="AB55" vm="18070">
        <v>28.53</v>
      </c>
      <c r="AC55">
        <f t="shared" si="12"/>
        <v>2.8530000000000002</v>
      </c>
      <c r="AD55" vm="1602">
        <f ca="1"/>
        <v>186.65</v>
      </c>
      <c r="AE55" s="9">
        <f t="shared" ca="1" si="13"/>
        <v>5.7806744120147524E-2</v>
      </c>
    </row>
    <row r="56" spans="2:31" x14ac:dyDescent="0.35">
      <c r="B56" vm="18071">
        <f ca="1"/>
        <v>43344</v>
      </c>
      <c r="C56" vm="5339">
        <f ca="1"/>
        <v>60.353999999999999</v>
      </c>
      <c r="D56" s="9">
        <f t="shared" ca="1" si="0"/>
        <v>-2.006819288845596E-2</v>
      </c>
      <c r="E56" vm="5340">
        <f ca="1"/>
        <v>100.15</v>
      </c>
      <c r="F56" s="9">
        <f t="shared" ca="1" si="1"/>
        <v>-4.8243413109686495E-3</v>
      </c>
      <c r="G56" vm="5341">
        <f ca="1"/>
        <v>43.99</v>
      </c>
      <c r="H56" s="9">
        <f t="shared" ca="1" si="2"/>
        <v>5.0382043935052412E-2</v>
      </c>
      <c r="I56" vm="5342">
        <f ca="1"/>
        <v>432.89</v>
      </c>
      <c r="J56" s="9">
        <f t="shared" ca="1" si="3"/>
        <v>-7.428977598422537E-3</v>
      </c>
      <c r="K56" vm="5343">
        <f ca="1"/>
        <v>159.31890000000001</v>
      </c>
      <c r="L56" s="9">
        <f t="shared" ca="1" si="4"/>
        <v>4.6145774578062015E-2</v>
      </c>
      <c r="M56" vm="5344">
        <f ca="1"/>
        <v>222.61</v>
      </c>
      <c r="N56" s="9">
        <f t="shared" ca="1" si="5"/>
        <v>3.2705511226572614E-2</v>
      </c>
      <c r="O56" vm="1833">
        <f ca="1"/>
        <v>41.9</v>
      </c>
      <c r="P56" s="9">
        <f t="shared" ca="1" si="6"/>
        <v>-1.4697236919459122E-2</v>
      </c>
      <c r="Q56" vm="5345">
        <f ca="1"/>
        <v>60.92</v>
      </c>
      <c r="R56" s="9">
        <f t="shared" ca="1" si="7"/>
        <v>-3.5465484483850451E-2</v>
      </c>
      <c r="S56" vm="5346">
        <f ca="1"/>
        <v>7.0255000000000001</v>
      </c>
      <c r="T56" s="9">
        <f t="shared" ca="1" si="8"/>
        <v>1.2113438791505615E-3</v>
      </c>
      <c r="U56" vm="5347">
        <f ca="1"/>
        <v>83.23</v>
      </c>
      <c r="V56" s="9">
        <f t="shared" ca="1" si="9"/>
        <v>3.3755274261604296E-3</v>
      </c>
      <c r="W56" vm="5348">
        <f ca="1"/>
        <v>266.04000000000002</v>
      </c>
      <c r="X56" s="9">
        <f t="shared" ca="1" si="10"/>
        <v>-9.0143783058926896E-3</v>
      </c>
      <c r="Y56" vm="5349">
        <f ca="1"/>
        <v>2913.98</v>
      </c>
      <c r="Z56" s="9">
        <f t="shared" ca="1" si="11"/>
        <v>4.2943009181395375E-3</v>
      </c>
      <c r="AA56" vm="18072">
        <f ca="1"/>
        <v>30.56</v>
      </c>
      <c r="AB56" vm="18072">
        <v>30.56</v>
      </c>
      <c r="AC56">
        <f t="shared" si="12"/>
        <v>3.056</v>
      </c>
      <c r="AD56" vm="18073">
        <f ca="1"/>
        <v>185.79</v>
      </c>
      <c r="AE56" s="9">
        <f t="shared" ca="1" si="13"/>
        <v>-4.6075542459148577E-3</v>
      </c>
    </row>
    <row r="57" spans="2:31" x14ac:dyDescent="0.35">
      <c r="B57" vm="5350">
        <f ca="1"/>
        <v>43374</v>
      </c>
      <c r="C57" vm="5616">
        <f ca="1"/>
        <v>54.529000000000003</v>
      </c>
      <c r="D57" s="9">
        <f t="shared" ca="1" si="0"/>
        <v>-9.651390131557136E-2</v>
      </c>
      <c r="E57" vm="5617">
        <f ca="1"/>
        <v>79.900499999999994</v>
      </c>
      <c r="F57" s="9">
        <f t="shared" ca="1" si="1"/>
        <v>-0.20219171243135303</v>
      </c>
      <c r="G57" vm="5618">
        <f ca="1"/>
        <v>44.8</v>
      </c>
      <c r="H57" s="9">
        <f t="shared" ca="1" si="2"/>
        <v>1.8413275744487256E-2</v>
      </c>
      <c r="I57" vm="5619">
        <f ca="1"/>
        <v>378.74</v>
      </c>
      <c r="J57" s="9">
        <f t="shared" ca="1" si="3"/>
        <v>-0.12508951465730322</v>
      </c>
      <c r="K57" vm="5620">
        <f ca="1"/>
        <v>144.82</v>
      </c>
      <c r="L57" s="9">
        <f t="shared" ca="1" si="4"/>
        <v>-9.1005524140576055E-2</v>
      </c>
      <c r="M57" vm="4622">
        <f ca="1"/>
        <v>197.67</v>
      </c>
      <c r="N57" s="9">
        <f t="shared" ca="1" si="5"/>
        <v>-0.11203449979785285</v>
      </c>
      <c r="O57" vm="5201">
        <f ca="1"/>
        <v>43.125</v>
      </c>
      <c r="P57" s="9">
        <f t="shared" ca="1" si="6"/>
        <v>2.923627684964214E-2</v>
      </c>
      <c r="Q57" vm="5621">
        <f ca="1"/>
        <v>51.31</v>
      </c>
      <c r="R57" s="9">
        <f t="shared" ca="1" si="7"/>
        <v>-0.15774786605384106</v>
      </c>
      <c r="S57" vm="5622">
        <f ca="1"/>
        <v>5.2708000000000004</v>
      </c>
      <c r="T57" s="9">
        <f t="shared" ca="1" si="8"/>
        <v>-0.24976158280549421</v>
      </c>
      <c r="U57" vm="5623">
        <f ca="1"/>
        <v>88.68</v>
      </c>
      <c r="V57" s="9">
        <f t="shared" ca="1" si="9"/>
        <v>6.5481196683887966E-2</v>
      </c>
      <c r="W57" vm="5624">
        <f ca="1"/>
        <v>261.35000000000002</v>
      </c>
      <c r="X57" s="9">
        <f t="shared" ca="1" si="10"/>
        <v>-1.7628927980754772E-2</v>
      </c>
      <c r="Y57" vm="5625">
        <f ca="1"/>
        <v>2711.74</v>
      </c>
      <c r="Z57" s="9">
        <f t="shared" ca="1" si="11"/>
        <v>-6.9403358979814644E-2</v>
      </c>
      <c r="AA57" vm="8065">
        <f ca="1"/>
        <v>31.59</v>
      </c>
      <c r="AB57" vm="8065">
        <v>31.59</v>
      </c>
      <c r="AC57">
        <f t="shared" si="12"/>
        <v>3.1589999999999998</v>
      </c>
      <c r="AD57" vm="18074">
        <f ca="1"/>
        <v>169.82</v>
      </c>
      <c r="AE57" s="9">
        <f t="shared" ca="1" si="13"/>
        <v>-8.595726357715705E-2</v>
      </c>
    </row>
    <row r="58" spans="2:31" x14ac:dyDescent="0.35">
      <c r="B58" vm="5626">
        <f ca="1"/>
        <v>43405</v>
      </c>
      <c r="C58" vm="5871">
        <f ca="1"/>
        <v>55.482500000000002</v>
      </c>
      <c r="D58" s="9">
        <f t="shared" ca="1" si="0"/>
        <v>1.7486108309340054E-2</v>
      </c>
      <c r="E58" vm="5872">
        <f ca="1"/>
        <v>84.508499999999998</v>
      </c>
      <c r="F58" s="9">
        <f t="shared" ca="1" si="1"/>
        <v>5.7671729213208955E-2</v>
      </c>
      <c r="G58" vm="5873">
        <f ca="1"/>
        <v>49.11</v>
      </c>
      <c r="H58" s="9">
        <f t="shared" ca="1" si="2"/>
        <v>9.6205357142857162E-2</v>
      </c>
      <c r="I58" vm="5749">
        <f ca="1"/>
        <v>385.28</v>
      </c>
      <c r="J58" s="9">
        <f t="shared" ca="1" si="3"/>
        <v>1.7267782647726548E-2</v>
      </c>
      <c r="K58" vm="5874">
        <f ca="1"/>
        <v>146.75</v>
      </c>
      <c r="L58" s="9">
        <f t="shared" ca="1" si="4"/>
        <v>1.3326888551305149E-2</v>
      </c>
      <c r="M58" vm="5875">
        <f ca="1"/>
        <v>201.07</v>
      </c>
      <c r="N58" s="9">
        <f t="shared" ca="1" si="5"/>
        <v>1.7200384479182595E-2</v>
      </c>
      <c r="O58" vm="5876">
        <f ca="1"/>
        <v>45.427500000000002</v>
      </c>
      <c r="P58" s="9">
        <f t="shared" ca="1" si="6"/>
        <v>5.3391304347826241E-2</v>
      </c>
      <c r="Q58" vm="5877">
        <f ca="1"/>
        <v>45.1</v>
      </c>
      <c r="R58" s="9">
        <f t="shared" ca="1" si="7"/>
        <v>-0.12102903917365038</v>
      </c>
      <c r="S58" vm="5878">
        <f ca="1"/>
        <v>4.0857999999999999</v>
      </c>
      <c r="T58" s="9">
        <f t="shared" ca="1" si="8"/>
        <v>-0.22482355619640293</v>
      </c>
      <c r="U58" vm="5879">
        <f ca="1"/>
        <v>94.51</v>
      </c>
      <c r="V58" s="9">
        <f t="shared" ca="1" si="9"/>
        <v>6.5741993685160205E-2</v>
      </c>
      <c r="W58" vm="5880">
        <f ca="1"/>
        <v>281.36</v>
      </c>
      <c r="X58" s="9">
        <f t="shared" ca="1" si="10"/>
        <v>7.656399464319863E-2</v>
      </c>
      <c r="Y58" vm="5881">
        <f ca="1"/>
        <v>2760.17</v>
      </c>
      <c r="Z58" s="9">
        <f t="shared" ca="1" si="11"/>
        <v>1.785938179914015E-2</v>
      </c>
      <c r="AA58" vm="18075">
        <f ca="1"/>
        <v>30.13</v>
      </c>
      <c r="AB58" vm="18075">
        <v>30.13</v>
      </c>
      <c r="AC58">
        <f t="shared" si="12"/>
        <v>3.0129999999999999</v>
      </c>
      <c r="AD58" vm="18076">
        <f ca="1"/>
        <v>169.37</v>
      </c>
      <c r="AE58" s="9">
        <f t="shared" ca="1" si="13"/>
        <v>-2.6498645624778439E-3</v>
      </c>
    </row>
    <row r="59" spans="2:31" x14ac:dyDescent="0.35">
      <c r="B59" vm="18077">
        <f ca="1"/>
        <v>43435</v>
      </c>
      <c r="C59" vm="6097">
        <f ca="1"/>
        <v>52.247999999999998</v>
      </c>
      <c r="D59" s="9">
        <f t="shared" ca="1" si="0"/>
        <v>-5.8297661424773661E-2</v>
      </c>
      <c r="E59" vm="6098">
        <f ca="1"/>
        <v>75.098500000000001</v>
      </c>
      <c r="F59" s="9">
        <f t="shared" ca="1" si="1"/>
        <v>-0.11134974588355018</v>
      </c>
      <c r="G59" vm="6099">
        <f ca="1"/>
        <v>45.98</v>
      </c>
      <c r="H59" s="9">
        <f t="shared" ca="1" si="2"/>
        <v>-6.3734473630625232E-2</v>
      </c>
      <c r="I59" vm="6100">
        <f ca="1"/>
        <v>352.56</v>
      </c>
      <c r="J59" s="9">
        <f t="shared" ca="1" si="3"/>
        <v>-8.4925249169435113E-2</v>
      </c>
      <c r="K59" vm="6101">
        <f ca="1"/>
        <v>132.12</v>
      </c>
      <c r="L59" s="9">
        <f t="shared" ca="1" si="4"/>
        <v>-9.9693356047700132E-2</v>
      </c>
      <c r="M59" vm="6102">
        <f ca="1"/>
        <v>188.65</v>
      </c>
      <c r="N59" s="9">
        <f t="shared" ca="1" si="5"/>
        <v>-6.1769532998458221E-2</v>
      </c>
      <c r="O59" vm="5153">
        <f ca="1"/>
        <v>43.454999999999998</v>
      </c>
      <c r="P59" s="9">
        <f t="shared" ca="1" si="6"/>
        <v>-4.3420835397061319E-2</v>
      </c>
      <c r="Q59" vm="6103">
        <f ca="1"/>
        <v>36.08</v>
      </c>
      <c r="R59" s="9">
        <f t="shared" ca="1" si="7"/>
        <v>-0.20000000000000007</v>
      </c>
      <c r="S59" vm="6104">
        <f ca="1"/>
        <v>3.3374999999999999</v>
      </c>
      <c r="T59" s="9">
        <f t="shared" ca="1" si="8"/>
        <v>-0.18314650741592831</v>
      </c>
      <c r="U59" vm="1925">
        <f ca="1"/>
        <v>91.92</v>
      </c>
      <c r="V59" s="9">
        <f t="shared" ca="1" si="9"/>
        <v>-2.740450745952816E-2</v>
      </c>
      <c r="W59" vm="6105">
        <f ca="1"/>
        <v>249.12</v>
      </c>
      <c r="X59" s="9">
        <f t="shared" ca="1" si="10"/>
        <v>-0.11458629513790164</v>
      </c>
      <c r="Y59" vm="6106">
        <f ca="1"/>
        <v>2506.85</v>
      </c>
      <c r="Z59" s="9">
        <f t="shared" ca="1" si="11"/>
        <v>-9.1776955767217339E-2</v>
      </c>
      <c r="AA59" vm="18078">
        <f ca="1"/>
        <v>26.86</v>
      </c>
      <c r="AB59" vm="18078">
        <v>26.86</v>
      </c>
      <c r="AC59">
        <f t="shared" si="12"/>
        <v>2.6859999999999999</v>
      </c>
      <c r="AD59" vm="18079">
        <f ca="1"/>
        <v>154.26</v>
      </c>
      <c r="AE59" s="9">
        <f t="shared" ca="1" si="13"/>
        <v>-8.9212965696404356E-2</v>
      </c>
    </row>
    <row r="60" spans="2:31" x14ac:dyDescent="0.35">
      <c r="B60" vm="18080">
        <f ca="1"/>
        <v>43466</v>
      </c>
      <c r="C60" vm="6349">
        <f ca="1"/>
        <v>56.294499999999999</v>
      </c>
      <c r="D60" s="9">
        <f t="shared" ca="1" si="0"/>
        <v>7.7447940591027553E-2</v>
      </c>
      <c r="E60" vm="6350">
        <f ca="1"/>
        <v>85.936499999999995</v>
      </c>
      <c r="F60" s="9">
        <f t="shared" ca="1" si="1"/>
        <v>0.14431713016904446</v>
      </c>
      <c r="G60" vm="6351">
        <f ca="1"/>
        <v>52.28</v>
      </c>
      <c r="H60" s="9">
        <f t="shared" ca="1" si="2"/>
        <v>0.13701609395389314</v>
      </c>
      <c r="I60" vm="763">
        <f ca="1"/>
        <v>394</v>
      </c>
      <c r="J60" s="9">
        <f t="shared" ca="1" si="3"/>
        <v>0.11754027683231216</v>
      </c>
      <c r="K60" vm="6352">
        <f ca="1"/>
        <v>143.63</v>
      </c>
      <c r="L60" s="9">
        <f t="shared" ca="1" si="4"/>
        <v>8.7117771722676318E-2</v>
      </c>
      <c r="M60" vm="2782">
        <f ca="1"/>
        <v>211.13</v>
      </c>
      <c r="N60" s="9">
        <f t="shared" ca="1" si="5"/>
        <v>0.11916247018287818</v>
      </c>
      <c r="O60" vm="6353">
        <f ca="1"/>
        <v>44.744999999999997</v>
      </c>
      <c r="P60" s="9">
        <f t="shared" ca="1" si="6"/>
        <v>2.9685881946841519E-2</v>
      </c>
      <c r="Q60" vm="6354">
        <f ca="1"/>
        <v>44.21</v>
      </c>
      <c r="R60" s="9">
        <f t="shared" ca="1" si="7"/>
        <v>0.22533259423503327</v>
      </c>
      <c r="S60" vm="6355">
        <f ca="1"/>
        <v>3.5937999999999999</v>
      </c>
      <c r="T60" s="9">
        <f t="shared" ca="1" si="8"/>
        <v>7.6794007490636806E-2</v>
      </c>
      <c r="U60" vm="6356">
        <f ca="1"/>
        <v>96.47</v>
      </c>
      <c r="V60" s="9">
        <f t="shared" ca="1" si="9"/>
        <v>4.9499564838990429E-2</v>
      </c>
      <c r="W60" vm="6357">
        <f ca="1"/>
        <v>270.2</v>
      </c>
      <c r="X60" s="9">
        <f t="shared" ca="1" si="10"/>
        <v>8.4617854849068586E-2</v>
      </c>
      <c r="Y60" vm="6358">
        <f ca="1"/>
        <v>2704.1</v>
      </c>
      <c r="Z60" s="9">
        <f t="shared" ca="1" si="11"/>
        <v>7.8684404731036883E-2</v>
      </c>
      <c r="AA60" vm="18081">
        <f ca="1"/>
        <v>26.35</v>
      </c>
      <c r="AB60" vm="18081">
        <v>26.35</v>
      </c>
      <c r="AC60">
        <f t="shared" si="12"/>
        <v>2.6350000000000002</v>
      </c>
      <c r="AD60" vm="7197">
        <f ca="1"/>
        <v>168.16</v>
      </c>
      <c r="AE60" s="9">
        <f t="shared" ca="1" si="13"/>
        <v>9.0107610527680571E-2</v>
      </c>
    </row>
    <row r="61" spans="2:31" x14ac:dyDescent="0.35">
      <c r="B61" vm="6359">
        <f ca="1"/>
        <v>43497</v>
      </c>
      <c r="C61" vm="6577">
        <f ca="1"/>
        <v>56.327500000000001</v>
      </c>
      <c r="D61" s="9">
        <f t="shared" ca="1" si="0"/>
        <v>5.8620291502720079E-4</v>
      </c>
      <c r="E61" vm="6578">
        <f ca="1"/>
        <v>81.991500000000002</v>
      </c>
      <c r="F61" s="9">
        <f t="shared" ca="1" si="1"/>
        <v>-4.5905988724232349E-2</v>
      </c>
      <c r="G61" vm="6579">
        <f ca="1"/>
        <v>54.78</v>
      </c>
      <c r="H61" s="9">
        <f t="shared" ca="1" si="2"/>
        <v>4.7819433817903656E-2</v>
      </c>
      <c r="I61" vm="6580">
        <f ca="1"/>
        <v>423.5</v>
      </c>
      <c r="J61" s="9">
        <f t="shared" ca="1" si="3"/>
        <v>7.4873096446700593E-2</v>
      </c>
      <c r="K61" vm="6581">
        <f ca="1"/>
        <v>154.07</v>
      </c>
      <c r="L61" s="9">
        <f t="shared" ca="1" si="4"/>
        <v>7.2686764603494991E-2</v>
      </c>
      <c r="M61" vm="6582">
        <f ca="1"/>
        <v>224.77</v>
      </c>
      <c r="N61" s="9">
        <f t="shared" ca="1" si="5"/>
        <v>6.4604745891157167E-2</v>
      </c>
      <c r="O61" vm="2323">
        <f ca="1"/>
        <v>46.93</v>
      </c>
      <c r="P61" s="9">
        <f t="shared" ca="1" si="6"/>
        <v>4.8832271762208057E-2</v>
      </c>
      <c r="Q61" vm="6451">
        <f ca="1"/>
        <v>44.06</v>
      </c>
      <c r="R61" s="9">
        <f t="shared" ca="1" si="7"/>
        <v>-3.3928975344944545E-3</v>
      </c>
      <c r="S61" vm="6583">
        <f ca="1"/>
        <v>3.8565</v>
      </c>
      <c r="T61" s="9">
        <f t="shared" ca="1" si="8"/>
        <v>7.3098113417552568E-2</v>
      </c>
      <c r="U61" vm="6584">
        <f ca="1"/>
        <v>98.55</v>
      </c>
      <c r="V61" s="9">
        <f t="shared" ca="1" si="9"/>
        <v>2.1561107079921094E-2</v>
      </c>
      <c r="W61" vm="6585">
        <f ca="1"/>
        <v>242.22</v>
      </c>
      <c r="X61" s="9">
        <f t="shared" ca="1" si="10"/>
        <v>-0.10355292376017766</v>
      </c>
      <c r="Y61" vm="6586">
        <f ca="1"/>
        <v>2784.49</v>
      </c>
      <c r="Z61" s="9">
        <f t="shared" ca="1" si="11"/>
        <v>2.9728930143116061E-2</v>
      </c>
      <c r="AA61" vm="18082">
        <f ca="1"/>
        <v>27.11</v>
      </c>
      <c r="AB61" vm="18082">
        <v>27.11</v>
      </c>
      <c r="AC61">
        <f t="shared" si="12"/>
        <v>2.7109999999999999</v>
      </c>
      <c r="AD61" vm="7457">
        <f ca="1"/>
        <v>173.19</v>
      </c>
      <c r="AE61" s="9">
        <f t="shared" ca="1" si="13"/>
        <v>2.9911988582302484E-2</v>
      </c>
    </row>
    <row r="62" spans="2:31" x14ac:dyDescent="0.35">
      <c r="B62" vm="6587">
        <f ca="1"/>
        <v>43525</v>
      </c>
      <c r="C62" vm="6830">
        <f ca="1"/>
        <v>58.844499999999996</v>
      </c>
      <c r="D62" s="9">
        <f t="shared" ca="1" si="0"/>
        <v>4.4685100528161215E-2</v>
      </c>
      <c r="E62" vm="6831">
        <f ca="1"/>
        <v>89.037499999999994</v>
      </c>
      <c r="F62" s="9">
        <f t="shared" ca="1" si="1"/>
        <v>8.593573724105541E-2</v>
      </c>
      <c r="G62" vm="6832">
        <f ca="1"/>
        <v>57.86</v>
      </c>
      <c r="H62" s="9">
        <f t="shared" ca="1" si="2"/>
        <v>5.6224899598393607E-2</v>
      </c>
      <c r="I62" vm="6833">
        <f ca="1"/>
        <v>453.16</v>
      </c>
      <c r="J62" s="9">
        <f t="shared" ca="1" si="3"/>
        <v>7.003541912632838E-2</v>
      </c>
      <c r="K62" vm="6834">
        <f ca="1"/>
        <v>158.91999999999999</v>
      </c>
      <c r="L62" s="9">
        <f t="shared" ca="1" si="4"/>
        <v>3.1479197767248612E-2</v>
      </c>
      <c r="M62" vm="6835">
        <f ca="1"/>
        <v>235.45</v>
      </c>
      <c r="N62" s="9">
        <f t="shared" ca="1" si="5"/>
        <v>4.7515237798638532E-2</v>
      </c>
      <c r="O62" vm="6836">
        <f ca="1"/>
        <v>48.33</v>
      </c>
      <c r="P62" s="9">
        <f t="shared" ca="1" si="6"/>
        <v>2.9831664180694606E-2</v>
      </c>
      <c r="Q62" vm="6837">
        <f ca="1"/>
        <v>43.57</v>
      </c>
      <c r="R62" s="9">
        <f t="shared" ca="1" si="7"/>
        <v>-1.1121198365864782E-2</v>
      </c>
      <c r="S62" vm="6838">
        <f ca="1"/>
        <v>4.4889999999999999</v>
      </c>
      <c r="T62" s="9">
        <f t="shared" ca="1" si="8"/>
        <v>0.1640088162841955</v>
      </c>
      <c r="U62" vm="6839">
        <f ca="1"/>
        <v>104.05</v>
      </c>
      <c r="V62" s="9">
        <f t="shared" ca="1" si="9"/>
        <v>5.580923389142578E-2</v>
      </c>
      <c r="W62" vm="6840">
        <f ca="1"/>
        <v>247.26</v>
      </c>
      <c r="X62" s="9">
        <f t="shared" ca="1" si="10"/>
        <v>2.080753034431515E-2</v>
      </c>
      <c r="Y62" vm="6841">
        <f ca="1"/>
        <v>2834.4</v>
      </c>
      <c r="Z62" s="9">
        <f t="shared" ca="1" si="11"/>
        <v>1.7924287751078349E-2</v>
      </c>
      <c r="AA62" vm="18083">
        <f ca="1"/>
        <v>24.14</v>
      </c>
      <c r="AB62" vm="18083">
        <v>24.14</v>
      </c>
      <c r="AC62">
        <f t="shared" si="12"/>
        <v>2.4140000000000001</v>
      </c>
      <c r="AD62" vm="8687">
        <f ca="1"/>
        <v>179.66</v>
      </c>
      <c r="AE62" s="9">
        <f t="shared" ca="1" si="13"/>
        <v>3.7357815116346282E-2</v>
      </c>
    </row>
    <row r="63" spans="2:31" x14ac:dyDescent="0.35">
      <c r="B63" vm="6842">
        <f ca="1"/>
        <v>43556</v>
      </c>
      <c r="C63" vm="7079">
        <f ca="1"/>
        <v>59.948</v>
      </c>
      <c r="D63" s="9">
        <f t="shared" ca="1" si="0"/>
        <v>1.8752814621587399E-2</v>
      </c>
      <c r="E63" vm="7080">
        <f ca="1"/>
        <v>96.325999999999993</v>
      </c>
      <c r="F63" s="9">
        <f t="shared" ca="1" si="1"/>
        <v>8.1858767373297781E-2</v>
      </c>
      <c r="G63" vm="7081">
        <f ca="1"/>
        <v>59.94</v>
      </c>
      <c r="H63" s="9">
        <f t="shared" ca="1" si="2"/>
        <v>3.5948842032492268E-2</v>
      </c>
      <c r="I63" vm="7082">
        <f ca="1"/>
        <v>454.7</v>
      </c>
      <c r="J63" s="9">
        <f t="shared" ca="1" si="3"/>
        <v>3.3983581957806042E-3</v>
      </c>
      <c r="K63" vm="7083">
        <f ca="1"/>
        <v>173.63</v>
      </c>
      <c r="L63" s="9">
        <f t="shared" ca="1" si="4"/>
        <v>9.2562295494588609E-2</v>
      </c>
      <c r="M63" vm="7084">
        <f ca="1"/>
        <v>254.24</v>
      </c>
      <c r="N63" s="9">
        <f t="shared" ca="1" si="5"/>
        <v>7.9804629433000818E-2</v>
      </c>
      <c r="O63" vm="7085">
        <f ca="1"/>
        <v>48.61</v>
      </c>
      <c r="P63" s="9">
        <f t="shared" ca="1" si="6"/>
        <v>5.7935030002069787E-3</v>
      </c>
      <c r="Q63" vm="1770">
        <f ca="1"/>
        <v>42.68</v>
      </c>
      <c r="R63" s="9">
        <f t="shared" ca="1" si="7"/>
        <v>-2.0426899242598107E-2</v>
      </c>
      <c r="S63" vm="7086">
        <f ca="1"/>
        <v>4.5250000000000004</v>
      </c>
      <c r="T63" s="9">
        <f t="shared" ca="1" si="8"/>
        <v>8.0196034751616185E-3</v>
      </c>
      <c r="U63" vm="7087">
        <f ca="1"/>
        <v>106.48</v>
      </c>
      <c r="V63" s="9">
        <f t="shared" ca="1" si="9"/>
        <v>2.3354156655454261E-2</v>
      </c>
      <c r="W63" vm="7088">
        <f ca="1"/>
        <v>233.07</v>
      </c>
      <c r="X63" s="9">
        <f t="shared" ca="1" si="10"/>
        <v>-5.7388983256491111E-2</v>
      </c>
      <c r="Y63" vm="7089">
        <f ca="1"/>
        <v>2945.83</v>
      </c>
      <c r="Z63" s="9">
        <f t="shared" ca="1" si="11"/>
        <v>3.9313434942139347E-2</v>
      </c>
      <c r="AA63" vm="18084">
        <f ca="1"/>
        <v>25.09</v>
      </c>
      <c r="AB63" vm="18084">
        <v>25.09</v>
      </c>
      <c r="AC63">
        <f t="shared" si="12"/>
        <v>2.5089999999999999</v>
      </c>
      <c r="AD63" vm="18085">
        <f ca="1"/>
        <v>189.54</v>
      </c>
      <c r="AE63" s="9">
        <f t="shared" ca="1" si="13"/>
        <v>5.4992764109985437E-2</v>
      </c>
    </row>
    <row r="64" spans="2:31" x14ac:dyDescent="0.35">
      <c r="B64" vm="7090">
        <f ca="1"/>
        <v>43586</v>
      </c>
      <c r="C64" vm="7339">
        <f ca="1"/>
        <v>55.325000000000003</v>
      </c>
      <c r="D64" s="9">
        <f t="shared" ca="1" si="0"/>
        <v>-7.7116834589977978E-2</v>
      </c>
      <c r="E64" vm="7340">
        <f ca="1"/>
        <v>88.753500000000003</v>
      </c>
      <c r="F64" s="9">
        <f t="shared" ca="1" si="1"/>
        <v>-7.8613250835703696E-2</v>
      </c>
      <c r="G64" vm="7341">
        <f ca="1"/>
        <v>61.39</v>
      </c>
      <c r="H64" s="9">
        <f t="shared" ca="1" si="2"/>
        <v>2.4190857524190923E-2</v>
      </c>
      <c r="I64" vm="7342">
        <f ca="1"/>
        <v>485.79</v>
      </c>
      <c r="J64" s="9">
        <f t="shared" ca="1" si="3"/>
        <v>6.8374752584121401E-2</v>
      </c>
      <c r="K64" vm="7343">
        <f ca="1"/>
        <v>164.31</v>
      </c>
      <c r="L64" s="9">
        <f t="shared" ca="1" si="4"/>
        <v>-5.3677359903242516E-2</v>
      </c>
      <c r="M64" vm="7344">
        <f ca="1"/>
        <v>251.49</v>
      </c>
      <c r="N64" s="9">
        <f t="shared" ca="1" si="5"/>
        <v>-1.0816551290119603E-2</v>
      </c>
      <c r="O64" vm="7345">
        <f ca="1"/>
        <v>49.552500000000002</v>
      </c>
      <c r="P64" s="9">
        <f t="shared" ca="1" si="6"/>
        <v>1.9389014606048249E-2</v>
      </c>
      <c r="Q64" vm="7346">
        <f ca="1"/>
        <v>34.69</v>
      </c>
      <c r="R64" s="9">
        <f t="shared" ca="1" si="7"/>
        <v>-0.18720712277413309</v>
      </c>
      <c r="S64" vm="7347">
        <f ca="1"/>
        <v>3.3864999999999998</v>
      </c>
      <c r="T64" s="9">
        <f t="shared" ca="1" si="8"/>
        <v>-0.25160220994475146</v>
      </c>
      <c r="U64" vm="7348">
        <f ca="1"/>
        <v>102.91</v>
      </c>
      <c r="V64" s="9">
        <f t="shared" ca="1" si="9"/>
        <v>-3.3527422990232925E-2</v>
      </c>
      <c r="W64" vm="7349">
        <f ca="1"/>
        <v>241.8</v>
      </c>
      <c r="X64" s="9">
        <f t="shared" ca="1" si="10"/>
        <v>3.7456558115587679E-2</v>
      </c>
      <c r="Y64" vm="7350">
        <f ca="1"/>
        <v>2752.06</v>
      </c>
      <c r="Z64" s="9">
        <f t="shared" ca="1" si="11"/>
        <v>-6.5777726481161536E-2</v>
      </c>
      <c r="AA64" vm="18086">
        <f ca="1"/>
        <v>21.42</v>
      </c>
      <c r="AB64" vm="18086">
        <v>21.42</v>
      </c>
      <c r="AC64">
        <f t="shared" si="12"/>
        <v>2.1420000000000003</v>
      </c>
      <c r="AD64" vm="14098">
        <f ca="1"/>
        <v>173.95</v>
      </c>
      <c r="AE64" s="9">
        <f t="shared" ca="1" si="13"/>
        <v>-8.2251767436952616E-2</v>
      </c>
    </row>
    <row r="65" spans="2:31" x14ac:dyDescent="0.35">
      <c r="B65" vm="18087">
        <f ca="1"/>
        <v>43617</v>
      </c>
      <c r="C65" vm="7577">
        <f ca="1"/>
        <v>54.14</v>
      </c>
      <c r="D65" s="9">
        <f t="shared" ca="1" si="0"/>
        <v>-2.1418888386805279E-2</v>
      </c>
      <c r="E65" vm="7578">
        <f ca="1"/>
        <v>94.6815</v>
      </c>
      <c r="F65" s="9">
        <f t="shared" ca="1" si="1"/>
        <v>6.6791732157041706E-2</v>
      </c>
      <c r="G65" vm="7579">
        <f ca="1"/>
        <v>69.989999999999995</v>
      </c>
      <c r="H65" s="9">
        <f t="shared" ca="1" si="2"/>
        <v>0.14008796220882869</v>
      </c>
      <c r="I65" vm="7580">
        <f ca="1"/>
        <v>504.29</v>
      </c>
      <c r="J65" s="9">
        <f t="shared" ca="1" si="3"/>
        <v>3.80822989357541E-2</v>
      </c>
      <c r="K65" vm="1041">
        <f ca="1"/>
        <v>174.59</v>
      </c>
      <c r="L65" s="9">
        <f t="shared" ca="1" si="4"/>
        <v>6.2564664353965016E-2</v>
      </c>
      <c r="M65" vm="7581">
        <f ca="1"/>
        <v>264.52999999999997</v>
      </c>
      <c r="N65" s="9">
        <f t="shared" ca="1" si="5"/>
        <v>5.1850968229352867E-2</v>
      </c>
      <c r="O65" vm="7582">
        <f ca="1"/>
        <v>51.215000000000003</v>
      </c>
      <c r="P65" s="9">
        <f t="shared" ca="1" si="6"/>
        <v>3.3550274960900017E-2</v>
      </c>
      <c r="Q65" vm="2799">
        <f ca="1"/>
        <v>39.74</v>
      </c>
      <c r="R65" s="9">
        <f t="shared" ca="1" si="7"/>
        <v>0.14557509368694155</v>
      </c>
      <c r="S65" vm="7583">
        <f ca="1"/>
        <v>4.1056999999999997</v>
      </c>
      <c r="T65" s="9">
        <f t="shared" ca="1" si="8"/>
        <v>0.21237265613465217</v>
      </c>
      <c r="U65" vm="7584">
        <f ca="1"/>
        <v>109.65</v>
      </c>
      <c r="V65" s="9">
        <f t="shared" ca="1" si="9"/>
        <v>6.5494121076669076E-2</v>
      </c>
      <c r="W65" vm="7585">
        <f ca="1"/>
        <v>244.01</v>
      </c>
      <c r="X65" s="9">
        <f t="shared" ca="1" si="10"/>
        <v>9.1397849462364622E-3</v>
      </c>
      <c r="Y65" vm="7586">
        <f ca="1"/>
        <v>2941.76</v>
      </c>
      <c r="Z65" s="9">
        <f t="shared" ca="1" si="11"/>
        <v>6.8930183208214979E-2</v>
      </c>
      <c r="AA65" vm="18088">
        <f ca="1"/>
        <v>20</v>
      </c>
      <c r="AB65" vm="18088">
        <v>20</v>
      </c>
      <c r="AC65">
        <f t="shared" si="12"/>
        <v>2</v>
      </c>
      <c r="AD65" vm="18089">
        <f ca="1"/>
        <v>186.74</v>
      </c>
      <c r="AE65" s="9">
        <f t="shared" ca="1" si="13"/>
        <v>7.3526875538947989E-2</v>
      </c>
    </row>
    <row r="66" spans="2:31" x14ac:dyDescent="0.35">
      <c r="B66" vm="7587">
        <f ca="1"/>
        <v>43647</v>
      </c>
      <c r="C66" vm="7835">
        <f ca="1"/>
        <v>60.91</v>
      </c>
      <c r="D66" s="9">
        <f t="shared" ca="1" si="0"/>
        <v>0.125046176579239</v>
      </c>
      <c r="E66" vm="7836">
        <f ca="1"/>
        <v>93.338999999999999</v>
      </c>
      <c r="F66" s="9">
        <f t="shared" ca="1" si="1"/>
        <v>-1.4179116300438888E-2</v>
      </c>
      <c r="G66" vm="7837">
        <f ca="1"/>
        <v>71.48</v>
      </c>
      <c r="H66" s="9">
        <f t="shared" ca="1" si="2"/>
        <v>2.1288755536505333E-2</v>
      </c>
      <c r="I66" vm="7838">
        <f ca="1"/>
        <v>502.1</v>
      </c>
      <c r="J66" s="9">
        <f t="shared" ca="1" si="3"/>
        <v>-4.3427392968331535E-3</v>
      </c>
      <c r="K66" vm="7839">
        <f ca="1"/>
        <v>172.46</v>
      </c>
      <c r="L66" s="9">
        <f t="shared" ca="1" si="4"/>
        <v>-1.2200011455409832E-2</v>
      </c>
      <c r="M66" vm="7840">
        <f ca="1"/>
        <v>272.27</v>
      </c>
      <c r="N66" s="9">
        <f t="shared" ca="1" si="5"/>
        <v>2.9259441273201459E-2</v>
      </c>
      <c r="O66" vm="7841">
        <f ca="1"/>
        <v>51.792499999999997</v>
      </c>
      <c r="P66" s="9">
        <f t="shared" ca="1" si="6"/>
        <v>1.1275993361319792E-2</v>
      </c>
      <c r="Q66" vm="7842">
        <f ca="1"/>
        <v>39.97</v>
      </c>
      <c r="R66" s="9">
        <f t="shared" ca="1" si="7"/>
        <v>5.7876195269248587E-3</v>
      </c>
      <c r="S66" vm="7843">
        <f ca="1"/>
        <v>4.218</v>
      </c>
      <c r="T66" s="9">
        <f t="shared" ca="1" si="8"/>
        <v>2.7352217648634936E-2</v>
      </c>
      <c r="U66" vm="7844">
        <f ca="1"/>
        <v>118.04</v>
      </c>
      <c r="V66" s="9">
        <f t="shared" ca="1" si="9"/>
        <v>7.6516187870496966E-2</v>
      </c>
      <c r="W66" vm="7845">
        <f ca="1"/>
        <v>249.01</v>
      </c>
      <c r="X66" s="9">
        <f t="shared" ca="1" si="10"/>
        <v>2.0490963485103153E-2</v>
      </c>
      <c r="Y66" vm="7846">
        <f ca="1"/>
        <v>2980.38</v>
      </c>
      <c r="Z66" s="9">
        <f t="shared" ca="1" si="11"/>
        <v>1.3128195366039375E-2</v>
      </c>
      <c r="AA66" vm="11825">
        <f ca="1"/>
        <v>20.21</v>
      </c>
      <c r="AB66" vm="11825">
        <v>20.21</v>
      </c>
      <c r="AC66">
        <f t="shared" si="12"/>
        <v>2.0209999999999999</v>
      </c>
      <c r="AD66" vm="18090">
        <f ca="1"/>
        <v>191.1</v>
      </c>
      <c r="AE66" s="9">
        <f t="shared" ca="1" si="13"/>
        <v>2.3347970440184218E-2</v>
      </c>
    </row>
    <row r="67" spans="2:31" x14ac:dyDescent="0.35">
      <c r="B67" vm="7847">
        <f ca="1"/>
        <v>43678</v>
      </c>
      <c r="C67" vm="8109">
        <f ca="1"/>
        <v>59.526499999999999</v>
      </c>
      <c r="D67" s="9">
        <f t="shared" ca="1" si="0"/>
        <v>-2.2713840091938886E-2</v>
      </c>
      <c r="E67" vm="8110">
        <f ca="1"/>
        <v>88.814499999999995</v>
      </c>
      <c r="F67" s="9">
        <f t="shared" ca="1" si="1"/>
        <v>-4.8473842659552902E-2</v>
      </c>
      <c r="G67" vm="8111">
        <f ca="1"/>
        <v>80.41</v>
      </c>
      <c r="H67" s="9">
        <f t="shared" ca="1" si="2"/>
        <v>0.12493005036373805</v>
      </c>
      <c r="I67" vm="8112">
        <f ca="1"/>
        <v>556.28</v>
      </c>
      <c r="J67" s="9">
        <f t="shared" ca="1" si="3"/>
        <v>0.10790679147580162</v>
      </c>
      <c r="K67" vm="8113">
        <f ca="1"/>
        <v>164.62</v>
      </c>
      <c r="L67" s="9">
        <f t="shared" ca="1" si="4"/>
        <v>-4.5459816769105932E-2</v>
      </c>
      <c r="M67" vm="8114">
        <f ca="1"/>
        <v>281.37</v>
      </c>
      <c r="N67" s="9">
        <f t="shared" ca="1" si="5"/>
        <v>3.3422705402725406E-2</v>
      </c>
      <c r="O67" vm="8115">
        <f ca="1"/>
        <v>54.77</v>
      </c>
      <c r="P67" s="9">
        <f t="shared" ca="1" si="6"/>
        <v>5.7489018680310977E-2</v>
      </c>
      <c r="Q67" vm="8116">
        <f ca="1"/>
        <v>32.43</v>
      </c>
      <c r="R67" s="9">
        <f t="shared" ca="1" si="7"/>
        <v>-0.18864148111083312</v>
      </c>
      <c r="S67" vm="8117">
        <f ca="1"/>
        <v>4.1878000000000002</v>
      </c>
      <c r="T67" s="9">
        <f t="shared" ca="1" si="8"/>
        <v>-7.1597913703176363E-3</v>
      </c>
      <c r="U67" vm="8118">
        <f ca="1"/>
        <v>120.23</v>
      </c>
      <c r="V67" s="9">
        <f t="shared" ca="1" si="9"/>
        <v>1.8553032870213482E-2</v>
      </c>
      <c r="W67" vm="8119">
        <f ca="1"/>
        <v>234</v>
      </c>
      <c r="X67" s="9">
        <f t="shared" ca="1" si="10"/>
        <v>-6.0278703666519329E-2</v>
      </c>
      <c r="Y67" vm="7508">
        <f ca="1"/>
        <v>2926.46</v>
      </c>
      <c r="Z67" s="9">
        <f t="shared" ca="1" si="11"/>
        <v>-1.8091652742267761E-2</v>
      </c>
      <c r="AA67" vm="18091">
        <f ca="1"/>
        <v>15.06</v>
      </c>
      <c r="AB67" vm="18091">
        <v>15.06</v>
      </c>
      <c r="AC67">
        <f t="shared" si="12"/>
        <v>1.506</v>
      </c>
      <c r="AD67" vm="18092">
        <f ca="1"/>
        <v>187.47</v>
      </c>
      <c r="AE67" s="9">
        <f t="shared" ca="1" si="13"/>
        <v>-1.8995290423861833E-2</v>
      </c>
    </row>
    <row r="68" spans="2:31" x14ac:dyDescent="0.35">
      <c r="B68" vm="18093">
        <f ca="1"/>
        <v>43709</v>
      </c>
      <c r="C68" vm="8353">
        <f ca="1"/>
        <v>61.057000000000002</v>
      </c>
      <c r="D68" s="9">
        <f t="shared" ca="1" si="0"/>
        <v>2.5711237852049207E-2</v>
      </c>
      <c r="E68" vm="8354">
        <f ca="1"/>
        <v>86.795500000000004</v>
      </c>
      <c r="F68" s="9">
        <f t="shared" ca="1" si="1"/>
        <v>-2.2732774490651808E-2</v>
      </c>
      <c r="G68" vm="4090">
        <f ca="1"/>
        <v>72.81</v>
      </c>
      <c r="H68" s="9">
        <f t="shared" ca="1" si="2"/>
        <v>-9.4515607511503452E-2</v>
      </c>
      <c r="I68" vm="8355">
        <f ca="1"/>
        <v>576.79999999999995</v>
      </c>
      <c r="J68" s="9">
        <f t="shared" ca="1" si="3"/>
        <v>3.6887898180772316E-2</v>
      </c>
      <c r="K68" vm="8356">
        <f ca="1"/>
        <v>169.2</v>
      </c>
      <c r="L68" s="9">
        <f t="shared" ca="1" si="4"/>
        <v>2.7821649860284126E-2</v>
      </c>
      <c r="M68" vm="8357">
        <f ca="1"/>
        <v>271.57</v>
      </c>
      <c r="N68" s="9">
        <f t="shared" ca="1" si="5"/>
        <v>-3.4829583822013732E-2</v>
      </c>
      <c r="O68" vm="8358">
        <f ca="1"/>
        <v>58.247500000000002</v>
      </c>
      <c r="P68" s="9">
        <f t="shared" ca="1" si="6"/>
        <v>6.3492788022640134E-2</v>
      </c>
      <c r="Q68" vm="8359">
        <f ca="1"/>
        <v>34.17</v>
      </c>
      <c r="R68" s="9">
        <f t="shared" ca="1" si="7"/>
        <v>5.3654024051803972E-2</v>
      </c>
      <c r="S68" vm="8360">
        <f ca="1"/>
        <v>4.3517999999999999</v>
      </c>
      <c r="T68" s="9">
        <f t="shared" ca="1" si="8"/>
        <v>3.916137351353921E-2</v>
      </c>
      <c r="U68" vm="8361">
        <f ca="1"/>
        <v>124.38</v>
      </c>
      <c r="V68" s="9">
        <f t="shared" ca="1" si="9"/>
        <v>3.4517175413790069E-2</v>
      </c>
      <c r="W68" vm="8362">
        <f ca="1"/>
        <v>217.32</v>
      </c>
      <c r="X68" s="9">
        <f t="shared" ca="1" si="10"/>
        <v>-7.128205128205134E-2</v>
      </c>
      <c r="Y68" vm="8363">
        <f ca="1"/>
        <v>2976.74</v>
      </c>
      <c r="Z68" s="9">
        <f t="shared" ca="1" si="11"/>
        <v>1.7181167690656807E-2</v>
      </c>
      <c r="AA68" vm="17746">
        <f ca="1"/>
        <v>16.75</v>
      </c>
      <c r="AB68" vm="17746">
        <v>16.75</v>
      </c>
      <c r="AC68">
        <f t="shared" si="12"/>
        <v>1.675</v>
      </c>
      <c r="AD68" vm="18094">
        <f ca="1"/>
        <v>188.81</v>
      </c>
      <c r="AE68" s="9">
        <f t="shared" ca="1" si="13"/>
        <v>7.1478103163173934E-3</v>
      </c>
    </row>
    <row r="69" spans="2:31" x14ac:dyDescent="0.35">
      <c r="B69" vm="8364">
        <f ca="1"/>
        <v>43739</v>
      </c>
      <c r="C69" vm="5419">
        <f ca="1"/>
        <v>62.94</v>
      </c>
      <c r="D69" s="9">
        <f t="shared" ca="1" si="0"/>
        <v>3.0840034721653531E-2</v>
      </c>
      <c r="E69" vm="8627">
        <f ca="1"/>
        <v>88.832999999999998</v>
      </c>
      <c r="F69" s="9">
        <f t="shared" ca="1" si="1"/>
        <v>2.3474719311485037E-2</v>
      </c>
      <c r="G69" vm="1357">
        <f ca="1"/>
        <v>69.97</v>
      </c>
      <c r="H69" s="9">
        <f t="shared" ca="1" si="2"/>
        <v>-3.9005631094629956E-2</v>
      </c>
      <c r="I69" vm="8628">
        <f ca="1"/>
        <v>566.78</v>
      </c>
      <c r="J69" s="9">
        <f t="shared" ca="1" si="3"/>
        <v>-1.7371705963938888E-2</v>
      </c>
      <c r="K69" vm="8629">
        <f ca="1"/>
        <v>172.73</v>
      </c>
      <c r="L69" s="9">
        <f t="shared" ca="1" si="4"/>
        <v>2.0862884160756545E-2</v>
      </c>
      <c r="M69" vm="8630">
        <f ca="1"/>
        <v>276.81</v>
      </c>
      <c r="N69" s="9">
        <f t="shared" ca="1" si="5"/>
        <v>1.9295209338292096E-2</v>
      </c>
      <c r="O69" vm="8631">
        <f ca="1"/>
        <v>59.585000000000001</v>
      </c>
      <c r="P69" s="9">
        <f t="shared" ca="1" si="6"/>
        <v>2.2962358899523583E-2</v>
      </c>
      <c r="Q69" vm="8632">
        <f ca="1"/>
        <v>32.69</v>
      </c>
      <c r="R69" s="9">
        <f t="shared" ca="1" si="7"/>
        <v>-4.3312847527070653E-2</v>
      </c>
      <c r="S69" vm="8633">
        <f ca="1"/>
        <v>5.0255000000000001</v>
      </c>
      <c r="T69" s="9">
        <f t="shared" ca="1" si="8"/>
        <v>0.15480950411324046</v>
      </c>
      <c r="U69" vm="8634">
        <f ca="1"/>
        <v>124.51</v>
      </c>
      <c r="V69" s="9">
        <f t="shared" ca="1" si="9"/>
        <v>1.045184113201536E-3</v>
      </c>
      <c r="W69" vm="4774">
        <f ca="1"/>
        <v>252.7</v>
      </c>
      <c r="X69" s="9">
        <f t="shared" ca="1" si="10"/>
        <v>0.16280139885882572</v>
      </c>
      <c r="Y69" vm="8635">
        <f ca="1"/>
        <v>3037.56</v>
      </c>
      <c r="Z69" s="9">
        <f t="shared" ca="1" si="11"/>
        <v>2.0431747482144935E-2</v>
      </c>
      <c r="AA69" vm="18095">
        <f ca="1"/>
        <v>16.91</v>
      </c>
      <c r="AB69" vm="18095">
        <v>16.91</v>
      </c>
      <c r="AC69">
        <f t="shared" si="12"/>
        <v>1.6910000000000001</v>
      </c>
      <c r="AD69" vm="18096">
        <f ca="1"/>
        <v>197.08</v>
      </c>
      <c r="AE69" s="9">
        <f t="shared" ca="1" si="13"/>
        <v>4.380064615221646E-2</v>
      </c>
    </row>
    <row r="70" spans="2:31" x14ac:dyDescent="0.35">
      <c r="B70" vm="8636">
        <f ca="1"/>
        <v>43770</v>
      </c>
      <c r="C70" vm="8857">
        <f ca="1"/>
        <v>65.204499999999996</v>
      </c>
      <c r="D70" s="9">
        <f t="shared" ca="1" si="0"/>
        <v>3.5978709882427573E-2</v>
      </c>
      <c r="E70" vm="8858">
        <f ca="1"/>
        <v>90.04</v>
      </c>
      <c r="F70" s="9">
        <f t="shared" ca="1" si="1"/>
        <v>1.3587293010480339E-2</v>
      </c>
      <c r="G70" vm="8859">
        <f ca="1"/>
        <v>66.06</v>
      </c>
      <c r="H70" s="9">
        <f t="shared" ca="1" si="2"/>
        <v>-5.5881091896527013E-2</v>
      </c>
      <c r="I70" vm="8860">
        <f ca="1"/>
        <v>566.85</v>
      </c>
      <c r="J70" s="9">
        <f t="shared" ca="1" si="3"/>
        <v>1.2350471082256398E-4</v>
      </c>
      <c r="K70" vm="8861">
        <f ca="1"/>
        <v>178.55</v>
      </c>
      <c r="L70" s="9">
        <f t="shared" ca="1" si="4"/>
        <v>3.3694204828344843E-2</v>
      </c>
      <c r="M70" vm="8862">
        <f ca="1"/>
        <v>292.23</v>
      </c>
      <c r="N70" s="9">
        <f t="shared" ca="1" si="5"/>
        <v>5.570607998265964E-2</v>
      </c>
      <c r="O70" vm="8863">
        <f ca="1"/>
        <v>58.454999999999998</v>
      </c>
      <c r="P70" s="9">
        <f t="shared" ca="1" si="6"/>
        <v>-1.8964504489384915E-2</v>
      </c>
      <c r="Q70" vm="832">
        <f ca="1"/>
        <v>36.200000000000003</v>
      </c>
      <c r="R70" s="9">
        <f t="shared" ca="1" si="7"/>
        <v>0.10737228510247809</v>
      </c>
      <c r="S70" vm="8864">
        <f ca="1"/>
        <v>5.4184999999999999</v>
      </c>
      <c r="T70" s="9">
        <f t="shared" ca="1" si="8"/>
        <v>7.8201174012536123E-2</v>
      </c>
      <c r="U70" vm="8865">
        <f ca="1"/>
        <v>122.06</v>
      </c>
      <c r="V70" s="9">
        <f t="shared" ca="1" si="9"/>
        <v>-1.9677134366717586E-2</v>
      </c>
      <c r="W70" vm="8866">
        <f ca="1"/>
        <v>279.87</v>
      </c>
      <c r="X70" s="9">
        <f t="shared" ca="1" si="10"/>
        <v>0.10751879699248135</v>
      </c>
      <c r="Y70" vm="8867">
        <f ca="1"/>
        <v>3140.98</v>
      </c>
      <c r="Z70" s="9">
        <f t="shared" ca="1" si="11"/>
        <v>3.404706409091518E-2</v>
      </c>
      <c r="AA70" vm="18097">
        <f ca="1"/>
        <v>17.760000000000002</v>
      </c>
      <c r="AB70" vm="18097">
        <v>17.760000000000002</v>
      </c>
      <c r="AC70">
        <f t="shared" si="12"/>
        <v>1.7760000000000002</v>
      </c>
      <c r="AD70" vm="15191">
        <f ca="1"/>
        <v>205.1</v>
      </c>
      <c r="AE70" s="9">
        <f t="shared" ca="1" si="13"/>
        <v>4.0694134361680456E-2</v>
      </c>
    </row>
    <row r="71" spans="2:31" x14ac:dyDescent="0.35">
      <c r="B71" vm="18098">
        <f ca="1"/>
        <v>43800</v>
      </c>
      <c r="C71" vm="8918">
        <f ca="1"/>
        <v>66.969499999999996</v>
      </c>
      <c r="D71" s="9">
        <f t="shared" ca="1" si="0"/>
        <v>2.7068683909852842E-2</v>
      </c>
      <c r="E71" vm="9102">
        <f ca="1"/>
        <v>92.391999999999996</v>
      </c>
      <c r="F71" s="9">
        <f t="shared" ca="1" si="1"/>
        <v>2.6121723678365072E-2</v>
      </c>
      <c r="G71" vm="9103">
        <f ca="1"/>
        <v>64.67</v>
      </c>
      <c r="H71" s="9">
        <f t="shared" ca="1" si="2"/>
        <v>-2.1041477444747159E-2</v>
      </c>
      <c r="I71" vm="9104">
        <f ca="1"/>
        <v>583.70000000000005</v>
      </c>
      <c r="J71" s="9">
        <f t="shared" ca="1" si="3"/>
        <v>2.9725676986857241E-2</v>
      </c>
      <c r="K71" vm="9105">
        <f ca="1"/>
        <v>177</v>
      </c>
      <c r="L71" s="9">
        <f t="shared" ca="1" si="4"/>
        <v>-8.6810417250070548E-3</v>
      </c>
      <c r="M71" vm="9106">
        <f ca="1"/>
        <v>298.58999999999997</v>
      </c>
      <c r="N71" s="9">
        <f t="shared" ca="1" si="5"/>
        <v>2.1763679293706817E-2</v>
      </c>
      <c r="O71" vm="9107">
        <f ca="1"/>
        <v>60.54</v>
      </c>
      <c r="P71" s="9">
        <f t="shared" ca="1" si="6"/>
        <v>3.5668462920195099E-2</v>
      </c>
      <c r="Q71" vm="7653">
        <f ca="1"/>
        <v>40.200000000000003</v>
      </c>
      <c r="R71" s="9">
        <f t="shared" ca="1" si="7"/>
        <v>0.11049723756906071</v>
      </c>
      <c r="S71" vm="9108">
        <f ca="1"/>
        <v>5.8825000000000003</v>
      </c>
      <c r="T71" s="9">
        <f t="shared" ca="1" si="8"/>
        <v>8.5632555135185084E-2</v>
      </c>
      <c r="U71" vm="9052">
        <f ca="1"/>
        <v>124.9</v>
      </c>
      <c r="V71" s="9">
        <f t="shared" ca="1" si="9"/>
        <v>2.3267245616909848E-2</v>
      </c>
      <c r="W71" vm="9109">
        <f ca="1"/>
        <v>293.98</v>
      </c>
      <c r="X71" s="9">
        <f t="shared" ca="1" si="10"/>
        <v>5.0416264694322477E-2</v>
      </c>
      <c r="Y71" vm="9110">
        <f ca="1"/>
        <v>3230.78</v>
      </c>
      <c r="Z71" s="9">
        <f t="shared" ca="1" si="11"/>
        <v>2.8589803182446305E-2</v>
      </c>
      <c r="AA71" vm="18099">
        <f ca="1"/>
        <v>19.190000000000001</v>
      </c>
      <c r="AB71" vm="18099">
        <v>19.190000000000001</v>
      </c>
      <c r="AC71">
        <f t="shared" si="12"/>
        <v>1.919</v>
      </c>
      <c r="AD71" vm="12192">
        <f ca="1"/>
        <v>212.61</v>
      </c>
      <c r="AE71" s="9">
        <f t="shared" ca="1" si="13"/>
        <v>3.6616284739151794E-2</v>
      </c>
    </row>
    <row r="72" spans="2:31" x14ac:dyDescent="0.35">
      <c r="B72" vm="18100">
        <f ca="1"/>
        <v>43831</v>
      </c>
      <c r="C72" vm="9341">
        <f ca="1"/>
        <v>71.638999999999996</v>
      </c>
      <c r="D72" s="9">
        <f t="shared" ca="1" si="0"/>
        <v>6.9725770686655864E-2</v>
      </c>
      <c r="E72" vm="9342">
        <f ca="1"/>
        <v>100.43600000000001</v>
      </c>
      <c r="F72" s="9">
        <f t="shared" ca="1" si="1"/>
        <v>8.7063815048922022E-2</v>
      </c>
      <c r="G72" vm="9343">
        <f ca="1"/>
        <v>72.180000000000007</v>
      </c>
      <c r="H72" s="9">
        <f t="shared" ca="1" si="2"/>
        <v>0.11612803463738985</v>
      </c>
      <c r="I72" vm="9344">
        <f ca="1"/>
        <v>589.73</v>
      </c>
      <c r="J72" s="9">
        <f t="shared" ca="1" si="3"/>
        <v>1.0330649306150352E-2</v>
      </c>
      <c r="K72" vm="9345">
        <f ca="1"/>
        <v>173.22</v>
      </c>
      <c r="L72" s="9">
        <f t="shared" ca="1" si="4"/>
        <v>-2.1355932203389827E-2</v>
      </c>
      <c r="M72" vm="9346">
        <f ca="1"/>
        <v>315.94</v>
      </c>
      <c r="N72" s="9">
        <f t="shared" ca="1" si="5"/>
        <v>5.8106433571117666E-2</v>
      </c>
      <c r="O72" vm="9347">
        <f ca="1"/>
        <v>67.05</v>
      </c>
      <c r="P72" s="9">
        <f t="shared" ca="1" si="6"/>
        <v>0.10753221010901881</v>
      </c>
      <c r="Q72" vm="9348">
        <f ca="1"/>
        <v>33.51</v>
      </c>
      <c r="R72" s="9">
        <f t="shared" ca="1" si="7"/>
        <v>-0.16641791044776133</v>
      </c>
      <c r="S72" vm="9349">
        <f ca="1"/>
        <v>5.9108000000000001</v>
      </c>
      <c r="T72" s="9">
        <f t="shared" ca="1" si="8"/>
        <v>4.8108797280068671E-3</v>
      </c>
      <c r="U72" vm="8914">
        <f ca="1"/>
        <v>124.62</v>
      </c>
      <c r="V72" s="9">
        <f t="shared" ca="1" si="9"/>
        <v>-2.2417934347478408E-3</v>
      </c>
      <c r="W72" vm="9350">
        <f ca="1"/>
        <v>272.45</v>
      </c>
      <c r="X72" s="9">
        <f t="shared" ca="1" si="10"/>
        <v>-7.3236274576501947E-2</v>
      </c>
      <c r="Y72" vm="9351">
        <f ca="1"/>
        <v>3225.52</v>
      </c>
      <c r="Z72" s="9">
        <f t="shared" ca="1" si="11"/>
        <v>-1.6280898111292741E-3</v>
      </c>
      <c r="AA72" vm="18101">
        <f ca="1"/>
        <v>15.2</v>
      </c>
      <c r="AB72" vm="18101">
        <v>15.2</v>
      </c>
      <c r="AC72">
        <f t="shared" si="12"/>
        <v>1.52</v>
      </c>
      <c r="AD72" vm="3817">
        <f ca="1"/>
        <v>219.07</v>
      </c>
      <c r="AE72" s="9">
        <f t="shared" ca="1" si="13"/>
        <v>3.0384271671134888E-2</v>
      </c>
    </row>
    <row r="73" spans="2:31" x14ac:dyDescent="0.35">
      <c r="B73" vm="18102">
        <f ca="1"/>
        <v>43862</v>
      </c>
      <c r="C73" vm="9571">
        <f ca="1"/>
        <v>66.962500000000006</v>
      </c>
      <c r="D73" s="9">
        <f t="shared" ca="1" si="0"/>
        <v>-6.5278688982258082E-2</v>
      </c>
      <c r="E73" vm="9572">
        <f ca="1"/>
        <v>94.1875</v>
      </c>
      <c r="F73" s="9">
        <f t="shared" ca="1" si="1"/>
        <v>-6.2213748058465135E-2</v>
      </c>
      <c r="G73" vm="9573">
        <f ca="1"/>
        <v>70.459999999999994</v>
      </c>
      <c r="H73" s="9">
        <f t="shared" ca="1" si="2"/>
        <v>-2.3829315599889322E-2</v>
      </c>
      <c r="I73" vm="9574">
        <f ca="1"/>
        <v>572.79999999999995</v>
      </c>
      <c r="J73" s="9">
        <f t="shared" ca="1" si="3"/>
        <v>-2.8708052837739362E-2</v>
      </c>
      <c r="K73" vm="9575">
        <f ca="1"/>
        <v>162.16999999999999</v>
      </c>
      <c r="L73" s="9">
        <f t="shared" ca="1" si="4"/>
        <v>-6.3791709964207466E-2</v>
      </c>
      <c r="M73" vm="9576">
        <f ca="1"/>
        <v>290.25</v>
      </c>
      <c r="N73" s="9">
        <f t="shared" ca="1" si="5"/>
        <v>-8.1312907514084931E-2</v>
      </c>
      <c r="O73" vm="2050">
        <f ca="1"/>
        <v>63.19</v>
      </c>
      <c r="P73" s="9">
        <f t="shared" ca="1" si="6"/>
        <v>-5.756897837434749E-2</v>
      </c>
      <c r="Q73" vm="9577">
        <f ca="1"/>
        <v>27.09</v>
      </c>
      <c r="R73" s="9">
        <f t="shared" ca="1" si="7"/>
        <v>-0.19158460161145918</v>
      </c>
      <c r="S73" vm="9578">
        <f ca="1"/>
        <v>6.7518000000000002</v>
      </c>
      <c r="T73" s="9">
        <f t="shared" ca="1" si="8"/>
        <v>0.14228192461257372</v>
      </c>
      <c r="U73" vm="9579">
        <f ca="1"/>
        <v>113.23</v>
      </c>
      <c r="V73" s="9">
        <f t="shared" ca="1" si="9"/>
        <v>-9.1397849462365621E-2</v>
      </c>
      <c r="W73" vm="9580">
        <f ca="1"/>
        <v>254.96</v>
      </c>
      <c r="X73" s="9">
        <f t="shared" ca="1" si="10"/>
        <v>-6.419526518627261E-2</v>
      </c>
      <c r="Y73" vm="9581">
        <f ca="1"/>
        <v>2954.22</v>
      </c>
      <c r="Z73" s="9">
        <f t="shared" ca="1" si="11"/>
        <v>-8.4110469009648137E-2</v>
      </c>
      <c r="AA73" vm="18103">
        <f ca="1"/>
        <v>11.27</v>
      </c>
      <c r="AB73" vm="18103">
        <v>11.27</v>
      </c>
      <c r="AC73">
        <f t="shared" si="12"/>
        <v>1.127</v>
      </c>
      <c r="AD73" vm="18104">
        <f ca="1"/>
        <v>205.8</v>
      </c>
      <c r="AE73" s="9">
        <f t="shared" ca="1" si="13"/>
        <v>-6.057424567489833E-2</v>
      </c>
    </row>
    <row r="74" spans="2:31" x14ac:dyDescent="0.35">
      <c r="B74" vm="18105">
        <f ca="1"/>
        <v>43891</v>
      </c>
      <c r="C74" vm="9840">
        <f ca="1"/>
        <v>58.097499999999997</v>
      </c>
      <c r="D74" s="9">
        <f t="shared" ca="1" si="0"/>
        <v>-0.13238753033414241</v>
      </c>
      <c r="E74" vm="9841">
        <f ca="1"/>
        <v>97.486000000000004</v>
      </c>
      <c r="F74" s="9">
        <f t="shared" ca="1" si="1"/>
        <v>3.5020570670205808E-2</v>
      </c>
      <c r="G74" vm="9842">
        <f ca="1"/>
        <v>64.66</v>
      </c>
      <c r="H74" s="9">
        <f t="shared" ca="1" si="2"/>
        <v>-8.2316207777462402E-2</v>
      </c>
      <c r="I74" vm="9843">
        <f ca="1"/>
        <v>624.57000000000005</v>
      </c>
      <c r="J74" s="9">
        <f t="shared" ca="1" si="3"/>
        <v>9.0380586592178958E-2</v>
      </c>
      <c r="K74" vm="9844">
        <f ca="1"/>
        <v>133.79</v>
      </c>
      <c r="L74" s="9">
        <f t="shared" ca="1" si="4"/>
        <v>-0.17500154159215642</v>
      </c>
      <c r="M74" vm="9845">
        <f ca="1"/>
        <v>241.56</v>
      </c>
      <c r="N74" s="9">
        <f t="shared" ca="1" si="5"/>
        <v>-0.16775193798449617</v>
      </c>
      <c r="O74" vm="9846">
        <f ca="1"/>
        <v>60.155000000000001</v>
      </c>
      <c r="P74" s="9">
        <f t="shared" ca="1" si="6"/>
        <v>-4.8029751542965626E-2</v>
      </c>
      <c r="Q74" vm="9847">
        <f ca="1"/>
        <v>13.49</v>
      </c>
      <c r="R74" s="9">
        <f t="shared" ca="1" si="7"/>
        <v>-0.50203026947212992</v>
      </c>
      <c r="S74" vm="9848">
        <f ca="1"/>
        <v>6.59</v>
      </c>
      <c r="T74" s="9">
        <f t="shared" ca="1" si="8"/>
        <v>-2.3963979975710203E-2</v>
      </c>
      <c r="U74" vm="9849">
        <f ca="1"/>
        <v>110</v>
      </c>
      <c r="V74" s="9">
        <f t="shared" ca="1" si="9"/>
        <v>-2.8526009008213449E-2</v>
      </c>
      <c r="W74" vm="9850">
        <f ca="1"/>
        <v>249.38</v>
      </c>
      <c r="X74" s="9">
        <f t="shared" ca="1" si="10"/>
        <v>-2.1885786005647945E-2</v>
      </c>
      <c r="Y74" vm="9851">
        <f ca="1"/>
        <v>2584.59</v>
      </c>
      <c r="Z74" s="9">
        <f t="shared" ca="1" si="11"/>
        <v>-0.12511932083595656</v>
      </c>
      <c r="AA74" vm="18106">
        <f ca="1"/>
        <v>6.98</v>
      </c>
      <c r="AB74" vm="18106">
        <v>6.98</v>
      </c>
      <c r="AC74">
        <f t="shared" si="12"/>
        <v>0.69800000000000006</v>
      </c>
      <c r="AD74" vm="1791">
        <f ca="1"/>
        <v>190.4</v>
      </c>
      <c r="AE74" s="9">
        <f t="shared" ca="1" si="13"/>
        <v>-7.4829931972789088E-2</v>
      </c>
    </row>
    <row r="75" spans="2:31" x14ac:dyDescent="0.35">
      <c r="B75" vm="9852">
        <f ca="1"/>
        <v>43922</v>
      </c>
      <c r="C75" vm="10091">
        <f ca="1"/>
        <v>67.334999999999994</v>
      </c>
      <c r="D75" s="9">
        <f t="shared" ca="1" si="0"/>
        <v>0.15899995696888847</v>
      </c>
      <c r="E75" vm="10092">
        <f ca="1"/>
        <v>123.7</v>
      </c>
      <c r="F75" s="9">
        <f t="shared" ca="1" si="1"/>
        <v>0.26890014976509446</v>
      </c>
      <c r="G75" vm="10093">
        <f ca="1"/>
        <v>65.59</v>
      </c>
      <c r="H75" s="9">
        <f t="shared" ca="1" si="2"/>
        <v>1.4382926074853142E-2</v>
      </c>
      <c r="I75" vm="10094">
        <f ca="1"/>
        <v>675.2</v>
      </c>
      <c r="J75" s="9">
        <f t="shared" ca="1" si="3"/>
        <v>8.1063771875049984E-2</v>
      </c>
      <c r="K75" vm="10095">
        <f ca="1"/>
        <v>141.9</v>
      </c>
      <c r="L75" s="9">
        <f t="shared" ca="1" si="4"/>
        <v>6.0617385454817319E-2</v>
      </c>
      <c r="M75" vm="10096">
        <f ca="1"/>
        <v>274.97000000000003</v>
      </c>
      <c r="N75" s="9">
        <f t="shared" ca="1" si="5"/>
        <v>0.1383093227355523</v>
      </c>
      <c r="O75" vm="10097">
        <f ca="1"/>
        <v>57.78</v>
      </c>
      <c r="P75" s="9">
        <f t="shared" ca="1" si="6"/>
        <v>-3.9481339871997312E-2</v>
      </c>
      <c r="Q75" vm="10098">
        <f ca="1"/>
        <v>16.82</v>
      </c>
      <c r="R75" s="9">
        <f t="shared" ca="1" si="7"/>
        <v>0.24684951816160128</v>
      </c>
      <c r="S75" vm="10099">
        <f ca="1"/>
        <v>7.3070000000000004</v>
      </c>
      <c r="T75" s="9">
        <f t="shared" ca="1" si="8"/>
        <v>0.10880121396054632</v>
      </c>
      <c r="U75" vm="10100">
        <f ca="1"/>
        <v>117.87</v>
      </c>
      <c r="V75" s="9">
        <f t="shared" ca="1" si="9"/>
        <v>7.1545454545454579E-2</v>
      </c>
      <c r="W75" vm="10101">
        <f ca="1"/>
        <v>292.47000000000003</v>
      </c>
      <c r="X75" s="9">
        <f t="shared" ca="1" si="10"/>
        <v>0.17278851551848606</v>
      </c>
      <c r="Y75" vm="10102">
        <f ca="1"/>
        <v>2912.43</v>
      </c>
      <c r="Z75" s="9">
        <f t="shared" ca="1" si="11"/>
        <v>0.12684410293315374</v>
      </c>
      <c r="AA75" vm="18107">
        <f ca="1"/>
        <v>6.22</v>
      </c>
      <c r="AB75" vm="18107">
        <v>6.22</v>
      </c>
      <c r="AC75">
        <f t="shared" si="12"/>
        <v>0.622</v>
      </c>
      <c r="AD75" vm="6449">
        <f ca="1"/>
        <v>218.91</v>
      </c>
      <c r="AE75" s="9">
        <f t="shared" ca="1" si="13"/>
        <v>0.14973739495798322</v>
      </c>
    </row>
    <row r="76" spans="2:31" x14ac:dyDescent="0.35">
      <c r="B76" vm="10103">
        <f ca="1"/>
        <v>43952</v>
      </c>
      <c r="C76" vm="10332">
        <f ca="1"/>
        <v>71.676000000000002</v>
      </c>
      <c r="D76" s="9">
        <f t="shared" ca="1" si="0"/>
        <v>6.4468701269770667E-2</v>
      </c>
      <c r="E76" vm="10333">
        <f ca="1"/>
        <v>122.1185</v>
      </c>
      <c r="F76" s="9">
        <f t="shared" ca="1" si="1"/>
        <v>-1.2784963621665368E-2</v>
      </c>
      <c r="G76" vm="10334">
        <f ca="1"/>
        <v>71.260000000000005</v>
      </c>
      <c r="H76" s="9">
        <f t="shared" ca="1" si="2"/>
        <v>8.6446104589114281E-2</v>
      </c>
      <c r="I76" vm="10335">
        <f ca="1"/>
        <v>697.63</v>
      </c>
      <c r="J76" s="9">
        <f t="shared" ca="1" si="3"/>
        <v>3.3219786729857814E-2</v>
      </c>
      <c r="K76" vm="10336">
        <f ca="1"/>
        <v>145.85</v>
      </c>
      <c r="L76" s="9">
        <f t="shared" ca="1" si="4"/>
        <v>2.7836504580690535E-2</v>
      </c>
      <c r="M76" vm="10337">
        <f ca="1"/>
        <v>300.89</v>
      </c>
      <c r="N76" s="9">
        <f t="shared" ca="1" si="5"/>
        <v>9.4264828890424202E-2</v>
      </c>
      <c r="O76" vm="10338">
        <f ca="1"/>
        <v>63.89</v>
      </c>
      <c r="P76" s="9">
        <f t="shared" ca="1" si="6"/>
        <v>0.10574593284873668</v>
      </c>
      <c r="Q76" vm="10339">
        <f ca="1"/>
        <v>18.47</v>
      </c>
      <c r="R76" s="9">
        <f t="shared" ca="1" si="7"/>
        <v>9.8097502972651629E-2</v>
      </c>
      <c r="S76" vm="10340">
        <f ca="1"/>
        <v>8.8755000000000006</v>
      </c>
      <c r="T76" s="9">
        <f t="shared" ca="1" si="8"/>
        <v>0.21465717804844675</v>
      </c>
      <c r="U76" vm="10341">
        <f ca="1"/>
        <v>115.92</v>
      </c>
      <c r="V76" s="9">
        <f t="shared" ca="1" si="9"/>
        <v>-1.6543649783659964E-2</v>
      </c>
      <c r="W76" vm="10342">
        <f ca="1"/>
        <v>304.85000000000002</v>
      </c>
      <c r="X76" s="9">
        <f t="shared" ca="1" si="10"/>
        <v>4.2329127773788722E-2</v>
      </c>
      <c r="Y76" vm="10343">
        <f ca="1"/>
        <v>3044.31</v>
      </c>
      <c r="Z76" s="9">
        <f t="shared" ca="1" si="11"/>
        <v>4.528177501261843E-2</v>
      </c>
      <c r="AA76" vm="18108">
        <f ca="1"/>
        <v>6.48</v>
      </c>
      <c r="AB76" vm="18108">
        <v>6.48</v>
      </c>
      <c r="AC76">
        <f t="shared" si="12"/>
        <v>0.64800000000000002</v>
      </c>
      <c r="AD76" vm="18109">
        <f ca="1"/>
        <v>233.36</v>
      </c>
      <c r="AE76" s="9">
        <f t="shared" ca="1" si="13"/>
        <v>6.6008862089443232E-2</v>
      </c>
    </row>
    <row r="77" spans="2:31" x14ac:dyDescent="0.35">
      <c r="B77" vm="10344">
        <f ca="1"/>
        <v>43983</v>
      </c>
      <c r="C77" vm="10608">
        <f ca="1"/>
        <v>70.902500000000003</v>
      </c>
      <c r="D77" s="9">
        <f t="shared" ca="1" si="0"/>
        <v>-1.0791617835816725E-2</v>
      </c>
      <c r="E77" vm="10609">
        <f ca="1"/>
        <v>137.941</v>
      </c>
      <c r="F77" s="9">
        <f t="shared" ca="1" si="1"/>
        <v>0.12956677325712329</v>
      </c>
      <c r="G77" vm="4681">
        <f ca="1"/>
        <v>69.489999999999995</v>
      </c>
      <c r="H77" s="9">
        <f t="shared" ca="1" si="2"/>
        <v>-2.4838619141173357E-2</v>
      </c>
      <c r="I77" vm="10610">
        <f ca="1"/>
        <v>702.3</v>
      </c>
      <c r="J77" s="9">
        <f t="shared" ca="1" si="3"/>
        <v>6.6940928572452041E-3</v>
      </c>
      <c r="K77" vm="10611">
        <f ca="1"/>
        <v>144.59</v>
      </c>
      <c r="L77" s="9">
        <f t="shared" ca="1" si="4"/>
        <v>-8.6390126842645909E-3</v>
      </c>
      <c r="M77" vm="10612">
        <f ca="1"/>
        <v>295.7</v>
      </c>
      <c r="N77" s="9">
        <f t="shared" ca="1" si="5"/>
        <v>-1.724882847552256E-2</v>
      </c>
      <c r="O77" vm="10613">
        <f ca="1"/>
        <v>60.042499999999997</v>
      </c>
      <c r="P77" s="9">
        <f t="shared" ca="1" si="6"/>
        <v>-6.0220691814055427E-2</v>
      </c>
      <c r="Q77" vm="10614">
        <f ca="1"/>
        <v>18.39</v>
      </c>
      <c r="R77" s="9">
        <f t="shared" ca="1" si="7"/>
        <v>-4.3313481321060054E-3</v>
      </c>
      <c r="S77" vm="10615">
        <f ca="1"/>
        <v>9.4977999999999998</v>
      </c>
      <c r="T77" s="9">
        <f t="shared" ca="1" si="8"/>
        <v>7.0114359754379851E-2</v>
      </c>
      <c r="U77" vm="10616">
        <f ca="1"/>
        <v>119.57</v>
      </c>
      <c r="V77" s="9">
        <f t="shared" ca="1" si="9"/>
        <v>3.1487232574189061E-2</v>
      </c>
      <c r="W77" vm="10617">
        <f ca="1"/>
        <v>294.95</v>
      </c>
      <c r="X77" s="9">
        <f t="shared" ca="1" si="10"/>
        <v>-3.2474987698868363E-2</v>
      </c>
      <c r="Y77" vm="10618">
        <f ca="1"/>
        <v>3100.29</v>
      </c>
      <c r="Z77" s="9">
        <f t="shared" ca="1" si="11"/>
        <v>1.8388403283502663E-2</v>
      </c>
      <c r="AA77" vm="18110">
        <f ca="1"/>
        <v>6.53</v>
      </c>
      <c r="AB77" vm="18110">
        <v>6.53</v>
      </c>
      <c r="AC77">
        <f t="shared" si="12"/>
        <v>0.65300000000000002</v>
      </c>
      <c r="AD77" vm="18111">
        <f ca="1"/>
        <v>247.6</v>
      </c>
      <c r="AE77" s="9">
        <f t="shared" ca="1" si="13"/>
        <v>6.1021597531710547E-2</v>
      </c>
    </row>
    <row r="78" spans="2:31" x14ac:dyDescent="0.35">
      <c r="B78" vm="10619">
        <f ca="1"/>
        <v>44013</v>
      </c>
      <c r="C78" vm="10866">
        <f ca="1"/>
        <v>74.397499999999994</v>
      </c>
      <c r="D78" s="9">
        <f t="shared" ca="1" si="0"/>
        <v>4.9293043263636482E-2</v>
      </c>
      <c r="E78" vm="10867">
        <f ca="1"/>
        <v>158.23400000000001</v>
      </c>
      <c r="F78" s="9">
        <f t="shared" ca="1" si="1"/>
        <v>0.14711362104087988</v>
      </c>
      <c r="G78" vm="10868">
        <f ca="1"/>
        <v>73.63</v>
      </c>
      <c r="H78" s="9">
        <f t="shared" ca="1" si="2"/>
        <v>5.9576917542092378E-2</v>
      </c>
      <c r="I78" vm="10869">
        <f ca="1"/>
        <v>785.48</v>
      </c>
      <c r="J78" s="9">
        <f t="shared" ca="1" si="3"/>
        <v>0.11843941335611574</v>
      </c>
      <c r="K78" vm="10870">
        <f ca="1"/>
        <v>149.37</v>
      </c>
      <c r="L78" s="9">
        <f t="shared" ca="1" si="4"/>
        <v>3.3058994397952901E-2</v>
      </c>
      <c r="M78" vm="10871">
        <f ca="1"/>
        <v>308.52999999999997</v>
      </c>
      <c r="N78" s="9">
        <f t="shared" ca="1" si="5"/>
        <v>4.3388569496110918E-2</v>
      </c>
      <c r="O78" vm="10872">
        <f ca="1"/>
        <v>70.174999999999997</v>
      </c>
      <c r="P78" s="9">
        <f t="shared" ca="1" si="6"/>
        <v>0.16875546487904391</v>
      </c>
      <c r="Q78" vm="10873">
        <f ca="1"/>
        <v>18.14</v>
      </c>
      <c r="R78" s="9">
        <f t="shared" ca="1" si="7"/>
        <v>-1.3594344752582921E-2</v>
      </c>
      <c r="S78" vm="10874">
        <f ca="1"/>
        <v>10.614800000000001</v>
      </c>
      <c r="T78" s="9">
        <f t="shared" ca="1" si="8"/>
        <v>0.11760618248436483</v>
      </c>
      <c r="U78" vm="10875">
        <f ca="1"/>
        <v>131.12</v>
      </c>
      <c r="V78" s="9">
        <f t="shared" ca="1" si="9"/>
        <v>9.659613615455398E-2</v>
      </c>
      <c r="W78" vm="10876">
        <f ca="1"/>
        <v>302.77999999999997</v>
      </c>
      <c r="X78" s="9">
        <f t="shared" ca="1" si="10"/>
        <v>2.6546872351245865E-2</v>
      </c>
      <c r="Y78" vm="10877">
        <f ca="1"/>
        <v>3271.12</v>
      </c>
      <c r="Z78" s="9">
        <f t="shared" ca="1" si="11"/>
        <v>5.5101296975444303E-2</v>
      </c>
      <c r="AA78" vm="18112">
        <f ca="1"/>
        <v>5.36</v>
      </c>
      <c r="AB78" vm="18112">
        <v>5.36</v>
      </c>
      <c r="AC78">
        <f t="shared" si="12"/>
        <v>0.53600000000000003</v>
      </c>
      <c r="AD78" vm="18113">
        <f ca="1"/>
        <v>265.79000000000002</v>
      </c>
      <c r="AE78" s="9">
        <f t="shared" ca="1" si="13"/>
        <v>7.3465266558966125E-2</v>
      </c>
    </row>
    <row r="79" spans="2:31" x14ac:dyDescent="0.35">
      <c r="B79" vm="18114">
        <f ca="1"/>
        <v>44044</v>
      </c>
      <c r="C79" vm="11126">
        <f ca="1"/>
        <v>81.476500000000001</v>
      </c>
      <c r="D79" s="9">
        <f t="shared" ca="1" si="0"/>
        <v>9.5151046742162126E-2</v>
      </c>
      <c r="E79" vm="11127">
        <f ca="1"/>
        <v>172.548</v>
      </c>
      <c r="F79" s="9">
        <f t="shared" ca="1" si="1"/>
        <v>9.0460962877763285E-2</v>
      </c>
      <c r="G79" vm="11128">
        <f ca="1"/>
        <v>80.37</v>
      </c>
      <c r="H79" s="9">
        <f t="shared" ca="1" si="2"/>
        <v>9.1538774955860491E-2</v>
      </c>
      <c r="I79" vm="11129">
        <f ca="1"/>
        <v>789.78</v>
      </c>
      <c r="J79" s="9">
        <f t="shared" ca="1" si="3"/>
        <v>5.4743596272341932E-3</v>
      </c>
      <c r="K79" vm="11130">
        <f ca="1"/>
        <v>165.55</v>
      </c>
      <c r="L79" s="9">
        <f t="shared" ca="1" si="4"/>
        <v>0.1083216174599988</v>
      </c>
      <c r="M79" vm="11131">
        <f ca="1"/>
        <v>358.19</v>
      </c>
      <c r="N79" s="9">
        <f t="shared" ca="1" si="5"/>
        <v>0.1609567951252715</v>
      </c>
      <c r="O79" vm="11132">
        <f ca="1"/>
        <v>69.792500000000004</v>
      </c>
      <c r="P79" s="9">
        <f t="shared" ca="1" si="6"/>
        <v>-5.4506590666191235E-3</v>
      </c>
      <c r="Q79" vm="11133">
        <f ca="1"/>
        <v>19.010000000000002</v>
      </c>
      <c r="R79" s="9">
        <f t="shared" ca="1" si="7"/>
        <v>4.7960308710033095E-2</v>
      </c>
      <c r="S79" vm="11134">
        <f ca="1"/>
        <v>13.374499999999999</v>
      </c>
      <c r="T79" s="9">
        <f t="shared" ca="1" si="8"/>
        <v>0.25998605720315027</v>
      </c>
      <c r="U79" vm="11135">
        <f ca="1"/>
        <v>138.33000000000001</v>
      </c>
      <c r="V79" s="9">
        <f t="shared" ca="1" si="9"/>
        <v>5.498779743746196E-2</v>
      </c>
      <c r="W79" vm="11136">
        <f ca="1"/>
        <v>312.55</v>
      </c>
      <c r="X79" s="9">
        <f t="shared" ca="1" si="10"/>
        <v>3.2267653081445413E-2</v>
      </c>
      <c r="Y79" vm="11137">
        <f ca="1"/>
        <v>3500.31</v>
      </c>
      <c r="Z79" s="9">
        <f t="shared" ca="1" si="11"/>
        <v>7.0064687324219221E-2</v>
      </c>
      <c r="AA79" vm="18115">
        <f ca="1"/>
        <v>6.93</v>
      </c>
      <c r="AB79" vm="18115">
        <v>6.93</v>
      </c>
      <c r="AC79">
        <f t="shared" si="12"/>
        <v>0.69299999999999995</v>
      </c>
      <c r="AD79" vm="18116">
        <f ca="1"/>
        <v>294.88</v>
      </c>
      <c r="AE79" s="9">
        <f t="shared" ca="1" si="13"/>
        <v>0.10944730802513258</v>
      </c>
    </row>
    <row r="80" spans="2:31" x14ac:dyDescent="0.35">
      <c r="B80" vm="11138">
        <f ca="1"/>
        <v>44075</v>
      </c>
      <c r="C80" vm="4218">
        <f ca="1"/>
        <v>73.28</v>
      </c>
      <c r="D80" s="9">
        <f t="shared" ca="1" si="0"/>
        <v>-0.10059955938215315</v>
      </c>
      <c r="E80" vm="11382">
        <f ca="1"/>
        <v>157.4365</v>
      </c>
      <c r="F80" s="9">
        <f t="shared" ca="1" si="1"/>
        <v>-8.7578528873125228E-2</v>
      </c>
      <c r="G80" vm="5310">
        <f ca="1"/>
        <v>83.12</v>
      </c>
      <c r="H80" s="9">
        <f t="shared" ca="1" si="2"/>
        <v>3.4216747542615389E-2</v>
      </c>
      <c r="I80" vm="11383">
        <f ca="1"/>
        <v>760.13</v>
      </c>
      <c r="J80" s="9">
        <f t="shared" ca="1" si="3"/>
        <v>-3.7542100331737882E-2</v>
      </c>
      <c r="K80" vm="11384">
        <f ca="1"/>
        <v>164.61</v>
      </c>
      <c r="L80" s="9">
        <f t="shared" ca="1" si="4"/>
        <v>-5.6780428873451916E-3</v>
      </c>
      <c r="M80" vm="11385">
        <f ca="1"/>
        <v>338.17</v>
      </c>
      <c r="N80" s="9">
        <f t="shared" ca="1" si="5"/>
        <v>-5.5892124291577083E-2</v>
      </c>
      <c r="O80" vm="1267">
        <f ca="1"/>
        <v>69.39</v>
      </c>
      <c r="P80" s="9">
        <f t="shared" ca="1" si="6"/>
        <v>-5.7670953182649143E-3</v>
      </c>
      <c r="Q80" vm="11386">
        <f ca="1"/>
        <v>15.56</v>
      </c>
      <c r="R80" s="9">
        <f t="shared" ca="1" si="7"/>
        <v>-0.18148342977380327</v>
      </c>
      <c r="S80" vm="11387">
        <f ca="1"/>
        <v>13.5305</v>
      </c>
      <c r="T80" s="9">
        <f t="shared" ca="1" si="8"/>
        <v>1.1663987438782719E-2</v>
      </c>
      <c r="U80" vm="11388">
        <f ca="1"/>
        <v>138.99</v>
      </c>
      <c r="V80" s="9">
        <f t="shared" ca="1" si="9"/>
        <v>4.7711993060073343E-3</v>
      </c>
      <c r="W80" vm="11389">
        <f ca="1"/>
        <v>311.77</v>
      </c>
      <c r="X80" s="9">
        <f t="shared" ca="1" si="10"/>
        <v>-2.495600703887435E-3</v>
      </c>
      <c r="Y80" vm="11390">
        <f ca="1"/>
        <v>3363</v>
      </c>
      <c r="Z80" s="9">
        <f t="shared" ca="1" si="11"/>
        <v>-3.9227954095494399E-2</v>
      </c>
      <c r="AA80" vm="18117">
        <f ca="1"/>
        <v>6.77</v>
      </c>
      <c r="AB80" vm="18117">
        <v>6.77</v>
      </c>
      <c r="AC80">
        <f t="shared" si="12"/>
        <v>0.67699999999999994</v>
      </c>
      <c r="AD80" vm="18118">
        <f ca="1"/>
        <v>277.83999999999997</v>
      </c>
      <c r="AE80" s="9">
        <f t="shared" ca="1" si="13"/>
        <v>-5.7786218122626187E-2</v>
      </c>
    </row>
    <row r="81" spans="2:31" x14ac:dyDescent="0.35">
      <c r="B81" vm="11391">
        <f ca="1"/>
        <v>44105</v>
      </c>
      <c r="C81" vm="11639">
        <f ca="1"/>
        <v>80.805499999999995</v>
      </c>
      <c r="D81" s="9">
        <f t="shared" ca="1" si="0"/>
        <v>0.10269514192139728</v>
      </c>
      <c r="E81" vm="11640">
        <f ca="1"/>
        <v>151.8075</v>
      </c>
      <c r="F81" s="9">
        <f t="shared" ca="1" si="1"/>
        <v>-3.5754097683827979E-2</v>
      </c>
      <c r="G81" vm="2744">
        <f ca="1"/>
        <v>89</v>
      </c>
      <c r="H81" s="9">
        <f t="shared" ca="1" si="2"/>
        <v>7.0741097208854686E-2</v>
      </c>
      <c r="I81" vm="11641">
        <f ca="1"/>
        <v>731.24</v>
      </c>
      <c r="J81" s="9">
        <f t="shared" ca="1" si="3"/>
        <v>-3.800665675608117E-2</v>
      </c>
      <c r="K81" vm="11642">
        <f ca="1"/>
        <v>164.95</v>
      </c>
      <c r="L81" s="9">
        <f t="shared" ca="1" si="4"/>
        <v>2.0654881234432043E-3</v>
      </c>
      <c r="M81" vm="11643">
        <f ca="1"/>
        <v>288.64</v>
      </c>
      <c r="N81" s="9">
        <f t="shared" ca="1" si="5"/>
        <v>-0.14646479581275695</v>
      </c>
      <c r="O81" vm="11644">
        <f ca="1"/>
        <v>73.209999999999994</v>
      </c>
      <c r="P81" s="9">
        <f t="shared" ca="1" si="6"/>
        <v>5.5051160109525821E-2</v>
      </c>
      <c r="Q81" vm="11645">
        <f ca="1"/>
        <v>14.94</v>
      </c>
      <c r="R81" s="9">
        <f t="shared" ca="1" si="7"/>
        <v>-3.98457583547559E-2</v>
      </c>
      <c r="S81" vm="11646">
        <f ca="1"/>
        <v>12.534000000000001</v>
      </c>
      <c r="T81" s="9">
        <f t="shared" ca="1" si="8"/>
        <v>-7.3648423931118479E-2</v>
      </c>
      <c r="U81" vm="11647">
        <f ca="1"/>
        <v>137.1</v>
      </c>
      <c r="V81" s="9">
        <f t="shared" ca="1" si="9"/>
        <v>-1.3598100582775885E-2</v>
      </c>
      <c r="W81" vm="11648">
        <f ca="1"/>
        <v>305.14</v>
      </c>
      <c r="X81" s="9">
        <f t="shared" ca="1" si="10"/>
        <v>-2.126567662058565E-2</v>
      </c>
      <c r="Y81" vm="11649">
        <f ca="1"/>
        <v>3269.96</v>
      </c>
      <c r="Z81" s="9">
        <f t="shared" ca="1" si="11"/>
        <v>-2.7665774606006499E-2</v>
      </c>
      <c r="AA81" vm="18119">
        <f ca="1"/>
        <v>8.6</v>
      </c>
      <c r="AB81" vm="18119">
        <v>8.6</v>
      </c>
      <c r="AC81">
        <f t="shared" si="12"/>
        <v>0.86</v>
      </c>
      <c r="AD81" vm="18120">
        <f ca="1"/>
        <v>269.38</v>
      </c>
      <c r="AE81" s="9">
        <f t="shared" ca="1" si="13"/>
        <v>-3.044917938381797E-2</v>
      </c>
    </row>
    <row r="82" spans="2:31" x14ac:dyDescent="0.35">
      <c r="B82" vm="18121">
        <f ca="1"/>
        <v>44136</v>
      </c>
      <c r="C82" vm="11881">
        <f ca="1"/>
        <v>87.72</v>
      </c>
      <c r="D82" s="9">
        <f t="shared" ca="1" si="0"/>
        <v>8.5569670381347773E-2</v>
      </c>
      <c r="E82" vm="11882">
        <f ca="1"/>
        <v>158.40199999999999</v>
      </c>
      <c r="F82" s="9">
        <f t="shared" ca="1" si="1"/>
        <v>4.3439882746240999E-2</v>
      </c>
      <c r="G82" vm="11883">
        <f ca="1"/>
        <v>96.01</v>
      </c>
      <c r="H82" s="9">
        <f t="shared" ca="1" si="2"/>
        <v>7.8764044943820277E-2</v>
      </c>
      <c r="I82" vm="11884">
        <f ca="1"/>
        <v>697.79</v>
      </c>
      <c r="J82" s="9">
        <f t="shared" ca="1" si="3"/>
        <v>-4.574421530550854E-2</v>
      </c>
      <c r="K82" vm="11885">
        <f ca="1"/>
        <v>203.92</v>
      </c>
      <c r="L82" s="9">
        <f t="shared" ca="1" si="4"/>
        <v>0.23625341012428014</v>
      </c>
      <c r="M82" vm="11886">
        <f ca="1"/>
        <v>336.51</v>
      </c>
      <c r="N82" s="9">
        <f t="shared" ca="1" si="5"/>
        <v>0.1658467294900221</v>
      </c>
      <c r="O82" vm="11887">
        <f ca="1"/>
        <v>73.59</v>
      </c>
      <c r="P82" s="9">
        <f t="shared" ca="1" si="6"/>
        <v>5.1905477393801025E-3</v>
      </c>
      <c r="Q82" vm="11888">
        <f ca="1"/>
        <v>20.79</v>
      </c>
      <c r="R82" s="9">
        <f t="shared" ca="1" si="7"/>
        <v>0.39156626506024095</v>
      </c>
      <c r="S82" vm="11889">
        <f ca="1"/>
        <v>13.4015</v>
      </c>
      <c r="T82" s="9">
        <f t="shared" ca="1" si="8"/>
        <v>6.9211744056167257E-2</v>
      </c>
      <c r="U82" vm="11890">
        <f ca="1"/>
        <v>138.87</v>
      </c>
      <c r="V82" s="9">
        <f t="shared" ca="1" si="9"/>
        <v>1.2910284463895083E-2</v>
      </c>
      <c r="W82" vm="11891">
        <f ca="1"/>
        <v>336.34</v>
      </c>
      <c r="X82" s="9">
        <f t="shared" ca="1" si="10"/>
        <v>0.10224814839090257</v>
      </c>
      <c r="Y82" vm="11892">
        <f ca="1"/>
        <v>3621.63</v>
      </c>
      <c r="Z82" s="9">
        <f t="shared" ca="1" si="11"/>
        <v>0.10754565805086314</v>
      </c>
      <c r="AA82" vm="18122">
        <f ca="1"/>
        <v>8.44</v>
      </c>
      <c r="AB82" vm="18122">
        <v>8.44</v>
      </c>
      <c r="AC82">
        <f t="shared" si="12"/>
        <v>0.84399999999999997</v>
      </c>
      <c r="AD82" vm="18123">
        <f ca="1"/>
        <v>299.62</v>
      </c>
      <c r="AE82" s="9">
        <f t="shared" ca="1" si="13"/>
        <v>0.11225777711782614</v>
      </c>
    </row>
    <row r="83" spans="2:31" x14ac:dyDescent="0.35">
      <c r="B83" vm="11893">
        <f ca="1"/>
        <v>44166</v>
      </c>
      <c r="C83" vm="12140">
        <f ca="1"/>
        <v>87.632000000000005</v>
      </c>
      <c r="D83" s="9">
        <f t="shared" ca="1" si="0"/>
        <v>-1.0031919744640794E-3</v>
      </c>
      <c r="E83" vm="12141">
        <f ca="1"/>
        <v>162.84649999999999</v>
      </c>
      <c r="F83" s="9">
        <f t="shared" ca="1" si="1"/>
        <v>2.8058357849017002E-2</v>
      </c>
      <c r="G83" vm="12142">
        <f ca="1"/>
        <v>93.18</v>
      </c>
      <c r="H83" s="9">
        <f t="shared" ca="1" si="2"/>
        <v>-2.9476096239974936E-2</v>
      </c>
      <c r="I83" vm="12143">
        <f ca="1"/>
        <v>714.18</v>
      </c>
      <c r="J83" s="9">
        <f t="shared" ca="1" si="3"/>
        <v>2.3488442081428529E-2</v>
      </c>
      <c r="K83" vm="2699">
        <f ca="1"/>
        <v>212.7</v>
      </c>
      <c r="L83" s="9">
        <f t="shared" ca="1" si="4"/>
        <v>4.3056100431541733E-2</v>
      </c>
      <c r="M83" vm="12144">
        <f ca="1"/>
        <v>356.94</v>
      </c>
      <c r="N83" s="9">
        <f t="shared" ca="1" si="5"/>
        <v>6.0711420165819652E-2</v>
      </c>
      <c r="O83" vm="12145">
        <f ca="1"/>
        <v>77.150000000000006</v>
      </c>
      <c r="P83" s="9">
        <f t="shared" ca="1" si="6"/>
        <v>4.8376138062236729E-2</v>
      </c>
      <c r="Q83" vm="12146">
        <f ca="1"/>
        <v>21.83</v>
      </c>
      <c r="R83" s="9">
        <f t="shared" ca="1" si="7"/>
        <v>5.0024050024050082E-2</v>
      </c>
      <c r="S83" vm="12147">
        <f ca="1"/>
        <v>13.055</v>
      </c>
      <c r="T83" s="9">
        <f t="shared" ca="1" si="8"/>
        <v>-2.5855314703578047E-2</v>
      </c>
      <c r="U83" vm="12148">
        <f ca="1"/>
        <v>139.13999999999999</v>
      </c>
      <c r="V83" s="9">
        <f t="shared" ca="1" si="9"/>
        <v>1.9442644199609838E-3</v>
      </c>
      <c r="W83" vm="12149">
        <f ca="1"/>
        <v>350.68</v>
      </c>
      <c r="X83" s="9">
        <f t="shared" ca="1" si="10"/>
        <v>4.2635428435511713E-2</v>
      </c>
      <c r="Y83" vm="12150">
        <f ca="1"/>
        <v>3756.07</v>
      </c>
      <c r="Z83" s="9">
        <f t="shared" ca="1" si="11"/>
        <v>3.712140665943231E-2</v>
      </c>
      <c r="AA83" vm="18124">
        <f ca="1"/>
        <v>9.17</v>
      </c>
      <c r="AB83" vm="18124">
        <v>9.17</v>
      </c>
      <c r="AC83">
        <f t="shared" si="12"/>
        <v>0.91700000000000004</v>
      </c>
      <c r="AD83" vm="18125">
        <f ca="1"/>
        <v>313.74</v>
      </c>
      <c r="AE83" s="9">
        <f t="shared" ca="1" si="13"/>
        <v>4.7126360056070959E-2</v>
      </c>
    </row>
    <row r="84" spans="2:31" x14ac:dyDescent="0.35">
      <c r="B84" vm="18126">
        <f ca="1"/>
        <v>44197</v>
      </c>
      <c r="C84" vm="12367">
        <f ca="1"/>
        <v>91.367999999999995</v>
      </c>
      <c r="D84" s="9">
        <f t="shared" ca="1" si="0"/>
        <v>4.2632828190615202E-2</v>
      </c>
      <c r="E84" vm="345">
        <f ca="1"/>
        <v>160.31</v>
      </c>
      <c r="F84" s="9">
        <f t="shared" ca="1" si="1"/>
        <v>-1.5576017906433259E-2</v>
      </c>
      <c r="G84" vm="12368">
        <f ca="1"/>
        <v>88.02</v>
      </c>
      <c r="H84" s="9">
        <f t="shared" ca="1" si="2"/>
        <v>-5.5376690276883522E-2</v>
      </c>
      <c r="I84" vm="12369">
        <f ca="1"/>
        <v>739.96</v>
      </c>
      <c r="J84" s="9">
        <f t="shared" ca="1" si="3"/>
        <v>3.6097342406676391E-2</v>
      </c>
      <c r="K84" vm="4368">
        <f ca="1"/>
        <v>195.37</v>
      </c>
      <c r="L84" s="9">
        <f t="shared" ca="1" si="4"/>
        <v>-8.1476257639868321E-2</v>
      </c>
      <c r="M84" vm="12370">
        <f ca="1"/>
        <v>316.29000000000002</v>
      </c>
      <c r="N84" s="9">
        <f t="shared" ca="1" si="5"/>
        <v>-0.11388468650193306</v>
      </c>
      <c r="O84" vm="12371">
        <f ca="1"/>
        <v>80.87</v>
      </c>
      <c r="P84" s="9">
        <f t="shared" ca="1" si="6"/>
        <v>4.821775761503555E-2</v>
      </c>
      <c r="Q84" vm="12372">
        <f ca="1"/>
        <v>22.21</v>
      </c>
      <c r="R84" s="9">
        <f t="shared" ca="1" si="7"/>
        <v>1.7407237746220883E-2</v>
      </c>
      <c r="S84" vm="12373">
        <f ca="1"/>
        <v>12.989800000000001</v>
      </c>
      <c r="T84" s="9">
        <f t="shared" ca="1" si="8"/>
        <v>-4.9942550746839842E-3</v>
      </c>
      <c r="U84" vm="12374">
        <f ca="1"/>
        <v>128.21</v>
      </c>
      <c r="V84" s="9">
        <f t="shared" ca="1" si="9"/>
        <v>-7.855397441425882E-2</v>
      </c>
      <c r="W84" vm="12375">
        <f ca="1"/>
        <v>333.58</v>
      </c>
      <c r="X84" s="9">
        <f t="shared" ca="1" si="10"/>
        <v>-4.876240447131297E-2</v>
      </c>
      <c r="Y84" vm="12376">
        <f ca="1"/>
        <v>3714.24</v>
      </c>
      <c r="Z84" s="9">
        <f t="shared" ca="1" si="11"/>
        <v>-1.1136640158463607E-2</v>
      </c>
      <c r="AA84" vm="18127">
        <f ca="1"/>
        <v>10.93</v>
      </c>
      <c r="AB84" vm="18127">
        <v>10.93</v>
      </c>
      <c r="AC84">
        <f t="shared" si="12"/>
        <v>1.093</v>
      </c>
      <c r="AD84" vm="18128">
        <f ca="1"/>
        <v>314.56</v>
      </c>
      <c r="AE84" s="9">
        <f t="shared" ca="1" si="13"/>
        <v>2.613629119653238E-3</v>
      </c>
    </row>
    <row r="85" spans="2:31" x14ac:dyDescent="0.35">
      <c r="B85" vm="12377">
        <f ca="1"/>
        <v>44228</v>
      </c>
      <c r="C85" vm="12588">
        <f ca="1"/>
        <v>101.0955</v>
      </c>
      <c r="D85" s="9">
        <f t="shared" ca="1" si="0"/>
        <v>0.10646506435513525</v>
      </c>
      <c r="E85" vm="12589">
        <f ca="1"/>
        <v>154.6465</v>
      </c>
      <c r="F85" s="9">
        <f t="shared" ca="1" si="1"/>
        <v>-3.5328426174287331E-2</v>
      </c>
      <c r="G85" vm="12590">
        <f ca="1"/>
        <v>85.39</v>
      </c>
      <c r="H85" s="9">
        <f t="shared" ca="1" si="2"/>
        <v>-2.9879572824358047E-2</v>
      </c>
      <c r="I85" vm="12591">
        <f ca="1"/>
        <v>648.34</v>
      </c>
      <c r="J85" s="9">
        <f t="shared" ca="1" si="3"/>
        <v>-0.12381750364884592</v>
      </c>
      <c r="K85" vm="12592">
        <f ca="1"/>
        <v>202.35</v>
      </c>
      <c r="L85" s="9">
        <f t="shared" ca="1" si="4"/>
        <v>3.5727081947074746E-2</v>
      </c>
      <c r="M85" vm="12204">
        <f ca="1"/>
        <v>353.85</v>
      </c>
      <c r="N85" s="9">
        <f t="shared" ca="1" si="5"/>
        <v>0.11875177843118667</v>
      </c>
      <c r="O85" vm="12593">
        <f ca="1"/>
        <v>73.48</v>
      </c>
      <c r="P85" s="9">
        <f t="shared" ca="1" si="6"/>
        <v>-9.13812291331767E-2</v>
      </c>
      <c r="Q85" vm="12594">
        <f ca="1"/>
        <v>27.91</v>
      </c>
      <c r="R85" s="9">
        <f t="shared" ca="1" si="7"/>
        <v>0.25664115263394871</v>
      </c>
      <c r="S85" vm="12595">
        <f ca="1"/>
        <v>13.714499999999999</v>
      </c>
      <c r="T85" s="9">
        <f t="shared" ca="1" si="8"/>
        <v>5.5789927481562307E-2</v>
      </c>
      <c r="U85" vm="12596">
        <f ca="1"/>
        <v>123.53</v>
      </c>
      <c r="V85" s="9">
        <f t="shared" ca="1" si="9"/>
        <v>-3.6502612900709774E-2</v>
      </c>
      <c r="W85" vm="12597">
        <f ca="1"/>
        <v>332.22</v>
      </c>
      <c r="X85" s="9">
        <f t="shared" ca="1" si="10"/>
        <v>-4.0769830325557699E-3</v>
      </c>
      <c r="Y85" vm="12598">
        <f ca="1"/>
        <v>3811.15</v>
      </c>
      <c r="Z85" s="9">
        <f t="shared" ca="1" si="11"/>
        <v>2.6091474971999817E-2</v>
      </c>
      <c r="AA85" vm="9796">
        <f ca="1"/>
        <v>14.6</v>
      </c>
      <c r="AB85" vm="9796">
        <v>14.6</v>
      </c>
      <c r="AC85">
        <f t="shared" si="12"/>
        <v>1.46</v>
      </c>
      <c r="AD85" vm="11063">
        <f ca="1"/>
        <v>314.14</v>
      </c>
      <c r="AE85" s="9">
        <f t="shared" ca="1" si="13"/>
        <v>-1.335198372329649E-3</v>
      </c>
    </row>
    <row r="86" spans="2:31" x14ac:dyDescent="0.35">
      <c r="B86" vm="12599">
        <f ca="1"/>
        <v>44256</v>
      </c>
      <c r="C86" vm="12857">
        <f ca="1"/>
        <v>103.126</v>
      </c>
      <c r="D86" s="9">
        <f t="shared" ca="1" si="0"/>
        <v>2.008496916282132E-2</v>
      </c>
      <c r="E86" vm="12858">
        <f ca="1"/>
        <v>154.70400000000001</v>
      </c>
      <c r="F86" s="9">
        <f t="shared" ca="1" si="1"/>
        <v>3.7181572166211652E-4</v>
      </c>
      <c r="G86" vm="12859">
        <f ca="1"/>
        <v>84.74</v>
      </c>
      <c r="H86" s="9">
        <f t="shared" ca="1" si="2"/>
        <v>-7.6121325682164676E-3</v>
      </c>
      <c r="I86" vm="12860">
        <f ca="1"/>
        <v>679.59</v>
      </c>
      <c r="J86" s="9">
        <f t="shared" ca="1" si="3"/>
        <v>4.8200018508807174E-2</v>
      </c>
      <c r="K86" vm="12861">
        <f ca="1"/>
        <v>217.07</v>
      </c>
      <c r="L86" s="9">
        <f t="shared" ca="1" si="4"/>
        <v>7.2745243390165637E-2</v>
      </c>
      <c r="M86" vm="12862">
        <f ca="1"/>
        <v>356.05</v>
      </c>
      <c r="N86" s="9">
        <f t="shared" ca="1" si="5"/>
        <v>6.217323724742041E-3</v>
      </c>
      <c r="O86" vm="12863">
        <f ca="1"/>
        <v>75.61</v>
      </c>
      <c r="P86" s="9">
        <f t="shared" ca="1" si="6"/>
        <v>2.8987479586281895E-2</v>
      </c>
      <c r="Q86" vm="12864">
        <f ca="1"/>
        <v>27.19</v>
      </c>
      <c r="R86" s="9">
        <f t="shared" ca="1" si="7"/>
        <v>-2.5797205302758863E-2</v>
      </c>
      <c r="S86" vm="12865">
        <f ca="1"/>
        <v>13.3483</v>
      </c>
      <c r="T86" s="9">
        <f t="shared" ca="1" si="8"/>
        <v>-2.6701666119800183E-2</v>
      </c>
      <c r="U86" vm="12866">
        <f ca="1"/>
        <v>135.43</v>
      </c>
      <c r="V86" s="9">
        <f t="shared" ca="1" si="9"/>
        <v>9.6332874605359109E-2</v>
      </c>
      <c r="W86" vm="12867">
        <f ca="1"/>
        <v>372.07</v>
      </c>
      <c r="X86" s="9">
        <f t="shared" ca="1" si="10"/>
        <v>0.1199506351213051</v>
      </c>
      <c r="Y86" vm="12868">
        <f ca="1"/>
        <v>3972.89</v>
      </c>
      <c r="Z86" s="9">
        <f t="shared" ca="1" si="11"/>
        <v>4.2438634008107767E-2</v>
      </c>
      <c r="AA86" vm="18129">
        <f ca="1"/>
        <v>17.46</v>
      </c>
      <c r="AB86" vm="18129">
        <v>17.46</v>
      </c>
      <c r="AC86">
        <f t="shared" si="12"/>
        <v>1.746</v>
      </c>
      <c r="AD86" vm="18130">
        <f ca="1"/>
        <v>319.13</v>
      </c>
      <c r="AE86" s="9">
        <f t="shared" ca="1" si="13"/>
        <v>1.5884637422805215E-2</v>
      </c>
    </row>
    <row r="87" spans="2:31" x14ac:dyDescent="0.35">
      <c r="B87" vm="12869">
        <f ca="1"/>
        <v>44287</v>
      </c>
      <c r="C87" vm="13102">
        <f ca="1"/>
        <v>117.675</v>
      </c>
      <c r="D87" s="9">
        <f t="shared" ca="1" si="0"/>
        <v>0.14107984407423912</v>
      </c>
      <c r="E87" vm="13103">
        <f ca="1"/>
        <v>173.37100000000001</v>
      </c>
      <c r="F87" s="9">
        <f t="shared" ca="1" si="1"/>
        <v>0.12066268486916942</v>
      </c>
      <c r="G87" vm="13104">
        <f ca="1"/>
        <v>93.64</v>
      </c>
      <c r="H87" s="9">
        <f t="shared" ca="1" si="2"/>
        <v>0.10502714184564566</v>
      </c>
      <c r="I87" vm="13105">
        <f ca="1"/>
        <v>720.76</v>
      </c>
      <c r="J87" s="9">
        <f t="shared" ca="1" si="3"/>
        <v>6.0580644211951196E-2</v>
      </c>
      <c r="K87" vm="13106">
        <f ca="1"/>
        <v>223.04</v>
      </c>
      <c r="L87" s="9">
        <f t="shared" ca="1" si="4"/>
        <v>2.7502648915096461E-2</v>
      </c>
      <c r="M87" vm="13107">
        <f ca="1"/>
        <v>382.06</v>
      </c>
      <c r="N87" s="9">
        <f t="shared" ca="1" si="5"/>
        <v>7.3051537705378422E-2</v>
      </c>
      <c r="O87" vm="13108">
        <f ca="1"/>
        <v>77.510000000000005</v>
      </c>
      <c r="P87" s="9">
        <f t="shared" ca="1" si="6"/>
        <v>2.5128951196931704E-2</v>
      </c>
      <c r="Q87" vm="12771">
        <f ca="1"/>
        <v>27.05</v>
      </c>
      <c r="R87" s="9">
        <f t="shared" ca="1" si="7"/>
        <v>-5.1489518205222184E-3</v>
      </c>
      <c r="S87" vm="13109">
        <f ca="1"/>
        <v>15.009499999999999</v>
      </c>
      <c r="T87" s="9">
        <f t="shared" ca="1" si="8"/>
        <v>0.12445030453316153</v>
      </c>
      <c r="U87" vm="13110">
        <f ca="1"/>
        <v>133.41999999999999</v>
      </c>
      <c r="V87" s="9">
        <f t="shared" ca="1" si="9"/>
        <v>-1.4841615594772373E-2</v>
      </c>
      <c r="W87" vm="13111">
        <f ca="1"/>
        <v>398.8</v>
      </c>
      <c r="X87" s="9">
        <f t="shared" ca="1" si="10"/>
        <v>7.1841320181686319E-2</v>
      </c>
      <c r="Y87" vm="13112">
        <f ca="1"/>
        <v>4181.17</v>
      </c>
      <c r="Z87" s="9">
        <f t="shared" ca="1" si="11"/>
        <v>5.242531255584737E-2</v>
      </c>
      <c r="AA87" vm="18131">
        <f ca="1"/>
        <v>16.309999999999999</v>
      </c>
      <c r="AB87" vm="18131">
        <v>16.309999999999999</v>
      </c>
      <c r="AC87">
        <f t="shared" si="12"/>
        <v>1.6309999999999998</v>
      </c>
      <c r="AD87" vm="18132">
        <f ca="1"/>
        <v>337.99</v>
      </c>
      <c r="AE87" s="9">
        <f t="shared" ca="1" si="13"/>
        <v>5.9098173158274037E-2</v>
      </c>
    </row>
    <row r="88" spans="2:31" x14ac:dyDescent="0.35">
      <c r="B88" vm="18133">
        <f ca="1"/>
        <v>44317</v>
      </c>
      <c r="C88" vm="13329">
        <f ca="1"/>
        <v>117.8425</v>
      </c>
      <c r="D88" s="9">
        <f t="shared" ca="1" si="0"/>
        <v>1.4234119396643319E-3</v>
      </c>
      <c r="E88" vm="13330">
        <f ca="1"/>
        <v>161.15350000000001</v>
      </c>
      <c r="F88" s="9">
        <f t="shared" ca="1" si="1"/>
        <v>-7.0470263192806137E-2</v>
      </c>
      <c r="G88" vm="367">
        <f ca="1"/>
        <v>82.16</v>
      </c>
      <c r="H88" s="9">
        <f t="shared" ca="1" si="2"/>
        <v>-0.12259718069201198</v>
      </c>
      <c r="I88" vm="13320">
        <f ca="1"/>
        <v>736.72</v>
      </c>
      <c r="J88" s="9">
        <f t="shared" ca="1" si="3"/>
        <v>2.2143293190521218E-2</v>
      </c>
      <c r="K88" vm="13332">
        <f ca="1"/>
        <v>230.91</v>
      </c>
      <c r="L88" s="9">
        <f t="shared" ca="1" si="4"/>
        <v>3.5285150645624208E-2</v>
      </c>
      <c r="M88" vm="13333">
        <f ca="1"/>
        <v>360.58</v>
      </c>
      <c r="N88" s="9">
        <f t="shared" ca="1" si="5"/>
        <v>-5.6221535884416141E-2</v>
      </c>
      <c r="O88" vm="13334">
        <f ca="1"/>
        <v>73.22</v>
      </c>
      <c r="P88" s="9">
        <f t="shared" ca="1" si="6"/>
        <v>-5.5347697071345681E-2</v>
      </c>
      <c r="Q88" vm="13335">
        <f ca="1"/>
        <v>31.33</v>
      </c>
      <c r="R88" s="9">
        <f t="shared" ca="1" si="7"/>
        <v>0.15822550831792959</v>
      </c>
      <c r="S88" vm="13336">
        <f ca="1"/>
        <v>16.244499999999999</v>
      </c>
      <c r="T88" s="9">
        <f t="shared" ca="1" si="8"/>
        <v>8.2281221892801293E-2</v>
      </c>
      <c r="U88" vm="9682">
        <f ca="1"/>
        <v>134.85</v>
      </c>
      <c r="V88" s="9">
        <f t="shared" ca="1" si="9"/>
        <v>1.0718033278369177E-2</v>
      </c>
      <c r="W88" vm="13337">
        <f ca="1"/>
        <v>411.92</v>
      </c>
      <c r="X88" s="9">
        <f t="shared" ca="1" si="10"/>
        <v>3.28986960882649E-2</v>
      </c>
      <c r="Y88" vm="13338">
        <f ca="1"/>
        <v>4204.1099999999997</v>
      </c>
      <c r="Z88" s="9">
        <f t="shared" ca="1" si="11"/>
        <v>5.4865025818131574E-3</v>
      </c>
      <c r="AA88" vm="18134">
        <f ca="1"/>
        <v>15.81</v>
      </c>
      <c r="AB88" vm="18134">
        <v>15.81</v>
      </c>
      <c r="AC88">
        <f t="shared" si="12"/>
        <v>1.581</v>
      </c>
      <c r="AD88" vm="18135">
        <f ca="1"/>
        <v>333.93</v>
      </c>
      <c r="AE88" s="9">
        <f t="shared" ca="1" si="13"/>
        <v>-1.2012189709754706E-2</v>
      </c>
    </row>
    <row r="89" spans="2:31" x14ac:dyDescent="0.35">
      <c r="B89" vm="13339">
        <f ca="1"/>
        <v>44348</v>
      </c>
      <c r="C89" vm="13582">
        <f ca="1"/>
        <v>122.0895</v>
      </c>
      <c r="D89" s="9">
        <f t="shared" ca="1" si="0"/>
        <v>3.603962916604786E-2</v>
      </c>
      <c r="E89" vm="13583">
        <f ca="1"/>
        <v>172.00800000000001</v>
      </c>
      <c r="F89" s="9">
        <f t="shared" ca="1" si="1"/>
        <v>6.7355037278123087E-2</v>
      </c>
      <c r="G89" vm="13584">
        <f ca="1"/>
        <v>81.02</v>
      </c>
      <c r="H89" s="9">
        <f t="shared" ca="1" si="2"/>
        <v>-1.3875365141187923E-2</v>
      </c>
      <c r="I89" vm="13574">
        <f ca="1"/>
        <v>802.6</v>
      </c>
      <c r="J89" s="9">
        <f t="shared" ca="1" si="3"/>
        <v>8.9423390161798233E-2</v>
      </c>
      <c r="K89" vm="13586">
        <f ca="1"/>
        <v>219.35</v>
      </c>
      <c r="L89" s="9">
        <f t="shared" ca="1" si="4"/>
        <v>-5.0062795028366081E-2</v>
      </c>
      <c r="M89" vm="13587">
        <f ca="1"/>
        <v>365.09</v>
      </c>
      <c r="N89" s="9">
        <f t="shared" ca="1" si="5"/>
        <v>1.2507626601586219E-2</v>
      </c>
      <c r="O89" vm="4218">
        <f ca="1"/>
        <v>73.28</v>
      </c>
      <c r="P89" s="9">
        <f t="shared" ca="1" si="6"/>
        <v>8.194482381862489E-4</v>
      </c>
      <c r="Q89" vm="13588">
        <f ca="1"/>
        <v>32.01</v>
      </c>
      <c r="R89" s="9">
        <f t="shared" ca="1" si="7"/>
        <v>2.1704436642195901E-2</v>
      </c>
      <c r="S89" vm="13589">
        <f ca="1"/>
        <v>20.002500000000001</v>
      </c>
      <c r="T89" s="9">
        <f t="shared" ca="1" si="8"/>
        <v>0.23133983809904901</v>
      </c>
      <c r="U89" vm="13590">
        <f ca="1"/>
        <v>134.93</v>
      </c>
      <c r="V89" s="9">
        <f t="shared" ca="1" si="9"/>
        <v>5.9325176121616252E-4</v>
      </c>
      <c r="W89" vm="13591">
        <f ca="1"/>
        <v>400.44</v>
      </c>
      <c r="X89" s="9">
        <f t="shared" ca="1" si="10"/>
        <v>-2.7869489221208021E-2</v>
      </c>
      <c r="Y89" vm="13592">
        <f ca="1"/>
        <v>4297.5</v>
      </c>
      <c r="Z89" s="9">
        <f t="shared" ca="1" si="11"/>
        <v>2.221397632316946E-2</v>
      </c>
      <c r="AA89" vm="18136">
        <f ca="1"/>
        <v>14.43</v>
      </c>
      <c r="AB89" vm="18136">
        <v>14.43</v>
      </c>
      <c r="AC89">
        <f t="shared" si="12"/>
        <v>1.4430000000000001</v>
      </c>
      <c r="AD89" vm="18137">
        <f ca="1"/>
        <v>354.43</v>
      </c>
      <c r="AE89" s="9">
        <f t="shared" ca="1" si="13"/>
        <v>6.1390111700056815E-2</v>
      </c>
    </row>
    <row r="90" spans="2:31" x14ac:dyDescent="0.35">
      <c r="B90" vm="13593">
        <f ca="1"/>
        <v>44378</v>
      </c>
      <c r="C90" vm="13830">
        <f ca="1"/>
        <v>134.72649999999999</v>
      </c>
      <c r="D90" s="9">
        <f t="shared" ca="1" si="0"/>
        <v>0.10350603450747187</v>
      </c>
      <c r="E90" vm="13831">
        <f ca="1"/>
        <v>166.37950000000001</v>
      </c>
      <c r="F90" s="9">
        <f t="shared" ca="1" si="1"/>
        <v>-3.2722315241151545E-2</v>
      </c>
      <c r="G90" vm="4853">
        <f ca="1"/>
        <v>80.88</v>
      </c>
      <c r="H90" s="9">
        <f t="shared" ca="1" si="2"/>
        <v>-1.727968402863489E-3</v>
      </c>
      <c r="I90" vm="13821">
        <f ca="1"/>
        <v>820.41</v>
      </c>
      <c r="J90" s="9">
        <f t="shared" ca="1" si="3"/>
        <v>2.2190381260901892E-2</v>
      </c>
      <c r="K90" vm="13833">
        <f ca="1"/>
        <v>233.79</v>
      </c>
      <c r="L90" s="9">
        <f t="shared" ca="1" si="4"/>
        <v>6.5830863916115812E-2</v>
      </c>
      <c r="M90" vm="13834">
        <f ca="1"/>
        <v>385.94</v>
      </c>
      <c r="N90" s="9">
        <f t="shared" ca="1" si="5"/>
        <v>5.7109205949217978E-2</v>
      </c>
      <c r="O90" vm="4637">
        <f ca="1"/>
        <v>77.900000000000006</v>
      </c>
      <c r="P90" s="9">
        <f t="shared" ca="1" si="6"/>
        <v>6.3045851528384267E-2</v>
      </c>
      <c r="Q90" vm="13835">
        <f ca="1"/>
        <v>28.83</v>
      </c>
      <c r="R90" s="9">
        <f t="shared" ca="1" si="7"/>
        <v>-9.9343955014058127E-2</v>
      </c>
      <c r="S90" vm="13836">
        <f ca="1"/>
        <v>19.498999999999999</v>
      </c>
      <c r="T90" s="9">
        <f t="shared" ca="1" si="8"/>
        <v>-2.5171853518310305E-2</v>
      </c>
      <c r="U90" vm="13837">
        <f ca="1"/>
        <v>142.22999999999999</v>
      </c>
      <c r="V90" s="9">
        <f t="shared" ca="1" si="9"/>
        <v>5.410212702882955E-2</v>
      </c>
      <c r="W90" vm="13838">
        <f ca="1"/>
        <v>412.22</v>
      </c>
      <c r="X90" s="9">
        <f t="shared" ca="1" si="10"/>
        <v>2.941764059534524E-2</v>
      </c>
      <c r="Y90" vm="13839">
        <f ca="1"/>
        <v>4395.26</v>
      </c>
      <c r="Z90" s="9">
        <f t="shared" ca="1" si="11"/>
        <v>2.274810936591054E-2</v>
      </c>
      <c r="AA90" vm="18138">
        <f ca="1"/>
        <v>12.39</v>
      </c>
      <c r="AB90" vm="18138">
        <v>12.39</v>
      </c>
      <c r="AC90">
        <f t="shared" si="12"/>
        <v>1.2390000000000001</v>
      </c>
      <c r="AD90" vm="18139">
        <f ca="1"/>
        <v>364.57</v>
      </c>
      <c r="AE90" s="9">
        <f t="shared" ca="1" si="13"/>
        <v>2.8609316367124604E-2</v>
      </c>
    </row>
    <row r="91" spans="2:31" x14ac:dyDescent="0.35">
      <c r="B91" vm="18140">
        <f ca="1"/>
        <v>44409</v>
      </c>
      <c r="C91" vm="14084">
        <f ca="1"/>
        <v>144.69749999999999</v>
      </c>
      <c r="D91" s="9">
        <f t="shared" ca="1" si="0"/>
        <v>7.4009196409021261E-2</v>
      </c>
      <c r="E91" vm="14085">
        <f ca="1"/>
        <v>173.5395</v>
      </c>
      <c r="F91" s="9">
        <f t="shared" ca="1" si="1"/>
        <v>4.3034147836722658E-2</v>
      </c>
      <c r="G91" vm="14086">
        <f ca="1"/>
        <v>95.96</v>
      </c>
      <c r="H91" s="9">
        <f t="shared" ca="1" si="2"/>
        <v>0.18644906033630071</v>
      </c>
      <c r="I91" vm="14075">
        <f ca="1"/>
        <v>843.45</v>
      </c>
      <c r="J91" s="9">
        <f t="shared" ca="1" si="3"/>
        <v>2.8083519216001829E-2</v>
      </c>
      <c r="K91" vm="14088">
        <f ca="1"/>
        <v>231.91</v>
      </c>
      <c r="L91" s="9">
        <f t="shared" ca="1" si="4"/>
        <v>-8.0414046794131666E-3</v>
      </c>
      <c r="M91" vm="14089">
        <f ca="1"/>
        <v>346.23</v>
      </c>
      <c r="N91" s="9">
        <f t="shared" ca="1" si="5"/>
        <v>-0.10289164118774929</v>
      </c>
      <c r="O91" vm="14090">
        <f ca="1"/>
        <v>83.99</v>
      </c>
      <c r="P91" s="9">
        <f t="shared" ca="1" si="6"/>
        <v>7.8177150192554334E-2</v>
      </c>
      <c r="Q91" vm="14091">
        <f ca="1"/>
        <v>28.04</v>
      </c>
      <c r="R91" s="9">
        <f t="shared" ca="1" si="7"/>
        <v>-2.7402011793270842E-2</v>
      </c>
      <c r="S91" vm="14092">
        <f ca="1"/>
        <v>22.385000000000002</v>
      </c>
      <c r="T91" s="9">
        <f t="shared" ca="1" si="8"/>
        <v>0.14800759013282749</v>
      </c>
      <c r="U91" vm="14093">
        <f ca="1"/>
        <v>142.38999999999999</v>
      </c>
      <c r="V91" s="9">
        <f t="shared" ca="1" si="9"/>
        <v>1.1249384799267848E-3</v>
      </c>
      <c r="W91" vm="14094">
        <f ca="1"/>
        <v>416.27</v>
      </c>
      <c r="X91" s="9">
        <f t="shared" ca="1" si="10"/>
        <v>9.8248508078209174E-3</v>
      </c>
      <c r="Y91" vm="14095">
        <f ca="1"/>
        <v>4522.68</v>
      </c>
      <c r="Z91" s="9">
        <f t="shared" ca="1" si="11"/>
        <v>2.8990321391681118E-2</v>
      </c>
      <c r="AA91" vm="18141">
        <f ca="1"/>
        <v>13.04</v>
      </c>
      <c r="AB91" vm="18141">
        <v>13.04</v>
      </c>
      <c r="AC91">
        <f t="shared" si="12"/>
        <v>1.3039999999999998</v>
      </c>
      <c r="AD91" vm="18142">
        <f ca="1"/>
        <v>379.95</v>
      </c>
      <c r="AE91" s="9">
        <f t="shared" ca="1" si="13"/>
        <v>4.218668568450501E-2</v>
      </c>
    </row>
    <row r="92" spans="2:31" x14ac:dyDescent="0.35">
      <c r="B92" vm="14096">
        <f ca="1"/>
        <v>44440</v>
      </c>
      <c r="C92" vm="14322">
        <f ca="1"/>
        <v>133.67599999999999</v>
      </c>
      <c r="D92" s="9">
        <f t="shared" ca="1" si="0"/>
        <v>-7.6169249641493519E-2</v>
      </c>
      <c r="E92" vm="14323">
        <f ca="1"/>
        <v>164.25200000000001</v>
      </c>
      <c r="F92" s="9">
        <f t="shared" ca="1" si="1"/>
        <v>-5.3518075135631893E-2</v>
      </c>
      <c r="G92" vm="826">
        <f ca="1"/>
        <v>89.97</v>
      </c>
      <c r="H92" s="9">
        <f t="shared" ca="1" si="2"/>
        <v>-6.2421842434347563E-2</v>
      </c>
      <c r="I92" vm="14312">
        <f ca="1"/>
        <v>790.13</v>
      </c>
      <c r="J92" s="9">
        <f t="shared" ca="1" si="3"/>
        <v>-6.3216551070010119E-2</v>
      </c>
      <c r="K92" vm="14325">
        <f ca="1"/>
        <v>212.28</v>
      </c>
      <c r="L92" s="9">
        <f t="shared" ca="1" si="4"/>
        <v>-8.4644905351213828E-2</v>
      </c>
      <c r="M92" vm="14326">
        <f ca="1"/>
        <v>347.68</v>
      </c>
      <c r="N92" s="9">
        <f t="shared" ca="1" si="5"/>
        <v>4.187967536031012E-3</v>
      </c>
      <c r="O92" vm="3607">
        <f ca="1"/>
        <v>78.52</v>
      </c>
      <c r="P92" s="9">
        <f t="shared" ca="1" si="6"/>
        <v>-6.5126800809620189E-2</v>
      </c>
      <c r="Q92" vm="13824">
        <f ca="1"/>
        <v>29.64</v>
      </c>
      <c r="R92" s="9">
        <f t="shared" ca="1" si="7"/>
        <v>5.7061340941512162E-2</v>
      </c>
      <c r="S92" vm="14327">
        <f ca="1"/>
        <v>20.716000000000001</v>
      </c>
      <c r="T92" s="9">
        <f t="shared" ca="1" si="8"/>
        <v>-7.4558856377038185E-2</v>
      </c>
      <c r="U92" vm="14328">
        <f ca="1"/>
        <v>139.80000000000001</v>
      </c>
      <c r="V92" s="9">
        <f t="shared" ca="1" si="9"/>
        <v>-1.8189479598286207E-2</v>
      </c>
      <c r="W92" vm="14329">
        <f ca="1"/>
        <v>390.74</v>
      </c>
      <c r="X92" s="9">
        <f t="shared" ca="1" si="10"/>
        <v>-6.1330386527974623E-2</v>
      </c>
      <c r="Y92" vm="14330">
        <f ca="1"/>
        <v>4307.54</v>
      </c>
      <c r="Z92" s="9">
        <f t="shared" ca="1" si="11"/>
        <v>-4.7569140421166334E-2</v>
      </c>
      <c r="AA92" vm="18143">
        <f ca="1"/>
        <v>15.29</v>
      </c>
      <c r="AB92" vm="18143">
        <v>15.29</v>
      </c>
      <c r="AC92">
        <f t="shared" si="12"/>
        <v>1.5289999999999999</v>
      </c>
      <c r="AD92" vm="18144">
        <f ca="1"/>
        <v>357.96</v>
      </c>
      <c r="AE92" s="9">
        <f t="shared" ca="1" si="13"/>
        <v>-5.787603632056848E-2</v>
      </c>
    </row>
    <row r="93" spans="2:31" x14ac:dyDescent="0.35">
      <c r="B93" vm="14331">
        <f ca="1"/>
        <v>44470</v>
      </c>
      <c r="C93" vm="14560">
        <f ca="1"/>
        <v>148.04599999999999</v>
      </c>
      <c r="D93" s="9">
        <f t="shared" ca="1" si="0"/>
        <v>0.10749872826835039</v>
      </c>
      <c r="E93" vm="14561">
        <f ca="1"/>
        <v>168.6215</v>
      </c>
      <c r="F93" s="9">
        <f t="shared" ca="1" si="1"/>
        <v>2.6602415800111912E-2</v>
      </c>
      <c r="G93" vm="14562">
        <f ca="1"/>
        <v>91.48</v>
      </c>
      <c r="H93" s="9">
        <f t="shared" ca="1" si="2"/>
        <v>1.6783372235189553E-2</v>
      </c>
      <c r="I93" vm="14551">
        <f ca="1"/>
        <v>837.07</v>
      </c>
      <c r="J93" s="9">
        <f t="shared" ca="1" si="3"/>
        <v>5.9407945527951256E-2</v>
      </c>
      <c r="K93" vm="14564">
        <f ca="1"/>
        <v>218.62</v>
      </c>
      <c r="L93" s="9">
        <f t="shared" ca="1" si="4"/>
        <v>2.9866214433766691E-2</v>
      </c>
      <c r="M93" vm="14565">
        <f ca="1"/>
        <v>335.52</v>
      </c>
      <c r="N93" s="9">
        <f t="shared" ca="1" si="5"/>
        <v>-3.4974689369535295E-2</v>
      </c>
      <c r="O93" vm="110">
        <f ca="1"/>
        <v>85.33</v>
      </c>
      <c r="P93" s="9">
        <f t="shared" ca="1" si="6"/>
        <v>8.6729495669892964E-2</v>
      </c>
      <c r="Q93" vm="8103">
        <f ca="1"/>
        <v>32.26</v>
      </c>
      <c r="R93" s="9">
        <f t="shared" ca="1" si="7"/>
        <v>8.8394062078272606E-2</v>
      </c>
      <c r="S93" vm="14566">
        <f ca="1"/>
        <v>25.567</v>
      </c>
      <c r="T93" s="9">
        <f t="shared" ca="1" si="8"/>
        <v>0.23416682757289053</v>
      </c>
      <c r="U93" vm="14567">
        <f ca="1"/>
        <v>142.99</v>
      </c>
      <c r="V93" s="9">
        <f t="shared" ca="1" si="9"/>
        <v>2.2818311874105879E-2</v>
      </c>
      <c r="W93" vm="14568">
        <f ca="1"/>
        <v>460.47</v>
      </c>
      <c r="X93" s="9">
        <f t="shared" ca="1" si="10"/>
        <v>0.17845626247632707</v>
      </c>
      <c r="Y93" vm="14569">
        <f ca="1"/>
        <v>4605.38</v>
      </c>
      <c r="Z93" s="9">
        <f t="shared" ca="1" si="11"/>
        <v>6.9143873301234615E-2</v>
      </c>
      <c r="AA93" vm="11410">
        <f ca="1"/>
        <v>15.57</v>
      </c>
      <c r="AB93" vm="11410">
        <v>15.57</v>
      </c>
      <c r="AC93">
        <f t="shared" si="12"/>
        <v>1.5569999999999999</v>
      </c>
      <c r="AD93" vm="18145">
        <f ca="1"/>
        <v>386.11</v>
      </c>
      <c r="AE93" s="9">
        <f t="shared" ca="1" si="13"/>
        <v>7.8640071516370647E-2</v>
      </c>
    </row>
    <row r="94" spans="2:31" x14ac:dyDescent="0.35">
      <c r="B94" vm="14570">
        <f ca="1"/>
        <v>44501</v>
      </c>
      <c r="C94" vm="14794">
        <f ca="1"/>
        <v>141.89750000000001</v>
      </c>
      <c r="D94" s="9">
        <f t="shared" ca="1" si="0"/>
        <v>-4.1531010631830512E-2</v>
      </c>
      <c r="E94" vm="14795">
        <f ca="1"/>
        <v>175.3535</v>
      </c>
      <c r="F94" s="9">
        <f t="shared" ca="1" si="1"/>
        <v>3.9923734517840259E-2</v>
      </c>
      <c r="G94" vm="7232">
        <f ca="1"/>
        <v>93.45</v>
      </c>
      <c r="H94" s="9">
        <f t="shared" ca="1" si="2"/>
        <v>2.1534761696545779E-2</v>
      </c>
      <c r="I94" vm="14785">
        <f ca="1"/>
        <v>812.2</v>
      </c>
      <c r="J94" s="9">
        <f t="shared" ca="1" si="3"/>
        <v>-2.9710776876485823E-2</v>
      </c>
      <c r="K94" vm="14797">
        <f ca="1"/>
        <v>202.24</v>
      </c>
      <c r="L94" s="9">
        <f t="shared" ca="1" si="4"/>
        <v>-7.4924526575793626E-2</v>
      </c>
      <c r="M94" vm="14798">
        <f ca="1"/>
        <v>314.92</v>
      </c>
      <c r="N94" s="9">
        <f t="shared" ca="1" si="5"/>
        <v>-6.1397234144015211E-2</v>
      </c>
      <c r="O94" vm="13279">
        <f ca="1"/>
        <v>86.78</v>
      </c>
      <c r="P94" s="9">
        <f t="shared" ca="1" si="6"/>
        <v>1.6992851283253341E-2</v>
      </c>
      <c r="Q94" vm="14799">
        <f ca="1"/>
        <v>28.68</v>
      </c>
      <c r="R94" s="9">
        <f t="shared" ca="1" si="7"/>
        <v>-0.11097334159950401</v>
      </c>
      <c r="S94" vm="14800">
        <f ca="1"/>
        <v>32.676000000000002</v>
      </c>
      <c r="T94" s="9">
        <f t="shared" ca="1" si="8"/>
        <v>0.27805374115070225</v>
      </c>
      <c r="U94" vm="14801">
        <f ca="1"/>
        <v>144.58000000000001</v>
      </c>
      <c r="V94" s="9">
        <f t="shared" ca="1" si="9"/>
        <v>1.1119658717392955E-2</v>
      </c>
      <c r="W94" vm="14802">
        <f ca="1"/>
        <v>444.22</v>
      </c>
      <c r="X94" s="9">
        <f t="shared" ca="1" si="10"/>
        <v>-3.5290029752209739E-2</v>
      </c>
      <c r="Y94" vm="14803">
        <f ca="1"/>
        <v>4567</v>
      </c>
      <c r="Z94" s="9">
        <f t="shared" ca="1" si="11"/>
        <v>-8.3337314184714906E-3</v>
      </c>
      <c r="AA94" vm="18136">
        <f ca="1"/>
        <v>14.43</v>
      </c>
      <c r="AB94" vm="18136">
        <v>14.43</v>
      </c>
      <c r="AC94">
        <f t="shared" si="12"/>
        <v>1.4430000000000001</v>
      </c>
      <c r="AD94" vm="18146">
        <f ca="1"/>
        <v>393.82</v>
      </c>
      <c r="AE94" s="9">
        <f t="shared" ca="1" si="13"/>
        <v>1.9968402786770589E-2</v>
      </c>
    </row>
    <row r="95" spans="2:31" x14ac:dyDescent="0.35">
      <c r="B95" vm="14804">
        <f ca="1"/>
        <v>44531</v>
      </c>
      <c r="C95" vm="15041">
        <f ca="1"/>
        <v>144.852</v>
      </c>
      <c r="D95" s="9">
        <f t="shared" ca="1" si="0"/>
        <v>2.0821367536425939E-2</v>
      </c>
      <c r="E95" vm="15042">
        <f ca="1"/>
        <v>166.71700000000001</v>
      </c>
      <c r="F95" s="9">
        <f t="shared" ca="1" si="1"/>
        <v>-4.9251939653328747E-2</v>
      </c>
      <c r="G95" vm="15043">
        <f ca="1"/>
        <v>96.27</v>
      </c>
      <c r="H95" s="9">
        <f t="shared" ca="1" si="2"/>
        <v>3.017656500802568E-2</v>
      </c>
      <c r="I95" vm="15033">
        <f ca="1"/>
        <v>845.84</v>
      </c>
      <c r="J95" s="9">
        <f t="shared" ca="1" si="3"/>
        <v>4.1418369859640425E-2</v>
      </c>
      <c r="K95" vm="15045">
        <f ca="1"/>
        <v>208.51</v>
      </c>
      <c r="L95" s="9">
        <f t="shared" ca="1" si="4"/>
        <v>3.1002768987341778E-2</v>
      </c>
      <c r="M95" vm="15046">
        <f ca="1"/>
        <v>359.32</v>
      </c>
      <c r="N95" s="9">
        <f t="shared" ca="1" si="5"/>
        <v>0.14098818747618425</v>
      </c>
      <c r="O95" vm="11969">
        <f ca="1"/>
        <v>93.36</v>
      </c>
      <c r="P95" s="9">
        <f t="shared" ca="1" si="6"/>
        <v>7.582392256280257E-2</v>
      </c>
      <c r="Q95" vm="12685">
        <f ca="1"/>
        <v>29.95</v>
      </c>
      <c r="R95" s="9">
        <f t="shared" ca="1" si="7"/>
        <v>4.4281729428172989E-2</v>
      </c>
      <c r="S95" vm="15047">
        <f ca="1"/>
        <v>29.411000000000001</v>
      </c>
      <c r="T95" s="9">
        <f t="shared" ca="1" si="8"/>
        <v>-9.9920430897294632E-2</v>
      </c>
      <c r="U95" vm="15048">
        <f ca="1"/>
        <v>163.58000000000001</v>
      </c>
      <c r="V95" s="9">
        <f t="shared" ca="1" si="9"/>
        <v>0.13141513349010925</v>
      </c>
      <c r="W95" vm="15049">
        <f ca="1"/>
        <v>502.14</v>
      </c>
      <c r="X95" s="9">
        <f t="shared" ca="1" si="10"/>
        <v>0.13038584485164995</v>
      </c>
      <c r="Y95" vm="15050">
        <f ca="1"/>
        <v>4766.18</v>
      </c>
      <c r="Z95" s="9">
        <f t="shared" ca="1" si="11"/>
        <v>4.3612874972629889E-2</v>
      </c>
      <c r="AA95" vm="18147">
        <f ca="1"/>
        <v>15.12</v>
      </c>
      <c r="AB95" vm="18147">
        <v>15.12</v>
      </c>
      <c r="AC95">
        <f t="shared" si="12"/>
        <v>1.512</v>
      </c>
      <c r="AD95" vm="18148">
        <f ca="1"/>
        <v>397.85</v>
      </c>
      <c r="AE95" s="9">
        <f t="shared" ca="1" si="13"/>
        <v>1.0233101416891044E-2</v>
      </c>
    </row>
    <row r="96" spans="2:31" x14ac:dyDescent="0.35">
      <c r="B96" vm="18149">
        <f ca="1"/>
        <v>44562</v>
      </c>
      <c r="C96" vm="15251">
        <f ca="1"/>
        <v>135.30350000000001</v>
      </c>
      <c r="D96" s="9">
        <f t="shared" ca="1" si="0"/>
        <v>-6.5919006986441264E-2</v>
      </c>
      <c r="E96" vm="15252">
        <f ca="1"/>
        <v>149.5735</v>
      </c>
      <c r="F96" s="9">
        <f t="shared" ca="1" si="1"/>
        <v>-0.10282994535650247</v>
      </c>
      <c r="G96" vm="15253">
        <f ca="1"/>
        <v>97.1</v>
      </c>
      <c r="H96" s="9">
        <f t="shared" ca="1" si="2"/>
        <v>8.6215851251687514E-3</v>
      </c>
      <c r="I96" vm="15243">
        <f ca="1"/>
        <v>724.9</v>
      </c>
      <c r="J96" s="9">
        <f t="shared" ca="1" si="3"/>
        <v>-0.14298212427882351</v>
      </c>
      <c r="K96" vm="15255">
        <f ca="1"/>
        <v>204.48</v>
      </c>
      <c r="L96" s="9">
        <f t="shared" ca="1" si="4"/>
        <v>-1.9327610186561817E-2</v>
      </c>
      <c r="M96" vm="15256">
        <f ca="1"/>
        <v>386.38</v>
      </c>
      <c r="N96" s="9">
        <f t="shared" ca="1" si="5"/>
        <v>7.5308916842925511E-2</v>
      </c>
      <c r="O96" vm="15257">
        <f ca="1"/>
        <v>78.12</v>
      </c>
      <c r="P96" s="9">
        <f t="shared" ca="1" si="6"/>
        <v>-0.16323907455012843</v>
      </c>
      <c r="Q96" vm="8970">
        <f ca="1"/>
        <v>39.07</v>
      </c>
      <c r="R96" s="9">
        <f t="shared" ca="1" si="7"/>
        <v>0.30450751252086805</v>
      </c>
      <c r="S96" vm="15258">
        <f ca="1"/>
        <v>24.486000000000001</v>
      </c>
      <c r="T96" s="9">
        <f t="shared" ca="1" si="8"/>
        <v>-0.16745435381319917</v>
      </c>
      <c r="U96" vm="15259">
        <f ca="1"/>
        <v>160.44999999999999</v>
      </c>
      <c r="V96" s="9">
        <f t="shared" ca="1" si="9"/>
        <v>-1.9134368504707289E-2</v>
      </c>
      <c r="W96" vm="15260">
        <f ca="1"/>
        <v>472.57</v>
      </c>
      <c r="X96" s="9">
        <f t="shared" ca="1" si="10"/>
        <v>-5.888795953319792E-2</v>
      </c>
      <c r="Y96" vm="15261">
        <f ca="1"/>
        <v>4515.55</v>
      </c>
      <c r="Z96" s="9">
        <f t="shared" ca="1" si="11"/>
        <v>-5.2585089106999772E-2</v>
      </c>
      <c r="AA96" vm="18150">
        <f ca="1"/>
        <v>17.82</v>
      </c>
      <c r="AB96" vm="18150">
        <v>17.82</v>
      </c>
      <c r="AC96">
        <f t="shared" si="12"/>
        <v>1.782</v>
      </c>
      <c r="AD96" vm="18151">
        <f ca="1"/>
        <v>363.05</v>
      </c>
      <c r="AE96" s="9">
        <f t="shared" ca="1" si="13"/>
        <v>-8.7470152067362084E-2</v>
      </c>
    </row>
    <row r="97" spans="2:31" x14ac:dyDescent="0.35">
      <c r="B97" vm="15262">
        <f ca="1"/>
        <v>44593</v>
      </c>
      <c r="C97" vm="15460">
        <f ca="1"/>
        <v>135.05699999999999</v>
      </c>
      <c r="D97" s="9">
        <f t="shared" ca="1" si="0"/>
        <v>-1.8218301817767291E-3</v>
      </c>
      <c r="E97" vm="15461">
        <f ca="1"/>
        <v>153.56299999999999</v>
      </c>
      <c r="F97" s="9">
        <f t="shared" ca="1" si="1"/>
        <v>2.667250549061162E-2</v>
      </c>
      <c r="G97" vm="14311">
        <f ca="1"/>
        <v>89.74</v>
      </c>
      <c r="H97" s="9">
        <f t="shared" ca="1" si="2"/>
        <v>-7.5798146240988684E-2</v>
      </c>
      <c r="I97" vm="12056">
        <f ca="1"/>
        <v>709.73</v>
      </c>
      <c r="J97" s="9">
        <f t="shared" ca="1" si="3"/>
        <v>-2.0927024417160878E-2</v>
      </c>
      <c r="K97" vm="15463">
        <f ca="1"/>
        <v>189.75</v>
      </c>
      <c r="L97" s="9">
        <f t="shared" ca="1" si="4"/>
        <v>-7.2036384976525758E-2</v>
      </c>
      <c r="M97" vm="15464">
        <f ca="1"/>
        <v>360.82</v>
      </c>
      <c r="N97" s="9">
        <f t="shared" ca="1" si="5"/>
        <v>-6.6152492365029292E-2</v>
      </c>
      <c r="O97" vm="3948">
        <f ca="1"/>
        <v>78.27</v>
      </c>
      <c r="P97" s="9">
        <f t="shared" ca="1" si="6"/>
        <v>1.9201228878646948E-3</v>
      </c>
      <c r="Q97" vm="15465">
        <f ca="1"/>
        <v>39.24</v>
      </c>
      <c r="R97" s="9">
        <f t="shared" ca="1" si="7"/>
        <v>4.3511645764013895E-3</v>
      </c>
      <c r="S97" vm="15466">
        <f ca="1"/>
        <v>24.385000000000002</v>
      </c>
      <c r="T97" s="9">
        <f t="shared" ca="1" si="8"/>
        <v>-4.1248060115984808E-3</v>
      </c>
      <c r="U97" vm="15467">
        <f ca="1"/>
        <v>155.88999999999999</v>
      </c>
      <c r="V97" s="9">
        <f t="shared" ca="1" si="9"/>
        <v>-2.8420068557182931E-2</v>
      </c>
      <c r="W97" vm="15468">
        <f ca="1"/>
        <v>475.87</v>
      </c>
      <c r="X97" s="9">
        <f t="shared" ca="1" si="10"/>
        <v>6.9830924519118653E-3</v>
      </c>
      <c r="Y97" vm="15469">
        <f ca="1"/>
        <v>4373.9399999999996</v>
      </c>
      <c r="Z97" s="9">
        <f t="shared" ca="1" si="11"/>
        <v>-3.1360520866782648E-2</v>
      </c>
      <c r="AA97" vm="10614">
        <f ca="1"/>
        <v>18.39</v>
      </c>
      <c r="AB97" vm="10614">
        <v>18.39</v>
      </c>
      <c r="AC97">
        <f t="shared" si="12"/>
        <v>1.839</v>
      </c>
      <c r="AD97" vm="18152">
        <f ca="1"/>
        <v>346.8</v>
      </c>
      <c r="AE97" s="9">
        <f t="shared" ca="1" si="13"/>
        <v>-4.4759674975898611E-2</v>
      </c>
    </row>
    <row r="98" spans="2:31" x14ac:dyDescent="0.35">
      <c r="B98" vm="15470">
        <f ca="1"/>
        <v>44621</v>
      </c>
      <c r="C98" vm="15720">
        <f ca="1"/>
        <v>139.0675</v>
      </c>
      <c r="D98" s="9">
        <f t="shared" ca="1" si="0"/>
        <v>2.9694869573587468E-2</v>
      </c>
      <c r="E98" vm="15721">
        <f ca="1"/>
        <v>162.9975</v>
      </c>
      <c r="F98" s="9">
        <f t="shared" ca="1" si="1"/>
        <v>6.1437325397394105E-2</v>
      </c>
      <c r="G98" vm="989">
        <f ca="1"/>
        <v>90</v>
      </c>
      <c r="H98" s="9">
        <f t="shared" ca="1" si="2"/>
        <v>2.8972587474929146E-3</v>
      </c>
      <c r="I98" vm="15711">
        <f ca="1"/>
        <v>741.62</v>
      </c>
      <c r="J98" s="9">
        <f t="shared" ca="1" si="3"/>
        <v>4.4932579995209387E-2</v>
      </c>
      <c r="K98" vm="15723">
        <f ca="1"/>
        <v>194.58</v>
      </c>
      <c r="L98" s="9">
        <f t="shared" ca="1" si="4"/>
        <v>2.5454545454545618E-2</v>
      </c>
      <c r="M98" vm="15724">
        <f ca="1"/>
        <v>357.38</v>
      </c>
      <c r="N98" s="9">
        <f t="shared" ca="1" si="5"/>
        <v>-9.5338395876060078E-3</v>
      </c>
      <c r="O98" vm="15725">
        <f ca="1"/>
        <v>84.71</v>
      </c>
      <c r="P98" s="9">
        <f t="shared" ca="1" si="6"/>
        <v>8.2279289638431008E-2</v>
      </c>
      <c r="Q98" vm="15726">
        <f ca="1"/>
        <v>41.31</v>
      </c>
      <c r="R98" s="9">
        <f t="shared" ca="1" si="7"/>
        <v>5.2752293577981613E-2</v>
      </c>
      <c r="S98" vm="15727">
        <f ca="1"/>
        <v>27.286000000000001</v>
      </c>
      <c r="T98" s="9">
        <f t="shared" ca="1" si="8"/>
        <v>0.11896657781423015</v>
      </c>
      <c r="U98" vm="15728">
        <f ca="1"/>
        <v>152.80000000000001</v>
      </c>
      <c r="V98" s="9">
        <f t="shared" ca="1" si="9"/>
        <v>-1.9821669125665409E-2</v>
      </c>
      <c r="W98" vm="15729">
        <f ca="1"/>
        <v>509.97</v>
      </c>
      <c r="X98" s="9">
        <f t="shared" ca="1" si="10"/>
        <v>7.1658225986088731E-2</v>
      </c>
      <c r="Y98" vm="15730">
        <f ca="1"/>
        <v>4530.41</v>
      </c>
      <c r="Z98" s="9">
        <f t="shared" ca="1" si="11"/>
        <v>3.5773238773280092E-2</v>
      </c>
      <c r="AA98" vm="18153">
        <f ca="1"/>
        <v>23.27</v>
      </c>
      <c r="AB98" vm="18153">
        <v>23.27</v>
      </c>
      <c r="AC98">
        <f t="shared" si="12"/>
        <v>2.327</v>
      </c>
      <c r="AD98" vm="18154">
        <f ca="1"/>
        <v>362.54</v>
      </c>
      <c r="AE98" s="9">
        <f t="shared" ca="1" si="13"/>
        <v>4.5386389850057718E-2</v>
      </c>
    </row>
    <row r="99" spans="2:31" x14ac:dyDescent="0.35">
      <c r="B99" vm="15731">
        <f ca="1"/>
        <v>44652</v>
      </c>
      <c r="C99" vm="15926">
        <f ca="1"/>
        <v>114.1095</v>
      </c>
      <c r="D99" s="9">
        <f t="shared" ca="1" si="0"/>
        <v>-0.17946680568788542</v>
      </c>
      <c r="E99" vm="15927">
        <f ca="1"/>
        <v>124.28149999999999</v>
      </c>
      <c r="F99" s="9">
        <f t="shared" ca="1" si="1"/>
        <v>-0.23752511541588062</v>
      </c>
      <c r="G99" vm="15928">
        <f ca="1"/>
        <v>81.16</v>
      </c>
      <c r="H99" s="9">
        <f t="shared" ca="1" si="2"/>
        <v>-9.8222222222222211E-2</v>
      </c>
      <c r="I99" vm="15918">
        <f ca="1"/>
        <v>719.08</v>
      </c>
      <c r="J99" s="9">
        <f t="shared" ca="1" si="3"/>
        <v>-3.0392923599687149E-2</v>
      </c>
      <c r="K99" vm="15930">
        <f ca="1"/>
        <v>193.51</v>
      </c>
      <c r="L99" s="9">
        <f t="shared" ca="1" si="4"/>
        <v>-5.4990235378765684E-3</v>
      </c>
      <c r="M99" vm="15931">
        <f ca="1"/>
        <v>363.38</v>
      </c>
      <c r="N99" s="9">
        <f t="shared" ca="1" si="5"/>
        <v>1.6788852202137772E-2</v>
      </c>
      <c r="O99" vm="1153">
        <f ca="1"/>
        <v>71.02</v>
      </c>
      <c r="P99" s="9">
        <f t="shared" ca="1" si="6"/>
        <v>-0.16161019950419075</v>
      </c>
      <c r="Q99" vm="2790">
        <f ca="1"/>
        <v>39.01</v>
      </c>
      <c r="R99" s="9">
        <f t="shared" ca="1" si="7"/>
        <v>-5.5676591624304161E-2</v>
      </c>
      <c r="S99" vm="15932">
        <f ca="1"/>
        <v>18.547000000000001</v>
      </c>
      <c r="T99" s="9">
        <f t="shared" ca="1" si="8"/>
        <v>-0.3202741332551492</v>
      </c>
      <c r="U99" vm="15933">
        <f ca="1"/>
        <v>160.55000000000001</v>
      </c>
      <c r="V99" s="9">
        <f t="shared" ca="1" si="9"/>
        <v>5.0719895287958172E-2</v>
      </c>
      <c r="W99" vm="15934">
        <f ca="1"/>
        <v>508.55</v>
      </c>
      <c r="X99" s="9">
        <f t="shared" ca="1" si="10"/>
        <v>-2.7844775182853665E-3</v>
      </c>
      <c r="Y99" vm="15935">
        <f ca="1"/>
        <v>4131.93</v>
      </c>
      <c r="Z99" s="9">
        <f t="shared" ca="1" si="11"/>
        <v>-8.7956719149039353E-2</v>
      </c>
      <c r="AA99" vm="18155">
        <f ca="1"/>
        <v>28.87</v>
      </c>
      <c r="AB99" vm="18155">
        <v>28.87</v>
      </c>
      <c r="AC99">
        <f t="shared" si="12"/>
        <v>2.887</v>
      </c>
      <c r="AD99" vm="18156">
        <f ca="1"/>
        <v>313.25</v>
      </c>
      <c r="AE99" s="9">
        <f t="shared" ca="1" si="13"/>
        <v>-0.13595741159596186</v>
      </c>
    </row>
    <row r="100" spans="2:31" x14ac:dyDescent="0.35">
      <c r="B100" vm="18157">
        <f ca="1"/>
        <v>44682</v>
      </c>
      <c r="C100" vm="16157">
        <f ca="1"/>
        <v>113.762</v>
      </c>
      <c r="D100" s="9">
        <f t="shared" ca="1" si="0"/>
        <v>-3.0453205035513298E-3</v>
      </c>
      <c r="E100" vm="16158">
        <f ca="1"/>
        <v>120.20950000000001</v>
      </c>
      <c r="F100" s="9">
        <f t="shared" ca="1" si="1"/>
        <v>-3.2764329365191025E-2</v>
      </c>
      <c r="G100" vm="16159">
        <f ca="1"/>
        <v>70.89</v>
      </c>
      <c r="H100" s="9">
        <f t="shared" ca="1" si="2"/>
        <v>-0.12654016757023157</v>
      </c>
      <c r="I100" vm="16148">
        <f ca="1"/>
        <v>687.09</v>
      </c>
      <c r="J100" s="9">
        <f t="shared" ca="1" si="3"/>
        <v>-4.4487400567391644E-2</v>
      </c>
      <c r="K100" vm="15767">
        <f ca="1"/>
        <v>193.62</v>
      </c>
      <c r="L100" s="9">
        <f t="shared" ca="1" si="4"/>
        <v>5.6844607513828471E-4</v>
      </c>
      <c r="M100" vm="16161">
        <f ca="1"/>
        <v>357.87</v>
      </c>
      <c r="N100" s="9">
        <f t="shared" ca="1" si="5"/>
        <v>-1.5163190048984476E-2</v>
      </c>
      <c r="O100" vm="13131">
        <f ca="1"/>
        <v>75.69</v>
      </c>
      <c r="P100" s="9">
        <f t="shared" ca="1" si="6"/>
        <v>6.5756125035201451E-2</v>
      </c>
      <c r="Q100" vm="16162">
        <f ca="1"/>
        <v>45.96</v>
      </c>
      <c r="R100" s="9">
        <f t="shared" ca="1" si="7"/>
        <v>0.17815944629582159</v>
      </c>
      <c r="S100" vm="16163">
        <f ca="1"/>
        <v>18.672000000000001</v>
      </c>
      <c r="T100" s="9">
        <f t="shared" ca="1" si="8"/>
        <v>6.7396344422279153E-3</v>
      </c>
      <c r="U100" vm="16164">
        <f ca="1"/>
        <v>147.88</v>
      </c>
      <c r="V100" s="9">
        <f t="shared" ca="1" si="9"/>
        <v>-7.8916225474930046E-2</v>
      </c>
      <c r="W100" vm="16165">
        <f ca="1"/>
        <v>496.78</v>
      </c>
      <c r="X100" s="9">
        <f t="shared" ca="1" si="10"/>
        <v>-2.3144233605348563E-2</v>
      </c>
      <c r="Y100" vm="16166">
        <f ca="1"/>
        <v>4132.1499999999996</v>
      </c>
      <c r="Z100" s="9">
        <f t="shared" ca="1" si="11"/>
        <v>5.3243883608722342E-5</v>
      </c>
      <c r="AA100" vm="18158">
        <f ca="1"/>
        <v>28.44</v>
      </c>
      <c r="AB100" vm="18158">
        <v>28.44</v>
      </c>
      <c r="AC100">
        <f t="shared" si="12"/>
        <v>2.8440000000000003</v>
      </c>
      <c r="AD100" vm="18159">
        <f ca="1"/>
        <v>308.27999999999997</v>
      </c>
      <c r="AE100" s="9">
        <f t="shared" ca="1" si="13"/>
        <v>-1.5865921787709625E-2</v>
      </c>
    </row>
    <row r="101" spans="2:31" x14ac:dyDescent="0.35">
      <c r="B101" vm="16167">
        <f ca="1"/>
        <v>44713</v>
      </c>
      <c r="C101" vm="16381">
        <f ca="1"/>
        <v>108.96299999999999</v>
      </c>
      <c r="D101" s="9">
        <f t="shared" ref="D101:D107" ca="1" si="14">(C101/C100)-1</f>
        <v>-4.218456074963528E-2</v>
      </c>
      <c r="E101" vm="16382">
        <f ca="1"/>
        <v>106.21</v>
      </c>
      <c r="F101" s="9">
        <f t="shared" ref="F101:F107" ca="1" si="15">(E101/E100)-1</f>
        <v>-0.11645918167865277</v>
      </c>
      <c r="G101" vm="16383">
        <f ca="1"/>
        <v>68.77</v>
      </c>
      <c r="H101" s="9">
        <f t="shared" ref="H101:H107" ca="1" si="16">(G101/G100)-1</f>
        <v>-2.9905487374806139E-2</v>
      </c>
      <c r="I101" vm="16372">
        <f ca="1"/>
        <v>657.02</v>
      </c>
      <c r="J101" s="9">
        <f t="shared" ref="J101:J107" ca="1" si="17">(I101/I100)-1</f>
        <v>-4.3764281244087488E-2</v>
      </c>
      <c r="K101" vm="16385">
        <f ca="1"/>
        <v>173.81</v>
      </c>
      <c r="L101" s="9">
        <f t="shared" ref="L101:L107" ca="1" si="18">(K101/K100)-1</f>
        <v>-0.1023138105567607</v>
      </c>
      <c r="M101" vm="16386">
        <f ca="1"/>
        <v>315.48</v>
      </c>
      <c r="N101" s="9">
        <f t="shared" ref="N101:N107" ca="1" si="19">(M101/M100)-1</f>
        <v>-0.11845083410176871</v>
      </c>
      <c r="O101" vm="7923">
        <f ca="1"/>
        <v>77.459999999999994</v>
      </c>
      <c r="P101" s="9">
        <f t="shared" ref="P101:P107" ca="1" si="20">(O101/O100)-1</f>
        <v>2.3384859294490523E-2</v>
      </c>
      <c r="Q101" vm="4619">
        <f ca="1"/>
        <v>35.76</v>
      </c>
      <c r="R101" s="9">
        <f t="shared" ref="R101:R107" ca="1" si="21">(Q101/Q100)-1</f>
        <v>-0.22193211488250664</v>
      </c>
      <c r="S101" vm="16387">
        <f ca="1"/>
        <v>15.159000000000001</v>
      </c>
      <c r="T101" s="9">
        <f t="shared" ref="T101:T107" ca="1" si="22">(S101/S100)-1</f>
        <v>-0.18814267352185088</v>
      </c>
      <c r="U101" vm="16388">
        <f ca="1"/>
        <v>143.79</v>
      </c>
      <c r="V101" s="9">
        <f t="shared" ref="V101:V107" ca="1" si="23">(U101/U100)-1</f>
        <v>-2.765756018393295E-2</v>
      </c>
      <c r="W101" vm="16389">
        <f ca="1"/>
        <v>513.63</v>
      </c>
      <c r="X101" s="9">
        <f t="shared" ref="X101:X107" ca="1" si="24">(W101/W100)-1</f>
        <v>3.3918434719594215E-2</v>
      </c>
      <c r="Y101" vm="16390">
        <f ca="1"/>
        <v>3785.38</v>
      </c>
      <c r="Z101" s="9">
        <f t="shared" ref="Z101:Z107" ca="1" si="25">(Y101/Y100)-1</f>
        <v>-8.3919993223866451E-2</v>
      </c>
      <c r="AA101" vm="18160">
        <f ca="1"/>
        <v>29.72</v>
      </c>
      <c r="AB101" vm="18160">
        <v>29.72</v>
      </c>
      <c r="AC101">
        <f t="shared" ref="AC101:AC107" si="26">AB101/10</f>
        <v>2.972</v>
      </c>
      <c r="AD101" vm="18161">
        <f ca="1"/>
        <v>280.27999999999997</v>
      </c>
      <c r="AE101" s="9">
        <f t="shared" ref="AE101:AE107" ca="1" si="27">(AD101/AD100)-1</f>
        <v>-9.0826521344232525E-2</v>
      </c>
    </row>
    <row r="102" spans="2:31" x14ac:dyDescent="0.35">
      <c r="B102" vm="16391">
        <f ca="1"/>
        <v>44743</v>
      </c>
      <c r="C102" vm="1024">
        <f ca="1"/>
        <v>116.32</v>
      </c>
      <c r="D102" s="9">
        <f t="shared" ca="1" si="14"/>
        <v>6.7518331910832119E-2</v>
      </c>
      <c r="E102" vm="16594">
        <f ca="1"/>
        <v>134.94999999999999</v>
      </c>
      <c r="F102" s="9">
        <f t="shared" ca="1" si="15"/>
        <v>0.27059598907824123</v>
      </c>
      <c r="G102" vm="16595">
        <f ca="1"/>
        <v>73.42</v>
      </c>
      <c r="H102" s="9">
        <f t="shared" ca="1" si="16"/>
        <v>6.7616693325578181E-2</v>
      </c>
      <c r="I102" vm="16586">
        <f ca="1"/>
        <v>703.74</v>
      </c>
      <c r="J102" s="9">
        <f t="shared" ca="1" si="17"/>
        <v>7.1108946455206823E-2</v>
      </c>
      <c r="K102" vm="16596">
        <f ca="1"/>
        <v>192.46</v>
      </c>
      <c r="L102" s="9">
        <f t="shared" ca="1" si="18"/>
        <v>0.10730107588746329</v>
      </c>
      <c r="M102" vm="6135">
        <f ca="1"/>
        <v>353.79</v>
      </c>
      <c r="N102" s="9">
        <f t="shared" ca="1" si="19"/>
        <v>0.12143400532521875</v>
      </c>
      <c r="O102" vm="16597">
        <f ca="1"/>
        <v>84.49</v>
      </c>
      <c r="P102" s="9">
        <f t="shared" ca="1" si="20"/>
        <v>9.0756519493932375E-2</v>
      </c>
      <c r="Q102" vm="16598">
        <f ca="1"/>
        <v>37.03</v>
      </c>
      <c r="R102" s="9">
        <f t="shared" ca="1" si="21"/>
        <v>3.551454138702459E-2</v>
      </c>
      <c r="S102" vm="16599">
        <f ca="1"/>
        <v>18.163</v>
      </c>
      <c r="T102" s="9">
        <f t="shared" ca="1" si="22"/>
        <v>0.19816610594366368</v>
      </c>
      <c r="U102" vm="16600">
        <f ca="1"/>
        <v>138.91</v>
      </c>
      <c r="V102" s="9">
        <f t="shared" ca="1" si="23"/>
        <v>-3.3938382363168484E-2</v>
      </c>
      <c r="W102" vm="16601">
        <f ca="1"/>
        <v>542.34</v>
      </c>
      <c r="X102" s="9">
        <f t="shared" ca="1" si="24"/>
        <v>5.5896267741370353E-2</v>
      </c>
      <c r="Y102" vm="16602">
        <f ca="1"/>
        <v>4130.29</v>
      </c>
      <c r="Z102" s="9">
        <f t="shared" ca="1" si="25"/>
        <v>9.1116347632205885E-2</v>
      </c>
      <c r="AA102" vm="18162">
        <f ca="1"/>
        <v>26.42</v>
      </c>
      <c r="AB102" vm="18162">
        <v>26.42</v>
      </c>
      <c r="AC102">
        <f t="shared" si="26"/>
        <v>2.6420000000000003</v>
      </c>
      <c r="AD102" vm="18163">
        <f ca="1"/>
        <v>315.45999999999998</v>
      </c>
      <c r="AE102" s="9">
        <f t="shared" ca="1" si="27"/>
        <v>0.12551733980305402</v>
      </c>
    </row>
    <row r="103" spans="2:31" x14ac:dyDescent="0.35">
      <c r="B103" vm="16603">
        <f ca="1"/>
        <v>44774</v>
      </c>
      <c r="C103" vm="16844">
        <f ca="1"/>
        <v>108.22</v>
      </c>
      <c r="D103" s="9">
        <f t="shared" ca="1" si="14"/>
        <v>-6.9635488308115501E-2</v>
      </c>
      <c r="E103" vm="16845">
        <f ca="1"/>
        <v>126.77</v>
      </c>
      <c r="F103" s="9">
        <f t="shared" ca="1" si="15"/>
        <v>-6.0615042608373471E-2</v>
      </c>
      <c r="G103" vm="16846">
        <f ca="1"/>
        <v>55.81</v>
      </c>
      <c r="H103" s="9">
        <f t="shared" ca="1" si="16"/>
        <v>-0.23985290111686186</v>
      </c>
      <c r="I103" vm="16834">
        <f ca="1"/>
        <v>657.37</v>
      </c>
      <c r="J103" s="9">
        <f t="shared" ca="1" si="17"/>
        <v>-6.5890811947594274E-2</v>
      </c>
      <c r="K103" vm="16848">
        <f ca="1"/>
        <v>189.35</v>
      </c>
      <c r="L103" s="9">
        <f t="shared" ca="1" si="18"/>
        <v>-1.6159201912085752E-2</v>
      </c>
      <c r="M103" vm="16849">
        <f ca="1"/>
        <v>324.37</v>
      </c>
      <c r="N103" s="9">
        <f t="shared" ca="1" si="19"/>
        <v>-8.3156674863619662E-2</v>
      </c>
      <c r="O103" vm="48">
        <f ca="1"/>
        <v>85.06</v>
      </c>
      <c r="P103" s="9">
        <f t="shared" ca="1" si="20"/>
        <v>6.7463605160373863E-3</v>
      </c>
      <c r="Q103" vm="4236">
        <f ca="1"/>
        <v>38.15</v>
      </c>
      <c r="R103" s="9">
        <f t="shared" ca="1" si="21"/>
        <v>3.02457466918713E-2</v>
      </c>
      <c r="S103" vm="16850">
        <f ca="1"/>
        <v>15.093999999999999</v>
      </c>
      <c r="T103" s="9">
        <f t="shared" ca="1" si="22"/>
        <v>-0.16896988382976386</v>
      </c>
      <c r="U103" vm="9940">
        <f ca="1"/>
        <v>137.94</v>
      </c>
      <c r="V103" s="9">
        <f t="shared" ca="1" si="23"/>
        <v>-6.9829385933337651E-3</v>
      </c>
      <c r="W103" vm="16851">
        <f ca="1"/>
        <v>519.33000000000004</v>
      </c>
      <c r="X103" s="9">
        <f t="shared" ca="1" si="24"/>
        <v>-4.24272596526164E-2</v>
      </c>
      <c r="Y103" vm="16852">
        <f ca="1"/>
        <v>3955</v>
      </c>
      <c r="Z103" s="9">
        <f t="shared" ca="1" si="25"/>
        <v>-4.2440119216810457E-2</v>
      </c>
      <c r="AA103" vm="13335">
        <f ca="1"/>
        <v>31.33</v>
      </c>
      <c r="AB103" vm="13335">
        <v>31.33</v>
      </c>
      <c r="AC103">
        <f t="shared" si="26"/>
        <v>3.133</v>
      </c>
      <c r="AD103" vm="18164">
        <f ca="1"/>
        <v>299.27</v>
      </c>
      <c r="AE103" s="9">
        <f t="shared" ca="1" si="27"/>
        <v>-5.1321879160590833E-2</v>
      </c>
    </row>
    <row r="104" spans="2:31" x14ac:dyDescent="0.35">
      <c r="B104" vm="16853">
        <f ca="1"/>
        <v>44805</v>
      </c>
      <c r="C104" vm="17058">
        <f ca="1"/>
        <v>95.65</v>
      </c>
      <c r="D104" s="9">
        <f t="shared" ca="1" si="14"/>
        <v>-0.11615228238772868</v>
      </c>
      <c r="E104" vm="17059">
        <f ca="1"/>
        <v>113</v>
      </c>
      <c r="F104" s="9">
        <f t="shared" ca="1" si="15"/>
        <v>-0.10862191370197993</v>
      </c>
      <c r="G104" vm="17060">
        <f ca="1"/>
        <v>48.32</v>
      </c>
      <c r="H104" s="9">
        <f t="shared" ca="1" si="16"/>
        <v>-0.13420533954488445</v>
      </c>
      <c r="I104" vm="17052">
        <f ca="1"/>
        <v>568.84</v>
      </c>
      <c r="J104" s="9">
        <f t="shared" ca="1" si="17"/>
        <v>-0.13467301519692099</v>
      </c>
      <c r="K104" vm="17062">
        <f ca="1"/>
        <v>166.97</v>
      </c>
      <c r="L104" s="9">
        <f t="shared" ca="1" si="18"/>
        <v>-0.11819382096646425</v>
      </c>
      <c r="M104" vm="17063">
        <f ca="1"/>
        <v>284.33999999999997</v>
      </c>
      <c r="N104" s="9">
        <f t="shared" ca="1" si="19"/>
        <v>-0.12340845330949235</v>
      </c>
      <c r="O104" vm="17064">
        <f ca="1"/>
        <v>78.41</v>
      </c>
      <c r="P104" s="9">
        <f t="shared" ca="1" si="20"/>
        <v>-7.8180108158946715E-2</v>
      </c>
      <c r="Q104" vm="13405">
        <f ca="1"/>
        <v>35.9</v>
      </c>
      <c r="R104" s="9">
        <f t="shared" ca="1" si="21"/>
        <v>-5.8977719528178207E-2</v>
      </c>
      <c r="S104" vm="17065">
        <f ca="1"/>
        <v>12.138999999999999</v>
      </c>
      <c r="T104" s="9">
        <f t="shared" ca="1" si="22"/>
        <v>-0.19577315489598512</v>
      </c>
      <c r="U104" vm="17066">
        <f ca="1"/>
        <v>126.25</v>
      </c>
      <c r="V104" s="9">
        <f t="shared" ca="1" si="23"/>
        <v>-8.4746991445555975E-2</v>
      </c>
      <c r="W104" vm="17067">
        <f ca="1"/>
        <v>505.04</v>
      </c>
      <c r="X104" s="9">
        <f t="shared" ca="1" si="24"/>
        <v>-2.7516222825563763E-2</v>
      </c>
      <c r="Y104" vm="17056">
        <f ca="1"/>
        <v>3585.62</v>
      </c>
      <c r="Z104" s="9">
        <f t="shared" ca="1" si="25"/>
        <v>-9.3395701643489315E-2</v>
      </c>
      <c r="AA104" vm="15996">
        <f ca="1"/>
        <v>38.04</v>
      </c>
      <c r="AB104" vm="15996">
        <v>38.04</v>
      </c>
      <c r="AC104">
        <f t="shared" si="26"/>
        <v>3.8039999999999998</v>
      </c>
      <c r="AD104" vm="18165">
        <f ca="1"/>
        <v>267.26</v>
      </c>
      <c r="AE104" s="9">
        <f t="shared" ca="1" si="27"/>
        <v>-0.10696026999030972</v>
      </c>
    </row>
    <row r="105" spans="2:31" x14ac:dyDescent="0.35">
      <c r="B105" vm="18166">
        <f ca="1"/>
        <v>44835</v>
      </c>
      <c r="C105" vm="5879">
        <f ca="1"/>
        <v>94.51</v>
      </c>
      <c r="D105" s="9">
        <f t="shared" ca="1" si="14"/>
        <v>-1.1918452692106674E-2</v>
      </c>
      <c r="E105" vm="6719">
        <f ca="1"/>
        <v>102.44</v>
      </c>
      <c r="F105" s="9">
        <f t="shared" ca="1" si="15"/>
        <v>-9.3451327433628384E-2</v>
      </c>
      <c r="G105" vm="2439">
        <f ca="1"/>
        <v>49.39</v>
      </c>
      <c r="H105" s="9">
        <f t="shared" ca="1" si="16"/>
        <v>2.2144039735099375E-2</v>
      </c>
      <c r="I105" vm="17285">
        <f ca="1"/>
        <v>566.44000000000005</v>
      </c>
      <c r="J105" s="9">
        <f t="shared" ca="1" si="17"/>
        <v>-4.2191125799873053E-3</v>
      </c>
      <c r="K105" vm="6342">
        <f ca="1"/>
        <v>204.02</v>
      </c>
      <c r="L105" s="9">
        <f t="shared" ca="1" si="18"/>
        <v>0.22189614900880406</v>
      </c>
      <c r="M105" vm="17295">
        <f ca="1"/>
        <v>328.18</v>
      </c>
      <c r="N105" s="9">
        <f t="shared" ca="1" si="19"/>
        <v>0.15418161356122972</v>
      </c>
      <c r="O105" vm="17296">
        <f ca="1"/>
        <v>77.5</v>
      </c>
      <c r="P105" s="9">
        <f t="shared" ca="1" si="20"/>
        <v>-1.1605662543042961E-2</v>
      </c>
      <c r="Q105" vm="6362">
        <f ca="1"/>
        <v>52.03</v>
      </c>
      <c r="R105" s="9">
        <f t="shared" ca="1" si="21"/>
        <v>0.44930362116991662</v>
      </c>
      <c r="S105" vm="17297">
        <f ca="1"/>
        <v>13.497</v>
      </c>
      <c r="T105" s="9">
        <f t="shared" ca="1" si="22"/>
        <v>0.11187082955762429</v>
      </c>
      <c r="U105" vm="17298">
        <f ca="1"/>
        <v>134.66999999999999</v>
      </c>
      <c r="V105" s="9">
        <f t="shared" ca="1" si="23"/>
        <v>6.669306930693053E-2</v>
      </c>
      <c r="W105" vm="17299">
        <f ca="1"/>
        <v>555.15</v>
      </c>
      <c r="X105" s="9">
        <f t="shared" ca="1" si="24"/>
        <v>9.9219863773166495E-2</v>
      </c>
      <c r="Y105" vm="17258">
        <f ca="1"/>
        <v>3871.98</v>
      </c>
      <c r="Z105" s="9">
        <f t="shared" ca="1" si="25"/>
        <v>7.9863454576893256E-2</v>
      </c>
      <c r="AA105" vm="4369">
        <f ca="1"/>
        <v>40.770000000000003</v>
      </c>
      <c r="AB105" vm="4369">
        <v>40.770000000000003</v>
      </c>
      <c r="AC105">
        <f t="shared" si="26"/>
        <v>4.077</v>
      </c>
      <c r="AD105" vm="18167">
        <f ca="1"/>
        <v>277.95</v>
      </c>
      <c r="AE105" s="9">
        <f t="shared" ca="1" si="27"/>
        <v>3.9998503330090474E-2</v>
      </c>
    </row>
    <row r="106" spans="2:31" x14ac:dyDescent="0.35">
      <c r="B106" vm="17301">
        <f ca="1"/>
        <v>44866</v>
      </c>
      <c r="C106" vm="17513">
        <f ca="1"/>
        <v>100.99</v>
      </c>
      <c r="D106" s="9">
        <f t="shared" ca="1" si="14"/>
        <v>6.8564173103375259E-2</v>
      </c>
      <c r="E106" vm="17514">
        <f ca="1"/>
        <v>96.54</v>
      </c>
      <c r="F106" s="9">
        <f t="shared" ca="1" si="15"/>
        <v>-5.7594689574384961E-2</v>
      </c>
      <c r="G106" vm="17515">
        <f ca="1"/>
        <v>56.08</v>
      </c>
      <c r="H106" s="9">
        <f t="shared" ca="1" si="16"/>
        <v>0.13545252075318892</v>
      </c>
      <c r="I106" vm="17504">
        <f ca="1"/>
        <v>690.65</v>
      </c>
      <c r="J106" s="9">
        <f t="shared" ca="1" si="17"/>
        <v>0.21928183037921034</v>
      </c>
      <c r="K106" vm="17516">
        <f ca="1"/>
        <v>219.55</v>
      </c>
      <c r="L106" s="9">
        <f t="shared" ca="1" si="18"/>
        <v>7.6119988236447389E-2</v>
      </c>
      <c r="M106" vm="17517">
        <f ca="1"/>
        <v>356.4</v>
      </c>
      <c r="N106" s="9">
        <f t="shared" ca="1" si="19"/>
        <v>8.5989396063135937E-2</v>
      </c>
      <c r="O106" vm="163">
        <f ca="1"/>
        <v>84.7</v>
      </c>
      <c r="P106" s="9">
        <f t="shared" ca="1" si="20"/>
        <v>9.2903225806451717E-2</v>
      </c>
      <c r="Q106" vm="17307">
        <f ca="1"/>
        <v>51.55</v>
      </c>
      <c r="R106" s="9">
        <f t="shared" ca="1" si="21"/>
        <v>-9.225446857582198E-3</v>
      </c>
      <c r="S106" vm="17518">
        <f ca="1"/>
        <v>16.922999999999998</v>
      </c>
      <c r="T106" s="9">
        <f t="shared" ca="1" si="22"/>
        <v>0.25383418537452762</v>
      </c>
      <c r="U106" vm="10858">
        <f ca="1"/>
        <v>149.16</v>
      </c>
      <c r="V106" s="9">
        <f t="shared" ca="1" si="23"/>
        <v>0.10759634662508355</v>
      </c>
      <c r="W106" vm="17519">
        <f ca="1"/>
        <v>547.76</v>
      </c>
      <c r="X106" s="9">
        <f t="shared" ca="1" si="24"/>
        <v>-1.3311717553814217E-2</v>
      </c>
      <c r="Y106" vm="17479">
        <f ca="1"/>
        <v>4080.11</v>
      </c>
      <c r="Z106" s="9">
        <f t="shared" ca="1" si="25"/>
        <v>5.3752860293699856E-2</v>
      </c>
      <c r="AA106" vm="16598">
        <f ca="1"/>
        <v>37.03</v>
      </c>
      <c r="AB106" vm="16598">
        <v>37.03</v>
      </c>
      <c r="AC106">
        <f t="shared" si="26"/>
        <v>3.7030000000000003</v>
      </c>
      <c r="AD106" vm="10245">
        <f ca="1"/>
        <v>293.36</v>
      </c>
      <c r="AE106" s="9">
        <f t="shared" ca="1" si="27"/>
        <v>5.5441626191761184E-2</v>
      </c>
    </row>
    <row r="107" spans="2:31" x14ac:dyDescent="0.35">
      <c r="B107" vm="17521">
        <f ca="1"/>
        <v>44896</v>
      </c>
      <c r="C107" vm="2768">
        <f ca="1"/>
        <v>88.23</v>
      </c>
      <c r="D107" s="9">
        <f t="shared" ca="1" si="14"/>
        <v>-0.12634914347955239</v>
      </c>
      <c r="E107" vm="5249">
        <f ca="1"/>
        <v>84</v>
      </c>
      <c r="F107" s="9">
        <f t="shared" ca="1" si="15"/>
        <v>-0.1298943443132381</v>
      </c>
      <c r="G107" vm="17318">
        <f ca="1"/>
        <v>51.14</v>
      </c>
      <c r="H107" s="9">
        <f t="shared" ca="1" si="16"/>
        <v>-8.8088445078459254E-2</v>
      </c>
      <c r="I107" vm="17720">
        <f ca="1"/>
        <v>655.03</v>
      </c>
      <c r="J107" s="9">
        <f t="shared" ca="1" si="17"/>
        <v>-5.1574603634257588E-2</v>
      </c>
      <c r="K107" vm="17729">
        <f ca="1"/>
        <v>214.3</v>
      </c>
      <c r="L107" s="9">
        <f t="shared" ca="1" si="18"/>
        <v>-2.3912548394443123E-2</v>
      </c>
      <c r="M107" vm="17730">
        <f ca="1"/>
        <v>347.73</v>
      </c>
      <c r="N107" s="9">
        <f t="shared" ca="1" si="19"/>
        <v>-2.4326599326599196E-2</v>
      </c>
      <c r="O107" vm="12429">
        <f ca="1"/>
        <v>83.6</v>
      </c>
      <c r="P107" s="9">
        <f t="shared" ca="1" si="20"/>
        <v>-1.2987012987013102E-2</v>
      </c>
      <c r="Q107" vm="17731">
        <f ca="1"/>
        <v>53.46</v>
      </c>
      <c r="R107" s="9">
        <f t="shared" ca="1" si="21"/>
        <v>3.7051406401551912E-2</v>
      </c>
      <c r="S107" vm="17732">
        <f ca="1"/>
        <v>14.614000000000001</v>
      </c>
      <c r="T107" s="9">
        <f t="shared" ca="1" si="22"/>
        <v>-0.13644152927967845</v>
      </c>
      <c r="U107" vm="17733">
        <f ca="1"/>
        <v>151.56</v>
      </c>
      <c r="V107" s="9">
        <f t="shared" ca="1" si="23"/>
        <v>1.6090104585679832E-2</v>
      </c>
      <c r="W107" vm="17734">
        <f ca="1"/>
        <v>530.17999999999995</v>
      </c>
      <c r="X107" s="9">
        <f t="shared" ca="1" si="24"/>
        <v>-3.2094347889586761E-2</v>
      </c>
      <c r="Y107" vm="17697">
        <f ca="1"/>
        <v>3839.5</v>
      </c>
      <c r="Z107" s="9">
        <f t="shared" ca="1" si="25"/>
        <v>-5.8971449299161094E-2</v>
      </c>
      <c r="AA107" vm="2730">
        <f ca="1"/>
        <v>38.79</v>
      </c>
      <c r="AB107" vm="2730">
        <v>38.79</v>
      </c>
      <c r="AC107">
        <f t="shared" si="26"/>
        <v>3.879</v>
      </c>
      <c r="AD107" vm="18168">
        <f ca="1"/>
        <v>266.27999999999997</v>
      </c>
      <c r="AE107" s="9">
        <f t="shared" ca="1" si="27"/>
        <v>-9.2309790019089344E-2</v>
      </c>
    </row>
    <row r="108" spans="2:31" x14ac:dyDescent="0.35">
      <c r="AB108"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33FA8-8CF9-4EA3-AF95-13B90856235F}">
  <dimension ref="A1:N93"/>
  <sheetViews>
    <sheetView topLeftCell="C98" zoomScale="151" zoomScaleNormal="130" workbookViewId="0">
      <selection activeCell="R35" sqref="R35"/>
    </sheetView>
  </sheetViews>
  <sheetFormatPr defaultRowHeight="14.5" x14ac:dyDescent="0.35"/>
  <cols>
    <col min="1" max="1" width="9.1796875" bestFit="1" customWidth="1"/>
    <col min="2" max="9" width="8.81640625" bestFit="1" customWidth="1"/>
    <col min="10" max="10" width="8.90625" bestFit="1" customWidth="1"/>
    <col min="11" max="14" width="8.81640625" bestFit="1" customWidth="1"/>
  </cols>
  <sheetData>
    <row r="1" spans="1:14" x14ac:dyDescent="0.35">
      <c r="A1" s="5" t="s">
        <v>6</v>
      </c>
      <c r="B1" s="4" t="s">
        <v>7</v>
      </c>
      <c r="C1" s="4" t="s">
        <v>8</v>
      </c>
      <c r="D1" s="4" t="s">
        <v>9</v>
      </c>
      <c r="E1" s="4" t="s">
        <v>10</v>
      </c>
      <c r="F1" s="4" t="s">
        <v>11</v>
      </c>
      <c r="G1" s="4" t="s">
        <v>12</v>
      </c>
      <c r="H1" s="4" t="s">
        <v>13</v>
      </c>
      <c r="I1" s="4" t="s">
        <v>14</v>
      </c>
      <c r="J1" s="4" t="s">
        <v>15</v>
      </c>
      <c r="K1" s="4" t="s">
        <v>16</v>
      </c>
      <c r="L1" s="4" t="s">
        <v>17</v>
      </c>
      <c r="M1" t="s">
        <v>19</v>
      </c>
      <c r="N1" s="4" t="s">
        <v>91</v>
      </c>
    </row>
    <row r="2" spans="1:14" x14ac:dyDescent="0.35">
      <c r="A2" vm="18033">
        <v>42736</v>
      </c>
      <c r="B2" s="9">
        <v>3.5005363114392063E-2</v>
      </c>
      <c r="C2" s="9">
        <v>9.8163681704828809E-2</v>
      </c>
      <c r="D2" s="9">
        <v>1.5851871586519461E-2</v>
      </c>
      <c r="E2" s="9">
        <v>7.7138300551187644E-2</v>
      </c>
      <c r="F2" s="9">
        <v>2.131985095577793E-2</v>
      </c>
      <c r="G2" s="9">
        <v>2.9830508474576245E-2</v>
      </c>
      <c r="H2" s="9">
        <v>3.5660472124560583E-2</v>
      </c>
      <c r="I2" s="9">
        <v>-2.8588445503276994E-3</v>
      </c>
      <c r="J2" s="9">
        <v>2.2859284242083611E-2</v>
      </c>
      <c r="K2" s="9">
        <v>4.186489058039955E-2</v>
      </c>
      <c r="L2" s="9">
        <v>1.2871782054486358E-2</v>
      </c>
      <c r="M2" s="9">
        <v>1.7884341374735824E-2</v>
      </c>
      <c r="N2" s="9">
        <v>5.1401080351114015E-2</v>
      </c>
    </row>
    <row r="3" spans="1:14" x14ac:dyDescent="0.35">
      <c r="A3" vm="269">
        <v>42767</v>
      </c>
      <c r="B3" s="9">
        <v>3.016374254745835E-2</v>
      </c>
      <c r="C3" s="9">
        <v>2.6181570894253658E-2</v>
      </c>
      <c r="D3" s="9">
        <v>-3.5798583792289618E-2</v>
      </c>
      <c r="E3" s="9">
        <v>-2.314405943165887E-2</v>
      </c>
      <c r="F3" s="9">
        <v>5.2232027392882907E-2</v>
      </c>
      <c r="G3" s="9">
        <v>3.8841342988808369E-2</v>
      </c>
      <c r="H3" s="9">
        <v>5.8842547688328528E-2</v>
      </c>
      <c r="I3" s="9">
        <v>-4.0019113606498569E-2</v>
      </c>
      <c r="J3" s="9">
        <v>-7.0525737314526382E-2</v>
      </c>
      <c r="K3" s="9">
        <v>3.9611872146118721E-2</v>
      </c>
      <c r="L3" s="9">
        <v>2.0234423195558238E-2</v>
      </c>
      <c r="M3" s="9">
        <v>3.7198260541408734E-2</v>
      </c>
      <c r="N3" s="9">
        <v>4.3750501725937418E-2</v>
      </c>
    </row>
    <row r="4" spans="1:14" x14ac:dyDescent="0.35">
      <c r="A4" vm="509">
        <v>42795</v>
      </c>
      <c r="B4" s="9">
        <v>3.3967310901494852E-3</v>
      </c>
      <c r="C4" s="9">
        <v>4.9110101296979902E-2</v>
      </c>
      <c r="D4" s="9">
        <v>9.9279205766353851E-3</v>
      </c>
      <c r="E4" s="9">
        <v>6.4615630068870278E-2</v>
      </c>
      <c r="F4" s="9">
        <v>2.9714266539151435E-3</v>
      </c>
      <c r="G4" s="9">
        <v>1.8196632265073287E-2</v>
      </c>
      <c r="H4" s="9">
        <v>-2.0076335877862506E-2</v>
      </c>
      <c r="I4" s="9">
        <v>-2.8123444499751238E-2</v>
      </c>
      <c r="J4" s="9">
        <v>7.3433188805676064E-2</v>
      </c>
      <c r="K4" s="9">
        <v>-1.3396288569232473E-2</v>
      </c>
      <c r="L4" s="9">
        <v>-8.283952110291426E-3</v>
      </c>
      <c r="M4" s="9">
        <v>-3.8923017041514463E-4</v>
      </c>
      <c r="N4" s="9">
        <v>1.8151053684048568E-2</v>
      </c>
    </row>
    <row r="5" spans="1:14" x14ac:dyDescent="0.35">
      <c r="A5" vm="18039">
        <v>42826</v>
      </c>
      <c r="B5" s="9">
        <v>9.0493040811512104E-2</v>
      </c>
      <c r="C5" s="9">
        <v>4.3370857490919734E-2</v>
      </c>
      <c r="D5" s="9">
        <v>3.5416105575006629E-2</v>
      </c>
      <c r="E5" s="9">
        <v>4.3284961410695155E-2</v>
      </c>
      <c r="F5" s="9">
        <v>5.0212368743737246E-2</v>
      </c>
      <c r="G5" s="9">
        <v>3.4231350582377473E-2</v>
      </c>
      <c r="H5" s="9">
        <v>4.0430007010983759E-2</v>
      </c>
      <c r="I5" s="9">
        <v>-7.0550576184378877E-2</v>
      </c>
      <c r="J5" s="9">
        <v>-4.2521940293026916E-2</v>
      </c>
      <c r="K5" s="9">
        <v>-2.8046744574290461E-2</v>
      </c>
      <c r="L5" s="9">
        <v>6.6276446558136692E-2</v>
      </c>
      <c r="M5" s="9">
        <v>9.0912169025529899E-3</v>
      </c>
      <c r="N5" s="9">
        <v>2.7269980359571067E-2</v>
      </c>
    </row>
    <row r="6" spans="1:14" x14ac:dyDescent="0.35">
      <c r="A6" vm="1030">
        <v>42856</v>
      </c>
      <c r="B6" s="9">
        <v>6.7678362826115279E-2</v>
      </c>
      <c r="C6" s="9">
        <v>7.5276489475561981E-2</v>
      </c>
      <c r="D6" s="9">
        <v>6.3857458707244019E-2</v>
      </c>
      <c r="E6" s="9">
        <v>5.5805602106775209E-2</v>
      </c>
      <c r="F6" s="9">
        <v>1.4107267158014469E-2</v>
      </c>
      <c r="G6" s="9">
        <v>5.6396148555708514E-2</v>
      </c>
      <c r="H6" s="9">
        <v>5.8999700509134501E-2</v>
      </c>
      <c r="I6" s="9">
        <v>-4.1328006612481039E-2</v>
      </c>
      <c r="J6" s="9">
        <v>0.38400767018216686</v>
      </c>
      <c r="K6" s="9">
        <v>8.7026222374899653E-3</v>
      </c>
      <c r="L6" s="9">
        <v>1.7154620311070623E-3</v>
      </c>
      <c r="M6" s="9">
        <v>1.1576210049492719E-2</v>
      </c>
      <c r="N6" s="9">
        <v>3.8973453930435831E-2</v>
      </c>
    </row>
    <row r="7" spans="1:14" x14ac:dyDescent="0.35">
      <c r="A7" vm="1310">
        <v>42887</v>
      </c>
      <c r="B7" s="9">
        <v>-5.8160856659473792E-2</v>
      </c>
      <c r="C7" s="9">
        <v>-2.6763990267639981E-2</v>
      </c>
      <c r="D7" s="9">
        <v>3.2029339853300698E-2</v>
      </c>
      <c r="E7" s="9">
        <v>-2.6870138999115611E-2</v>
      </c>
      <c r="F7" s="9">
        <v>2.255544028266554E-3</v>
      </c>
      <c r="G7" s="9">
        <v>-1.163736979166663E-2</v>
      </c>
      <c r="H7" s="9">
        <v>-9.2618778280543212E-3</v>
      </c>
      <c r="I7" s="9">
        <v>-5.3887052737462304E-2</v>
      </c>
      <c r="J7" s="9">
        <v>1.4409221902016434E-3</v>
      </c>
      <c r="K7" s="9">
        <v>-1.0670904756499011E-2</v>
      </c>
      <c r="L7" s="9">
        <v>5.8454161433953544E-2</v>
      </c>
      <c r="M7" s="9">
        <v>4.8138319927024664E-3</v>
      </c>
      <c r="N7" s="9">
        <v>-2.5833392313681092E-2</v>
      </c>
    </row>
    <row r="8" spans="1:14" x14ac:dyDescent="0.35">
      <c r="A8" vm="18046">
        <v>42917</v>
      </c>
      <c r="B8" s="9">
        <v>1.7016607865071753E-2</v>
      </c>
      <c r="C8" s="9">
        <v>2.0433884297520688E-2</v>
      </c>
      <c r="D8" s="9">
        <v>-7.3442312248283015E-3</v>
      </c>
      <c r="E8" s="9">
        <v>5.0260974927765822E-2</v>
      </c>
      <c r="F8" s="9">
        <v>2.1232131229239615E-2</v>
      </c>
      <c r="G8" s="9">
        <v>5.2284890901605596E-2</v>
      </c>
      <c r="H8" s="9">
        <v>4.2531934632127344E-2</v>
      </c>
      <c r="I8" s="9">
        <v>4.1919805589307302E-2</v>
      </c>
      <c r="J8" s="9">
        <v>0.12418372993912574</v>
      </c>
      <c r="K8" s="9">
        <v>4.2111302352266122E-2</v>
      </c>
      <c r="L8" s="9">
        <v>3.4462301801315931E-2</v>
      </c>
      <c r="M8" s="9">
        <v>1.9348768883515444E-2</v>
      </c>
      <c r="N8" s="9">
        <v>4.0613193839000417E-2</v>
      </c>
    </row>
    <row r="9" spans="1:14" x14ac:dyDescent="0.35">
      <c r="A9" vm="1842">
        <v>42948</v>
      </c>
      <c r="B9" s="9">
        <v>1.0301427815970321E-2</v>
      </c>
      <c r="C9" s="9">
        <v>-7.2688250420134271E-3</v>
      </c>
      <c r="D9" s="9">
        <v>-4.5584725536992776E-2</v>
      </c>
      <c r="E9" s="9">
        <v>3.9225256805626385E-2</v>
      </c>
      <c r="F9" s="9">
        <v>1.5794824576547573E-2</v>
      </c>
      <c r="G9" s="9">
        <v>4.3035993740219158E-2</v>
      </c>
      <c r="H9" s="9">
        <v>3.0255322061742751E-2</v>
      </c>
      <c r="I9" s="9">
        <v>-7.419825072886288E-2</v>
      </c>
      <c r="J9" s="9">
        <v>4.2630698040760029E-2</v>
      </c>
      <c r="K9" s="9">
        <v>1.5965646333406802E-2</v>
      </c>
      <c r="L9" s="9">
        <v>3.6963661957145177E-2</v>
      </c>
      <c r="M9" s="9">
        <v>5.4649232886694321E-4</v>
      </c>
      <c r="N9" s="9">
        <v>2.0735879354883746E-2</v>
      </c>
    </row>
    <row r="10" spans="1:14" x14ac:dyDescent="0.35">
      <c r="A10" vm="2127">
        <v>42979</v>
      </c>
      <c r="B10" s="9">
        <v>1.9345923537540388E-2</v>
      </c>
      <c r="C10" s="9">
        <v>-1.9630838262288397E-2</v>
      </c>
      <c r="D10" s="9">
        <v>3.275818954738674E-2</v>
      </c>
      <c r="E10" s="9">
        <v>-4.7202237356162358E-2</v>
      </c>
      <c r="F10" s="9">
        <v>2.5095553910534418E-2</v>
      </c>
      <c r="G10" s="9">
        <v>5.9264816204050774E-2</v>
      </c>
      <c r="H10" s="9">
        <v>-2.6310544149890203E-2</v>
      </c>
      <c r="I10" s="9">
        <v>9.8409699259959238E-2</v>
      </c>
      <c r="J10" s="9">
        <v>5.5075542965061342E-2</v>
      </c>
      <c r="K10" s="9">
        <v>-1.3980708789422258E-2</v>
      </c>
      <c r="L10" s="9">
        <v>-1.5334338863750685E-2</v>
      </c>
      <c r="M10" s="9">
        <v>1.9302894827342154E-2</v>
      </c>
      <c r="N10" s="9">
        <v>-5.1299589603283069E-3</v>
      </c>
    </row>
    <row r="11" spans="1:14" x14ac:dyDescent="0.35">
      <c r="A11" vm="18052">
        <v>43009</v>
      </c>
      <c r="B11" s="9">
        <v>6.0921003984718336E-2</v>
      </c>
      <c r="C11" s="9">
        <v>0.14971654444271087</v>
      </c>
      <c r="D11" s="9">
        <v>3.9467312348668404E-2</v>
      </c>
      <c r="E11" s="9">
        <v>3.8539099260586962E-2</v>
      </c>
      <c r="F11" s="9">
        <v>1.7073384605068131E-2</v>
      </c>
      <c r="G11" s="9">
        <v>5.3611898016997284E-2</v>
      </c>
      <c r="H11" s="9">
        <v>5.8137154554759318E-2</v>
      </c>
      <c r="I11" s="9">
        <v>-8.2568807339449601E-2</v>
      </c>
      <c r="J11" s="9">
        <v>0.15684782851900758</v>
      </c>
      <c r="K11" s="9">
        <v>-5.1000219828533755E-2</v>
      </c>
      <c r="L11" s="9">
        <v>7.3372478937962837E-2</v>
      </c>
      <c r="M11" s="9">
        <v>2.2188174774546043E-2</v>
      </c>
      <c r="N11" s="9">
        <v>4.6063939498109496E-2</v>
      </c>
    </row>
    <row r="12" spans="1:14" x14ac:dyDescent="0.35">
      <c r="A12" vm="2638">
        <v>43040</v>
      </c>
      <c r="B12" s="9">
        <v>3.0298923565399427E-3</v>
      </c>
      <c r="C12" s="9">
        <v>6.4662348002316072E-2</v>
      </c>
      <c r="D12" s="9">
        <v>-7.0347076636384842E-2</v>
      </c>
      <c r="E12" s="9">
        <v>2.1359223300971841E-3</v>
      </c>
      <c r="F12" s="9">
        <v>8.1853834043469131E-2</v>
      </c>
      <c r="G12" s="9">
        <v>1.1427035020501464E-2</v>
      </c>
      <c r="H12" s="9">
        <v>1.9152640742890359E-2</v>
      </c>
      <c r="I12" s="9">
        <v>-1.7968749999999978E-2</v>
      </c>
      <c r="J12" s="9">
        <v>-2.9495387114867544E-2</v>
      </c>
      <c r="K12" s="9">
        <v>4.227472782024555E-2</v>
      </c>
      <c r="L12" s="9">
        <v>8.5386737703358362E-2</v>
      </c>
      <c r="M12" s="9">
        <v>2.8082601368405458E-2</v>
      </c>
      <c r="N12" s="9">
        <v>1.9717384160368168E-2</v>
      </c>
    </row>
    <row r="13" spans="1:14" x14ac:dyDescent="0.35">
      <c r="A13" vm="2893">
        <v>43070</v>
      </c>
      <c r="B13" s="9">
        <v>1.6628545508941661E-2</v>
      </c>
      <c r="C13" s="9">
        <v>-6.1865306989589142E-3</v>
      </c>
      <c r="D13" s="9">
        <v>-5.161613630668993E-2</v>
      </c>
      <c r="E13" s="9">
        <v>-2.4263170358888253E-2</v>
      </c>
      <c r="F13" s="9">
        <v>-1.6671220547108678E-2</v>
      </c>
      <c r="G13" s="9">
        <v>5.9148002924171994E-3</v>
      </c>
      <c r="H13" s="9">
        <v>-1.1705897241204744E-2</v>
      </c>
      <c r="I13" s="9">
        <v>7.2235481304693705E-2</v>
      </c>
      <c r="J13" s="9">
        <v>-3.5932081788831782E-2</v>
      </c>
      <c r="K13" s="9">
        <v>2.1002333592621492E-2</v>
      </c>
      <c r="L13" s="9">
        <v>-3.3790594731997969E-2</v>
      </c>
      <c r="M13" s="9">
        <v>9.8316198188534987E-3</v>
      </c>
      <c r="N13" s="9">
        <v>3.9316790203027807E-3</v>
      </c>
    </row>
    <row r="14" spans="1:14" x14ac:dyDescent="0.35">
      <c r="A14">
        <v>2017</v>
      </c>
      <c r="B14" s="10" cm="1">
        <f t="array" ref="B14">PRODUCT(1 + B2:B13) - 1</f>
        <v>0.3292952236734179</v>
      </c>
      <c r="C14" s="10" cm="1">
        <f t="array" ref="C14">PRODUCT(1 + C2:C13) - 1</f>
        <v>0.55956365770066796</v>
      </c>
      <c r="D14" s="10" cm="1">
        <f t="array" ref="D14">PRODUCT(1 + D2:D13) - 1</f>
        <v>8.392167310510068E-3</v>
      </c>
      <c r="E14" s="10" cm="1">
        <f t="array" ref="E14">PRODUCT(1 + E2:E13) - 1</f>
        <v>0.26806748552083026</v>
      </c>
      <c r="F14" s="10" cm="1">
        <f t="array" ref="F14">PRODUCT(1 + F2:F13) - 1</f>
        <v>0.32377991004335538</v>
      </c>
      <c r="G14" s="10" cm="1">
        <f t="array" ref="G14">PRODUCT(1 + G2:G13) - 1</f>
        <v>0.46595641646489083</v>
      </c>
      <c r="H14" s="10" cm="1">
        <f t="array" ref="H14">PRODUCT(1 + H2:H13) - 1</f>
        <v>0.30746693453875795</v>
      </c>
      <c r="I14" s="10" cm="1">
        <f t="array" ref="I14">PRODUCT(1 + I2:I13) - 1</f>
        <v>-0.19726027397260271</v>
      </c>
      <c r="J14" s="10" cm="1">
        <f t="array" ref="J14">PRODUCT(1 + J2:J13) - 1</f>
        <v>0.81281618887015217</v>
      </c>
      <c r="K14" s="10" cm="1">
        <f t="array" ref="K14">PRODUCT(1 + K2:K13) - 1</f>
        <v>9.2768791627022118E-2</v>
      </c>
      <c r="L14" s="10" cm="1">
        <f t="array" ref="L14">PRODUCT(1 + L2:L13) - 1</f>
        <v>0.37753061734566362</v>
      </c>
      <c r="M14" s="10" cm="1">
        <f t="array" ref="M14">PRODUCT(1 + M2:M13) - 1</f>
        <v>0.19419964892376851</v>
      </c>
      <c r="N14" s="10" cm="1">
        <f t="array" ref="N14">PRODUCT(1 + N2:N13) - 1</f>
        <v>0.31465226198514529</v>
      </c>
    </row>
    <row r="15" spans="1:14" x14ac:dyDescent="0.35">
      <c r="A15" t="s">
        <v>33</v>
      </c>
      <c r="B15" s="10">
        <f>_xlfn.STDEV.S(B2:B13)</f>
        <v>3.7867426951711407E-2</v>
      </c>
      <c r="C15" s="10">
        <f t="shared" ref="C15:M15" si="0">_xlfn.STDEV.S(C2:C13)</f>
        <v>5.2491035678470965E-2</v>
      </c>
      <c r="D15" s="10">
        <f t="shared" si="0"/>
        <v>4.2996895760044215E-2</v>
      </c>
      <c r="E15" s="10">
        <f t="shared" si="0"/>
        <v>4.2161763645720184E-2</v>
      </c>
      <c r="F15" s="10">
        <f t="shared" si="0"/>
        <v>2.6336222912728427E-2</v>
      </c>
      <c r="G15" s="10">
        <f t="shared" si="0"/>
        <v>2.2541381263915489E-2</v>
      </c>
      <c r="H15" s="10">
        <f t="shared" si="0"/>
        <v>3.1995326516955788E-2</v>
      </c>
      <c r="I15" s="10">
        <f t="shared" si="0"/>
        <v>5.8773353872382285E-2</v>
      </c>
      <c r="J15" s="10">
        <f t="shared" si="0"/>
        <v>0.12374269875762768</v>
      </c>
      <c r="K15" s="10">
        <f t="shared" si="0"/>
        <v>3.1315449320519211E-2</v>
      </c>
      <c r="L15" s="10">
        <f t="shared" si="0"/>
        <v>3.7968813657819282E-2</v>
      </c>
      <c r="M15" s="10">
        <f t="shared" si="0"/>
        <v>1.1217473262077332E-2</v>
      </c>
      <c r="N15" s="10">
        <f t="shared" ref="N15" si="1">_xlfn.STDEV.S(N2:N13)</f>
        <v>2.3219625825981551E-2</v>
      </c>
    </row>
    <row r="16" spans="1:14" x14ac:dyDescent="0.35">
      <c r="A16" vm="18058">
        <v>43101</v>
      </c>
      <c r="B16" s="8">
        <v>0.1222897284981963</v>
      </c>
      <c r="C16" s="8">
        <v>0.24063892190479441</v>
      </c>
      <c r="D16" s="8">
        <v>1.1360634081902132E-2</v>
      </c>
      <c r="E16" s="8">
        <v>4.3466749040199648E-3</v>
      </c>
      <c r="F16" s="8">
        <v>4.114515867599966E-2</v>
      </c>
      <c r="G16" s="8">
        <v>0.11654334038054959</v>
      </c>
      <c r="H16" s="8">
        <v>1.4277482553300302E-2</v>
      </c>
      <c r="I16" s="8">
        <v>9.1853390710787908E-2</v>
      </c>
      <c r="J16" s="8">
        <v>0.27028423772609811</v>
      </c>
      <c r="K16" s="8">
        <v>-6.0296038310840183E-2</v>
      </c>
      <c r="L16" s="8">
        <v>7.4027034382654344E-2</v>
      </c>
      <c r="M16" s="8">
        <v>5.6178724645703726E-2</v>
      </c>
      <c r="N16" s="9">
        <v>8.757062146892669E-2</v>
      </c>
    </row>
    <row r="17" spans="1:14" x14ac:dyDescent="0.35">
      <c r="A17" vm="3380">
        <v>43132</v>
      </c>
      <c r="B17" s="8">
        <v>-6.6231327502495274E-2</v>
      </c>
      <c r="C17" s="8">
        <v>4.242912970659396E-2</v>
      </c>
      <c r="D17" s="8">
        <v>4.3625914315569503E-2</v>
      </c>
      <c r="E17" s="8">
        <v>-0.13860146312528832</v>
      </c>
      <c r="F17" s="8">
        <v>-5.3610360862742512E-2</v>
      </c>
      <c r="G17" s="8">
        <v>4.0000000000000036E-2</v>
      </c>
      <c r="H17" s="8">
        <v>-3.957833606867811E-2</v>
      </c>
      <c r="I17" s="8">
        <v>-0.10790975808643655</v>
      </c>
      <c r="J17" s="8">
        <v>-1.5459723352318933E-2</v>
      </c>
      <c r="K17" s="8">
        <v>-9.0572156590224773E-2</v>
      </c>
      <c r="L17" s="8">
        <v>-4.4851761128473666E-2</v>
      </c>
      <c r="M17" s="8">
        <v>-3.8947379604151844E-2</v>
      </c>
      <c r="N17" s="9">
        <v>-1.2927981109799314E-2</v>
      </c>
    </row>
    <row r="18" spans="1:14" x14ac:dyDescent="0.35">
      <c r="A18" vm="3610">
        <v>43160</v>
      </c>
      <c r="B18" s="8">
        <v>-6.0493514022755268E-2</v>
      </c>
      <c r="C18" s="8">
        <v>-4.3049357003537292E-2</v>
      </c>
      <c r="D18" s="8">
        <v>-6.007509386733445E-3</v>
      </c>
      <c r="E18" s="8">
        <v>6.641162968630443E-2</v>
      </c>
      <c r="F18" s="8">
        <v>-4.3677201208739858E-2</v>
      </c>
      <c r="G18" s="8">
        <v>-3.4137460172962708E-3</v>
      </c>
      <c r="H18" s="8">
        <v>7.3480118304305009E-2</v>
      </c>
      <c r="I18" s="8">
        <v>-1.3101767215112692E-2</v>
      </c>
      <c r="J18" s="8">
        <v>-4.300826446280992E-2</v>
      </c>
      <c r="K18" s="8">
        <v>9.679062659195159E-3</v>
      </c>
      <c r="L18" s="8">
        <v>-5.3767244428723049E-2</v>
      </c>
      <c r="M18" s="8">
        <v>-2.6884513768364315E-2</v>
      </c>
      <c r="N18" s="9">
        <v>-4.2341965193469333E-2</v>
      </c>
    </row>
    <row r="19" spans="1:14" x14ac:dyDescent="0.35">
      <c r="A19" vm="18064">
        <v>43191</v>
      </c>
      <c r="B19" s="8">
        <v>-1.7895366102936849E-2</v>
      </c>
      <c r="C19" s="8">
        <v>8.2074702557795698E-2</v>
      </c>
      <c r="D19" s="8">
        <v>9.5693779904306719E-3</v>
      </c>
      <c r="E19" s="8">
        <v>6.3375902807671913E-3</v>
      </c>
      <c r="F19" s="8">
        <v>1.1766372459172114E-3</v>
      </c>
      <c r="G19" s="8">
        <v>1.7755195250057199E-2</v>
      </c>
      <c r="H19" s="8">
        <v>3.551092879446438E-3</v>
      </c>
      <c r="I19" s="8">
        <v>5.8351343007100986E-2</v>
      </c>
      <c r="J19" s="8">
        <v>-2.8895644063698267E-2</v>
      </c>
      <c r="K19" s="8">
        <v>-8.7537840565085734E-2</v>
      </c>
      <c r="L19" s="8">
        <v>0.10467289719626161</v>
      </c>
      <c r="M19" s="8">
        <v>2.718801001185378E-3</v>
      </c>
      <c r="N19" s="9">
        <v>5.058390058077844E-3</v>
      </c>
    </row>
    <row r="20" spans="1:14" x14ac:dyDescent="0.35">
      <c r="A20" vm="4104">
        <v>43221</v>
      </c>
      <c r="B20" s="8">
        <v>7.9934811207759804E-2</v>
      </c>
      <c r="C20" s="8">
        <v>4.0539418822192141E-2</v>
      </c>
      <c r="D20" s="8">
        <v>-7.832377151409331E-2</v>
      </c>
      <c r="E20" s="8">
        <v>-5.6892987000641604E-2</v>
      </c>
      <c r="F20" s="8">
        <v>2.2325502154151744E-2</v>
      </c>
      <c r="G20" s="8">
        <v>6.6472205082178659E-2</v>
      </c>
      <c r="H20" s="8">
        <v>1.159172716734802E-2</v>
      </c>
      <c r="I20" s="8">
        <v>1.6044340723453399E-3</v>
      </c>
      <c r="J20" s="8">
        <v>0.12135171187194316</v>
      </c>
      <c r="K20" s="8">
        <v>1.147359690351113E-2</v>
      </c>
      <c r="L20" s="8">
        <v>2.1615905245346845E-2</v>
      </c>
      <c r="M20" s="8">
        <v>2.1608353316591389E-2</v>
      </c>
      <c r="N20" s="9">
        <v>5.6729215856841098E-2</v>
      </c>
    </row>
    <row r="21" spans="1:14" x14ac:dyDescent="0.35">
      <c r="A21" vm="4362">
        <v>43252</v>
      </c>
      <c r="B21" s="8">
        <v>2.653636363636358E-2</v>
      </c>
      <c r="C21" s="8">
        <v>4.3065254476503778E-2</v>
      </c>
      <c r="D21" s="8">
        <v>-3.7889039242219313E-2</v>
      </c>
      <c r="E21" s="8">
        <v>8.3255638150434574E-2</v>
      </c>
      <c r="F21" s="8">
        <v>-2.609737049114591E-2</v>
      </c>
      <c r="G21" s="8">
        <v>3.3662949715968837E-2</v>
      </c>
      <c r="H21" s="8">
        <v>7.3578191906398249E-3</v>
      </c>
      <c r="I21" s="8">
        <v>-2.388233580894128E-2</v>
      </c>
      <c r="J21" s="8">
        <v>-6.0636340565918045E-2</v>
      </c>
      <c r="K21" s="8">
        <v>6.683066830668305E-2</v>
      </c>
      <c r="L21" s="8">
        <v>1.5858556581508143E-2</v>
      </c>
      <c r="M21" s="8">
        <v>4.8424002040461378E-3</v>
      </c>
      <c r="N21" s="9">
        <v>9.2902922326101312E-3</v>
      </c>
    </row>
    <row r="22" spans="1:14" x14ac:dyDescent="0.35">
      <c r="A22" vm="18068">
        <v>43282</v>
      </c>
      <c r="B22" s="8">
        <v>8.6814442210788156E-2</v>
      </c>
      <c r="C22" s="8">
        <v>4.5675961877868154E-2</v>
      </c>
      <c r="D22" s="8">
        <v>9.6202531645569689E-2</v>
      </c>
      <c r="E22" s="8">
        <v>2.1842796994580027E-2</v>
      </c>
      <c r="F22" s="8">
        <v>0.1082961136890952</v>
      </c>
      <c r="G22" s="8">
        <v>7.5310400977000036E-3</v>
      </c>
      <c r="H22" s="8">
        <v>3.0533437107105321E-3</v>
      </c>
      <c r="I22" s="8">
        <v>7.3101596300162441E-3</v>
      </c>
      <c r="J22" s="8">
        <v>3.3600675390460077E-2</v>
      </c>
      <c r="K22" s="8">
        <v>3.6126056879323576E-2</v>
      </c>
      <c r="L22" s="8">
        <v>3.2118692426836182E-2</v>
      </c>
      <c r="M22" s="8">
        <v>3.6021586465418753E-2</v>
      </c>
      <c r="N22" s="9">
        <v>2.7963879988348372E-2</v>
      </c>
    </row>
    <row r="23" spans="1:14" x14ac:dyDescent="0.35">
      <c r="A23" vm="4856">
        <v>43313</v>
      </c>
      <c r="B23" s="8">
        <v>3.7320121901533998E-3</v>
      </c>
      <c r="C23" s="8">
        <v>0.13236452425960921</v>
      </c>
      <c r="D23" s="8">
        <v>7.4672825250192476E-2</v>
      </c>
      <c r="E23" s="8">
        <v>-7.170824986341251E-3</v>
      </c>
      <c r="F23" s="8">
        <v>-3.6956302721119494E-3</v>
      </c>
      <c r="G23" s="8">
        <v>8.8686868686868703E-2</v>
      </c>
      <c r="H23" s="8">
        <v>1.5279933150292413E-2</v>
      </c>
      <c r="I23" s="8">
        <v>-6.4573459715639769E-2</v>
      </c>
      <c r="J23" s="8">
        <v>0.14628767458956138</v>
      </c>
      <c r="K23" s="8">
        <v>2.5593471810089197E-2</v>
      </c>
      <c r="L23" s="8">
        <v>6.0184819524524036E-2</v>
      </c>
      <c r="M23" s="8">
        <v>3.0263218631604083E-2</v>
      </c>
      <c r="N23" s="9">
        <v>5.7806744120147524E-2</v>
      </c>
    </row>
    <row r="24" spans="1:14" x14ac:dyDescent="0.35">
      <c r="A24" vm="18071">
        <v>43344</v>
      </c>
      <c r="B24" s="8">
        <v>-2.006819288845596E-2</v>
      </c>
      <c r="C24" s="8">
        <v>-4.8243413109686495E-3</v>
      </c>
      <c r="D24" s="8">
        <v>5.0382043935052412E-2</v>
      </c>
      <c r="E24" s="8">
        <v>-7.428977598422537E-3</v>
      </c>
      <c r="F24" s="8">
        <v>4.6145774578062015E-2</v>
      </c>
      <c r="G24" s="8">
        <v>3.2705511226572614E-2</v>
      </c>
      <c r="H24" s="8">
        <v>-1.4697236919459122E-2</v>
      </c>
      <c r="I24" s="8">
        <v>-3.5465484483850451E-2</v>
      </c>
      <c r="J24" s="8">
        <v>1.2113438791505615E-3</v>
      </c>
      <c r="K24" s="8">
        <v>3.3755274261604296E-3</v>
      </c>
      <c r="L24" s="8">
        <v>-9.0143783058926896E-3</v>
      </c>
      <c r="M24" s="8">
        <v>4.2943009181395375E-3</v>
      </c>
      <c r="N24" s="9">
        <v>-4.6075542459148577E-3</v>
      </c>
    </row>
    <row r="25" spans="1:14" x14ac:dyDescent="0.35">
      <c r="A25" vm="5350">
        <v>43374</v>
      </c>
      <c r="B25" s="8">
        <v>-9.651390131557136E-2</v>
      </c>
      <c r="C25" s="8">
        <v>-0.20219171243135303</v>
      </c>
      <c r="D25" s="8">
        <v>1.8413275744487256E-2</v>
      </c>
      <c r="E25" s="8">
        <v>-0.12508951465730322</v>
      </c>
      <c r="F25" s="8">
        <v>-9.1005524140576055E-2</v>
      </c>
      <c r="G25" s="8">
        <v>-0.11203449979785285</v>
      </c>
      <c r="H25" s="8">
        <v>2.923627684964214E-2</v>
      </c>
      <c r="I25" s="8">
        <v>-0.15774786605384106</v>
      </c>
      <c r="J25" s="8">
        <v>-0.24976158280549421</v>
      </c>
      <c r="K25" s="8">
        <v>6.5481196683887966E-2</v>
      </c>
      <c r="L25" s="8">
        <v>-1.7628927980754772E-2</v>
      </c>
      <c r="M25" s="8">
        <v>-6.9403358979814644E-2</v>
      </c>
      <c r="N25" s="9">
        <v>-8.595726357715705E-2</v>
      </c>
    </row>
    <row r="26" spans="1:14" x14ac:dyDescent="0.35">
      <c r="A26" vm="5626">
        <v>43405</v>
      </c>
      <c r="B26" s="8">
        <v>1.7486108309340054E-2</v>
      </c>
      <c r="C26" s="8">
        <v>5.7671729213208955E-2</v>
      </c>
      <c r="D26" s="8">
        <v>9.6205357142857162E-2</v>
      </c>
      <c r="E26" s="8">
        <v>1.7267782647726548E-2</v>
      </c>
      <c r="F26" s="8">
        <v>1.3326888551305149E-2</v>
      </c>
      <c r="G26" s="8">
        <v>1.7200384479182595E-2</v>
      </c>
      <c r="H26" s="8">
        <v>5.3391304347826241E-2</v>
      </c>
      <c r="I26" s="8">
        <v>-0.12102903917365038</v>
      </c>
      <c r="J26" s="8">
        <v>-0.22482355619640293</v>
      </c>
      <c r="K26" s="8">
        <v>6.5741993685160205E-2</v>
      </c>
      <c r="L26" s="8">
        <v>7.656399464319863E-2</v>
      </c>
      <c r="M26" s="8">
        <v>1.785938179914015E-2</v>
      </c>
      <c r="N26" s="9">
        <v>-2.6498645624778439E-3</v>
      </c>
    </row>
    <row r="27" spans="1:14" x14ac:dyDescent="0.35">
      <c r="A27" vm="18077">
        <v>43435</v>
      </c>
      <c r="B27" s="8">
        <v>-5.8297661424773661E-2</v>
      </c>
      <c r="C27" s="8">
        <v>-0.11134974588355018</v>
      </c>
      <c r="D27" s="8">
        <v>-6.3734473630625232E-2</v>
      </c>
      <c r="E27" s="8">
        <v>-8.4925249169435113E-2</v>
      </c>
      <c r="F27" s="8">
        <v>-9.9693356047700132E-2</v>
      </c>
      <c r="G27" s="8">
        <v>-6.1769532998458221E-2</v>
      </c>
      <c r="H27" s="8">
        <v>-4.3420835397061319E-2</v>
      </c>
      <c r="I27" s="8">
        <v>-0.20000000000000007</v>
      </c>
      <c r="J27" s="8">
        <v>-0.18314650741592831</v>
      </c>
      <c r="K27" s="8">
        <v>-2.740450745952816E-2</v>
      </c>
      <c r="L27" s="8">
        <v>-0.11458629513790164</v>
      </c>
      <c r="M27" s="8">
        <v>-9.1776955767217339E-2</v>
      </c>
      <c r="N27" s="9">
        <v>-8.9212965696404356E-2</v>
      </c>
    </row>
    <row r="28" spans="1:14" x14ac:dyDescent="0.35">
      <c r="A28">
        <v>2018</v>
      </c>
      <c r="B28" s="10" cm="1">
        <f t="array" ref="B28">PRODUCT(1 + B16:B27) - 1</f>
        <v>-8.0121511296752379E-3</v>
      </c>
      <c r="C28" s="10" cm="1">
        <f t="array" ref="C28">PRODUCT(1 + C16:C27) - 1</f>
        <v>0.2843168272807346</v>
      </c>
      <c r="D28" s="10" cm="1">
        <f t="array" ref="D28">PRODUCT(1 + D16:D27) - 1</f>
        <v>0.21479524438573239</v>
      </c>
      <c r="E28" s="10" cm="1">
        <f t="array" ref="E28">PRODUCT(1 + E16:E27) - 1</f>
        <v>-0.22209964255769843</v>
      </c>
      <c r="F28" s="10" cm="1">
        <f t="array" ref="F28">PRODUCT(1 + F16:F27) - 1</f>
        <v>-0.10020717300784976</v>
      </c>
      <c r="G28" s="10" cm="1">
        <f t="array" ref="G28">PRODUCT(1 + G16:G27) - 1</f>
        <v>0.24636627906976738</v>
      </c>
      <c r="H28" s="10" cm="1">
        <f t="array" ref="H28">PRODUCT(1 + H16:H27) - 1</f>
        <v>0.11287534413214639</v>
      </c>
      <c r="I28" s="10" cm="1">
        <f t="array" ref="I28">PRODUCT(1 + I16:I27) - 1</f>
        <v>-0.46460899243211151</v>
      </c>
      <c r="J28" s="10" cm="1">
        <f t="array" ref="J28">PRODUCT(1 + J16:J27) - 1</f>
        <v>-0.31007751937984529</v>
      </c>
      <c r="K28" s="10" cm="1">
        <f t="array" ref="K28">PRODUCT(1 + K16:K27) - 1</f>
        <v>4.3535045711817766E-4</v>
      </c>
      <c r="L28" s="10" cm="1">
        <f t="array" ref="L28">PRODUCT(1 + L16:L27) - 1</f>
        <v>0.13000090719404866</v>
      </c>
      <c r="M28" s="10" cm="1">
        <f t="array" ref="M28">PRODUCT(1 + M16:M27) - 1</f>
        <v>-6.2372597349650616E-2</v>
      </c>
      <c r="N28" s="10" cm="1">
        <f t="array" ref="N28">PRODUCT(1 + N16:N27) - 1</f>
        <v>-9.6302003081663035E-3</v>
      </c>
    </row>
    <row r="29" spans="1:14" x14ac:dyDescent="0.35">
      <c r="A29" t="s">
        <v>33</v>
      </c>
      <c r="B29" s="10">
        <f>_xlfn.STDEV.S(B16:B27)</f>
        <v>6.8332494902779678E-2</v>
      </c>
      <c r="C29" s="10">
        <f t="shared" ref="C29:N29" si="2">_xlfn.STDEV.S(C16:C27)</f>
        <v>0.11254680880121787</v>
      </c>
      <c r="D29" s="10">
        <f t="shared" si="2"/>
        <v>5.7936234291255169E-2</v>
      </c>
      <c r="E29" s="10">
        <f t="shared" si="2"/>
        <v>6.9761107405096112E-2</v>
      </c>
      <c r="F29" s="10">
        <f t="shared" si="2"/>
        <v>5.9785868696467209E-2</v>
      </c>
      <c r="G29" s="10">
        <f t="shared" si="2"/>
        <v>6.1630324741299709E-2</v>
      </c>
      <c r="H29" s="10">
        <f t="shared" si="2"/>
        <v>3.350217501779524E-2</v>
      </c>
      <c r="I29" s="10">
        <f t="shared" si="2"/>
        <v>8.6697436375307135E-2</v>
      </c>
      <c r="J29" s="10">
        <f t="shared" si="2"/>
        <v>0.15340261859651669</v>
      </c>
      <c r="K29" s="10">
        <f t="shared" si="2"/>
        <v>5.6806921703518962E-2</v>
      </c>
      <c r="L29" s="10">
        <f t="shared" si="2"/>
        <v>6.3488669776522511E-2</v>
      </c>
      <c r="M29" s="10">
        <f t="shared" si="2"/>
        <v>4.4156806051488896E-2</v>
      </c>
      <c r="N29" s="10">
        <f t="shared" si="2"/>
        <v>5.4317566462606978E-2</v>
      </c>
    </row>
    <row r="30" spans="1:14" x14ac:dyDescent="0.35">
      <c r="A30" vm="18080">
        <v>43466</v>
      </c>
      <c r="B30" s="8">
        <v>7.7447940591027553E-2</v>
      </c>
      <c r="C30" s="8">
        <v>0.14431713016904446</v>
      </c>
      <c r="D30" s="8">
        <v>0.13701609395389314</v>
      </c>
      <c r="E30" s="8">
        <v>0.11754027683231216</v>
      </c>
      <c r="F30" s="8">
        <v>8.7117771722676318E-2</v>
      </c>
      <c r="G30" s="8">
        <v>0.11916247018287818</v>
      </c>
      <c r="H30" s="8">
        <v>2.9685881946841519E-2</v>
      </c>
      <c r="I30" s="8">
        <v>0.22533259423503327</v>
      </c>
      <c r="J30" s="8">
        <v>7.6794007490636806E-2</v>
      </c>
      <c r="K30" s="8">
        <v>4.9499564838990429E-2</v>
      </c>
      <c r="L30" s="8">
        <v>8.4617854849068586E-2</v>
      </c>
      <c r="M30" s="8">
        <v>7.8684404731036883E-2</v>
      </c>
      <c r="N30" s="9">
        <v>9.0107610527680571E-2</v>
      </c>
    </row>
    <row r="31" spans="1:14" x14ac:dyDescent="0.35">
      <c r="A31" vm="6359">
        <v>43497</v>
      </c>
      <c r="B31" s="8">
        <v>5.8620291502720079E-4</v>
      </c>
      <c r="C31" s="8">
        <v>-4.5905988724232349E-2</v>
      </c>
      <c r="D31" s="8">
        <v>4.7819433817903656E-2</v>
      </c>
      <c r="E31" s="8">
        <v>7.4873096446700593E-2</v>
      </c>
      <c r="F31" s="8">
        <v>7.2686764603494991E-2</v>
      </c>
      <c r="G31" s="8">
        <v>6.4604745891157167E-2</v>
      </c>
      <c r="H31" s="8">
        <v>4.8832271762208057E-2</v>
      </c>
      <c r="I31" s="8">
        <v>-3.3928975344944545E-3</v>
      </c>
      <c r="J31" s="8">
        <v>7.3098113417552568E-2</v>
      </c>
      <c r="K31" s="8">
        <v>2.1561107079921094E-2</v>
      </c>
      <c r="L31" s="8">
        <v>-0.10355292376017766</v>
      </c>
      <c r="M31" s="8">
        <v>2.9728930143116061E-2</v>
      </c>
      <c r="N31" s="9">
        <v>2.9911988582302484E-2</v>
      </c>
    </row>
    <row r="32" spans="1:14" x14ac:dyDescent="0.35">
      <c r="A32" vm="6587">
        <v>43525</v>
      </c>
      <c r="B32" s="8">
        <v>4.4685100528161215E-2</v>
      </c>
      <c r="C32" s="8">
        <v>8.593573724105541E-2</v>
      </c>
      <c r="D32" s="8">
        <v>5.6224899598393607E-2</v>
      </c>
      <c r="E32" s="8">
        <v>7.003541912632838E-2</v>
      </c>
      <c r="F32" s="8">
        <v>3.1479197767248612E-2</v>
      </c>
      <c r="G32" s="8">
        <v>4.7515237798638532E-2</v>
      </c>
      <c r="H32" s="8">
        <v>2.9831664180694606E-2</v>
      </c>
      <c r="I32" s="8">
        <v>-1.1121198365864782E-2</v>
      </c>
      <c r="J32" s="8">
        <v>0.1640088162841955</v>
      </c>
      <c r="K32" s="8">
        <v>5.580923389142578E-2</v>
      </c>
      <c r="L32" s="8">
        <v>2.080753034431515E-2</v>
      </c>
      <c r="M32" s="8">
        <v>1.7924287751078349E-2</v>
      </c>
      <c r="N32" s="9">
        <v>3.7357815116346282E-2</v>
      </c>
    </row>
    <row r="33" spans="1:14" x14ac:dyDescent="0.35">
      <c r="A33" vm="6842">
        <v>43556</v>
      </c>
      <c r="B33" s="8">
        <v>1.8752814621587399E-2</v>
      </c>
      <c r="C33" s="8">
        <v>8.1858767373297781E-2</v>
      </c>
      <c r="D33" s="8">
        <v>3.5948842032492268E-2</v>
      </c>
      <c r="E33" s="8">
        <v>3.3983581957806042E-3</v>
      </c>
      <c r="F33" s="8">
        <v>9.2562295494588609E-2</v>
      </c>
      <c r="G33" s="8">
        <v>7.9804629433000818E-2</v>
      </c>
      <c r="H33" s="8">
        <v>5.7935030002069787E-3</v>
      </c>
      <c r="I33" s="8">
        <v>-2.0426899242598107E-2</v>
      </c>
      <c r="J33" s="8">
        <v>8.0196034751616185E-3</v>
      </c>
      <c r="K33" s="8">
        <v>2.3354156655454261E-2</v>
      </c>
      <c r="L33" s="8">
        <v>-5.7388983256491111E-2</v>
      </c>
      <c r="M33" s="8">
        <v>3.9313434942139347E-2</v>
      </c>
      <c r="N33" s="9">
        <v>5.4992764109985437E-2</v>
      </c>
    </row>
    <row r="34" spans="1:14" x14ac:dyDescent="0.35">
      <c r="A34" vm="7090">
        <v>43586</v>
      </c>
      <c r="B34" s="8">
        <v>-7.7116834589977978E-2</v>
      </c>
      <c r="C34" s="8">
        <v>-7.8613250835703696E-2</v>
      </c>
      <c r="D34" s="8">
        <v>2.4190857524190923E-2</v>
      </c>
      <c r="E34" s="8">
        <v>6.8374752584121401E-2</v>
      </c>
      <c r="F34" s="8">
        <v>-5.3677359903242516E-2</v>
      </c>
      <c r="G34" s="8">
        <v>-1.0816551290119603E-2</v>
      </c>
      <c r="H34" s="8">
        <v>1.9389014606048249E-2</v>
      </c>
      <c r="I34" s="8">
        <v>-0.18720712277413309</v>
      </c>
      <c r="J34" s="8">
        <v>-0.25160220994475146</v>
      </c>
      <c r="K34" s="8">
        <v>-3.3527422990232925E-2</v>
      </c>
      <c r="L34" s="8">
        <v>3.7456558115587679E-2</v>
      </c>
      <c r="M34" s="8">
        <v>-6.5777726481161536E-2</v>
      </c>
      <c r="N34" s="9">
        <v>-8.2251767436952616E-2</v>
      </c>
    </row>
    <row r="35" spans="1:14" x14ac:dyDescent="0.35">
      <c r="A35" vm="18087">
        <v>43617</v>
      </c>
      <c r="B35" s="8">
        <v>-2.1418888386805279E-2</v>
      </c>
      <c r="C35" s="8">
        <v>6.6791732157041706E-2</v>
      </c>
      <c r="D35" s="8">
        <v>0.14008796220882869</v>
      </c>
      <c r="E35" s="8">
        <v>3.80822989357541E-2</v>
      </c>
      <c r="F35" s="8">
        <v>6.2564664353965016E-2</v>
      </c>
      <c r="G35" s="8">
        <v>5.1850968229352867E-2</v>
      </c>
      <c r="H35" s="8">
        <v>3.3550274960900017E-2</v>
      </c>
      <c r="I35" s="8">
        <v>0.14557509368694155</v>
      </c>
      <c r="J35" s="8">
        <v>0.21237265613465217</v>
      </c>
      <c r="K35" s="8">
        <v>6.5494121076669076E-2</v>
      </c>
      <c r="L35" s="8">
        <v>9.1397849462364622E-3</v>
      </c>
      <c r="M35" s="8">
        <v>6.8930183208214979E-2</v>
      </c>
      <c r="N35" s="9">
        <v>7.3526875538947989E-2</v>
      </c>
    </row>
    <row r="36" spans="1:14" x14ac:dyDescent="0.35">
      <c r="A36" vm="7587">
        <v>43647</v>
      </c>
      <c r="B36" s="8">
        <v>0.125046176579239</v>
      </c>
      <c r="C36" s="8">
        <v>-1.4179116300438888E-2</v>
      </c>
      <c r="D36" s="8">
        <v>2.1288755536505333E-2</v>
      </c>
      <c r="E36" s="8">
        <v>-4.3427392968331535E-3</v>
      </c>
      <c r="F36" s="8">
        <v>-1.2200011455409832E-2</v>
      </c>
      <c r="G36" s="8">
        <v>2.9259441273201459E-2</v>
      </c>
      <c r="H36" s="8">
        <v>1.1275993361319792E-2</v>
      </c>
      <c r="I36" s="8">
        <v>5.7876195269248587E-3</v>
      </c>
      <c r="J36" s="8">
        <v>2.7352217648634936E-2</v>
      </c>
      <c r="K36" s="8">
        <v>7.6516187870496966E-2</v>
      </c>
      <c r="L36" s="8">
        <v>2.0490963485103153E-2</v>
      </c>
      <c r="M36" s="8">
        <v>1.3128195366039375E-2</v>
      </c>
      <c r="N36" s="9">
        <v>2.3347970440184218E-2</v>
      </c>
    </row>
    <row r="37" spans="1:14" x14ac:dyDescent="0.35">
      <c r="A37" vm="7847">
        <v>43678</v>
      </c>
      <c r="B37" s="8">
        <v>-2.2713840091938886E-2</v>
      </c>
      <c r="C37" s="8">
        <v>-4.8473842659552902E-2</v>
      </c>
      <c r="D37" s="8">
        <v>0.12493005036373805</v>
      </c>
      <c r="E37" s="8">
        <v>0.10790679147580162</v>
      </c>
      <c r="F37" s="8">
        <v>-4.5459816769105932E-2</v>
      </c>
      <c r="G37" s="8">
        <v>3.3422705402725406E-2</v>
      </c>
      <c r="H37" s="8">
        <v>5.7489018680310977E-2</v>
      </c>
      <c r="I37" s="8">
        <v>-0.18864148111083312</v>
      </c>
      <c r="J37" s="8">
        <v>-7.1597913703176363E-3</v>
      </c>
      <c r="K37" s="8">
        <v>1.8553032870213482E-2</v>
      </c>
      <c r="L37" s="8">
        <v>-6.0278703666519329E-2</v>
      </c>
      <c r="M37" s="8">
        <v>-1.8091652742267761E-2</v>
      </c>
      <c r="N37" s="9">
        <v>-1.8995290423861833E-2</v>
      </c>
    </row>
    <row r="38" spans="1:14" x14ac:dyDescent="0.35">
      <c r="A38" vm="18093">
        <v>43709</v>
      </c>
      <c r="B38" s="8">
        <v>2.5711237852049207E-2</v>
      </c>
      <c r="C38" s="8">
        <v>-2.2732774490651808E-2</v>
      </c>
      <c r="D38" s="8">
        <v>-9.4515607511503452E-2</v>
      </c>
      <c r="E38" s="8">
        <v>3.6887898180772316E-2</v>
      </c>
      <c r="F38" s="8">
        <v>2.7821649860284126E-2</v>
      </c>
      <c r="G38" s="8">
        <v>-3.4829583822013732E-2</v>
      </c>
      <c r="H38" s="8">
        <v>6.3492788022640134E-2</v>
      </c>
      <c r="I38" s="8">
        <v>5.3654024051803972E-2</v>
      </c>
      <c r="J38" s="8">
        <v>3.916137351353921E-2</v>
      </c>
      <c r="K38" s="8">
        <v>3.4517175413790069E-2</v>
      </c>
      <c r="L38" s="8">
        <v>-7.128205128205134E-2</v>
      </c>
      <c r="M38" s="8">
        <v>1.7181167690656807E-2</v>
      </c>
      <c r="N38" s="9">
        <v>7.1478103163173934E-3</v>
      </c>
    </row>
    <row r="39" spans="1:14" x14ac:dyDescent="0.35">
      <c r="A39" vm="8364">
        <v>43739</v>
      </c>
      <c r="B39" s="8">
        <v>3.0840034721653531E-2</v>
      </c>
      <c r="C39" s="8">
        <v>2.3474719311485037E-2</v>
      </c>
      <c r="D39" s="8">
        <v>-3.9005631094629956E-2</v>
      </c>
      <c r="E39" s="8">
        <v>-1.7371705963938888E-2</v>
      </c>
      <c r="F39" s="8">
        <v>2.0862884160756545E-2</v>
      </c>
      <c r="G39" s="8">
        <v>1.9295209338292096E-2</v>
      </c>
      <c r="H39" s="8">
        <v>2.2962358899523583E-2</v>
      </c>
      <c r="I39" s="8">
        <v>-4.3312847527070653E-2</v>
      </c>
      <c r="J39" s="8">
        <v>0.15480950411324046</v>
      </c>
      <c r="K39" s="8">
        <v>1.045184113201536E-3</v>
      </c>
      <c r="L39" s="8">
        <v>0.16280139885882572</v>
      </c>
      <c r="M39" s="8">
        <v>2.0431747482144935E-2</v>
      </c>
      <c r="N39" s="9">
        <v>4.380064615221646E-2</v>
      </c>
    </row>
    <row r="40" spans="1:14" x14ac:dyDescent="0.35">
      <c r="A40" vm="8636">
        <v>43770</v>
      </c>
      <c r="B40" s="8">
        <v>3.5978709882427573E-2</v>
      </c>
      <c r="C40" s="8">
        <v>1.3587293010480339E-2</v>
      </c>
      <c r="D40" s="8">
        <v>-5.5881091896527013E-2</v>
      </c>
      <c r="E40" s="8">
        <v>1.2350471082256398E-4</v>
      </c>
      <c r="F40" s="8">
        <v>3.3694204828344843E-2</v>
      </c>
      <c r="G40" s="8">
        <v>5.570607998265964E-2</v>
      </c>
      <c r="H40" s="8">
        <v>-1.8964504489384915E-2</v>
      </c>
      <c r="I40" s="8">
        <v>0.10737228510247809</v>
      </c>
      <c r="J40" s="8">
        <v>7.8201174012536123E-2</v>
      </c>
      <c r="K40" s="8">
        <v>-1.9677134366717586E-2</v>
      </c>
      <c r="L40" s="8">
        <v>0.10751879699248135</v>
      </c>
      <c r="M40" s="8">
        <v>3.404706409091518E-2</v>
      </c>
      <c r="N40" s="9">
        <v>4.0694134361680456E-2</v>
      </c>
    </row>
    <row r="41" spans="1:14" x14ac:dyDescent="0.35">
      <c r="A41" vm="18098">
        <v>43800</v>
      </c>
      <c r="B41" s="8">
        <v>2.7068683909852842E-2</v>
      </c>
      <c r="C41" s="8">
        <v>2.6121723678365072E-2</v>
      </c>
      <c r="D41" s="8">
        <v>-2.1041477444747159E-2</v>
      </c>
      <c r="E41" s="8">
        <v>2.9725676986857241E-2</v>
      </c>
      <c r="F41" s="8">
        <v>-8.6810417250070548E-3</v>
      </c>
      <c r="G41" s="8">
        <v>2.1763679293706817E-2</v>
      </c>
      <c r="H41" s="8">
        <v>3.5668462920195099E-2</v>
      </c>
      <c r="I41" s="8">
        <v>0.11049723756906071</v>
      </c>
      <c r="J41" s="8">
        <v>8.5632555135185084E-2</v>
      </c>
      <c r="K41" s="8">
        <v>2.3267245616909848E-2</v>
      </c>
      <c r="L41" s="8">
        <v>5.0416264694322477E-2</v>
      </c>
      <c r="M41" s="8">
        <v>2.8589803182446305E-2</v>
      </c>
      <c r="N41" s="9">
        <v>3.6616284739151794E-2</v>
      </c>
    </row>
    <row r="42" spans="1:14" x14ac:dyDescent="0.35">
      <c r="A42">
        <v>2019</v>
      </c>
      <c r="B42" s="10" cm="1">
        <f t="array" ref="B42">PRODUCT(1 + B30:B41) - 1</f>
        <v>0.28176198131985952</v>
      </c>
      <c r="C42" s="10" cm="1">
        <f t="array" ref="C42">PRODUCT(1 + C30:C41) - 1</f>
        <v>0.230277568792985</v>
      </c>
      <c r="D42" s="10" cm="1">
        <f t="array" ref="D42">PRODUCT(1 + D30:D41) - 1</f>
        <v>0.40648107872988315</v>
      </c>
      <c r="E42" s="10" cm="1">
        <f t="array" ref="E42">PRODUCT(1 + E30:E41) - 1</f>
        <v>0.6556047197640118</v>
      </c>
      <c r="F42" s="10" cm="1">
        <f t="array" ref="F42">PRODUCT(1 + F30:F41) - 1</f>
        <v>0.3396911898274293</v>
      </c>
      <c r="G42" s="10" cm="1">
        <f t="array" ref="G42">PRODUCT(1 + G30:G41) - 1</f>
        <v>0.58277232971110449</v>
      </c>
      <c r="H42" s="10" cm="1">
        <f t="array" ref="H42">PRODUCT(1 + H30:H41) - 1</f>
        <v>0.39316534345875054</v>
      </c>
      <c r="I42" s="10" cm="1">
        <f t="array" ref="I42">PRODUCT(1 + I30:I41) - 1</f>
        <v>0.11419068736141913</v>
      </c>
      <c r="J42" s="10" cm="1">
        <f t="array" ref="J42">PRODUCT(1 + J30:J41) - 1</f>
        <v>0.76254681647940115</v>
      </c>
      <c r="K42" s="10" cm="1">
        <f t="array" ref="K42">PRODUCT(1 + K30:K41) - 1</f>
        <v>0.35879025239338524</v>
      </c>
      <c r="L42" s="10" cm="1">
        <f t="array" ref="L42">PRODUCT(1 + L30:L41) - 1</f>
        <v>0.18007385998715519</v>
      </c>
      <c r="M42" s="10" cm="1">
        <f t="array" ref="M42">PRODUCT(1 + M30:M41) - 1</f>
        <v>0.28878074077028959</v>
      </c>
      <c r="N42" s="10" cm="1">
        <f t="array" ref="N42">PRODUCT(1 + N30:N41) - 1</f>
        <v>0.37825748735900433</v>
      </c>
    </row>
    <row r="43" spans="1:14" x14ac:dyDescent="0.35">
      <c r="A43" t="s">
        <v>33</v>
      </c>
      <c r="B43" s="10">
        <f>_xlfn.STDEV.S(B30:B41)</f>
        <v>5.107776983869286E-2</v>
      </c>
      <c r="C43" s="10">
        <f t="shared" ref="C43:N43" si="3">_xlfn.STDEV.S(C30:C41)</f>
        <v>6.5819977660782347E-2</v>
      </c>
      <c r="D43" s="10">
        <f t="shared" si="3"/>
        <v>7.6250938628520198E-2</v>
      </c>
      <c r="E43" s="10">
        <f t="shared" si="3"/>
        <v>4.4398235676544134E-2</v>
      </c>
      <c r="F43" s="10">
        <f t="shared" si="3"/>
        <v>4.8540156287968955E-2</v>
      </c>
      <c r="G43" s="10">
        <f t="shared" si="3"/>
        <v>4.0452978788399083E-2</v>
      </c>
      <c r="H43" s="10">
        <f t="shared" si="3"/>
        <v>2.2836157448286046E-2</v>
      </c>
      <c r="I43" s="10">
        <f t="shared" si="3"/>
        <v>0.12378061772435878</v>
      </c>
      <c r="J43" s="10">
        <f t="shared" si="3"/>
        <v>0.11676756842450349</v>
      </c>
      <c r="K43" s="10">
        <f t="shared" si="3"/>
        <v>3.2981672127693998E-2</v>
      </c>
      <c r="L43" s="10">
        <f t="shared" si="3"/>
        <v>7.9474995603672993E-2</v>
      </c>
      <c r="M43" s="10">
        <f t="shared" si="3"/>
        <v>3.7412786593156229E-2</v>
      </c>
      <c r="N43" s="10">
        <f t="shared" si="3"/>
        <v>4.4777618668884946E-2</v>
      </c>
    </row>
    <row r="44" spans="1:14" x14ac:dyDescent="0.35">
      <c r="A44" vm="18100">
        <v>43831</v>
      </c>
      <c r="B44" s="8">
        <v>6.9725770686655864E-2</v>
      </c>
      <c r="C44" s="8">
        <v>8.7063815048922022E-2</v>
      </c>
      <c r="D44" s="8">
        <v>0.11612803463738985</v>
      </c>
      <c r="E44" s="8">
        <v>1.0330649306150352E-2</v>
      </c>
      <c r="F44" s="8">
        <v>-2.1355932203389827E-2</v>
      </c>
      <c r="G44" s="8">
        <v>5.8106433571117666E-2</v>
      </c>
      <c r="H44" s="8">
        <v>0.10753221010901881</v>
      </c>
      <c r="I44" s="8">
        <v>-0.16641791044776133</v>
      </c>
      <c r="J44" s="8">
        <v>4.8108797280068671E-3</v>
      </c>
      <c r="K44" s="8">
        <v>-2.2417934347478408E-3</v>
      </c>
      <c r="L44" s="8">
        <v>-7.3236274576501947E-2</v>
      </c>
      <c r="M44" s="8">
        <v>-1.6280898111292741E-3</v>
      </c>
      <c r="N44" s="9">
        <v>3.0384271671134888E-2</v>
      </c>
    </row>
    <row r="45" spans="1:14" x14ac:dyDescent="0.35">
      <c r="A45" vm="18102">
        <v>43862</v>
      </c>
      <c r="B45" s="8">
        <v>-6.5278688982258082E-2</v>
      </c>
      <c r="C45" s="8">
        <v>-6.2213748058465135E-2</v>
      </c>
      <c r="D45" s="8">
        <v>-2.3829315599889322E-2</v>
      </c>
      <c r="E45" s="8">
        <v>-2.8708052837739362E-2</v>
      </c>
      <c r="F45" s="8">
        <v>-6.3791709964207466E-2</v>
      </c>
      <c r="G45" s="8">
        <v>-8.1312907514084931E-2</v>
      </c>
      <c r="H45" s="8">
        <v>-5.756897837434749E-2</v>
      </c>
      <c r="I45" s="8">
        <v>-0.19158460161145918</v>
      </c>
      <c r="J45" s="8">
        <v>0.14228192461257372</v>
      </c>
      <c r="K45" s="8">
        <v>-9.1397849462365621E-2</v>
      </c>
      <c r="L45" s="8">
        <v>-6.419526518627261E-2</v>
      </c>
      <c r="M45" s="8">
        <v>-8.4110469009648137E-2</v>
      </c>
      <c r="N45" s="9">
        <v>-6.057424567489833E-2</v>
      </c>
    </row>
    <row r="46" spans="1:14" x14ac:dyDescent="0.35">
      <c r="A46" vm="18105">
        <v>43891</v>
      </c>
      <c r="B46" s="8">
        <v>-0.13238753033414241</v>
      </c>
      <c r="C46" s="8">
        <v>3.5020570670205808E-2</v>
      </c>
      <c r="D46" s="8">
        <v>-8.2316207777462402E-2</v>
      </c>
      <c r="E46" s="8">
        <v>9.0380586592178958E-2</v>
      </c>
      <c r="F46" s="8">
        <v>-0.17500154159215642</v>
      </c>
      <c r="G46" s="8">
        <v>-0.16775193798449617</v>
      </c>
      <c r="H46" s="8">
        <v>-4.8029751542965626E-2</v>
      </c>
      <c r="I46" s="8">
        <v>-0.50203026947212992</v>
      </c>
      <c r="J46" s="8">
        <v>-2.3963979975710203E-2</v>
      </c>
      <c r="K46" s="8">
        <v>-2.8526009008213449E-2</v>
      </c>
      <c r="L46" s="8">
        <v>-2.1885786005647945E-2</v>
      </c>
      <c r="M46" s="8">
        <v>-0.12511932083595656</v>
      </c>
      <c r="N46" s="9">
        <v>-7.4829931972789088E-2</v>
      </c>
    </row>
    <row r="47" spans="1:14" x14ac:dyDescent="0.35">
      <c r="A47" vm="9852">
        <v>43922</v>
      </c>
      <c r="B47" s="8">
        <v>0.15899995696888847</v>
      </c>
      <c r="C47" s="8">
        <v>0.26890014976509446</v>
      </c>
      <c r="D47" s="8">
        <v>1.4382926074853142E-2</v>
      </c>
      <c r="E47" s="8">
        <v>8.1063771875049984E-2</v>
      </c>
      <c r="F47" s="8">
        <v>6.0617385454817319E-2</v>
      </c>
      <c r="G47" s="8">
        <v>0.1383093227355523</v>
      </c>
      <c r="H47" s="8">
        <v>-3.9481339871997312E-2</v>
      </c>
      <c r="I47" s="8">
        <v>0.24684951816160128</v>
      </c>
      <c r="J47" s="8">
        <v>0.10880121396054632</v>
      </c>
      <c r="K47" s="8">
        <v>7.1545454545454579E-2</v>
      </c>
      <c r="L47" s="8">
        <v>0.17278851551848606</v>
      </c>
      <c r="M47" s="8">
        <v>0.12684410293315374</v>
      </c>
      <c r="N47" s="9">
        <v>0.14973739495798322</v>
      </c>
    </row>
    <row r="48" spans="1:14" x14ac:dyDescent="0.35">
      <c r="A48" vm="10103">
        <v>43952</v>
      </c>
      <c r="B48" s="8">
        <v>6.4468701269770667E-2</v>
      </c>
      <c r="C48" s="8">
        <v>-1.2784963621665368E-2</v>
      </c>
      <c r="D48" s="8">
        <v>8.6446104589114281E-2</v>
      </c>
      <c r="E48" s="8">
        <v>3.3219786729857814E-2</v>
      </c>
      <c r="F48" s="8">
        <v>2.7836504580690535E-2</v>
      </c>
      <c r="G48" s="8">
        <v>9.4264828890424202E-2</v>
      </c>
      <c r="H48" s="8">
        <v>0.10574593284873668</v>
      </c>
      <c r="I48" s="8">
        <v>9.8097502972651629E-2</v>
      </c>
      <c r="J48" s="8">
        <v>0.21465717804844675</v>
      </c>
      <c r="K48" s="8">
        <v>-1.6543649783659964E-2</v>
      </c>
      <c r="L48" s="8">
        <v>4.2329127773788722E-2</v>
      </c>
      <c r="M48" s="8">
        <v>4.528177501261843E-2</v>
      </c>
      <c r="N48" s="9">
        <v>6.6008862089443232E-2</v>
      </c>
    </row>
    <row r="49" spans="1:14" x14ac:dyDescent="0.35">
      <c r="A49" vm="10344">
        <v>43983</v>
      </c>
      <c r="B49" s="8">
        <v>-1.0791617835816725E-2</v>
      </c>
      <c r="C49" s="8">
        <v>0.12956677325712329</v>
      </c>
      <c r="D49" s="8">
        <v>-2.4838619141173357E-2</v>
      </c>
      <c r="E49" s="8">
        <v>6.6940928572452041E-3</v>
      </c>
      <c r="F49" s="8">
        <v>-8.6390126842645909E-3</v>
      </c>
      <c r="G49" s="8">
        <v>-1.724882847552256E-2</v>
      </c>
      <c r="H49" s="8">
        <v>-6.0220691814055427E-2</v>
      </c>
      <c r="I49" s="8">
        <v>-4.3313481321060054E-3</v>
      </c>
      <c r="J49" s="8">
        <v>7.0114359754379851E-2</v>
      </c>
      <c r="K49" s="8">
        <v>3.1487232574189061E-2</v>
      </c>
      <c r="L49" s="8">
        <v>-3.2474987698868363E-2</v>
      </c>
      <c r="M49" s="8">
        <v>1.8388403283502663E-2</v>
      </c>
      <c r="N49" s="9">
        <v>6.1021597531710547E-2</v>
      </c>
    </row>
    <row r="50" spans="1:14" x14ac:dyDescent="0.35">
      <c r="A50" vm="10619">
        <v>44013</v>
      </c>
      <c r="B50" s="8">
        <v>4.9293043263636482E-2</v>
      </c>
      <c r="C50" s="8">
        <v>0.14711362104087988</v>
      </c>
      <c r="D50" s="8">
        <v>5.9576917542092378E-2</v>
      </c>
      <c r="E50" s="8">
        <v>0.11843941335611574</v>
      </c>
      <c r="F50" s="8">
        <v>3.3058994397952901E-2</v>
      </c>
      <c r="G50" s="8">
        <v>4.3388569496110918E-2</v>
      </c>
      <c r="H50" s="8">
        <v>0.16875546487904391</v>
      </c>
      <c r="I50" s="8">
        <v>-1.3594344752582921E-2</v>
      </c>
      <c r="J50" s="8">
        <v>0.11760618248436483</v>
      </c>
      <c r="K50" s="8">
        <v>9.659613615455398E-2</v>
      </c>
      <c r="L50" s="8">
        <v>2.6546872351245865E-2</v>
      </c>
      <c r="M50" s="8">
        <v>5.5101296975444303E-2</v>
      </c>
      <c r="N50" s="9">
        <v>7.3465266558966125E-2</v>
      </c>
    </row>
    <row r="51" spans="1:14" x14ac:dyDescent="0.35">
      <c r="A51" vm="18114">
        <v>44044</v>
      </c>
      <c r="B51" s="8">
        <v>9.5151046742162126E-2</v>
      </c>
      <c r="C51" s="8">
        <v>9.0460962877763285E-2</v>
      </c>
      <c r="D51" s="8">
        <v>9.1538774955860491E-2</v>
      </c>
      <c r="E51" s="8">
        <v>5.4743596272341932E-3</v>
      </c>
      <c r="F51" s="8">
        <v>0.1083216174599988</v>
      </c>
      <c r="G51" s="8">
        <v>0.1609567951252715</v>
      </c>
      <c r="H51" s="8">
        <v>-5.4506590666191235E-3</v>
      </c>
      <c r="I51" s="8">
        <v>4.7960308710033095E-2</v>
      </c>
      <c r="J51" s="8">
        <v>0.25998605720315027</v>
      </c>
      <c r="K51" s="8">
        <v>5.498779743746196E-2</v>
      </c>
      <c r="L51" s="8">
        <v>3.2267653081445413E-2</v>
      </c>
      <c r="M51" s="8">
        <v>7.0064687324219221E-2</v>
      </c>
      <c r="N51" s="9">
        <v>0.10944730802513258</v>
      </c>
    </row>
    <row r="52" spans="1:14" x14ac:dyDescent="0.35">
      <c r="A52" vm="11138">
        <v>44075</v>
      </c>
      <c r="B52" s="8">
        <v>-0.10059955938215315</v>
      </c>
      <c r="C52" s="8">
        <v>-8.7578528873125228E-2</v>
      </c>
      <c r="D52" s="8">
        <v>3.4216747542615389E-2</v>
      </c>
      <c r="E52" s="8">
        <v>-3.7542100331737882E-2</v>
      </c>
      <c r="F52" s="8">
        <v>-5.6780428873451916E-3</v>
      </c>
      <c r="G52" s="8">
        <v>-5.5892124291577083E-2</v>
      </c>
      <c r="H52" s="8">
        <v>-5.7670953182649143E-3</v>
      </c>
      <c r="I52" s="8">
        <v>-0.18148342977380327</v>
      </c>
      <c r="J52" s="8">
        <v>1.1663987438782719E-2</v>
      </c>
      <c r="K52" s="8">
        <v>4.7711993060073343E-3</v>
      </c>
      <c r="L52" s="8">
        <v>-2.495600703887435E-3</v>
      </c>
      <c r="M52" s="8">
        <v>-3.9227954095494399E-2</v>
      </c>
      <c r="N52" s="9">
        <v>-5.7786218122626187E-2</v>
      </c>
    </row>
    <row r="53" spans="1:14" x14ac:dyDescent="0.35">
      <c r="A53" vm="11391">
        <v>44105</v>
      </c>
      <c r="B53" s="8">
        <v>0.10269514192139728</v>
      </c>
      <c r="C53" s="8">
        <v>-3.5754097683827979E-2</v>
      </c>
      <c r="D53" s="8">
        <v>7.0741097208854686E-2</v>
      </c>
      <c r="E53" s="8">
        <v>-3.800665675608117E-2</v>
      </c>
      <c r="F53" s="8">
        <v>2.0654881234432043E-3</v>
      </c>
      <c r="G53" s="8">
        <v>-0.14646479581275695</v>
      </c>
      <c r="H53" s="8">
        <v>5.5051160109525821E-2</v>
      </c>
      <c r="I53" s="8">
        <v>-3.98457583547559E-2</v>
      </c>
      <c r="J53" s="8">
        <v>-7.3648423931118479E-2</v>
      </c>
      <c r="K53" s="8">
        <v>-1.3598100582775885E-2</v>
      </c>
      <c r="L53" s="8">
        <v>-2.126567662058565E-2</v>
      </c>
      <c r="M53" s="8">
        <v>-2.7665774606006499E-2</v>
      </c>
      <c r="N53" s="9">
        <v>-3.044917938381797E-2</v>
      </c>
    </row>
    <row r="54" spans="1:14" x14ac:dyDescent="0.35">
      <c r="A54" vm="18121">
        <v>44136</v>
      </c>
      <c r="B54" s="8">
        <v>8.5569670381347773E-2</v>
      </c>
      <c r="C54" s="8">
        <v>4.3439882746240999E-2</v>
      </c>
      <c r="D54" s="8">
        <v>7.8764044943820277E-2</v>
      </c>
      <c r="E54" s="8">
        <v>-4.574421530550854E-2</v>
      </c>
      <c r="F54" s="8">
        <v>0.23625341012428014</v>
      </c>
      <c r="G54" s="8">
        <v>0.1658467294900221</v>
      </c>
      <c r="H54" s="8">
        <v>5.1905477393801025E-3</v>
      </c>
      <c r="I54" s="8">
        <v>0.39156626506024095</v>
      </c>
      <c r="J54" s="8">
        <v>6.9211744056167257E-2</v>
      </c>
      <c r="K54" s="8">
        <v>1.2910284463895083E-2</v>
      </c>
      <c r="L54" s="8">
        <v>0.10224814839090257</v>
      </c>
      <c r="M54" s="8">
        <v>0.10754565805086314</v>
      </c>
      <c r="N54" s="9">
        <v>0.11225777711782614</v>
      </c>
    </row>
    <row r="55" spans="1:14" x14ac:dyDescent="0.35">
      <c r="A55" vm="11893">
        <v>44166</v>
      </c>
      <c r="B55" s="8">
        <v>-1.0031919744640794E-3</v>
      </c>
      <c r="C55" s="8">
        <v>2.8058357849017002E-2</v>
      </c>
      <c r="D55" s="8">
        <v>-2.9476096239974936E-2</v>
      </c>
      <c r="E55" s="8">
        <v>2.3488442081428529E-2</v>
      </c>
      <c r="F55" s="8">
        <v>4.3056100431541733E-2</v>
      </c>
      <c r="G55" s="8">
        <v>6.0711420165819652E-2</v>
      </c>
      <c r="H55" s="8">
        <v>4.8376138062236729E-2</v>
      </c>
      <c r="I55" s="8">
        <v>5.0024050024050082E-2</v>
      </c>
      <c r="J55" s="8">
        <v>-2.5855314703578047E-2</v>
      </c>
      <c r="K55" s="8">
        <v>1.9442644199609838E-3</v>
      </c>
      <c r="L55" s="8">
        <v>4.2635428435511713E-2</v>
      </c>
      <c r="M55" s="8">
        <v>3.712140665943231E-2</v>
      </c>
      <c r="N55" s="9">
        <v>4.7126360056070959E-2</v>
      </c>
    </row>
    <row r="56" spans="1:14" x14ac:dyDescent="0.35">
      <c r="A56">
        <v>2020</v>
      </c>
      <c r="B56" s="10" cm="1">
        <f t="array" ref="B56">PRODUCT(1 + B44:B55) - 1</f>
        <v>0.30853597533205401</v>
      </c>
      <c r="C56" s="10" cm="1">
        <f t="array" ref="C56">PRODUCT(1 + C44:C55) - 1</f>
        <v>0.76256061130833896</v>
      </c>
      <c r="D56" s="10" cm="1">
        <f t="array" ref="D56">PRODUCT(1 + D44:D55) - 1</f>
        <v>0.44085356424926547</v>
      </c>
      <c r="E56" s="10" cm="1">
        <f t="array" ref="E56">PRODUCT(1 + E44:E55) - 1</f>
        <v>0.22353948946376545</v>
      </c>
      <c r="F56" s="10" cm="1">
        <f t="array" ref="F56">PRODUCT(1 + F44:F55) - 1</f>
        <v>0.20169491525423711</v>
      </c>
      <c r="G56" s="10" cm="1">
        <f t="array" ref="G56">PRODUCT(1 + G44:G55) - 1</f>
        <v>0.19541846679393116</v>
      </c>
      <c r="H56" s="10" cm="1">
        <f t="array" ref="H56">PRODUCT(1 + H44:H55) - 1</f>
        <v>0.27436405682193632</v>
      </c>
      <c r="I56" s="10" cm="1">
        <f t="array" ref="I56">PRODUCT(1 + I44:I55) - 1</f>
        <v>-0.45696517412935311</v>
      </c>
      <c r="J56" s="10" cm="1">
        <f t="array" ref="J56">PRODUCT(1 + J44:J55) - 1</f>
        <v>1.2192945176370595</v>
      </c>
      <c r="K56" s="10" cm="1">
        <f t="array" ref="K56">PRODUCT(1 + K44:K55) - 1</f>
        <v>0.11401120896717365</v>
      </c>
      <c r="L56" s="10" cm="1">
        <f t="array" ref="L56">PRODUCT(1 + L44:L55) - 1</f>
        <v>0.19287026328321666</v>
      </c>
      <c r="M56" s="10" cm="1">
        <f t="array" ref="M56">PRODUCT(1 + M44:M55) - 1</f>
        <v>0.16258921994069597</v>
      </c>
      <c r="N56" s="10" cm="1">
        <f t="array" ref="N56">PRODUCT(1 + N44:N55) - 1</f>
        <v>0.47565965852970238</v>
      </c>
    </row>
    <row r="57" spans="1:14" x14ac:dyDescent="0.35">
      <c r="A57" t="s">
        <v>33</v>
      </c>
      <c r="B57" s="10">
        <f>_xlfn.STDEV.S(B44:B55)</f>
        <v>8.9118571849885253E-2</v>
      </c>
      <c r="C57" s="10">
        <f t="shared" ref="C57:N57" si="4">_xlfn.STDEV.S(C44:C55)</f>
        <v>0.1000784977837548</v>
      </c>
      <c r="D57" s="10">
        <f t="shared" si="4"/>
        <v>6.145274938508518E-2</v>
      </c>
      <c r="E57" s="10">
        <f t="shared" si="4"/>
        <v>5.4251271809039492E-2</v>
      </c>
      <c r="F57" s="10">
        <f t="shared" si="4"/>
        <v>9.7950280618946672E-2</v>
      </c>
      <c r="G57" s="10">
        <f t="shared" si="4"/>
        <v>0.11468050850358755</v>
      </c>
      <c r="H57" s="10">
        <f t="shared" si="4"/>
        <v>7.4607167501063082E-2</v>
      </c>
      <c r="I57" s="10">
        <f t="shared" si="4"/>
        <v>0.22843403406908325</v>
      </c>
      <c r="J57" s="10">
        <f t="shared" si="4"/>
        <v>0.10100253964016662</v>
      </c>
      <c r="K57" s="10">
        <f t="shared" si="4"/>
        <v>4.9589042302551449E-2</v>
      </c>
      <c r="L57" s="10">
        <f t="shared" si="4"/>
        <v>6.9869828619145063E-2</v>
      </c>
      <c r="M57" s="10">
        <f t="shared" si="4"/>
        <v>7.4848416609383517E-2</v>
      </c>
      <c r="N57" s="10">
        <f t="shared" si="4"/>
        <v>7.5105716044050724E-2</v>
      </c>
    </row>
    <row r="58" spans="1:14" x14ac:dyDescent="0.35">
      <c r="A58" vm="18126">
        <v>44197</v>
      </c>
      <c r="B58" s="8">
        <v>4.2632828190615202E-2</v>
      </c>
      <c r="C58" s="8">
        <v>-1.5576017906433259E-2</v>
      </c>
      <c r="D58" s="8">
        <v>-5.5376690276883522E-2</v>
      </c>
      <c r="E58" s="8">
        <v>3.6097342406676391E-2</v>
      </c>
      <c r="F58" s="8">
        <v>-8.1476257639868321E-2</v>
      </c>
      <c r="G58" s="8">
        <v>-0.11388468650193306</v>
      </c>
      <c r="H58" s="8">
        <v>4.821775761503555E-2</v>
      </c>
      <c r="I58" s="8">
        <v>1.7407237746220883E-2</v>
      </c>
      <c r="J58" s="8">
        <v>-4.9942550746839842E-3</v>
      </c>
      <c r="K58" s="8">
        <v>-7.855397441425882E-2</v>
      </c>
      <c r="L58" s="8">
        <v>-4.876240447131297E-2</v>
      </c>
      <c r="M58" s="8">
        <v>-1.1136640158463607E-2</v>
      </c>
      <c r="N58" s="9">
        <v>2.613629119653238E-3</v>
      </c>
    </row>
    <row r="59" spans="1:14" x14ac:dyDescent="0.35">
      <c r="A59" vm="12377">
        <v>44228</v>
      </c>
      <c r="B59" s="8">
        <v>0.10646506435513525</v>
      </c>
      <c r="C59" s="8">
        <v>-3.5328426174287331E-2</v>
      </c>
      <c r="D59" s="8">
        <v>-2.9879572824358047E-2</v>
      </c>
      <c r="E59" s="8">
        <v>-0.12381750364884592</v>
      </c>
      <c r="F59" s="8">
        <v>3.5727081947074746E-2</v>
      </c>
      <c r="G59" s="8">
        <v>0.11875177843118667</v>
      </c>
      <c r="H59" s="8">
        <v>-9.13812291331767E-2</v>
      </c>
      <c r="I59" s="8">
        <v>0.25664115263394871</v>
      </c>
      <c r="J59" s="8">
        <v>5.5789927481562307E-2</v>
      </c>
      <c r="K59" s="8">
        <v>-3.6502612900709774E-2</v>
      </c>
      <c r="L59" s="8">
        <v>-4.0769830325557699E-3</v>
      </c>
      <c r="M59" s="8">
        <v>2.6091474971999817E-2</v>
      </c>
      <c r="N59" s="9">
        <v>-1.335198372329649E-3</v>
      </c>
    </row>
    <row r="60" spans="1:14" x14ac:dyDescent="0.35">
      <c r="A60" vm="12599">
        <v>44256</v>
      </c>
      <c r="B60" s="8">
        <v>2.008496916282132E-2</v>
      </c>
      <c r="C60" s="8">
        <v>3.7181572166211652E-4</v>
      </c>
      <c r="D60" s="8">
        <v>-7.6121325682164676E-3</v>
      </c>
      <c r="E60" s="8">
        <v>4.8200018508807174E-2</v>
      </c>
      <c r="F60" s="8">
        <v>7.2745243390165637E-2</v>
      </c>
      <c r="G60" s="8">
        <v>6.217323724742041E-3</v>
      </c>
      <c r="H60" s="8">
        <v>2.8987479586281895E-2</v>
      </c>
      <c r="I60" s="8">
        <v>-2.5797205302758863E-2</v>
      </c>
      <c r="J60" s="8">
        <v>-2.6701666119800183E-2</v>
      </c>
      <c r="K60" s="8">
        <v>9.6332874605359109E-2</v>
      </c>
      <c r="L60" s="8">
        <v>0.1199506351213051</v>
      </c>
      <c r="M60" s="8">
        <v>4.2438634008107767E-2</v>
      </c>
      <c r="N60" s="9">
        <v>1.5884637422805215E-2</v>
      </c>
    </row>
    <row r="61" spans="1:14" x14ac:dyDescent="0.35">
      <c r="A61" vm="12869">
        <v>44287</v>
      </c>
      <c r="B61" s="8">
        <v>0.14107984407423912</v>
      </c>
      <c r="C61" s="8">
        <v>0.12066268486916942</v>
      </c>
      <c r="D61" s="8">
        <v>0.10502714184564566</v>
      </c>
      <c r="E61" s="8">
        <v>6.0580644211951196E-2</v>
      </c>
      <c r="F61" s="8">
        <v>2.7502648915096461E-2</v>
      </c>
      <c r="G61" s="8">
        <v>7.3051537705378422E-2</v>
      </c>
      <c r="H61" s="8">
        <v>2.5128951196931704E-2</v>
      </c>
      <c r="I61" s="8">
        <v>-5.1489518205222184E-3</v>
      </c>
      <c r="J61" s="8">
        <v>0.12445030453316153</v>
      </c>
      <c r="K61" s="8">
        <v>-1.4841615594772373E-2</v>
      </c>
      <c r="L61" s="8">
        <v>7.1841320181686319E-2</v>
      </c>
      <c r="M61" s="8">
        <v>5.242531255584737E-2</v>
      </c>
      <c r="N61" s="9">
        <v>5.9098173158274037E-2</v>
      </c>
    </row>
    <row r="62" spans="1:14" x14ac:dyDescent="0.35">
      <c r="A62" vm="18133">
        <v>44317</v>
      </c>
      <c r="B62" s="8">
        <v>1.4234119396643319E-3</v>
      </c>
      <c r="C62" s="8">
        <v>-7.0470263192806137E-2</v>
      </c>
      <c r="D62" s="8">
        <v>-0.12259718069201198</v>
      </c>
      <c r="E62" s="8">
        <v>2.2143293190521218E-2</v>
      </c>
      <c r="F62" s="8">
        <v>3.5285150645624208E-2</v>
      </c>
      <c r="G62" s="8">
        <v>-5.6221535884416141E-2</v>
      </c>
      <c r="H62" s="8">
        <v>-5.5347697071345681E-2</v>
      </c>
      <c r="I62" s="8">
        <v>0.15822550831792959</v>
      </c>
      <c r="J62" s="8">
        <v>8.2281221892801293E-2</v>
      </c>
      <c r="K62" s="8">
        <v>1.0718033278369177E-2</v>
      </c>
      <c r="L62" s="8">
        <v>3.28986960882649E-2</v>
      </c>
      <c r="M62" s="8">
        <v>5.4865025818131574E-3</v>
      </c>
      <c r="N62" s="9">
        <v>-1.2012189709754706E-2</v>
      </c>
    </row>
    <row r="63" spans="1:14" x14ac:dyDescent="0.35">
      <c r="A63" vm="13339">
        <v>44348</v>
      </c>
      <c r="B63" s="8">
        <v>3.603962916604786E-2</v>
      </c>
      <c r="C63" s="8">
        <v>6.7355037278123087E-2</v>
      </c>
      <c r="D63" s="8">
        <v>-1.3875365141187923E-2</v>
      </c>
      <c r="E63" s="8">
        <v>8.9423390161798233E-2</v>
      </c>
      <c r="F63" s="8">
        <v>-5.0062795028366081E-2</v>
      </c>
      <c r="G63" s="8">
        <v>1.2507626601586219E-2</v>
      </c>
      <c r="H63" s="8">
        <v>8.194482381862489E-4</v>
      </c>
      <c r="I63" s="8">
        <v>2.1704436642195901E-2</v>
      </c>
      <c r="J63" s="8">
        <v>0.23133983809904901</v>
      </c>
      <c r="K63" s="8">
        <v>5.9325176121616252E-4</v>
      </c>
      <c r="L63" s="8">
        <v>-2.7869489221208021E-2</v>
      </c>
      <c r="M63" s="8">
        <v>2.221397632316946E-2</v>
      </c>
      <c r="N63" s="9">
        <v>6.1390111700056815E-2</v>
      </c>
    </row>
    <row r="64" spans="1:14" x14ac:dyDescent="0.35">
      <c r="A64" vm="13593">
        <v>44378</v>
      </c>
      <c r="B64" s="8">
        <v>0.10350603450747187</v>
      </c>
      <c r="C64" s="8">
        <v>-3.2722315241151545E-2</v>
      </c>
      <c r="D64" s="8">
        <v>-1.727968402863489E-3</v>
      </c>
      <c r="E64" s="8">
        <v>2.2190381260901892E-2</v>
      </c>
      <c r="F64" s="8">
        <v>6.5830863916115812E-2</v>
      </c>
      <c r="G64" s="8">
        <v>5.7109205949217978E-2</v>
      </c>
      <c r="H64" s="8">
        <v>6.3045851528384267E-2</v>
      </c>
      <c r="I64" s="8">
        <v>-9.9343955014058127E-2</v>
      </c>
      <c r="J64" s="8">
        <v>-2.5171853518310305E-2</v>
      </c>
      <c r="K64" s="8">
        <v>5.410212702882955E-2</v>
      </c>
      <c r="L64" s="8">
        <v>2.941764059534524E-2</v>
      </c>
      <c r="M64" s="8">
        <v>2.274810936591054E-2</v>
      </c>
      <c r="N64" s="9">
        <v>2.8609316367124604E-2</v>
      </c>
    </row>
    <row r="65" spans="1:14" x14ac:dyDescent="0.35">
      <c r="A65" vm="18140">
        <v>44409</v>
      </c>
      <c r="B65" s="8">
        <v>7.4009196409021261E-2</v>
      </c>
      <c r="C65" s="8">
        <v>4.3034147836722658E-2</v>
      </c>
      <c r="D65" s="8">
        <v>0.18644906033630071</v>
      </c>
      <c r="E65" s="8">
        <v>2.8083519216001829E-2</v>
      </c>
      <c r="F65" s="8">
        <v>-8.0414046794131666E-3</v>
      </c>
      <c r="G65" s="8">
        <v>-0.10289164118774929</v>
      </c>
      <c r="H65" s="8">
        <v>7.8177150192554334E-2</v>
      </c>
      <c r="I65" s="8">
        <v>-2.7402011793270842E-2</v>
      </c>
      <c r="J65" s="8">
        <v>0.14800759013282749</v>
      </c>
      <c r="K65" s="8">
        <v>1.1249384799267848E-3</v>
      </c>
      <c r="L65" s="8">
        <v>9.8248508078209174E-3</v>
      </c>
      <c r="M65" s="8">
        <v>2.8990321391681118E-2</v>
      </c>
      <c r="N65" s="9">
        <v>4.218668568450501E-2</v>
      </c>
    </row>
    <row r="66" spans="1:14" x14ac:dyDescent="0.35">
      <c r="A66" vm="14096">
        <v>44440</v>
      </c>
      <c r="B66" s="8">
        <v>-7.6169249641493519E-2</v>
      </c>
      <c r="C66" s="8">
        <v>-5.3518075135631893E-2</v>
      </c>
      <c r="D66" s="8">
        <v>-6.2421842434347563E-2</v>
      </c>
      <c r="E66" s="8">
        <v>-6.3216551070010119E-2</v>
      </c>
      <c r="F66" s="8">
        <v>-8.4644905351213828E-2</v>
      </c>
      <c r="G66" s="8">
        <v>4.187967536031012E-3</v>
      </c>
      <c r="H66" s="8">
        <v>-6.5126800809620189E-2</v>
      </c>
      <c r="I66" s="8">
        <v>5.7061340941512162E-2</v>
      </c>
      <c r="J66" s="8">
        <v>-7.4558856377038185E-2</v>
      </c>
      <c r="K66" s="8">
        <v>-1.8189479598286207E-2</v>
      </c>
      <c r="L66" s="8">
        <v>-6.1330386527974623E-2</v>
      </c>
      <c r="M66" s="8">
        <v>-4.7569140421166334E-2</v>
      </c>
      <c r="N66" s="9">
        <v>-5.787603632056848E-2</v>
      </c>
    </row>
    <row r="67" spans="1:14" x14ac:dyDescent="0.35">
      <c r="A67" vm="14331">
        <v>44470</v>
      </c>
      <c r="B67" s="8">
        <v>0.10749872826835039</v>
      </c>
      <c r="C67" s="8">
        <v>2.6602415800111912E-2</v>
      </c>
      <c r="D67" s="8">
        <v>1.6783372235189553E-2</v>
      </c>
      <c r="E67" s="8">
        <v>5.9407945527951256E-2</v>
      </c>
      <c r="F67" s="8">
        <v>2.9866214433766691E-2</v>
      </c>
      <c r="G67" s="8">
        <v>-3.4974689369535295E-2</v>
      </c>
      <c r="H67" s="8">
        <v>8.6729495669892964E-2</v>
      </c>
      <c r="I67" s="8">
        <v>8.8394062078272606E-2</v>
      </c>
      <c r="J67" s="8">
        <v>0.23416682757289053</v>
      </c>
      <c r="K67" s="8">
        <v>2.2818311874105879E-2</v>
      </c>
      <c r="L67" s="8">
        <v>0.17845626247632707</v>
      </c>
      <c r="M67" s="8">
        <v>6.9143873301234615E-2</v>
      </c>
      <c r="N67" s="9">
        <v>7.8640071516370647E-2</v>
      </c>
    </row>
    <row r="68" spans="1:14" x14ac:dyDescent="0.35">
      <c r="A68" vm="14570">
        <v>44501</v>
      </c>
      <c r="B68" s="8">
        <v>-4.1531010631830512E-2</v>
      </c>
      <c r="C68" s="8">
        <v>3.9923734517840259E-2</v>
      </c>
      <c r="D68" s="8">
        <v>2.1534761696545779E-2</v>
      </c>
      <c r="E68" s="8">
        <v>-2.9710776876485823E-2</v>
      </c>
      <c r="F68" s="8">
        <v>-7.4924526575793626E-2</v>
      </c>
      <c r="G68" s="8">
        <v>-6.1397234144015211E-2</v>
      </c>
      <c r="H68" s="8">
        <v>1.6992851283253341E-2</v>
      </c>
      <c r="I68" s="8">
        <v>-0.11097334159950401</v>
      </c>
      <c r="J68" s="8">
        <v>0.27805374115070225</v>
      </c>
      <c r="K68" s="8">
        <v>1.1119658717392955E-2</v>
      </c>
      <c r="L68" s="8">
        <v>-3.5290029752209739E-2</v>
      </c>
      <c r="M68" s="8">
        <v>-8.3337314184714906E-3</v>
      </c>
      <c r="N68" s="9">
        <v>1.9968402786770589E-2</v>
      </c>
    </row>
    <row r="69" spans="1:14" x14ac:dyDescent="0.35">
      <c r="A69" vm="14804">
        <v>44531</v>
      </c>
      <c r="B69" s="8">
        <v>2.0821367536425939E-2</v>
      </c>
      <c r="C69" s="8">
        <v>-4.9251939653328747E-2</v>
      </c>
      <c r="D69" s="8">
        <v>3.017656500802568E-2</v>
      </c>
      <c r="E69" s="8">
        <v>4.1418369859640425E-2</v>
      </c>
      <c r="F69" s="8">
        <v>3.1002768987341778E-2</v>
      </c>
      <c r="G69" s="8">
        <v>0.14098818747618425</v>
      </c>
      <c r="H69" s="8">
        <v>7.582392256280257E-2</v>
      </c>
      <c r="I69" s="8">
        <v>4.4281729428172989E-2</v>
      </c>
      <c r="J69" s="8">
        <v>-9.9920430897294632E-2</v>
      </c>
      <c r="K69" s="8">
        <v>0.13141513349010925</v>
      </c>
      <c r="L69" s="8">
        <v>0.13038584485164995</v>
      </c>
      <c r="M69" s="8">
        <v>4.3612874972629889E-2</v>
      </c>
      <c r="N69" s="9">
        <v>1.0233101416891044E-2</v>
      </c>
    </row>
    <row r="70" spans="1:14" x14ac:dyDescent="0.35">
      <c r="A70">
        <v>2021</v>
      </c>
      <c r="B70" s="10" cm="1">
        <f t="array" ref="B70">PRODUCT(1 + B58:B69) - 1</f>
        <v>0.65295782362607224</v>
      </c>
      <c r="C70" s="10" cm="1">
        <f t="array" ref="C70">PRODUCT(1 + C58:C69) - 1</f>
        <v>2.3767781315534142E-2</v>
      </c>
      <c r="D70" s="10" cm="1">
        <f t="array" ref="D70">PRODUCT(1 + D58:D69) - 1</f>
        <v>3.3161622665808466E-2</v>
      </c>
      <c r="E70" s="10" cm="1">
        <f t="array" ref="E70">PRODUCT(1 + E58:E69) - 1</f>
        <v>0.18435128399003098</v>
      </c>
      <c r="F70" s="10" cm="1">
        <f t="array" ref="F70">PRODUCT(1 + F58:F69) - 1</f>
        <v>-1.9699106723084281E-2</v>
      </c>
      <c r="G70" s="10" cm="1">
        <f t="array" ref="G70">PRODUCT(1 + G58:G69) - 1</f>
        <v>6.6677873031879553E-3</v>
      </c>
      <c r="H70" s="10" cm="1">
        <f t="array" ref="H70">PRODUCT(1 + H58:H69) - 1</f>
        <v>0.21011017498379747</v>
      </c>
      <c r="I70" s="10" cm="1">
        <f t="array" ref="I70">PRODUCT(1 + I58:I69) - 1</f>
        <v>0.37196518552450697</v>
      </c>
      <c r="J70" s="10" cm="1">
        <f t="array" ref="J70">PRODUCT(1 + J58:J69) - 1</f>
        <v>1.2528533129069328</v>
      </c>
      <c r="K70" s="10" cm="1">
        <f t="array" ref="K70">PRODUCT(1 + K58:K69) - 1</f>
        <v>0.1756504240333483</v>
      </c>
      <c r="L70" s="10" cm="1">
        <f t="array" ref="L70">PRODUCT(1 + L58:L69) - 1</f>
        <v>0.43190372989620207</v>
      </c>
      <c r="M70" s="10" cm="1">
        <f t="array" ref="M70">PRODUCT(1 + M58:M69) - 1</f>
        <v>0.26892736290857222</v>
      </c>
      <c r="N70" s="10" cm="1">
        <f t="array" ref="N70">PRODUCT(1 + N58:N69) - 1</f>
        <v>0.26808822591955139</v>
      </c>
    </row>
    <row r="71" spans="1:14" x14ac:dyDescent="0.35">
      <c r="A71" t="s">
        <v>33</v>
      </c>
      <c r="B71" s="10">
        <f>_xlfn.STDEV.S(B58:B69)</f>
        <v>6.5044196221993963E-2</v>
      </c>
      <c r="C71" s="10">
        <f t="shared" ref="C71:N71" si="5">_xlfn.STDEV.S(C58:C69)</f>
        <v>5.7149453164263841E-2</v>
      </c>
      <c r="D71" s="10">
        <f t="shared" si="5"/>
        <v>7.9898277610403884E-2</v>
      </c>
      <c r="E71" s="10">
        <f t="shared" si="5"/>
        <v>5.9912921220952979E-2</v>
      </c>
      <c r="F71" s="10">
        <f t="shared" si="5"/>
        <v>5.7796077528212322E-2</v>
      </c>
      <c r="G71" s="10">
        <f t="shared" si="5"/>
        <v>8.2209885911922478E-2</v>
      </c>
      <c r="H71" s="10">
        <f t="shared" si="5"/>
        <v>5.9811466686645449E-2</v>
      </c>
      <c r="I71" s="10">
        <f t="shared" si="5"/>
        <v>0.10296061557537398</v>
      </c>
      <c r="J71" s="10">
        <f t="shared" si="5"/>
        <v>0.1275300844974418</v>
      </c>
      <c r="K71" s="10">
        <f t="shared" si="5"/>
        <v>5.6879468604389263E-2</v>
      </c>
      <c r="L71" s="10">
        <f t="shared" si="5"/>
        <v>7.7217009344698828E-2</v>
      </c>
      <c r="M71" s="10">
        <f t="shared" si="5"/>
        <v>3.1913769494155753E-2</v>
      </c>
      <c r="N71" s="10">
        <f t="shared" si="5"/>
        <v>3.717469208301153E-2</v>
      </c>
    </row>
    <row r="72" spans="1:14" x14ac:dyDescent="0.35">
      <c r="A72" vm="18149">
        <v>44562</v>
      </c>
      <c r="B72" s="8">
        <v>-6.5919006986441264E-2</v>
      </c>
      <c r="C72" s="8">
        <v>-0.10282994535650247</v>
      </c>
      <c r="D72" s="8">
        <v>8.6215851251687514E-3</v>
      </c>
      <c r="E72" s="8">
        <v>-0.14298212427882351</v>
      </c>
      <c r="F72" s="8">
        <v>-1.9327610186561817E-2</v>
      </c>
      <c r="G72" s="8">
        <v>7.5308916842925511E-2</v>
      </c>
      <c r="H72" s="8">
        <v>-0.16323907455012843</v>
      </c>
      <c r="I72" s="8">
        <v>0.30450751252086805</v>
      </c>
      <c r="J72" s="8">
        <v>-0.16745435381319917</v>
      </c>
      <c r="K72" s="8">
        <v>-1.9134368504707289E-2</v>
      </c>
      <c r="L72" s="8">
        <v>-5.888795953319792E-2</v>
      </c>
      <c r="M72" s="8">
        <v>-5.2585089106999772E-2</v>
      </c>
      <c r="N72" s="9">
        <v>-8.7470152067362084E-2</v>
      </c>
    </row>
    <row r="73" spans="1:14" x14ac:dyDescent="0.35">
      <c r="A73" vm="15262">
        <v>44593</v>
      </c>
      <c r="B73" s="8">
        <v>-1.8218301817767291E-3</v>
      </c>
      <c r="C73" s="8">
        <v>2.667250549061162E-2</v>
      </c>
      <c r="D73" s="8">
        <v>-7.5798146240988684E-2</v>
      </c>
      <c r="E73" s="8">
        <v>-2.0927024417160878E-2</v>
      </c>
      <c r="F73" s="8">
        <v>-7.2036384976525758E-2</v>
      </c>
      <c r="G73" s="8">
        <v>-6.6152492365029292E-2</v>
      </c>
      <c r="H73" s="8">
        <v>1.9201228878646948E-3</v>
      </c>
      <c r="I73" s="8">
        <v>4.3511645764013895E-3</v>
      </c>
      <c r="J73" s="8">
        <v>-4.1248060115984808E-3</v>
      </c>
      <c r="K73" s="8">
        <v>-2.8420068557182931E-2</v>
      </c>
      <c r="L73" s="8">
        <v>6.9830924519118653E-3</v>
      </c>
      <c r="M73" s="8">
        <v>-3.1360520866782648E-2</v>
      </c>
      <c r="N73" s="9">
        <v>-4.4759674975898611E-2</v>
      </c>
    </row>
    <row r="74" spans="1:14" x14ac:dyDescent="0.35">
      <c r="A74" vm="15470">
        <v>44621</v>
      </c>
      <c r="B74" s="8">
        <v>2.9694869573587468E-2</v>
      </c>
      <c r="C74" s="8">
        <v>6.1437325397394105E-2</v>
      </c>
      <c r="D74" s="8">
        <v>2.8972587474929146E-3</v>
      </c>
      <c r="E74" s="8">
        <v>4.4932579995209387E-2</v>
      </c>
      <c r="F74" s="8">
        <v>2.5454545454545618E-2</v>
      </c>
      <c r="G74" s="8">
        <v>-9.5338395876060078E-3</v>
      </c>
      <c r="H74" s="8">
        <v>8.2279289638431008E-2</v>
      </c>
      <c r="I74" s="8">
        <v>5.2752293577981613E-2</v>
      </c>
      <c r="J74" s="8">
        <v>0.11896657781423015</v>
      </c>
      <c r="K74" s="8">
        <v>-1.9821669125665409E-2</v>
      </c>
      <c r="L74" s="8">
        <v>7.1658225986088731E-2</v>
      </c>
      <c r="M74" s="8">
        <v>3.5773238773280092E-2</v>
      </c>
      <c r="N74" s="9">
        <v>4.5386389850057718E-2</v>
      </c>
    </row>
    <row r="75" spans="1:14" x14ac:dyDescent="0.35">
      <c r="A75" vm="15731">
        <v>44652</v>
      </c>
      <c r="B75" s="8">
        <v>-0.17946680568788542</v>
      </c>
      <c r="C75" s="8">
        <v>-0.23752511541588062</v>
      </c>
      <c r="D75" s="8">
        <v>-9.8222222222222211E-2</v>
      </c>
      <c r="E75" s="8">
        <v>-3.0392923599687149E-2</v>
      </c>
      <c r="F75" s="8">
        <v>-5.4990235378765684E-3</v>
      </c>
      <c r="G75" s="8">
        <v>1.6788852202137772E-2</v>
      </c>
      <c r="H75" s="8">
        <v>-0.16161019950419075</v>
      </c>
      <c r="I75" s="8">
        <v>-5.5676591624304161E-2</v>
      </c>
      <c r="J75" s="8">
        <v>-0.3202741332551492</v>
      </c>
      <c r="K75" s="8">
        <v>5.0719895287958172E-2</v>
      </c>
      <c r="L75" s="8">
        <v>-2.7844775182853665E-3</v>
      </c>
      <c r="M75" s="8">
        <v>-8.7956719149039353E-2</v>
      </c>
      <c r="N75" s="9">
        <v>-0.13595741159596186</v>
      </c>
    </row>
    <row r="76" spans="1:14" x14ac:dyDescent="0.35">
      <c r="A76" vm="18157">
        <v>44682</v>
      </c>
      <c r="B76" s="8">
        <v>-3.0453205035513298E-3</v>
      </c>
      <c r="C76" s="8">
        <v>-3.2764329365191025E-2</v>
      </c>
      <c r="D76" s="8">
        <v>-0.12654016757023157</v>
      </c>
      <c r="E76" s="8">
        <v>-4.4487400567391644E-2</v>
      </c>
      <c r="F76" s="8">
        <v>5.6844607513828471E-4</v>
      </c>
      <c r="G76" s="8">
        <v>-1.5163190048984476E-2</v>
      </c>
      <c r="H76" s="8">
        <v>6.5756125035201451E-2</v>
      </c>
      <c r="I76" s="8">
        <v>0.17815944629582159</v>
      </c>
      <c r="J76" s="8">
        <v>6.7396344422279153E-3</v>
      </c>
      <c r="K76" s="8">
        <v>-7.8916225474930046E-2</v>
      </c>
      <c r="L76" s="8">
        <v>-2.3144233605348563E-2</v>
      </c>
      <c r="M76" s="8">
        <v>5.3243883608722342E-5</v>
      </c>
      <c r="N76" s="9">
        <v>-1.5865921787709625E-2</v>
      </c>
    </row>
    <row r="77" spans="1:14" x14ac:dyDescent="0.35">
      <c r="A77" vm="16167">
        <v>44713</v>
      </c>
      <c r="B77" s="8">
        <v>-4.218456074963528E-2</v>
      </c>
      <c r="C77" s="8">
        <v>-0.11645918167865277</v>
      </c>
      <c r="D77" s="8">
        <v>-2.9905487374806139E-2</v>
      </c>
      <c r="E77" s="8">
        <v>-4.3764281244087488E-2</v>
      </c>
      <c r="F77" s="8">
        <v>-0.1023138105567607</v>
      </c>
      <c r="G77" s="8">
        <v>-0.11845083410176871</v>
      </c>
      <c r="H77" s="8">
        <v>2.3384859294490523E-2</v>
      </c>
      <c r="I77" s="8">
        <v>-0.22193211488250664</v>
      </c>
      <c r="J77" s="8">
        <v>-0.18814267352185088</v>
      </c>
      <c r="K77" s="8">
        <v>-2.765756018393295E-2</v>
      </c>
      <c r="L77" s="8">
        <v>3.3918434719594215E-2</v>
      </c>
      <c r="M77" s="8">
        <v>-8.3919993223866451E-2</v>
      </c>
      <c r="N77" s="9">
        <v>-9.0826521344232525E-2</v>
      </c>
    </row>
    <row r="78" spans="1:14" x14ac:dyDescent="0.35">
      <c r="A78" vm="16391">
        <v>44743</v>
      </c>
      <c r="B78" s="8">
        <v>6.7518331910832119E-2</v>
      </c>
      <c r="C78" s="8">
        <v>0.27059598907824123</v>
      </c>
      <c r="D78" s="8">
        <v>6.7616693325578181E-2</v>
      </c>
      <c r="E78" s="8">
        <v>7.1108946455206823E-2</v>
      </c>
      <c r="F78" s="8">
        <v>0.10730107588746329</v>
      </c>
      <c r="G78" s="8">
        <v>0.12143400532521875</v>
      </c>
      <c r="H78" s="8">
        <v>9.0756519493932375E-2</v>
      </c>
      <c r="I78" s="8">
        <v>3.551454138702459E-2</v>
      </c>
      <c r="J78" s="8">
        <v>0.19816610594366368</v>
      </c>
      <c r="K78" s="8">
        <v>-3.3938382363168484E-2</v>
      </c>
      <c r="L78" s="8">
        <v>5.5896267741370353E-2</v>
      </c>
      <c r="M78" s="8">
        <v>9.1116347632205885E-2</v>
      </c>
      <c r="N78" s="9">
        <v>0.12551733980305402</v>
      </c>
    </row>
    <row r="79" spans="1:14" x14ac:dyDescent="0.35">
      <c r="A79" vm="16603">
        <v>44774</v>
      </c>
      <c r="B79" s="8">
        <v>-6.9635488308115501E-2</v>
      </c>
      <c r="C79" s="8">
        <v>-6.0615042608373471E-2</v>
      </c>
      <c r="D79" s="8">
        <v>-0.23985290111686186</v>
      </c>
      <c r="E79" s="8">
        <v>-6.5890811947594274E-2</v>
      </c>
      <c r="F79" s="8">
        <v>-1.6159201912085752E-2</v>
      </c>
      <c r="G79" s="8">
        <v>-8.3156674863619662E-2</v>
      </c>
      <c r="H79" s="8">
        <v>6.7463605160373863E-3</v>
      </c>
      <c r="I79" s="8">
        <v>3.02457466918713E-2</v>
      </c>
      <c r="J79" s="8">
        <v>-0.16896988382976386</v>
      </c>
      <c r="K79" s="8">
        <v>-6.9829385933337651E-3</v>
      </c>
      <c r="L79" s="8">
        <v>-4.24272596526164E-2</v>
      </c>
      <c r="M79" s="8">
        <v>-4.2440119216810457E-2</v>
      </c>
      <c r="N79" s="9">
        <v>-5.1321879160590833E-2</v>
      </c>
    </row>
    <row r="80" spans="1:14" x14ac:dyDescent="0.35">
      <c r="A80" vm="16853">
        <v>44805</v>
      </c>
      <c r="B80" s="8">
        <v>-0.11615228238772868</v>
      </c>
      <c r="C80" s="8">
        <v>-0.10862191370197993</v>
      </c>
      <c r="D80" s="8">
        <v>-0.13420533954488445</v>
      </c>
      <c r="E80" s="8">
        <v>-0.13467301519692099</v>
      </c>
      <c r="F80" s="8">
        <v>-0.11819382096646425</v>
      </c>
      <c r="G80" s="8">
        <v>-0.12340845330949235</v>
      </c>
      <c r="H80" s="8">
        <v>-7.8180108158946715E-2</v>
      </c>
      <c r="I80" s="8">
        <v>-5.8977719528178207E-2</v>
      </c>
      <c r="J80" s="8">
        <v>-0.19577315489598512</v>
      </c>
      <c r="K80" s="8">
        <v>-8.4746991445555975E-2</v>
      </c>
      <c r="L80" s="8">
        <v>-2.7516222825563763E-2</v>
      </c>
      <c r="M80" s="8">
        <v>-9.3395701643489315E-2</v>
      </c>
      <c r="N80" s="9">
        <v>-0.10696026999030972</v>
      </c>
    </row>
    <row r="81" spans="1:14" x14ac:dyDescent="0.35">
      <c r="A81" vm="18166">
        <v>44835</v>
      </c>
      <c r="B81" s="8">
        <v>-1.1918452692106674E-2</v>
      </c>
      <c r="C81" s="8">
        <v>-9.3451327433628384E-2</v>
      </c>
      <c r="D81" s="8">
        <v>2.2144039735099375E-2</v>
      </c>
      <c r="E81" s="8">
        <v>-4.2191125799873053E-3</v>
      </c>
      <c r="F81" s="8">
        <v>0.22189614900880406</v>
      </c>
      <c r="G81" s="8">
        <v>0.15418161356122972</v>
      </c>
      <c r="H81" s="8">
        <v>-1.1605662543042961E-2</v>
      </c>
      <c r="I81" s="8">
        <v>0.44930362116991662</v>
      </c>
      <c r="J81" s="8">
        <v>0.11187082955762429</v>
      </c>
      <c r="K81" s="8">
        <v>6.669306930693053E-2</v>
      </c>
      <c r="L81" s="8">
        <v>9.9219863773166495E-2</v>
      </c>
      <c r="M81" s="8">
        <v>7.9863454576893256E-2</v>
      </c>
      <c r="N81" s="9">
        <v>3.9998503330090474E-2</v>
      </c>
    </row>
    <row r="82" spans="1:14" x14ac:dyDescent="0.35">
      <c r="A82" vm="17301">
        <v>44866</v>
      </c>
      <c r="B82" s="8">
        <v>6.8564173103375259E-2</v>
      </c>
      <c r="C82" s="8">
        <v>-5.7594689574384961E-2</v>
      </c>
      <c r="D82" s="8">
        <v>0.13545252075318892</v>
      </c>
      <c r="E82" s="8">
        <v>0.21928183037921034</v>
      </c>
      <c r="F82" s="8">
        <v>7.6119988236447389E-2</v>
      </c>
      <c r="G82" s="8">
        <v>8.5989396063135937E-2</v>
      </c>
      <c r="H82" s="8">
        <v>9.2903225806451717E-2</v>
      </c>
      <c r="I82" s="8">
        <v>-9.225446857582198E-3</v>
      </c>
      <c r="J82" s="8">
        <v>0.25383418537452762</v>
      </c>
      <c r="K82" s="8">
        <v>0.10759634662508355</v>
      </c>
      <c r="L82" s="8">
        <v>-1.3311717553814217E-2</v>
      </c>
      <c r="M82" s="8">
        <v>5.3752860293699856E-2</v>
      </c>
      <c r="N82" s="9">
        <v>5.5441626191761184E-2</v>
      </c>
    </row>
    <row r="83" spans="1:14" x14ac:dyDescent="0.35">
      <c r="A83" vm="17521">
        <v>44896</v>
      </c>
      <c r="B83" s="8">
        <v>-0.12634914347955239</v>
      </c>
      <c r="C83" s="8">
        <v>-0.1298943443132381</v>
      </c>
      <c r="D83" s="8">
        <v>-8.8088445078459254E-2</v>
      </c>
      <c r="E83" s="8">
        <v>-5.1574603634257588E-2</v>
      </c>
      <c r="F83" s="8">
        <v>-2.3912548394443123E-2</v>
      </c>
      <c r="G83" s="8">
        <v>-2.4326599326599196E-2</v>
      </c>
      <c r="H83" s="8">
        <v>-1.2987012987013102E-2</v>
      </c>
      <c r="I83" s="8">
        <v>3.7051406401551912E-2</v>
      </c>
      <c r="J83" s="8">
        <v>-0.13644152927967845</v>
      </c>
      <c r="K83" s="8">
        <v>1.6090104585679832E-2</v>
      </c>
      <c r="L83" s="8">
        <v>-3.2094347889586761E-2</v>
      </c>
      <c r="M83" s="8">
        <v>-5.8971449299161094E-2</v>
      </c>
      <c r="N83" s="9">
        <v>-9.2309790019089344E-2</v>
      </c>
    </row>
    <row r="84" spans="1:14" x14ac:dyDescent="0.35">
      <c r="A84">
        <v>2022</v>
      </c>
      <c r="B84" s="10" cm="1">
        <f t="array" ref="B84">PRODUCT(1 + B72:B83) - 1</f>
        <v>-0.39089553475271321</v>
      </c>
      <c r="C84" s="10" cm="1">
        <f t="array" ref="C84">PRODUCT(1 + C72:C83) - 1</f>
        <v>-0.4961521620470617</v>
      </c>
      <c r="D84" s="10" cm="1">
        <f t="array" ref="D84">PRODUCT(1 + D72:D83) - 1</f>
        <v>-0.46878570686610543</v>
      </c>
      <c r="E84" s="10" cm="1">
        <f t="array" ref="E84">PRODUCT(1 + E72:E83) - 1</f>
        <v>-0.22558639931902025</v>
      </c>
      <c r="F84" s="10" cm="1">
        <f t="array" ref="F84">PRODUCT(1 + F72:F83) - 1</f>
        <v>2.7768452352405326E-2</v>
      </c>
      <c r="G84" s="10" cm="1">
        <f t="array" ref="G84">PRODUCT(1 + G72:G83) - 1</f>
        <v>-3.225537125681821E-2</v>
      </c>
      <c r="H84" s="10" cm="1">
        <f t="array" ref="H84">PRODUCT(1 + H72:H83) - 1</f>
        <v>-0.10454155955441313</v>
      </c>
      <c r="I84" s="10" cm="1">
        <f t="array" ref="I84">PRODUCT(1 + I72:I83) - 1</f>
        <v>0.78497495826377239</v>
      </c>
      <c r="J84" s="10" cm="1">
        <f t="array" ref="J84">PRODUCT(1 + J72:J83) - 1</f>
        <v>-0.50311108088810308</v>
      </c>
      <c r="K84" s="10" cm="1">
        <f t="array" ref="K84">PRODUCT(1 + K72:K83) - 1</f>
        <v>-7.3480865631495251E-2</v>
      </c>
      <c r="L84" s="10" cm="1">
        <f t="array" ref="L84">PRODUCT(1 + L72:L83) - 1</f>
        <v>5.5841000517784067E-2</v>
      </c>
      <c r="M84" s="10" cm="1">
        <f t="array" ref="M84">PRODUCT(1 + M72:M83) - 1</f>
        <v>-0.19442824232404188</v>
      </c>
      <c r="N84" s="10" cm="1">
        <f t="array" ref="N84">PRODUCT(1 + N72:N83) - 1</f>
        <v>-0.3307025260776677</v>
      </c>
    </row>
    <row r="85" spans="1:14" x14ac:dyDescent="0.35">
      <c r="A85" t="s">
        <v>33</v>
      </c>
      <c r="B85" s="10">
        <f>_xlfn.STDEV.S(B72:B83)</f>
        <v>7.746274142840151E-2</v>
      </c>
      <c r="C85" s="10">
        <f t="shared" ref="C85:M85" si="6">_xlfn.STDEV.S(C72:C83)</f>
        <v>0.12634634517799825</v>
      </c>
      <c r="D85" s="10">
        <f t="shared" si="6"/>
        <v>0.10150772175466941</v>
      </c>
      <c r="E85" s="10">
        <f t="shared" si="6"/>
        <v>9.6559965319709354E-2</v>
      </c>
      <c r="F85" s="10">
        <f t="shared" si="6"/>
        <v>9.4196467375505688E-2</v>
      </c>
      <c r="G85" s="10">
        <f t="shared" si="6"/>
        <v>9.2103934328431128E-2</v>
      </c>
      <c r="H85" s="10">
        <f t="shared" si="6"/>
        <v>8.9136200496709034E-2</v>
      </c>
      <c r="I85" s="10">
        <f t="shared" si="6"/>
        <v>0.17638328587069133</v>
      </c>
      <c r="J85" s="10">
        <f t="shared" si="6"/>
        <v>0.1813587797164263</v>
      </c>
      <c r="K85" s="10">
        <f t="shared" si="6"/>
        <v>5.6819514746050556E-2</v>
      </c>
      <c r="L85" s="10">
        <f t="shared" si="6"/>
        <v>4.926640707036517E-2</v>
      </c>
      <c r="M85" s="10">
        <f t="shared" si="6"/>
        <v>6.6310611552332394E-2</v>
      </c>
      <c r="N85" s="10">
        <f t="shared" ref="N85" si="7">_xlfn.STDEV.S(N72:N83)</f>
        <v>8.0326629938971994E-2</v>
      </c>
    </row>
    <row r="87" spans="1:14" x14ac:dyDescent="0.35">
      <c r="A87" s="5" t="s">
        <v>6</v>
      </c>
      <c r="B87" s="4" t="s">
        <v>7</v>
      </c>
      <c r="C87" s="4" t="s">
        <v>8</v>
      </c>
      <c r="D87" s="4" t="s">
        <v>9</v>
      </c>
      <c r="E87" s="4" t="s">
        <v>10</v>
      </c>
      <c r="F87" s="4" t="s">
        <v>11</v>
      </c>
      <c r="G87" s="4" t="s">
        <v>12</v>
      </c>
      <c r="H87" s="4" t="s">
        <v>13</v>
      </c>
      <c r="I87" s="4" t="s">
        <v>14</v>
      </c>
      <c r="J87" s="4" t="s">
        <v>15</v>
      </c>
      <c r="K87" s="4" t="s">
        <v>16</v>
      </c>
      <c r="L87" s="4" t="s">
        <v>17</v>
      </c>
      <c r="M87" t="s">
        <v>19</v>
      </c>
    </row>
    <row r="88" spans="1:14" x14ac:dyDescent="0.35">
      <c r="A88">
        <v>2017</v>
      </c>
      <c r="B88" s="7">
        <v>0.3292952236734179</v>
      </c>
      <c r="C88" s="7">
        <v>0.55956365770066796</v>
      </c>
      <c r="D88" s="7">
        <v>8.392167310510068E-3</v>
      </c>
      <c r="E88" s="7">
        <v>0.26806748552083026</v>
      </c>
      <c r="F88" s="7">
        <v>0.32377991004335538</v>
      </c>
      <c r="G88" s="7">
        <v>0.46595641646489083</v>
      </c>
      <c r="H88" s="7">
        <v>0.30746693453875795</v>
      </c>
      <c r="I88" s="7">
        <v>-0.19726027397260271</v>
      </c>
      <c r="J88" s="7">
        <v>0.81281618887015217</v>
      </c>
      <c r="K88" s="7">
        <v>9.2768791627022118E-2</v>
      </c>
      <c r="L88" s="7">
        <v>0.37753061734566362</v>
      </c>
      <c r="M88" s="7">
        <v>0.19419964892376851</v>
      </c>
    </row>
    <row r="89" spans="1:14" x14ac:dyDescent="0.35">
      <c r="A89">
        <v>2018</v>
      </c>
      <c r="B89" s="7">
        <v>-8.0121511296752379E-3</v>
      </c>
      <c r="C89" s="7">
        <v>0.2843168272807346</v>
      </c>
      <c r="D89" s="7">
        <v>0.21479524438573239</v>
      </c>
      <c r="E89" s="7">
        <v>-0.22209964255769843</v>
      </c>
      <c r="F89" s="7">
        <v>-0.10020717300784976</v>
      </c>
      <c r="G89" s="7">
        <v>0.24636627906976738</v>
      </c>
      <c r="H89" s="7">
        <v>0.11287534413214639</v>
      </c>
      <c r="I89" s="7">
        <v>-0.46460899243211151</v>
      </c>
      <c r="J89" s="7">
        <v>-0.31007751937984529</v>
      </c>
      <c r="K89" s="7">
        <v>4.3535045711817766E-4</v>
      </c>
      <c r="L89" s="7">
        <v>0.13000090719404866</v>
      </c>
      <c r="M89" s="7">
        <v>-6.2372597349650616E-2</v>
      </c>
    </row>
    <row r="90" spans="1:14" x14ac:dyDescent="0.35">
      <c r="A90">
        <v>2019</v>
      </c>
      <c r="B90" s="7">
        <v>0.28176198131985952</v>
      </c>
      <c r="C90" s="7">
        <v>0.230277568792985</v>
      </c>
      <c r="D90" s="7">
        <v>0.40648107872988315</v>
      </c>
      <c r="E90" s="7">
        <v>0.6556047197640118</v>
      </c>
      <c r="F90" s="7">
        <v>0.3396911898274293</v>
      </c>
      <c r="G90" s="7">
        <v>0.58277232971110449</v>
      </c>
      <c r="H90" s="7">
        <v>0.39316534345875054</v>
      </c>
      <c r="I90" s="7">
        <v>0.11419068736141913</v>
      </c>
      <c r="J90" s="7">
        <v>0.76254681647940115</v>
      </c>
      <c r="K90" s="7">
        <v>0.35879025239338524</v>
      </c>
      <c r="L90" s="7">
        <v>0.18007385998715519</v>
      </c>
      <c r="M90" s="7">
        <v>0.28878074077028959</v>
      </c>
    </row>
    <row r="91" spans="1:14" x14ac:dyDescent="0.35">
      <c r="A91">
        <v>2020</v>
      </c>
      <c r="B91" s="7">
        <v>0.30853597533205401</v>
      </c>
      <c r="C91" s="7">
        <v>0.76256061130833896</v>
      </c>
      <c r="D91" s="7">
        <v>0.44085356424926547</v>
      </c>
      <c r="E91" s="7">
        <v>0.22353948946376545</v>
      </c>
      <c r="F91" s="7">
        <v>0.20169491525423711</v>
      </c>
      <c r="G91" s="7">
        <v>0.19541846679393116</v>
      </c>
      <c r="H91" s="7">
        <v>0.27436405682193632</v>
      </c>
      <c r="I91" s="7">
        <v>-0.45696517412935311</v>
      </c>
      <c r="J91" s="7">
        <v>1.2192945176370595</v>
      </c>
      <c r="K91" s="7">
        <v>0.11401120896717365</v>
      </c>
      <c r="L91" s="7">
        <v>0.19287026328321666</v>
      </c>
      <c r="M91" s="7">
        <v>0.16258921994069597</v>
      </c>
    </row>
    <row r="92" spans="1:14" x14ac:dyDescent="0.35">
      <c r="A92">
        <v>2021</v>
      </c>
      <c r="B92" s="7">
        <v>0.65295782362607224</v>
      </c>
      <c r="C92" s="7">
        <v>2.3767781315534142E-2</v>
      </c>
      <c r="D92" s="7">
        <v>3.3161622665808466E-2</v>
      </c>
      <c r="E92" s="7">
        <v>0.18435128399003098</v>
      </c>
      <c r="F92" s="7">
        <v>-1.9699106723084281E-2</v>
      </c>
      <c r="G92" s="7">
        <v>6.6677873031879553E-3</v>
      </c>
      <c r="H92" s="7">
        <v>0.21011017498379747</v>
      </c>
      <c r="I92" s="7">
        <v>0.37196518552450697</v>
      </c>
      <c r="J92" s="7">
        <v>1.2528533129069328</v>
      </c>
      <c r="K92" s="7">
        <v>0.1756504240333483</v>
      </c>
      <c r="L92" s="7">
        <v>0.43190372989620207</v>
      </c>
      <c r="M92" s="7">
        <v>0.26892736290857222</v>
      </c>
    </row>
    <row r="93" spans="1:14" x14ac:dyDescent="0.35">
      <c r="A93">
        <v>2022</v>
      </c>
      <c r="B93" s="7">
        <v>-0.39089553475271321</v>
      </c>
      <c r="C93" s="7">
        <v>-0.4961521620470617</v>
      </c>
      <c r="D93" s="7">
        <v>-0.46878570686610543</v>
      </c>
      <c r="E93" s="7">
        <v>-0.22558639931902025</v>
      </c>
      <c r="F93" s="7">
        <v>2.7768452352405326E-2</v>
      </c>
      <c r="G93" s="7">
        <v>-3.225537125681821E-2</v>
      </c>
      <c r="H93" s="7">
        <v>-0.10454155955441313</v>
      </c>
      <c r="I93" s="7">
        <v>0.78497495826377239</v>
      </c>
      <c r="J93" s="7">
        <v>-0.50311108088810308</v>
      </c>
      <c r="K93" s="7">
        <v>-7.3480865631495251E-2</v>
      </c>
      <c r="L93" s="7">
        <v>5.5841000517784067E-2</v>
      </c>
      <c r="M93" s="7">
        <v>-0.19442824232404188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813AB-CF85-4B26-8DD7-B7A100EBA7AA}">
  <dimension ref="A1:Q63"/>
  <sheetViews>
    <sheetView showGridLines="0" tabSelected="1" topLeftCell="G45" zoomScale="110" zoomScaleNormal="115" workbookViewId="0">
      <selection activeCell="K55" sqref="K55"/>
    </sheetView>
  </sheetViews>
  <sheetFormatPr defaultRowHeight="14.5" x14ac:dyDescent="0.35"/>
  <cols>
    <col min="3" max="3" width="7.7265625" customWidth="1"/>
    <col min="10" max="10" width="10.7265625" bestFit="1" customWidth="1"/>
    <col min="11" max="11" width="9.81640625" bestFit="1" customWidth="1"/>
    <col min="16" max="16" width="10.36328125" bestFit="1" customWidth="1"/>
  </cols>
  <sheetData>
    <row r="1" spans="1:11" x14ac:dyDescent="0.35">
      <c r="C1">
        <v>2017</v>
      </c>
      <c r="D1">
        <v>2018</v>
      </c>
      <c r="E1">
        <v>2019</v>
      </c>
      <c r="F1">
        <v>2020</v>
      </c>
      <c r="G1">
        <v>2021</v>
      </c>
      <c r="H1">
        <v>2022</v>
      </c>
    </row>
    <row r="2" spans="1:11" x14ac:dyDescent="0.35">
      <c r="A2" s="13" t="s">
        <v>7</v>
      </c>
      <c r="B2" s="11">
        <v>0.1731</v>
      </c>
      <c r="C2" s="7">
        <v>0.3292952236734179</v>
      </c>
      <c r="D2" s="7">
        <v>-8.0121511296752379E-3</v>
      </c>
      <c r="E2" s="7">
        <v>0.28176198131985952</v>
      </c>
      <c r="F2" s="7">
        <v>0.30853597533205401</v>
      </c>
      <c r="G2" s="7">
        <v>0.65295782362607224</v>
      </c>
      <c r="H2" s="7">
        <v>-0.39089553475271321</v>
      </c>
    </row>
    <row r="3" spans="1:11" x14ac:dyDescent="0.35">
      <c r="A3" s="14" t="s">
        <v>20</v>
      </c>
      <c r="B3" s="12">
        <v>0.12959999999999999</v>
      </c>
      <c r="C3" s="7">
        <v>0.55956365770066796</v>
      </c>
      <c r="D3" s="7">
        <v>0.2843168272807346</v>
      </c>
      <c r="E3" s="7">
        <v>0.230277568792985</v>
      </c>
      <c r="F3" s="7">
        <v>0.76256061130833896</v>
      </c>
      <c r="G3" s="7">
        <v>2.3767781315534142E-2</v>
      </c>
      <c r="H3" s="7">
        <v>-0.4961521620470617</v>
      </c>
    </row>
    <row r="4" spans="1:11" x14ac:dyDescent="0.35">
      <c r="A4" s="13" t="s">
        <v>9</v>
      </c>
      <c r="B4" s="11">
        <v>0.05</v>
      </c>
      <c r="C4" s="7">
        <v>8.392167310510068E-3</v>
      </c>
      <c r="D4" s="7">
        <v>0.21479524438573239</v>
      </c>
      <c r="E4" s="7">
        <v>0.40648107872988315</v>
      </c>
      <c r="F4" s="7">
        <v>0.44085356424926547</v>
      </c>
      <c r="G4" s="7">
        <v>3.3161622665808466E-2</v>
      </c>
      <c r="H4" s="7">
        <v>-0.46878570686610543</v>
      </c>
    </row>
    <row r="5" spans="1:11" x14ac:dyDescent="0.35">
      <c r="A5" s="14" t="s">
        <v>10</v>
      </c>
      <c r="B5" s="12">
        <v>0.02</v>
      </c>
      <c r="C5" s="7">
        <v>0.26806748552083026</v>
      </c>
      <c r="D5" s="7">
        <v>-0.22209964255769843</v>
      </c>
      <c r="E5" s="7">
        <v>0.6556047197640118</v>
      </c>
      <c r="F5" s="7">
        <v>0.22353948946376545</v>
      </c>
      <c r="G5" s="7">
        <v>0.18435128399003098</v>
      </c>
      <c r="H5" s="7">
        <v>-0.22558639931902025</v>
      </c>
    </row>
    <row r="6" spans="1:11" x14ac:dyDescent="0.35">
      <c r="A6" s="13" t="s">
        <v>21</v>
      </c>
      <c r="B6" s="11">
        <v>0.1</v>
      </c>
      <c r="C6" s="7">
        <v>0.32377991004335538</v>
      </c>
      <c r="D6" s="7">
        <v>-0.10020717300784976</v>
      </c>
      <c r="E6" s="7">
        <v>0.3396911898274293</v>
      </c>
      <c r="F6" s="7">
        <v>0.20169491525423711</v>
      </c>
      <c r="G6" s="7">
        <v>-1.9699106723084281E-2</v>
      </c>
      <c r="H6" s="7">
        <v>2.7768452352405326E-2</v>
      </c>
    </row>
    <row r="7" spans="1:11" x14ac:dyDescent="0.35">
      <c r="A7" s="14" t="s">
        <v>22</v>
      </c>
      <c r="B7" s="12">
        <v>0.1</v>
      </c>
      <c r="C7" s="7">
        <v>0.46595641646489083</v>
      </c>
      <c r="D7" s="7">
        <v>0.24636627906976738</v>
      </c>
      <c r="E7" s="7">
        <v>0.58277232971110449</v>
      </c>
      <c r="F7" s="7">
        <v>0.19541846679393116</v>
      </c>
      <c r="G7" s="7">
        <v>6.6677873031879553E-3</v>
      </c>
      <c r="H7" s="7">
        <v>-3.225537125681821E-2</v>
      </c>
    </row>
    <row r="8" spans="1:11" x14ac:dyDescent="0.35">
      <c r="A8" s="13" t="s">
        <v>23</v>
      </c>
      <c r="B8" s="11">
        <v>0.05</v>
      </c>
      <c r="C8" s="7">
        <v>0.30746693453875795</v>
      </c>
      <c r="D8" s="7">
        <v>0.11287534413214639</v>
      </c>
      <c r="E8" s="7">
        <v>0.39316534345875054</v>
      </c>
      <c r="F8" s="7">
        <v>0.27436405682193632</v>
      </c>
      <c r="G8" s="7">
        <v>0.21011017498379747</v>
      </c>
      <c r="H8" s="7">
        <v>-0.10454155955441313</v>
      </c>
    </row>
    <row r="9" spans="1:11" x14ac:dyDescent="0.35">
      <c r="A9" s="14" t="s">
        <v>14</v>
      </c>
      <c r="B9" s="12">
        <v>0.02</v>
      </c>
      <c r="C9" s="7">
        <v>-0.19726027397260271</v>
      </c>
      <c r="D9" s="7">
        <v>-0.46460899243211151</v>
      </c>
      <c r="E9" s="7">
        <v>0.11419068736141913</v>
      </c>
      <c r="F9" s="7">
        <v>-0.45696517412935311</v>
      </c>
      <c r="G9" s="7">
        <v>0.37196518552450697</v>
      </c>
      <c r="H9" s="7">
        <v>0.78497495826377239</v>
      </c>
    </row>
    <row r="10" spans="1:11" x14ac:dyDescent="0.35">
      <c r="A10" s="13" t="s">
        <v>24</v>
      </c>
      <c r="B10" s="11">
        <v>0.21920000000000001</v>
      </c>
      <c r="C10" s="7">
        <v>0.81281618887015217</v>
      </c>
      <c r="D10" s="7">
        <v>-0.31007751937984529</v>
      </c>
      <c r="E10" s="7">
        <v>0.76254681647940115</v>
      </c>
      <c r="F10" s="7">
        <v>1.2192945176370595</v>
      </c>
      <c r="G10" s="7">
        <v>1.2528533129069328</v>
      </c>
      <c r="H10" s="7">
        <v>-0.50311108088810308</v>
      </c>
      <c r="J10">
        <v>0.31465226198514529</v>
      </c>
      <c r="K10">
        <v>-9.6302003081663035E-3</v>
      </c>
    </row>
    <row r="11" spans="1:11" x14ac:dyDescent="0.35">
      <c r="A11" s="14" t="s">
        <v>25</v>
      </c>
      <c r="B11" s="12">
        <v>3.8100000000000002E-2</v>
      </c>
      <c r="C11" s="7">
        <v>9.2768791627022118E-2</v>
      </c>
      <c r="D11" s="7">
        <v>4.3535045711817766E-4</v>
      </c>
      <c r="E11" s="7">
        <v>0.35879025239338524</v>
      </c>
      <c r="F11" s="7">
        <v>0.11401120896717365</v>
      </c>
      <c r="G11" s="7">
        <v>0.1756504240333483</v>
      </c>
      <c r="H11" s="7">
        <v>-7.3480865631495251E-2</v>
      </c>
      <c r="J11">
        <v>2.3219625825981551E-2</v>
      </c>
    </row>
    <row r="12" spans="1:11" x14ac:dyDescent="0.35">
      <c r="A12" s="13" t="s">
        <v>26</v>
      </c>
      <c r="B12" s="11">
        <v>0.1</v>
      </c>
      <c r="C12" s="7">
        <v>0.37753061734566362</v>
      </c>
      <c r="D12" s="7">
        <v>0.13000090719404866</v>
      </c>
      <c r="E12" s="7">
        <v>0.18007385998715519</v>
      </c>
      <c r="F12" s="7">
        <v>0.19287026328321666</v>
      </c>
      <c r="G12" s="7">
        <v>0.43190372989620207</v>
      </c>
      <c r="H12" s="7">
        <v>5.5841000517784067E-2</v>
      </c>
    </row>
    <row r="15" spans="1:11" x14ac:dyDescent="0.35">
      <c r="C15" s="47">
        <v>2017</v>
      </c>
      <c r="D15" s="47">
        <v>2018</v>
      </c>
      <c r="E15" s="47">
        <v>2019</v>
      </c>
      <c r="F15" s="47">
        <v>2020</v>
      </c>
      <c r="G15" s="47">
        <v>2021</v>
      </c>
      <c r="H15" s="47">
        <v>2022</v>
      </c>
    </row>
    <row r="16" spans="1:11" x14ac:dyDescent="0.35">
      <c r="B16" s="16" t="s">
        <v>27</v>
      </c>
      <c r="C16" s="17">
        <f>SUMPRODUCT($B$2:$B$12,C2:C12)</f>
        <v>0.44516004652602115</v>
      </c>
      <c r="D16" s="17">
        <f t="shared" ref="D16:H16" si="0">SUMPRODUCT($B$2:$B$12,D2:D12)</f>
        <v>-2.2264898889150959E-3</v>
      </c>
      <c r="E16" s="17">
        <f t="shared" si="0"/>
        <v>0.4250691098750205</v>
      </c>
      <c r="F16" s="17">
        <f t="shared" si="0"/>
        <v>0.51393934977661893</v>
      </c>
      <c r="G16" s="17">
        <f t="shared" si="0"/>
        <v>0.46260219139343817</v>
      </c>
      <c r="H16" s="17">
        <f t="shared" si="0"/>
        <v>-0.25739009115901984</v>
      </c>
    </row>
    <row r="17" spans="2:8" x14ac:dyDescent="0.35">
      <c r="B17" s="18" t="s">
        <v>19</v>
      </c>
      <c r="C17" s="19">
        <v>0.19419964892376851</v>
      </c>
      <c r="D17" s="19">
        <v>-6.2372597349650616E-2</v>
      </c>
      <c r="E17" s="19">
        <v>0.28878074077028959</v>
      </c>
      <c r="F17" s="19">
        <v>0.16258921994069597</v>
      </c>
      <c r="G17" s="19">
        <v>0.26892736290857222</v>
      </c>
      <c r="H17" s="19">
        <v>-0.19442824232404188</v>
      </c>
    </row>
    <row r="18" spans="2:8" x14ac:dyDescent="0.35">
      <c r="B18" s="46" t="s">
        <v>91</v>
      </c>
      <c r="C18" s="45">
        <v>0.31465226198514529</v>
      </c>
      <c r="D18" s="45">
        <v>-9.6302003081663035E-3</v>
      </c>
      <c r="E18" s="45">
        <v>0.37825748735900433</v>
      </c>
      <c r="F18" s="45">
        <v>0.47565965852970238</v>
      </c>
      <c r="G18" s="45">
        <v>0.26808822591955139</v>
      </c>
      <c r="H18" s="45">
        <v>-0.3307025260776677</v>
      </c>
    </row>
    <row r="19" spans="2:8" x14ac:dyDescent="0.35">
      <c r="C19" s="6"/>
    </row>
    <row r="20" spans="2:8" x14ac:dyDescent="0.35">
      <c r="B20" t="s">
        <v>28</v>
      </c>
      <c r="C20">
        <v>2017</v>
      </c>
      <c r="D20">
        <v>2018</v>
      </c>
      <c r="E20">
        <v>2019</v>
      </c>
      <c r="F20">
        <v>2020</v>
      </c>
      <c r="G20">
        <v>2021</v>
      </c>
      <c r="H20">
        <v>2022</v>
      </c>
    </row>
    <row r="21" spans="2:8" x14ac:dyDescent="0.35">
      <c r="B21" t="s">
        <v>27</v>
      </c>
      <c r="C21" s="15">
        <f>C16+1</f>
        <v>1.4451600465260213</v>
      </c>
      <c r="D21" s="15">
        <f t="shared" ref="D21:H21" si="1">D16+1</f>
        <v>0.99777351011108495</v>
      </c>
      <c r="E21" s="15">
        <f t="shared" si="1"/>
        <v>1.4250691098750206</v>
      </c>
      <c r="F21" s="15">
        <f t="shared" si="1"/>
        <v>1.5139393497766189</v>
      </c>
      <c r="G21" s="15">
        <f t="shared" si="1"/>
        <v>1.4626021913934382</v>
      </c>
      <c r="H21" s="15">
        <f t="shared" si="1"/>
        <v>0.7426099088409801</v>
      </c>
    </row>
    <row r="22" spans="2:8" x14ac:dyDescent="0.35">
      <c r="B22" t="s">
        <v>19</v>
      </c>
      <c r="C22" s="15">
        <f>C17+1</f>
        <v>1.1941996489237685</v>
      </c>
      <c r="D22" s="15">
        <f>D17+1</f>
        <v>0.93762740265034938</v>
      </c>
      <c r="E22" s="15">
        <f>E17+1</f>
        <v>1.2887807407702896</v>
      </c>
      <c r="F22" s="15">
        <f>F17+1</f>
        <v>1.162589219940696</v>
      </c>
      <c r="G22" s="15">
        <f>G17+1</f>
        <v>1.2689273629085722</v>
      </c>
      <c r="H22" s="15">
        <f>H17+1</f>
        <v>0.80557175767595812</v>
      </c>
    </row>
    <row r="23" spans="2:8" x14ac:dyDescent="0.35">
      <c r="B23" t="s">
        <v>91</v>
      </c>
      <c r="C23" s="15">
        <f>C18+1</f>
        <v>1.3146522619851453</v>
      </c>
      <c r="D23" s="15">
        <f>D18+1</f>
        <v>0.9903697996918337</v>
      </c>
      <c r="E23" s="15">
        <f>E18+1</f>
        <v>1.3782574873590043</v>
      </c>
      <c r="F23" s="15">
        <f>F18+1</f>
        <v>1.4756596585297024</v>
      </c>
      <c r="G23" s="15">
        <f>G18+1</f>
        <v>1.2680882259195514</v>
      </c>
      <c r="H23" s="15">
        <f>H18+1</f>
        <v>0.6692974739223323</v>
      </c>
    </row>
    <row r="24" spans="2:8" x14ac:dyDescent="0.35">
      <c r="C24" s="6"/>
    </row>
    <row r="25" spans="2:8" x14ac:dyDescent="0.35">
      <c r="B25" t="s">
        <v>28</v>
      </c>
      <c r="C25" s="6"/>
      <c r="E25" s="38" t="s">
        <v>28</v>
      </c>
      <c r="F25" s="39"/>
    </row>
    <row r="26" spans="2:8" x14ac:dyDescent="0.35">
      <c r="B26" t="s">
        <v>27</v>
      </c>
      <c r="C26" s="15">
        <f>PRODUCT(C21:H21)</f>
        <v>3.378930656587233</v>
      </c>
      <c r="E26" s="16" t="s">
        <v>27</v>
      </c>
      <c r="F26" s="17">
        <f>C26^(1/6)-1</f>
        <v>0.22498248704892276</v>
      </c>
    </row>
    <row r="27" spans="2:8" x14ac:dyDescent="0.35">
      <c r="B27" t="s">
        <v>19</v>
      </c>
      <c r="C27" s="15">
        <f>PRODUCT(C22:H22)</f>
        <v>1.7149582594480164</v>
      </c>
      <c r="E27" s="46" t="s">
        <v>91</v>
      </c>
      <c r="F27" s="45">
        <f>C28^(1/6)-1</f>
        <v>0.14449943810978061</v>
      </c>
    </row>
    <row r="28" spans="2:8" x14ac:dyDescent="0.35">
      <c r="B28" t="s">
        <v>91</v>
      </c>
      <c r="C28" s="15">
        <f>PRODUCT(C23:H23)</f>
        <v>2.2474679270763001</v>
      </c>
      <c r="E28" s="18" t="s">
        <v>19</v>
      </c>
      <c r="F28" s="19">
        <f>C27^(1/6)-1</f>
        <v>9.4062818883955179E-2</v>
      </c>
    </row>
    <row r="29" spans="2:8" x14ac:dyDescent="0.35">
      <c r="C29" s="6"/>
    </row>
    <row r="50" spans="3:17" x14ac:dyDescent="0.35">
      <c r="D50" s="47">
        <v>2017</v>
      </c>
      <c r="G50" s="47">
        <v>2020</v>
      </c>
      <c r="J50" t="s">
        <v>92</v>
      </c>
    </row>
    <row r="51" spans="3:17" x14ac:dyDescent="0.35">
      <c r="C51" s="16" t="s">
        <v>27</v>
      </c>
      <c r="D51" s="17">
        <v>0.44516004652602115</v>
      </c>
      <c r="F51" s="16" t="s">
        <v>27</v>
      </c>
      <c r="G51" s="17">
        <v>0.51393934977661893</v>
      </c>
      <c r="J51" t="s">
        <v>93</v>
      </c>
      <c r="L51">
        <v>2017</v>
      </c>
      <c r="M51">
        <v>2018</v>
      </c>
      <c r="N51">
        <v>2019</v>
      </c>
      <c r="O51">
        <v>2020</v>
      </c>
      <c r="P51">
        <v>2021</v>
      </c>
      <c r="Q51">
        <v>2022</v>
      </c>
    </row>
    <row r="52" spans="3:17" x14ac:dyDescent="0.35">
      <c r="C52" s="18" t="s">
        <v>19</v>
      </c>
      <c r="D52" s="19">
        <v>0.19419964892376851</v>
      </c>
      <c r="F52" s="18" t="s">
        <v>19</v>
      </c>
      <c r="G52" s="19">
        <v>0.16258921994069597</v>
      </c>
      <c r="J52" t="s">
        <v>93</v>
      </c>
      <c r="K52" s="48">
        <v>100</v>
      </c>
      <c r="L52" s="48">
        <f>K52*(1+C16)</f>
        <v>144.51600465260213</v>
      </c>
      <c r="M52" s="48">
        <f t="shared" ref="M52:Q52" si="2">L52*(1+D16)</f>
        <v>144.19424122945671</v>
      </c>
      <c r="N52" s="48">
        <f t="shared" si="2"/>
        <v>205.48675899796586</v>
      </c>
      <c r="O52" s="48">
        <f t="shared" si="2"/>
        <v>311.09449030508523</v>
      </c>
      <c r="P52" s="48">
        <f t="shared" si="2"/>
        <v>455.00748325064234</v>
      </c>
      <c r="Q52" s="48">
        <f t="shared" si="2"/>
        <v>337.89306565872329</v>
      </c>
    </row>
    <row r="53" spans="3:17" x14ac:dyDescent="0.35">
      <c r="C53" s="46" t="s">
        <v>91</v>
      </c>
      <c r="D53" s="45">
        <v>0.31465226198514529</v>
      </c>
      <c r="F53" s="46" t="s">
        <v>91</v>
      </c>
      <c r="G53" s="45">
        <v>0.47565965852970238</v>
      </c>
      <c r="J53" s="18" t="s">
        <v>19</v>
      </c>
      <c r="K53" s="48">
        <v>100</v>
      </c>
      <c r="L53" s="48">
        <f>K53*(1+C17)</f>
        <v>119.41996489237685</v>
      </c>
      <c r="M53" s="48">
        <f t="shared" ref="M53:M54" si="3">L53*(1+D17)</f>
        <v>111.97143150663521</v>
      </c>
      <c r="N53" s="48">
        <f t="shared" ref="N53:N54" si="4">M53*(1+E17)</f>
        <v>144.30662444223108</v>
      </c>
      <c r="O53" s="48">
        <f t="shared" ref="O53:O54" si="5">N53*(1+F17)</f>
        <v>167.7693259425684</v>
      </c>
      <c r="P53" s="48">
        <f t="shared" ref="P53:Q54" si="6">O53*(1+G17)</f>
        <v>212.88708834525204</v>
      </c>
      <c r="Q53" s="48">
        <f t="shared" si="6"/>
        <v>171.49582594480165</v>
      </c>
    </row>
    <row r="54" spans="3:17" x14ac:dyDescent="0.35">
      <c r="J54" s="46" t="s">
        <v>91</v>
      </c>
      <c r="K54" s="48">
        <v>100</v>
      </c>
      <c r="L54" s="48">
        <f t="shared" ref="L54" si="7">K54*(1+C18)</f>
        <v>131.46522619851453</v>
      </c>
      <c r="M54" s="48">
        <f t="shared" si="3"/>
        <v>130.19918973666444</v>
      </c>
      <c r="N54" s="48">
        <f t="shared" si="4"/>
        <v>179.44800810263339</v>
      </c>
      <c r="O54" s="48">
        <f t="shared" si="5"/>
        <v>264.80418636056726</v>
      </c>
      <c r="P54" s="48">
        <f t="shared" si="6"/>
        <v>335.79507089804201</v>
      </c>
      <c r="Q54" s="48">
        <f t="shared" si="6"/>
        <v>224.74679270762999</v>
      </c>
    </row>
    <row r="55" spans="3:17" x14ac:dyDescent="0.35">
      <c r="D55" s="47">
        <v>2018</v>
      </c>
      <c r="G55" s="47">
        <v>2021</v>
      </c>
    </row>
    <row r="56" spans="3:17" x14ac:dyDescent="0.35">
      <c r="C56" s="16" t="s">
        <v>27</v>
      </c>
      <c r="D56" s="17">
        <v>-2.2264898889150959E-3</v>
      </c>
      <c r="F56" s="16" t="s">
        <v>27</v>
      </c>
      <c r="G56" s="17">
        <v>0.46260219139343817</v>
      </c>
    </row>
    <row r="57" spans="3:17" x14ac:dyDescent="0.35">
      <c r="C57" s="18" t="s">
        <v>19</v>
      </c>
      <c r="D57" s="19">
        <v>-6.2372597349650616E-2</v>
      </c>
      <c r="F57" s="18" t="s">
        <v>19</v>
      </c>
      <c r="G57" s="19">
        <v>0.26892736290857222</v>
      </c>
    </row>
    <row r="58" spans="3:17" x14ac:dyDescent="0.35">
      <c r="C58" s="46" t="s">
        <v>91</v>
      </c>
      <c r="D58" s="45">
        <v>-9.6302003081663035E-3</v>
      </c>
      <c r="F58" s="46" t="s">
        <v>91</v>
      </c>
      <c r="G58" s="45">
        <v>0.26808822591955139</v>
      </c>
    </row>
    <row r="60" spans="3:17" x14ac:dyDescent="0.35">
      <c r="D60" s="47">
        <v>2019</v>
      </c>
      <c r="G60" s="47">
        <v>2022</v>
      </c>
    </row>
    <row r="61" spans="3:17" x14ac:dyDescent="0.35">
      <c r="C61" s="16" t="s">
        <v>27</v>
      </c>
      <c r="D61" s="17">
        <v>0.4250691098750205</v>
      </c>
      <c r="F61" s="16" t="s">
        <v>27</v>
      </c>
      <c r="G61" s="17">
        <v>-0.25739009115901984</v>
      </c>
    </row>
    <row r="62" spans="3:17" x14ac:dyDescent="0.35">
      <c r="C62" s="18" t="s">
        <v>19</v>
      </c>
      <c r="D62" s="19">
        <v>0.28878074077028959</v>
      </c>
      <c r="F62" s="18" t="s">
        <v>19</v>
      </c>
      <c r="G62" s="19">
        <v>-0.19442824232404188</v>
      </c>
    </row>
    <row r="63" spans="3:17" x14ac:dyDescent="0.35">
      <c r="C63" s="46" t="s">
        <v>91</v>
      </c>
      <c r="D63" s="45">
        <v>0.37825748735900433</v>
      </c>
      <c r="F63" s="46" t="s">
        <v>91</v>
      </c>
      <c r="G63" s="45">
        <v>-0.3307025260776677</v>
      </c>
    </row>
  </sheetData>
  <mergeCells count="1">
    <mergeCell ref="E25:F25"/>
  </mergeCells>
  <pageMargins left="0.7" right="0.7" top="0.75" bottom="0.75" header="0.3" footer="0.3"/>
  <ignoredErrors>
    <ignoredError sqref="C16:H16" formulaRange="1"/>
  </ignoredError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4E182-FD29-4C37-88B9-B4DCE015FA77}">
  <dimension ref="B4:L27"/>
  <sheetViews>
    <sheetView topLeftCell="A4" zoomScale="154" zoomScaleNormal="160" workbookViewId="0">
      <selection activeCell="C13" sqref="C13"/>
    </sheetView>
  </sheetViews>
  <sheetFormatPr defaultRowHeight="14.5" x14ac:dyDescent="0.35"/>
  <cols>
    <col min="2" max="2" width="13.453125" bestFit="1" customWidth="1"/>
    <col min="3" max="3" width="7.54296875" bestFit="1" customWidth="1"/>
    <col min="5" max="5" width="16.54296875" bestFit="1" customWidth="1"/>
    <col min="6" max="6" width="11.81640625" bestFit="1" customWidth="1"/>
    <col min="7" max="7" width="24.26953125" customWidth="1"/>
    <col min="8" max="8" width="14.7265625" bestFit="1" customWidth="1"/>
    <col min="9" max="9" width="7" bestFit="1" customWidth="1"/>
  </cols>
  <sheetData>
    <row r="4" spans="2:12" x14ac:dyDescent="0.35">
      <c r="B4" s="40" t="s">
        <v>36</v>
      </c>
      <c r="C4" s="41"/>
      <c r="E4" s="40" t="s">
        <v>37</v>
      </c>
      <c r="F4" s="41"/>
      <c r="H4" t="s">
        <v>56</v>
      </c>
      <c r="K4" t="s">
        <v>28</v>
      </c>
    </row>
    <row r="5" spans="2:12" x14ac:dyDescent="0.35">
      <c r="B5" s="23" t="s">
        <v>29</v>
      </c>
      <c r="C5" s="24">
        <v>0.17080000000000001</v>
      </c>
      <c r="E5" s="23" t="s">
        <v>28</v>
      </c>
      <c r="F5" s="25">
        <f>Benchmark!F26</f>
        <v>0.22498248704892276</v>
      </c>
      <c r="H5" t="s">
        <v>57</v>
      </c>
      <c r="I5">
        <f>_xlfn.STDEV.S(regression!Q3:Q74)</f>
        <v>3.001495529080395E-2</v>
      </c>
      <c r="K5" t="s">
        <v>27</v>
      </c>
      <c r="L5">
        <v>0.22498248704892276</v>
      </c>
    </row>
    <row r="6" spans="2:12" x14ac:dyDescent="0.35">
      <c r="B6" s="23" t="s">
        <v>30</v>
      </c>
      <c r="C6" s="24">
        <v>0.13669999999999999</v>
      </c>
      <c r="E6" s="23" t="s">
        <v>30</v>
      </c>
      <c r="F6" s="25">
        <f>STD!R31</f>
        <v>6.3299041500760919E-2</v>
      </c>
      <c r="H6" t="s">
        <v>58</v>
      </c>
      <c r="I6">
        <f>I5*SQRT(12)</f>
        <v>0.10397485510116145</v>
      </c>
      <c r="K6" t="s">
        <v>19</v>
      </c>
      <c r="L6">
        <v>9.4062818883955179E-2</v>
      </c>
    </row>
    <row r="7" spans="2:12" x14ac:dyDescent="0.35">
      <c r="B7" s="23" t="s">
        <v>32</v>
      </c>
      <c r="C7" s="24">
        <v>2.0899999999999998E-2</v>
      </c>
      <c r="E7" s="23" t="s">
        <v>32</v>
      </c>
      <c r="F7" s="27">
        <v>2.0899999999999998E-2</v>
      </c>
    </row>
    <row r="8" spans="2:12" x14ac:dyDescent="0.35">
      <c r="E8" t="s">
        <v>54</v>
      </c>
      <c r="F8">
        <v>1.1470422860266953</v>
      </c>
    </row>
    <row r="10" spans="2:12" x14ac:dyDescent="0.35">
      <c r="B10" s="23" t="s">
        <v>31</v>
      </c>
      <c r="C10" s="26">
        <f>(C5-C7)/C6</f>
        <v>1.0965618141916607</v>
      </c>
      <c r="E10" s="23" t="s">
        <v>31</v>
      </c>
      <c r="F10" s="26">
        <f>(F5-F7)/F6</f>
        <v>3.2241007479784582</v>
      </c>
    </row>
    <row r="11" spans="2:12" x14ac:dyDescent="0.35">
      <c r="E11" t="s">
        <v>53</v>
      </c>
      <c r="F11" s="9">
        <f>(F5-F7)/F8</f>
        <v>0.17792063076929415</v>
      </c>
    </row>
    <row r="12" spans="2:12" x14ac:dyDescent="0.35">
      <c r="E12" t="s">
        <v>59</v>
      </c>
      <c r="F12" s="22">
        <f>(F5-L6)/I6</f>
        <v>1.2591473971047173</v>
      </c>
    </row>
    <row r="15" spans="2:12" x14ac:dyDescent="0.35">
      <c r="B15" t="s">
        <v>31</v>
      </c>
      <c r="C15" s="22">
        <v>3.2241007479784582</v>
      </c>
      <c r="E15" t="s">
        <v>53</v>
      </c>
      <c r="F15" s="9">
        <v>0.17792063076929415</v>
      </c>
      <c r="H15" t="s">
        <v>59</v>
      </c>
      <c r="I15" s="22">
        <v>1.2591473971047173</v>
      </c>
    </row>
    <row r="17" spans="2:9" x14ac:dyDescent="0.35">
      <c r="B17" t="s">
        <v>28</v>
      </c>
      <c r="C17" s="9">
        <v>0.22498248704892276</v>
      </c>
      <c r="E17" t="s">
        <v>28</v>
      </c>
      <c r="F17" s="9">
        <v>0.22498248704892276</v>
      </c>
      <c r="H17" t="s">
        <v>60</v>
      </c>
      <c r="I17" s="9">
        <f>L5-L6</f>
        <v>0.13091966816496758</v>
      </c>
    </row>
    <row r="18" spans="2:9" x14ac:dyDescent="0.35">
      <c r="B18" t="s">
        <v>30</v>
      </c>
      <c r="C18" s="9">
        <v>6.3299041500760919E-2</v>
      </c>
      <c r="E18" s="23" t="s">
        <v>32</v>
      </c>
      <c r="F18" s="27">
        <v>2.0899999999999998E-2</v>
      </c>
      <c r="H18" t="s">
        <v>61</v>
      </c>
      <c r="I18" s="9">
        <f>I5*SQRT(12)</f>
        <v>0.10397485510116145</v>
      </c>
    </row>
    <row r="19" spans="2:9" x14ac:dyDescent="0.35">
      <c r="B19" t="s">
        <v>32</v>
      </c>
      <c r="C19" s="9">
        <v>2.0899999999999998E-2</v>
      </c>
      <c r="E19" t="s">
        <v>54</v>
      </c>
      <c r="F19">
        <v>1.1470422860266953</v>
      </c>
    </row>
    <row r="22" spans="2:9" x14ac:dyDescent="0.35">
      <c r="E22" s="31" t="s">
        <v>72</v>
      </c>
      <c r="F22" s="31" t="s">
        <v>80</v>
      </c>
      <c r="G22" s="31" t="s">
        <v>81</v>
      </c>
      <c r="H22" s="23"/>
    </row>
    <row r="23" spans="2:9" ht="29" x14ac:dyDescent="0.35">
      <c r="E23" s="32" t="s">
        <v>31</v>
      </c>
      <c r="F23" s="34">
        <f>C15</f>
        <v>3.2241007479784582</v>
      </c>
      <c r="G23" s="33" t="s">
        <v>75</v>
      </c>
      <c r="H23" s="23"/>
    </row>
    <row r="24" spans="2:9" ht="29" x14ac:dyDescent="0.35">
      <c r="E24" s="32" t="s">
        <v>73</v>
      </c>
      <c r="F24" s="35">
        <f>F15</f>
        <v>0.17792063076929415</v>
      </c>
      <c r="G24" s="33" t="s">
        <v>76</v>
      </c>
      <c r="H24" s="23"/>
    </row>
    <row r="25" spans="2:9" ht="29" x14ac:dyDescent="0.35">
      <c r="E25" s="32" t="s">
        <v>59</v>
      </c>
      <c r="F25" s="34">
        <f>I15</f>
        <v>1.2591473971047173</v>
      </c>
      <c r="G25" s="33" t="s">
        <v>77</v>
      </c>
      <c r="H25" s="23"/>
    </row>
    <row r="26" spans="2:9" ht="29" x14ac:dyDescent="0.35">
      <c r="E26" s="32" t="s">
        <v>74</v>
      </c>
      <c r="F26" s="36">
        <f xml:space="preserve"> (1 + regression!T23)^12 - 1</f>
        <v>0.1066134792404676</v>
      </c>
      <c r="G26" s="33" t="s">
        <v>78</v>
      </c>
      <c r="H26" s="23"/>
    </row>
    <row r="27" spans="2:9" x14ac:dyDescent="0.35">
      <c r="E27" s="32" t="s">
        <v>30</v>
      </c>
      <c r="F27" s="35">
        <f>F6</f>
        <v>6.3299041500760919E-2</v>
      </c>
      <c r="G27" s="33" t="s">
        <v>79</v>
      </c>
      <c r="H27" s="23"/>
    </row>
  </sheetData>
  <mergeCells count="2">
    <mergeCell ref="B4:C4"/>
    <mergeCell ref="E4:F4"/>
  </mergeCells>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6DB29-15C8-4E8C-BB3E-EC3B0A6E4D25}">
  <dimension ref="A1:AA73"/>
  <sheetViews>
    <sheetView topLeftCell="M10" zoomScale="115" zoomScaleNormal="115" workbookViewId="0">
      <selection activeCell="V34" sqref="V34"/>
    </sheetView>
  </sheetViews>
  <sheetFormatPr defaultRowHeight="14.5" x14ac:dyDescent="0.35"/>
  <sheetData>
    <row r="1" spans="1:27" x14ac:dyDescent="0.35">
      <c r="A1" s="5" t="s">
        <v>6</v>
      </c>
      <c r="B1" s="4" t="s">
        <v>7</v>
      </c>
      <c r="C1" s="4" t="s">
        <v>8</v>
      </c>
      <c r="D1" s="4" t="s">
        <v>9</v>
      </c>
      <c r="E1" s="4" t="s">
        <v>10</v>
      </c>
      <c r="F1" s="4" t="s">
        <v>11</v>
      </c>
      <c r="G1" s="4" t="s">
        <v>12</v>
      </c>
      <c r="H1" s="4" t="s">
        <v>13</v>
      </c>
      <c r="I1" s="4" t="s">
        <v>14</v>
      </c>
      <c r="J1" s="4" t="s">
        <v>15</v>
      </c>
      <c r="K1" s="4" t="s">
        <v>16</v>
      </c>
      <c r="L1" s="4" t="s">
        <v>17</v>
      </c>
      <c r="M1" t="s">
        <v>19</v>
      </c>
      <c r="O1" s="5" t="s">
        <v>6</v>
      </c>
      <c r="P1" s="4" t="s">
        <v>7</v>
      </c>
      <c r="Q1" s="4" t="s">
        <v>8</v>
      </c>
      <c r="R1" s="4" t="s">
        <v>9</v>
      </c>
      <c r="S1" s="4" t="s">
        <v>10</v>
      </c>
      <c r="T1" s="4" t="s">
        <v>11</v>
      </c>
      <c r="U1" s="4" t="s">
        <v>12</v>
      </c>
      <c r="V1" s="4" t="s">
        <v>13</v>
      </c>
      <c r="W1" s="4" t="s">
        <v>14</v>
      </c>
      <c r="X1" s="4" t="s">
        <v>15</v>
      </c>
      <c r="Y1" s="4" t="s">
        <v>16</v>
      </c>
      <c r="Z1" s="4" t="s">
        <v>17</v>
      </c>
      <c r="AA1" t="s">
        <v>19</v>
      </c>
    </row>
    <row r="2" spans="1:27" x14ac:dyDescent="0.35">
      <c r="A2" vm="18033">
        <v>42736</v>
      </c>
      <c r="B2" s="9">
        <v>3.5005363114392063E-2</v>
      </c>
      <c r="C2" s="9">
        <v>9.8163681704828809E-2</v>
      </c>
      <c r="D2" s="9">
        <v>1.5851871586519461E-2</v>
      </c>
      <c r="E2" s="9">
        <v>7.7138300551187644E-2</v>
      </c>
      <c r="F2" s="9">
        <v>2.131985095577793E-2</v>
      </c>
      <c r="G2" s="9">
        <v>2.9830508474576245E-2</v>
      </c>
      <c r="H2" s="9">
        <v>3.5660472124560583E-2</v>
      </c>
      <c r="I2" s="9">
        <v>-2.8588445503276994E-3</v>
      </c>
      <c r="J2" s="9">
        <v>2.2859284242083611E-2</v>
      </c>
      <c r="K2" s="9">
        <v>4.186489058039955E-2</v>
      </c>
      <c r="L2" s="9">
        <v>1.2871782054486358E-2</v>
      </c>
      <c r="M2" s="9">
        <v>1.7884341374735824E-2</v>
      </c>
      <c r="O2">
        <v>2017</v>
      </c>
      <c r="P2" s="10" cm="1">
        <f t="array" ref="P2">PRODUCT(1 + B2:B13) - 1</f>
        <v>0.3292952236734179</v>
      </c>
      <c r="Q2" s="10" cm="1">
        <f t="array" ref="Q2">PRODUCT(1 + C2:C13) - 1</f>
        <v>0.55956365770066796</v>
      </c>
      <c r="R2" s="10" cm="1">
        <f t="array" ref="R2">PRODUCT(1 + D2:D13) - 1</f>
        <v>8.392167310510068E-3</v>
      </c>
      <c r="S2" s="10" cm="1">
        <f t="array" ref="S2">PRODUCT(1 + E2:E13) - 1</f>
        <v>0.26806748552083026</v>
      </c>
      <c r="T2" s="10" cm="1">
        <f t="array" ref="T2">PRODUCT(1 + F2:F13) - 1</f>
        <v>0.32377991004335538</v>
      </c>
      <c r="U2" s="10" cm="1">
        <f t="array" ref="U2">PRODUCT(1 + G2:G13) - 1</f>
        <v>0.46595641646489083</v>
      </c>
      <c r="V2" s="10" cm="1">
        <f t="array" ref="V2">PRODUCT(1 + H2:H13) - 1</f>
        <v>0.30746693453875795</v>
      </c>
      <c r="W2" s="10" cm="1">
        <f t="array" ref="W2">PRODUCT(1 + I2:I13) - 1</f>
        <v>-0.19726027397260271</v>
      </c>
      <c r="X2" s="10" cm="1">
        <f t="array" ref="X2">PRODUCT(1 + J2:J13) - 1</f>
        <v>0.81281618887015217</v>
      </c>
      <c r="Y2" s="10" cm="1">
        <f t="array" ref="Y2">PRODUCT(1 + K2:K13) - 1</f>
        <v>9.2768791627022118E-2</v>
      </c>
      <c r="Z2" s="10" cm="1">
        <f t="array" ref="Z2">PRODUCT(1 + L2:L13) - 1</f>
        <v>0.37753061734566362</v>
      </c>
      <c r="AA2" s="10" cm="1">
        <f t="array" ref="AA2">PRODUCT(1 + M2:M13) - 1</f>
        <v>0.19419964892376851</v>
      </c>
    </row>
    <row r="3" spans="1:27" x14ac:dyDescent="0.35">
      <c r="A3" vm="269">
        <v>42767</v>
      </c>
      <c r="B3" s="9">
        <v>3.016374254745835E-2</v>
      </c>
      <c r="C3" s="9">
        <v>2.6181570894253658E-2</v>
      </c>
      <c r="D3" s="9">
        <v>-3.5798583792289618E-2</v>
      </c>
      <c r="E3" s="9">
        <v>-2.314405943165887E-2</v>
      </c>
      <c r="F3" s="9">
        <v>5.2232027392882907E-2</v>
      </c>
      <c r="G3" s="9">
        <v>3.8841342988808369E-2</v>
      </c>
      <c r="H3" s="9">
        <v>5.8842547688328528E-2</v>
      </c>
      <c r="I3" s="9">
        <v>-4.0019113606498569E-2</v>
      </c>
      <c r="J3" s="9">
        <v>-7.0525737314526382E-2</v>
      </c>
      <c r="K3" s="9">
        <v>3.9611872146118721E-2</v>
      </c>
      <c r="L3" s="9">
        <v>2.0234423195558238E-2</v>
      </c>
      <c r="M3" s="9">
        <v>3.7198260541408734E-2</v>
      </c>
      <c r="O3" t="s">
        <v>33</v>
      </c>
      <c r="P3" s="10">
        <f t="shared" ref="P3:AA3" si="0">_xlfn.STDEV.S(B2:B13)</f>
        <v>3.7867426951711407E-2</v>
      </c>
      <c r="Q3" s="10">
        <f t="shared" si="0"/>
        <v>5.2491035678470965E-2</v>
      </c>
      <c r="R3" s="10">
        <f t="shared" si="0"/>
        <v>4.2996895760044215E-2</v>
      </c>
      <c r="S3" s="10">
        <f t="shared" si="0"/>
        <v>4.2161763645720184E-2</v>
      </c>
      <c r="T3" s="10">
        <f t="shared" si="0"/>
        <v>2.6336222912728427E-2</v>
      </c>
      <c r="U3" s="10">
        <f t="shared" si="0"/>
        <v>2.2541381263915489E-2</v>
      </c>
      <c r="V3" s="10">
        <f t="shared" si="0"/>
        <v>3.1995326516955788E-2</v>
      </c>
      <c r="W3" s="10">
        <f t="shared" si="0"/>
        <v>5.8773353872382285E-2</v>
      </c>
      <c r="X3" s="10">
        <f t="shared" si="0"/>
        <v>0.12374269875762768</v>
      </c>
      <c r="Y3" s="10">
        <f t="shared" si="0"/>
        <v>3.1315449320519211E-2</v>
      </c>
      <c r="Z3" s="10">
        <f t="shared" si="0"/>
        <v>3.7968813657819282E-2</v>
      </c>
      <c r="AA3" s="10">
        <f t="shared" si="0"/>
        <v>1.1217473262077332E-2</v>
      </c>
    </row>
    <row r="4" spans="1:27" x14ac:dyDescent="0.35">
      <c r="A4" vm="509">
        <v>42795</v>
      </c>
      <c r="B4" s="9">
        <v>3.3967310901494852E-3</v>
      </c>
      <c r="C4" s="9">
        <v>4.9110101296979902E-2</v>
      </c>
      <c r="D4" s="9">
        <v>9.9279205766353851E-3</v>
      </c>
      <c r="E4" s="9">
        <v>6.4615630068870278E-2</v>
      </c>
      <c r="F4" s="9">
        <v>2.9714266539151435E-3</v>
      </c>
      <c r="G4" s="9">
        <v>1.8196632265073287E-2</v>
      </c>
      <c r="H4" s="9">
        <v>-2.0076335877862506E-2</v>
      </c>
      <c r="I4" s="9">
        <v>-2.8123444499751238E-2</v>
      </c>
      <c r="J4" s="9">
        <v>7.3433188805676064E-2</v>
      </c>
      <c r="K4" s="9">
        <v>-1.3396288569232473E-2</v>
      </c>
      <c r="L4" s="9">
        <v>-8.283952110291426E-3</v>
      </c>
      <c r="M4" s="9">
        <v>-3.8923017041514463E-4</v>
      </c>
      <c r="O4">
        <v>2018</v>
      </c>
      <c r="P4" s="10" cm="1">
        <f t="array" ref="P4">PRODUCT(1 + B14:B25) - 1</f>
        <v>-8.0121511296752379E-3</v>
      </c>
      <c r="Q4" s="10" cm="1">
        <f t="array" ref="Q4">PRODUCT(1 + C14:C25) - 1</f>
        <v>0.2843168272807346</v>
      </c>
      <c r="R4" s="10" cm="1">
        <f t="array" ref="R4">PRODUCT(1 + D14:D25) - 1</f>
        <v>0.21479524438573239</v>
      </c>
      <c r="S4" s="10" cm="1">
        <f t="array" ref="S4">PRODUCT(1 + E14:E25) - 1</f>
        <v>-0.22209964255769843</v>
      </c>
      <c r="T4" s="10" cm="1">
        <f t="array" ref="T4">PRODUCT(1 + F14:F25) - 1</f>
        <v>-0.10020717300784976</v>
      </c>
      <c r="U4" s="10" cm="1">
        <f t="array" ref="U4">PRODUCT(1 + G14:G25) - 1</f>
        <v>0.24636627906976738</v>
      </c>
      <c r="V4" s="10" cm="1">
        <f t="array" ref="V4">PRODUCT(1 + H14:H25) - 1</f>
        <v>0.11287534413214639</v>
      </c>
      <c r="W4" s="10" cm="1">
        <f t="array" ref="W4">PRODUCT(1 + I14:I25) - 1</f>
        <v>-0.46460899243211151</v>
      </c>
      <c r="X4" s="10" cm="1">
        <f t="array" ref="X4">PRODUCT(1 + J14:J25) - 1</f>
        <v>-0.31007751937984529</v>
      </c>
      <c r="Y4" s="10" cm="1">
        <f t="array" ref="Y4">PRODUCT(1 + K14:K25) - 1</f>
        <v>4.3535045711817766E-4</v>
      </c>
      <c r="Z4" s="10" cm="1">
        <f t="array" ref="Z4">PRODUCT(1 + L14:L25) - 1</f>
        <v>0.13000090719404866</v>
      </c>
      <c r="AA4" s="10" cm="1">
        <f t="array" ref="AA4">PRODUCT(1 + M14:M25) - 1</f>
        <v>-6.2372597349650616E-2</v>
      </c>
    </row>
    <row r="5" spans="1:27" x14ac:dyDescent="0.35">
      <c r="A5" vm="18039">
        <v>42826</v>
      </c>
      <c r="B5" s="9">
        <v>9.0493040811512104E-2</v>
      </c>
      <c r="C5" s="9">
        <v>4.3370857490919734E-2</v>
      </c>
      <c r="D5" s="9">
        <v>3.5416105575006629E-2</v>
      </c>
      <c r="E5" s="9">
        <v>4.3284961410695155E-2</v>
      </c>
      <c r="F5" s="9">
        <v>5.0212368743737246E-2</v>
      </c>
      <c r="G5" s="9">
        <v>3.4231350582377473E-2</v>
      </c>
      <c r="H5" s="9">
        <v>4.0430007010983759E-2</v>
      </c>
      <c r="I5" s="9">
        <v>-7.0550576184378877E-2</v>
      </c>
      <c r="J5" s="9">
        <v>-4.2521940293026916E-2</v>
      </c>
      <c r="K5" s="9">
        <v>-2.8046744574290461E-2</v>
      </c>
      <c r="L5" s="9">
        <v>6.6276446558136692E-2</v>
      </c>
      <c r="M5" s="9">
        <v>9.0912169025529899E-3</v>
      </c>
      <c r="O5" t="s">
        <v>33</v>
      </c>
      <c r="P5" s="10">
        <f t="shared" ref="P5:AA5" si="1">_xlfn.STDEV.S(B14:B25)</f>
        <v>6.8332494902779678E-2</v>
      </c>
      <c r="Q5" s="10">
        <f t="shared" si="1"/>
        <v>0.11254680880121787</v>
      </c>
      <c r="R5" s="10">
        <f t="shared" si="1"/>
        <v>5.7936234291255169E-2</v>
      </c>
      <c r="S5" s="10">
        <f t="shared" si="1"/>
        <v>6.9761107405096112E-2</v>
      </c>
      <c r="T5" s="10">
        <f t="shared" si="1"/>
        <v>5.9785868696467209E-2</v>
      </c>
      <c r="U5" s="10">
        <f t="shared" si="1"/>
        <v>6.1630324741299709E-2</v>
      </c>
      <c r="V5" s="10">
        <f t="shared" si="1"/>
        <v>3.350217501779524E-2</v>
      </c>
      <c r="W5" s="10">
        <f t="shared" si="1"/>
        <v>8.6697436375307135E-2</v>
      </c>
      <c r="X5" s="10">
        <f t="shared" si="1"/>
        <v>0.15340261859651669</v>
      </c>
      <c r="Y5" s="10">
        <f t="shared" si="1"/>
        <v>5.6806921703518962E-2</v>
      </c>
      <c r="Z5" s="10">
        <f t="shared" si="1"/>
        <v>6.3488669776522511E-2</v>
      </c>
      <c r="AA5" s="10">
        <f t="shared" si="1"/>
        <v>4.4156806051488896E-2</v>
      </c>
    </row>
    <row r="6" spans="1:27" x14ac:dyDescent="0.35">
      <c r="A6" vm="1030">
        <v>42856</v>
      </c>
      <c r="B6" s="9">
        <v>6.7678362826115279E-2</v>
      </c>
      <c r="C6" s="9">
        <v>7.5276489475561981E-2</v>
      </c>
      <c r="D6" s="9">
        <v>6.3857458707244019E-2</v>
      </c>
      <c r="E6" s="9">
        <v>5.5805602106775209E-2</v>
      </c>
      <c r="F6" s="9">
        <v>1.4107267158014469E-2</v>
      </c>
      <c r="G6" s="9">
        <v>5.6396148555708514E-2</v>
      </c>
      <c r="H6" s="9">
        <v>5.8999700509134501E-2</v>
      </c>
      <c r="I6" s="9">
        <v>-4.1328006612481039E-2</v>
      </c>
      <c r="J6" s="9">
        <v>0.38400767018216686</v>
      </c>
      <c r="K6" s="9">
        <v>8.7026222374899653E-3</v>
      </c>
      <c r="L6" s="9">
        <v>1.7154620311070623E-3</v>
      </c>
      <c r="M6" s="9">
        <v>1.1576210049492719E-2</v>
      </c>
      <c r="O6">
        <v>2019</v>
      </c>
      <c r="P6" s="10" cm="1">
        <f t="array" ref="P6">PRODUCT(1 + B26:B37) - 1</f>
        <v>0.28176198131985952</v>
      </c>
      <c r="Q6" s="10" cm="1">
        <f t="array" ref="Q6">PRODUCT(1 + C26:C37) - 1</f>
        <v>0.230277568792985</v>
      </c>
      <c r="R6" s="10" cm="1">
        <f t="array" ref="R6">PRODUCT(1 + D26:D37) - 1</f>
        <v>0.40648107872988315</v>
      </c>
      <c r="S6" s="10" cm="1">
        <f t="array" ref="S6">PRODUCT(1 + E26:E37) - 1</f>
        <v>0.6556047197640118</v>
      </c>
      <c r="T6" s="10" cm="1">
        <f t="array" ref="T6">PRODUCT(1 + F26:F37) - 1</f>
        <v>0.3396911898274293</v>
      </c>
      <c r="U6" s="10" cm="1">
        <f t="array" ref="U6">PRODUCT(1 + G26:G37) - 1</f>
        <v>0.58277232971110449</v>
      </c>
      <c r="V6" s="10" cm="1">
        <f t="array" ref="V6">PRODUCT(1 + H26:H37) - 1</f>
        <v>0.39316534345875054</v>
      </c>
      <c r="W6" s="10" cm="1">
        <f t="array" ref="W6">PRODUCT(1 + I26:I37) - 1</f>
        <v>0.11419068736141913</v>
      </c>
      <c r="X6" s="10" cm="1">
        <f t="array" ref="X6">PRODUCT(1 + J26:J37) - 1</f>
        <v>0.76254681647940115</v>
      </c>
      <c r="Y6" s="10" cm="1">
        <f t="array" ref="Y6">PRODUCT(1 + K26:K37) - 1</f>
        <v>0.35879025239338524</v>
      </c>
      <c r="Z6" s="10" cm="1">
        <f t="array" ref="Z6">PRODUCT(1 + L26:L37) - 1</f>
        <v>0.18007385998715519</v>
      </c>
      <c r="AA6" s="10" cm="1">
        <f t="array" ref="AA6">PRODUCT(1 + M26:M37) - 1</f>
        <v>0.28878074077028959</v>
      </c>
    </row>
    <row r="7" spans="1:27" x14ac:dyDescent="0.35">
      <c r="A7" vm="1310">
        <v>42887</v>
      </c>
      <c r="B7" s="9">
        <v>-5.8160856659473792E-2</v>
      </c>
      <c r="C7" s="9">
        <v>-2.6763990267639981E-2</v>
      </c>
      <c r="D7" s="9">
        <v>3.2029339853300698E-2</v>
      </c>
      <c r="E7" s="9">
        <v>-2.6870138999115611E-2</v>
      </c>
      <c r="F7" s="9">
        <v>2.255544028266554E-3</v>
      </c>
      <c r="G7" s="9">
        <v>-1.163736979166663E-2</v>
      </c>
      <c r="H7" s="9">
        <v>-9.2618778280543212E-3</v>
      </c>
      <c r="I7" s="9">
        <v>-5.3887052737462304E-2</v>
      </c>
      <c r="J7" s="9">
        <v>1.4409221902016434E-3</v>
      </c>
      <c r="K7" s="9">
        <v>-1.0670904756499011E-2</v>
      </c>
      <c r="L7" s="9">
        <v>5.8454161433953544E-2</v>
      </c>
      <c r="M7" s="9">
        <v>4.8138319927024664E-3</v>
      </c>
      <c r="O7" t="s">
        <v>33</v>
      </c>
      <c r="P7" s="10">
        <f t="shared" ref="P7:AA7" si="2">_xlfn.STDEV.S(B26:B37)</f>
        <v>5.107776983869286E-2</v>
      </c>
      <c r="Q7" s="10">
        <f t="shared" si="2"/>
        <v>6.5819977660782347E-2</v>
      </c>
      <c r="R7" s="10">
        <f t="shared" si="2"/>
        <v>7.6250938628520198E-2</v>
      </c>
      <c r="S7" s="10">
        <f t="shared" si="2"/>
        <v>4.4398235676544134E-2</v>
      </c>
      <c r="T7" s="10">
        <f t="shared" si="2"/>
        <v>4.8540156287968955E-2</v>
      </c>
      <c r="U7" s="10">
        <f t="shared" si="2"/>
        <v>4.0452978788399083E-2</v>
      </c>
      <c r="V7" s="10">
        <f t="shared" si="2"/>
        <v>2.2836157448286046E-2</v>
      </c>
      <c r="W7" s="10">
        <f t="shared" si="2"/>
        <v>0.12378061772435878</v>
      </c>
      <c r="X7" s="10">
        <f t="shared" si="2"/>
        <v>0.11676756842450349</v>
      </c>
      <c r="Y7" s="10">
        <f t="shared" si="2"/>
        <v>3.2981672127693998E-2</v>
      </c>
      <c r="Z7" s="10">
        <f t="shared" si="2"/>
        <v>7.9474995603672993E-2</v>
      </c>
      <c r="AA7" s="10">
        <f t="shared" si="2"/>
        <v>3.7412786593156229E-2</v>
      </c>
    </row>
    <row r="8" spans="1:27" x14ac:dyDescent="0.35">
      <c r="A8" vm="18046">
        <v>42917</v>
      </c>
      <c r="B8" s="9">
        <v>1.7016607865071753E-2</v>
      </c>
      <c r="C8" s="9">
        <v>2.0433884297520688E-2</v>
      </c>
      <c r="D8" s="9">
        <v>-7.3442312248283015E-3</v>
      </c>
      <c r="E8" s="9">
        <v>5.0260974927765822E-2</v>
      </c>
      <c r="F8" s="9">
        <v>2.1232131229239615E-2</v>
      </c>
      <c r="G8" s="9">
        <v>5.2284890901605596E-2</v>
      </c>
      <c r="H8" s="9">
        <v>4.2531934632127344E-2</v>
      </c>
      <c r="I8" s="9">
        <v>4.1919805589307302E-2</v>
      </c>
      <c r="J8" s="9">
        <v>0.12418372993912574</v>
      </c>
      <c r="K8" s="9">
        <v>4.2111302352266122E-2</v>
      </c>
      <c r="L8" s="9">
        <v>3.4462301801315931E-2</v>
      </c>
      <c r="M8" s="9">
        <v>1.9348768883515444E-2</v>
      </c>
      <c r="O8">
        <v>2020</v>
      </c>
      <c r="P8" s="10" cm="1">
        <f t="array" ref="P8">PRODUCT(1 + B38:B49) - 1</f>
        <v>0.30853597533205401</v>
      </c>
      <c r="Q8" s="10" cm="1">
        <f t="array" ref="Q8">PRODUCT(1 + C38:C49) - 1</f>
        <v>0.76256061130833896</v>
      </c>
      <c r="R8" s="10" cm="1">
        <f t="array" ref="R8">PRODUCT(1 + D38:D49) - 1</f>
        <v>0.44085356424926547</v>
      </c>
      <c r="S8" s="10" cm="1">
        <f t="array" ref="S8">PRODUCT(1 + E38:E49) - 1</f>
        <v>0.22353948946376545</v>
      </c>
      <c r="T8" s="10" cm="1">
        <f t="array" ref="T8">PRODUCT(1 + F38:F49) - 1</f>
        <v>0.20169491525423711</v>
      </c>
      <c r="U8" s="10" cm="1">
        <f t="array" ref="U8">PRODUCT(1 + G38:G49) - 1</f>
        <v>0.19541846679393116</v>
      </c>
      <c r="V8" s="10" cm="1">
        <f t="array" ref="V8">PRODUCT(1 + H38:H49) - 1</f>
        <v>0.27436405682193632</v>
      </c>
      <c r="W8" s="10" cm="1">
        <f t="array" ref="W8">PRODUCT(1 + I38:I49) - 1</f>
        <v>-0.45696517412935311</v>
      </c>
      <c r="X8" s="10" cm="1">
        <f t="array" ref="X8">PRODUCT(1 + J38:J49) - 1</f>
        <v>1.2192945176370595</v>
      </c>
      <c r="Y8" s="10" cm="1">
        <f t="array" ref="Y8">PRODUCT(1 + K38:K49) - 1</f>
        <v>0.11401120896717365</v>
      </c>
      <c r="Z8" s="10" cm="1">
        <f t="array" ref="Z8">PRODUCT(1 + L38:L49) - 1</f>
        <v>0.19287026328321666</v>
      </c>
      <c r="AA8" s="10" cm="1">
        <f t="array" ref="AA8">PRODUCT(1 + M38:M49) - 1</f>
        <v>0.16258921994069597</v>
      </c>
    </row>
    <row r="9" spans="1:27" x14ac:dyDescent="0.35">
      <c r="A9" vm="1842">
        <v>42948</v>
      </c>
      <c r="B9" s="9">
        <v>1.0301427815970321E-2</v>
      </c>
      <c r="C9" s="9">
        <v>-7.2688250420134271E-3</v>
      </c>
      <c r="D9" s="9">
        <v>-4.5584725536992776E-2</v>
      </c>
      <c r="E9" s="9">
        <v>3.9225256805626385E-2</v>
      </c>
      <c r="F9" s="9">
        <v>1.5794824576547573E-2</v>
      </c>
      <c r="G9" s="9">
        <v>4.3035993740219158E-2</v>
      </c>
      <c r="H9" s="9">
        <v>3.0255322061742751E-2</v>
      </c>
      <c r="I9" s="9">
        <v>-7.419825072886288E-2</v>
      </c>
      <c r="J9" s="9">
        <v>4.2630698040760029E-2</v>
      </c>
      <c r="K9" s="9">
        <v>1.5965646333406802E-2</v>
      </c>
      <c r="L9" s="9">
        <v>3.6963661957145177E-2</v>
      </c>
      <c r="M9" s="9">
        <v>5.4649232886694321E-4</v>
      </c>
      <c r="O9" t="s">
        <v>33</v>
      </c>
      <c r="P9" s="10">
        <f t="shared" ref="P9:AA9" si="3">_xlfn.STDEV.S(B38:B49)</f>
        <v>8.9118571849885253E-2</v>
      </c>
      <c r="Q9" s="10">
        <f t="shared" si="3"/>
        <v>0.1000784977837548</v>
      </c>
      <c r="R9" s="10">
        <f t="shared" si="3"/>
        <v>6.145274938508518E-2</v>
      </c>
      <c r="S9" s="10">
        <f t="shared" si="3"/>
        <v>5.4251271809039492E-2</v>
      </c>
      <c r="T9" s="10">
        <f t="shared" si="3"/>
        <v>9.7950280618946672E-2</v>
      </c>
      <c r="U9" s="10">
        <f t="shared" si="3"/>
        <v>0.11468050850358755</v>
      </c>
      <c r="V9" s="10">
        <f t="shared" si="3"/>
        <v>7.4607167501063082E-2</v>
      </c>
      <c r="W9" s="10">
        <f t="shared" si="3"/>
        <v>0.22843403406908325</v>
      </c>
      <c r="X9" s="10">
        <f t="shared" si="3"/>
        <v>0.10100253964016662</v>
      </c>
      <c r="Y9" s="10">
        <f t="shared" si="3"/>
        <v>4.9589042302551449E-2</v>
      </c>
      <c r="Z9" s="10">
        <f t="shared" si="3"/>
        <v>6.9869828619145063E-2</v>
      </c>
      <c r="AA9" s="10">
        <f t="shared" si="3"/>
        <v>7.4848416609383517E-2</v>
      </c>
    </row>
    <row r="10" spans="1:27" x14ac:dyDescent="0.35">
      <c r="A10" vm="2127">
        <v>42979</v>
      </c>
      <c r="B10" s="9">
        <v>1.9345923537540388E-2</v>
      </c>
      <c r="C10" s="9">
        <v>-1.9630838262288397E-2</v>
      </c>
      <c r="D10" s="9">
        <v>3.275818954738674E-2</v>
      </c>
      <c r="E10" s="9">
        <v>-4.7202237356162358E-2</v>
      </c>
      <c r="F10" s="9">
        <v>2.5095553910534418E-2</v>
      </c>
      <c r="G10" s="9">
        <v>5.9264816204050774E-2</v>
      </c>
      <c r="H10" s="9">
        <v>-2.6310544149890203E-2</v>
      </c>
      <c r="I10" s="9">
        <v>9.8409699259959238E-2</v>
      </c>
      <c r="J10" s="9">
        <v>5.5075542965061342E-2</v>
      </c>
      <c r="K10" s="9">
        <v>-1.3980708789422258E-2</v>
      </c>
      <c r="L10" s="9">
        <v>-1.5334338863750685E-2</v>
      </c>
      <c r="M10" s="9">
        <v>1.9302894827342154E-2</v>
      </c>
      <c r="O10">
        <v>2021</v>
      </c>
      <c r="P10" s="10" cm="1">
        <f t="array" ref="P10">PRODUCT(1 + B50:B61) - 1</f>
        <v>0.65295782362607224</v>
      </c>
      <c r="Q10" s="10" cm="1">
        <f t="array" ref="Q10">PRODUCT(1 + C50:C61) - 1</f>
        <v>2.3767781315534142E-2</v>
      </c>
      <c r="R10" s="10" cm="1">
        <f t="array" ref="R10">PRODUCT(1 + D50:D61) - 1</f>
        <v>3.3161622665808466E-2</v>
      </c>
      <c r="S10" s="10" cm="1">
        <f t="array" ref="S10">PRODUCT(1 + E50:E61) - 1</f>
        <v>0.18435128399003098</v>
      </c>
      <c r="T10" s="10" cm="1">
        <f t="array" ref="T10">PRODUCT(1 + F50:F61) - 1</f>
        <v>-1.9699106723084281E-2</v>
      </c>
      <c r="U10" s="10" cm="1">
        <f t="array" ref="U10">PRODUCT(1 + G50:G61) - 1</f>
        <v>6.6677873031879553E-3</v>
      </c>
      <c r="V10" s="10" cm="1">
        <f t="array" ref="V10">PRODUCT(1 + H50:H61) - 1</f>
        <v>0.21011017498379747</v>
      </c>
      <c r="W10" s="10" cm="1">
        <f t="array" ref="W10">PRODUCT(1 + I50:I61) - 1</f>
        <v>0.37196518552450697</v>
      </c>
      <c r="X10" s="10" cm="1">
        <f t="array" ref="X10">PRODUCT(1 + J50:J61) - 1</f>
        <v>1.2528533129069328</v>
      </c>
      <c r="Y10" s="10" cm="1">
        <f t="array" ref="Y10">PRODUCT(1 + K50:K61) - 1</f>
        <v>0.1756504240333483</v>
      </c>
      <c r="Z10" s="10" cm="1">
        <f t="array" ref="Z10">PRODUCT(1 + L50:L61) - 1</f>
        <v>0.43190372989620207</v>
      </c>
      <c r="AA10" s="10" cm="1">
        <f t="array" ref="AA10">PRODUCT(1 + M50:M61) - 1</f>
        <v>0.26892736290857222</v>
      </c>
    </row>
    <row r="11" spans="1:27" x14ac:dyDescent="0.35">
      <c r="A11" vm="18052">
        <v>43009</v>
      </c>
      <c r="B11" s="9">
        <v>6.0921003984718336E-2</v>
      </c>
      <c r="C11" s="9">
        <v>0.14971654444271087</v>
      </c>
      <c r="D11" s="9">
        <v>3.9467312348668404E-2</v>
      </c>
      <c r="E11" s="9">
        <v>3.8539099260586962E-2</v>
      </c>
      <c r="F11" s="9">
        <v>1.7073384605068131E-2</v>
      </c>
      <c r="G11" s="9">
        <v>5.3611898016997284E-2</v>
      </c>
      <c r="H11" s="9">
        <v>5.8137154554759318E-2</v>
      </c>
      <c r="I11" s="9">
        <v>-8.2568807339449601E-2</v>
      </c>
      <c r="J11" s="9">
        <v>0.15684782851900758</v>
      </c>
      <c r="K11" s="9">
        <v>-5.1000219828533755E-2</v>
      </c>
      <c r="L11" s="9">
        <v>7.3372478937962837E-2</v>
      </c>
      <c r="M11" s="9">
        <v>2.2188174774546043E-2</v>
      </c>
      <c r="O11" t="s">
        <v>33</v>
      </c>
      <c r="P11" s="10">
        <f t="shared" ref="P11:AA11" si="4">_xlfn.STDEV.S(B50:B61)</f>
        <v>6.5044196221993963E-2</v>
      </c>
      <c r="Q11" s="10">
        <f t="shared" si="4"/>
        <v>5.7149453164263841E-2</v>
      </c>
      <c r="R11" s="10">
        <f t="shared" si="4"/>
        <v>7.9898277610403884E-2</v>
      </c>
      <c r="S11" s="10">
        <f t="shared" si="4"/>
        <v>5.9912921220952979E-2</v>
      </c>
      <c r="T11" s="10">
        <f t="shared" si="4"/>
        <v>5.7796077528212322E-2</v>
      </c>
      <c r="U11" s="10">
        <f t="shared" si="4"/>
        <v>8.2209885911922478E-2</v>
      </c>
      <c r="V11" s="10">
        <f t="shared" si="4"/>
        <v>5.9811466686645449E-2</v>
      </c>
      <c r="W11" s="10">
        <f t="shared" si="4"/>
        <v>0.10296061557537398</v>
      </c>
      <c r="X11" s="10">
        <f t="shared" si="4"/>
        <v>0.1275300844974418</v>
      </c>
      <c r="Y11" s="10">
        <f t="shared" si="4"/>
        <v>5.6879468604389263E-2</v>
      </c>
      <c r="Z11" s="10">
        <f t="shared" si="4"/>
        <v>7.7217009344698828E-2</v>
      </c>
      <c r="AA11" s="10">
        <f t="shared" si="4"/>
        <v>3.1913769494155753E-2</v>
      </c>
    </row>
    <row r="12" spans="1:27" x14ac:dyDescent="0.35">
      <c r="A12" vm="2638">
        <v>43040</v>
      </c>
      <c r="B12" s="9">
        <v>3.0298923565399427E-3</v>
      </c>
      <c r="C12" s="9">
        <v>6.4662348002316072E-2</v>
      </c>
      <c r="D12" s="9">
        <v>-7.0347076636384842E-2</v>
      </c>
      <c r="E12" s="9">
        <v>2.1359223300971841E-3</v>
      </c>
      <c r="F12" s="9">
        <v>8.1853834043469131E-2</v>
      </c>
      <c r="G12" s="9">
        <v>1.1427035020501464E-2</v>
      </c>
      <c r="H12" s="9">
        <v>1.9152640742890359E-2</v>
      </c>
      <c r="I12" s="9">
        <v>-1.7968749999999978E-2</v>
      </c>
      <c r="J12" s="9">
        <v>-2.9495387114867544E-2</v>
      </c>
      <c r="K12" s="9">
        <v>4.227472782024555E-2</v>
      </c>
      <c r="L12" s="9">
        <v>8.5386737703358362E-2</v>
      </c>
      <c r="M12" s="9">
        <v>2.8082601368405458E-2</v>
      </c>
      <c r="O12">
        <v>2022</v>
      </c>
      <c r="P12">
        <v>-0.39089553475271321</v>
      </c>
      <c r="Q12">
        <v>-0.4961521620470617</v>
      </c>
      <c r="R12">
        <v>-0.46878570686610543</v>
      </c>
      <c r="S12">
        <v>-0.22558639931902025</v>
      </c>
      <c r="T12">
        <v>2.7768452352405326E-2</v>
      </c>
      <c r="U12">
        <v>-3.225537125681821E-2</v>
      </c>
      <c r="V12">
        <v>-0.10454155955441313</v>
      </c>
      <c r="W12">
        <v>0.78497495826377239</v>
      </c>
      <c r="X12">
        <v>-0.50311108088810308</v>
      </c>
      <c r="Y12">
        <v>-7.3480865631495251E-2</v>
      </c>
      <c r="Z12">
        <v>5.5841000517784067E-2</v>
      </c>
      <c r="AA12">
        <v>-0.19442824232404188</v>
      </c>
    </row>
    <row r="13" spans="1:27" x14ac:dyDescent="0.35">
      <c r="A13" vm="2893">
        <v>43070</v>
      </c>
      <c r="B13" s="9">
        <v>1.6628545508941661E-2</v>
      </c>
      <c r="C13" s="9">
        <v>-6.1865306989589142E-3</v>
      </c>
      <c r="D13" s="9">
        <v>-5.161613630668993E-2</v>
      </c>
      <c r="E13" s="9">
        <v>-2.4263170358888253E-2</v>
      </c>
      <c r="F13" s="9">
        <v>-1.6671220547108678E-2</v>
      </c>
      <c r="G13" s="9">
        <v>5.9148002924171994E-3</v>
      </c>
      <c r="H13" s="9">
        <v>-1.1705897241204744E-2</v>
      </c>
      <c r="I13" s="9">
        <v>7.2235481304693705E-2</v>
      </c>
      <c r="J13" s="9">
        <v>-3.5932081788831782E-2</v>
      </c>
      <c r="K13" s="9">
        <v>2.1002333592621492E-2</v>
      </c>
      <c r="L13" s="9">
        <v>-3.3790594731997969E-2</v>
      </c>
      <c r="M13" s="9">
        <v>9.8316198188534987E-3</v>
      </c>
      <c r="O13" t="s">
        <v>33</v>
      </c>
      <c r="P13">
        <v>7.746274142840151E-2</v>
      </c>
      <c r="Q13">
        <v>0.12634634517799825</v>
      </c>
      <c r="R13">
        <v>0.10150772175466941</v>
      </c>
      <c r="S13">
        <v>9.6559965319709354E-2</v>
      </c>
      <c r="T13">
        <v>9.4196467375505688E-2</v>
      </c>
      <c r="U13">
        <v>9.2103934328431128E-2</v>
      </c>
      <c r="V13">
        <v>8.9136200496709034E-2</v>
      </c>
      <c r="W13">
        <v>0.17638328587069133</v>
      </c>
      <c r="X13">
        <v>0.1813587797164263</v>
      </c>
      <c r="Y13">
        <v>5.6819514746050556E-2</v>
      </c>
      <c r="Z13">
        <v>4.926640707036517E-2</v>
      </c>
      <c r="AA13">
        <v>6.6310611552332394E-2</v>
      </c>
    </row>
    <row r="14" spans="1:27" x14ac:dyDescent="0.35">
      <c r="A14" vm="18058">
        <v>43101</v>
      </c>
      <c r="B14" s="8">
        <v>0.1222897284981963</v>
      </c>
      <c r="C14" s="8">
        <v>0.24063892190479441</v>
      </c>
      <c r="D14" s="8">
        <v>1.1360634081902132E-2</v>
      </c>
      <c r="E14" s="8">
        <v>4.3466749040199648E-3</v>
      </c>
      <c r="F14" s="8">
        <v>4.114515867599966E-2</v>
      </c>
      <c r="G14" s="8">
        <v>0.11654334038054959</v>
      </c>
      <c r="H14" s="8">
        <v>1.4277482553300302E-2</v>
      </c>
      <c r="I14" s="8">
        <v>9.1853390710787908E-2</v>
      </c>
      <c r="J14" s="8">
        <v>0.27028423772609811</v>
      </c>
      <c r="K14" s="8">
        <v>-6.0296038310840183E-2</v>
      </c>
      <c r="L14" s="8">
        <v>7.4027034382654344E-2</v>
      </c>
      <c r="M14" s="8">
        <v>5.6178724645703726E-2</v>
      </c>
    </row>
    <row r="15" spans="1:27" ht="15" thickBot="1" x14ac:dyDescent="0.4">
      <c r="A15" vm="3380">
        <v>43132</v>
      </c>
      <c r="B15" s="8">
        <v>-6.6231327502495274E-2</v>
      </c>
      <c r="C15" s="8">
        <v>4.242912970659396E-2</v>
      </c>
      <c r="D15" s="8">
        <v>4.3625914315569503E-2</v>
      </c>
      <c r="E15" s="8">
        <v>-0.13860146312528832</v>
      </c>
      <c r="F15" s="8">
        <v>-5.3610360862742512E-2</v>
      </c>
      <c r="G15" s="8">
        <v>4.0000000000000036E-2</v>
      </c>
      <c r="H15" s="8">
        <v>-3.957833606867811E-2</v>
      </c>
      <c r="I15" s="8">
        <v>-0.10790975808643655</v>
      </c>
      <c r="J15" s="8">
        <v>-1.5459723352318933E-2</v>
      </c>
      <c r="K15" s="8">
        <v>-9.0572156590224773E-2</v>
      </c>
      <c r="L15" s="8">
        <v>-4.4851761128473666E-2</v>
      </c>
      <c r="M15" s="8">
        <v>-3.8947379604151844E-2</v>
      </c>
      <c r="O15" s="42" t="s">
        <v>62</v>
      </c>
      <c r="P15" s="42"/>
      <c r="Q15" s="42"/>
      <c r="R15" s="42"/>
      <c r="S15" s="42"/>
      <c r="T15" s="42"/>
      <c r="U15" s="42"/>
      <c r="V15" s="42"/>
      <c r="W15" s="42"/>
      <c r="X15" s="42"/>
      <c r="Y15" s="42"/>
      <c r="Z15" s="42"/>
      <c r="AA15" s="42"/>
    </row>
    <row r="16" spans="1:27" x14ac:dyDescent="0.35">
      <c r="A16" vm="3610">
        <v>43160</v>
      </c>
      <c r="B16" s="8">
        <v>-6.0493514022755268E-2</v>
      </c>
      <c r="C16" s="8">
        <v>-4.3049357003537292E-2</v>
      </c>
      <c r="D16" s="8">
        <v>-6.007509386733445E-3</v>
      </c>
      <c r="E16" s="8">
        <v>6.641162968630443E-2</v>
      </c>
      <c r="F16" s="8">
        <v>-4.3677201208739858E-2</v>
      </c>
      <c r="G16" s="8">
        <v>-3.4137460172962708E-3</v>
      </c>
      <c r="H16" s="8">
        <v>7.3480118304305009E-2</v>
      </c>
      <c r="I16" s="8">
        <v>-1.3101767215112692E-2</v>
      </c>
      <c r="J16" s="8">
        <v>-4.300826446280992E-2</v>
      </c>
      <c r="K16" s="8">
        <v>9.679062659195159E-3</v>
      </c>
      <c r="L16" s="8">
        <v>-5.3767244428723049E-2</v>
      </c>
      <c r="M16" s="8">
        <v>-2.6884513768364315E-2</v>
      </c>
      <c r="O16" s="21"/>
      <c r="P16" s="21" t="s">
        <v>7</v>
      </c>
      <c r="Q16" s="21" t="s">
        <v>8</v>
      </c>
      <c r="R16" s="21" t="s">
        <v>9</v>
      </c>
      <c r="S16" s="21" t="s">
        <v>10</v>
      </c>
      <c r="T16" s="21" t="s">
        <v>11</v>
      </c>
      <c r="U16" s="21" t="s">
        <v>12</v>
      </c>
      <c r="V16" s="21" t="s">
        <v>13</v>
      </c>
      <c r="W16" s="21" t="s">
        <v>14</v>
      </c>
      <c r="X16" s="21" t="s">
        <v>15</v>
      </c>
      <c r="Y16" s="21" t="s">
        <v>16</v>
      </c>
      <c r="Z16" s="21" t="s">
        <v>17</v>
      </c>
      <c r="AA16" s="21" t="s">
        <v>19</v>
      </c>
    </row>
    <row r="17" spans="1:27" x14ac:dyDescent="0.35">
      <c r="A17" vm="18064">
        <v>43191</v>
      </c>
      <c r="B17" s="8">
        <v>-1.7895366102936849E-2</v>
      </c>
      <c r="C17" s="8">
        <v>8.2074702557795698E-2</v>
      </c>
      <c r="D17" s="8">
        <v>9.5693779904306719E-3</v>
      </c>
      <c r="E17" s="8">
        <v>6.3375902807671913E-3</v>
      </c>
      <c r="F17" s="8">
        <v>1.1766372459172114E-3</v>
      </c>
      <c r="G17" s="8">
        <v>1.7755195250057199E-2</v>
      </c>
      <c r="H17" s="8">
        <v>3.551092879446438E-3</v>
      </c>
      <c r="I17" s="8">
        <v>5.8351343007100986E-2</v>
      </c>
      <c r="J17" s="8">
        <v>-2.8895644063698267E-2</v>
      </c>
      <c r="K17" s="8">
        <v>-8.7537840565085734E-2</v>
      </c>
      <c r="L17" s="8">
        <v>0.10467289719626161</v>
      </c>
      <c r="M17" s="8">
        <v>2.718801001185378E-3</v>
      </c>
      <c r="O17" t="s">
        <v>7</v>
      </c>
      <c r="P17">
        <f>VARP(STD!$B$2:$B$73)</f>
        <v>4.7883961111090147E-3</v>
      </c>
      <c r="Q17">
        <v>4.0144231377895172E-3</v>
      </c>
      <c r="R17">
        <v>2.2227263626297643E-3</v>
      </c>
      <c r="S17">
        <v>1.6951500381419435E-3</v>
      </c>
      <c r="T17">
        <v>2.467995772202167E-3</v>
      </c>
      <c r="U17">
        <v>2.4945175837387617E-3</v>
      </c>
      <c r="V17">
        <v>1.7632782465021482E-3</v>
      </c>
      <c r="W17">
        <v>3.574773718971806E-3</v>
      </c>
      <c r="X17">
        <v>5.4624513831129573E-3</v>
      </c>
      <c r="Y17">
        <v>6.7758729798464315E-4</v>
      </c>
      <c r="Z17">
        <v>1.8885156682661823E-3</v>
      </c>
      <c r="AA17">
        <v>2.6153058225530951E-3</v>
      </c>
    </row>
    <row r="18" spans="1:27" x14ac:dyDescent="0.35">
      <c r="A18" vm="4104">
        <v>43221</v>
      </c>
      <c r="B18" s="8">
        <v>7.9934811207759804E-2</v>
      </c>
      <c r="C18" s="8">
        <v>4.0539418822192141E-2</v>
      </c>
      <c r="D18" s="8">
        <v>-7.832377151409331E-2</v>
      </c>
      <c r="E18" s="8">
        <v>-5.6892987000641604E-2</v>
      </c>
      <c r="F18" s="8">
        <v>2.2325502154151744E-2</v>
      </c>
      <c r="G18" s="8">
        <v>6.6472205082178659E-2</v>
      </c>
      <c r="H18" s="8">
        <v>1.159172716734802E-2</v>
      </c>
      <c r="I18" s="8">
        <v>1.6044340723453399E-3</v>
      </c>
      <c r="J18" s="8">
        <v>0.12135171187194316</v>
      </c>
      <c r="K18" s="8">
        <v>1.147359690351113E-2</v>
      </c>
      <c r="L18" s="8">
        <v>2.1615905245346845E-2</v>
      </c>
      <c r="M18" s="8">
        <v>2.1608353316591389E-2</v>
      </c>
      <c r="O18" t="s">
        <v>8</v>
      </c>
      <c r="P18">
        <v>4.0144231377895172E-3</v>
      </c>
      <c r="Q18">
        <f>VARP(STD!$C$2:$C$73)</f>
        <v>8.5364592474754929E-3</v>
      </c>
      <c r="R18">
        <v>2.5438653370916278E-3</v>
      </c>
      <c r="S18">
        <v>2.5603998098269413E-3</v>
      </c>
      <c r="T18">
        <v>2.0136202798644778E-3</v>
      </c>
      <c r="U18">
        <v>2.9513332672795986E-3</v>
      </c>
      <c r="V18">
        <v>1.7404919683103131E-3</v>
      </c>
      <c r="W18">
        <v>1.8209386655033911E-3</v>
      </c>
      <c r="X18">
        <v>7.6578184882885115E-3</v>
      </c>
      <c r="Y18">
        <v>6.5474847161153962E-5</v>
      </c>
      <c r="Z18">
        <v>2.2527367762041959E-3</v>
      </c>
      <c r="AA18">
        <v>2.9609148209543724E-3</v>
      </c>
    </row>
    <row r="19" spans="1:27" x14ac:dyDescent="0.35">
      <c r="A19" vm="4362">
        <v>43252</v>
      </c>
      <c r="B19" s="8">
        <v>2.653636363636358E-2</v>
      </c>
      <c r="C19" s="8">
        <v>4.3065254476503778E-2</v>
      </c>
      <c r="D19" s="8">
        <v>-3.7889039242219313E-2</v>
      </c>
      <c r="E19" s="8">
        <v>8.3255638150434574E-2</v>
      </c>
      <c r="F19" s="8">
        <v>-2.609737049114591E-2</v>
      </c>
      <c r="G19" s="8">
        <v>3.3662949715968837E-2</v>
      </c>
      <c r="H19" s="8">
        <v>7.3578191906398249E-3</v>
      </c>
      <c r="I19" s="8">
        <v>-2.388233580894128E-2</v>
      </c>
      <c r="J19" s="8">
        <v>-6.0636340565918045E-2</v>
      </c>
      <c r="K19" s="8">
        <v>6.683066830668305E-2</v>
      </c>
      <c r="L19" s="8">
        <v>1.5858556581508143E-2</v>
      </c>
      <c r="M19" s="8">
        <v>4.8424002040461378E-3</v>
      </c>
      <c r="O19" t="s">
        <v>9</v>
      </c>
      <c r="P19">
        <v>2.2227263626297643E-3</v>
      </c>
      <c r="Q19">
        <v>2.5438653370916278E-3</v>
      </c>
      <c r="R19">
        <f>VARP(STD!$D$2:$D$73)</f>
        <v>5.5176040700251928E-3</v>
      </c>
      <c r="S19">
        <v>1.9082062649601219E-3</v>
      </c>
      <c r="T19">
        <v>1.7927226433808526E-3</v>
      </c>
      <c r="U19">
        <v>2.2205261062514053E-3</v>
      </c>
      <c r="V19">
        <v>1.6704584722774191E-3</v>
      </c>
      <c r="W19">
        <v>2.6770046914614885E-4</v>
      </c>
      <c r="X19">
        <v>4.1166100884932316E-3</v>
      </c>
      <c r="Y19">
        <v>9.4595692253884921E-4</v>
      </c>
      <c r="Z19">
        <v>7.672241314620389E-4</v>
      </c>
      <c r="AA19">
        <v>1.6936528113999172E-3</v>
      </c>
    </row>
    <row r="20" spans="1:27" x14ac:dyDescent="0.35">
      <c r="A20" vm="18068">
        <v>43282</v>
      </c>
      <c r="B20" s="8">
        <v>8.6814442210788156E-2</v>
      </c>
      <c r="C20" s="8">
        <v>4.5675961877868154E-2</v>
      </c>
      <c r="D20" s="8">
        <v>9.6202531645569689E-2</v>
      </c>
      <c r="E20" s="8">
        <v>2.1842796994580027E-2</v>
      </c>
      <c r="F20" s="8">
        <v>0.1082961136890952</v>
      </c>
      <c r="G20" s="8">
        <v>7.5310400977000036E-3</v>
      </c>
      <c r="H20" s="8">
        <v>3.0533437107105321E-3</v>
      </c>
      <c r="I20" s="8">
        <v>7.3101596300162441E-3</v>
      </c>
      <c r="J20" s="8">
        <v>3.3600675390460077E-2</v>
      </c>
      <c r="K20" s="8">
        <v>3.6126056879323576E-2</v>
      </c>
      <c r="L20" s="8">
        <v>3.2118692426836182E-2</v>
      </c>
      <c r="M20" s="8">
        <v>3.6021586465418753E-2</v>
      </c>
      <c r="O20" t="s">
        <v>10</v>
      </c>
      <c r="P20">
        <v>1.6951500381419435E-3</v>
      </c>
      <c r="Q20">
        <v>2.5603998098269413E-3</v>
      </c>
      <c r="R20">
        <v>1.9082062649601219E-3</v>
      </c>
      <c r="S20">
        <f>VARP(STD!$E$2:$E$73)</f>
        <v>4.2206088698802787E-3</v>
      </c>
      <c r="T20">
        <v>1.0627445513738268E-3</v>
      </c>
      <c r="U20">
        <v>1.1057728251638156E-3</v>
      </c>
      <c r="V20">
        <v>2.0279434184074657E-3</v>
      </c>
      <c r="W20">
        <v>-7.3768168814515654E-4</v>
      </c>
      <c r="X20">
        <v>3.8761821119876333E-3</v>
      </c>
      <c r="Y20">
        <v>1.2839548868252058E-3</v>
      </c>
      <c r="Z20">
        <v>9.9722642882556591E-4</v>
      </c>
      <c r="AA20">
        <v>1.4034155229072185E-3</v>
      </c>
    </row>
    <row r="21" spans="1:27" x14ac:dyDescent="0.35">
      <c r="A21" vm="4856">
        <v>43313</v>
      </c>
      <c r="B21" s="8">
        <v>3.7320121901533998E-3</v>
      </c>
      <c r="C21" s="8">
        <v>0.13236452425960921</v>
      </c>
      <c r="D21" s="8">
        <v>7.4672825250192476E-2</v>
      </c>
      <c r="E21" s="8">
        <v>-7.170824986341251E-3</v>
      </c>
      <c r="F21" s="8">
        <v>-3.6956302721119494E-3</v>
      </c>
      <c r="G21" s="8">
        <v>8.8686868686868703E-2</v>
      </c>
      <c r="H21" s="8">
        <v>1.5279933150292413E-2</v>
      </c>
      <c r="I21" s="8">
        <v>-6.4573459715639769E-2</v>
      </c>
      <c r="J21" s="8">
        <v>0.14628767458956138</v>
      </c>
      <c r="K21" s="8">
        <v>2.5593471810089197E-2</v>
      </c>
      <c r="L21" s="8">
        <v>6.0184819524524036E-2</v>
      </c>
      <c r="M21" s="8">
        <v>3.0263218631604083E-2</v>
      </c>
      <c r="O21" t="s">
        <v>11</v>
      </c>
      <c r="P21">
        <v>2.467995772202167E-3</v>
      </c>
      <c r="Q21">
        <v>2.0136202798644778E-3</v>
      </c>
      <c r="R21">
        <v>1.7927226433808526E-3</v>
      </c>
      <c r="S21">
        <v>1.0627445513738268E-3</v>
      </c>
      <c r="T21">
        <f>VARP(STD!$F$2:$F$73)</f>
        <v>4.499544818207986E-3</v>
      </c>
      <c r="U21">
        <v>3.5990967091052307E-3</v>
      </c>
      <c r="V21">
        <v>8.1479790201928947E-4</v>
      </c>
      <c r="W21">
        <v>6.0990577118334574E-3</v>
      </c>
      <c r="X21">
        <v>3.4216805193566097E-3</v>
      </c>
      <c r="Y21">
        <v>1.309338104460058E-3</v>
      </c>
      <c r="Z21">
        <v>1.9934634650621719E-3</v>
      </c>
      <c r="AA21">
        <v>2.6915255089842794E-3</v>
      </c>
    </row>
    <row r="22" spans="1:27" x14ac:dyDescent="0.35">
      <c r="A22" vm="18071">
        <v>43344</v>
      </c>
      <c r="B22" s="8">
        <v>-2.006819288845596E-2</v>
      </c>
      <c r="C22" s="8">
        <v>-4.8243413109686495E-3</v>
      </c>
      <c r="D22" s="8">
        <v>5.0382043935052412E-2</v>
      </c>
      <c r="E22" s="8">
        <v>-7.428977598422537E-3</v>
      </c>
      <c r="F22" s="8">
        <v>4.6145774578062015E-2</v>
      </c>
      <c r="G22" s="8">
        <v>3.2705511226572614E-2</v>
      </c>
      <c r="H22" s="8">
        <v>-1.4697236919459122E-2</v>
      </c>
      <c r="I22" s="8">
        <v>-3.5465484483850451E-2</v>
      </c>
      <c r="J22" s="8">
        <v>1.2113438791505615E-3</v>
      </c>
      <c r="K22" s="8">
        <v>3.3755274261604296E-3</v>
      </c>
      <c r="L22" s="8">
        <v>-9.0143783058926896E-3</v>
      </c>
      <c r="M22" s="8">
        <v>4.2943009181395375E-3</v>
      </c>
      <c r="O22" t="s">
        <v>12</v>
      </c>
      <c r="P22">
        <v>2.4945175837387617E-3</v>
      </c>
      <c r="Q22">
        <v>2.9513332672795986E-3</v>
      </c>
      <c r="R22">
        <v>2.2205261062514053E-3</v>
      </c>
      <c r="S22">
        <v>1.1057728251638156E-3</v>
      </c>
      <c r="T22">
        <v>3.5990967091052307E-3</v>
      </c>
      <c r="U22">
        <f>VARP(STD!$G$2:$G$73)</f>
        <v>5.4414121072946476E-3</v>
      </c>
      <c r="V22">
        <v>3.8066637404713825E-4</v>
      </c>
      <c r="W22">
        <v>5.8746805406098782E-3</v>
      </c>
      <c r="X22">
        <v>3.899280482379407E-3</v>
      </c>
      <c r="Y22">
        <v>1.205710397649205E-3</v>
      </c>
      <c r="Z22">
        <v>1.752648707776402E-3</v>
      </c>
      <c r="AA22">
        <v>2.6416490674022919E-3</v>
      </c>
    </row>
    <row r="23" spans="1:27" x14ac:dyDescent="0.35">
      <c r="A23" vm="5350">
        <v>43374</v>
      </c>
      <c r="B23" s="8">
        <v>-9.651390131557136E-2</v>
      </c>
      <c r="C23" s="8">
        <v>-0.20219171243135303</v>
      </c>
      <c r="D23" s="8">
        <v>1.8413275744487256E-2</v>
      </c>
      <c r="E23" s="8">
        <v>-0.12508951465730322</v>
      </c>
      <c r="F23" s="8">
        <v>-9.1005524140576055E-2</v>
      </c>
      <c r="G23" s="8">
        <v>-0.11203449979785285</v>
      </c>
      <c r="H23" s="8">
        <v>2.923627684964214E-2</v>
      </c>
      <c r="I23" s="8">
        <v>-0.15774786605384106</v>
      </c>
      <c r="J23" s="8">
        <v>-0.24976158280549421</v>
      </c>
      <c r="K23" s="8">
        <v>6.5481196683887966E-2</v>
      </c>
      <c r="L23" s="8">
        <v>-1.7628927980754772E-2</v>
      </c>
      <c r="M23" s="8">
        <v>-6.9403358979814644E-2</v>
      </c>
      <c r="O23" t="s">
        <v>13</v>
      </c>
      <c r="P23">
        <v>1.7632782465021482E-3</v>
      </c>
      <c r="Q23">
        <v>1.7404919683103131E-3</v>
      </c>
      <c r="R23">
        <v>1.6704584722774191E-3</v>
      </c>
      <c r="S23">
        <v>2.0279434184074657E-3</v>
      </c>
      <c r="T23">
        <v>8.1479790201928947E-4</v>
      </c>
      <c r="U23">
        <v>3.8066637404713825E-4</v>
      </c>
      <c r="V23">
        <f>VARP(STD!$H$2:$H$73)</f>
        <v>3.1428398177107985E-3</v>
      </c>
      <c r="W23">
        <v>-8.6514261804864227E-4</v>
      </c>
      <c r="X23">
        <v>2.6720951772348902E-3</v>
      </c>
      <c r="Y23">
        <v>6.7356809258784889E-4</v>
      </c>
      <c r="Z23">
        <v>7.0753388175178985E-4</v>
      </c>
      <c r="AA23">
        <v>1.1805952070061934E-3</v>
      </c>
    </row>
    <row r="24" spans="1:27" x14ac:dyDescent="0.35">
      <c r="A24" vm="5626">
        <v>43405</v>
      </c>
      <c r="B24" s="8">
        <v>1.7486108309340054E-2</v>
      </c>
      <c r="C24" s="8">
        <v>5.7671729213208955E-2</v>
      </c>
      <c r="D24" s="8">
        <v>9.6205357142857162E-2</v>
      </c>
      <c r="E24" s="8">
        <v>1.7267782647726548E-2</v>
      </c>
      <c r="F24" s="8">
        <v>1.3326888551305149E-2</v>
      </c>
      <c r="G24" s="8">
        <v>1.7200384479182595E-2</v>
      </c>
      <c r="H24" s="8">
        <v>5.3391304347826241E-2</v>
      </c>
      <c r="I24" s="8">
        <v>-0.12102903917365038</v>
      </c>
      <c r="J24" s="8">
        <v>-0.22482355619640293</v>
      </c>
      <c r="K24" s="8">
        <v>6.5741993685160205E-2</v>
      </c>
      <c r="L24" s="8">
        <v>7.656399464319863E-2</v>
      </c>
      <c r="M24" s="8">
        <v>1.785938179914015E-2</v>
      </c>
      <c r="O24" t="s">
        <v>14</v>
      </c>
      <c r="P24">
        <v>3.574773718971806E-3</v>
      </c>
      <c r="Q24">
        <v>1.8209386655033911E-3</v>
      </c>
      <c r="R24">
        <v>2.6770046914614885E-4</v>
      </c>
      <c r="S24">
        <v>-7.3768168814515654E-4</v>
      </c>
      <c r="T24">
        <v>6.0990577118334574E-3</v>
      </c>
      <c r="U24">
        <v>5.8746805406098782E-3</v>
      </c>
      <c r="V24">
        <v>-8.6514261804864227E-4</v>
      </c>
      <c r="W24">
        <f>VARP(STD!$I$2:$I$73)</f>
        <v>1.9692492362749104E-2</v>
      </c>
      <c r="X24">
        <v>4.9002793290097747E-3</v>
      </c>
      <c r="Y24">
        <v>9.5638932091357987E-4</v>
      </c>
      <c r="Z24">
        <v>2.8085783977093172E-3</v>
      </c>
      <c r="AA24">
        <v>4.2962472302761033E-3</v>
      </c>
    </row>
    <row r="25" spans="1:27" x14ac:dyDescent="0.35">
      <c r="A25" vm="18077">
        <v>43435</v>
      </c>
      <c r="B25" s="8">
        <v>-5.8297661424773661E-2</v>
      </c>
      <c r="C25" s="8">
        <v>-0.11134974588355018</v>
      </c>
      <c r="D25" s="8">
        <v>-6.3734473630625232E-2</v>
      </c>
      <c r="E25" s="8">
        <v>-8.4925249169435113E-2</v>
      </c>
      <c r="F25" s="8">
        <v>-9.9693356047700132E-2</v>
      </c>
      <c r="G25" s="8">
        <v>-6.1769532998458221E-2</v>
      </c>
      <c r="H25" s="8">
        <v>-4.3420835397061319E-2</v>
      </c>
      <c r="I25" s="8">
        <v>-0.20000000000000007</v>
      </c>
      <c r="J25" s="8">
        <v>-0.18314650741592831</v>
      </c>
      <c r="K25" s="8">
        <v>-2.740450745952816E-2</v>
      </c>
      <c r="L25" s="8">
        <v>-0.11458629513790164</v>
      </c>
      <c r="M25" s="8">
        <v>-9.1776955767217339E-2</v>
      </c>
      <c r="O25" t="s">
        <v>15</v>
      </c>
      <c r="P25">
        <v>5.4624513831129573E-3</v>
      </c>
      <c r="Q25">
        <v>7.6578184882885115E-3</v>
      </c>
      <c r="R25">
        <v>4.1166100884932316E-3</v>
      </c>
      <c r="S25">
        <v>3.8761821119876333E-3</v>
      </c>
      <c r="T25">
        <v>3.4216805193566097E-3</v>
      </c>
      <c r="U25">
        <v>3.899280482379407E-3</v>
      </c>
      <c r="V25">
        <v>2.6720951772348902E-3</v>
      </c>
      <c r="W25">
        <v>4.9002793290097747E-3</v>
      </c>
      <c r="X25">
        <f>VARP(STD!$J$2:$J$73)</f>
        <v>1.9218648822879908E-2</v>
      </c>
      <c r="Y25">
        <v>3.2981077753281503E-4</v>
      </c>
      <c r="Z25">
        <v>2.0397518521165108E-3</v>
      </c>
      <c r="AA25">
        <v>4.2043274911327177E-3</v>
      </c>
    </row>
    <row r="26" spans="1:27" x14ac:dyDescent="0.35">
      <c r="A26" vm="18080">
        <v>43466</v>
      </c>
      <c r="B26" s="8">
        <v>7.7447940591027553E-2</v>
      </c>
      <c r="C26" s="8">
        <v>0.14431713016904446</v>
      </c>
      <c r="D26" s="8">
        <v>0.13701609395389314</v>
      </c>
      <c r="E26" s="8">
        <v>0.11754027683231216</v>
      </c>
      <c r="F26" s="8">
        <v>8.7117771722676318E-2</v>
      </c>
      <c r="G26" s="8">
        <v>0.11916247018287818</v>
      </c>
      <c r="H26" s="8">
        <v>2.9685881946841519E-2</v>
      </c>
      <c r="I26" s="8">
        <v>0.22533259423503327</v>
      </c>
      <c r="J26" s="8">
        <v>7.6794007490636806E-2</v>
      </c>
      <c r="K26" s="8">
        <v>4.9499564838990429E-2</v>
      </c>
      <c r="L26" s="8">
        <v>8.4617854849068586E-2</v>
      </c>
      <c r="M26" s="8">
        <v>7.8684404731036883E-2</v>
      </c>
      <c r="O26" t="s">
        <v>16</v>
      </c>
      <c r="P26">
        <v>6.7758729798464315E-4</v>
      </c>
      <c r="Q26">
        <v>6.5474847161153962E-5</v>
      </c>
      <c r="R26">
        <v>9.4595692253884921E-4</v>
      </c>
      <c r="S26">
        <v>1.2839548868252058E-3</v>
      </c>
      <c r="T26">
        <v>1.309338104460058E-3</v>
      </c>
      <c r="U26">
        <v>1.205710397649205E-3</v>
      </c>
      <c r="V26">
        <v>6.7356809258784889E-4</v>
      </c>
      <c r="W26">
        <v>9.5638932091357987E-4</v>
      </c>
      <c r="X26">
        <v>3.2981077753281503E-4</v>
      </c>
      <c r="Y26">
        <f>VARP(STD!$K$2:$K$73)</f>
        <v>2.2702169054239236E-3</v>
      </c>
      <c r="Z26">
        <v>7.5537610819715077E-4</v>
      </c>
      <c r="AA26">
        <v>9.8367349979960645E-4</v>
      </c>
    </row>
    <row r="27" spans="1:27" x14ac:dyDescent="0.35">
      <c r="A27" vm="6359">
        <v>43497</v>
      </c>
      <c r="B27" s="8">
        <v>5.8620291502720079E-4</v>
      </c>
      <c r="C27" s="8">
        <v>-4.5905988724232349E-2</v>
      </c>
      <c r="D27" s="8">
        <v>4.7819433817903656E-2</v>
      </c>
      <c r="E27" s="8">
        <v>7.4873096446700593E-2</v>
      </c>
      <c r="F27" s="8">
        <v>7.2686764603494991E-2</v>
      </c>
      <c r="G27" s="8">
        <v>6.4604745891157167E-2</v>
      </c>
      <c r="H27" s="8">
        <v>4.8832271762208057E-2</v>
      </c>
      <c r="I27" s="8">
        <v>-3.3928975344944545E-3</v>
      </c>
      <c r="J27" s="8">
        <v>7.3098113417552568E-2</v>
      </c>
      <c r="K27" s="8">
        <v>2.1561107079921094E-2</v>
      </c>
      <c r="L27" s="8">
        <v>-0.10355292376017766</v>
      </c>
      <c r="M27" s="8">
        <v>2.9728930143116061E-2</v>
      </c>
      <c r="O27" t="s">
        <v>17</v>
      </c>
      <c r="P27">
        <v>1.8885156682661823E-3</v>
      </c>
      <c r="Q27">
        <v>2.2527367762041959E-3</v>
      </c>
      <c r="R27">
        <v>7.672241314620389E-4</v>
      </c>
      <c r="S27">
        <v>9.9722642882556591E-4</v>
      </c>
      <c r="T27">
        <v>1.9934634650621719E-3</v>
      </c>
      <c r="U27">
        <v>1.752648707776402E-3</v>
      </c>
      <c r="V27">
        <v>7.0753388175178985E-4</v>
      </c>
      <c r="W27">
        <v>2.8085783977093172E-3</v>
      </c>
      <c r="X27">
        <v>2.0397518521165108E-3</v>
      </c>
      <c r="Y27">
        <v>7.5537610819715077E-4</v>
      </c>
      <c r="Z27">
        <f>VARP(STD!$L$2:$L$73)</f>
        <v>3.9128932383234198E-3</v>
      </c>
      <c r="AA27">
        <v>1.7751894432154855E-3</v>
      </c>
    </row>
    <row r="28" spans="1:27" ht="15" thickBot="1" x14ac:dyDescent="0.4">
      <c r="A28" vm="6587">
        <v>43525</v>
      </c>
      <c r="B28" s="8">
        <v>4.4685100528161215E-2</v>
      </c>
      <c r="C28" s="8">
        <v>8.593573724105541E-2</v>
      </c>
      <c r="D28" s="8">
        <v>5.6224899598393607E-2</v>
      </c>
      <c r="E28" s="8">
        <v>7.003541912632838E-2</v>
      </c>
      <c r="F28" s="8">
        <v>3.1479197767248612E-2</v>
      </c>
      <c r="G28" s="8">
        <v>4.7515237798638532E-2</v>
      </c>
      <c r="H28" s="8">
        <v>2.9831664180694606E-2</v>
      </c>
      <c r="I28" s="8">
        <v>-1.1121198365864782E-2</v>
      </c>
      <c r="J28" s="8">
        <v>0.1640088162841955</v>
      </c>
      <c r="K28" s="8">
        <v>5.580923389142578E-2</v>
      </c>
      <c r="L28" s="8">
        <v>2.080753034431515E-2</v>
      </c>
      <c r="M28" s="8">
        <v>1.7924287751078349E-2</v>
      </c>
      <c r="O28" s="20" t="s">
        <v>19</v>
      </c>
      <c r="P28" s="20">
        <v>2.6153058225530951E-3</v>
      </c>
      <c r="Q28" s="20">
        <v>2.9609148209543724E-3</v>
      </c>
      <c r="R28" s="20">
        <v>1.6936528113999172E-3</v>
      </c>
      <c r="S28" s="20">
        <v>1.4034155229072185E-3</v>
      </c>
      <c r="T28" s="20">
        <v>2.6915255089842794E-3</v>
      </c>
      <c r="U28" s="20">
        <v>2.6416490674022919E-3</v>
      </c>
      <c r="V28" s="20">
        <v>1.1805952070061934E-3</v>
      </c>
      <c r="W28" s="20">
        <v>4.2962472302761033E-3</v>
      </c>
      <c r="X28" s="20">
        <v>4.2043274911327177E-3</v>
      </c>
      <c r="Y28" s="20">
        <v>9.8367349979960645E-4</v>
      </c>
      <c r="Z28" s="20">
        <v>1.7751894432154855E-3</v>
      </c>
      <c r="AA28" s="20">
        <f>VARP(STD!$M$2:$M$73)</f>
        <v>2.4097216263900957E-3</v>
      </c>
    </row>
    <row r="29" spans="1:27" x14ac:dyDescent="0.35">
      <c r="A29" vm="6842">
        <v>43556</v>
      </c>
      <c r="B29" s="8">
        <v>1.8752814621587399E-2</v>
      </c>
      <c r="C29" s="8">
        <v>8.1858767373297781E-2</v>
      </c>
      <c r="D29" s="8">
        <v>3.5948842032492268E-2</v>
      </c>
      <c r="E29" s="8">
        <v>3.3983581957806042E-3</v>
      </c>
      <c r="F29" s="8">
        <v>9.2562295494588609E-2</v>
      </c>
      <c r="G29" s="8">
        <v>7.9804629433000818E-2</v>
      </c>
      <c r="H29" s="8">
        <v>5.7935030002069787E-3</v>
      </c>
      <c r="I29" s="8">
        <v>-2.0426899242598107E-2</v>
      </c>
      <c r="J29" s="8">
        <v>8.0196034751616185E-3</v>
      </c>
      <c r="K29" s="8">
        <v>2.3354156655454261E-2</v>
      </c>
      <c r="L29" s="8">
        <v>-5.7388983256491111E-2</v>
      </c>
      <c r="M29" s="8">
        <v>3.9313434942139347E-2</v>
      </c>
    </row>
    <row r="30" spans="1:27" x14ac:dyDescent="0.35">
      <c r="A30" vm="7090">
        <v>43586</v>
      </c>
      <c r="B30" s="8">
        <v>-7.7116834589977978E-2</v>
      </c>
      <c r="C30" s="8">
        <v>-7.8613250835703696E-2</v>
      </c>
      <c r="D30" s="8">
        <v>2.4190857524190923E-2</v>
      </c>
      <c r="E30" s="8">
        <v>6.8374752584121401E-2</v>
      </c>
      <c r="F30" s="8">
        <v>-5.3677359903242516E-2</v>
      </c>
      <c r="G30" s="8">
        <v>-1.0816551290119603E-2</v>
      </c>
      <c r="H30" s="8">
        <v>1.9389014606048249E-2</v>
      </c>
      <c r="I30" s="8">
        <v>-0.18720712277413309</v>
      </c>
      <c r="J30" s="8">
        <v>-0.25160220994475146</v>
      </c>
      <c r="K30" s="8">
        <v>-3.3527422990232925E-2</v>
      </c>
      <c r="L30" s="8">
        <v>3.7456558115587679E-2</v>
      </c>
      <c r="M30" s="8">
        <v>-6.5777726481161536E-2</v>
      </c>
      <c r="O30" s="13" t="s">
        <v>7</v>
      </c>
      <c r="P30" s="11">
        <v>0.1731</v>
      </c>
      <c r="Q30" t="s">
        <v>35</v>
      </c>
      <c r="R30" cm="1">
        <f t="array" ref="R30">MMULT(TRANSPOSE(P30:P40), MMULT(P17:Z27, P30:P40))</f>
        <v>4.0067686549150527E-3</v>
      </c>
    </row>
    <row r="31" spans="1:27" x14ac:dyDescent="0.35">
      <c r="A31" vm="18087">
        <v>43617</v>
      </c>
      <c r="B31" s="8">
        <v>-2.1418888386805279E-2</v>
      </c>
      <c r="C31" s="8">
        <v>6.6791732157041706E-2</v>
      </c>
      <c r="D31" s="8">
        <v>0.14008796220882869</v>
      </c>
      <c r="E31" s="8">
        <v>3.80822989357541E-2</v>
      </c>
      <c r="F31" s="8">
        <v>6.2564664353965016E-2</v>
      </c>
      <c r="G31" s="8">
        <v>5.1850968229352867E-2</v>
      </c>
      <c r="H31" s="8">
        <v>3.3550274960900017E-2</v>
      </c>
      <c r="I31" s="8">
        <v>0.14557509368694155</v>
      </c>
      <c r="J31" s="8">
        <v>0.21237265613465217</v>
      </c>
      <c r="K31" s="8">
        <v>6.5494121076669076E-2</v>
      </c>
      <c r="L31" s="8">
        <v>9.1397849462364622E-3</v>
      </c>
      <c r="M31" s="8">
        <v>6.8930183208214979E-2</v>
      </c>
      <c r="O31" s="14" t="s">
        <v>20</v>
      </c>
      <c r="P31" s="12">
        <v>0.12959999999999999</v>
      </c>
      <c r="Q31" t="s">
        <v>34</v>
      </c>
      <c r="R31" s="9" cm="1">
        <f t="array" ref="R31">SQRT(MMULT(TRANSPOSE(P30:P40), MMULT(P17:Z27, P30:P40)))</f>
        <v>6.3299041500760919E-2</v>
      </c>
    </row>
    <row r="32" spans="1:27" x14ac:dyDescent="0.35">
      <c r="A32" vm="7587">
        <v>43647</v>
      </c>
      <c r="B32" s="8">
        <v>0.125046176579239</v>
      </c>
      <c r="C32" s="8">
        <v>-1.4179116300438888E-2</v>
      </c>
      <c r="D32" s="8">
        <v>2.1288755536505333E-2</v>
      </c>
      <c r="E32" s="8">
        <v>-4.3427392968331535E-3</v>
      </c>
      <c r="F32" s="8">
        <v>-1.2200011455409832E-2</v>
      </c>
      <c r="G32" s="8">
        <v>2.9259441273201459E-2</v>
      </c>
      <c r="H32" s="8">
        <v>1.1275993361319792E-2</v>
      </c>
      <c r="I32" s="8">
        <v>5.7876195269248587E-3</v>
      </c>
      <c r="J32" s="8">
        <v>2.7352217648634936E-2</v>
      </c>
      <c r="K32" s="8">
        <v>7.6516187870496966E-2</v>
      </c>
      <c r="L32" s="8">
        <v>2.0490963485103153E-2</v>
      </c>
      <c r="M32" s="8">
        <v>1.3128195366039375E-2</v>
      </c>
      <c r="O32" s="13" t="s">
        <v>9</v>
      </c>
      <c r="P32" s="11">
        <v>0.05</v>
      </c>
    </row>
    <row r="33" spans="1:16" x14ac:dyDescent="0.35">
      <c r="A33" vm="7847">
        <v>43678</v>
      </c>
      <c r="B33" s="8">
        <v>-2.2713840091938886E-2</v>
      </c>
      <c r="C33" s="8">
        <v>-4.8473842659552902E-2</v>
      </c>
      <c r="D33" s="8">
        <v>0.12493005036373805</v>
      </c>
      <c r="E33" s="8">
        <v>0.10790679147580162</v>
      </c>
      <c r="F33" s="8">
        <v>-4.5459816769105932E-2</v>
      </c>
      <c r="G33" s="8">
        <v>3.3422705402725406E-2</v>
      </c>
      <c r="H33" s="8">
        <v>5.7489018680310977E-2</v>
      </c>
      <c r="I33" s="8">
        <v>-0.18864148111083312</v>
      </c>
      <c r="J33" s="8">
        <v>-7.1597913703176363E-3</v>
      </c>
      <c r="K33" s="8">
        <v>1.8553032870213482E-2</v>
      </c>
      <c r="L33" s="8">
        <v>-6.0278703666519329E-2</v>
      </c>
      <c r="M33" s="8">
        <v>-1.8091652742267761E-2</v>
      </c>
      <c r="O33" s="14" t="s">
        <v>10</v>
      </c>
      <c r="P33" s="12">
        <v>0.02</v>
      </c>
    </row>
    <row r="34" spans="1:16" x14ac:dyDescent="0.35">
      <c r="A34" vm="18093">
        <v>43709</v>
      </c>
      <c r="B34" s="8">
        <v>2.5711237852049207E-2</v>
      </c>
      <c r="C34" s="8">
        <v>-2.2732774490651808E-2</v>
      </c>
      <c r="D34" s="8">
        <v>-9.4515607511503452E-2</v>
      </c>
      <c r="E34" s="8">
        <v>3.6887898180772316E-2</v>
      </c>
      <c r="F34" s="8">
        <v>2.7821649860284126E-2</v>
      </c>
      <c r="G34" s="8">
        <v>-3.4829583822013732E-2</v>
      </c>
      <c r="H34" s="8">
        <v>6.3492788022640134E-2</v>
      </c>
      <c r="I34" s="8">
        <v>5.3654024051803972E-2</v>
      </c>
      <c r="J34" s="8">
        <v>3.916137351353921E-2</v>
      </c>
      <c r="K34" s="8">
        <v>3.4517175413790069E-2</v>
      </c>
      <c r="L34" s="8">
        <v>-7.128205128205134E-2</v>
      </c>
      <c r="M34" s="8">
        <v>1.7181167690656807E-2</v>
      </c>
      <c r="O34" s="13" t="s">
        <v>21</v>
      </c>
      <c r="P34" s="11">
        <v>0.1</v>
      </c>
    </row>
    <row r="35" spans="1:16" x14ac:dyDescent="0.35">
      <c r="A35" vm="8364">
        <v>43739</v>
      </c>
      <c r="B35" s="8">
        <v>3.0840034721653531E-2</v>
      </c>
      <c r="C35" s="8">
        <v>2.3474719311485037E-2</v>
      </c>
      <c r="D35" s="8">
        <v>-3.9005631094629956E-2</v>
      </c>
      <c r="E35" s="8">
        <v>-1.7371705963938888E-2</v>
      </c>
      <c r="F35" s="8">
        <v>2.0862884160756545E-2</v>
      </c>
      <c r="G35" s="8">
        <v>1.9295209338292096E-2</v>
      </c>
      <c r="H35" s="8">
        <v>2.2962358899523583E-2</v>
      </c>
      <c r="I35" s="8">
        <v>-4.3312847527070653E-2</v>
      </c>
      <c r="J35" s="8">
        <v>0.15480950411324046</v>
      </c>
      <c r="K35" s="8">
        <v>1.045184113201536E-3</v>
      </c>
      <c r="L35" s="8">
        <v>0.16280139885882572</v>
      </c>
      <c r="M35" s="8">
        <v>2.0431747482144935E-2</v>
      </c>
      <c r="O35" s="14" t="s">
        <v>22</v>
      </c>
      <c r="P35" s="12">
        <v>0.1</v>
      </c>
    </row>
    <row r="36" spans="1:16" x14ac:dyDescent="0.35">
      <c r="A36" vm="8636">
        <v>43770</v>
      </c>
      <c r="B36" s="8">
        <v>3.5978709882427573E-2</v>
      </c>
      <c r="C36" s="8">
        <v>1.3587293010480339E-2</v>
      </c>
      <c r="D36" s="8">
        <v>-5.5881091896527013E-2</v>
      </c>
      <c r="E36" s="8">
        <v>1.2350471082256398E-4</v>
      </c>
      <c r="F36" s="8">
        <v>3.3694204828344843E-2</v>
      </c>
      <c r="G36" s="8">
        <v>5.570607998265964E-2</v>
      </c>
      <c r="H36" s="8">
        <v>-1.8964504489384915E-2</v>
      </c>
      <c r="I36" s="8">
        <v>0.10737228510247809</v>
      </c>
      <c r="J36" s="8">
        <v>7.8201174012536123E-2</v>
      </c>
      <c r="K36" s="8">
        <v>-1.9677134366717586E-2</v>
      </c>
      <c r="L36" s="8">
        <v>0.10751879699248135</v>
      </c>
      <c r="M36" s="8">
        <v>3.404706409091518E-2</v>
      </c>
      <c r="O36" s="13" t="s">
        <v>23</v>
      </c>
      <c r="P36" s="11">
        <v>0.05</v>
      </c>
    </row>
    <row r="37" spans="1:16" x14ac:dyDescent="0.35">
      <c r="A37" vm="18098">
        <v>43800</v>
      </c>
      <c r="B37" s="8">
        <v>2.7068683909852842E-2</v>
      </c>
      <c r="C37" s="8">
        <v>2.6121723678365072E-2</v>
      </c>
      <c r="D37" s="8">
        <v>-2.1041477444747159E-2</v>
      </c>
      <c r="E37" s="8">
        <v>2.9725676986857241E-2</v>
      </c>
      <c r="F37" s="8">
        <v>-8.6810417250070548E-3</v>
      </c>
      <c r="G37" s="8">
        <v>2.1763679293706817E-2</v>
      </c>
      <c r="H37" s="8">
        <v>3.5668462920195099E-2</v>
      </c>
      <c r="I37" s="8">
        <v>0.11049723756906071</v>
      </c>
      <c r="J37" s="8">
        <v>8.5632555135185084E-2</v>
      </c>
      <c r="K37" s="8">
        <v>2.3267245616909848E-2</v>
      </c>
      <c r="L37" s="8">
        <v>5.0416264694322477E-2</v>
      </c>
      <c r="M37" s="8">
        <v>2.8589803182446305E-2</v>
      </c>
      <c r="O37" s="14" t="s">
        <v>14</v>
      </c>
      <c r="P37" s="12">
        <v>0.02</v>
      </c>
    </row>
    <row r="38" spans="1:16" x14ac:dyDescent="0.35">
      <c r="A38" vm="18100">
        <v>43831</v>
      </c>
      <c r="B38" s="8">
        <v>6.9725770686655864E-2</v>
      </c>
      <c r="C38" s="8">
        <v>8.7063815048922022E-2</v>
      </c>
      <c r="D38" s="8">
        <v>0.11612803463738985</v>
      </c>
      <c r="E38" s="8">
        <v>1.0330649306150352E-2</v>
      </c>
      <c r="F38" s="8">
        <v>-2.1355932203389827E-2</v>
      </c>
      <c r="G38" s="8">
        <v>5.8106433571117666E-2</v>
      </c>
      <c r="H38" s="8">
        <v>0.10753221010901881</v>
      </c>
      <c r="I38" s="8">
        <v>-0.16641791044776133</v>
      </c>
      <c r="J38" s="8">
        <v>4.8108797280068671E-3</v>
      </c>
      <c r="K38" s="8">
        <v>-2.2417934347478408E-3</v>
      </c>
      <c r="L38" s="8">
        <v>-7.3236274576501947E-2</v>
      </c>
      <c r="M38" s="8">
        <v>-1.6280898111292741E-3</v>
      </c>
      <c r="O38" s="13" t="s">
        <v>24</v>
      </c>
      <c r="P38" s="11">
        <v>0.21920000000000001</v>
      </c>
    </row>
    <row r="39" spans="1:16" x14ac:dyDescent="0.35">
      <c r="A39" vm="18102">
        <v>43862</v>
      </c>
      <c r="B39" s="8">
        <v>-6.5278688982258082E-2</v>
      </c>
      <c r="C39" s="8">
        <v>-6.2213748058465135E-2</v>
      </c>
      <c r="D39" s="8">
        <v>-2.3829315599889322E-2</v>
      </c>
      <c r="E39" s="8">
        <v>-2.8708052837739362E-2</v>
      </c>
      <c r="F39" s="8">
        <v>-6.3791709964207466E-2</v>
      </c>
      <c r="G39" s="8">
        <v>-8.1312907514084931E-2</v>
      </c>
      <c r="H39" s="8">
        <v>-5.756897837434749E-2</v>
      </c>
      <c r="I39" s="8">
        <v>-0.19158460161145918</v>
      </c>
      <c r="J39" s="8">
        <v>0.14228192461257372</v>
      </c>
      <c r="K39" s="8">
        <v>-9.1397849462365621E-2</v>
      </c>
      <c r="L39" s="8">
        <v>-6.419526518627261E-2</v>
      </c>
      <c r="M39" s="8">
        <v>-8.4110469009648137E-2</v>
      </c>
      <c r="O39" s="14" t="s">
        <v>25</v>
      </c>
      <c r="P39" s="12">
        <v>3.8100000000000002E-2</v>
      </c>
    </row>
    <row r="40" spans="1:16" x14ac:dyDescent="0.35">
      <c r="A40" vm="18105">
        <v>43891</v>
      </c>
      <c r="B40" s="8">
        <v>-0.13238753033414241</v>
      </c>
      <c r="C40" s="8">
        <v>3.5020570670205808E-2</v>
      </c>
      <c r="D40" s="8">
        <v>-8.2316207777462402E-2</v>
      </c>
      <c r="E40" s="8">
        <v>9.0380586592178958E-2</v>
      </c>
      <c r="F40" s="8">
        <v>-0.17500154159215642</v>
      </c>
      <c r="G40" s="8">
        <v>-0.16775193798449617</v>
      </c>
      <c r="H40" s="8">
        <v>-4.8029751542965626E-2</v>
      </c>
      <c r="I40" s="8">
        <v>-0.50203026947212992</v>
      </c>
      <c r="J40" s="8">
        <v>-2.3963979975710203E-2</v>
      </c>
      <c r="K40" s="8">
        <v>-2.8526009008213449E-2</v>
      </c>
      <c r="L40" s="8">
        <v>-2.1885786005647945E-2</v>
      </c>
      <c r="M40" s="8">
        <v>-0.12511932083595656</v>
      </c>
      <c r="O40" s="13" t="s">
        <v>26</v>
      </c>
      <c r="P40" s="11">
        <v>0.1</v>
      </c>
    </row>
    <row r="41" spans="1:16" x14ac:dyDescent="0.35">
      <c r="A41" vm="9852">
        <v>43922</v>
      </c>
      <c r="B41" s="8">
        <v>0.15899995696888847</v>
      </c>
      <c r="C41" s="8">
        <v>0.26890014976509446</v>
      </c>
      <c r="D41" s="8">
        <v>1.4382926074853142E-2</v>
      </c>
      <c r="E41" s="8">
        <v>8.1063771875049984E-2</v>
      </c>
      <c r="F41" s="8">
        <v>6.0617385454817319E-2</v>
      </c>
      <c r="G41" s="8">
        <v>0.1383093227355523</v>
      </c>
      <c r="H41" s="8">
        <v>-3.9481339871997312E-2</v>
      </c>
      <c r="I41" s="8">
        <v>0.24684951816160128</v>
      </c>
      <c r="J41" s="8">
        <v>0.10880121396054632</v>
      </c>
      <c r="K41" s="8">
        <v>7.1545454545454579E-2</v>
      </c>
      <c r="L41" s="8">
        <v>0.17278851551848606</v>
      </c>
      <c r="M41" s="8">
        <v>0.12684410293315374</v>
      </c>
    </row>
    <row r="42" spans="1:16" x14ac:dyDescent="0.35">
      <c r="A42" vm="10103">
        <v>43952</v>
      </c>
      <c r="B42" s="8">
        <v>6.4468701269770667E-2</v>
      </c>
      <c r="C42" s="8">
        <v>-1.2784963621665368E-2</v>
      </c>
      <c r="D42" s="8">
        <v>8.6446104589114281E-2</v>
      </c>
      <c r="E42" s="8">
        <v>3.3219786729857814E-2</v>
      </c>
      <c r="F42" s="8">
        <v>2.7836504580690535E-2</v>
      </c>
      <c r="G42" s="8">
        <v>9.4264828890424202E-2</v>
      </c>
      <c r="H42" s="8">
        <v>0.10574593284873668</v>
      </c>
      <c r="I42" s="8">
        <v>9.8097502972651629E-2</v>
      </c>
      <c r="J42" s="8">
        <v>0.21465717804844675</v>
      </c>
      <c r="K42" s="8">
        <v>-1.6543649783659964E-2</v>
      </c>
      <c r="L42" s="8">
        <v>4.2329127773788722E-2</v>
      </c>
      <c r="M42" s="8">
        <v>4.528177501261843E-2</v>
      </c>
    </row>
    <row r="43" spans="1:16" x14ac:dyDescent="0.35">
      <c r="A43" vm="10344">
        <v>43983</v>
      </c>
      <c r="B43" s="8">
        <v>-1.0791617835816725E-2</v>
      </c>
      <c r="C43" s="8">
        <v>0.12956677325712329</v>
      </c>
      <c r="D43" s="8">
        <v>-2.4838619141173357E-2</v>
      </c>
      <c r="E43" s="8">
        <v>6.6940928572452041E-3</v>
      </c>
      <c r="F43" s="8">
        <v>-8.6390126842645909E-3</v>
      </c>
      <c r="G43" s="8">
        <v>-1.724882847552256E-2</v>
      </c>
      <c r="H43" s="8">
        <v>-6.0220691814055427E-2</v>
      </c>
      <c r="I43" s="8">
        <v>-4.3313481321060054E-3</v>
      </c>
      <c r="J43" s="8">
        <v>7.0114359754379851E-2</v>
      </c>
      <c r="K43" s="8">
        <v>3.1487232574189061E-2</v>
      </c>
      <c r="L43" s="8">
        <v>-3.2474987698868363E-2</v>
      </c>
      <c r="M43" s="8">
        <v>1.8388403283502663E-2</v>
      </c>
    </row>
    <row r="44" spans="1:16" x14ac:dyDescent="0.35">
      <c r="A44" vm="10619">
        <v>44013</v>
      </c>
      <c r="B44" s="8">
        <v>4.9293043263636482E-2</v>
      </c>
      <c r="C44" s="8">
        <v>0.14711362104087988</v>
      </c>
      <c r="D44" s="8">
        <v>5.9576917542092378E-2</v>
      </c>
      <c r="E44" s="8">
        <v>0.11843941335611574</v>
      </c>
      <c r="F44" s="8">
        <v>3.3058994397952901E-2</v>
      </c>
      <c r="G44" s="8">
        <v>4.3388569496110918E-2</v>
      </c>
      <c r="H44" s="8">
        <v>0.16875546487904391</v>
      </c>
      <c r="I44" s="8">
        <v>-1.3594344752582921E-2</v>
      </c>
      <c r="J44" s="8">
        <v>0.11760618248436483</v>
      </c>
      <c r="K44" s="8">
        <v>9.659613615455398E-2</v>
      </c>
      <c r="L44" s="8">
        <v>2.6546872351245865E-2</v>
      </c>
      <c r="M44" s="8">
        <v>5.5101296975444303E-2</v>
      </c>
    </row>
    <row r="45" spans="1:16" x14ac:dyDescent="0.35">
      <c r="A45" vm="18114">
        <v>44044</v>
      </c>
      <c r="B45" s="8">
        <v>9.5151046742162126E-2</v>
      </c>
      <c r="C45" s="8">
        <v>9.0460962877763285E-2</v>
      </c>
      <c r="D45" s="8">
        <v>9.1538774955860491E-2</v>
      </c>
      <c r="E45" s="8">
        <v>5.4743596272341932E-3</v>
      </c>
      <c r="F45" s="8">
        <v>0.1083216174599988</v>
      </c>
      <c r="G45" s="8">
        <v>0.1609567951252715</v>
      </c>
      <c r="H45" s="8">
        <v>-5.4506590666191235E-3</v>
      </c>
      <c r="I45" s="8">
        <v>4.7960308710033095E-2</v>
      </c>
      <c r="J45" s="8">
        <v>0.25998605720315027</v>
      </c>
      <c r="K45" s="8">
        <v>5.498779743746196E-2</v>
      </c>
      <c r="L45" s="8">
        <v>3.2267653081445413E-2</v>
      </c>
      <c r="M45" s="8">
        <v>7.0064687324219221E-2</v>
      </c>
    </row>
    <row r="46" spans="1:16" x14ac:dyDescent="0.35">
      <c r="A46" vm="11138">
        <v>44075</v>
      </c>
      <c r="B46" s="8">
        <v>-0.10059955938215315</v>
      </c>
      <c r="C46" s="8">
        <v>-8.7578528873125228E-2</v>
      </c>
      <c r="D46" s="8">
        <v>3.4216747542615389E-2</v>
      </c>
      <c r="E46" s="8">
        <v>-3.7542100331737882E-2</v>
      </c>
      <c r="F46" s="8">
        <v>-5.6780428873451916E-3</v>
      </c>
      <c r="G46" s="8">
        <v>-5.5892124291577083E-2</v>
      </c>
      <c r="H46" s="8">
        <v>-5.7670953182649143E-3</v>
      </c>
      <c r="I46" s="8">
        <v>-0.18148342977380327</v>
      </c>
      <c r="J46" s="8">
        <v>1.1663987438782719E-2</v>
      </c>
      <c r="K46" s="8">
        <v>4.7711993060073343E-3</v>
      </c>
      <c r="L46" s="8">
        <v>-2.495600703887435E-3</v>
      </c>
      <c r="M46" s="8">
        <v>-3.9227954095494399E-2</v>
      </c>
    </row>
    <row r="47" spans="1:16" x14ac:dyDescent="0.35">
      <c r="A47" vm="11391">
        <v>44105</v>
      </c>
      <c r="B47" s="8">
        <v>0.10269514192139728</v>
      </c>
      <c r="C47" s="8">
        <v>-3.5754097683827979E-2</v>
      </c>
      <c r="D47" s="8">
        <v>7.0741097208854686E-2</v>
      </c>
      <c r="E47" s="8">
        <v>-3.800665675608117E-2</v>
      </c>
      <c r="F47" s="8">
        <v>2.0654881234432043E-3</v>
      </c>
      <c r="G47" s="8">
        <v>-0.14646479581275695</v>
      </c>
      <c r="H47" s="8">
        <v>5.5051160109525821E-2</v>
      </c>
      <c r="I47" s="8">
        <v>-3.98457583547559E-2</v>
      </c>
      <c r="J47" s="8">
        <v>-7.3648423931118479E-2</v>
      </c>
      <c r="K47" s="8">
        <v>-1.3598100582775885E-2</v>
      </c>
      <c r="L47" s="8">
        <v>-2.126567662058565E-2</v>
      </c>
      <c r="M47" s="8">
        <v>-2.7665774606006499E-2</v>
      </c>
    </row>
    <row r="48" spans="1:16" x14ac:dyDescent="0.35">
      <c r="A48" vm="18121">
        <v>44136</v>
      </c>
      <c r="B48" s="8">
        <v>8.5569670381347773E-2</v>
      </c>
      <c r="C48" s="8">
        <v>4.3439882746240999E-2</v>
      </c>
      <c r="D48" s="8">
        <v>7.8764044943820277E-2</v>
      </c>
      <c r="E48" s="8">
        <v>-4.574421530550854E-2</v>
      </c>
      <c r="F48" s="8">
        <v>0.23625341012428014</v>
      </c>
      <c r="G48" s="8">
        <v>0.1658467294900221</v>
      </c>
      <c r="H48" s="8">
        <v>5.1905477393801025E-3</v>
      </c>
      <c r="I48" s="8">
        <v>0.39156626506024095</v>
      </c>
      <c r="J48" s="8">
        <v>6.9211744056167257E-2</v>
      </c>
      <c r="K48" s="8">
        <v>1.2910284463895083E-2</v>
      </c>
      <c r="L48" s="8">
        <v>0.10224814839090257</v>
      </c>
      <c r="M48" s="8">
        <v>0.10754565805086314</v>
      </c>
    </row>
    <row r="49" spans="1:13" x14ac:dyDescent="0.35">
      <c r="A49" vm="11893">
        <v>44166</v>
      </c>
      <c r="B49" s="8">
        <v>-1.0031919744640794E-3</v>
      </c>
      <c r="C49" s="8">
        <v>2.8058357849017002E-2</v>
      </c>
      <c r="D49" s="8">
        <v>-2.9476096239974936E-2</v>
      </c>
      <c r="E49" s="8">
        <v>2.3488442081428529E-2</v>
      </c>
      <c r="F49" s="8">
        <v>4.3056100431541733E-2</v>
      </c>
      <c r="G49" s="8">
        <v>6.0711420165819652E-2</v>
      </c>
      <c r="H49" s="8">
        <v>4.8376138062236729E-2</v>
      </c>
      <c r="I49" s="8">
        <v>5.0024050024050082E-2</v>
      </c>
      <c r="J49" s="8">
        <v>-2.5855314703578047E-2</v>
      </c>
      <c r="K49" s="8">
        <v>1.9442644199609838E-3</v>
      </c>
      <c r="L49" s="8">
        <v>4.2635428435511713E-2</v>
      </c>
      <c r="M49" s="8">
        <v>3.712140665943231E-2</v>
      </c>
    </row>
    <row r="50" spans="1:13" x14ac:dyDescent="0.35">
      <c r="A50" vm="18126">
        <v>44197</v>
      </c>
      <c r="B50" s="8">
        <v>4.2632828190615202E-2</v>
      </c>
      <c r="C50" s="8">
        <v>-1.5576017906433259E-2</v>
      </c>
      <c r="D50" s="8">
        <v>-5.5376690276883522E-2</v>
      </c>
      <c r="E50" s="8">
        <v>3.6097342406676391E-2</v>
      </c>
      <c r="F50" s="8">
        <v>-8.1476257639868321E-2</v>
      </c>
      <c r="G50" s="8">
        <v>-0.11388468650193306</v>
      </c>
      <c r="H50" s="8">
        <v>4.821775761503555E-2</v>
      </c>
      <c r="I50" s="8">
        <v>1.7407237746220883E-2</v>
      </c>
      <c r="J50" s="8">
        <v>-4.9942550746839842E-3</v>
      </c>
      <c r="K50" s="8">
        <v>-7.855397441425882E-2</v>
      </c>
      <c r="L50" s="8">
        <v>-4.876240447131297E-2</v>
      </c>
      <c r="M50" s="8">
        <v>-1.1136640158463607E-2</v>
      </c>
    </row>
    <row r="51" spans="1:13" x14ac:dyDescent="0.35">
      <c r="A51" vm="12377">
        <v>44228</v>
      </c>
      <c r="B51" s="8">
        <v>0.10646506435513525</v>
      </c>
      <c r="C51" s="8">
        <v>-3.5328426174287331E-2</v>
      </c>
      <c r="D51" s="8">
        <v>-2.9879572824358047E-2</v>
      </c>
      <c r="E51" s="8">
        <v>-0.12381750364884592</v>
      </c>
      <c r="F51" s="8">
        <v>3.5727081947074746E-2</v>
      </c>
      <c r="G51" s="8">
        <v>0.11875177843118667</v>
      </c>
      <c r="H51" s="8">
        <v>-9.13812291331767E-2</v>
      </c>
      <c r="I51" s="8">
        <v>0.25664115263394871</v>
      </c>
      <c r="J51" s="8">
        <v>5.5789927481562307E-2</v>
      </c>
      <c r="K51" s="8">
        <v>-3.6502612900709774E-2</v>
      </c>
      <c r="L51" s="8">
        <v>-4.0769830325557699E-3</v>
      </c>
      <c r="M51" s="8">
        <v>2.6091474971999817E-2</v>
      </c>
    </row>
    <row r="52" spans="1:13" x14ac:dyDescent="0.35">
      <c r="A52" vm="12599">
        <v>44256</v>
      </c>
      <c r="B52" s="8">
        <v>2.008496916282132E-2</v>
      </c>
      <c r="C52" s="8">
        <v>3.7181572166211652E-4</v>
      </c>
      <c r="D52" s="8">
        <v>-7.6121325682164676E-3</v>
      </c>
      <c r="E52" s="8">
        <v>4.8200018508807174E-2</v>
      </c>
      <c r="F52" s="8">
        <v>7.2745243390165637E-2</v>
      </c>
      <c r="G52" s="8">
        <v>6.217323724742041E-3</v>
      </c>
      <c r="H52" s="8">
        <v>2.8987479586281895E-2</v>
      </c>
      <c r="I52" s="8">
        <v>-2.5797205302758863E-2</v>
      </c>
      <c r="J52" s="8">
        <v>-2.6701666119800183E-2</v>
      </c>
      <c r="K52" s="8">
        <v>9.6332874605359109E-2</v>
      </c>
      <c r="L52" s="8">
        <v>0.1199506351213051</v>
      </c>
      <c r="M52" s="8">
        <v>4.2438634008107767E-2</v>
      </c>
    </row>
    <row r="53" spans="1:13" x14ac:dyDescent="0.35">
      <c r="A53" vm="12869">
        <v>44287</v>
      </c>
      <c r="B53" s="8">
        <v>0.14107984407423912</v>
      </c>
      <c r="C53" s="8">
        <v>0.12066268486916942</v>
      </c>
      <c r="D53" s="8">
        <v>0.10502714184564566</v>
      </c>
      <c r="E53" s="8">
        <v>6.0580644211951196E-2</v>
      </c>
      <c r="F53" s="8">
        <v>2.7502648915096461E-2</v>
      </c>
      <c r="G53" s="8">
        <v>7.3051537705378422E-2</v>
      </c>
      <c r="H53" s="8">
        <v>2.5128951196931704E-2</v>
      </c>
      <c r="I53" s="8">
        <v>-5.1489518205222184E-3</v>
      </c>
      <c r="J53" s="8">
        <v>0.12445030453316153</v>
      </c>
      <c r="K53" s="8">
        <v>-1.4841615594772373E-2</v>
      </c>
      <c r="L53" s="8">
        <v>7.1841320181686319E-2</v>
      </c>
      <c r="M53" s="8">
        <v>5.242531255584737E-2</v>
      </c>
    </row>
    <row r="54" spans="1:13" x14ac:dyDescent="0.35">
      <c r="A54" vm="18133">
        <v>44317</v>
      </c>
      <c r="B54" s="8">
        <v>1.4234119396643319E-3</v>
      </c>
      <c r="C54" s="8">
        <v>-7.0470263192806137E-2</v>
      </c>
      <c r="D54" s="8">
        <v>-0.12259718069201198</v>
      </c>
      <c r="E54" s="8">
        <v>2.2143293190521218E-2</v>
      </c>
      <c r="F54" s="8">
        <v>3.5285150645624208E-2</v>
      </c>
      <c r="G54" s="8">
        <v>-5.6221535884416141E-2</v>
      </c>
      <c r="H54" s="8">
        <v>-5.5347697071345681E-2</v>
      </c>
      <c r="I54" s="8">
        <v>0.15822550831792959</v>
      </c>
      <c r="J54" s="8">
        <v>8.2281221892801293E-2</v>
      </c>
      <c r="K54" s="8">
        <v>1.0718033278369177E-2</v>
      </c>
      <c r="L54" s="8">
        <v>3.28986960882649E-2</v>
      </c>
      <c r="M54" s="8">
        <v>5.4865025818131574E-3</v>
      </c>
    </row>
    <row r="55" spans="1:13" x14ac:dyDescent="0.35">
      <c r="A55" vm="13339">
        <v>44348</v>
      </c>
      <c r="B55" s="8">
        <v>3.603962916604786E-2</v>
      </c>
      <c r="C55" s="8">
        <v>6.7355037278123087E-2</v>
      </c>
      <c r="D55" s="8">
        <v>-1.3875365141187923E-2</v>
      </c>
      <c r="E55" s="8">
        <v>8.9423390161798233E-2</v>
      </c>
      <c r="F55" s="8">
        <v>-5.0062795028366081E-2</v>
      </c>
      <c r="G55" s="8">
        <v>1.2507626601586219E-2</v>
      </c>
      <c r="H55" s="8">
        <v>8.194482381862489E-4</v>
      </c>
      <c r="I55" s="8">
        <v>2.1704436642195901E-2</v>
      </c>
      <c r="J55" s="8">
        <v>0.23133983809904901</v>
      </c>
      <c r="K55" s="8">
        <v>5.9325176121616252E-4</v>
      </c>
      <c r="L55" s="8">
        <v>-2.7869489221208021E-2</v>
      </c>
      <c r="M55" s="8">
        <v>2.221397632316946E-2</v>
      </c>
    </row>
    <row r="56" spans="1:13" x14ac:dyDescent="0.35">
      <c r="A56" vm="13593">
        <v>44378</v>
      </c>
      <c r="B56" s="8">
        <v>0.10350603450747187</v>
      </c>
      <c r="C56" s="8">
        <v>-3.2722315241151545E-2</v>
      </c>
      <c r="D56" s="8">
        <v>-1.727968402863489E-3</v>
      </c>
      <c r="E56" s="8">
        <v>2.2190381260901892E-2</v>
      </c>
      <c r="F56" s="8">
        <v>6.5830863916115812E-2</v>
      </c>
      <c r="G56" s="8">
        <v>5.7109205949217978E-2</v>
      </c>
      <c r="H56" s="8">
        <v>6.3045851528384267E-2</v>
      </c>
      <c r="I56" s="8">
        <v>-9.9343955014058127E-2</v>
      </c>
      <c r="J56" s="8">
        <v>-2.5171853518310305E-2</v>
      </c>
      <c r="K56" s="8">
        <v>5.410212702882955E-2</v>
      </c>
      <c r="L56" s="8">
        <v>2.941764059534524E-2</v>
      </c>
      <c r="M56" s="8">
        <v>2.274810936591054E-2</v>
      </c>
    </row>
    <row r="57" spans="1:13" x14ac:dyDescent="0.35">
      <c r="A57" vm="18140">
        <v>44409</v>
      </c>
      <c r="B57" s="8">
        <v>7.4009196409021261E-2</v>
      </c>
      <c r="C57" s="8">
        <v>4.3034147836722658E-2</v>
      </c>
      <c r="D57" s="8">
        <v>0.18644906033630071</v>
      </c>
      <c r="E57" s="8">
        <v>2.8083519216001829E-2</v>
      </c>
      <c r="F57" s="8">
        <v>-8.0414046794131666E-3</v>
      </c>
      <c r="G57" s="8">
        <v>-0.10289164118774929</v>
      </c>
      <c r="H57" s="8">
        <v>7.8177150192554334E-2</v>
      </c>
      <c r="I57" s="8">
        <v>-2.7402011793270842E-2</v>
      </c>
      <c r="J57" s="8">
        <v>0.14800759013282749</v>
      </c>
      <c r="K57" s="8">
        <v>1.1249384799267848E-3</v>
      </c>
      <c r="L57" s="8">
        <v>9.8248508078209174E-3</v>
      </c>
      <c r="M57" s="8">
        <v>2.8990321391681118E-2</v>
      </c>
    </row>
    <row r="58" spans="1:13" x14ac:dyDescent="0.35">
      <c r="A58" vm="14096">
        <v>44440</v>
      </c>
      <c r="B58" s="8">
        <v>-7.6169249641493519E-2</v>
      </c>
      <c r="C58" s="8">
        <v>-5.3518075135631893E-2</v>
      </c>
      <c r="D58" s="8">
        <v>-6.2421842434347563E-2</v>
      </c>
      <c r="E58" s="8">
        <v>-6.3216551070010119E-2</v>
      </c>
      <c r="F58" s="8">
        <v>-8.4644905351213828E-2</v>
      </c>
      <c r="G58" s="8">
        <v>4.187967536031012E-3</v>
      </c>
      <c r="H58" s="8">
        <v>-6.5126800809620189E-2</v>
      </c>
      <c r="I58" s="8">
        <v>5.7061340941512162E-2</v>
      </c>
      <c r="J58" s="8">
        <v>-7.4558856377038185E-2</v>
      </c>
      <c r="K58" s="8">
        <v>-1.8189479598286207E-2</v>
      </c>
      <c r="L58" s="8">
        <v>-6.1330386527974623E-2</v>
      </c>
      <c r="M58" s="8">
        <v>-4.7569140421166334E-2</v>
      </c>
    </row>
    <row r="59" spans="1:13" x14ac:dyDescent="0.35">
      <c r="A59" vm="14331">
        <v>44470</v>
      </c>
      <c r="B59" s="8">
        <v>0.10749872826835039</v>
      </c>
      <c r="C59" s="8">
        <v>2.6602415800111912E-2</v>
      </c>
      <c r="D59" s="8">
        <v>1.6783372235189553E-2</v>
      </c>
      <c r="E59" s="8">
        <v>5.9407945527951256E-2</v>
      </c>
      <c r="F59" s="8">
        <v>2.9866214433766691E-2</v>
      </c>
      <c r="G59" s="8">
        <v>-3.4974689369535295E-2</v>
      </c>
      <c r="H59" s="8">
        <v>8.6729495669892964E-2</v>
      </c>
      <c r="I59" s="8">
        <v>8.8394062078272606E-2</v>
      </c>
      <c r="J59" s="8">
        <v>0.23416682757289053</v>
      </c>
      <c r="K59" s="8">
        <v>2.2818311874105879E-2</v>
      </c>
      <c r="L59" s="8">
        <v>0.17845626247632707</v>
      </c>
      <c r="M59" s="8">
        <v>6.9143873301234615E-2</v>
      </c>
    </row>
    <row r="60" spans="1:13" x14ac:dyDescent="0.35">
      <c r="A60" vm="14570">
        <v>44501</v>
      </c>
      <c r="B60" s="8">
        <v>-4.1531010631830512E-2</v>
      </c>
      <c r="C60" s="8">
        <v>3.9923734517840259E-2</v>
      </c>
      <c r="D60" s="8">
        <v>2.1534761696545779E-2</v>
      </c>
      <c r="E60" s="8">
        <v>-2.9710776876485823E-2</v>
      </c>
      <c r="F60" s="8">
        <v>-7.4924526575793626E-2</v>
      </c>
      <c r="G60" s="8">
        <v>-6.1397234144015211E-2</v>
      </c>
      <c r="H60" s="8">
        <v>1.6992851283253341E-2</v>
      </c>
      <c r="I60" s="8">
        <v>-0.11097334159950401</v>
      </c>
      <c r="J60" s="8">
        <v>0.27805374115070225</v>
      </c>
      <c r="K60" s="8">
        <v>1.1119658717392955E-2</v>
      </c>
      <c r="L60" s="8">
        <v>-3.5290029752209739E-2</v>
      </c>
      <c r="M60" s="8">
        <v>-8.3337314184714906E-3</v>
      </c>
    </row>
    <row r="61" spans="1:13" x14ac:dyDescent="0.35">
      <c r="A61" vm="14804">
        <v>44531</v>
      </c>
      <c r="B61" s="8">
        <v>2.0821367536425939E-2</v>
      </c>
      <c r="C61" s="8">
        <v>-4.9251939653328747E-2</v>
      </c>
      <c r="D61" s="8">
        <v>3.017656500802568E-2</v>
      </c>
      <c r="E61" s="8">
        <v>4.1418369859640425E-2</v>
      </c>
      <c r="F61" s="8">
        <v>3.1002768987341778E-2</v>
      </c>
      <c r="G61" s="8">
        <v>0.14098818747618425</v>
      </c>
      <c r="H61" s="8">
        <v>7.582392256280257E-2</v>
      </c>
      <c r="I61" s="8">
        <v>4.4281729428172989E-2</v>
      </c>
      <c r="J61" s="8">
        <v>-9.9920430897294632E-2</v>
      </c>
      <c r="K61" s="8">
        <v>0.13141513349010925</v>
      </c>
      <c r="L61" s="8">
        <v>0.13038584485164995</v>
      </c>
      <c r="M61" s="8">
        <v>4.3612874972629889E-2</v>
      </c>
    </row>
    <row r="62" spans="1:13" x14ac:dyDescent="0.35">
      <c r="A62" vm="18149">
        <v>44562</v>
      </c>
      <c r="B62" s="8">
        <v>-6.5919006986441264E-2</v>
      </c>
      <c r="C62" s="8">
        <v>-0.10282994535650247</v>
      </c>
      <c r="D62" s="8">
        <v>8.6215851251687514E-3</v>
      </c>
      <c r="E62" s="8">
        <v>-0.14298212427882351</v>
      </c>
      <c r="F62" s="8">
        <v>-1.9327610186561817E-2</v>
      </c>
      <c r="G62" s="8">
        <v>7.5308916842925511E-2</v>
      </c>
      <c r="H62" s="8">
        <v>-0.16323907455012843</v>
      </c>
      <c r="I62" s="8">
        <v>0.30450751252086805</v>
      </c>
      <c r="J62" s="8">
        <v>-0.16745435381319917</v>
      </c>
      <c r="K62" s="8">
        <v>-1.9134368504707289E-2</v>
      </c>
      <c r="L62" s="8">
        <v>-5.888795953319792E-2</v>
      </c>
      <c r="M62" s="8">
        <v>-5.2585089106999772E-2</v>
      </c>
    </row>
    <row r="63" spans="1:13" x14ac:dyDescent="0.35">
      <c r="A63" vm="15262">
        <v>44593</v>
      </c>
      <c r="B63" s="8">
        <v>-1.8218301817767291E-3</v>
      </c>
      <c r="C63" s="8">
        <v>2.667250549061162E-2</v>
      </c>
      <c r="D63" s="8">
        <v>-7.5798146240988684E-2</v>
      </c>
      <c r="E63" s="8">
        <v>-2.0927024417160878E-2</v>
      </c>
      <c r="F63" s="8">
        <v>-7.2036384976525758E-2</v>
      </c>
      <c r="G63" s="8">
        <v>-6.6152492365029292E-2</v>
      </c>
      <c r="H63" s="8">
        <v>1.9201228878646948E-3</v>
      </c>
      <c r="I63" s="8">
        <v>4.3511645764013895E-3</v>
      </c>
      <c r="J63" s="8">
        <v>-4.1248060115984808E-3</v>
      </c>
      <c r="K63" s="8">
        <v>-2.8420068557182931E-2</v>
      </c>
      <c r="L63" s="8">
        <v>6.9830924519118653E-3</v>
      </c>
      <c r="M63" s="8">
        <v>-3.1360520866782648E-2</v>
      </c>
    </row>
    <row r="64" spans="1:13" x14ac:dyDescent="0.35">
      <c r="A64" vm="15470">
        <v>44621</v>
      </c>
      <c r="B64" s="8">
        <v>2.9694869573587468E-2</v>
      </c>
      <c r="C64" s="8">
        <v>6.1437325397394105E-2</v>
      </c>
      <c r="D64" s="8">
        <v>2.8972587474929146E-3</v>
      </c>
      <c r="E64" s="8">
        <v>4.4932579995209387E-2</v>
      </c>
      <c r="F64" s="8">
        <v>2.5454545454545618E-2</v>
      </c>
      <c r="G64" s="8">
        <v>-9.5338395876060078E-3</v>
      </c>
      <c r="H64" s="8">
        <v>8.2279289638431008E-2</v>
      </c>
      <c r="I64" s="8">
        <v>5.2752293577981613E-2</v>
      </c>
      <c r="J64" s="8">
        <v>0.11896657781423015</v>
      </c>
      <c r="K64" s="8">
        <v>-1.9821669125665409E-2</v>
      </c>
      <c r="L64" s="8">
        <v>7.1658225986088731E-2</v>
      </c>
      <c r="M64" s="8">
        <v>3.5773238773280092E-2</v>
      </c>
    </row>
    <row r="65" spans="1:13" x14ac:dyDescent="0.35">
      <c r="A65" vm="15731">
        <v>44652</v>
      </c>
      <c r="B65" s="8">
        <v>-0.17946680568788542</v>
      </c>
      <c r="C65" s="8">
        <v>-0.23752511541588062</v>
      </c>
      <c r="D65" s="8">
        <v>-9.8222222222222211E-2</v>
      </c>
      <c r="E65" s="8">
        <v>-3.0392923599687149E-2</v>
      </c>
      <c r="F65" s="8">
        <v>-5.4990235378765684E-3</v>
      </c>
      <c r="G65" s="8">
        <v>1.6788852202137772E-2</v>
      </c>
      <c r="H65" s="8">
        <v>-0.16161019950419075</v>
      </c>
      <c r="I65" s="8">
        <v>-5.5676591624304161E-2</v>
      </c>
      <c r="J65" s="8">
        <v>-0.3202741332551492</v>
      </c>
      <c r="K65" s="8">
        <v>5.0719895287958172E-2</v>
      </c>
      <c r="L65" s="8">
        <v>-2.7844775182853665E-3</v>
      </c>
      <c r="M65" s="8">
        <v>-8.7956719149039353E-2</v>
      </c>
    </row>
    <row r="66" spans="1:13" x14ac:dyDescent="0.35">
      <c r="A66" vm="18157">
        <v>44682</v>
      </c>
      <c r="B66" s="8">
        <v>-3.0453205035513298E-3</v>
      </c>
      <c r="C66" s="8">
        <v>-3.2764329365191025E-2</v>
      </c>
      <c r="D66" s="8">
        <v>-0.12654016757023157</v>
      </c>
      <c r="E66" s="8">
        <v>-4.4487400567391644E-2</v>
      </c>
      <c r="F66" s="8">
        <v>5.6844607513828471E-4</v>
      </c>
      <c r="G66" s="8">
        <v>-1.5163190048984476E-2</v>
      </c>
      <c r="H66" s="8">
        <v>6.5756125035201451E-2</v>
      </c>
      <c r="I66" s="8">
        <v>0.17815944629582159</v>
      </c>
      <c r="J66" s="8">
        <v>6.7396344422279153E-3</v>
      </c>
      <c r="K66" s="8">
        <v>-7.8916225474930046E-2</v>
      </c>
      <c r="L66" s="8">
        <v>-2.3144233605348563E-2</v>
      </c>
      <c r="M66" s="8">
        <v>5.3243883608722342E-5</v>
      </c>
    </row>
    <row r="67" spans="1:13" x14ac:dyDescent="0.35">
      <c r="A67" vm="16167">
        <v>44713</v>
      </c>
      <c r="B67" s="8">
        <v>-4.218456074963528E-2</v>
      </c>
      <c r="C67" s="8">
        <v>-0.11645918167865277</v>
      </c>
      <c r="D67" s="8">
        <v>-2.9905487374806139E-2</v>
      </c>
      <c r="E67" s="8">
        <v>-4.3764281244087488E-2</v>
      </c>
      <c r="F67" s="8">
        <v>-0.1023138105567607</v>
      </c>
      <c r="G67" s="8">
        <v>-0.11845083410176871</v>
      </c>
      <c r="H67" s="8">
        <v>2.3384859294490523E-2</v>
      </c>
      <c r="I67" s="8">
        <v>-0.22193211488250664</v>
      </c>
      <c r="J67" s="8">
        <v>-0.18814267352185088</v>
      </c>
      <c r="K67" s="8">
        <v>-2.765756018393295E-2</v>
      </c>
      <c r="L67" s="8">
        <v>3.3918434719594215E-2</v>
      </c>
      <c r="M67" s="8">
        <v>-8.3919993223866451E-2</v>
      </c>
    </row>
    <row r="68" spans="1:13" x14ac:dyDescent="0.35">
      <c r="A68" vm="16391">
        <v>44743</v>
      </c>
      <c r="B68" s="8">
        <v>6.7518331910832119E-2</v>
      </c>
      <c r="C68" s="8">
        <v>0.27059598907824123</v>
      </c>
      <c r="D68" s="8">
        <v>6.7616693325578181E-2</v>
      </c>
      <c r="E68" s="8">
        <v>7.1108946455206823E-2</v>
      </c>
      <c r="F68" s="8">
        <v>0.10730107588746329</v>
      </c>
      <c r="G68" s="8">
        <v>0.12143400532521875</v>
      </c>
      <c r="H68" s="8">
        <v>9.0756519493932375E-2</v>
      </c>
      <c r="I68" s="8">
        <v>3.551454138702459E-2</v>
      </c>
      <c r="J68" s="8">
        <v>0.19816610594366368</v>
      </c>
      <c r="K68" s="8">
        <v>-3.3938382363168484E-2</v>
      </c>
      <c r="L68" s="8">
        <v>5.5896267741370353E-2</v>
      </c>
      <c r="M68" s="8">
        <v>9.1116347632205885E-2</v>
      </c>
    </row>
    <row r="69" spans="1:13" x14ac:dyDescent="0.35">
      <c r="A69" vm="16603">
        <v>44774</v>
      </c>
      <c r="B69" s="8">
        <v>-6.9635488308115501E-2</v>
      </c>
      <c r="C69" s="8">
        <v>-6.0615042608373471E-2</v>
      </c>
      <c r="D69" s="8">
        <v>-0.23985290111686186</v>
      </c>
      <c r="E69" s="8">
        <v>-6.5890811947594274E-2</v>
      </c>
      <c r="F69" s="8">
        <v>-1.6159201912085752E-2</v>
      </c>
      <c r="G69" s="8">
        <v>-8.3156674863619662E-2</v>
      </c>
      <c r="H69" s="8">
        <v>6.7463605160373863E-3</v>
      </c>
      <c r="I69" s="8">
        <v>3.02457466918713E-2</v>
      </c>
      <c r="J69" s="8">
        <v>-0.16896988382976386</v>
      </c>
      <c r="K69" s="8">
        <v>-6.9829385933337651E-3</v>
      </c>
      <c r="L69" s="8">
        <v>-4.24272596526164E-2</v>
      </c>
      <c r="M69" s="8">
        <v>-4.2440119216810457E-2</v>
      </c>
    </row>
    <row r="70" spans="1:13" x14ac:dyDescent="0.35">
      <c r="A70" vm="16853">
        <v>44805</v>
      </c>
      <c r="B70" s="8">
        <v>-0.11615228238772868</v>
      </c>
      <c r="C70" s="8">
        <v>-0.10862191370197993</v>
      </c>
      <c r="D70" s="8">
        <v>-0.13420533954488445</v>
      </c>
      <c r="E70" s="8">
        <v>-0.13467301519692099</v>
      </c>
      <c r="F70" s="8">
        <v>-0.11819382096646425</v>
      </c>
      <c r="G70" s="8">
        <v>-0.12340845330949235</v>
      </c>
      <c r="H70" s="8">
        <v>-7.8180108158946715E-2</v>
      </c>
      <c r="I70" s="8">
        <v>-5.8977719528178207E-2</v>
      </c>
      <c r="J70" s="8">
        <v>-0.19577315489598512</v>
      </c>
      <c r="K70" s="8">
        <v>-8.4746991445555975E-2</v>
      </c>
      <c r="L70" s="8">
        <v>-2.7516222825563763E-2</v>
      </c>
      <c r="M70" s="8">
        <v>-9.3395701643489315E-2</v>
      </c>
    </row>
    <row r="71" spans="1:13" x14ac:dyDescent="0.35">
      <c r="A71" vm="18166">
        <v>44835</v>
      </c>
      <c r="B71" s="8">
        <v>-1.1918452692106674E-2</v>
      </c>
      <c r="C71" s="8">
        <v>-9.3451327433628384E-2</v>
      </c>
      <c r="D71" s="8">
        <v>2.2144039735099375E-2</v>
      </c>
      <c r="E71" s="8">
        <v>-4.2191125799873053E-3</v>
      </c>
      <c r="F71" s="8">
        <v>0.22189614900880406</v>
      </c>
      <c r="G71" s="8">
        <v>0.15418161356122972</v>
      </c>
      <c r="H71" s="8">
        <v>-1.1605662543042961E-2</v>
      </c>
      <c r="I71" s="8">
        <v>0.44930362116991662</v>
      </c>
      <c r="J71" s="8">
        <v>0.11187082955762429</v>
      </c>
      <c r="K71" s="8">
        <v>6.669306930693053E-2</v>
      </c>
      <c r="L71" s="8">
        <v>9.9219863773166495E-2</v>
      </c>
      <c r="M71" s="8">
        <v>7.9863454576893256E-2</v>
      </c>
    </row>
    <row r="72" spans="1:13" x14ac:dyDescent="0.35">
      <c r="A72" vm="17301">
        <v>44866</v>
      </c>
      <c r="B72" s="8">
        <v>6.8564173103375259E-2</v>
      </c>
      <c r="C72" s="8">
        <v>-5.7594689574384961E-2</v>
      </c>
      <c r="D72" s="8">
        <v>0.13545252075318892</v>
      </c>
      <c r="E72" s="8">
        <v>0.21928183037921034</v>
      </c>
      <c r="F72" s="8">
        <v>7.6119988236447389E-2</v>
      </c>
      <c r="G72" s="8">
        <v>8.5989396063135937E-2</v>
      </c>
      <c r="H72" s="8">
        <v>9.2903225806451717E-2</v>
      </c>
      <c r="I72" s="8">
        <v>-9.225446857582198E-3</v>
      </c>
      <c r="J72" s="8">
        <v>0.25383418537452762</v>
      </c>
      <c r="K72" s="8">
        <v>0.10759634662508355</v>
      </c>
      <c r="L72" s="8">
        <v>-1.3311717553814217E-2</v>
      </c>
      <c r="M72" s="8">
        <v>5.3752860293699856E-2</v>
      </c>
    </row>
    <row r="73" spans="1:13" x14ac:dyDescent="0.35">
      <c r="A73" vm="17521">
        <v>44896</v>
      </c>
      <c r="B73" s="8">
        <v>-0.12634914347955239</v>
      </c>
      <c r="C73" s="8">
        <v>-0.1298943443132381</v>
      </c>
      <c r="D73" s="8">
        <v>-8.8088445078459254E-2</v>
      </c>
      <c r="E73" s="8">
        <v>-5.1574603634257588E-2</v>
      </c>
      <c r="F73" s="8">
        <v>-2.3912548394443123E-2</v>
      </c>
      <c r="G73" s="8">
        <v>-2.4326599326599196E-2</v>
      </c>
      <c r="H73" s="8">
        <v>-1.2987012987013102E-2</v>
      </c>
      <c r="I73" s="8">
        <v>3.7051406401551912E-2</v>
      </c>
      <c r="J73" s="8">
        <v>-0.13644152927967845</v>
      </c>
      <c r="K73" s="8">
        <v>1.6090104585679832E-2</v>
      </c>
      <c r="L73" s="8">
        <v>-3.2094347889586761E-2</v>
      </c>
      <c r="M73" s="8">
        <v>-5.8971449299161094E-2</v>
      </c>
    </row>
  </sheetData>
  <mergeCells count="1">
    <mergeCell ref="O15:AA1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18ADE-BDBA-418F-B1D7-99B691840107}">
  <dimension ref="A1:AB85"/>
  <sheetViews>
    <sheetView topLeftCell="F12" zoomScale="98" zoomScaleNormal="130" workbookViewId="0">
      <selection activeCell="J36" sqref="J36"/>
    </sheetView>
  </sheetViews>
  <sheetFormatPr defaultRowHeight="14.5" x14ac:dyDescent="0.35"/>
  <cols>
    <col min="3" max="3" width="7.54296875" bestFit="1" customWidth="1"/>
    <col min="4" max="4" width="19.453125" bestFit="1" customWidth="1"/>
    <col min="5" max="5" width="19" bestFit="1" customWidth="1"/>
    <col min="6" max="6" width="15.453125" bestFit="1" customWidth="1"/>
    <col min="7" max="7" width="9.453125" bestFit="1" customWidth="1"/>
  </cols>
  <sheetData>
    <row r="1" spans="1:28" x14ac:dyDescent="0.35">
      <c r="A1" s="28"/>
      <c r="B1" s="4"/>
      <c r="C1" s="4"/>
      <c r="D1" s="4"/>
      <c r="E1" s="4"/>
      <c r="F1" s="4"/>
      <c r="G1" s="4"/>
      <c r="H1" s="4"/>
      <c r="I1" s="4"/>
      <c r="J1" s="4"/>
      <c r="K1" s="4"/>
      <c r="L1" s="4"/>
      <c r="Q1" s="10"/>
      <c r="R1" s="10"/>
      <c r="S1" s="10"/>
      <c r="T1" s="10"/>
      <c r="U1" s="10"/>
      <c r="V1" s="10"/>
      <c r="W1" s="10"/>
      <c r="X1" s="10"/>
      <c r="Y1" s="10"/>
      <c r="Z1" s="10"/>
      <c r="AA1" s="10"/>
      <c r="AB1" s="10"/>
    </row>
    <row r="2" spans="1:28" x14ac:dyDescent="0.35">
      <c r="B2" s="9"/>
      <c r="C2" s="30" t="s">
        <v>6</v>
      </c>
      <c r="D2" s="30" t="s">
        <v>63</v>
      </c>
      <c r="E2" s="30" t="s">
        <v>64</v>
      </c>
      <c r="F2" s="30" t="s">
        <v>65</v>
      </c>
      <c r="G2" s="30" t="s">
        <v>66</v>
      </c>
      <c r="H2" s="9"/>
      <c r="I2" s="9"/>
      <c r="J2" s="9"/>
      <c r="K2" s="9"/>
      <c r="L2" s="9"/>
      <c r="M2" s="9"/>
      <c r="N2" s="9"/>
      <c r="Q2" s="10"/>
      <c r="R2" s="10"/>
      <c r="S2" s="10"/>
      <c r="T2" s="10"/>
      <c r="U2" s="10"/>
      <c r="V2" s="10"/>
      <c r="W2" s="10"/>
      <c r="X2" s="10"/>
      <c r="Y2" s="10"/>
      <c r="Z2" s="10"/>
      <c r="AA2" s="10"/>
      <c r="AB2" s="10"/>
    </row>
    <row r="3" spans="1:28" x14ac:dyDescent="0.35">
      <c r="B3" s="9"/>
      <c r="C3" s="30" t="s">
        <v>14</v>
      </c>
      <c r="D3">
        <v>65.67</v>
      </c>
      <c r="E3">
        <v>50.21</v>
      </c>
      <c r="F3">
        <v>-23.55</v>
      </c>
      <c r="G3">
        <v>-4.38</v>
      </c>
      <c r="H3" s="9"/>
      <c r="I3" s="9"/>
      <c r="J3" s="9"/>
      <c r="K3" s="9"/>
      <c r="L3" s="9"/>
      <c r="M3" s="9"/>
      <c r="N3" s="9"/>
    </row>
    <row r="4" spans="1:28" x14ac:dyDescent="0.35">
      <c r="B4" s="9"/>
      <c r="C4" s="30" t="s">
        <v>9</v>
      </c>
      <c r="D4">
        <v>34.86</v>
      </c>
      <c r="E4">
        <v>49.39</v>
      </c>
      <c r="F4">
        <v>41.68</v>
      </c>
      <c r="G4">
        <v>5.98</v>
      </c>
      <c r="H4" s="9"/>
      <c r="I4" s="9"/>
      <c r="J4" s="9"/>
      <c r="K4" s="9"/>
      <c r="L4" s="9"/>
      <c r="M4" s="9"/>
      <c r="N4" s="9"/>
    </row>
    <row r="5" spans="1:28" x14ac:dyDescent="0.35">
      <c r="B5" s="9"/>
      <c r="C5" s="30" t="s">
        <v>10</v>
      </c>
      <c r="D5">
        <v>327.89</v>
      </c>
      <c r="E5">
        <v>622.83000000000004</v>
      </c>
      <c r="F5">
        <v>89.95</v>
      </c>
      <c r="G5">
        <v>11.29</v>
      </c>
      <c r="H5" s="9"/>
      <c r="I5" s="9"/>
      <c r="J5" s="9"/>
      <c r="K5" s="9"/>
      <c r="L5" s="9"/>
      <c r="M5" s="9"/>
      <c r="N5" s="9"/>
    </row>
    <row r="6" spans="1:28" x14ac:dyDescent="0.35">
      <c r="B6" s="9"/>
      <c r="C6" s="30" t="s">
        <v>20</v>
      </c>
      <c r="D6">
        <v>41.17</v>
      </c>
      <c r="E6">
        <v>84</v>
      </c>
      <c r="F6">
        <v>104.01</v>
      </c>
      <c r="G6">
        <v>12.62</v>
      </c>
      <c r="H6" s="9"/>
      <c r="I6" s="9"/>
      <c r="J6" s="9"/>
      <c r="K6" s="9"/>
      <c r="L6" s="9"/>
      <c r="M6" s="9"/>
      <c r="N6" s="9"/>
    </row>
    <row r="7" spans="1:28" x14ac:dyDescent="0.35">
      <c r="B7" s="9"/>
      <c r="C7" s="30" t="s">
        <v>25</v>
      </c>
      <c r="D7">
        <v>69.209999999999994</v>
      </c>
      <c r="E7">
        <v>141.49</v>
      </c>
      <c r="F7">
        <v>104.45</v>
      </c>
      <c r="G7">
        <v>12.66</v>
      </c>
      <c r="H7" s="9"/>
      <c r="I7" s="9"/>
      <c r="J7" s="9"/>
      <c r="K7" s="9"/>
      <c r="L7" s="9"/>
      <c r="M7" s="43" t="s">
        <v>67</v>
      </c>
      <c r="N7" s="44"/>
      <c r="P7" s="43" t="s">
        <v>68</v>
      </c>
      <c r="Q7" s="44"/>
    </row>
    <row r="8" spans="1:28" x14ac:dyDescent="0.35">
      <c r="B8" s="9"/>
      <c r="C8" s="30" t="s">
        <v>21</v>
      </c>
      <c r="D8">
        <v>95.22</v>
      </c>
      <c r="E8">
        <v>203.16</v>
      </c>
      <c r="F8">
        <v>113.35</v>
      </c>
      <c r="G8">
        <v>13.46</v>
      </c>
      <c r="H8" s="9"/>
      <c r="I8" s="9"/>
      <c r="J8" s="9"/>
      <c r="K8" s="9"/>
      <c r="L8" s="9"/>
      <c r="M8" s="29" t="s">
        <v>6</v>
      </c>
      <c r="N8" s="29" t="s">
        <v>66</v>
      </c>
      <c r="P8" s="29" t="s">
        <v>6</v>
      </c>
      <c r="Q8" s="29" t="s">
        <v>66</v>
      </c>
    </row>
    <row r="9" spans="1:28" x14ac:dyDescent="0.35">
      <c r="B9" s="9"/>
      <c r="C9" s="30" t="s">
        <v>7</v>
      </c>
      <c r="D9">
        <v>40.770000000000003</v>
      </c>
      <c r="E9">
        <v>87.7</v>
      </c>
      <c r="F9">
        <v>115.15</v>
      </c>
      <c r="G9">
        <v>13.62</v>
      </c>
      <c r="H9" s="9"/>
      <c r="I9" s="9"/>
      <c r="J9" s="9"/>
      <c r="K9" s="9"/>
      <c r="L9" s="9"/>
      <c r="M9" s="30" t="s">
        <v>24</v>
      </c>
      <c r="N9">
        <v>32.58</v>
      </c>
      <c r="P9" s="30" t="s">
        <v>14</v>
      </c>
      <c r="Q9">
        <v>-4.38</v>
      </c>
    </row>
    <row r="10" spans="1:28" x14ac:dyDescent="0.35">
      <c r="B10" s="9"/>
      <c r="C10" s="30" t="s">
        <v>23</v>
      </c>
      <c r="D10">
        <v>25.02</v>
      </c>
      <c r="E10">
        <v>77.73</v>
      </c>
      <c r="F10">
        <v>210.65</v>
      </c>
      <c r="G10">
        <v>20.79</v>
      </c>
      <c r="H10" s="9"/>
      <c r="I10" s="9"/>
      <c r="J10" s="9"/>
      <c r="K10" s="9"/>
      <c r="L10" s="9"/>
      <c r="M10" s="30" t="s">
        <v>26</v>
      </c>
      <c r="N10">
        <v>23.58</v>
      </c>
      <c r="P10" s="30" t="s">
        <v>9</v>
      </c>
      <c r="Q10">
        <v>5.98</v>
      </c>
    </row>
    <row r="11" spans="1:28" x14ac:dyDescent="0.35">
      <c r="B11" s="9"/>
      <c r="C11" s="30" t="s">
        <v>22</v>
      </c>
      <c r="D11">
        <v>101.07</v>
      </c>
      <c r="E11">
        <v>342.12</v>
      </c>
      <c r="F11">
        <v>238.5</v>
      </c>
      <c r="G11">
        <v>22.54</v>
      </c>
      <c r="H11" s="9"/>
      <c r="I11" s="9"/>
      <c r="J11" s="9"/>
      <c r="K11" s="9"/>
      <c r="L11" s="9"/>
      <c r="M11" s="30" t="s">
        <v>22</v>
      </c>
      <c r="N11">
        <v>22.54</v>
      </c>
      <c r="P11" s="30" t="s">
        <v>10</v>
      </c>
      <c r="Q11">
        <v>11.29</v>
      </c>
    </row>
    <row r="12" spans="1:28" x14ac:dyDescent="0.35">
      <c r="B12" s="9"/>
      <c r="C12" s="30" t="s">
        <v>26</v>
      </c>
      <c r="D12">
        <v>142.34</v>
      </c>
      <c r="E12">
        <v>506.9</v>
      </c>
      <c r="F12">
        <v>256.12</v>
      </c>
      <c r="G12">
        <v>23.58</v>
      </c>
      <c r="H12" s="9"/>
      <c r="I12" s="9"/>
      <c r="J12" s="9"/>
      <c r="K12" s="9"/>
      <c r="L12" s="9"/>
      <c r="M12" s="30" t="s">
        <v>23</v>
      </c>
      <c r="N12">
        <v>20.79</v>
      </c>
      <c r="P12" s="30" t="s">
        <v>20</v>
      </c>
      <c r="Q12">
        <v>12.62</v>
      </c>
    </row>
    <row r="13" spans="1:28" x14ac:dyDescent="0.35">
      <c r="B13" s="9"/>
      <c r="C13" s="30" t="s">
        <v>24</v>
      </c>
      <c r="D13">
        <v>2.69</v>
      </c>
      <c r="E13">
        <v>14.6</v>
      </c>
      <c r="F13">
        <v>442.97</v>
      </c>
      <c r="G13">
        <v>32.58</v>
      </c>
      <c r="H13" s="9"/>
      <c r="I13" s="9"/>
      <c r="J13" s="9"/>
      <c r="K13" s="9"/>
      <c r="L13" s="9"/>
      <c r="M13" s="30" t="s">
        <v>7</v>
      </c>
      <c r="N13">
        <v>13.62</v>
      </c>
      <c r="P13" s="30" t="s">
        <v>25</v>
      </c>
      <c r="Q13">
        <v>12.66</v>
      </c>
    </row>
    <row r="14" spans="1:28" x14ac:dyDescent="0.35">
      <c r="B14" s="9"/>
      <c r="C14" s="9"/>
      <c r="D14" s="9"/>
      <c r="E14" s="9"/>
      <c r="F14" s="9"/>
      <c r="G14" s="9"/>
      <c r="H14" s="9"/>
      <c r="I14" s="9"/>
      <c r="J14" s="9"/>
      <c r="K14" s="9"/>
      <c r="L14" s="9"/>
      <c r="M14" s="9"/>
      <c r="N14" s="9"/>
    </row>
    <row r="15" spans="1:28" x14ac:dyDescent="0.35">
      <c r="B15" s="9"/>
      <c r="C15" s="9"/>
      <c r="D15" s="9"/>
      <c r="E15" s="9"/>
      <c r="F15" s="9"/>
      <c r="G15" s="9"/>
      <c r="H15" s="9"/>
      <c r="I15" s="9"/>
      <c r="J15" s="9"/>
      <c r="K15" s="9"/>
      <c r="L15" s="9"/>
      <c r="M15" s="9"/>
      <c r="N15" s="9"/>
    </row>
    <row r="16" spans="1:28" x14ac:dyDescent="0.35">
      <c r="B16" s="9"/>
      <c r="C16" s="29" t="s">
        <v>6</v>
      </c>
      <c r="D16" s="29" t="s">
        <v>66</v>
      </c>
      <c r="E16" s="29"/>
      <c r="F16" s="29"/>
      <c r="H16" s="9"/>
      <c r="I16" s="9"/>
      <c r="J16" s="9"/>
      <c r="K16" s="9"/>
      <c r="L16" s="9"/>
      <c r="M16" s="9"/>
      <c r="N16" s="9"/>
    </row>
    <row r="17" spans="2:14" x14ac:dyDescent="0.35">
      <c r="B17" s="9"/>
      <c r="C17" s="30" t="s">
        <v>24</v>
      </c>
      <c r="D17">
        <v>0.32579999999999998</v>
      </c>
      <c r="E17" t="s">
        <v>69</v>
      </c>
      <c r="H17" s="9"/>
      <c r="I17" s="9"/>
      <c r="J17" s="9"/>
      <c r="K17" s="9"/>
      <c r="L17" s="9"/>
      <c r="M17" s="9"/>
      <c r="N17" s="9"/>
    </row>
    <row r="18" spans="2:14" x14ac:dyDescent="0.35">
      <c r="B18" s="9"/>
      <c r="C18" s="30" t="s">
        <v>26</v>
      </c>
      <c r="D18">
        <v>0.23579999999999998</v>
      </c>
      <c r="E18" t="s">
        <v>69</v>
      </c>
      <c r="H18" s="9"/>
      <c r="I18" s="9"/>
      <c r="J18" s="9"/>
      <c r="K18" s="9"/>
      <c r="L18" s="9"/>
      <c r="M18" s="9"/>
      <c r="N18" s="9"/>
    </row>
    <row r="19" spans="2:14" x14ac:dyDescent="0.35">
      <c r="B19" s="9"/>
      <c r="C19" s="30" t="s">
        <v>22</v>
      </c>
      <c r="D19">
        <v>0.22539999999999999</v>
      </c>
      <c r="E19" t="s">
        <v>69</v>
      </c>
      <c r="H19" s="9"/>
      <c r="I19" s="9"/>
      <c r="J19" s="9"/>
      <c r="K19" s="9"/>
      <c r="L19" s="9"/>
      <c r="M19" s="9"/>
      <c r="N19" s="9"/>
    </row>
    <row r="20" spans="2:14" x14ac:dyDescent="0.35">
      <c r="B20" s="9"/>
      <c r="C20" s="30" t="s">
        <v>23</v>
      </c>
      <c r="D20">
        <v>0.2079</v>
      </c>
      <c r="E20" t="s">
        <v>69</v>
      </c>
      <c r="H20" s="9"/>
      <c r="I20" s="9"/>
      <c r="J20" s="9"/>
      <c r="K20" s="9"/>
      <c r="L20" s="9"/>
      <c r="M20" s="9"/>
      <c r="N20" s="9"/>
    </row>
    <row r="21" spans="2:14" x14ac:dyDescent="0.35">
      <c r="B21" s="9"/>
      <c r="C21" s="30" t="s">
        <v>7</v>
      </c>
      <c r="D21">
        <v>0.13619999999999999</v>
      </c>
      <c r="E21" t="s">
        <v>69</v>
      </c>
      <c r="H21" s="9"/>
      <c r="I21" s="9"/>
      <c r="J21" s="9"/>
      <c r="K21" s="9"/>
      <c r="L21" s="9"/>
      <c r="M21" s="9"/>
      <c r="N21" s="9"/>
    </row>
    <row r="22" spans="2:14" x14ac:dyDescent="0.35">
      <c r="B22" s="9"/>
      <c r="C22" s="30" t="s">
        <v>20</v>
      </c>
      <c r="D22">
        <v>0.12619999999999998</v>
      </c>
      <c r="E22" t="s">
        <v>70</v>
      </c>
      <c r="H22" s="9"/>
      <c r="I22" s="9"/>
      <c r="J22" s="9"/>
      <c r="K22" s="9"/>
      <c r="L22" s="9"/>
      <c r="M22" s="9"/>
      <c r="N22" s="9"/>
    </row>
    <row r="23" spans="2:14" x14ac:dyDescent="0.35">
      <c r="B23" s="9"/>
      <c r="C23" s="30" t="s">
        <v>25</v>
      </c>
      <c r="D23">
        <v>0.12659999999999999</v>
      </c>
      <c r="E23" t="s">
        <v>70</v>
      </c>
      <c r="H23" s="9"/>
      <c r="I23" s="9"/>
      <c r="J23" s="9"/>
      <c r="K23" s="9"/>
      <c r="L23" s="9"/>
      <c r="M23" s="9"/>
      <c r="N23" s="9"/>
    </row>
    <row r="24" spans="2:14" x14ac:dyDescent="0.35">
      <c r="B24" s="9"/>
      <c r="C24" s="30" t="s">
        <v>10</v>
      </c>
      <c r="D24">
        <v>0.11289999999999999</v>
      </c>
      <c r="E24" t="s">
        <v>70</v>
      </c>
      <c r="H24" s="9"/>
      <c r="I24" s="9"/>
      <c r="J24" s="9"/>
      <c r="K24" s="9"/>
      <c r="L24" s="9"/>
      <c r="M24" s="9"/>
      <c r="N24" s="9"/>
    </row>
    <row r="25" spans="2:14" x14ac:dyDescent="0.35">
      <c r="B25" s="9"/>
      <c r="C25" s="30" t="s">
        <v>9</v>
      </c>
      <c r="D25">
        <v>5.9800000000000006E-2</v>
      </c>
      <c r="E25" t="s">
        <v>70</v>
      </c>
      <c r="H25" s="9"/>
      <c r="I25" s="9"/>
      <c r="J25" s="9"/>
      <c r="K25" s="9"/>
      <c r="L25" s="9"/>
      <c r="M25" s="9"/>
      <c r="N25" s="9"/>
    </row>
    <row r="26" spans="2:14" x14ac:dyDescent="0.35">
      <c r="B26" s="9"/>
      <c r="C26" s="30" t="s">
        <v>14</v>
      </c>
      <c r="D26">
        <v>-4.3799999999999999E-2</v>
      </c>
      <c r="E26" t="s">
        <v>70</v>
      </c>
      <c r="H26" s="9"/>
      <c r="I26" s="9"/>
      <c r="J26" s="9"/>
      <c r="K26" s="9"/>
      <c r="L26" s="9"/>
      <c r="M26" s="9"/>
      <c r="N26" s="9"/>
    </row>
    <row r="27" spans="2:14" x14ac:dyDescent="0.35">
      <c r="B27" s="9"/>
      <c r="H27" s="9"/>
      <c r="I27" s="9"/>
      <c r="J27" s="9"/>
      <c r="K27" s="9"/>
      <c r="L27" s="9"/>
      <c r="M27" s="9"/>
      <c r="N27" s="9"/>
    </row>
    <row r="28" spans="2:14" x14ac:dyDescent="0.35">
      <c r="B28" s="9"/>
      <c r="E28" s="9"/>
      <c r="F28" s="9"/>
      <c r="G28" s="9"/>
      <c r="H28" s="9"/>
      <c r="I28" s="9"/>
      <c r="J28" s="9"/>
      <c r="K28" s="9"/>
      <c r="L28" s="9"/>
      <c r="M28" s="9"/>
      <c r="N28" s="9"/>
    </row>
    <row r="29" spans="2:14" x14ac:dyDescent="0.35">
      <c r="B29" s="9"/>
      <c r="E29" s="9"/>
      <c r="F29" s="9"/>
      <c r="G29" s="9"/>
      <c r="H29" s="9"/>
      <c r="I29" s="9"/>
      <c r="J29" s="9"/>
      <c r="K29" s="9"/>
      <c r="L29" s="9"/>
      <c r="M29" s="9"/>
      <c r="N29" s="9"/>
    </row>
    <row r="30" spans="2:14" x14ac:dyDescent="0.35">
      <c r="B30" s="9"/>
      <c r="D30">
        <f>D17/100</f>
        <v>3.2579999999999996E-3</v>
      </c>
      <c r="E30" s="9"/>
      <c r="F30" s="9"/>
      <c r="G30" s="9"/>
      <c r="H30" s="9"/>
      <c r="I30" s="9"/>
      <c r="J30" s="9"/>
      <c r="K30" s="9"/>
      <c r="L30" s="9"/>
      <c r="M30" s="9"/>
      <c r="N30" s="9"/>
    </row>
    <row r="31" spans="2:14" x14ac:dyDescent="0.35">
      <c r="B31" s="9"/>
      <c r="C31" s="9"/>
      <c r="D31">
        <f t="shared" ref="D31:D39" si="0">D18/100</f>
        <v>2.3579999999999999E-3</v>
      </c>
      <c r="E31" s="9"/>
      <c r="F31" s="9"/>
      <c r="G31" s="9"/>
      <c r="H31" s="9"/>
      <c r="I31" s="9"/>
      <c r="J31" s="9"/>
      <c r="K31" s="9"/>
      <c r="L31" s="9"/>
      <c r="M31" s="9"/>
      <c r="N31" s="9"/>
    </row>
    <row r="32" spans="2:14" x14ac:dyDescent="0.35">
      <c r="B32" s="9"/>
      <c r="C32" s="9"/>
      <c r="D32">
        <f t="shared" si="0"/>
        <v>2.2539999999999999E-3</v>
      </c>
      <c r="E32" s="9"/>
      <c r="F32" s="9"/>
      <c r="G32" s="9"/>
      <c r="H32" s="9"/>
      <c r="I32" s="9"/>
      <c r="J32" s="9"/>
      <c r="K32" s="9"/>
      <c r="L32" s="9"/>
      <c r="M32" s="9"/>
      <c r="N32" s="9"/>
    </row>
    <row r="33" spans="2:19" x14ac:dyDescent="0.35">
      <c r="B33" s="9"/>
      <c r="C33" s="9"/>
      <c r="D33">
        <f t="shared" si="0"/>
        <v>2.0790000000000001E-3</v>
      </c>
      <c r="E33" s="9"/>
      <c r="F33" s="9"/>
      <c r="G33" s="9"/>
      <c r="H33" s="9"/>
      <c r="I33" s="9"/>
      <c r="J33" s="9"/>
      <c r="K33" s="9"/>
      <c r="L33" s="9"/>
      <c r="M33" s="9"/>
      <c r="N33" s="9"/>
    </row>
    <row r="34" spans="2:19" x14ac:dyDescent="0.35">
      <c r="B34" s="9"/>
      <c r="C34" s="9"/>
      <c r="D34">
        <f t="shared" si="0"/>
        <v>1.3619999999999999E-3</v>
      </c>
      <c r="E34" s="9"/>
      <c r="F34" s="9"/>
      <c r="G34" s="9"/>
      <c r="H34" s="9"/>
      <c r="I34" s="9"/>
      <c r="J34" s="9"/>
      <c r="K34" s="9"/>
      <c r="L34" s="9"/>
      <c r="M34" s="9"/>
      <c r="N34" s="9"/>
    </row>
    <row r="35" spans="2:19" x14ac:dyDescent="0.35">
      <c r="B35" s="9"/>
      <c r="C35" s="9"/>
      <c r="D35">
        <f t="shared" si="0"/>
        <v>1.2619999999999999E-3</v>
      </c>
      <c r="E35" s="9"/>
      <c r="F35" s="9"/>
      <c r="G35" s="9"/>
      <c r="H35" s="9"/>
      <c r="I35" s="9"/>
      <c r="J35" s="9"/>
      <c r="K35" s="9"/>
      <c r="L35" s="9"/>
      <c r="M35" s="9"/>
      <c r="N35" s="9"/>
    </row>
    <row r="36" spans="2:19" x14ac:dyDescent="0.35">
      <c r="B36" s="9"/>
      <c r="C36" s="9"/>
      <c r="D36">
        <f t="shared" si="0"/>
        <v>1.266E-3</v>
      </c>
      <c r="E36" s="9"/>
      <c r="F36" s="9"/>
      <c r="G36" s="9"/>
      <c r="H36" s="9"/>
      <c r="I36" s="9"/>
      <c r="J36" s="9"/>
      <c r="K36" s="9"/>
      <c r="L36" s="9"/>
      <c r="M36" s="9"/>
      <c r="N36" s="9"/>
    </row>
    <row r="37" spans="2:19" x14ac:dyDescent="0.35">
      <c r="B37" s="9"/>
      <c r="C37" s="9"/>
      <c r="D37">
        <f t="shared" si="0"/>
        <v>1.1289999999999998E-3</v>
      </c>
      <c r="E37" s="9"/>
      <c r="F37" s="9"/>
      <c r="G37" s="9"/>
      <c r="H37" s="9"/>
      <c r="I37" s="9"/>
      <c r="J37" s="9"/>
      <c r="K37" s="9"/>
      <c r="L37" s="9"/>
      <c r="M37" s="9"/>
      <c r="N37" s="9"/>
    </row>
    <row r="38" spans="2:19" x14ac:dyDescent="0.35">
      <c r="B38" s="9"/>
      <c r="C38" s="9"/>
      <c r="D38">
        <f>D25/100</f>
        <v>5.9800000000000001E-4</v>
      </c>
      <c r="E38" s="9"/>
      <c r="F38" s="9"/>
      <c r="G38" s="9"/>
      <c r="H38" s="9"/>
      <c r="I38" s="9"/>
      <c r="J38" s="9"/>
      <c r="K38" s="9"/>
      <c r="L38" s="9"/>
      <c r="M38" s="9"/>
      <c r="N38" s="9"/>
      <c r="S38" t="s">
        <v>71</v>
      </c>
    </row>
    <row r="39" spans="2:19" x14ac:dyDescent="0.35">
      <c r="B39" s="9"/>
      <c r="C39" s="9"/>
      <c r="D39">
        <f t="shared" si="0"/>
        <v>-4.3799999999999997E-4</v>
      </c>
      <c r="E39" s="9"/>
      <c r="F39" s="9"/>
      <c r="G39" s="9"/>
      <c r="H39" s="9"/>
      <c r="I39" s="9"/>
      <c r="J39" s="9"/>
      <c r="K39" s="9"/>
      <c r="L39" s="9"/>
      <c r="M39" s="9"/>
      <c r="N39" s="9"/>
    </row>
    <row r="40" spans="2:19" x14ac:dyDescent="0.35">
      <c r="B40" s="9"/>
      <c r="C40" s="9"/>
      <c r="D40" s="9"/>
      <c r="E40" s="9"/>
      <c r="F40" s="9"/>
      <c r="G40" s="9"/>
      <c r="H40" s="9"/>
      <c r="I40" s="9"/>
      <c r="J40" s="9"/>
      <c r="K40" s="9"/>
      <c r="L40" s="9"/>
      <c r="M40" s="9"/>
      <c r="N40" s="9"/>
    </row>
    <row r="41" spans="2:19" x14ac:dyDescent="0.35">
      <c r="B41" s="9"/>
      <c r="C41" s="9"/>
      <c r="D41" s="9"/>
      <c r="E41" s="9"/>
      <c r="F41" s="9"/>
      <c r="G41" s="9"/>
      <c r="H41" s="9"/>
      <c r="I41" s="9"/>
      <c r="J41" s="9"/>
      <c r="K41" s="9"/>
      <c r="L41" s="9"/>
      <c r="M41" s="9"/>
      <c r="N41" s="9"/>
    </row>
    <row r="42" spans="2:19" x14ac:dyDescent="0.35">
      <c r="B42" s="9"/>
      <c r="C42" s="9"/>
      <c r="D42" s="9"/>
      <c r="E42" s="9"/>
      <c r="F42" s="9"/>
      <c r="G42" s="9"/>
      <c r="H42" s="9"/>
      <c r="I42" s="9"/>
      <c r="J42" s="9"/>
      <c r="K42" s="9"/>
      <c r="L42" s="9"/>
      <c r="M42" s="9"/>
      <c r="N42" s="9"/>
    </row>
    <row r="43" spans="2:19" x14ac:dyDescent="0.35">
      <c r="B43" s="9"/>
      <c r="C43" s="9"/>
      <c r="D43" s="9"/>
      <c r="E43" s="9"/>
      <c r="F43" s="9"/>
      <c r="G43" s="9"/>
      <c r="H43" s="9"/>
      <c r="I43" s="9"/>
      <c r="J43" s="9"/>
      <c r="K43" s="9"/>
      <c r="L43" s="9"/>
      <c r="M43" s="9"/>
      <c r="N43" s="9"/>
    </row>
    <row r="44" spans="2:19" x14ac:dyDescent="0.35">
      <c r="B44" s="9"/>
      <c r="C44" s="9"/>
      <c r="D44" s="9"/>
      <c r="E44" s="9"/>
      <c r="F44" s="9"/>
      <c r="G44" s="9"/>
      <c r="H44" s="9"/>
      <c r="I44" s="9"/>
      <c r="J44" s="9"/>
      <c r="K44" s="9"/>
      <c r="L44" s="9"/>
      <c r="M44" s="9"/>
      <c r="N44" s="9"/>
    </row>
    <row r="45" spans="2:19" x14ac:dyDescent="0.35">
      <c r="B45" s="9"/>
      <c r="C45" s="9"/>
      <c r="D45" s="9"/>
      <c r="E45" s="9"/>
      <c r="F45" s="9"/>
      <c r="G45" s="9"/>
      <c r="H45" s="9"/>
      <c r="I45" s="9"/>
      <c r="J45" s="9"/>
      <c r="K45" s="9"/>
      <c r="L45" s="9"/>
      <c r="M45" s="9"/>
      <c r="N45" s="9"/>
    </row>
    <row r="46" spans="2:19" x14ac:dyDescent="0.35">
      <c r="B46" s="9"/>
      <c r="C46" s="9"/>
      <c r="D46" s="9"/>
      <c r="E46" s="9"/>
      <c r="F46" s="9"/>
      <c r="G46" s="9"/>
      <c r="H46" s="9"/>
      <c r="I46" s="9"/>
      <c r="J46" s="9"/>
      <c r="K46" s="9"/>
      <c r="L46" s="9"/>
      <c r="M46" s="9"/>
      <c r="N46" s="9"/>
    </row>
    <row r="47" spans="2:19" x14ac:dyDescent="0.35">
      <c r="B47" s="9"/>
      <c r="C47" s="9"/>
      <c r="D47" s="9"/>
      <c r="E47" s="9"/>
      <c r="F47" s="9"/>
      <c r="G47" s="9"/>
      <c r="H47" s="9"/>
      <c r="I47" s="9"/>
      <c r="J47" s="9"/>
      <c r="K47" s="9"/>
      <c r="L47" s="9"/>
      <c r="M47" s="9"/>
      <c r="N47" s="9"/>
    </row>
    <row r="48" spans="2:19" x14ac:dyDescent="0.35">
      <c r="B48" s="9"/>
      <c r="C48" s="9"/>
      <c r="D48" s="9"/>
      <c r="E48" s="9"/>
      <c r="F48" s="9"/>
      <c r="G48" s="9"/>
      <c r="H48" s="9"/>
      <c r="I48" s="9"/>
      <c r="J48" s="9"/>
      <c r="K48" s="9"/>
      <c r="L48" s="9"/>
      <c r="M48" s="9"/>
      <c r="N48" s="9"/>
    </row>
    <row r="49" spans="2:14" x14ac:dyDescent="0.35">
      <c r="B49" s="9"/>
      <c r="C49" s="9"/>
      <c r="D49" s="9"/>
      <c r="E49" s="9"/>
      <c r="F49" s="9"/>
      <c r="G49" s="9"/>
      <c r="H49" s="9"/>
      <c r="I49" s="9"/>
      <c r="J49" s="9"/>
      <c r="K49" s="9"/>
      <c r="L49" s="9"/>
      <c r="M49" s="9"/>
      <c r="N49" s="9"/>
    </row>
    <row r="50" spans="2:14" x14ac:dyDescent="0.35">
      <c r="B50" s="9"/>
      <c r="C50" s="9"/>
      <c r="D50" s="9"/>
      <c r="E50" s="9"/>
      <c r="F50" s="9"/>
      <c r="G50" s="9"/>
      <c r="H50" s="9"/>
      <c r="I50" s="9"/>
      <c r="J50" s="9"/>
      <c r="K50" s="9"/>
      <c r="L50" s="9"/>
      <c r="M50" s="9"/>
      <c r="N50" s="9"/>
    </row>
    <row r="51" spans="2:14" x14ac:dyDescent="0.35">
      <c r="B51" s="9"/>
      <c r="C51" s="9"/>
      <c r="D51" s="9"/>
      <c r="E51" s="9"/>
      <c r="F51" s="9"/>
      <c r="G51" s="9"/>
      <c r="H51" s="9"/>
      <c r="I51" s="9"/>
      <c r="J51" s="9"/>
      <c r="K51" s="9"/>
      <c r="L51" s="9"/>
      <c r="M51" s="9"/>
      <c r="N51" s="9"/>
    </row>
    <row r="52" spans="2:14" x14ac:dyDescent="0.35">
      <c r="B52" s="9"/>
      <c r="C52" s="9"/>
      <c r="D52" s="9"/>
      <c r="E52" s="9"/>
      <c r="F52" s="9"/>
      <c r="G52" s="9"/>
      <c r="H52" s="9"/>
      <c r="I52" s="9"/>
      <c r="J52" s="9"/>
      <c r="K52" s="9"/>
      <c r="L52" s="9"/>
      <c r="M52" s="9"/>
      <c r="N52" s="9"/>
    </row>
    <row r="53" spans="2:14" x14ac:dyDescent="0.35">
      <c r="B53" s="9"/>
      <c r="C53" s="9"/>
      <c r="D53" s="9"/>
      <c r="E53" s="9"/>
      <c r="F53" s="9"/>
      <c r="G53" s="9"/>
      <c r="H53" s="9"/>
      <c r="I53" s="9"/>
      <c r="J53" s="9"/>
      <c r="K53" s="9"/>
      <c r="L53" s="9"/>
      <c r="M53" s="9"/>
      <c r="N53" s="9"/>
    </row>
    <row r="54" spans="2:14" x14ac:dyDescent="0.35">
      <c r="B54" s="9"/>
      <c r="C54" s="9"/>
      <c r="D54" s="9"/>
      <c r="E54" s="9"/>
      <c r="F54" s="9"/>
      <c r="G54" s="9"/>
      <c r="H54" s="9"/>
      <c r="I54" s="9"/>
      <c r="J54" s="9"/>
      <c r="K54" s="9"/>
      <c r="L54" s="9"/>
      <c r="M54" s="9"/>
      <c r="N54" s="9"/>
    </row>
    <row r="55" spans="2:14" x14ac:dyDescent="0.35">
      <c r="B55" s="9"/>
      <c r="C55" s="9"/>
      <c r="D55" s="9"/>
      <c r="E55" s="9"/>
      <c r="F55" s="9"/>
      <c r="G55" s="9"/>
      <c r="H55" s="9"/>
      <c r="I55" s="9"/>
      <c r="J55" s="9"/>
      <c r="K55" s="9"/>
      <c r="L55" s="9"/>
      <c r="M55" s="9"/>
      <c r="N55" s="9"/>
    </row>
    <row r="56" spans="2:14" x14ac:dyDescent="0.35">
      <c r="B56" s="9"/>
      <c r="C56" s="9"/>
      <c r="D56" s="9"/>
      <c r="E56" s="9"/>
      <c r="F56" s="9"/>
      <c r="G56" s="9"/>
      <c r="H56" s="9"/>
      <c r="I56" s="9"/>
      <c r="J56" s="9"/>
      <c r="K56" s="9"/>
      <c r="L56" s="9"/>
      <c r="M56" s="9"/>
      <c r="N56" s="9"/>
    </row>
    <row r="57" spans="2:14" x14ac:dyDescent="0.35">
      <c r="B57" s="9"/>
      <c r="C57" s="9"/>
      <c r="D57" s="9"/>
      <c r="E57" s="9"/>
      <c r="F57" s="9"/>
      <c r="G57" s="9"/>
      <c r="H57" s="9"/>
      <c r="I57" s="9"/>
      <c r="J57" s="9"/>
      <c r="K57" s="9"/>
      <c r="L57" s="9"/>
      <c r="M57" s="9"/>
      <c r="N57" s="9"/>
    </row>
    <row r="58" spans="2:14" x14ac:dyDescent="0.35">
      <c r="B58" s="9"/>
      <c r="C58" s="9"/>
      <c r="D58" s="9"/>
      <c r="E58" s="9"/>
      <c r="F58" s="9"/>
      <c r="G58" s="9"/>
      <c r="H58" s="9"/>
      <c r="I58" s="9"/>
      <c r="J58" s="9"/>
      <c r="K58" s="9"/>
      <c r="L58" s="9"/>
      <c r="M58" s="9"/>
      <c r="N58" s="9"/>
    </row>
    <row r="59" spans="2:14" x14ac:dyDescent="0.35">
      <c r="B59" s="9"/>
      <c r="C59" s="9"/>
      <c r="D59" s="9"/>
      <c r="E59" s="9"/>
      <c r="F59" s="9"/>
      <c r="G59" s="9"/>
      <c r="H59" s="9"/>
      <c r="I59" s="9"/>
      <c r="J59" s="9"/>
      <c r="K59" s="9"/>
      <c r="L59" s="9"/>
      <c r="M59" s="9"/>
      <c r="N59" s="9"/>
    </row>
    <row r="60" spans="2:14" x14ac:dyDescent="0.35">
      <c r="B60" s="9"/>
      <c r="C60" s="9"/>
      <c r="D60" s="9"/>
      <c r="E60" s="9"/>
      <c r="F60" s="9"/>
      <c r="G60" s="9"/>
      <c r="H60" s="9"/>
      <c r="I60" s="9"/>
      <c r="J60" s="9"/>
      <c r="K60" s="9"/>
      <c r="L60" s="9"/>
      <c r="M60" s="9"/>
      <c r="N60" s="9"/>
    </row>
    <row r="61" spans="2:14" x14ac:dyDescent="0.35">
      <c r="B61" s="9"/>
      <c r="C61" s="9"/>
      <c r="D61" s="9"/>
      <c r="E61" s="9"/>
      <c r="F61" s="9"/>
      <c r="G61" s="9"/>
      <c r="H61" s="9"/>
      <c r="I61" s="9"/>
      <c r="J61" s="9"/>
      <c r="K61" s="9"/>
      <c r="L61" s="9"/>
      <c r="M61" s="9"/>
      <c r="N61" s="9"/>
    </row>
    <row r="62" spans="2:14" x14ac:dyDescent="0.35">
      <c r="B62" s="9"/>
      <c r="C62" s="9"/>
      <c r="D62" s="9"/>
      <c r="E62" s="9"/>
      <c r="F62" s="9"/>
      <c r="G62" s="9"/>
      <c r="H62" s="9"/>
      <c r="I62" s="9"/>
      <c r="J62" s="9"/>
      <c r="K62" s="9"/>
      <c r="L62" s="9"/>
      <c r="M62" s="9"/>
      <c r="N62" s="9"/>
    </row>
    <row r="63" spans="2:14" x14ac:dyDescent="0.35">
      <c r="B63" s="9"/>
      <c r="C63" s="9"/>
      <c r="D63" s="9"/>
      <c r="E63" s="9"/>
      <c r="F63" s="9"/>
      <c r="G63" s="9"/>
      <c r="H63" s="9"/>
      <c r="I63" s="9"/>
      <c r="J63" s="9"/>
      <c r="K63" s="9"/>
      <c r="L63" s="9"/>
      <c r="M63" s="9"/>
      <c r="N63" s="9"/>
    </row>
    <row r="64" spans="2:14" x14ac:dyDescent="0.35">
      <c r="B64" s="9"/>
      <c r="C64" s="9"/>
      <c r="D64" s="9"/>
      <c r="E64" s="9"/>
      <c r="F64" s="9"/>
      <c r="G64" s="9"/>
      <c r="H64" s="9"/>
      <c r="I64" s="9"/>
      <c r="J64" s="9"/>
      <c r="K64" s="9"/>
      <c r="L64" s="9"/>
      <c r="M64" s="9"/>
      <c r="N64" s="9"/>
    </row>
    <row r="65" spans="2:14" x14ac:dyDescent="0.35">
      <c r="B65" s="9"/>
      <c r="C65" s="9"/>
      <c r="D65" s="9"/>
      <c r="E65" s="9"/>
      <c r="F65" s="9"/>
      <c r="G65" s="9"/>
      <c r="H65" s="9"/>
      <c r="I65" s="9"/>
      <c r="J65" s="9"/>
      <c r="K65" s="9"/>
      <c r="L65" s="9"/>
      <c r="M65" s="9"/>
      <c r="N65" s="9"/>
    </row>
    <row r="66" spans="2:14" x14ac:dyDescent="0.35">
      <c r="B66" s="9"/>
      <c r="C66" s="9"/>
      <c r="D66" s="9"/>
      <c r="E66" s="9"/>
      <c r="F66" s="9"/>
      <c r="G66" s="9"/>
      <c r="H66" s="9"/>
      <c r="I66" s="9"/>
      <c r="J66" s="9"/>
      <c r="K66" s="9"/>
      <c r="L66" s="9"/>
      <c r="M66" s="9"/>
      <c r="N66" s="9"/>
    </row>
    <row r="67" spans="2:14" x14ac:dyDescent="0.35">
      <c r="B67" s="9"/>
      <c r="C67" s="9"/>
      <c r="D67" s="9"/>
      <c r="E67" s="9"/>
      <c r="F67" s="9"/>
      <c r="G67" s="9"/>
      <c r="H67" s="9"/>
      <c r="I67" s="9"/>
      <c r="J67" s="9"/>
      <c r="K67" s="9"/>
      <c r="L67" s="9"/>
      <c r="M67" s="9"/>
      <c r="N67" s="9"/>
    </row>
    <row r="68" spans="2:14" x14ac:dyDescent="0.35">
      <c r="B68" s="9"/>
      <c r="C68" s="9"/>
      <c r="D68" s="9"/>
      <c r="E68" s="9"/>
      <c r="F68" s="9"/>
      <c r="G68" s="9"/>
      <c r="H68" s="9"/>
      <c r="I68" s="9"/>
      <c r="J68" s="9"/>
      <c r="K68" s="9"/>
      <c r="L68" s="9"/>
      <c r="M68" s="9"/>
      <c r="N68" s="9"/>
    </row>
    <row r="69" spans="2:14" x14ac:dyDescent="0.35">
      <c r="B69" s="9"/>
      <c r="C69" s="9"/>
      <c r="D69" s="9"/>
      <c r="E69" s="9"/>
      <c r="F69" s="9"/>
      <c r="G69" s="9"/>
      <c r="H69" s="9"/>
      <c r="I69" s="9"/>
      <c r="J69" s="9"/>
      <c r="K69" s="9"/>
      <c r="L69" s="9"/>
      <c r="M69" s="9"/>
      <c r="N69" s="9"/>
    </row>
    <row r="70" spans="2:14" x14ac:dyDescent="0.35">
      <c r="B70" s="9"/>
      <c r="C70" s="9"/>
      <c r="D70" s="9"/>
      <c r="E70" s="9"/>
      <c r="F70" s="9"/>
      <c r="G70" s="9"/>
      <c r="H70" s="9"/>
      <c r="I70" s="9"/>
      <c r="J70" s="9"/>
      <c r="K70" s="9"/>
      <c r="L70" s="9"/>
      <c r="M70" s="9"/>
      <c r="N70" s="9"/>
    </row>
    <row r="71" spans="2:14" x14ac:dyDescent="0.35">
      <c r="B71" s="9"/>
      <c r="C71" s="9"/>
      <c r="D71" s="9"/>
      <c r="E71" s="9"/>
      <c r="F71" s="9"/>
      <c r="G71" s="9"/>
      <c r="H71" s="9"/>
      <c r="I71" s="9"/>
      <c r="J71" s="9"/>
      <c r="K71" s="9"/>
      <c r="L71" s="9"/>
      <c r="M71" s="9"/>
      <c r="N71" s="9"/>
    </row>
    <row r="72" spans="2:14" x14ac:dyDescent="0.35">
      <c r="B72" s="9"/>
      <c r="C72" s="9"/>
      <c r="D72" s="9"/>
      <c r="E72" s="9"/>
      <c r="F72" s="9"/>
      <c r="G72" s="9"/>
      <c r="H72" s="9"/>
      <c r="I72" s="9"/>
      <c r="J72" s="9"/>
      <c r="K72" s="9"/>
      <c r="L72" s="9"/>
      <c r="M72" s="9"/>
      <c r="N72" s="9"/>
    </row>
    <row r="73" spans="2:14" x14ac:dyDescent="0.35">
      <c r="B73" s="9"/>
      <c r="C73" s="9"/>
      <c r="D73" s="9"/>
      <c r="E73" s="9"/>
      <c r="F73" s="9"/>
      <c r="G73" s="9"/>
      <c r="H73" s="9"/>
      <c r="I73" s="9"/>
      <c r="J73" s="9"/>
      <c r="K73" s="9"/>
      <c r="L73" s="9"/>
      <c r="M73" s="9"/>
      <c r="N73" s="9"/>
    </row>
    <row r="74" spans="2:14" x14ac:dyDescent="0.35">
      <c r="B74" s="8"/>
      <c r="C74" s="8"/>
      <c r="D74" s="8"/>
      <c r="E74" s="8"/>
      <c r="F74" s="8"/>
      <c r="G74" s="8"/>
      <c r="H74" s="8"/>
      <c r="I74" s="8"/>
      <c r="J74" s="8"/>
      <c r="K74" s="8"/>
      <c r="L74" s="8"/>
      <c r="M74" s="8"/>
    </row>
    <row r="75" spans="2:14" x14ac:dyDescent="0.35">
      <c r="B75" s="8"/>
      <c r="C75" s="8"/>
      <c r="D75" s="8"/>
      <c r="E75" s="8"/>
      <c r="F75" s="8"/>
      <c r="G75" s="8"/>
      <c r="H75" s="8"/>
      <c r="I75" s="8"/>
      <c r="J75" s="8"/>
      <c r="K75" s="8"/>
      <c r="L75" s="8"/>
      <c r="M75" s="8"/>
    </row>
    <row r="76" spans="2:14" x14ac:dyDescent="0.35">
      <c r="B76" s="8"/>
      <c r="C76" s="8"/>
      <c r="D76" s="8"/>
      <c r="E76" s="8"/>
      <c r="F76" s="8"/>
      <c r="G76" s="8"/>
      <c r="H76" s="8"/>
      <c r="I76" s="8"/>
      <c r="J76" s="8"/>
      <c r="K76" s="8"/>
      <c r="L76" s="8"/>
      <c r="M76" s="8"/>
    </row>
    <row r="77" spans="2:14" x14ac:dyDescent="0.35">
      <c r="B77" s="8"/>
      <c r="C77" s="8"/>
      <c r="D77" s="8"/>
      <c r="E77" s="8"/>
      <c r="F77" s="8"/>
      <c r="G77" s="8"/>
      <c r="H77" s="8"/>
      <c r="I77" s="8"/>
      <c r="J77" s="8"/>
      <c r="K77" s="8"/>
      <c r="L77" s="8"/>
      <c r="M77" s="8"/>
    </row>
    <row r="78" spans="2:14" x14ac:dyDescent="0.35">
      <c r="B78" s="8"/>
      <c r="C78" s="8"/>
      <c r="D78" s="8"/>
      <c r="E78" s="8"/>
      <c r="F78" s="8"/>
      <c r="G78" s="8"/>
      <c r="H78" s="8"/>
      <c r="I78" s="8"/>
      <c r="J78" s="8"/>
      <c r="K78" s="8"/>
      <c r="L78" s="8"/>
      <c r="M78" s="8"/>
    </row>
    <row r="79" spans="2:14" x14ac:dyDescent="0.35">
      <c r="B79" s="8"/>
      <c r="C79" s="8"/>
      <c r="D79" s="8"/>
      <c r="E79" s="8"/>
      <c r="F79" s="8"/>
      <c r="G79" s="8"/>
      <c r="H79" s="8"/>
      <c r="I79" s="8"/>
      <c r="J79" s="8"/>
      <c r="K79" s="8"/>
      <c r="L79" s="8"/>
      <c r="M79" s="8"/>
    </row>
    <row r="80" spans="2:14" x14ac:dyDescent="0.35">
      <c r="B80" s="8"/>
      <c r="C80" s="8"/>
      <c r="D80" s="8"/>
      <c r="E80" s="8"/>
      <c r="F80" s="8"/>
      <c r="G80" s="8"/>
      <c r="H80" s="8"/>
      <c r="I80" s="8"/>
      <c r="J80" s="8"/>
      <c r="K80" s="8"/>
      <c r="L80" s="8"/>
      <c r="M80" s="8"/>
    </row>
    <row r="81" spans="2:13" x14ac:dyDescent="0.35">
      <c r="B81" s="8"/>
      <c r="C81" s="8"/>
      <c r="D81" s="8"/>
      <c r="E81" s="8"/>
      <c r="F81" s="8"/>
      <c r="G81" s="8"/>
      <c r="H81" s="8"/>
      <c r="I81" s="8"/>
      <c r="J81" s="8"/>
      <c r="K81" s="8"/>
      <c r="L81" s="8"/>
      <c r="M81" s="8"/>
    </row>
    <row r="82" spans="2:13" x14ac:dyDescent="0.35">
      <c r="B82" s="8"/>
      <c r="C82" s="8"/>
      <c r="D82" s="8"/>
      <c r="E82" s="8"/>
      <c r="F82" s="8"/>
      <c r="G82" s="8"/>
      <c r="H82" s="8"/>
      <c r="I82" s="8"/>
      <c r="J82" s="8"/>
      <c r="K82" s="8"/>
      <c r="L82" s="8"/>
      <c r="M82" s="8"/>
    </row>
    <row r="83" spans="2:13" x14ac:dyDescent="0.35">
      <c r="B83" s="8"/>
      <c r="C83" s="8"/>
      <c r="D83" s="8"/>
      <c r="E83" s="8"/>
      <c r="F83" s="8"/>
      <c r="G83" s="8"/>
      <c r="H83" s="8"/>
      <c r="I83" s="8"/>
      <c r="J83" s="8"/>
      <c r="K83" s="8"/>
      <c r="L83" s="8"/>
      <c r="M83" s="8"/>
    </row>
    <row r="84" spans="2:13" x14ac:dyDescent="0.35">
      <c r="B84" s="10"/>
      <c r="C84" s="10"/>
      <c r="D84" s="10"/>
      <c r="E84" s="10"/>
      <c r="F84" s="10"/>
      <c r="G84" s="10"/>
      <c r="H84" s="10"/>
      <c r="I84" s="10"/>
      <c r="J84" s="10"/>
      <c r="K84" s="10"/>
      <c r="L84" s="10"/>
      <c r="M84" s="10"/>
    </row>
    <row r="85" spans="2:13" x14ac:dyDescent="0.35">
      <c r="B85" s="10"/>
      <c r="C85" s="10"/>
      <c r="D85" s="10"/>
      <c r="E85" s="10"/>
      <c r="F85" s="10"/>
      <c r="G85" s="10"/>
      <c r="H85" s="10"/>
      <c r="I85" s="10"/>
      <c r="J85" s="10"/>
      <c r="K85" s="10"/>
      <c r="L85" s="10"/>
      <c r="M85" s="10"/>
    </row>
  </sheetData>
  <autoFilter ref="C2:G2" xr:uid="{DCB18ADE-BDBA-418F-B1D7-99B691840107}">
    <sortState xmlns:xlrd2="http://schemas.microsoft.com/office/spreadsheetml/2017/richdata2" ref="C3:G13">
      <sortCondition ref="G2"/>
    </sortState>
  </autoFilter>
  <mergeCells count="2">
    <mergeCell ref="M7:N7"/>
    <mergeCell ref="P7:Q7"/>
  </mergeCells>
  <pageMargins left="0.7" right="0.7" top="0.75" bottom="0.75" header="0.3" footer="0.3"/>
  <pageSetup paperSize="9" orientation="portrait"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D4690-A5A2-4548-93BC-B44F92B0F6C3}">
  <dimension ref="B2:AE74"/>
  <sheetViews>
    <sheetView showGridLines="0" topLeftCell="R49" zoomScale="99" zoomScaleNormal="130" workbookViewId="0">
      <selection activeCell="V49" sqref="V49"/>
    </sheetView>
  </sheetViews>
  <sheetFormatPr defaultRowHeight="14.5" x14ac:dyDescent="0.35"/>
  <cols>
    <col min="2" max="2" width="9.81640625" bestFit="1" customWidth="1"/>
    <col min="3" max="13" width="8.81640625" bestFit="1" customWidth="1"/>
    <col min="18" max="18" width="13.453125" bestFit="1" customWidth="1"/>
    <col min="19" max="19" width="15.6328125" bestFit="1" customWidth="1"/>
    <col min="20" max="20" width="11.90625" bestFit="1" customWidth="1"/>
    <col min="21" max="21" width="13.08984375" bestFit="1" customWidth="1"/>
    <col min="22" max="22" width="5.6328125" bestFit="1" customWidth="1"/>
    <col min="23" max="23" width="7.6328125" bestFit="1" customWidth="1"/>
    <col min="24" max="24" width="12.81640625" bestFit="1" customWidth="1"/>
    <col min="25" max="25" width="10.54296875" bestFit="1" customWidth="1"/>
    <col min="26" max="26" width="12" bestFit="1" customWidth="1"/>
    <col min="27" max="27" width="12.08984375" bestFit="1" customWidth="1"/>
  </cols>
  <sheetData>
    <row r="2" spans="2:31" x14ac:dyDescent="0.35">
      <c r="B2" s="5" t="s">
        <v>6</v>
      </c>
      <c r="C2" s="4" t="s">
        <v>7</v>
      </c>
      <c r="D2" s="4" t="s">
        <v>8</v>
      </c>
      <c r="E2" s="4" t="s">
        <v>9</v>
      </c>
      <c r="F2" s="4" t="s">
        <v>10</v>
      </c>
      <c r="G2" s="4" t="s">
        <v>11</v>
      </c>
      <c r="H2" s="4" t="s">
        <v>12</v>
      </c>
      <c r="I2" s="4" t="s">
        <v>13</v>
      </c>
      <c r="J2" s="4" t="s">
        <v>14</v>
      </c>
      <c r="K2" s="4" t="s">
        <v>15</v>
      </c>
      <c r="L2" s="4" t="s">
        <v>16</v>
      </c>
      <c r="M2" s="4" t="s">
        <v>17</v>
      </c>
      <c r="N2" s="4" t="s">
        <v>52</v>
      </c>
      <c r="O2" t="s">
        <v>19</v>
      </c>
      <c r="P2" t="s">
        <v>19</v>
      </c>
      <c r="Q2" s="3" t="s">
        <v>55</v>
      </c>
      <c r="S2">
        <v>2017</v>
      </c>
      <c r="T2" s="10" cm="1">
        <f t="array" ref="T2">PRODUCT(1 + C3:C14) - 1</f>
        <v>0.3292952236734179</v>
      </c>
      <c r="U2" s="10" cm="1">
        <f t="array" ref="U2">PRODUCT(1 + D3:D14) - 1</f>
        <v>0.55956365770066796</v>
      </c>
      <c r="V2" s="10" cm="1">
        <f t="array" ref="V2">PRODUCT(1 + E3:E14) - 1</f>
        <v>8.392167310510068E-3</v>
      </c>
      <c r="W2" s="10" cm="1">
        <f t="array" ref="W2">PRODUCT(1 + F3:F14) - 1</f>
        <v>0.26806748552083026</v>
      </c>
      <c r="X2" s="10" cm="1">
        <f t="array" ref="X2">PRODUCT(1 + G3:G14) - 1</f>
        <v>0.32377991004335538</v>
      </c>
      <c r="Y2" s="10" cm="1">
        <f t="array" ref="Y2">PRODUCT(1 + H3:H14) - 1</f>
        <v>0.46595641646489083</v>
      </c>
      <c r="Z2" s="10" cm="1">
        <f t="array" ref="Z2">PRODUCT(1 + I3:I14) - 1</f>
        <v>0.30746693453875795</v>
      </c>
      <c r="AA2" s="10" cm="1">
        <f t="array" ref="AA2">PRODUCT(1 + J3:J14) - 1</f>
        <v>-0.19726027397260271</v>
      </c>
      <c r="AB2" s="10" cm="1">
        <f t="array" ref="AB2">PRODUCT(1 + K3:K14) - 1</f>
        <v>0.81281618887015217</v>
      </c>
      <c r="AC2" s="10" cm="1">
        <f t="array" ref="AC2">PRODUCT(1 + L3:L14) - 1</f>
        <v>9.2768791627022118E-2</v>
      </c>
      <c r="AD2" s="10" cm="1">
        <f t="array" ref="AD2">PRODUCT(1 + M3:M14) - 1</f>
        <v>0.37753061734566362</v>
      </c>
      <c r="AE2" s="10" cm="1">
        <f t="array" ref="AE2">PRODUCT(1 + O3:O14) - 1</f>
        <v>0.19419964892376851</v>
      </c>
    </row>
    <row r="3" spans="2:31" x14ac:dyDescent="0.35">
      <c r="B3" vm="18033">
        <v>42736</v>
      </c>
      <c r="C3" s="9">
        <v>3.5005363114392063E-2</v>
      </c>
      <c r="D3" s="9">
        <v>9.8163681704828809E-2</v>
      </c>
      <c r="E3" s="9">
        <v>1.5851871586519461E-2</v>
      </c>
      <c r="F3" s="9">
        <v>7.7138300551187644E-2</v>
      </c>
      <c r="G3" s="9">
        <v>2.131985095577793E-2</v>
      </c>
      <c r="H3" s="9">
        <v>2.9830508474576245E-2</v>
      </c>
      <c r="I3" s="9">
        <v>3.5660472124560583E-2</v>
      </c>
      <c r="J3" s="9">
        <v>-2.8588445503276994E-3</v>
      </c>
      <c r="K3" s="9">
        <v>2.2859284242083611E-2</v>
      </c>
      <c r="L3" s="9">
        <v>4.186489058039955E-2</v>
      </c>
      <c r="M3" s="9">
        <v>1.2871782054486358E-2</v>
      </c>
      <c r="N3" s="9">
        <f>SUMPRODUCT($S$17:$AC$17,C3:M3)</f>
        <v>3.5850669395080283E-2</v>
      </c>
      <c r="O3" s="9">
        <v>1.7884341374735824E-2</v>
      </c>
      <c r="P3" s="9">
        <v>1.7884341374735824E-2</v>
      </c>
      <c r="Q3" s="9">
        <f>N3-P3</f>
        <v>1.7966328020344459E-2</v>
      </c>
      <c r="S3" t="s">
        <v>33</v>
      </c>
      <c r="T3" s="10">
        <f t="shared" ref="T3:AD3" si="0">_xlfn.STDEV.S(C3:C14)</f>
        <v>3.7867426951711407E-2</v>
      </c>
      <c r="U3" s="10">
        <f t="shared" si="0"/>
        <v>5.2491035678470965E-2</v>
      </c>
      <c r="V3" s="10">
        <f t="shared" si="0"/>
        <v>4.2996895760044215E-2</v>
      </c>
      <c r="W3" s="10">
        <f t="shared" si="0"/>
        <v>4.2161763645720184E-2</v>
      </c>
      <c r="X3" s="10">
        <f t="shared" si="0"/>
        <v>2.6336222912728427E-2</v>
      </c>
      <c r="Y3" s="10">
        <f t="shared" si="0"/>
        <v>2.2541381263915489E-2</v>
      </c>
      <c r="Z3" s="10">
        <f t="shared" si="0"/>
        <v>3.1995326516955788E-2</v>
      </c>
      <c r="AA3" s="10">
        <f t="shared" si="0"/>
        <v>5.8773353872382285E-2</v>
      </c>
      <c r="AB3" s="10">
        <f t="shared" si="0"/>
        <v>0.12374269875762768</v>
      </c>
      <c r="AC3" s="10">
        <f t="shared" si="0"/>
        <v>3.1315449320519211E-2</v>
      </c>
      <c r="AD3" s="10">
        <f t="shared" si="0"/>
        <v>3.7968813657819282E-2</v>
      </c>
      <c r="AE3" s="10">
        <f>_xlfn.STDEV.S(O3:O14)</f>
        <v>1.1217473262077332E-2</v>
      </c>
    </row>
    <row r="4" spans="2:31" x14ac:dyDescent="0.35">
      <c r="B4" vm="269">
        <v>42767</v>
      </c>
      <c r="C4" s="9">
        <v>3.016374254745835E-2</v>
      </c>
      <c r="D4" s="9">
        <v>2.6181570894253658E-2</v>
      </c>
      <c r="E4" s="9">
        <v>-3.5798583792289618E-2</v>
      </c>
      <c r="F4" s="9">
        <v>-2.314405943165887E-2</v>
      </c>
      <c r="G4" s="9">
        <v>5.2232027392882907E-2</v>
      </c>
      <c r="H4" s="9">
        <v>3.8841342988808369E-2</v>
      </c>
      <c r="I4" s="9">
        <v>5.8842547688328528E-2</v>
      </c>
      <c r="J4" s="9">
        <v>-4.0019113606498569E-2</v>
      </c>
      <c r="K4" s="9">
        <v>-7.0525737314526382E-2</v>
      </c>
      <c r="L4" s="9">
        <v>3.9611872146118721E-2</v>
      </c>
      <c r="M4" s="9">
        <v>2.0234423195558238E-2</v>
      </c>
      <c r="N4" s="9">
        <f t="shared" ref="N4:N67" si="1">SUMPRODUCT($S$17:$AC$17,C4:M4)</f>
        <v>5.684160224047002E-3</v>
      </c>
      <c r="O4" s="9">
        <v>3.7198260541408734E-2</v>
      </c>
      <c r="P4" s="9">
        <v>3.7198260541408734E-2</v>
      </c>
      <c r="Q4" s="9">
        <f t="shared" ref="Q4:Q67" si="2">N4-P4</f>
        <v>-3.151410031736173E-2</v>
      </c>
      <c r="S4">
        <v>2018</v>
      </c>
      <c r="T4" s="10" cm="1">
        <f t="array" ref="T4">PRODUCT(1 + C15:C26) - 1</f>
        <v>-8.0121511296752379E-3</v>
      </c>
      <c r="U4" s="10" cm="1">
        <f t="array" ref="U4">PRODUCT(1 + D15:D26) - 1</f>
        <v>0.2843168272807346</v>
      </c>
      <c r="V4" s="10" cm="1">
        <f t="array" ref="V4">PRODUCT(1 + E15:E26) - 1</f>
        <v>0.21479524438573239</v>
      </c>
      <c r="W4" s="10" cm="1">
        <f t="array" ref="W4">PRODUCT(1 + F15:F26) - 1</f>
        <v>-0.22209964255769843</v>
      </c>
      <c r="X4" s="10" cm="1">
        <f t="array" ref="X4">PRODUCT(1 + G15:G26) - 1</f>
        <v>-0.10020717300784976</v>
      </c>
      <c r="Y4" s="10" cm="1">
        <f t="array" ref="Y4">PRODUCT(1 + H15:H26) - 1</f>
        <v>0.24636627906976738</v>
      </c>
      <c r="Z4" s="10" cm="1">
        <f t="array" ref="Z4">PRODUCT(1 + I15:I26) - 1</f>
        <v>0.11287534413214639</v>
      </c>
      <c r="AA4" s="10" cm="1">
        <f t="array" ref="AA4">PRODUCT(1 + J15:J26) - 1</f>
        <v>-0.46460899243211151</v>
      </c>
      <c r="AB4" s="10" cm="1">
        <f t="array" ref="AB4">PRODUCT(1 + K15:K26) - 1</f>
        <v>-0.31007751937984529</v>
      </c>
      <c r="AC4" s="10" cm="1">
        <f t="array" ref="AC4">PRODUCT(1 + L15:L26) - 1</f>
        <v>4.3535045711817766E-4</v>
      </c>
      <c r="AD4" s="10" cm="1">
        <f t="array" ref="AD4">PRODUCT(1 + M15:M26) - 1</f>
        <v>0.13000090719404866</v>
      </c>
      <c r="AE4" s="10" cm="1">
        <f t="array" ref="AE4">PRODUCT(1 + O15:O26) - 1</f>
        <v>-6.2372597349650616E-2</v>
      </c>
    </row>
    <row r="5" spans="2:31" x14ac:dyDescent="0.35">
      <c r="B5" vm="509">
        <v>42795</v>
      </c>
      <c r="C5" s="9">
        <v>3.3967310901494852E-3</v>
      </c>
      <c r="D5" s="9">
        <v>4.9110101296979902E-2</v>
      </c>
      <c r="E5" s="9">
        <v>9.9279205766353851E-3</v>
      </c>
      <c r="F5" s="9">
        <v>6.4615630068870278E-2</v>
      </c>
      <c r="G5" s="9">
        <v>2.9714266539151435E-3</v>
      </c>
      <c r="H5" s="9">
        <v>1.8196632265073287E-2</v>
      </c>
      <c r="I5" s="9">
        <v>-2.0076335877862506E-2</v>
      </c>
      <c r="J5" s="9">
        <v>-2.8123444499751238E-2</v>
      </c>
      <c r="K5" s="9">
        <v>7.3433188805676064E-2</v>
      </c>
      <c r="L5" s="9">
        <v>-1.3396288569232473E-2</v>
      </c>
      <c r="M5" s="9">
        <v>-8.283952110291426E-3</v>
      </c>
      <c r="N5" s="9">
        <f t="shared" si="1"/>
        <v>2.4049633298700634E-2</v>
      </c>
      <c r="O5" s="9">
        <v>-3.8923017041514463E-4</v>
      </c>
      <c r="P5" s="9">
        <v>-3.8923017041514463E-4</v>
      </c>
      <c r="Q5" s="9">
        <f t="shared" si="2"/>
        <v>2.4438863469115779E-2</v>
      </c>
      <c r="S5" t="s">
        <v>33</v>
      </c>
      <c r="T5" s="10">
        <f t="shared" ref="T5:AD5" si="3">_xlfn.STDEV.S(C15:C26)</f>
        <v>6.8332494902779678E-2</v>
      </c>
      <c r="U5" s="10">
        <f t="shared" si="3"/>
        <v>0.11254680880121787</v>
      </c>
      <c r="V5" s="10">
        <f t="shared" si="3"/>
        <v>5.7936234291255169E-2</v>
      </c>
      <c r="W5" s="10">
        <f t="shared" si="3"/>
        <v>6.9761107405096112E-2</v>
      </c>
      <c r="X5" s="10">
        <f t="shared" si="3"/>
        <v>5.9785868696467209E-2</v>
      </c>
      <c r="Y5" s="10">
        <f t="shared" si="3"/>
        <v>6.1630324741299709E-2</v>
      </c>
      <c r="Z5" s="10">
        <f t="shared" si="3"/>
        <v>3.350217501779524E-2</v>
      </c>
      <c r="AA5" s="10">
        <f t="shared" si="3"/>
        <v>8.6697436375307135E-2</v>
      </c>
      <c r="AB5" s="10">
        <f t="shared" si="3"/>
        <v>0.15340261859651669</v>
      </c>
      <c r="AC5" s="10">
        <f t="shared" si="3"/>
        <v>5.6806921703518962E-2</v>
      </c>
      <c r="AD5" s="10">
        <f t="shared" si="3"/>
        <v>6.3488669776522511E-2</v>
      </c>
      <c r="AE5" s="10">
        <f>_xlfn.STDEV.S(O15:O26)</f>
        <v>4.4156806051488896E-2</v>
      </c>
    </row>
    <row r="6" spans="2:31" x14ac:dyDescent="0.35">
      <c r="B6" vm="18039">
        <v>42826</v>
      </c>
      <c r="C6" s="9">
        <v>9.0493040811512104E-2</v>
      </c>
      <c r="D6" s="9">
        <v>4.3370857490919734E-2</v>
      </c>
      <c r="E6" s="9">
        <v>3.5416105575006629E-2</v>
      </c>
      <c r="F6" s="9">
        <v>4.3284961410695155E-2</v>
      </c>
      <c r="G6" s="9">
        <v>5.0212368743737246E-2</v>
      </c>
      <c r="H6" s="9">
        <v>3.4231350582377473E-2</v>
      </c>
      <c r="I6" s="9">
        <v>4.0430007010983759E-2</v>
      </c>
      <c r="J6" s="9">
        <v>-7.0550576184378877E-2</v>
      </c>
      <c r="K6" s="9">
        <v>-4.2521940293026916E-2</v>
      </c>
      <c r="L6" s="9">
        <v>-2.8046744574290461E-2</v>
      </c>
      <c r="M6" s="9">
        <v>6.6276446558136692E-2</v>
      </c>
      <c r="N6" s="9">
        <f t="shared" si="1"/>
        <v>2.9214828137034965E-2</v>
      </c>
      <c r="O6" s="9">
        <v>9.0912169025529899E-3</v>
      </c>
      <c r="P6" s="9">
        <v>9.0912169025529899E-3</v>
      </c>
      <c r="Q6" s="9">
        <f t="shared" si="2"/>
        <v>2.0123611234481975E-2</v>
      </c>
      <c r="S6">
        <v>2019</v>
      </c>
      <c r="T6" s="10" cm="1">
        <f t="array" ref="T6">PRODUCT(1 + C27:C38) - 1</f>
        <v>0.28176198131985952</v>
      </c>
      <c r="U6" s="10" cm="1">
        <f t="array" ref="U6">PRODUCT(1 + D27:D38) - 1</f>
        <v>0.230277568792985</v>
      </c>
      <c r="V6" s="10" cm="1">
        <f t="array" ref="V6">PRODUCT(1 + E27:E38) - 1</f>
        <v>0.40648107872988315</v>
      </c>
      <c r="W6" s="10" cm="1">
        <f t="array" ref="W6">PRODUCT(1 + F27:F38) - 1</f>
        <v>0.6556047197640118</v>
      </c>
      <c r="X6" s="10" cm="1">
        <f t="array" ref="X6">PRODUCT(1 + G27:G38) - 1</f>
        <v>0.3396911898274293</v>
      </c>
      <c r="Y6" s="10" cm="1">
        <f t="array" ref="Y6">PRODUCT(1 + H27:H38) - 1</f>
        <v>0.58277232971110449</v>
      </c>
      <c r="Z6" s="10" cm="1">
        <f t="array" ref="Z6">PRODUCT(1 + I27:I38) - 1</f>
        <v>0.39316534345875054</v>
      </c>
      <c r="AA6" s="10" cm="1">
        <f t="array" ref="AA6">PRODUCT(1 + J27:J38) - 1</f>
        <v>0.11419068736141913</v>
      </c>
      <c r="AB6" s="10" cm="1">
        <f t="array" ref="AB6">PRODUCT(1 + K27:K38) - 1</f>
        <v>0.76254681647940115</v>
      </c>
      <c r="AC6" s="10" cm="1">
        <f t="array" ref="AC6">PRODUCT(1 + L27:L38) - 1</f>
        <v>0.35879025239338524</v>
      </c>
      <c r="AD6" s="10" cm="1">
        <f t="array" ref="AD6">PRODUCT(1 + M27:M38) - 1</f>
        <v>0.18007385998715519</v>
      </c>
      <c r="AE6" s="10" cm="1">
        <f t="array" ref="AE6">PRODUCT(1 + O27:O38) - 1</f>
        <v>0.28878074077028959</v>
      </c>
    </row>
    <row r="7" spans="2:31" x14ac:dyDescent="0.35">
      <c r="B7" vm="1030">
        <v>42856</v>
      </c>
      <c r="C7" s="9">
        <v>6.7678362826115279E-2</v>
      </c>
      <c r="D7" s="9">
        <v>7.5276489475561981E-2</v>
      </c>
      <c r="E7" s="9">
        <v>6.3857458707244019E-2</v>
      </c>
      <c r="F7" s="9">
        <v>5.5805602106775209E-2</v>
      </c>
      <c r="G7" s="9">
        <v>1.4107267158014469E-2</v>
      </c>
      <c r="H7" s="9">
        <v>5.6396148555708514E-2</v>
      </c>
      <c r="I7" s="9">
        <v>5.8999700509134501E-2</v>
      </c>
      <c r="J7" s="9">
        <v>-4.1328006612481039E-2</v>
      </c>
      <c r="K7" s="9">
        <v>0.38400767018216686</v>
      </c>
      <c r="L7" s="9">
        <v>8.7026222374899653E-3</v>
      </c>
      <c r="M7" s="9">
        <v>1.7154620311070623E-3</v>
      </c>
      <c r="N7" s="9">
        <f t="shared" si="1"/>
        <v>0.11963130649760052</v>
      </c>
      <c r="O7" s="9">
        <v>1.1576210049492719E-2</v>
      </c>
      <c r="P7" s="9">
        <v>1.1576210049492719E-2</v>
      </c>
      <c r="Q7" s="9">
        <f t="shared" si="2"/>
        <v>0.1080550964481078</v>
      </c>
      <c r="S7" t="s">
        <v>33</v>
      </c>
      <c r="T7" s="10">
        <f t="shared" ref="T7:AD7" si="4">_xlfn.STDEV.S(C27:C38)</f>
        <v>5.107776983869286E-2</v>
      </c>
      <c r="U7" s="10">
        <f t="shared" si="4"/>
        <v>6.5819977660782347E-2</v>
      </c>
      <c r="V7" s="10">
        <f t="shared" si="4"/>
        <v>7.6250938628520198E-2</v>
      </c>
      <c r="W7" s="10">
        <f t="shared" si="4"/>
        <v>4.4398235676544134E-2</v>
      </c>
      <c r="X7" s="10">
        <f t="shared" si="4"/>
        <v>4.8540156287968955E-2</v>
      </c>
      <c r="Y7" s="10">
        <f t="shared" si="4"/>
        <v>4.0452978788399083E-2</v>
      </c>
      <c r="Z7" s="10">
        <f t="shared" si="4"/>
        <v>2.2836157448286046E-2</v>
      </c>
      <c r="AA7" s="10">
        <f t="shared" si="4"/>
        <v>0.12378061772435878</v>
      </c>
      <c r="AB7" s="10">
        <f t="shared" si="4"/>
        <v>0.11676756842450349</v>
      </c>
      <c r="AC7" s="10">
        <f t="shared" si="4"/>
        <v>3.2981672127693998E-2</v>
      </c>
      <c r="AD7" s="10">
        <f t="shared" si="4"/>
        <v>7.9474995603672993E-2</v>
      </c>
      <c r="AE7" s="10">
        <f>_xlfn.STDEV.S(O27:O38)</f>
        <v>3.7412786593156229E-2</v>
      </c>
    </row>
    <row r="8" spans="2:31" x14ac:dyDescent="0.35">
      <c r="B8" vm="1310">
        <v>42887</v>
      </c>
      <c r="C8" s="9">
        <v>-5.8160856659473792E-2</v>
      </c>
      <c r="D8" s="9">
        <v>-2.6763990267639981E-2</v>
      </c>
      <c r="E8" s="9">
        <v>3.2029339853300698E-2</v>
      </c>
      <c r="F8" s="9">
        <v>-2.6870138999115611E-2</v>
      </c>
      <c r="G8" s="9">
        <v>2.255544028266554E-3</v>
      </c>
      <c r="H8" s="9">
        <v>-1.163736979166663E-2</v>
      </c>
      <c r="I8" s="9">
        <v>-9.2618778280543212E-3</v>
      </c>
      <c r="J8" s="9">
        <v>-5.3887052737462304E-2</v>
      </c>
      <c r="K8" s="9">
        <v>1.4409221902016434E-3</v>
      </c>
      <c r="L8" s="9">
        <v>-1.0670904756499011E-2</v>
      </c>
      <c r="M8" s="9">
        <v>5.8454161433953544E-2</v>
      </c>
      <c r="N8" s="9">
        <f t="shared" si="1"/>
        <v>-9.1965059199853628E-3</v>
      </c>
      <c r="O8" s="9">
        <v>4.8138319927024664E-3</v>
      </c>
      <c r="P8" s="9">
        <v>4.8138319927024664E-3</v>
      </c>
      <c r="Q8" s="9">
        <f t="shared" si="2"/>
        <v>-1.4010337912687829E-2</v>
      </c>
      <c r="S8">
        <v>2020</v>
      </c>
      <c r="T8" s="10" cm="1">
        <f t="array" ref="T8">PRODUCT(1 + C39:C50) - 1</f>
        <v>0.30853597533205401</v>
      </c>
      <c r="U8" s="10" cm="1">
        <f t="array" ref="U8">PRODUCT(1 + D39:D50) - 1</f>
        <v>0.76256061130833896</v>
      </c>
      <c r="V8" s="10" cm="1">
        <f t="array" ref="V8">PRODUCT(1 + E39:E50) - 1</f>
        <v>0.44085356424926547</v>
      </c>
      <c r="W8" s="10" cm="1">
        <f t="array" ref="W8">PRODUCT(1 + F39:F50) - 1</f>
        <v>0.22353948946376545</v>
      </c>
      <c r="X8" s="10" cm="1">
        <f t="array" ref="X8">PRODUCT(1 + G39:G50) - 1</f>
        <v>0.20169491525423711</v>
      </c>
      <c r="Y8" s="10" cm="1">
        <f t="array" ref="Y8">PRODUCT(1 + H39:H50) - 1</f>
        <v>0.19541846679393116</v>
      </c>
      <c r="Z8" s="10" cm="1">
        <f t="array" ref="Z8">PRODUCT(1 + I39:I50) - 1</f>
        <v>0.27436405682193632</v>
      </c>
      <c r="AA8" s="10" cm="1">
        <f t="array" ref="AA8">PRODUCT(1 + J39:J50) - 1</f>
        <v>-0.45696517412935311</v>
      </c>
      <c r="AB8" s="10" cm="1">
        <f t="array" ref="AB8">PRODUCT(1 + K39:K50) - 1</f>
        <v>1.2192945176370595</v>
      </c>
      <c r="AC8" s="10" cm="1">
        <f t="array" ref="AC8">PRODUCT(1 + L39:L50) - 1</f>
        <v>0.11401120896717365</v>
      </c>
      <c r="AD8" s="10" cm="1">
        <f t="array" ref="AD8">PRODUCT(1 + M39:M50) - 1</f>
        <v>0.19287026328321666</v>
      </c>
      <c r="AE8" s="10" cm="1">
        <f t="array" ref="AE8">PRODUCT(1 + O39:O50) - 1</f>
        <v>0.16258921994069597</v>
      </c>
    </row>
    <row r="9" spans="2:31" x14ac:dyDescent="0.35">
      <c r="B9" vm="18046">
        <v>42917</v>
      </c>
      <c r="C9" s="9">
        <v>1.7016607865071753E-2</v>
      </c>
      <c r="D9" s="9">
        <v>2.0433884297520688E-2</v>
      </c>
      <c r="E9" s="9">
        <v>-7.3442312248283015E-3</v>
      </c>
      <c r="F9" s="9">
        <v>5.0260974927765822E-2</v>
      </c>
      <c r="G9" s="9">
        <v>2.1232131229239615E-2</v>
      </c>
      <c r="H9" s="9">
        <v>5.2284890901605596E-2</v>
      </c>
      <c r="I9" s="9">
        <v>4.2531934632127344E-2</v>
      </c>
      <c r="J9" s="9">
        <v>4.1919805589307302E-2</v>
      </c>
      <c r="K9" s="9">
        <v>0.12418372993912574</v>
      </c>
      <c r="L9" s="9">
        <v>4.2111302352266122E-2</v>
      </c>
      <c r="M9" s="9">
        <v>3.4462301801315931E-2</v>
      </c>
      <c r="N9" s="9">
        <f t="shared" si="1"/>
        <v>4.8820253622602831E-2</v>
      </c>
      <c r="O9" s="9">
        <v>1.9348768883515444E-2</v>
      </c>
      <c r="P9" s="9">
        <v>1.9348768883515444E-2</v>
      </c>
      <c r="Q9" s="9">
        <f t="shared" si="2"/>
        <v>2.9471484739087388E-2</v>
      </c>
      <c r="S9" t="s">
        <v>33</v>
      </c>
      <c r="T9" s="10">
        <f t="shared" ref="T9:AD9" si="5">_xlfn.STDEV.S(C39:C50)</f>
        <v>8.9118571849885253E-2</v>
      </c>
      <c r="U9" s="10">
        <f t="shared" si="5"/>
        <v>0.1000784977837548</v>
      </c>
      <c r="V9" s="10">
        <f t="shared" si="5"/>
        <v>6.145274938508518E-2</v>
      </c>
      <c r="W9" s="10">
        <f t="shared" si="5"/>
        <v>5.4251271809039492E-2</v>
      </c>
      <c r="X9" s="10">
        <f t="shared" si="5"/>
        <v>9.7950280618946672E-2</v>
      </c>
      <c r="Y9" s="10">
        <f t="shared" si="5"/>
        <v>0.11468050850358755</v>
      </c>
      <c r="Z9" s="10">
        <f t="shared" si="5"/>
        <v>7.4607167501063082E-2</v>
      </c>
      <c r="AA9" s="10">
        <f t="shared" si="5"/>
        <v>0.22843403406908325</v>
      </c>
      <c r="AB9" s="10">
        <f t="shared" si="5"/>
        <v>0.10100253964016662</v>
      </c>
      <c r="AC9" s="10">
        <f t="shared" si="5"/>
        <v>4.9589042302551449E-2</v>
      </c>
      <c r="AD9" s="10">
        <f t="shared" si="5"/>
        <v>6.9869828619145063E-2</v>
      </c>
      <c r="AE9" s="10">
        <f>_xlfn.STDEV.S(O39:O50)</f>
        <v>7.4848416609383517E-2</v>
      </c>
    </row>
    <row r="10" spans="2:31" x14ac:dyDescent="0.35">
      <c r="B10" vm="1842">
        <v>42948</v>
      </c>
      <c r="C10" s="9">
        <v>1.0301427815970321E-2</v>
      </c>
      <c r="D10" s="9">
        <v>-7.2688250420134271E-3</v>
      </c>
      <c r="E10" s="9">
        <v>-4.5584725536992776E-2</v>
      </c>
      <c r="F10" s="9">
        <v>3.9225256805626385E-2</v>
      </c>
      <c r="G10" s="9">
        <v>1.5794824576547573E-2</v>
      </c>
      <c r="H10" s="9">
        <v>4.3035993740219158E-2</v>
      </c>
      <c r="I10" s="9">
        <v>3.0255322061742751E-2</v>
      </c>
      <c r="J10" s="9">
        <v>-7.419825072886288E-2</v>
      </c>
      <c r="K10" s="9">
        <v>4.2630698040760029E-2</v>
      </c>
      <c r="L10" s="9">
        <v>1.5965646333406802E-2</v>
      </c>
      <c r="M10" s="9">
        <v>3.6963661957145177E-2</v>
      </c>
      <c r="N10" s="9">
        <f t="shared" si="1"/>
        <v>1.8907595540500883E-2</v>
      </c>
      <c r="O10" s="9">
        <v>5.4649232886694321E-4</v>
      </c>
      <c r="P10" s="9">
        <v>5.4649232886694321E-4</v>
      </c>
      <c r="Q10" s="9">
        <f t="shared" si="2"/>
        <v>1.836110321163394E-2</v>
      </c>
      <c r="S10">
        <v>2021</v>
      </c>
      <c r="T10" s="10" cm="1">
        <f t="array" ref="T10">PRODUCT(1 + C51:C62) - 1</f>
        <v>0.65295782362607224</v>
      </c>
      <c r="U10" s="10" cm="1">
        <f t="array" ref="U10">PRODUCT(1 + D51:D62) - 1</f>
        <v>2.3767781315534142E-2</v>
      </c>
      <c r="V10" s="10" cm="1">
        <f t="array" ref="V10">PRODUCT(1 + E51:E62) - 1</f>
        <v>3.3161622665808466E-2</v>
      </c>
      <c r="W10" s="10" cm="1">
        <f t="array" ref="W10">PRODUCT(1 + F51:F62) - 1</f>
        <v>0.18435128399003098</v>
      </c>
      <c r="X10" s="10" cm="1">
        <f t="array" ref="X10">PRODUCT(1 + G51:G62) - 1</f>
        <v>-1.9699106723084281E-2</v>
      </c>
      <c r="Y10" s="10" cm="1">
        <f t="array" ref="Y10">PRODUCT(1 + H51:H62) - 1</f>
        <v>6.6677873031879553E-3</v>
      </c>
      <c r="Z10" s="10" cm="1">
        <f t="array" ref="Z10">PRODUCT(1 + I51:I62) - 1</f>
        <v>0.21011017498379747</v>
      </c>
      <c r="AA10" s="10" cm="1">
        <f t="array" ref="AA10">PRODUCT(1 + J51:J62) - 1</f>
        <v>0.37196518552450697</v>
      </c>
      <c r="AB10" s="10" cm="1">
        <f t="array" ref="AB10">PRODUCT(1 + K51:K62) - 1</f>
        <v>1.2528533129069328</v>
      </c>
      <c r="AC10" s="10" cm="1">
        <f t="array" ref="AC10">PRODUCT(1 + L51:L62) - 1</f>
        <v>0.1756504240333483</v>
      </c>
      <c r="AD10" s="10" cm="1">
        <f t="array" ref="AD10">PRODUCT(1 + M51:M62) - 1</f>
        <v>0.43190372989620207</v>
      </c>
      <c r="AE10" s="10" cm="1">
        <f t="array" ref="AE10">PRODUCT(1 + O51:O62) - 1</f>
        <v>0.26892736290857222</v>
      </c>
    </row>
    <row r="11" spans="2:31" x14ac:dyDescent="0.35">
      <c r="B11" vm="2127">
        <v>42979</v>
      </c>
      <c r="C11" s="9">
        <v>1.9345923537540388E-2</v>
      </c>
      <c r="D11" s="9">
        <v>-1.9630838262288397E-2</v>
      </c>
      <c r="E11" s="9">
        <v>3.275818954738674E-2</v>
      </c>
      <c r="F11" s="9">
        <v>-4.7202237356162358E-2</v>
      </c>
      <c r="G11" s="9">
        <v>2.5095553910534418E-2</v>
      </c>
      <c r="H11" s="9">
        <v>5.9264816204050774E-2</v>
      </c>
      <c r="I11" s="9">
        <v>-2.6310544149890203E-2</v>
      </c>
      <c r="J11" s="9">
        <v>9.8409699259959238E-2</v>
      </c>
      <c r="K11" s="9">
        <v>5.5075542965061342E-2</v>
      </c>
      <c r="L11" s="9">
        <v>-1.3980708789422258E-2</v>
      </c>
      <c r="M11" s="9">
        <v>-1.5334338863750685E-2</v>
      </c>
      <c r="N11" s="9">
        <f t="shared" si="1"/>
        <v>2.059365137165434E-2</v>
      </c>
      <c r="O11" s="9">
        <v>1.9302894827342154E-2</v>
      </c>
      <c r="P11" s="9">
        <v>1.9302894827342154E-2</v>
      </c>
      <c r="Q11" s="9">
        <f t="shared" si="2"/>
        <v>1.2907565443121861E-3</v>
      </c>
      <c r="S11" t="s">
        <v>33</v>
      </c>
      <c r="T11" s="10">
        <f t="shared" ref="T11:AD11" si="6">_xlfn.STDEV.S(C51:C62)</f>
        <v>6.5044196221993963E-2</v>
      </c>
      <c r="U11" s="10">
        <f t="shared" si="6"/>
        <v>5.7149453164263841E-2</v>
      </c>
      <c r="V11" s="10">
        <f t="shared" si="6"/>
        <v>7.9898277610403884E-2</v>
      </c>
      <c r="W11" s="10">
        <f t="shared" si="6"/>
        <v>5.9912921220952979E-2</v>
      </c>
      <c r="X11" s="10">
        <f t="shared" si="6"/>
        <v>5.7796077528212322E-2</v>
      </c>
      <c r="Y11" s="10">
        <f t="shared" si="6"/>
        <v>8.2209885911922478E-2</v>
      </c>
      <c r="Z11" s="10">
        <f t="shared" si="6"/>
        <v>5.9811466686645449E-2</v>
      </c>
      <c r="AA11" s="10">
        <f t="shared" si="6"/>
        <v>0.10296061557537398</v>
      </c>
      <c r="AB11" s="10">
        <f t="shared" si="6"/>
        <v>0.1275300844974418</v>
      </c>
      <c r="AC11" s="10">
        <f t="shared" si="6"/>
        <v>5.6879468604389263E-2</v>
      </c>
      <c r="AD11" s="10">
        <f t="shared" si="6"/>
        <v>7.7217009344698828E-2</v>
      </c>
      <c r="AE11" s="10">
        <f>_xlfn.STDEV.S(O51:O62)</f>
        <v>3.1913769494155753E-2</v>
      </c>
    </row>
    <row r="12" spans="2:31" x14ac:dyDescent="0.35">
      <c r="B12" vm="18052">
        <v>43009</v>
      </c>
      <c r="C12" s="9">
        <v>6.0921003984718336E-2</v>
      </c>
      <c r="D12" s="9">
        <v>0.14971654444271087</v>
      </c>
      <c r="E12" s="9">
        <v>3.9467312348668404E-2</v>
      </c>
      <c r="F12" s="9">
        <v>3.8539099260586962E-2</v>
      </c>
      <c r="G12" s="9">
        <v>1.7073384605068131E-2</v>
      </c>
      <c r="H12" s="9">
        <v>5.3611898016997284E-2</v>
      </c>
      <c r="I12" s="9">
        <v>5.8137154554759318E-2</v>
      </c>
      <c r="J12" s="9">
        <v>-8.2568807339449601E-2</v>
      </c>
      <c r="K12" s="9">
        <v>0.15684782851900758</v>
      </c>
      <c r="L12" s="9">
        <v>-5.1000219828533755E-2</v>
      </c>
      <c r="M12" s="9">
        <v>7.3372478937962837E-2</v>
      </c>
      <c r="N12" s="9">
        <f t="shared" si="1"/>
        <v>8.0792030925026348E-2</v>
      </c>
      <c r="O12" s="9">
        <v>2.2188174774546043E-2</v>
      </c>
      <c r="P12" s="9">
        <v>2.2188174774546043E-2</v>
      </c>
      <c r="Q12" s="9">
        <f t="shared" si="2"/>
        <v>5.8603856150480305E-2</v>
      </c>
      <c r="S12">
        <v>2022</v>
      </c>
      <c r="T12" s="10" cm="1">
        <f t="array" ref="T12">PRODUCT(1 + C63:C74) - 1</f>
        <v>-0.39089553475271321</v>
      </c>
      <c r="U12" s="10" cm="1">
        <f t="array" ref="U12">PRODUCT(1 + D63:D74) - 1</f>
        <v>-0.4961521620470617</v>
      </c>
      <c r="V12" s="10" cm="1">
        <f t="array" ref="V12">PRODUCT(1 + E63:E74) - 1</f>
        <v>-0.46878570686610543</v>
      </c>
      <c r="W12" s="10" cm="1">
        <f t="array" ref="W12">PRODUCT(1 + F63:F74) - 1</f>
        <v>-0.22558639931902025</v>
      </c>
      <c r="X12" s="10" cm="1">
        <f t="array" ref="X12">PRODUCT(1 + G63:G74) - 1</f>
        <v>2.7768452352405326E-2</v>
      </c>
      <c r="Y12" s="10" cm="1">
        <f t="array" ref="Y12">PRODUCT(1 + H63:H74) - 1</f>
        <v>-3.225537125681821E-2</v>
      </c>
      <c r="Z12" s="10" cm="1">
        <f t="array" ref="Z12">PRODUCT(1 + I63:I74) - 1</f>
        <v>-0.10454155955441313</v>
      </c>
      <c r="AA12" s="10" cm="1">
        <f t="array" ref="AA12">PRODUCT(1 + J63:J74) - 1</f>
        <v>0.78497495826377239</v>
      </c>
      <c r="AB12" s="10" cm="1">
        <f t="array" ref="AB12">PRODUCT(1 + K63:K74) - 1</f>
        <v>-0.50311108088810308</v>
      </c>
      <c r="AC12" s="10" cm="1">
        <f t="array" ref="AC12">PRODUCT(1 + L63:L74) - 1</f>
        <v>-7.3480865631495251E-2</v>
      </c>
      <c r="AD12" s="10" cm="1">
        <f t="array" ref="AD12">PRODUCT(1 + M63:M74) - 1</f>
        <v>5.5841000517784067E-2</v>
      </c>
      <c r="AE12" s="10" cm="1">
        <f t="array" ref="AE12">PRODUCT(1 + O63:O74) - 1</f>
        <v>-0.19442824232404188</v>
      </c>
    </row>
    <row r="13" spans="2:31" x14ac:dyDescent="0.35">
      <c r="B13" vm="2638">
        <v>43040</v>
      </c>
      <c r="C13" s="9">
        <v>3.0298923565399427E-3</v>
      </c>
      <c r="D13" s="9">
        <v>6.4662348002316072E-2</v>
      </c>
      <c r="E13" s="9">
        <v>-7.0347076636384842E-2</v>
      </c>
      <c r="F13" s="9">
        <v>2.1359223300971841E-3</v>
      </c>
      <c r="G13" s="9">
        <v>8.1853834043469131E-2</v>
      </c>
      <c r="H13" s="9">
        <v>1.1427035020501464E-2</v>
      </c>
      <c r="I13" s="9">
        <v>1.9152640742890359E-2</v>
      </c>
      <c r="J13" s="9">
        <v>-1.7968749999999978E-2</v>
      </c>
      <c r="K13" s="9">
        <v>-2.9495387114867544E-2</v>
      </c>
      <c r="L13" s="9">
        <v>4.227472782024555E-2</v>
      </c>
      <c r="M13" s="9">
        <v>8.5386737703358362E-2</v>
      </c>
      <c r="N13" s="9">
        <f t="shared" si="1"/>
        <v>1.904037527104973E-2</v>
      </c>
      <c r="O13" s="9">
        <v>2.8082601368405458E-2</v>
      </c>
      <c r="P13" s="9">
        <v>2.8082601368405458E-2</v>
      </c>
      <c r="Q13" s="9">
        <f t="shared" si="2"/>
        <v>-9.0422260973557281E-3</v>
      </c>
      <c r="S13" t="s">
        <v>33</v>
      </c>
      <c r="T13" s="10">
        <f t="shared" ref="T13:AD13" si="7">_xlfn.STDEV.S(C63:C74)</f>
        <v>7.746274142840151E-2</v>
      </c>
      <c r="U13" s="10">
        <f t="shared" si="7"/>
        <v>0.12634634517799825</v>
      </c>
      <c r="V13" s="10">
        <f t="shared" si="7"/>
        <v>0.10150772175466941</v>
      </c>
      <c r="W13" s="10">
        <f t="shared" si="7"/>
        <v>9.6559965319709354E-2</v>
      </c>
      <c r="X13" s="10">
        <f t="shared" si="7"/>
        <v>9.4196467375505688E-2</v>
      </c>
      <c r="Y13" s="10">
        <f t="shared" si="7"/>
        <v>9.2103934328431128E-2</v>
      </c>
      <c r="Z13" s="10">
        <f t="shared" si="7"/>
        <v>8.9136200496709034E-2</v>
      </c>
      <c r="AA13" s="10">
        <f t="shared" si="7"/>
        <v>0.17638328587069133</v>
      </c>
      <c r="AB13" s="10">
        <f t="shared" si="7"/>
        <v>0.1813587797164263</v>
      </c>
      <c r="AC13" s="10">
        <f t="shared" si="7"/>
        <v>5.6819514746050556E-2</v>
      </c>
      <c r="AD13" s="10">
        <f t="shared" si="7"/>
        <v>4.926640707036517E-2</v>
      </c>
      <c r="AE13" s="10">
        <f>_xlfn.STDEV.S(O63:O74)</f>
        <v>6.6310611552332394E-2</v>
      </c>
    </row>
    <row r="14" spans="2:31" x14ac:dyDescent="0.35">
      <c r="B14" vm="2893">
        <v>43070</v>
      </c>
      <c r="C14" s="9">
        <v>1.6628545508941661E-2</v>
      </c>
      <c r="D14" s="9">
        <v>-6.1865306989589142E-3</v>
      </c>
      <c r="E14" s="9">
        <v>-5.161613630668993E-2</v>
      </c>
      <c r="F14" s="9">
        <v>-2.4263170358888253E-2</v>
      </c>
      <c r="G14" s="9">
        <v>-1.6671220547108678E-2</v>
      </c>
      <c r="H14" s="9">
        <v>5.9148002924171994E-3</v>
      </c>
      <c r="I14" s="9">
        <v>-1.1705897241204744E-2</v>
      </c>
      <c r="J14" s="9">
        <v>7.2235481304693705E-2</v>
      </c>
      <c r="K14" s="9">
        <v>-3.5932081788831782E-2</v>
      </c>
      <c r="L14" s="9">
        <v>2.1002333592621492E-2</v>
      </c>
      <c r="M14" s="9">
        <v>-3.3790594731997969E-2</v>
      </c>
      <c r="N14" s="9">
        <f t="shared" si="1"/>
        <v>-1.1660853526367891E-2</v>
      </c>
      <c r="O14" s="9">
        <v>9.8316198188534987E-3</v>
      </c>
      <c r="P14" s="9">
        <v>9.8316198188534987E-3</v>
      </c>
      <c r="Q14" s="9">
        <f t="shared" si="2"/>
        <v>-2.1492473345221391E-2</v>
      </c>
    </row>
    <row r="15" spans="2:31" x14ac:dyDescent="0.35">
      <c r="B15" vm="18058">
        <v>43101</v>
      </c>
      <c r="C15" s="8">
        <v>0.1222897284981963</v>
      </c>
      <c r="D15" s="8">
        <v>0.24063892190479441</v>
      </c>
      <c r="E15" s="8">
        <v>1.1360634081902132E-2</v>
      </c>
      <c r="F15" s="8">
        <v>4.3466749040199648E-3</v>
      </c>
      <c r="G15" s="8">
        <v>4.114515867599966E-2</v>
      </c>
      <c r="H15" s="8">
        <v>0.11654334038054959</v>
      </c>
      <c r="I15" s="8">
        <v>1.4277482553300302E-2</v>
      </c>
      <c r="J15" s="8">
        <v>9.1853390710787908E-2</v>
      </c>
      <c r="K15" s="8">
        <v>0.27028423772609811</v>
      </c>
      <c r="L15" s="8">
        <v>-6.0296038310840183E-2</v>
      </c>
      <c r="M15" s="8">
        <v>7.4027034382654344E-2</v>
      </c>
      <c r="N15" s="9">
        <f t="shared" si="1"/>
        <v>0.13568164261979349</v>
      </c>
      <c r="O15" s="8">
        <v>5.6178724645703726E-2</v>
      </c>
      <c r="P15" s="8">
        <v>5.6178724645703726E-2</v>
      </c>
      <c r="Q15" s="9">
        <f t="shared" si="2"/>
        <v>7.950291797408976E-2</v>
      </c>
    </row>
    <row r="16" spans="2:31" x14ac:dyDescent="0.35">
      <c r="B16" vm="3380">
        <v>43132</v>
      </c>
      <c r="C16" s="8">
        <v>-6.6231327502495274E-2</v>
      </c>
      <c r="D16" s="8">
        <v>4.242912970659396E-2</v>
      </c>
      <c r="E16" s="8">
        <v>4.3625914315569503E-2</v>
      </c>
      <c r="F16" s="8">
        <v>-0.13860146312528832</v>
      </c>
      <c r="G16" s="8">
        <v>-5.3610360862742512E-2</v>
      </c>
      <c r="H16" s="8">
        <v>4.0000000000000036E-2</v>
      </c>
      <c r="I16" s="8">
        <v>-3.957833606867811E-2</v>
      </c>
      <c r="J16" s="8">
        <v>-0.10790975808643655</v>
      </c>
      <c r="K16" s="8">
        <v>-1.5459723352318933E-2</v>
      </c>
      <c r="L16" s="8">
        <v>-9.0572156590224773E-2</v>
      </c>
      <c r="M16" s="8">
        <v>-4.4851761128473666E-2</v>
      </c>
      <c r="N16" s="9">
        <f t="shared" si="1"/>
        <v>-2.3379455816634771E-2</v>
      </c>
      <c r="O16" s="8">
        <v>-3.8947379604151844E-2</v>
      </c>
      <c r="P16" s="8">
        <v>-3.8947379604151844E-2</v>
      </c>
      <c r="Q16" s="9">
        <f t="shared" si="2"/>
        <v>1.5567923787517073E-2</v>
      </c>
      <c r="S16" s="13" t="s">
        <v>7</v>
      </c>
      <c r="T16" s="14" t="s">
        <v>20</v>
      </c>
      <c r="U16" s="13" t="s">
        <v>9</v>
      </c>
      <c r="V16" s="14" t="s">
        <v>10</v>
      </c>
      <c r="W16" s="13" t="s">
        <v>21</v>
      </c>
      <c r="X16" s="14" t="s">
        <v>22</v>
      </c>
      <c r="Y16" s="13" t="s">
        <v>23</v>
      </c>
      <c r="Z16" s="14" t="s">
        <v>14</v>
      </c>
      <c r="AA16" s="13" t="s">
        <v>24</v>
      </c>
      <c r="AB16" s="14" t="s">
        <v>25</v>
      </c>
      <c r="AC16" s="13" t="s">
        <v>26</v>
      </c>
    </row>
    <row r="17" spans="2:29" x14ac:dyDescent="0.35">
      <c r="B17" vm="3610">
        <v>43160</v>
      </c>
      <c r="C17" s="8">
        <v>-6.0493514022755268E-2</v>
      </c>
      <c r="D17" s="8">
        <v>-4.3049357003537292E-2</v>
      </c>
      <c r="E17" s="8">
        <v>-6.007509386733445E-3</v>
      </c>
      <c r="F17" s="8">
        <v>6.641162968630443E-2</v>
      </c>
      <c r="G17" s="8">
        <v>-4.3677201208739858E-2</v>
      </c>
      <c r="H17" s="8">
        <v>-3.4137460172962708E-3</v>
      </c>
      <c r="I17" s="8">
        <v>7.3480118304305009E-2</v>
      </c>
      <c r="J17" s="8">
        <v>-1.3101767215112692E-2</v>
      </c>
      <c r="K17" s="8">
        <v>-4.300826446280992E-2</v>
      </c>
      <c r="L17" s="8">
        <v>9.679062659195159E-3</v>
      </c>
      <c r="M17" s="8">
        <v>-5.3767244428723049E-2</v>
      </c>
      <c r="N17" s="9">
        <f t="shared" si="1"/>
        <v>-3.075525469810347E-2</v>
      </c>
      <c r="O17" s="8">
        <v>-2.6884513768364315E-2</v>
      </c>
      <c r="P17" s="8">
        <v>-2.6884513768364315E-2</v>
      </c>
      <c r="Q17" s="9">
        <f t="shared" si="2"/>
        <v>-3.8707409297391547E-3</v>
      </c>
      <c r="S17" s="11">
        <v>0.1731</v>
      </c>
      <c r="T17" s="12">
        <v>0.12959999999999999</v>
      </c>
      <c r="U17" s="11">
        <v>0.05</v>
      </c>
      <c r="V17" s="12">
        <v>0.02</v>
      </c>
      <c r="W17" s="11">
        <v>0.1</v>
      </c>
      <c r="X17" s="12">
        <v>0.1</v>
      </c>
      <c r="Y17" s="11">
        <v>0.05</v>
      </c>
      <c r="Z17" s="12">
        <v>0.02</v>
      </c>
      <c r="AA17" s="11">
        <v>0.21920000000000001</v>
      </c>
      <c r="AB17" s="12">
        <v>3.8100000000000002E-2</v>
      </c>
      <c r="AC17" s="11">
        <v>0.1</v>
      </c>
    </row>
    <row r="18" spans="2:29" x14ac:dyDescent="0.35">
      <c r="B18" vm="18064">
        <v>43191</v>
      </c>
      <c r="C18" s="8">
        <v>-1.7895366102936849E-2</v>
      </c>
      <c r="D18" s="8">
        <v>8.2074702557795698E-2</v>
      </c>
      <c r="E18" s="8">
        <v>9.5693779904306719E-3</v>
      </c>
      <c r="F18" s="8">
        <v>6.3375902807671913E-3</v>
      </c>
      <c r="G18" s="8">
        <v>1.1766372459172114E-3</v>
      </c>
      <c r="H18" s="8">
        <v>1.7755195250057199E-2</v>
      </c>
      <c r="I18" s="8">
        <v>3.551092879446438E-3</v>
      </c>
      <c r="J18" s="8">
        <v>5.8351343007100986E-2</v>
      </c>
      <c r="K18" s="8">
        <v>-2.8895644063698267E-2</v>
      </c>
      <c r="L18" s="8">
        <v>-8.7537840565085734E-2</v>
      </c>
      <c r="M18" s="8">
        <v>0.10467289719626161</v>
      </c>
      <c r="N18" s="9">
        <f t="shared" si="1"/>
        <v>1.2180351853254345E-2</v>
      </c>
      <c r="O18" s="8">
        <v>2.718801001185378E-3</v>
      </c>
      <c r="P18" s="8">
        <v>2.718801001185378E-3</v>
      </c>
      <c r="Q18" s="9">
        <f t="shared" si="2"/>
        <v>9.4615508520689666E-3</v>
      </c>
    </row>
    <row r="19" spans="2:29" x14ac:dyDescent="0.35">
      <c r="B19" vm="4104">
        <v>43221</v>
      </c>
      <c r="C19" s="8">
        <v>7.9934811207759804E-2</v>
      </c>
      <c r="D19" s="8">
        <v>4.0539418822192141E-2</v>
      </c>
      <c r="E19" s="8">
        <v>-7.832377151409331E-2</v>
      </c>
      <c r="F19" s="8">
        <v>-5.6892987000641604E-2</v>
      </c>
      <c r="G19" s="8">
        <v>2.2325502154151744E-2</v>
      </c>
      <c r="H19" s="8">
        <v>6.6472205082178659E-2</v>
      </c>
      <c r="I19" s="8">
        <v>1.159172716734802E-2</v>
      </c>
      <c r="J19" s="8">
        <v>1.6044340723453399E-3</v>
      </c>
      <c r="K19" s="8">
        <v>0.12135171187194316</v>
      </c>
      <c r="L19" s="8">
        <v>1.147359690351113E-2</v>
      </c>
      <c r="M19" s="8">
        <v>2.1615905245346845E-2</v>
      </c>
      <c r="N19" s="9">
        <f t="shared" si="1"/>
        <v>5.272705175603757E-2</v>
      </c>
      <c r="O19" s="8">
        <v>2.1608353316591389E-2</v>
      </c>
      <c r="P19" s="8">
        <v>2.1608353316591389E-2</v>
      </c>
      <c r="Q19" s="9">
        <f t="shared" si="2"/>
        <v>3.1118698439446181E-2</v>
      </c>
    </row>
    <row r="20" spans="2:29" x14ac:dyDescent="0.35">
      <c r="B20" vm="4362">
        <v>43252</v>
      </c>
      <c r="C20" s="8">
        <v>2.653636363636358E-2</v>
      </c>
      <c r="D20" s="8">
        <v>4.3065254476503778E-2</v>
      </c>
      <c r="E20" s="8">
        <v>-3.7889039242219313E-2</v>
      </c>
      <c r="F20" s="8">
        <v>8.3255638150434574E-2</v>
      </c>
      <c r="G20" s="8">
        <v>-2.609737049114591E-2</v>
      </c>
      <c r="H20" s="8">
        <v>3.3662949715968837E-2</v>
      </c>
      <c r="I20" s="8">
        <v>7.3578191906398249E-3</v>
      </c>
      <c r="J20" s="8">
        <v>-2.388233580894128E-2</v>
      </c>
      <c r="K20" s="8">
        <v>-6.0636340565918045E-2</v>
      </c>
      <c r="L20" s="8">
        <v>6.683066830668305E-2</v>
      </c>
      <c r="M20" s="8">
        <v>1.5858556581508143E-2</v>
      </c>
      <c r="N20" s="9">
        <f t="shared" si="1"/>
        <v>1.4327827609288105E-3</v>
      </c>
      <c r="O20" s="8">
        <v>4.8424002040461378E-3</v>
      </c>
      <c r="P20" s="8">
        <v>4.8424002040461378E-3</v>
      </c>
      <c r="Q20" s="9">
        <f t="shared" si="2"/>
        <v>-3.4096174431173273E-3</v>
      </c>
      <c r="S20" t="s">
        <v>38</v>
      </c>
      <c r="U20" t="s">
        <v>51</v>
      </c>
    </row>
    <row r="21" spans="2:29" x14ac:dyDescent="0.35">
      <c r="B21" vm="18068">
        <v>43282</v>
      </c>
      <c r="C21" s="8">
        <v>8.6814442210788156E-2</v>
      </c>
      <c r="D21" s="8">
        <v>4.5675961877868154E-2</v>
      </c>
      <c r="E21" s="8">
        <v>9.6202531645569689E-2</v>
      </c>
      <c r="F21" s="8">
        <v>2.1842796994580027E-2</v>
      </c>
      <c r="G21" s="8">
        <v>0.1082961136890952</v>
      </c>
      <c r="H21" s="8">
        <v>7.5310400977000036E-3</v>
      </c>
      <c r="I21" s="8">
        <v>3.0533437107105321E-3</v>
      </c>
      <c r="J21" s="8">
        <v>7.3101596300162441E-3</v>
      </c>
      <c r="K21" s="8">
        <v>3.3600675390460077E-2</v>
      </c>
      <c r="L21" s="8">
        <v>3.6126056879323576E-2</v>
      </c>
      <c r="M21" s="8">
        <v>3.2118692426836182E-2</v>
      </c>
      <c r="N21" s="9">
        <f t="shared" si="1"/>
        <v>5.0029292940419294E-2</v>
      </c>
      <c r="O21" s="8">
        <v>3.6021586465418753E-2</v>
      </c>
      <c r="P21" s="8">
        <v>3.6021586465418753E-2</v>
      </c>
      <c r="Q21" s="9">
        <f t="shared" si="2"/>
        <v>1.4007706475000541E-2</v>
      </c>
      <c r="R21" t="s">
        <v>39</v>
      </c>
      <c r="S21">
        <f>SLOPE(N3:N74,O3:O74)</f>
        <v>1.1470422860266953</v>
      </c>
      <c r="T21" t="s">
        <v>50</v>
      </c>
      <c r="U21">
        <v>8.4777704873267717E-3</v>
      </c>
    </row>
    <row r="22" spans="2:29" x14ac:dyDescent="0.35">
      <c r="B22" vm="4856">
        <v>43313</v>
      </c>
      <c r="C22" s="8">
        <v>3.7320121901533998E-3</v>
      </c>
      <c r="D22" s="8">
        <v>0.13236452425960921</v>
      </c>
      <c r="E22" s="8">
        <v>7.4672825250192476E-2</v>
      </c>
      <c r="F22" s="8">
        <v>-7.170824986341251E-3</v>
      </c>
      <c r="G22" s="8">
        <v>-3.6956302721119494E-3</v>
      </c>
      <c r="H22" s="8">
        <v>8.8686868686868703E-2</v>
      </c>
      <c r="I22" s="8">
        <v>1.5279933150292413E-2</v>
      </c>
      <c r="J22" s="8">
        <v>-6.4573459715639769E-2</v>
      </c>
      <c r="K22" s="8">
        <v>0.14628767458956138</v>
      </c>
      <c r="L22" s="8">
        <v>2.5593471810089197E-2</v>
      </c>
      <c r="M22" s="8">
        <v>6.0184819524524036E-2</v>
      </c>
      <c r="N22" s="9">
        <f t="shared" si="1"/>
        <v>6.8422181220069878E-2</v>
      </c>
      <c r="O22" s="8">
        <v>3.0263218631604083E-2</v>
      </c>
      <c r="P22" s="8">
        <v>3.0263218631604083E-2</v>
      </c>
      <c r="Q22" s="9">
        <f t="shared" si="2"/>
        <v>3.8158962588465795E-2</v>
      </c>
    </row>
    <row r="23" spans="2:29" x14ac:dyDescent="0.35">
      <c r="B23" vm="18071">
        <v>43344</v>
      </c>
      <c r="C23" s="8">
        <v>-2.006819288845596E-2</v>
      </c>
      <c r="D23" s="8">
        <v>-4.8243413109686495E-3</v>
      </c>
      <c r="E23" s="8">
        <v>5.0382043935052412E-2</v>
      </c>
      <c r="F23" s="8">
        <v>-7.428977598422537E-3</v>
      </c>
      <c r="G23" s="8">
        <v>4.6145774578062015E-2</v>
      </c>
      <c r="H23" s="8">
        <v>3.2705511226572614E-2</v>
      </c>
      <c r="I23" s="8">
        <v>-1.4697236919459122E-2</v>
      </c>
      <c r="J23" s="8">
        <v>-3.5465484483850451E-2</v>
      </c>
      <c r="K23" s="8">
        <v>1.2113438791505615E-3</v>
      </c>
      <c r="L23" s="8">
        <v>3.3755274261604296E-3</v>
      </c>
      <c r="M23" s="8">
        <v>-9.0143783058926896E-3</v>
      </c>
      <c r="N23" s="9">
        <f t="shared" si="1"/>
        <v>4.2051372093616498E-3</v>
      </c>
      <c r="O23" s="8">
        <v>4.2943009181395375E-3</v>
      </c>
      <c r="P23" s="8">
        <v>4.2943009181395375E-3</v>
      </c>
      <c r="Q23" s="9">
        <f t="shared" si="2"/>
        <v>-8.9163708777887686E-5</v>
      </c>
      <c r="R23" t="s">
        <v>40</v>
      </c>
      <c r="S23" cm="1">
        <f t="array" ref="S23:T27">LINEST(N3:N74,O3:O74,TRUE,TRUE)</f>
        <v>1.1470422860266958</v>
      </c>
      <c r="T23">
        <v>8.4777704873267717E-3</v>
      </c>
      <c r="U23" t="s">
        <v>45</v>
      </c>
    </row>
    <row r="24" spans="2:29" x14ac:dyDescent="0.35">
      <c r="B24" vm="5350">
        <v>43374</v>
      </c>
      <c r="C24" s="8">
        <v>-9.651390131557136E-2</v>
      </c>
      <c r="D24" s="8">
        <v>-0.20219171243135303</v>
      </c>
      <c r="E24" s="8">
        <v>1.8413275744487256E-2</v>
      </c>
      <c r="F24" s="8">
        <v>-0.12508951465730322</v>
      </c>
      <c r="G24" s="8">
        <v>-9.1005524140576055E-2</v>
      </c>
      <c r="H24" s="8">
        <v>-0.11203449979785285</v>
      </c>
      <c r="I24" s="8">
        <v>2.923627684964214E-2</v>
      </c>
      <c r="J24" s="8">
        <v>-0.15774786605384106</v>
      </c>
      <c r="K24" s="8">
        <v>-0.24976158280549421</v>
      </c>
      <c r="L24" s="8">
        <v>6.5481196683887966E-2</v>
      </c>
      <c r="M24" s="8">
        <v>-1.7628927980754772E-2</v>
      </c>
      <c r="N24" s="9">
        <f t="shared" si="1"/>
        <v>-0.12050467278257176</v>
      </c>
      <c r="O24" s="8">
        <v>-6.9403358979814644E-2</v>
      </c>
      <c r="P24" s="8">
        <v>-6.9403358979814644E-2</v>
      </c>
      <c r="Q24" s="9">
        <f t="shared" si="2"/>
        <v>-5.110131380275712E-2</v>
      </c>
      <c r="R24" t="s">
        <v>41</v>
      </c>
      <c r="S24">
        <v>7.0411612533792328E-2</v>
      </c>
      <c r="T24">
        <v>3.5107342577373013E-3</v>
      </c>
      <c r="U24" t="s">
        <v>46</v>
      </c>
    </row>
    <row r="25" spans="2:29" x14ac:dyDescent="0.35">
      <c r="B25" vm="5626">
        <v>43405</v>
      </c>
      <c r="C25" s="8">
        <v>1.7486108309340054E-2</v>
      </c>
      <c r="D25" s="8">
        <v>5.7671729213208955E-2</v>
      </c>
      <c r="E25" s="8">
        <v>9.6205357142857162E-2</v>
      </c>
      <c r="F25" s="8">
        <v>1.7267782647726548E-2</v>
      </c>
      <c r="G25" s="8">
        <v>1.3326888551305149E-2</v>
      </c>
      <c r="H25" s="8">
        <v>1.7200384479182595E-2</v>
      </c>
      <c r="I25" s="8">
        <v>5.3391304347826241E-2</v>
      </c>
      <c r="J25" s="8">
        <v>-0.12102903917365038</v>
      </c>
      <c r="K25" s="8">
        <v>-0.22482355619640293</v>
      </c>
      <c r="L25" s="8">
        <v>6.5741993685160205E-2</v>
      </c>
      <c r="M25" s="8">
        <v>7.656399464319863E-2</v>
      </c>
      <c r="N25" s="9">
        <f t="shared" si="1"/>
        <v>-2.016171739308395E-2</v>
      </c>
      <c r="O25" s="8">
        <v>1.785938179914015E-2</v>
      </c>
      <c r="P25" s="8">
        <v>1.785938179914015E-2</v>
      </c>
      <c r="Q25" s="9">
        <f t="shared" si="2"/>
        <v>-3.80210991922241E-2</v>
      </c>
      <c r="R25" t="s">
        <v>42</v>
      </c>
      <c r="S25">
        <v>0.79128232486787797</v>
      </c>
      <c r="T25">
        <v>2.9328778545537181E-2</v>
      </c>
      <c r="U25" t="s">
        <v>47</v>
      </c>
    </row>
    <row r="26" spans="2:29" x14ac:dyDescent="0.35">
      <c r="B26" vm="18077">
        <v>43435</v>
      </c>
      <c r="C26" s="8">
        <v>-5.8297661424773661E-2</v>
      </c>
      <c r="D26" s="8">
        <v>-0.11134974588355018</v>
      </c>
      <c r="E26" s="8">
        <v>-6.3734473630625232E-2</v>
      </c>
      <c r="F26" s="8">
        <v>-8.4925249169435113E-2</v>
      </c>
      <c r="G26" s="8">
        <v>-9.9693356047700132E-2</v>
      </c>
      <c r="H26" s="8">
        <v>-6.1769532998458221E-2</v>
      </c>
      <c r="I26" s="8">
        <v>-4.3420835397061319E-2</v>
      </c>
      <c r="J26" s="8">
        <v>-0.20000000000000007</v>
      </c>
      <c r="K26" s="8">
        <v>-0.18314650741592831</v>
      </c>
      <c r="L26" s="8">
        <v>-2.740450745952816E-2</v>
      </c>
      <c r="M26" s="8">
        <v>-0.11458629513790164</v>
      </c>
      <c r="N26" s="9">
        <f t="shared" si="1"/>
        <v>-0.10437326727209498</v>
      </c>
      <c r="O26" s="8">
        <v>-9.1776955767217339E-2</v>
      </c>
      <c r="P26" s="8">
        <v>-9.1776955767217339E-2</v>
      </c>
      <c r="Q26" s="9">
        <f t="shared" si="2"/>
        <v>-1.2596311504877639E-2</v>
      </c>
      <c r="R26" t="s">
        <v>43</v>
      </c>
      <c r="S26">
        <v>265.38127499594253</v>
      </c>
      <c r="T26">
        <v>70</v>
      </c>
      <c r="U26" t="s">
        <v>48</v>
      </c>
    </row>
    <row r="27" spans="2:29" x14ac:dyDescent="0.35">
      <c r="B27" vm="18080">
        <v>43466</v>
      </c>
      <c r="C27" s="8">
        <v>7.7447940591027553E-2</v>
      </c>
      <c r="D27" s="8">
        <v>0.14431713016904446</v>
      </c>
      <c r="E27" s="8">
        <v>0.13701609395389314</v>
      </c>
      <c r="F27" s="8">
        <v>0.11754027683231216</v>
      </c>
      <c r="G27" s="8">
        <v>8.7117771722676318E-2</v>
      </c>
      <c r="H27" s="8">
        <v>0.11916247018287818</v>
      </c>
      <c r="I27" s="8">
        <v>2.9685881946841519E-2</v>
      </c>
      <c r="J27" s="8">
        <v>0.22533259423503327</v>
      </c>
      <c r="K27" s="8">
        <v>7.6794007490636806E-2</v>
      </c>
      <c r="L27" s="8">
        <v>4.9499564838990429E-2</v>
      </c>
      <c r="M27" s="8">
        <v>8.4617854849068586E-2</v>
      </c>
      <c r="N27" s="9">
        <f t="shared" si="1"/>
        <v>9.5111284340374108E-2</v>
      </c>
      <c r="O27" s="8">
        <v>7.8684404731036883E-2</v>
      </c>
      <c r="P27" s="8">
        <v>7.8684404731036883E-2</v>
      </c>
      <c r="Q27" s="9">
        <f t="shared" si="2"/>
        <v>1.6426879609337225E-2</v>
      </c>
      <c r="R27" t="s">
        <v>44</v>
      </c>
      <c r="S27">
        <v>0.22827493558576256</v>
      </c>
      <c r="T27">
        <v>6.0212407568121337E-2</v>
      </c>
      <c r="U27" t="s">
        <v>49</v>
      </c>
    </row>
    <row r="28" spans="2:29" x14ac:dyDescent="0.35">
      <c r="B28" vm="6359">
        <v>43497</v>
      </c>
      <c r="C28" s="8">
        <v>5.8620291502720079E-4</v>
      </c>
      <c r="D28" s="8">
        <v>-4.5905988724232349E-2</v>
      </c>
      <c r="E28" s="8">
        <v>4.7819433817903656E-2</v>
      </c>
      <c r="F28" s="8">
        <v>7.4873096446700593E-2</v>
      </c>
      <c r="G28" s="8">
        <v>7.2686764603494991E-2</v>
      </c>
      <c r="H28" s="8">
        <v>6.4604745891157167E-2</v>
      </c>
      <c r="I28" s="8">
        <v>4.8832271762208057E-2</v>
      </c>
      <c r="J28" s="8">
        <v>-3.3928975344944545E-3</v>
      </c>
      <c r="K28" s="8">
        <v>7.3098113417552568E-2</v>
      </c>
      <c r="L28" s="8">
        <v>2.1561107079921094E-2</v>
      </c>
      <c r="M28" s="8">
        <v>-0.10355292376017766</v>
      </c>
      <c r="N28" s="9">
        <f t="shared" si="1"/>
        <v>2.0632688157500374E-2</v>
      </c>
      <c r="O28" s="8">
        <v>2.9728930143116061E-2</v>
      </c>
      <c r="P28" s="8">
        <v>2.9728930143116061E-2</v>
      </c>
      <c r="Q28" s="9">
        <f t="shared" si="2"/>
        <v>-9.0962419856156877E-3</v>
      </c>
    </row>
    <row r="29" spans="2:29" x14ac:dyDescent="0.35">
      <c r="B29" vm="6587">
        <v>43525</v>
      </c>
      <c r="C29" s="8">
        <v>4.4685100528161215E-2</v>
      </c>
      <c r="D29" s="8">
        <v>8.593573724105541E-2</v>
      </c>
      <c r="E29" s="8">
        <v>5.6224899598393607E-2</v>
      </c>
      <c r="F29" s="8">
        <v>7.003541912632838E-2</v>
      </c>
      <c r="G29" s="8">
        <v>3.1479197767248612E-2</v>
      </c>
      <c r="H29" s="8">
        <v>4.7515237798638532E-2</v>
      </c>
      <c r="I29" s="8">
        <v>2.9831664180694606E-2</v>
      </c>
      <c r="J29" s="8">
        <v>-1.1121198365864782E-2</v>
      </c>
      <c r="K29" s="8">
        <v>0.1640088162841955</v>
      </c>
      <c r="L29" s="8">
        <v>5.580923389142578E-2</v>
      </c>
      <c r="M29" s="8">
        <v>2.080753034431515E-2</v>
      </c>
      <c r="N29" s="9">
        <f t="shared" si="1"/>
        <v>7.2410635983808383E-2</v>
      </c>
      <c r="O29" s="8">
        <v>1.7924287751078349E-2</v>
      </c>
      <c r="P29" s="8">
        <v>1.7924287751078349E-2</v>
      </c>
      <c r="Q29" s="9">
        <f t="shared" si="2"/>
        <v>5.4486348232730034E-2</v>
      </c>
    </row>
    <row r="30" spans="2:29" x14ac:dyDescent="0.35">
      <c r="B30" vm="6842">
        <v>43556</v>
      </c>
      <c r="C30" s="8">
        <v>1.8752814621587399E-2</v>
      </c>
      <c r="D30" s="8">
        <v>8.1858767373297781E-2</v>
      </c>
      <c r="E30" s="8">
        <v>3.5948842032492268E-2</v>
      </c>
      <c r="F30" s="8">
        <v>3.3983581957806042E-3</v>
      </c>
      <c r="G30" s="8">
        <v>9.2562295494588609E-2</v>
      </c>
      <c r="H30" s="8">
        <v>7.9804629433000818E-2</v>
      </c>
      <c r="I30" s="8">
        <v>5.7935030002069787E-3</v>
      </c>
      <c r="J30" s="8">
        <v>-2.0426899242598107E-2</v>
      </c>
      <c r="K30" s="8">
        <v>8.0196034751616185E-3</v>
      </c>
      <c r="L30" s="8">
        <v>2.3354156655454261E-2</v>
      </c>
      <c r="M30" s="8">
        <v>-5.7388983256491111E-2</v>
      </c>
      <c r="N30" s="9">
        <f t="shared" si="1"/>
        <v>2.974703951071285E-2</v>
      </c>
      <c r="O30" s="8">
        <v>3.9313434942139347E-2</v>
      </c>
      <c r="P30" s="8">
        <v>3.9313434942139347E-2</v>
      </c>
      <c r="Q30" s="9">
        <f t="shared" si="2"/>
        <v>-9.5663954314264971E-3</v>
      </c>
    </row>
    <row r="31" spans="2:29" x14ac:dyDescent="0.35">
      <c r="B31" vm="7090">
        <v>43586</v>
      </c>
      <c r="C31" s="8">
        <v>-7.7116834589977978E-2</v>
      </c>
      <c r="D31" s="8">
        <v>-7.8613250835703696E-2</v>
      </c>
      <c r="E31" s="8">
        <v>2.4190857524190923E-2</v>
      </c>
      <c r="F31" s="8">
        <v>6.8374752584121401E-2</v>
      </c>
      <c r="G31" s="8">
        <v>-5.3677359903242516E-2</v>
      </c>
      <c r="H31" s="8">
        <v>-1.0816551290119603E-2</v>
      </c>
      <c r="I31" s="8">
        <v>1.9389014606048249E-2</v>
      </c>
      <c r="J31" s="8">
        <v>-0.18720712277413309</v>
      </c>
      <c r="K31" s="8">
        <v>-0.25160220994475146</v>
      </c>
      <c r="L31" s="8">
        <v>-3.3527422990232925E-2</v>
      </c>
      <c r="M31" s="8">
        <v>3.7456558115587679E-2</v>
      </c>
      <c r="N31" s="9">
        <f t="shared" si="1"/>
        <v>-8.28671897167155E-2</v>
      </c>
      <c r="O31" s="8">
        <v>-6.5777726481161536E-2</v>
      </c>
      <c r="P31" s="8">
        <v>-6.5777726481161536E-2</v>
      </c>
      <c r="Q31" s="9">
        <f t="shared" si="2"/>
        <v>-1.7089463235553964E-2</v>
      </c>
    </row>
    <row r="32" spans="2:29" x14ac:dyDescent="0.35">
      <c r="B32" vm="18087">
        <v>43617</v>
      </c>
      <c r="C32" s="8">
        <v>-2.1418888386805279E-2</v>
      </c>
      <c r="D32" s="8">
        <v>6.6791732157041706E-2</v>
      </c>
      <c r="E32" s="8">
        <v>0.14008796220882869</v>
      </c>
      <c r="F32" s="8">
        <v>3.80822989357541E-2</v>
      </c>
      <c r="G32" s="8">
        <v>6.2564664353965016E-2</v>
      </c>
      <c r="H32" s="8">
        <v>5.1850968229352867E-2</v>
      </c>
      <c r="I32" s="8">
        <v>3.3550274960900017E-2</v>
      </c>
      <c r="J32" s="8">
        <v>0.14557509368694155</v>
      </c>
      <c r="K32" s="8">
        <v>0.21237265613465217</v>
      </c>
      <c r="L32" s="8">
        <v>6.5494121076669076E-2</v>
      </c>
      <c r="M32" s="8">
        <v>9.1397849462364622E-3</v>
      </c>
      <c r="N32" s="9">
        <f t="shared" si="1"/>
        <v>7.8706612609429238E-2</v>
      </c>
      <c r="O32" s="8">
        <v>6.8930183208214979E-2</v>
      </c>
      <c r="P32" s="8">
        <v>6.8930183208214979E-2</v>
      </c>
      <c r="Q32" s="9">
        <f t="shared" si="2"/>
        <v>9.7764294012142594E-3</v>
      </c>
    </row>
    <row r="33" spans="2:17" x14ac:dyDescent="0.35">
      <c r="B33" vm="7587">
        <v>43647</v>
      </c>
      <c r="C33" s="8">
        <v>0.125046176579239</v>
      </c>
      <c r="D33" s="8">
        <v>-1.4179116300438888E-2</v>
      </c>
      <c r="E33" s="8">
        <v>2.1288755536505333E-2</v>
      </c>
      <c r="F33" s="8">
        <v>-4.3427392968331535E-3</v>
      </c>
      <c r="G33" s="8">
        <v>-1.2200011455409832E-2</v>
      </c>
      <c r="H33" s="8">
        <v>2.9259441273201459E-2</v>
      </c>
      <c r="I33" s="8">
        <v>1.1275993361319792E-2</v>
      </c>
      <c r="J33" s="8">
        <v>5.7876195269248587E-3</v>
      </c>
      <c r="K33" s="8">
        <v>2.7352217648634936E-2</v>
      </c>
      <c r="L33" s="8">
        <v>7.6516187870496966E-2</v>
      </c>
      <c r="M33" s="8">
        <v>2.0490963485103153E-2</v>
      </c>
      <c r="N33" s="9">
        <f t="shared" si="1"/>
        <v>3.4130926939558673E-2</v>
      </c>
      <c r="O33" s="8">
        <v>1.3128195366039375E-2</v>
      </c>
      <c r="P33" s="8">
        <v>1.3128195366039375E-2</v>
      </c>
      <c r="Q33" s="9">
        <f t="shared" si="2"/>
        <v>2.1002731573519298E-2</v>
      </c>
    </row>
    <row r="34" spans="2:17" x14ac:dyDescent="0.35">
      <c r="B34" vm="7847">
        <v>43678</v>
      </c>
      <c r="C34" s="8">
        <v>-2.2713840091938886E-2</v>
      </c>
      <c r="D34" s="8">
        <v>-4.8473842659552902E-2</v>
      </c>
      <c r="E34" s="8">
        <v>0.12493005036373805</v>
      </c>
      <c r="F34" s="8">
        <v>0.10790679147580162</v>
      </c>
      <c r="G34" s="8">
        <v>-4.5459816769105932E-2</v>
      </c>
      <c r="H34" s="8">
        <v>3.3422705402725406E-2</v>
      </c>
      <c r="I34" s="8">
        <v>5.7489018680310977E-2</v>
      </c>
      <c r="J34" s="8">
        <v>-0.18864148111083312</v>
      </c>
      <c r="K34" s="8">
        <v>-7.1597913703176363E-3</v>
      </c>
      <c r="L34" s="8">
        <v>1.8553032870213482E-2</v>
      </c>
      <c r="M34" s="8">
        <v>-6.0278703666519329E-2</v>
      </c>
      <c r="N34" s="9">
        <f t="shared" si="1"/>
        <v>-1.0801853288399332E-2</v>
      </c>
      <c r="O34" s="8">
        <v>-1.8091652742267761E-2</v>
      </c>
      <c r="P34" s="8">
        <v>-1.8091652742267761E-2</v>
      </c>
      <c r="Q34" s="9">
        <f t="shared" si="2"/>
        <v>7.2897994538684285E-3</v>
      </c>
    </row>
    <row r="35" spans="2:17" x14ac:dyDescent="0.35">
      <c r="B35" vm="18093">
        <v>43709</v>
      </c>
      <c r="C35" s="8">
        <v>2.5711237852049207E-2</v>
      </c>
      <c r="D35" s="8">
        <v>-2.2732774490651808E-2</v>
      </c>
      <c r="E35" s="8">
        <v>-9.4515607511503452E-2</v>
      </c>
      <c r="F35" s="8">
        <v>3.6887898180772316E-2</v>
      </c>
      <c r="G35" s="8">
        <v>2.7821649860284126E-2</v>
      </c>
      <c r="H35" s="8">
        <v>-3.4829583822013732E-2</v>
      </c>
      <c r="I35" s="8">
        <v>6.3492788022640134E-2</v>
      </c>
      <c r="J35" s="8">
        <v>5.3654024051803972E-2</v>
      </c>
      <c r="K35" s="8">
        <v>3.916137351353921E-2</v>
      </c>
      <c r="L35" s="8">
        <v>3.4517175413790069E-2</v>
      </c>
      <c r="M35" s="8">
        <v>-7.128205128205134E-2</v>
      </c>
      <c r="N35" s="9">
        <f t="shared" si="1"/>
        <v>3.8344241014647042E-3</v>
      </c>
      <c r="O35" s="8">
        <v>1.7181167690656807E-2</v>
      </c>
      <c r="P35" s="8">
        <v>1.7181167690656807E-2</v>
      </c>
      <c r="Q35" s="9">
        <f t="shared" si="2"/>
        <v>-1.3346743589192103E-2</v>
      </c>
    </row>
    <row r="36" spans="2:17" x14ac:dyDescent="0.35">
      <c r="B36" vm="8364">
        <v>43739</v>
      </c>
      <c r="C36" s="8">
        <v>3.0840034721653531E-2</v>
      </c>
      <c r="D36" s="8">
        <v>2.3474719311485037E-2</v>
      </c>
      <c r="E36" s="8">
        <v>-3.9005631094629956E-2</v>
      </c>
      <c r="F36" s="8">
        <v>-1.7371705963938888E-2</v>
      </c>
      <c r="G36" s="8">
        <v>2.0862884160756545E-2</v>
      </c>
      <c r="H36" s="8">
        <v>1.9295209338292096E-2</v>
      </c>
      <c r="I36" s="8">
        <v>2.2962358899523583E-2</v>
      </c>
      <c r="J36" s="8">
        <v>-4.3312847527070653E-2</v>
      </c>
      <c r="K36" s="8">
        <v>0.15480950411324046</v>
      </c>
      <c r="L36" s="8">
        <v>1.045184113201536E-3</v>
      </c>
      <c r="M36" s="8">
        <v>0.16280139885882572</v>
      </c>
      <c r="N36" s="9">
        <f t="shared" si="1"/>
        <v>6.0634893005633891E-2</v>
      </c>
      <c r="O36" s="8">
        <v>2.0431747482144935E-2</v>
      </c>
      <c r="P36" s="8">
        <v>2.0431747482144935E-2</v>
      </c>
      <c r="Q36" s="9">
        <f t="shared" si="2"/>
        <v>4.0203145523488956E-2</v>
      </c>
    </row>
    <row r="37" spans="2:17" x14ac:dyDescent="0.35">
      <c r="B37" vm="8636">
        <v>43770</v>
      </c>
      <c r="C37" s="8">
        <v>3.5978709882427573E-2</v>
      </c>
      <c r="D37" s="8">
        <v>1.3587293010480339E-2</v>
      </c>
      <c r="E37" s="8">
        <v>-5.5881091896527013E-2</v>
      </c>
      <c r="F37" s="8">
        <v>1.2350471082256398E-4</v>
      </c>
      <c r="G37" s="8">
        <v>3.3694204828344843E-2</v>
      </c>
      <c r="H37" s="8">
        <v>5.570607998265964E-2</v>
      </c>
      <c r="I37" s="8">
        <v>-1.8964504489384915E-2</v>
      </c>
      <c r="J37" s="8">
        <v>0.10737228510247809</v>
      </c>
      <c r="K37" s="8">
        <v>7.8201174012536123E-2</v>
      </c>
      <c r="L37" s="8">
        <v>-1.9677134366717586E-2</v>
      </c>
      <c r="M37" s="8">
        <v>0.10751879699248135</v>
      </c>
      <c r="N37" s="9">
        <f t="shared" si="1"/>
        <v>4.2480370536301451E-2</v>
      </c>
      <c r="O37" s="8">
        <v>3.404706409091518E-2</v>
      </c>
      <c r="P37" s="8">
        <v>3.404706409091518E-2</v>
      </c>
      <c r="Q37" s="9">
        <f t="shared" si="2"/>
        <v>8.4333064453862711E-3</v>
      </c>
    </row>
    <row r="38" spans="2:17" x14ac:dyDescent="0.35">
      <c r="B38" vm="18098">
        <v>43800</v>
      </c>
      <c r="C38" s="8">
        <v>2.7068683909852842E-2</v>
      </c>
      <c r="D38" s="8">
        <v>2.6121723678365072E-2</v>
      </c>
      <c r="E38" s="8">
        <v>-2.1041477444747159E-2</v>
      </c>
      <c r="F38" s="8">
        <v>2.9725676986857241E-2</v>
      </c>
      <c r="G38" s="8">
        <v>-8.6810417250070548E-3</v>
      </c>
      <c r="H38" s="8">
        <v>2.1763679293706817E-2</v>
      </c>
      <c r="I38" s="8">
        <v>3.5668462920195099E-2</v>
      </c>
      <c r="J38" s="8">
        <v>0.11049723756906071</v>
      </c>
      <c r="K38" s="8">
        <v>8.5632555135185084E-2</v>
      </c>
      <c r="L38" s="8">
        <v>2.3267245616909848E-2</v>
      </c>
      <c r="M38" s="8">
        <v>5.0416264694322477E-2</v>
      </c>
      <c r="N38" s="9">
        <f t="shared" si="1"/>
        <v>3.7613800508341455E-2</v>
      </c>
      <c r="O38" s="8">
        <v>2.8589803182446305E-2</v>
      </c>
      <c r="P38" s="8">
        <v>2.8589803182446305E-2</v>
      </c>
      <c r="Q38" s="9">
        <f t="shared" si="2"/>
        <v>9.02399732589515E-3</v>
      </c>
    </row>
    <row r="39" spans="2:17" x14ac:dyDescent="0.35">
      <c r="B39" vm="18100">
        <v>43831</v>
      </c>
      <c r="C39" s="8">
        <v>6.9725770686655864E-2</v>
      </c>
      <c r="D39" s="8">
        <v>8.7063815048922022E-2</v>
      </c>
      <c r="E39" s="8">
        <v>0.11612803463738985</v>
      </c>
      <c r="F39" s="8">
        <v>1.0330649306150352E-2</v>
      </c>
      <c r="G39" s="8">
        <v>-2.1355932203389827E-2</v>
      </c>
      <c r="H39" s="8">
        <v>5.8106433571117666E-2</v>
      </c>
      <c r="I39" s="8">
        <v>0.10753221010901881</v>
      </c>
      <c r="J39" s="8">
        <v>-0.16641791044776133</v>
      </c>
      <c r="K39" s="8">
        <v>4.8108797280068671E-3</v>
      </c>
      <c r="L39" s="8">
        <v>-2.2417934347478408E-3</v>
      </c>
      <c r="M39" s="8">
        <v>-7.3236274576501947E-2</v>
      </c>
      <c r="N39" s="9">
        <f t="shared" si="1"/>
        <v>2.8734823536326441E-2</v>
      </c>
      <c r="O39" s="8">
        <v>-1.6280898111292741E-3</v>
      </c>
      <c r="P39" s="8">
        <v>-1.6280898111292741E-3</v>
      </c>
      <c r="Q39" s="9">
        <f t="shared" si="2"/>
        <v>3.0362913347455715E-2</v>
      </c>
    </row>
    <row r="40" spans="2:17" x14ac:dyDescent="0.35">
      <c r="B40" vm="18102">
        <v>43862</v>
      </c>
      <c r="C40" s="8">
        <v>-6.5278688982258082E-2</v>
      </c>
      <c r="D40" s="8">
        <v>-6.2213748058465135E-2</v>
      </c>
      <c r="E40" s="8">
        <v>-2.3829315599889322E-2</v>
      </c>
      <c r="F40" s="8">
        <v>-2.8708052837739362E-2</v>
      </c>
      <c r="G40" s="8">
        <v>-6.3791709964207466E-2</v>
      </c>
      <c r="H40" s="8">
        <v>-8.1312907514084931E-2</v>
      </c>
      <c r="I40" s="8">
        <v>-5.756897837434749E-2</v>
      </c>
      <c r="J40" s="8">
        <v>-0.19158460161145918</v>
      </c>
      <c r="K40" s="8">
        <v>0.14228192461257372</v>
      </c>
      <c r="L40" s="8">
        <v>-9.1397849462365621E-2</v>
      </c>
      <c r="M40" s="8">
        <v>-6.419526518627261E-2</v>
      </c>
      <c r="N40" s="9">
        <f t="shared" si="1"/>
        <v>-2.1062459054798241E-2</v>
      </c>
      <c r="O40" s="8">
        <v>-8.4110469009648137E-2</v>
      </c>
      <c r="P40" s="8">
        <v>-8.4110469009648137E-2</v>
      </c>
      <c r="Q40" s="9">
        <f t="shared" si="2"/>
        <v>6.3048009954849896E-2</v>
      </c>
    </row>
    <row r="41" spans="2:17" x14ac:dyDescent="0.35">
      <c r="B41" vm="18105">
        <v>43891</v>
      </c>
      <c r="C41" s="8">
        <v>-0.13238753033414241</v>
      </c>
      <c r="D41" s="8">
        <v>3.5020570670205808E-2</v>
      </c>
      <c r="E41" s="8">
        <v>-8.2316207777462402E-2</v>
      </c>
      <c r="F41" s="8">
        <v>9.0380586592178958E-2</v>
      </c>
      <c r="G41" s="8">
        <v>-0.17500154159215642</v>
      </c>
      <c r="H41" s="8">
        <v>-0.16775193798449617</v>
      </c>
      <c r="I41" s="8">
        <v>-4.8029751542965626E-2</v>
      </c>
      <c r="J41" s="8">
        <v>-0.50203026947212992</v>
      </c>
      <c r="K41" s="8">
        <v>-2.3963979975710203E-2</v>
      </c>
      <c r="L41" s="8">
        <v>-2.8526009008213449E-2</v>
      </c>
      <c r="M41" s="8">
        <v>-2.1885786005647945E-2</v>
      </c>
      <c r="N41" s="9">
        <f t="shared" si="1"/>
        <v>-7.5931579077720454E-2</v>
      </c>
      <c r="O41" s="8">
        <v>-0.12511932083595656</v>
      </c>
      <c r="P41" s="8">
        <v>-0.12511932083595656</v>
      </c>
      <c r="Q41" s="9">
        <f t="shared" si="2"/>
        <v>4.9187741758236106E-2</v>
      </c>
    </row>
    <row r="42" spans="2:17" x14ac:dyDescent="0.35">
      <c r="B42" vm="9852">
        <v>43922</v>
      </c>
      <c r="C42" s="8">
        <v>0.15899995696888847</v>
      </c>
      <c r="D42" s="8">
        <v>0.26890014976509446</v>
      </c>
      <c r="E42" s="8">
        <v>1.4382926074853142E-2</v>
      </c>
      <c r="F42" s="8">
        <v>8.1063771875049984E-2</v>
      </c>
      <c r="G42" s="8">
        <v>6.0617385454817319E-2</v>
      </c>
      <c r="H42" s="8">
        <v>0.1383093227355523</v>
      </c>
      <c r="I42" s="8">
        <v>-3.9481339871997312E-2</v>
      </c>
      <c r="J42" s="8">
        <v>0.24684951816160128</v>
      </c>
      <c r="K42" s="8">
        <v>0.10880121396054632</v>
      </c>
      <c r="L42" s="8">
        <v>7.1545454545454579E-2</v>
      </c>
      <c r="M42" s="8">
        <v>0.17278851551848606</v>
      </c>
      <c r="N42" s="9">
        <f t="shared" si="1"/>
        <v>0.13142232736096579</v>
      </c>
      <c r="O42" s="8">
        <v>0.12684410293315374</v>
      </c>
      <c r="P42" s="8">
        <v>0.12684410293315374</v>
      </c>
      <c r="Q42" s="9">
        <f t="shared" si="2"/>
        <v>4.5782244278120554E-3</v>
      </c>
    </row>
    <row r="43" spans="2:17" x14ac:dyDescent="0.35">
      <c r="B43" vm="10103">
        <v>43952</v>
      </c>
      <c r="C43" s="8">
        <v>6.4468701269770667E-2</v>
      </c>
      <c r="D43" s="8">
        <v>-1.2784963621665368E-2</v>
      </c>
      <c r="E43" s="8">
        <v>8.6446104589114281E-2</v>
      </c>
      <c r="F43" s="8">
        <v>3.3219786729857814E-2</v>
      </c>
      <c r="G43" s="8">
        <v>2.7836504580690535E-2</v>
      </c>
      <c r="H43" s="8">
        <v>9.4264828890424202E-2</v>
      </c>
      <c r="I43" s="8">
        <v>0.10574593284873668</v>
      </c>
      <c r="J43" s="8">
        <v>9.8097502972651629E-2</v>
      </c>
      <c r="K43" s="8">
        <v>0.21465717804844675</v>
      </c>
      <c r="L43" s="8">
        <v>-1.6543649783659964E-2</v>
      </c>
      <c r="M43" s="8">
        <v>4.2329127773788722E-2</v>
      </c>
      <c r="N43" s="9">
        <f t="shared" si="1"/>
        <v>8.4604135066324637E-2</v>
      </c>
      <c r="O43" s="8">
        <v>4.528177501261843E-2</v>
      </c>
      <c r="P43" s="8">
        <v>4.528177501261843E-2</v>
      </c>
      <c r="Q43" s="9">
        <f t="shared" si="2"/>
        <v>3.9322360053706207E-2</v>
      </c>
    </row>
    <row r="44" spans="2:17" x14ac:dyDescent="0.35">
      <c r="B44" vm="10344">
        <v>43983</v>
      </c>
      <c r="C44" s="8">
        <v>-1.0791617835816725E-2</v>
      </c>
      <c r="D44" s="8">
        <v>0.12956677325712329</v>
      </c>
      <c r="E44" s="8">
        <v>-2.4838619141173357E-2</v>
      </c>
      <c r="F44" s="8">
        <v>6.6940928572452041E-3</v>
      </c>
      <c r="G44" s="8">
        <v>-8.6390126842645909E-3</v>
      </c>
      <c r="H44" s="8">
        <v>-1.724882847552256E-2</v>
      </c>
      <c r="I44" s="8">
        <v>-6.0220691814055427E-2</v>
      </c>
      <c r="J44" s="8">
        <v>-4.3313481321060054E-3</v>
      </c>
      <c r="K44" s="8">
        <v>7.0114359754379851E-2</v>
      </c>
      <c r="L44" s="8">
        <v>3.1487232574189061E-2</v>
      </c>
      <c r="M44" s="8">
        <v>-3.2474987698868363E-2</v>
      </c>
      <c r="N44" s="9">
        <f t="shared" si="1"/>
        <v>2.1450562446855764E-2</v>
      </c>
      <c r="O44" s="8">
        <v>1.8388403283502663E-2</v>
      </c>
      <c r="P44" s="8">
        <v>1.8388403283502663E-2</v>
      </c>
      <c r="Q44" s="9">
        <f t="shared" si="2"/>
        <v>3.0621591633531002E-3</v>
      </c>
    </row>
    <row r="45" spans="2:17" x14ac:dyDescent="0.35">
      <c r="B45" vm="10619">
        <v>44013</v>
      </c>
      <c r="C45" s="8">
        <v>4.9293043263636482E-2</v>
      </c>
      <c r="D45" s="8">
        <v>0.14711362104087988</v>
      </c>
      <c r="E45" s="8">
        <v>5.9576917542092378E-2</v>
      </c>
      <c r="F45" s="8">
        <v>0.11843941335611574</v>
      </c>
      <c r="G45" s="8">
        <v>3.3058994397952901E-2</v>
      </c>
      <c r="H45" s="8">
        <v>4.3388569496110918E-2</v>
      </c>
      <c r="I45" s="8">
        <v>0.16875546487904391</v>
      </c>
      <c r="J45" s="8">
        <v>-1.3594344752582921E-2</v>
      </c>
      <c r="K45" s="8">
        <v>0.11760618248436483</v>
      </c>
      <c r="L45" s="8">
        <v>9.659613615455398E-2</v>
      </c>
      <c r="M45" s="8">
        <v>2.6546872351245865E-2</v>
      </c>
      <c r="N45" s="9">
        <f t="shared" si="1"/>
        <v>8.0871103181553231E-2</v>
      </c>
      <c r="O45" s="8">
        <v>5.5101296975444303E-2</v>
      </c>
      <c r="P45" s="8">
        <v>5.5101296975444303E-2</v>
      </c>
      <c r="Q45" s="9">
        <f t="shared" si="2"/>
        <v>2.5769806206108928E-2</v>
      </c>
    </row>
    <row r="46" spans="2:17" x14ac:dyDescent="0.35">
      <c r="B46" vm="18114">
        <v>44044</v>
      </c>
      <c r="C46" s="8">
        <v>9.5151046742162126E-2</v>
      </c>
      <c r="D46" s="8">
        <v>9.0460962877763285E-2</v>
      </c>
      <c r="E46" s="8">
        <v>9.1538774955860491E-2</v>
      </c>
      <c r="F46" s="8">
        <v>5.4743596272341932E-3</v>
      </c>
      <c r="G46" s="8">
        <v>0.1083216174599988</v>
      </c>
      <c r="H46" s="8">
        <v>0.1609567951252715</v>
      </c>
      <c r="I46" s="8">
        <v>-5.4506590666191235E-3</v>
      </c>
      <c r="J46" s="8">
        <v>4.7960308710033095E-2</v>
      </c>
      <c r="K46" s="8">
        <v>0.25998605720315027</v>
      </c>
      <c r="L46" s="8">
        <v>5.498779743746196E-2</v>
      </c>
      <c r="M46" s="8">
        <v>3.2267653081445413E-2</v>
      </c>
      <c r="N46" s="9">
        <f t="shared" si="1"/>
        <v>0.12280607152920323</v>
      </c>
      <c r="O46" s="8">
        <v>7.0064687324219221E-2</v>
      </c>
      <c r="P46" s="8">
        <v>7.0064687324219221E-2</v>
      </c>
      <c r="Q46" s="9">
        <f t="shared" si="2"/>
        <v>5.2741384204984004E-2</v>
      </c>
    </row>
    <row r="47" spans="2:17" x14ac:dyDescent="0.35">
      <c r="B47" vm="11138">
        <v>44075</v>
      </c>
      <c r="C47" s="8">
        <v>-0.10059955938215315</v>
      </c>
      <c r="D47" s="8">
        <v>-8.7578528873125228E-2</v>
      </c>
      <c r="E47" s="8">
        <v>3.4216747542615389E-2</v>
      </c>
      <c r="F47" s="8">
        <v>-3.7542100331737882E-2</v>
      </c>
      <c r="G47" s="8">
        <v>-5.6780428873451916E-3</v>
      </c>
      <c r="H47" s="8">
        <v>-5.5892124291577083E-2</v>
      </c>
      <c r="I47" s="8">
        <v>-5.7670953182649143E-3</v>
      </c>
      <c r="J47" s="8">
        <v>-0.18148342977380327</v>
      </c>
      <c r="K47" s="8">
        <v>1.1663987438782719E-2</v>
      </c>
      <c r="L47" s="8">
        <v>4.7711993060073343E-3</v>
      </c>
      <c r="M47" s="8">
        <v>-2.495600703887435E-3</v>
      </c>
      <c r="N47" s="9">
        <f t="shared" si="1"/>
        <v>-3.5390037110041954E-2</v>
      </c>
      <c r="O47" s="8">
        <v>-3.9227954095494399E-2</v>
      </c>
      <c r="P47" s="8">
        <v>-3.9227954095494399E-2</v>
      </c>
      <c r="Q47" s="9">
        <f t="shared" si="2"/>
        <v>3.8379169854524456E-3</v>
      </c>
    </row>
    <row r="48" spans="2:17" x14ac:dyDescent="0.35">
      <c r="B48" vm="11391">
        <v>44105</v>
      </c>
      <c r="C48" s="8">
        <v>0.10269514192139728</v>
      </c>
      <c r="D48" s="8">
        <v>-3.5754097683827979E-2</v>
      </c>
      <c r="E48" s="8">
        <v>7.0741097208854686E-2</v>
      </c>
      <c r="F48" s="8">
        <v>-3.800665675608117E-2</v>
      </c>
      <c r="G48" s="8">
        <v>2.0654881234432043E-3</v>
      </c>
      <c r="H48" s="8">
        <v>-0.14646479581275695</v>
      </c>
      <c r="I48" s="8">
        <v>5.5051160109525821E-2</v>
      </c>
      <c r="J48" s="8">
        <v>-3.98457583547559E-2</v>
      </c>
      <c r="K48" s="8">
        <v>-7.3648423931118479E-2</v>
      </c>
      <c r="L48" s="8">
        <v>-1.3598100582775885E-2</v>
      </c>
      <c r="M48" s="8">
        <v>-2.126567662058565E-2</v>
      </c>
      <c r="N48" s="9">
        <f t="shared" si="1"/>
        <v>-1.5352958018422822E-2</v>
      </c>
      <c r="O48" s="8">
        <v>-2.7665774606006499E-2</v>
      </c>
      <c r="P48" s="8">
        <v>-2.7665774606006499E-2</v>
      </c>
      <c r="Q48" s="9">
        <f t="shared" si="2"/>
        <v>1.2312816587583677E-2</v>
      </c>
    </row>
    <row r="49" spans="2:24" x14ac:dyDescent="0.35">
      <c r="B49" vm="18121">
        <v>44136</v>
      </c>
      <c r="C49" s="8">
        <v>8.5569670381347773E-2</v>
      </c>
      <c r="D49" s="8">
        <v>4.3439882746240999E-2</v>
      </c>
      <c r="E49" s="8">
        <v>7.8764044943820277E-2</v>
      </c>
      <c r="F49" s="8">
        <v>-4.574421530550854E-2</v>
      </c>
      <c r="G49" s="8">
        <v>0.23625341012428014</v>
      </c>
      <c r="H49" s="8">
        <v>0.1658467294900221</v>
      </c>
      <c r="I49" s="8">
        <v>5.1905477393801025E-3</v>
      </c>
      <c r="J49" s="8">
        <v>0.39156626506024095</v>
      </c>
      <c r="K49" s="8">
        <v>6.9211744056167257E-2</v>
      </c>
      <c r="L49" s="8">
        <v>1.2910284463895083E-2</v>
      </c>
      <c r="M49" s="8">
        <v>0.10224814839090257</v>
      </c>
      <c r="N49" s="9">
        <f t="shared" si="1"/>
        <v>9.765401431188557E-2</v>
      </c>
      <c r="O49" s="8">
        <v>0.10754565805086314</v>
      </c>
      <c r="P49" s="8">
        <v>0.10754565805086314</v>
      </c>
      <c r="Q49" s="9">
        <f t="shared" si="2"/>
        <v>-9.8916437389775652E-3</v>
      </c>
    </row>
    <row r="50" spans="2:24" x14ac:dyDescent="0.35">
      <c r="B50" vm="11893">
        <v>44166</v>
      </c>
      <c r="C50" s="8">
        <v>-1.0031919744640794E-3</v>
      </c>
      <c r="D50" s="8">
        <v>2.8058357849017002E-2</v>
      </c>
      <c r="E50" s="8">
        <v>-2.9476096239974936E-2</v>
      </c>
      <c r="F50" s="8">
        <v>2.3488442081428529E-2</v>
      </c>
      <c r="G50" s="8">
        <v>4.3056100431541733E-2</v>
      </c>
      <c r="H50" s="8">
        <v>6.0711420165819652E-2</v>
      </c>
      <c r="I50" s="8">
        <v>4.8376138062236729E-2</v>
      </c>
      <c r="J50" s="8">
        <v>5.0024050024050082E-2</v>
      </c>
      <c r="K50" s="8">
        <v>-2.5855314703578047E-2</v>
      </c>
      <c r="L50" s="8">
        <v>1.9442644199609838E-3</v>
      </c>
      <c r="M50" s="8">
        <v>4.2635428435511713E-2</v>
      </c>
      <c r="N50" s="9">
        <f t="shared" si="1"/>
        <v>1.4924848974339048E-2</v>
      </c>
      <c r="O50" s="8">
        <v>3.712140665943231E-2</v>
      </c>
      <c r="P50" s="8">
        <v>3.712140665943231E-2</v>
      </c>
      <c r="Q50" s="9">
        <f t="shared" si="2"/>
        <v>-2.2196557685093262E-2</v>
      </c>
    </row>
    <row r="51" spans="2:24" x14ac:dyDescent="0.35">
      <c r="B51" vm="18126">
        <v>44197</v>
      </c>
      <c r="C51" s="8">
        <v>4.2632828190615202E-2</v>
      </c>
      <c r="D51" s="8">
        <v>-1.5576017906433259E-2</v>
      </c>
      <c r="E51" s="8">
        <v>-5.5376690276883522E-2</v>
      </c>
      <c r="F51" s="8">
        <v>3.6097342406676391E-2</v>
      </c>
      <c r="G51" s="8">
        <v>-8.1476257639868321E-2</v>
      </c>
      <c r="H51" s="8">
        <v>-0.11388468650193306</v>
      </c>
      <c r="I51" s="8">
        <v>4.821775761503555E-2</v>
      </c>
      <c r="J51" s="8">
        <v>1.7407237746220883E-2</v>
      </c>
      <c r="K51" s="8">
        <v>-4.9942550746839842E-3</v>
      </c>
      <c r="L51" s="8">
        <v>-7.855397441425882E-2</v>
      </c>
      <c r="M51" s="8">
        <v>-4.876240447131297E-2</v>
      </c>
      <c r="N51" s="9">
        <f t="shared" si="1"/>
        <v>-2.2426746389778141E-2</v>
      </c>
      <c r="O51" s="8">
        <v>-1.1136640158463607E-2</v>
      </c>
      <c r="P51" s="8">
        <v>-1.1136640158463607E-2</v>
      </c>
      <c r="Q51" s="9">
        <f t="shared" si="2"/>
        <v>-1.1290106231314535E-2</v>
      </c>
      <c r="S51" t="s">
        <v>94</v>
      </c>
    </row>
    <row r="52" spans="2:24" ht="15" thickBot="1" x14ac:dyDescent="0.4">
      <c r="B52" vm="12377">
        <v>44228</v>
      </c>
      <c r="C52" s="8">
        <v>0.10646506435513525</v>
      </c>
      <c r="D52" s="8">
        <v>-3.5328426174287331E-2</v>
      </c>
      <c r="E52" s="8">
        <v>-2.9879572824358047E-2</v>
      </c>
      <c r="F52" s="8">
        <v>-0.12381750364884592</v>
      </c>
      <c r="G52" s="8">
        <v>3.5727081947074746E-2</v>
      </c>
      <c r="H52" s="8">
        <v>0.11875177843118667</v>
      </c>
      <c r="I52" s="8">
        <v>-9.13812291331767E-2</v>
      </c>
      <c r="J52" s="8">
        <v>0.25664115263394871</v>
      </c>
      <c r="K52" s="8">
        <v>5.5789927481562307E-2</v>
      </c>
      <c r="L52" s="8">
        <v>-3.6502612900709774E-2</v>
      </c>
      <c r="M52" s="8">
        <v>-4.0769830325557699E-3</v>
      </c>
      <c r="N52" s="9">
        <f t="shared" si="1"/>
        <v>3.6322561776523571E-2</v>
      </c>
      <c r="O52" s="8">
        <v>2.6091474971999817E-2</v>
      </c>
      <c r="P52" s="8">
        <v>2.6091474971999817E-2</v>
      </c>
      <c r="Q52" s="9">
        <f t="shared" si="2"/>
        <v>1.0231086804523754E-2</v>
      </c>
    </row>
    <row r="53" spans="2:24" x14ac:dyDescent="0.35">
      <c r="B53" vm="12599">
        <v>44256</v>
      </c>
      <c r="C53" s="8">
        <v>2.008496916282132E-2</v>
      </c>
      <c r="D53" s="8">
        <v>3.7181572166211652E-4</v>
      </c>
      <c r="E53" s="8">
        <v>-7.6121325682164676E-3</v>
      </c>
      <c r="F53" s="8">
        <v>4.8200018508807174E-2</v>
      </c>
      <c r="G53" s="8">
        <v>7.2745243390165637E-2</v>
      </c>
      <c r="H53" s="8">
        <v>6.217323724742041E-3</v>
      </c>
      <c r="I53" s="8">
        <v>2.8987479586281895E-2</v>
      </c>
      <c r="J53" s="8">
        <v>-2.5797205302758863E-2</v>
      </c>
      <c r="K53" s="8">
        <v>-2.6701666119800183E-2</v>
      </c>
      <c r="L53" s="8">
        <v>9.6332874605359109E-2</v>
      </c>
      <c r="M53" s="8">
        <v>0.1199506351213051</v>
      </c>
      <c r="N53" s="9">
        <f t="shared" si="1"/>
        <v>2.2750316627261277E-2</v>
      </c>
      <c r="O53" s="8">
        <v>4.2438634008107767E-2</v>
      </c>
      <c r="P53" s="8">
        <v>4.2438634008107767E-2</v>
      </c>
      <c r="Q53" s="9">
        <f t="shared" si="2"/>
        <v>-1.968831738084649E-2</v>
      </c>
      <c r="S53" s="52" t="s">
        <v>95</v>
      </c>
      <c r="T53" s="52"/>
    </row>
    <row r="54" spans="2:24" x14ac:dyDescent="0.35">
      <c r="B54" vm="12869">
        <v>44287</v>
      </c>
      <c r="C54" s="8">
        <v>0.14107984407423912</v>
      </c>
      <c r="D54" s="8">
        <v>0.12066268486916942</v>
      </c>
      <c r="E54" s="8">
        <v>0.10502714184564566</v>
      </c>
      <c r="F54" s="8">
        <v>6.0580644211951196E-2</v>
      </c>
      <c r="G54" s="8">
        <v>2.7502648915096461E-2</v>
      </c>
      <c r="H54" s="8">
        <v>7.3051537705378422E-2</v>
      </c>
      <c r="I54" s="8">
        <v>2.5128951196931704E-2</v>
      </c>
      <c r="J54" s="8">
        <v>-5.1489518205222184E-3</v>
      </c>
      <c r="K54" s="8">
        <v>0.12445030453316153</v>
      </c>
      <c r="L54" s="8">
        <v>-1.4841615594772373E-2</v>
      </c>
      <c r="M54" s="8">
        <v>7.1841320181686319E-2</v>
      </c>
      <c r="N54" s="9">
        <f t="shared" si="1"/>
        <v>9.1628835347976889E-2</v>
      </c>
      <c r="O54" s="8">
        <v>5.242531255584737E-2</v>
      </c>
      <c r="P54" s="8">
        <v>5.242531255584737E-2</v>
      </c>
      <c r="Q54" s="9">
        <f t="shared" si="2"/>
        <v>3.9203522792129519E-2</v>
      </c>
      <c r="S54" s="49" t="s">
        <v>96</v>
      </c>
      <c r="T54" s="54">
        <v>0.88954051333701378</v>
      </c>
    </row>
    <row r="55" spans="2:24" x14ac:dyDescent="0.35">
      <c r="B55" vm="18133">
        <v>44317</v>
      </c>
      <c r="C55" s="8">
        <v>1.4234119396643319E-3</v>
      </c>
      <c r="D55" s="8">
        <v>-7.0470263192806137E-2</v>
      </c>
      <c r="E55" s="8">
        <v>-0.12259718069201198</v>
      </c>
      <c r="F55" s="8">
        <v>2.2143293190521218E-2</v>
      </c>
      <c r="G55" s="8">
        <v>3.5285150645624208E-2</v>
      </c>
      <c r="H55" s="8">
        <v>-5.6221535884416141E-2</v>
      </c>
      <c r="I55" s="8">
        <v>-5.5347697071345681E-2</v>
      </c>
      <c r="J55" s="8">
        <v>0.15822550831792959</v>
      </c>
      <c r="K55" s="8">
        <v>8.2281221892801293E-2</v>
      </c>
      <c r="L55" s="8">
        <v>1.0718033278369177E-2</v>
      </c>
      <c r="M55" s="8">
        <v>3.28986960882649E-2</v>
      </c>
      <c r="N55" s="9">
        <f t="shared" si="1"/>
        <v>5.4642106307245591E-3</v>
      </c>
      <c r="O55" s="8">
        <v>5.4865025818131574E-3</v>
      </c>
      <c r="P55" s="8">
        <v>5.4865025818131574E-3</v>
      </c>
      <c r="Q55" s="9">
        <f t="shared" si="2"/>
        <v>-2.2291951088598307E-5</v>
      </c>
      <c r="S55" s="49" t="s">
        <v>97</v>
      </c>
      <c r="T55" s="54">
        <v>0.79128232486787797</v>
      </c>
    </row>
    <row r="56" spans="2:24" x14ac:dyDescent="0.35">
      <c r="B56" vm="13339">
        <v>44348</v>
      </c>
      <c r="C56" s="8">
        <v>3.603962916604786E-2</v>
      </c>
      <c r="D56" s="8">
        <v>6.7355037278123087E-2</v>
      </c>
      <c r="E56" s="8">
        <v>-1.3875365141187923E-2</v>
      </c>
      <c r="F56" s="8">
        <v>8.9423390161798233E-2</v>
      </c>
      <c r="G56" s="8">
        <v>-5.0062795028366081E-2</v>
      </c>
      <c r="H56" s="8">
        <v>1.2507626601586219E-2</v>
      </c>
      <c r="I56" s="8">
        <v>8.194482381862489E-4</v>
      </c>
      <c r="J56" s="8">
        <v>2.1704436642195901E-2</v>
      </c>
      <c r="K56" s="8">
        <v>0.23133983809904901</v>
      </c>
      <c r="L56" s="8">
        <v>5.9325176121616252E-4</v>
      </c>
      <c r="M56" s="8">
        <v>-2.7869489221208021E-2</v>
      </c>
      <c r="N56" s="9">
        <f t="shared" si="1"/>
        <v>6.0727262969432531E-2</v>
      </c>
      <c r="O56" s="8">
        <v>2.221397632316946E-2</v>
      </c>
      <c r="P56" s="8">
        <v>2.221397632316946E-2</v>
      </c>
      <c r="Q56" s="9">
        <f t="shared" si="2"/>
        <v>3.8513286646263072E-2</v>
      </c>
      <c r="S56" s="49" t="s">
        <v>98</v>
      </c>
      <c r="T56" s="54">
        <v>0.78830064379456199</v>
      </c>
    </row>
    <row r="57" spans="2:24" x14ac:dyDescent="0.35">
      <c r="B57" vm="13593">
        <v>44378</v>
      </c>
      <c r="C57" s="8">
        <v>0.10350603450747187</v>
      </c>
      <c r="D57" s="8">
        <v>-3.2722315241151545E-2</v>
      </c>
      <c r="E57" s="8">
        <v>-1.727968402863489E-3</v>
      </c>
      <c r="F57" s="8">
        <v>2.2190381260901892E-2</v>
      </c>
      <c r="G57" s="8">
        <v>6.5830863916115812E-2</v>
      </c>
      <c r="H57" s="8">
        <v>5.7109205949217978E-2</v>
      </c>
      <c r="I57" s="8">
        <v>6.3045851528384267E-2</v>
      </c>
      <c r="J57" s="8">
        <v>-9.9343955014058127E-2</v>
      </c>
      <c r="K57" s="8">
        <v>-2.5171853518310305E-2</v>
      </c>
      <c r="L57" s="8">
        <v>5.410212702882955E-2</v>
      </c>
      <c r="M57" s="8">
        <v>2.941764059534524E-2</v>
      </c>
      <c r="N57" s="9">
        <f t="shared" si="1"/>
        <v>2.6978296993855747E-2</v>
      </c>
      <c r="O57" s="8">
        <v>2.274810936591054E-2</v>
      </c>
      <c r="P57" s="8">
        <v>2.274810936591054E-2</v>
      </c>
      <c r="Q57" s="9">
        <f t="shared" si="2"/>
        <v>4.2301876279452061E-3</v>
      </c>
      <c r="S57" s="49" t="s">
        <v>99</v>
      </c>
      <c r="T57" s="54">
        <v>2.9328778545537181E-2</v>
      </c>
    </row>
    <row r="58" spans="2:24" ht="15" thickBot="1" x14ac:dyDescent="0.4">
      <c r="B58" vm="18140">
        <v>44409</v>
      </c>
      <c r="C58" s="8">
        <v>7.4009196409021261E-2</v>
      </c>
      <c r="D58" s="8">
        <v>4.3034147836722658E-2</v>
      </c>
      <c r="E58" s="8">
        <v>0.18644906033630071</v>
      </c>
      <c r="F58" s="8">
        <v>2.8083519216001829E-2</v>
      </c>
      <c r="G58" s="8">
        <v>-8.0414046794131666E-3</v>
      </c>
      <c r="H58" s="8">
        <v>-0.10289164118774929</v>
      </c>
      <c r="I58" s="8">
        <v>7.8177150192554334E-2</v>
      </c>
      <c r="J58" s="8">
        <v>-2.7402011793270842E-2</v>
      </c>
      <c r="K58" s="8">
        <v>0.14800759013282749</v>
      </c>
      <c r="L58" s="8">
        <v>1.1249384799267848E-3</v>
      </c>
      <c r="M58" s="8">
        <v>9.8248508078209174E-3</v>
      </c>
      <c r="N58" s="9">
        <f t="shared" si="1"/>
        <v>5.4008462540205054E-2</v>
      </c>
      <c r="O58" s="8">
        <v>2.8990321391681118E-2</v>
      </c>
      <c r="P58" s="8">
        <v>2.8990321391681118E-2</v>
      </c>
      <c r="Q58" s="9">
        <f t="shared" si="2"/>
        <v>2.5018141148523937E-2</v>
      </c>
      <c r="S58" s="50" t="s">
        <v>100</v>
      </c>
      <c r="T58" s="50">
        <v>72</v>
      </c>
    </row>
    <row r="59" spans="2:24" x14ac:dyDescent="0.35">
      <c r="B59" vm="14096">
        <v>44440</v>
      </c>
      <c r="C59" s="8">
        <v>-7.6169249641493519E-2</v>
      </c>
      <c r="D59" s="8">
        <v>-5.3518075135631893E-2</v>
      </c>
      <c r="E59" s="8">
        <v>-6.2421842434347563E-2</v>
      </c>
      <c r="F59" s="8">
        <v>-6.3216551070010119E-2</v>
      </c>
      <c r="G59" s="8">
        <v>-8.4644905351213828E-2</v>
      </c>
      <c r="H59" s="8">
        <v>4.187967536031012E-3</v>
      </c>
      <c r="I59" s="8">
        <v>-6.5126800809620189E-2</v>
      </c>
      <c r="J59" s="8">
        <v>5.7061340941512162E-2</v>
      </c>
      <c r="K59" s="8">
        <v>-7.4558856377038185E-2</v>
      </c>
      <c r="L59" s="8">
        <v>-1.8189479598286207E-2</v>
      </c>
      <c r="M59" s="8">
        <v>-6.1330386527974623E-2</v>
      </c>
      <c r="N59" s="9">
        <f t="shared" si="1"/>
        <v>-5.7836428940145991E-2</v>
      </c>
      <c r="O59" s="8">
        <v>-4.7569140421166334E-2</v>
      </c>
      <c r="P59" s="8">
        <v>-4.7569140421166334E-2</v>
      </c>
      <c r="Q59" s="9">
        <f t="shared" si="2"/>
        <v>-1.0267288518979657E-2</v>
      </c>
    </row>
    <row r="60" spans="2:24" ht="15" thickBot="1" x14ac:dyDescent="0.4">
      <c r="B60" vm="14331">
        <v>44470</v>
      </c>
      <c r="C60" s="8">
        <v>0.10749872826835039</v>
      </c>
      <c r="D60" s="8">
        <v>2.6602415800111912E-2</v>
      </c>
      <c r="E60" s="8">
        <v>1.6783372235189553E-2</v>
      </c>
      <c r="F60" s="8">
        <v>5.9407945527951256E-2</v>
      </c>
      <c r="G60" s="8">
        <v>2.9866214433766691E-2</v>
      </c>
      <c r="H60" s="8">
        <v>-3.4974689369535295E-2</v>
      </c>
      <c r="I60" s="8">
        <v>8.6729495669892964E-2</v>
      </c>
      <c r="J60" s="8">
        <v>8.8394062078272606E-2</v>
      </c>
      <c r="K60" s="8">
        <v>0.23416682757289053</v>
      </c>
      <c r="L60" s="8">
        <v>2.2818311874105879E-2</v>
      </c>
      <c r="M60" s="8">
        <v>0.17845626247632707</v>
      </c>
      <c r="N60" s="9">
        <f t="shared" si="1"/>
        <v>9.9720911538761448E-2</v>
      </c>
      <c r="O60" s="8">
        <v>6.9143873301234615E-2</v>
      </c>
      <c r="P60" s="8">
        <v>6.9143873301234615E-2</v>
      </c>
      <c r="Q60" s="9">
        <f t="shared" si="2"/>
        <v>3.0577038237526832E-2</v>
      </c>
      <c r="S60" t="s">
        <v>101</v>
      </c>
    </row>
    <row r="61" spans="2:24" x14ac:dyDescent="0.35">
      <c r="B61" vm="14570">
        <v>44501</v>
      </c>
      <c r="C61" s="8">
        <v>-4.1531010631830512E-2</v>
      </c>
      <c r="D61" s="8">
        <v>3.9923734517840259E-2</v>
      </c>
      <c r="E61" s="8">
        <v>2.1534761696545779E-2</v>
      </c>
      <c r="F61" s="8">
        <v>-2.9710776876485823E-2</v>
      </c>
      <c r="G61" s="8">
        <v>-7.4924526575793626E-2</v>
      </c>
      <c r="H61" s="8">
        <v>-6.1397234144015211E-2</v>
      </c>
      <c r="I61" s="8">
        <v>1.6992851283253341E-2</v>
      </c>
      <c r="J61" s="8">
        <v>-0.11097334159950401</v>
      </c>
      <c r="K61" s="8">
        <v>0.27805374115070225</v>
      </c>
      <c r="L61" s="8">
        <v>1.1119658717392955E-2</v>
      </c>
      <c r="M61" s="8">
        <v>-3.5290029752209739E-2</v>
      </c>
      <c r="N61" s="9">
        <f t="shared" si="1"/>
        <v>4.1309656342777133E-2</v>
      </c>
      <c r="O61" s="8">
        <v>-8.3337314184714906E-3</v>
      </c>
      <c r="P61" s="8">
        <v>-8.3337314184714906E-3</v>
      </c>
      <c r="Q61" s="9">
        <f t="shared" si="2"/>
        <v>4.9643387761248624E-2</v>
      </c>
      <c r="S61" s="51"/>
      <c r="T61" s="51" t="s">
        <v>105</v>
      </c>
      <c r="U61" s="51" t="s">
        <v>106</v>
      </c>
      <c r="V61" s="51" t="s">
        <v>107</v>
      </c>
      <c r="W61" s="51" t="s">
        <v>108</v>
      </c>
      <c r="X61" s="51" t="s">
        <v>109</v>
      </c>
    </row>
    <row r="62" spans="2:24" x14ac:dyDescent="0.35">
      <c r="B62" vm="14804">
        <v>44531</v>
      </c>
      <c r="C62" s="8">
        <v>2.0821367536425939E-2</v>
      </c>
      <c r="D62" s="8">
        <v>-4.9251939653328747E-2</v>
      </c>
      <c r="E62" s="8">
        <v>3.017656500802568E-2</v>
      </c>
      <c r="F62" s="8">
        <v>4.1418369859640425E-2</v>
      </c>
      <c r="G62" s="8">
        <v>3.1002768987341778E-2</v>
      </c>
      <c r="H62" s="8">
        <v>0.14098818747618425</v>
      </c>
      <c r="I62" s="8">
        <v>7.582392256280257E-2</v>
      </c>
      <c r="J62" s="8">
        <v>4.4281729428172989E-2</v>
      </c>
      <c r="K62" s="8">
        <v>-9.9920430897294632E-2</v>
      </c>
      <c r="L62" s="8">
        <v>0.13141513349010925</v>
      </c>
      <c r="M62" s="8">
        <v>0.13038584485164995</v>
      </c>
      <c r="N62" s="9">
        <f t="shared" si="1"/>
        <v>1.7577191970585382E-2</v>
      </c>
      <c r="O62" s="8">
        <v>4.3612874972629889E-2</v>
      </c>
      <c r="P62" s="8">
        <v>4.3612874972629889E-2</v>
      </c>
      <c r="Q62" s="9">
        <f t="shared" si="2"/>
        <v>-2.6035683002044507E-2</v>
      </c>
      <c r="S62" s="49" t="s">
        <v>102</v>
      </c>
      <c r="T62" s="49">
        <v>1</v>
      </c>
      <c r="U62" s="54">
        <v>0.22827493558576256</v>
      </c>
      <c r="V62" s="49">
        <v>0.22827493558576256</v>
      </c>
      <c r="W62" s="49">
        <v>265.38127499594253</v>
      </c>
      <c r="X62" s="57">
        <v>1.6280590066468597E-25</v>
      </c>
    </row>
    <row r="63" spans="2:24" x14ac:dyDescent="0.35">
      <c r="B63" vm="18149">
        <v>44562</v>
      </c>
      <c r="C63" s="8">
        <v>-6.5919006986441264E-2</v>
      </c>
      <c r="D63" s="8">
        <v>-0.10282994535650247</v>
      </c>
      <c r="E63" s="8">
        <v>8.6215851251687514E-3</v>
      </c>
      <c r="F63" s="8">
        <v>-0.14298212427882351</v>
      </c>
      <c r="G63" s="8">
        <v>-1.9327610186561817E-2</v>
      </c>
      <c r="H63" s="8">
        <v>7.5308916842925511E-2</v>
      </c>
      <c r="I63" s="8">
        <v>-0.16323907455012843</v>
      </c>
      <c r="J63" s="8">
        <v>0.30450751252086805</v>
      </c>
      <c r="K63" s="8">
        <v>-0.16745435381319917</v>
      </c>
      <c r="L63" s="8">
        <v>-1.9134368504707289E-2</v>
      </c>
      <c r="M63" s="8">
        <v>-5.888795953319792E-2</v>
      </c>
      <c r="N63" s="9">
        <f t="shared" si="1"/>
        <v>-6.6963386817528822E-2</v>
      </c>
      <c r="O63" s="8">
        <v>-5.2585089106999772E-2</v>
      </c>
      <c r="P63" s="8">
        <v>-5.2585089106999772E-2</v>
      </c>
      <c r="Q63" s="9">
        <f t="shared" si="2"/>
        <v>-1.437829771052905E-2</v>
      </c>
      <c r="S63" s="49" t="s">
        <v>103</v>
      </c>
      <c r="T63" s="49">
        <v>70</v>
      </c>
      <c r="U63" s="54">
        <v>6.0212407568121337E-2</v>
      </c>
      <c r="V63" s="49">
        <v>8.6017725097316201E-4</v>
      </c>
      <c r="W63" s="49"/>
      <c r="X63" s="49"/>
    </row>
    <row r="64" spans="2:24" ht="15" thickBot="1" x14ac:dyDescent="0.4">
      <c r="B64" vm="15262">
        <v>44593</v>
      </c>
      <c r="C64" s="8">
        <v>-1.8218301817767291E-3</v>
      </c>
      <c r="D64" s="8">
        <v>2.667250549061162E-2</v>
      </c>
      <c r="E64" s="8">
        <v>-7.5798146240988684E-2</v>
      </c>
      <c r="F64" s="8">
        <v>-2.0927024417160878E-2</v>
      </c>
      <c r="G64" s="8">
        <v>-7.2036384976525758E-2</v>
      </c>
      <c r="H64" s="8">
        <v>-6.6152492365029292E-2</v>
      </c>
      <c r="I64" s="8">
        <v>1.9201228878646948E-3</v>
      </c>
      <c r="J64" s="8">
        <v>4.3511645764013895E-3</v>
      </c>
      <c r="K64" s="8">
        <v>-4.1248060115984808E-3</v>
      </c>
      <c r="L64" s="8">
        <v>-2.8420068557182931E-2</v>
      </c>
      <c r="M64" s="8">
        <v>6.9830924519118653E-3</v>
      </c>
      <c r="N64" s="9">
        <f t="shared" si="1"/>
        <v>-1.599156103608905E-2</v>
      </c>
      <c r="O64" s="8">
        <v>-3.1360520866782648E-2</v>
      </c>
      <c r="P64" s="8">
        <v>-3.1360520866782648E-2</v>
      </c>
      <c r="Q64" s="9">
        <f t="shared" si="2"/>
        <v>1.5368959830693599E-2</v>
      </c>
      <c r="S64" s="50" t="s">
        <v>104</v>
      </c>
      <c r="T64" s="50">
        <v>71</v>
      </c>
      <c r="U64" s="56">
        <v>0.28848734315388391</v>
      </c>
      <c r="V64" s="50"/>
      <c r="W64" s="50"/>
      <c r="X64" s="50"/>
    </row>
    <row r="65" spans="2:27" ht="15" thickBot="1" x14ac:dyDescent="0.4">
      <c r="B65" vm="15470">
        <v>44621</v>
      </c>
      <c r="C65" s="8">
        <v>2.9694869573587468E-2</v>
      </c>
      <c r="D65" s="8">
        <v>6.1437325397394105E-2</v>
      </c>
      <c r="E65" s="8">
        <v>2.8972587474929146E-3</v>
      </c>
      <c r="F65" s="8">
        <v>4.4932579995209387E-2</v>
      </c>
      <c r="G65" s="8">
        <v>2.5454545454545618E-2</v>
      </c>
      <c r="H65" s="8">
        <v>-9.5338395876060078E-3</v>
      </c>
      <c r="I65" s="8">
        <v>8.2279289638431008E-2</v>
      </c>
      <c r="J65" s="8">
        <v>5.2752293577981613E-2</v>
      </c>
      <c r="K65" s="8">
        <v>0.11896657781423015</v>
      </c>
      <c r="L65" s="8">
        <v>-1.9821669125665409E-2</v>
      </c>
      <c r="M65" s="8">
        <v>7.1658225986088731E-2</v>
      </c>
      <c r="N65" s="9">
        <f t="shared" si="1"/>
        <v>5.3395145633944513E-2</v>
      </c>
      <c r="O65" s="8">
        <v>3.5773238773280092E-2</v>
      </c>
      <c r="P65" s="8">
        <v>3.5773238773280092E-2</v>
      </c>
      <c r="Q65" s="9">
        <f t="shared" si="2"/>
        <v>1.7621906860664421E-2</v>
      </c>
    </row>
    <row r="66" spans="2:27" x14ac:dyDescent="0.35">
      <c r="B66" vm="15731">
        <v>44652</v>
      </c>
      <c r="C66" s="8">
        <v>-0.17946680568788542</v>
      </c>
      <c r="D66" s="8">
        <v>-0.23752511541588062</v>
      </c>
      <c r="E66" s="8">
        <v>-9.8222222222222211E-2</v>
      </c>
      <c r="F66" s="8">
        <v>-3.0392923599687149E-2</v>
      </c>
      <c r="G66" s="8">
        <v>-5.4990235378765684E-3</v>
      </c>
      <c r="H66" s="8">
        <v>1.6788852202137772E-2</v>
      </c>
      <c r="I66" s="8">
        <v>-0.16161019950419075</v>
      </c>
      <c r="J66" s="8">
        <v>-5.5676591624304161E-2</v>
      </c>
      <c r="K66" s="8">
        <v>-0.3202741332551492</v>
      </c>
      <c r="L66" s="8">
        <v>5.0719895287958172E-2</v>
      </c>
      <c r="M66" s="8">
        <v>-2.7844775182853665E-3</v>
      </c>
      <c r="N66" s="9">
        <f t="shared" si="1"/>
        <v>-0.14398309729773148</v>
      </c>
      <c r="O66" s="8">
        <v>-8.7956719149039353E-2</v>
      </c>
      <c r="P66" s="8">
        <v>-8.7956719149039353E-2</v>
      </c>
      <c r="Q66" s="9">
        <f t="shared" si="2"/>
        <v>-5.602637814869213E-2</v>
      </c>
      <c r="S66" s="51"/>
      <c r="T66" s="51" t="s">
        <v>110</v>
      </c>
      <c r="U66" s="51" t="s">
        <v>99</v>
      </c>
      <c r="V66" s="51" t="s">
        <v>111</v>
      </c>
      <c r="W66" s="51" t="s">
        <v>112</v>
      </c>
      <c r="X66" s="51" t="s">
        <v>113</v>
      </c>
      <c r="Y66" s="51" t="s">
        <v>114</v>
      </c>
      <c r="Z66" s="51" t="s">
        <v>115</v>
      </c>
      <c r="AA66" s="51" t="s">
        <v>116</v>
      </c>
    </row>
    <row r="67" spans="2:27" x14ac:dyDescent="0.35">
      <c r="B67" vm="18157">
        <v>44682</v>
      </c>
      <c r="C67" s="8">
        <v>-3.0453205035513298E-3</v>
      </c>
      <c r="D67" s="8">
        <v>-3.2764329365191025E-2</v>
      </c>
      <c r="E67" s="8">
        <v>-0.12654016757023157</v>
      </c>
      <c r="F67" s="8">
        <v>-4.4487400567391644E-2</v>
      </c>
      <c r="G67" s="8">
        <v>5.6844607513828471E-4</v>
      </c>
      <c r="H67" s="8">
        <v>-1.5163190048984476E-2</v>
      </c>
      <c r="I67" s="8">
        <v>6.5756125035201451E-2</v>
      </c>
      <c r="J67" s="8">
        <v>0.17815944629582159</v>
      </c>
      <c r="K67" s="8">
        <v>6.7396344422279153E-3</v>
      </c>
      <c r="L67" s="8">
        <v>-7.8916225474930046E-2</v>
      </c>
      <c r="M67" s="8">
        <v>-2.3144233605348563E-2</v>
      </c>
      <c r="N67" s="9">
        <f t="shared" si="1"/>
        <v>-1.0442441355854351E-2</v>
      </c>
      <c r="O67" s="8">
        <v>5.3243883608722342E-5</v>
      </c>
      <c r="P67" s="8">
        <v>5.3243883608722342E-5</v>
      </c>
      <c r="Q67" s="9">
        <f t="shared" si="2"/>
        <v>-1.0495685239463074E-2</v>
      </c>
      <c r="S67" s="49" t="s">
        <v>51</v>
      </c>
      <c r="T67" s="53">
        <v>8.4777704873267717E-3</v>
      </c>
      <c r="U67" s="53">
        <v>3.5107342577373013E-3</v>
      </c>
      <c r="V67" s="49">
        <v>2.4148140716269331</v>
      </c>
      <c r="W67" s="49">
        <v>1.8359257336578814E-2</v>
      </c>
      <c r="X67" s="53">
        <v>1.475831794129032E-3</v>
      </c>
      <c r="Y67" s="53">
        <v>1.5479709180524511E-2</v>
      </c>
      <c r="Z67" s="49">
        <v>1.475831794129032E-3</v>
      </c>
      <c r="AA67" s="49">
        <v>1.5479709180524511E-2</v>
      </c>
    </row>
    <row r="68" spans="2:27" ht="15" thickBot="1" x14ac:dyDescent="0.4">
      <c r="B68" vm="16167">
        <v>44713</v>
      </c>
      <c r="C68" s="8">
        <v>-4.218456074963528E-2</v>
      </c>
      <c r="D68" s="8">
        <v>-0.11645918167865277</v>
      </c>
      <c r="E68" s="8">
        <v>-2.9905487374806139E-2</v>
      </c>
      <c r="F68" s="8">
        <v>-4.3764281244087488E-2</v>
      </c>
      <c r="G68" s="8">
        <v>-0.1023138105567607</v>
      </c>
      <c r="H68" s="8">
        <v>-0.11845083410176871</v>
      </c>
      <c r="I68" s="8">
        <v>2.3384859294490523E-2</v>
      </c>
      <c r="J68" s="8">
        <v>-0.22193211488250664</v>
      </c>
      <c r="K68" s="8">
        <v>-0.18814267352185088</v>
      </c>
      <c r="L68" s="8">
        <v>-2.765756018393295E-2</v>
      </c>
      <c r="M68" s="8">
        <v>3.3918434719594215E-2</v>
      </c>
      <c r="N68" s="9">
        <f t="shared" ref="N68:N74" si="8">SUMPRODUCT($S$17:$AC$17,C68:M68)</f>
        <v>-8.9014464810754021E-2</v>
      </c>
      <c r="O68" s="8">
        <v>-8.3919993223866451E-2</v>
      </c>
      <c r="P68" s="8">
        <v>-8.3919993223866451E-2</v>
      </c>
      <c r="Q68" s="9">
        <f t="shared" ref="Q68:Q74" si="9">N68-P68</f>
        <v>-5.0944715868875695E-3</v>
      </c>
      <c r="S68" s="50" t="s">
        <v>19</v>
      </c>
      <c r="T68" s="55">
        <v>1.1470422860266958</v>
      </c>
      <c r="U68" s="55">
        <v>7.0411612533792328E-2</v>
      </c>
      <c r="V68" s="50">
        <v>16.29052715525015</v>
      </c>
      <c r="W68" s="50">
        <v>1.6280590066468712E-25</v>
      </c>
      <c r="X68" s="55">
        <v>1.0066107528896473</v>
      </c>
      <c r="Y68" s="55">
        <v>1.2874738191637443</v>
      </c>
      <c r="Z68" s="50">
        <v>1.0066107528896473</v>
      </c>
      <c r="AA68" s="50">
        <v>1.2874738191637443</v>
      </c>
    </row>
    <row r="69" spans="2:27" x14ac:dyDescent="0.35">
      <c r="B69" vm="16391">
        <v>44743</v>
      </c>
      <c r="C69" s="8">
        <v>6.7518331910832119E-2</v>
      </c>
      <c r="D69" s="8">
        <v>0.27059598907824123</v>
      </c>
      <c r="E69" s="8">
        <v>6.7616693325578181E-2</v>
      </c>
      <c r="F69" s="8">
        <v>7.1108946455206823E-2</v>
      </c>
      <c r="G69" s="8">
        <v>0.10730107588746329</v>
      </c>
      <c r="H69" s="8">
        <v>0.12143400532521875</v>
      </c>
      <c r="I69" s="8">
        <v>9.0756519493932375E-2</v>
      </c>
      <c r="J69" s="8">
        <v>3.551454138702459E-2</v>
      </c>
      <c r="K69" s="8">
        <v>0.19816610594366368</v>
      </c>
      <c r="L69" s="8">
        <v>-3.3938382363168484E-2</v>
      </c>
      <c r="M69" s="8">
        <v>5.5896267741370353E-2</v>
      </c>
      <c r="N69" s="9">
        <f t="shared" si="8"/>
        <v>0.12741588678634486</v>
      </c>
      <c r="O69" s="8">
        <v>9.1116347632205885E-2</v>
      </c>
      <c r="P69" s="8">
        <v>9.1116347632205885E-2</v>
      </c>
      <c r="Q69" s="9">
        <f t="shared" si="9"/>
        <v>3.6299539154138971E-2</v>
      </c>
    </row>
    <row r="70" spans="2:27" x14ac:dyDescent="0.35">
      <c r="B70" vm="16603">
        <v>44774</v>
      </c>
      <c r="C70" s="8">
        <v>-6.9635488308115501E-2</v>
      </c>
      <c r="D70" s="8">
        <v>-6.0615042608373471E-2</v>
      </c>
      <c r="E70" s="8">
        <v>-0.23985290111686186</v>
      </c>
      <c r="F70" s="8">
        <v>-6.5890811947594274E-2</v>
      </c>
      <c r="G70" s="8">
        <v>-1.6159201912085752E-2</v>
      </c>
      <c r="H70" s="8">
        <v>-8.3156674863619662E-2</v>
      </c>
      <c r="I70" s="8">
        <v>6.7463605160373863E-3</v>
      </c>
      <c r="J70" s="8">
        <v>3.02457466918713E-2</v>
      </c>
      <c r="K70" s="8">
        <v>-0.16896988382976386</v>
      </c>
      <c r="L70" s="8">
        <v>-6.9829385933337651E-3</v>
      </c>
      <c r="M70" s="8">
        <v>-4.24272596526164E-2</v>
      </c>
      <c r="N70" s="9">
        <f t="shared" si="8"/>
        <v>-8.3756403022058126E-2</v>
      </c>
      <c r="O70" s="8">
        <v>-4.2440119216810457E-2</v>
      </c>
      <c r="P70" s="8">
        <v>-4.2440119216810457E-2</v>
      </c>
      <c r="Q70" s="9">
        <f t="shared" si="9"/>
        <v>-4.1316283805247669E-2</v>
      </c>
    </row>
    <row r="71" spans="2:27" x14ac:dyDescent="0.35">
      <c r="B71" vm="16853">
        <v>44805</v>
      </c>
      <c r="C71" s="8">
        <v>-0.11615228238772868</v>
      </c>
      <c r="D71" s="8">
        <v>-0.10862191370197993</v>
      </c>
      <c r="E71" s="8">
        <v>-0.13420533954488445</v>
      </c>
      <c r="F71" s="8">
        <v>-0.13467301519692099</v>
      </c>
      <c r="G71" s="8">
        <v>-0.11819382096646425</v>
      </c>
      <c r="H71" s="8">
        <v>-0.12340845330949235</v>
      </c>
      <c r="I71" s="8">
        <v>-7.8180108158946715E-2</v>
      </c>
      <c r="J71" s="8">
        <v>-5.8977719528178207E-2</v>
      </c>
      <c r="K71" s="8">
        <v>-0.19577315489598512</v>
      </c>
      <c r="L71" s="8">
        <v>-8.4746991445555975E-2</v>
      </c>
      <c r="M71" s="8">
        <v>-2.7516222825563763E-2</v>
      </c>
      <c r="N71" s="9">
        <f t="shared" si="8"/>
        <v>-0.12172983281421365</v>
      </c>
      <c r="O71" s="8">
        <v>-9.3395701643489315E-2</v>
      </c>
      <c r="P71" s="8">
        <v>-9.3395701643489315E-2</v>
      </c>
      <c r="Q71" s="9">
        <f t="shared" si="9"/>
        <v>-2.8334131170724336E-2</v>
      </c>
    </row>
    <row r="72" spans="2:27" x14ac:dyDescent="0.35">
      <c r="B72" vm="18166">
        <v>44835</v>
      </c>
      <c r="C72" s="8">
        <v>-1.1918452692106674E-2</v>
      </c>
      <c r="D72" s="8">
        <v>-9.3451327433628384E-2</v>
      </c>
      <c r="E72" s="8">
        <v>2.2144039735099375E-2</v>
      </c>
      <c r="F72" s="8">
        <v>-4.2191125799873053E-3</v>
      </c>
      <c r="G72" s="8">
        <v>0.22189614900880406</v>
      </c>
      <c r="H72" s="8">
        <v>0.15418161356122972</v>
      </c>
      <c r="I72" s="8">
        <v>-1.1605662543042961E-2</v>
      </c>
      <c r="J72" s="8">
        <v>0.44930362116991662</v>
      </c>
      <c r="K72" s="8">
        <v>0.11187082955762429</v>
      </c>
      <c r="L72" s="8">
        <v>6.669306930693053E-2</v>
      </c>
      <c r="M72" s="8">
        <v>9.9219863773166495E-2</v>
      </c>
      <c r="N72" s="9">
        <f t="shared" si="8"/>
        <v>6.9847087248944839E-2</v>
      </c>
      <c r="O72" s="8">
        <v>7.9863454576893256E-2</v>
      </c>
      <c r="P72" s="8">
        <v>7.9863454576893256E-2</v>
      </c>
      <c r="Q72" s="9">
        <f t="shared" si="9"/>
        <v>-1.0016367327948417E-2</v>
      </c>
    </row>
    <row r="73" spans="2:27" x14ac:dyDescent="0.35">
      <c r="B73" vm="17301">
        <v>44866</v>
      </c>
      <c r="C73" s="8">
        <v>6.8564173103375259E-2</v>
      </c>
      <c r="D73" s="8">
        <v>-5.7594689574384961E-2</v>
      </c>
      <c r="E73" s="8">
        <v>0.13545252075318892</v>
      </c>
      <c r="F73" s="8">
        <v>0.21928183037921034</v>
      </c>
      <c r="G73" s="8">
        <v>7.6119988236447389E-2</v>
      </c>
      <c r="H73" s="8">
        <v>8.5989396063135937E-2</v>
      </c>
      <c r="I73" s="8">
        <v>9.2903225806451717E-2</v>
      </c>
      <c r="J73" s="8">
        <v>-9.225446857582198E-3</v>
      </c>
      <c r="K73" s="8">
        <v>0.25383418537452762</v>
      </c>
      <c r="L73" s="8">
        <v>0.10759634662508355</v>
      </c>
      <c r="M73" s="8">
        <v>-1.3311717553814217E-2</v>
      </c>
      <c r="N73" s="9">
        <f t="shared" si="8"/>
        <v>9.4642742508857625E-2</v>
      </c>
      <c r="O73" s="8">
        <v>5.3752860293699856E-2</v>
      </c>
      <c r="P73" s="8">
        <v>5.3752860293699856E-2</v>
      </c>
      <c r="Q73" s="9">
        <f t="shared" si="9"/>
        <v>4.0889882215157769E-2</v>
      </c>
    </row>
    <row r="74" spans="2:27" x14ac:dyDescent="0.35">
      <c r="B74" vm="17521">
        <v>44896</v>
      </c>
      <c r="C74" s="8">
        <v>-0.12634914347955239</v>
      </c>
      <c r="D74" s="8">
        <v>-0.1298943443132381</v>
      </c>
      <c r="E74" s="8">
        <v>-8.8088445078459254E-2</v>
      </c>
      <c r="F74" s="8">
        <v>-5.1574603634257588E-2</v>
      </c>
      <c r="G74" s="8">
        <v>-2.3912548394443123E-2</v>
      </c>
      <c r="H74" s="8">
        <v>-2.4326599326599196E-2</v>
      </c>
      <c r="I74" s="8">
        <v>-1.2987012987013102E-2</v>
      </c>
      <c r="J74" s="8">
        <v>3.7051406401551912E-2</v>
      </c>
      <c r="K74" s="8">
        <v>-0.13644152927967845</v>
      </c>
      <c r="L74" s="8">
        <v>1.6090104585679832E-2</v>
      </c>
      <c r="M74" s="8">
        <v>-3.2094347889586761E-2</v>
      </c>
      <c r="N74" s="9">
        <f t="shared" si="8"/>
        <v>-8.1377880401687933E-2</v>
      </c>
      <c r="O74" s="8">
        <v>-5.8971449299161094E-2</v>
      </c>
      <c r="P74" s="8">
        <v>-5.8971449299161094E-2</v>
      </c>
      <c r="Q74" s="9">
        <f t="shared" si="9"/>
        <v>-2.2406431102526839E-2</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A4193-8ABC-4B6F-ADA3-947CC3A5F7C9}">
  <dimension ref="A1:G73"/>
  <sheetViews>
    <sheetView topLeftCell="A39" workbookViewId="0">
      <selection activeCell="A2" sqref="A2:A73"/>
    </sheetView>
  </sheetViews>
  <sheetFormatPr defaultRowHeight="14.5" x14ac:dyDescent="0.35"/>
  <sheetData>
    <row r="1" spans="1:7" x14ac:dyDescent="0.35">
      <c r="A1" s="5" t="s">
        <v>82</v>
      </c>
      <c r="B1" t="s">
        <v>52</v>
      </c>
    </row>
    <row r="2" spans="1:7" x14ac:dyDescent="0.35">
      <c r="A2" vm="18033">
        <v>42736</v>
      </c>
      <c r="B2">
        <v>3.5850669395080283E-2</v>
      </c>
    </row>
    <row r="3" spans="1:7" x14ac:dyDescent="0.35">
      <c r="A3" vm="269">
        <v>42767</v>
      </c>
      <c r="B3">
        <v>5.684160224047002E-3</v>
      </c>
      <c r="E3" s="37"/>
    </row>
    <row r="4" spans="1:7" x14ac:dyDescent="0.35">
      <c r="A4" vm="509">
        <v>42795</v>
      </c>
      <c r="B4">
        <v>2.4049633298700634E-2</v>
      </c>
      <c r="E4" s="37"/>
    </row>
    <row r="5" spans="1:7" x14ac:dyDescent="0.35">
      <c r="A5" vm="18039">
        <v>42826</v>
      </c>
      <c r="B5">
        <v>2.9214828137034965E-2</v>
      </c>
      <c r="E5" s="37"/>
    </row>
    <row r="6" spans="1:7" x14ac:dyDescent="0.35">
      <c r="A6" vm="1030">
        <v>42856</v>
      </c>
      <c r="B6">
        <v>0.11963130649760052</v>
      </c>
      <c r="E6" s="37"/>
    </row>
    <row r="7" spans="1:7" x14ac:dyDescent="0.35">
      <c r="A7" vm="1310">
        <v>42887</v>
      </c>
      <c r="B7">
        <v>-9.1965059199853628E-3</v>
      </c>
      <c r="E7" s="37"/>
    </row>
    <row r="8" spans="1:7" x14ac:dyDescent="0.35">
      <c r="A8" vm="18046">
        <v>42917</v>
      </c>
      <c r="B8">
        <v>4.8820253622602831E-2</v>
      </c>
      <c r="E8" s="37"/>
      <c r="F8" t="s">
        <v>83</v>
      </c>
      <c r="G8">
        <f>SKEW(B2:B73)</f>
        <v>-0.44513527107041601</v>
      </c>
    </row>
    <row r="9" spans="1:7" x14ac:dyDescent="0.35">
      <c r="A9" vm="1842">
        <v>42948</v>
      </c>
      <c r="B9">
        <v>1.8907595540500883E-2</v>
      </c>
      <c r="E9" s="37"/>
      <c r="F9" t="s">
        <v>84</v>
      </c>
      <c r="G9">
        <f>KURT(B2:B73)</f>
        <v>-4.6644855347376613E-2</v>
      </c>
    </row>
    <row r="10" spans="1:7" x14ac:dyDescent="0.35">
      <c r="A10" vm="2127">
        <v>42979</v>
      </c>
      <c r="B10">
        <v>2.059365137165434E-2</v>
      </c>
      <c r="E10" s="37"/>
    </row>
    <row r="11" spans="1:7" x14ac:dyDescent="0.35">
      <c r="A11" vm="18052">
        <v>43009</v>
      </c>
      <c r="B11">
        <v>8.0792030925026348E-2</v>
      </c>
      <c r="E11" s="37"/>
    </row>
    <row r="12" spans="1:7" x14ac:dyDescent="0.35">
      <c r="A12" vm="2638">
        <v>43040</v>
      </c>
      <c r="B12">
        <v>1.904037527104973E-2</v>
      </c>
      <c r="E12" s="37"/>
    </row>
    <row r="13" spans="1:7" x14ac:dyDescent="0.35">
      <c r="A13" vm="2893">
        <v>43070</v>
      </c>
      <c r="B13">
        <v>-1.1660853526367891E-2</v>
      </c>
      <c r="E13" s="37"/>
    </row>
    <row r="14" spans="1:7" x14ac:dyDescent="0.35">
      <c r="A14" vm="18058">
        <v>43101</v>
      </c>
      <c r="B14">
        <v>0.13568164261979349</v>
      </c>
      <c r="E14" s="37"/>
    </row>
    <row r="15" spans="1:7" x14ac:dyDescent="0.35">
      <c r="A15" vm="3380">
        <v>43132</v>
      </c>
      <c r="B15">
        <v>-2.3379455816634771E-2</v>
      </c>
      <c r="E15" s="37"/>
    </row>
    <row r="16" spans="1:7" x14ac:dyDescent="0.35">
      <c r="A16" vm="3610">
        <v>43160</v>
      </c>
      <c r="B16">
        <v>-3.075525469810347E-2</v>
      </c>
      <c r="E16" s="37"/>
    </row>
    <row r="17" spans="1:5" x14ac:dyDescent="0.35">
      <c r="A17" vm="18064">
        <v>43191</v>
      </c>
      <c r="B17">
        <v>1.2180351853254345E-2</v>
      </c>
      <c r="E17" s="37"/>
    </row>
    <row r="18" spans="1:5" x14ac:dyDescent="0.35">
      <c r="A18" vm="4104">
        <v>43221</v>
      </c>
      <c r="B18">
        <v>5.272705175603757E-2</v>
      </c>
    </row>
    <row r="19" spans="1:5" x14ac:dyDescent="0.35">
      <c r="A19" vm="4362">
        <v>43252</v>
      </c>
      <c r="B19">
        <v>1.4327827609288105E-3</v>
      </c>
    </row>
    <row r="20" spans="1:5" x14ac:dyDescent="0.35">
      <c r="A20" vm="18068">
        <v>43282</v>
      </c>
      <c r="B20">
        <v>5.0029292940419294E-2</v>
      </c>
    </row>
    <row r="21" spans="1:5" x14ac:dyDescent="0.35">
      <c r="A21" vm="4856">
        <v>43313</v>
      </c>
      <c r="B21">
        <v>6.8422181220069878E-2</v>
      </c>
    </row>
    <row r="22" spans="1:5" x14ac:dyDescent="0.35">
      <c r="A22" vm="18071">
        <v>43344</v>
      </c>
      <c r="B22">
        <v>4.2051372093616498E-3</v>
      </c>
    </row>
    <row r="23" spans="1:5" x14ac:dyDescent="0.35">
      <c r="A23" vm="5350">
        <v>43374</v>
      </c>
      <c r="B23">
        <v>-0.12050467278257176</v>
      </c>
    </row>
    <row r="24" spans="1:5" x14ac:dyDescent="0.35">
      <c r="A24" vm="5626">
        <v>43405</v>
      </c>
      <c r="B24">
        <v>-2.016171739308395E-2</v>
      </c>
    </row>
    <row r="25" spans="1:5" x14ac:dyDescent="0.35">
      <c r="A25" vm="18077">
        <v>43435</v>
      </c>
      <c r="B25">
        <v>-0.10437326727209498</v>
      </c>
    </row>
    <row r="26" spans="1:5" x14ac:dyDescent="0.35">
      <c r="A26" vm="18080">
        <v>43466</v>
      </c>
      <c r="B26">
        <v>9.5111284340374108E-2</v>
      </c>
    </row>
    <row r="27" spans="1:5" x14ac:dyDescent="0.35">
      <c r="A27" vm="6359">
        <v>43497</v>
      </c>
      <c r="B27">
        <v>2.0632688157500374E-2</v>
      </c>
    </row>
    <row r="28" spans="1:5" x14ac:dyDescent="0.35">
      <c r="A28" vm="6587">
        <v>43525</v>
      </c>
      <c r="B28">
        <v>7.2410635983808383E-2</v>
      </c>
    </row>
    <row r="29" spans="1:5" x14ac:dyDescent="0.35">
      <c r="A29" vm="6842">
        <v>43556</v>
      </c>
      <c r="B29">
        <v>2.974703951071285E-2</v>
      </c>
    </row>
    <row r="30" spans="1:5" x14ac:dyDescent="0.35">
      <c r="A30" vm="7090">
        <v>43586</v>
      </c>
      <c r="B30">
        <v>-8.28671897167155E-2</v>
      </c>
    </row>
    <row r="31" spans="1:5" x14ac:dyDescent="0.35">
      <c r="A31" vm="18087">
        <v>43617</v>
      </c>
      <c r="B31">
        <v>7.8706612609429238E-2</v>
      </c>
    </row>
    <row r="32" spans="1:5" x14ac:dyDescent="0.35">
      <c r="A32" vm="7587">
        <v>43647</v>
      </c>
      <c r="B32">
        <v>3.4130926939558673E-2</v>
      </c>
    </row>
    <row r="33" spans="1:2" x14ac:dyDescent="0.35">
      <c r="A33" vm="7847">
        <v>43678</v>
      </c>
      <c r="B33">
        <v>-1.0801853288399332E-2</v>
      </c>
    </row>
    <row r="34" spans="1:2" x14ac:dyDescent="0.35">
      <c r="A34" vm="18093">
        <v>43709</v>
      </c>
      <c r="B34">
        <v>3.8344241014647042E-3</v>
      </c>
    </row>
    <row r="35" spans="1:2" x14ac:dyDescent="0.35">
      <c r="A35" vm="8364">
        <v>43739</v>
      </c>
      <c r="B35">
        <v>6.0634893005633891E-2</v>
      </c>
    </row>
    <row r="36" spans="1:2" x14ac:dyDescent="0.35">
      <c r="A36" vm="8636">
        <v>43770</v>
      </c>
      <c r="B36">
        <v>4.2480370536301451E-2</v>
      </c>
    </row>
    <row r="37" spans="1:2" x14ac:dyDescent="0.35">
      <c r="A37" vm="18098">
        <v>43800</v>
      </c>
      <c r="B37">
        <v>3.7613800508341455E-2</v>
      </c>
    </row>
    <row r="38" spans="1:2" x14ac:dyDescent="0.35">
      <c r="A38" vm="18100">
        <v>43831</v>
      </c>
      <c r="B38">
        <v>2.8734823536326441E-2</v>
      </c>
    </row>
    <row r="39" spans="1:2" x14ac:dyDescent="0.35">
      <c r="A39" vm="18102">
        <v>43862</v>
      </c>
      <c r="B39">
        <v>-2.1062459054798241E-2</v>
      </c>
    </row>
    <row r="40" spans="1:2" x14ac:dyDescent="0.35">
      <c r="A40" vm="18105">
        <v>43891</v>
      </c>
      <c r="B40">
        <v>-7.5931579077720454E-2</v>
      </c>
    </row>
    <row r="41" spans="1:2" x14ac:dyDescent="0.35">
      <c r="A41" vm="9852">
        <v>43922</v>
      </c>
      <c r="B41">
        <v>0.13142232736096579</v>
      </c>
    </row>
    <row r="42" spans="1:2" x14ac:dyDescent="0.35">
      <c r="A42" vm="10103">
        <v>43952</v>
      </c>
      <c r="B42">
        <v>8.4604135066324637E-2</v>
      </c>
    </row>
    <row r="43" spans="1:2" x14ac:dyDescent="0.35">
      <c r="A43" vm="10344">
        <v>43983</v>
      </c>
      <c r="B43">
        <v>2.1450562446855764E-2</v>
      </c>
    </row>
    <row r="44" spans="1:2" x14ac:dyDescent="0.35">
      <c r="A44" vm="10619">
        <v>44013</v>
      </c>
      <c r="B44">
        <v>8.0871103181553231E-2</v>
      </c>
    </row>
    <row r="45" spans="1:2" x14ac:dyDescent="0.35">
      <c r="A45" vm="18114">
        <v>44044</v>
      </c>
      <c r="B45">
        <v>0.12280607152920323</v>
      </c>
    </row>
    <row r="46" spans="1:2" x14ac:dyDescent="0.35">
      <c r="A46" vm="11138">
        <v>44075</v>
      </c>
      <c r="B46">
        <v>-3.5390037110041954E-2</v>
      </c>
    </row>
    <row r="47" spans="1:2" x14ac:dyDescent="0.35">
      <c r="A47" vm="11391">
        <v>44105</v>
      </c>
      <c r="B47">
        <v>-1.5352958018422822E-2</v>
      </c>
    </row>
    <row r="48" spans="1:2" x14ac:dyDescent="0.35">
      <c r="A48" vm="18121">
        <v>44136</v>
      </c>
      <c r="B48">
        <v>9.765401431188557E-2</v>
      </c>
    </row>
    <row r="49" spans="1:2" x14ac:dyDescent="0.35">
      <c r="A49" vm="11893">
        <v>44166</v>
      </c>
      <c r="B49">
        <v>1.4924848974339048E-2</v>
      </c>
    </row>
    <row r="50" spans="1:2" x14ac:dyDescent="0.35">
      <c r="A50" vm="18126">
        <v>44197</v>
      </c>
      <c r="B50">
        <v>-2.2426746389778141E-2</v>
      </c>
    </row>
    <row r="51" spans="1:2" x14ac:dyDescent="0.35">
      <c r="A51" vm="12377">
        <v>44228</v>
      </c>
      <c r="B51">
        <v>3.6322561776523571E-2</v>
      </c>
    </row>
    <row r="52" spans="1:2" x14ac:dyDescent="0.35">
      <c r="A52" vm="12599">
        <v>44256</v>
      </c>
      <c r="B52">
        <v>2.2750316627261277E-2</v>
      </c>
    </row>
    <row r="53" spans="1:2" x14ac:dyDescent="0.35">
      <c r="A53" vm="12869">
        <v>44287</v>
      </c>
      <c r="B53">
        <v>9.1628835347976889E-2</v>
      </c>
    </row>
    <row r="54" spans="1:2" x14ac:dyDescent="0.35">
      <c r="A54" vm="18133">
        <v>44317</v>
      </c>
      <c r="B54">
        <v>5.4642106307245591E-3</v>
      </c>
    </row>
    <row r="55" spans="1:2" x14ac:dyDescent="0.35">
      <c r="A55" vm="13339">
        <v>44348</v>
      </c>
      <c r="B55">
        <v>6.0727262969432531E-2</v>
      </c>
    </row>
    <row r="56" spans="1:2" x14ac:dyDescent="0.35">
      <c r="A56" vm="13593">
        <v>44378</v>
      </c>
      <c r="B56">
        <v>2.6978296993855747E-2</v>
      </c>
    </row>
    <row r="57" spans="1:2" x14ac:dyDescent="0.35">
      <c r="A57" vm="18140">
        <v>44409</v>
      </c>
      <c r="B57">
        <v>5.4008462540205054E-2</v>
      </c>
    </row>
    <row r="58" spans="1:2" x14ac:dyDescent="0.35">
      <c r="A58" vm="14096">
        <v>44440</v>
      </c>
      <c r="B58">
        <v>-5.7836428940145991E-2</v>
      </c>
    </row>
    <row r="59" spans="1:2" x14ac:dyDescent="0.35">
      <c r="A59" vm="14331">
        <v>44470</v>
      </c>
      <c r="B59">
        <v>9.9720911538761448E-2</v>
      </c>
    </row>
    <row r="60" spans="1:2" x14ac:dyDescent="0.35">
      <c r="A60" vm="14570">
        <v>44501</v>
      </c>
      <c r="B60">
        <v>4.1309656342777133E-2</v>
      </c>
    </row>
    <row r="61" spans="1:2" x14ac:dyDescent="0.35">
      <c r="A61" vm="14804">
        <v>44531</v>
      </c>
      <c r="B61">
        <v>1.7577191970585382E-2</v>
      </c>
    </row>
    <row r="62" spans="1:2" x14ac:dyDescent="0.35">
      <c r="A62" vm="18149">
        <v>44562</v>
      </c>
      <c r="B62">
        <v>-6.6963386817528822E-2</v>
      </c>
    </row>
    <row r="63" spans="1:2" x14ac:dyDescent="0.35">
      <c r="A63" vm="15262">
        <v>44593</v>
      </c>
      <c r="B63">
        <v>-1.599156103608905E-2</v>
      </c>
    </row>
    <row r="64" spans="1:2" x14ac:dyDescent="0.35">
      <c r="A64" vm="15470">
        <v>44621</v>
      </c>
      <c r="B64">
        <v>5.3395145633944513E-2</v>
      </c>
    </row>
    <row r="65" spans="1:2" x14ac:dyDescent="0.35">
      <c r="A65" vm="15731">
        <v>44652</v>
      </c>
      <c r="B65">
        <v>-0.14398309729773148</v>
      </c>
    </row>
    <row r="66" spans="1:2" x14ac:dyDescent="0.35">
      <c r="A66" vm="18157">
        <v>44682</v>
      </c>
      <c r="B66">
        <v>-1.0442441355854351E-2</v>
      </c>
    </row>
    <row r="67" spans="1:2" x14ac:dyDescent="0.35">
      <c r="A67" vm="16167">
        <v>44713</v>
      </c>
      <c r="B67">
        <v>-8.9014464810754021E-2</v>
      </c>
    </row>
    <row r="68" spans="1:2" x14ac:dyDescent="0.35">
      <c r="A68" vm="16391">
        <v>44743</v>
      </c>
      <c r="B68">
        <v>0.12741588678634486</v>
      </c>
    </row>
    <row r="69" spans="1:2" x14ac:dyDescent="0.35">
      <c r="A69" vm="16603">
        <v>44774</v>
      </c>
      <c r="B69">
        <v>-8.3756403022058126E-2</v>
      </c>
    </row>
    <row r="70" spans="1:2" x14ac:dyDescent="0.35">
      <c r="A70" vm="16853">
        <v>44805</v>
      </c>
      <c r="B70">
        <v>-0.12172983281421365</v>
      </c>
    </row>
    <row r="71" spans="1:2" x14ac:dyDescent="0.35">
      <c r="A71" vm="18166">
        <v>44835</v>
      </c>
      <c r="B71">
        <v>6.9847087248944839E-2</v>
      </c>
    </row>
    <row r="72" spans="1:2" x14ac:dyDescent="0.35">
      <c r="A72" vm="17301">
        <v>44866</v>
      </c>
      <c r="B72">
        <v>9.4642742508857625E-2</v>
      </c>
    </row>
    <row r="73" spans="1:2" x14ac:dyDescent="0.35">
      <c r="A73" vm="17521">
        <v>44896</v>
      </c>
      <c r="B73">
        <v>-8.1377880401687933E-2</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8223F-88A1-4CB1-B8BD-0D64C8119E89}">
  <dimension ref="A1:I73"/>
  <sheetViews>
    <sheetView topLeftCell="A2" workbookViewId="0">
      <selection activeCell="J15" sqref="J15"/>
    </sheetView>
  </sheetViews>
  <sheetFormatPr defaultRowHeight="14.5" x14ac:dyDescent="0.35"/>
  <cols>
    <col min="2" max="2" width="14.26953125" bestFit="1" customWidth="1"/>
    <col min="5" max="5" width="12.26953125" bestFit="1" customWidth="1"/>
  </cols>
  <sheetData>
    <row r="1" spans="1:9" x14ac:dyDescent="0.35">
      <c r="A1" t="s">
        <v>86</v>
      </c>
      <c r="B1" t="s">
        <v>85</v>
      </c>
    </row>
    <row r="2" spans="1:9" x14ac:dyDescent="0.35">
      <c r="A2" vm="18033">
        <v>42736</v>
      </c>
      <c r="B2">
        <v>3.5850669395080283E-2</v>
      </c>
      <c r="H2" s="23" t="s">
        <v>32</v>
      </c>
      <c r="I2" s="27">
        <v>2.0899999999999998E-2</v>
      </c>
    </row>
    <row r="3" spans="1:9" x14ac:dyDescent="0.35">
      <c r="A3" vm="269">
        <v>42767</v>
      </c>
      <c r="B3">
        <v>5.684160224047002E-3</v>
      </c>
      <c r="H3" t="s">
        <v>90</v>
      </c>
      <c r="I3">
        <f>_xlfn.PERCENTILE.INC(B2:B73, 0.05)</f>
        <v>-9.5925925918357441E-2</v>
      </c>
    </row>
    <row r="4" spans="1:9" x14ac:dyDescent="0.35">
      <c r="A4" vm="509">
        <v>42795</v>
      </c>
      <c r="B4">
        <v>2.4049633298700634E-2</v>
      </c>
    </row>
    <row r="5" spans="1:9" x14ac:dyDescent="0.35">
      <c r="A5" vm="18039">
        <v>42826</v>
      </c>
      <c r="B5">
        <v>2.9214828137034965E-2</v>
      </c>
      <c r="E5" t="s">
        <v>87</v>
      </c>
      <c r="F5" cm="1">
        <f t="array" ref="F5" xml:space="preserve"> (AVERAGE(B2:B73) - I2) / _xlfn.STDEV.S(IF(B2:B73&lt;I2, B2:B73, ""))</f>
        <v>-5.1094394124752335E-2</v>
      </c>
    </row>
    <row r="6" spans="1:9" x14ac:dyDescent="0.35">
      <c r="A6" vm="1030">
        <v>42856</v>
      </c>
      <c r="B6">
        <v>0.11963130649760052</v>
      </c>
      <c r="E6" t="s">
        <v>88</v>
      </c>
      <c r="F6">
        <f xml:space="preserve"> AVERAGE(B2:B73) - 1.645 * _xlfn.STDEV.P(B2:B73)</f>
        <v>-8.5628839531263448E-2</v>
      </c>
    </row>
    <row r="7" spans="1:9" x14ac:dyDescent="0.35">
      <c r="A7" vm="1310">
        <v>42887</v>
      </c>
      <c r="B7">
        <v>-9.1965059199853628E-3</v>
      </c>
      <c r="E7" s="6" t="s">
        <v>89</v>
      </c>
      <c r="F7">
        <f>AVERAGEIF(B2:B73, "&lt;" &amp; I3)</f>
        <v>-0.12264771754165296</v>
      </c>
    </row>
    <row r="8" spans="1:9" x14ac:dyDescent="0.35">
      <c r="A8" vm="18046">
        <v>42917</v>
      </c>
      <c r="B8">
        <v>4.8820253622602831E-2</v>
      </c>
    </row>
    <row r="9" spans="1:9" x14ac:dyDescent="0.35">
      <c r="A9" vm="1842">
        <v>42948</v>
      </c>
      <c r="B9">
        <v>1.8907595540500883E-2</v>
      </c>
    </row>
    <row r="10" spans="1:9" x14ac:dyDescent="0.35">
      <c r="A10" vm="2127">
        <v>42979</v>
      </c>
      <c r="B10">
        <v>2.059365137165434E-2</v>
      </c>
    </row>
    <row r="11" spans="1:9" x14ac:dyDescent="0.35">
      <c r="A11" vm="18052">
        <v>43009</v>
      </c>
      <c r="B11">
        <v>8.0792030925026348E-2</v>
      </c>
    </row>
    <row r="12" spans="1:9" x14ac:dyDescent="0.35">
      <c r="A12" vm="2638">
        <v>43040</v>
      </c>
      <c r="B12">
        <v>1.904037527104973E-2</v>
      </c>
    </row>
    <row r="13" spans="1:9" x14ac:dyDescent="0.35">
      <c r="A13" vm="2893">
        <v>43070</v>
      </c>
      <c r="B13">
        <v>-1.1660853526367891E-2</v>
      </c>
    </row>
    <row r="14" spans="1:9" x14ac:dyDescent="0.35">
      <c r="A14" vm="18058">
        <v>43101</v>
      </c>
      <c r="B14">
        <v>0.13568164261979349</v>
      </c>
    </row>
    <row r="15" spans="1:9" x14ac:dyDescent="0.35">
      <c r="A15" vm="3380">
        <v>43132</v>
      </c>
      <c r="B15">
        <v>-2.3379455816634771E-2</v>
      </c>
    </row>
    <row r="16" spans="1:9" x14ac:dyDescent="0.35">
      <c r="A16" vm="3610">
        <v>43160</v>
      </c>
      <c r="B16">
        <v>-3.075525469810347E-2</v>
      </c>
    </row>
    <row r="17" spans="1:2" x14ac:dyDescent="0.35">
      <c r="A17" vm="18064">
        <v>43191</v>
      </c>
      <c r="B17">
        <v>1.2180351853254345E-2</v>
      </c>
    </row>
    <row r="18" spans="1:2" x14ac:dyDescent="0.35">
      <c r="A18" vm="4104">
        <v>43221</v>
      </c>
      <c r="B18">
        <v>5.272705175603757E-2</v>
      </c>
    </row>
    <row r="19" spans="1:2" x14ac:dyDescent="0.35">
      <c r="A19" vm="4362">
        <v>43252</v>
      </c>
      <c r="B19">
        <v>1.4327827609288105E-3</v>
      </c>
    </row>
    <row r="20" spans="1:2" x14ac:dyDescent="0.35">
      <c r="A20" vm="18068">
        <v>43282</v>
      </c>
      <c r="B20">
        <v>5.0029292940419294E-2</v>
      </c>
    </row>
    <row r="21" spans="1:2" x14ac:dyDescent="0.35">
      <c r="A21" vm="4856">
        <v>43313</v>
      </c>
      <c r="B21">
        <v>6.8422181220069878E-2</v>
      </c>
    </row>
    <row r="22" spans="1:2" x14ac:dyDescent="0.35">
      <c r="A22" vm="18071">
        <v>43344</v>
      </c>
      <c r="B22">
        <v>4.2051372093616498E-3</v>
      </c>
    </row>
    <row r="23" spans="1:2" x14ac:dyDescent="0.35">
      <c r="A23" vm="5350">
        <v>43374</v>
      </c>
      <c r="B23">
        <v>-0.12050467278257176</v>
      </c>
    </row>
    <row r="24" spans="1:2" x14ac:dyDescent="0.35">
      <c r="A24" vm="5626">
        <v>43405</v>
      </c>
      <c r="B24">
        <v>-2.016171739308395E-2</v>
      </c>
    </row>
    <row r="25" spans="1:2" x14ac:dyDescent="0.35">
      <c r="A25" vm="18077">
        <v>43435</v>
      </c>
      <c r="B25">
        <v>-0.10437326727209498</v>
      </c>
    </row>
    <row r="26" spans="1:2" x14ac:dyDescent="0.35">
      <c r="A26" vm="18080">
        <v>43466</v>
      </c>
      <c r="B26">
        <v>9.5111284340374108E-2</v>
      </c>
    </row>
    <row r="27" spans="1:2" x14ac:dyDescent="0.35">
      <c r="A27" vm="6359">
        <v>43497</v>
      </c>
      <c r="B27">
        <v>2.0632688157500374E-2</v>
      </c>
    </row>
    <row r="28" spans="1:2" x14ac:dyDescent="0.35">
      <c r="A28" vm="6587">
        <v>43525</v>
      </c>
      <c r="B28">
        <v>7.2410635983808383E-2</v>
      </c>
    </row>
    <row r="29" spans="1:2" x14ac:dyDescent="0.35">
      <c r="A29" vm="6842">
        <v>43556</v>
      </c>
      <c r="B29">
        <v>2.974703951071285E-2</v>
      </c>
    </row>
    <row r="30" spans="1:2" x14ac:dyDescent="0.35">
      <c r="A30" vm="7090">
        <v>43586</v>
      </c>
      <c r="B30">
        <v>-8.28671897167155E-2</v>
      </c>
    </row>
    <row r="31" spans="1:2" x14ac:dyDescent="0.35">
      <c r="A31" vm="18087">
        <v>43617</v>
      </c>
      <c r="B31">
        <v>7.8706612609429238E-2</v>
      </c>
    </row>
    <row r="32" spans="1:2" x14ac:dyDescent="0.35">
      <c r="A32" vm="7587">
        <v>43647</v>
      </c>
      <c r="B32">
        <v>3.4130926939558673E-2</v>
      </c>
    </row>
    <row r="33" spans="1:2" x14ac:dyDescent="0.35">
      <c r="A33" vm="7847">
        <v>43678</v>
      </c>
      <c r="B33">
        <v>-1.0801853288399332E-2</v>
      </c>
    </row>
    <row r="34" spans="1:2" x14ac:dyDescent="0.35">
      <c r="A34" vm="18093">
        <v>43709</v>
      </c>
      <c r="B34">
        <v>3.8344241014647042E-3</v>
      </c>
    </row>
    <row r="35" spans="1:2" x14ac:dyDescent="0.35">
      <c r="A35" vm="8364">
        <v>43739</v>
      </c>
      <c r="B35">
        <v>6.0634893005633891E-2</v>
      </c>
    </row>
    <row r="36" spans="1:2" x14ac:dyDescent="0.35">
      <c r="A36" vm="8636">
        <v>43770</v>
      </c>
      <c r="B36">
        <v>4.2480370536301451E-2</v>
      </c>
    </row>
    <row r="37" spans="1:2" x14ac:dyDescent="0.35">
      <c r="A37" vm="18098">
        <v>43800</v>
      </c>
      <c r="B37">
        <v>3.7613800508341455E-2</v>
      </c>
    </row>
    <row r="38" spans="1:2" x14ac:dyDescent="0.35">
      <c r="A38" vm="18100">
        <v>43831</v>
      </c>
      <c r="B38">
        <v>2.8734823536326441E-2</v>
      </c>
    </row>
    <row r="39" spans="1:2" x14ac:dyDescent="0.35">
      <c r="A39" vm="18102">
        <v>43862</v>
      </c>
      <c r="B39">
        <v>-2.1062459054798241E-2</v>
      </c>
    </row>
    <row r="40" spans="1:2" x14ac:dyDescent="0.35">
      <c r="A40" vm="18105">
        <v>43891</v>
      </c>
      <c r="B40">
        <v>-7.5931579077720454E-2</v>
      </c>
    </row>
    <row r="41" spans="1:2" x14ac:dyDescent="0.35">
      <c r="A41" vm="9852">
        <v>43922</v>
      </c>
      <c r="B41">
        <v>0.13142232736096579</v>
      </c>
    </row>
    <row r="42" spans="1:2" x14ac:dyDescent="0.35">
      <c r="A42" vm="10103">
        <v>43952</v>
      </c>
      <c r="B42">
        <v>8.4604135066324637E-2</v>
      </c>
    </row>
    <row r="43" spans="1:2" x14ac:dyDescent="0.35">
      <c r="A43" vm="10344">
        <v>43983</v>
      </c>
      <c r="B43">
        <v>2.1450562446855764E-2</v>
      </c>
    </row>
    <row r="44" spans="1:2" x14ac:dyDescent="0.35">
      <c r="A44" vm="10619">
        <v>44013</v>
      </c>
      <c r="B44">
        <v>8.0871103181553231E-2</v>
      </c>
    </row>
    <row r="45" spans="1:2" x14ac:dyDescent="0.35">
      <c r="A45" vm="18114">
        <v>44044</v>
      </c>
      <c r="B45">
        <v>0.12280607152920323</v>
      </c>
    </row>
    <row r="46" spans="1:2" x14ac:dyDescent="0.35">
      <c r="A46" vm="11138">
        <v>44075</v>
      </c>
      <c r="B46">
        <v>-3.5390037110041954E-2</v>
      </c>
    </row>
    <row r="47" spans="1:2" x14ac:dyDescent="0.35">
      <c r="A47" vm="11391">
        <v>44105</v>
      </c>
      <c r="B47">
        <v>-1.5352958018422822E-2</v>
      </c>
    </row>
    <row r="48" spans="1:2" x14ac:dyDescent="0.35">
      <c r="A48" vm="18121">
        <v>44136</v>
      </c>
      <c r="B48">
        <v>9.765401431188557E-2</v>
      </c>
    </row>
    <row r="49" spans="1:2" x14ac:dyDescent="0.35">
      <c r="A49" vm="11893">
        <v>44166</v>
      </c>
      <c r="B49">
        <v>1.4924848974339048E-2</v>
      </c>
    </row>
    <row r="50" spans="1:2" x14ac:dyDescent="0.35">
      <c r="A50" vm="18126">
        <v>44197</v>
      </c>
      <c r="B50">
        <v>-2.2426746389778141E-2</v>
      </c>
    </row>
    <row r="51" spans="1:2" x14ac:dyDescent="0.35">
      <c r="A51" vm="12377">
        <v>44228</v>
      </c>
      <c r="B51">
        <v>3.6322561776523571E-2</v>
      </c>
    </row>
    <row r="52" spans="1:2" x14ac:dyDescent="0.35">
      <c r="A52" vm="12599">
        <v>44256</v>
      </c>
      <c r="B52">
        <v>2.2750316627261277E-2</v>
      </c>
    </row>
    <row r="53" spans="1:2" x14ac:dyDescent="0.35">
      <c r="A53" vm="12869">
        <v>44287</v>
      </c>
      <c r="B53">
        <v>9.1628835347976889E-2</v>
      </c>
    </row>
    <row r="54" spans="1:2" x14ac:dyDescent="0.35">
      <c r="A54" vm="18133">
        <v>44317</v>
      </c>
      <c r="B54">
        <v>5.4642106307245591E-3</v>
      </c>
    </row>
    <row r="55" spans="1:2" x14ac:dyDescent="0.35">
      <c r="A55" vm="13339">
        <v>44348</v>
      </c>
      <c r="B55">
        <v>6.0727262969432531E-2</v>
      </c>
    </row>
    <row r="56" spans="1:2" x14ac:dyDescent="0.35">
      <c r="A56" vm="13593">
        <v>44378</v>
      </c>
      <c r="B56">
        <v>2.6978296993855747E-2</v>
      </c>
    </row>
    <row r="57" spans="1:2" x14ac:dyDescent="0.35">
      <c r="A57" vm="18140">
        <v>44409</v>
      </c>
      <c r="B57">
        <v>5.4008462540205054E-2</v>
      </c>
    </row>
    <row r="58" spans="1:2" x14ac:dyDescent="0.35">
      <c r="A58" vm="14096">
        <v>44440</v>
      </c>
      <c r="B58">
        <v>-5.7836428940145991E-2</v>
      </c>
    </row>
    <row r="59" spans="1:2" x14ac:dyDescent="0.35">
      <c r="A59" vm="14331">
        <v>44470</v>
      </c>
      <c r="B59">
        <v>9.9720911538761448E-2</v>
      </c>
    </row>
    <row r="60" spans="1:2" x14ac:dyDescent="0.35">
      <c r="A60" vm="14570">
        <v>44501</v>
      </c>
      <c r="B60">
        <v>4.1309656342777133E-2</v>
      </c>
    </row>
    <row r="61" spans="1:2" x14ac:dyDescent="0.35">
      <c r="A61" vm="14804">
        <v>44531</v>
      </c>
      <c r="B61">
        <v>1.7577191970585382E-2</v>
      </c>
    </row>
    <row r="62" spans="1:2" x14ac:dyDescent="0.35">
      <c r="A62" vm="18149">
        <v>44562</v>
      </c>
      <c r="B62">
        <v>-6.6963386817528822E-2</v>
      </c>
    </row>
    <row r="63" spans="1:2" x14ac:dyDescent="0.35">
      <c r="A63" vm="15262">
        <v>44593</v>
      </c>
      <c r="B63">
        <v>-1.599156103608905E-2</v>
      </c>
    </row>
    <row r="64" spans="1:2" x14ac:dyDescent="0.35">
      <c r="A64" vm="15470">
        <v>44621</v>
      </c>
      <c r="B64">
        <v>5.3395145633944513E-2</v>
      </c>
    </row>
    <row r="65" spans="1:2" x14ac:dyDescent="0.35">
      <c r="A65" vm="15731">
        <v>44652</v>
      </c>
      <c r="B65">
        <v>-0.14398309729773148</v>
      </c>
    </row>
    <row r="66" spans="1:2" x14ac:dyDescent="0.35">
      <c r="A66" vm="18157">
        <v>44682</v>
      </c>
      <c r="B66">
        <v>-1.0442441355854351E-2</v>
      </c>
    </row>
    <row r="67" spans="1:2" x14ac:dyDescent="0.35">
      <c r="A67" vm="16167">
        <v>44713</v>
      </c>
      <c r="B67">
        <v>-8.9014464810754021E-2</v>
      </c>
    </row>
    <row r="68" spans="1:2" x14ac:dyDescent="0.35">
      <c r="A68" vm="16391">
        <v>44743</v>
      </c>
      <c r="B68">
        <v>0.12741588678634486</v>
      </c>
    </row>
    <row r="69" spans="1:2" x14ac:dyDescent="0.35">
      <c r="A69" vm="16603">
        <v>44774</v>
      </c>
      <c r="B69">
        <v>-8.3756403022058126E-2</v>
      </c>
    </row>
    <row r="70" spans="1:2" x14ac:dyDescent="0.35">
      <c r="A70" vm="16853">
        <v>44805</v>
      </c>
      <c r="B70">
        <v>-0.12172983281421365</v>
      </c>
    </row>
    <row r="71" spans="1:2" x14ac:dyDescent="0.35">
      <c r="A71" vm="18166">
        <v>44835</v>
      </c>
      <c r="B71">
        <v>6.9847087248944839E-2</v>
      </c>
    </row>
    <row r="72" spans="1:2" x14ac:dyDescent="0.35">
      <c r="A72" vm="17301">
        <v>44866</v>
      </c>
      <c r="B72">
        <v>9.4642742508857625E-2</v>
      </c>
    </row>
    <row r="73" spans="1:2" x14ac:dyDescent="0.35">
      <c r="A73" vm="17521">
        <v>44896</v>
      </c>
      <c r="B73">
        <v>-8.1377880401687933E-2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 (2)</vt:lpstr>
      <vt:lpstr>Sheet1</vt:lpstr>
      <vt:lpstr>ReturnsVtime</vt:lpstr>
      <vt:lpstr>Benchmark</vt:lpstr>
      <vt:lpstr>Metrics</vt:lpstr>
      <vt:lpstr>STD</vt:lpstr>
      <vt:lpstr>TopStock</vt:lpstr>
      <vt:lpstr>regression</vt:lpstr>
      <vt:lpstr>Distribution</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Lorena Brant</dc:creator>
  <cp:lastModifiedBy>lorena assumpcao</cp:lastModifiedBy>
  <dcterms:created xsi:type="dcterms:W3CDTF">2025-08-05T06:26:58Z</dcterms:created>
  <dcterms:modified xsi:type="dcterms:W3CDTF">2025-08-10T12:43:04Z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{3808FD6D-D41B-4A20-9AA7-B897F5AA0BBC}</vt:lpwstr>
  </property>
</Properties>
</file>